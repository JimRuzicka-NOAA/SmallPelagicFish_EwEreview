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Pacific/Pacific_ECOTRAN_K-path_versions/"/>
    </mc:Choice>
  </mc:AlternateContent>
  <xr:revisionPtr revIDLastSave="0" documentId="13_ncr:1_{EFD2A642-9984-BF47-A9D0-FB06EA732287}" xr6:coauthVersionLast="45" xr6:coauthVersionMax="45" xr10:uidLastSave="{00000000-0000-0000-0000-000000000000}"/>
  <bookViews>
    <workbookView xWindow="0" yWindow="460" windowWidth="25600" windowHeight="14240" tabRatio="728" firstSheet="3" activeTab="11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Main!$C$2:$N$20</definedName>
    <definedName name="matDetritus">Detritus!$C$2:$E$20</definedName>
    <definedName name="matDiet">Diets!$B$2:$O$18</definedName>
    <definedName name="matDiscards">Discards!$C$2:$E$17</definedName>
    <definedName name="matFishery">Fishing!$C$2:$E$17</definedName>
    <definedName name="matFishing">Fishing!#REF!</definedName>
    <definedName name="matMort">Mortalities!$A$1:$V$17</definedName>
    <definedName name="matOut">MainOutputs!$A$2:$I$20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<sst xmlns="http://schemas.openxmlformats.org/spreadsheetml/2006/main" count="664" uniqueCount="218">
  <si>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</si>
  <si>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</si>
  <si>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</si>
  <si>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</si>
  <si>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</si>
  <si>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</si>
  <si>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</si>
  <si>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</si>
  <si>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</si>
  <si>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</si>
  <si>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</si>
  <si>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</si>
  <si>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</si>
  <si>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</si>
  <si>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</si>
  <si>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</si>
  <si>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</si>
  <si>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</si>
  <si>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</si>
  <si>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</si>
  <si>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</si>
  <si>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</si>
  <si>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</si>
  <si>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</si>
  <si>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</si>
  <si>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</si>
  <si>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</si>
  <si>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</si>
  <si>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</si>
  <si>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</si>
  <si>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</si>
  <si>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</si>
  <si>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</si>
  <si>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</si>
  <si>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</si>
  <si>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</si>
  <si>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</si>
  <si>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</si>
  <si>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</si>
  <si>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</si>
  <si>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</si>
  <si>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</si>
  <si>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</si>
  <si>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</si>
  <si>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</si>
  <si>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</si>
  <si>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</si>
  <si>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</si>
  <si>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</si>
  <si>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</si>
  <si>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</si>
  <si>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</si>
  <si>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</si>
  <si>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</si>
  <si>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</si>
  <si>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</si>
  <si>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</si>
  <si>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</si>
  <si>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</si>
  <si>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</si>
  <si>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</si>
  <si>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</si>
  <si>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</si>
  <si>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</si>
  <si>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</si>
  <si>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</si>
  <si>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</si>
  <si>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</si>
  <si>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</si>
  <si>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</si>
  <si>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</si>
  <si>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</si>
  <si>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</si>
  <si>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</si>
  <si>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</si>
  <si>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</si>
  <si>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</si>
  <si>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</si>
  <si>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</si>
  <si>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</si>
  <si>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</si>
  <si>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</si>
  <si>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</si>
  <si>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</si>
  <si>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</si>
  <si>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</si>
  <si>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</si>
  <si>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</si>
  <si>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</si>
  <si>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</si>
  <si>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</si>
  <si>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</si>
  <si>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</si>
  <si>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</si>
  <si>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</si>
  <si>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</si>
  <si>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</si>
  <si>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</si>
  <si>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</si>
  <si>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</si>
  <si>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</si>
  <si>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</si>
  <si>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</si>
  <si>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</si>
  <si>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</si>
  <si>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</si>
  <si>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</si>
  <si>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</si>
  <si>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</si>
  <si>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</si>
  <si>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</si>
  <si>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</si>
  <si>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</si>
  <si>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</si>
  <si>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</si>
  <si>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</si>
  <si>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</si>
  <si>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</si>
  <si>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</si>
  <si>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</si>
  <si>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</si>
  <si>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</si>
  <si>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</si>
  <si>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</si>
  <si>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</si>
  <si>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</si>
  <si>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</si>
  <si>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</si>
  <si>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</si>
  <si>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</si>
  <si>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</si>
  <si>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</si>
  <si>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</si>
  <si>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</si>
  <si>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</si>
  <si>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</si>
  <si>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</si>
  <si>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</si>
  <si>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</si>
  <si>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</si>
  <si>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</si>
  <si>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</si>
  <si>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</si>
  <si>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</si>
  <si>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</si>
  <si>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</si>
  <si>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</si>
  <si>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</si>
  <si>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</si>
  <si>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</si>
  <si>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</si>
  <si>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</si>
  <si>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</si>
  <si>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</si>
  <si>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</si>
  <si>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</si>
  <si>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</si>
  <si>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</si>
  <si>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</si>
  <si>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</si>
  <si>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</si>
  <si>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</si>
  <si>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</si>
  <si>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</si>
  <si>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</si>
  <si>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</si>
  <si>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</si>
  <si>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</si>
  <si>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</si>
  <si>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</si>
  <si>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</si>
  <si>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</si>
  <si>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</si>
  <si>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</si>
  <si>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</si>
  <si>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</si>
  <si>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</si>
  <si>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</si>
  <si>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</si>
  <si>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</si>
  <si>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</si>
  <si>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</si>
  <si>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</si>
  <si>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</si>
  <si>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</si>
  <si>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West Coast Vancouver Island</t>
  </si>
  <si>
    <t>Canada</t>
  </si>
  <si>
    <t>BOX(-130.231683688219 48.2001425802843,-124.785279400872 50.8697383825466)</t>
  </si>
  <si>
    <t>continental shelf</t>
  </si>
  <si>
    <t>WetWeight</t>
  </si>
  <si>
    <t>; 4/16/2002 10:19:21 AM; 4/16/2002 10:39:02 AM; 4/16/2002 10:40:31 AM; 4/16/2002 10:42:23 AM; 4/16/2002 10:42:44 AM; 4/16/2002 10:58:40 AM; 4/16/2002 11:40:20 AM; 4/16/2002 11:43:13 AM; 4/16/2002 11:53:02 AM; 4/16/2002 12:10:44 PM; 4/16/2002 3:01:31 PM; 4/22/2002 5:43:30 PM; 4/27/2002 8:42:09 PM; 4/27/2002 8:45:37 PM; 5/20/2002 12:08:58 PM; 5/21/2002 1:06:52 AM; 5/21/2002 11:50:00 AM; 5/21/2002 1:06:18 PM; 5/22/2002 6:30:58 PM; 5/25/2002 4:37:59 PM; 6/25/2002 12:23:07 PM; 7/1/2002 4:35:53 PM; 7/1/2002 4:38:57 PM; 9/20/2002 12:59:40 PM; 9/20/2002 7:42:26 PM; 9/21/2002 7:50:00 PM; 12/1/2003 11:32:04 AM; 06-Jan-04 16:44:36</t>
  </si>
  <si>
    <t xml:space="preserve">Martell S.J.D.(2002). Variation in pink shrimp populations off the West coast of Vancouver Island: oceanographic and trophic interactions </t>
  </si>
  <si>
    <t>Lingcod</t>
  </si>
  <si>
    <t>Juv Lingcod</t>
  </si>
  <si>
    <t>Dogfish</t>
  </si>
  <si>
    <t>Adult Pacific Cod</t>
  </si>
  <si>
    <t>Juv. Pacific Cod</t>
  </si>
  <si>
    <t>Demersal Fish</t>
  </si>
  <si>
    <t>Adult Herring</t>
  </si>
  <si>
    <t>Juv. Herring</t>
  </si>
  <si>
    <t>Eulachon</t>
  </si>
  <si>
    <t>Euphausiids</t>
  </si>
  <si>
    <t>Pink Shrimp</t>
  </si>
  <si>
    <t>Copepods</t>
  </si>
  <si>
    <t>Herb. Zoolplankton</t>
  </si>
  <si>
    <t>Phytoplankton</t>
  </si>
  <si>
    <t>Detritus</t>
  </si>
  <si>
    <t>detritus_TerminalBenthic</t>
  </si>
  <si>
    <t>Benthic Trawl</t>
  </si>
  <si>
    <t>Shrimp Trawl</t>
  </si>
  <si>
    <t>Herring Fishery</t>
  </si>
  <si>
    <t>Import</t>
  </si>
  <si>
    <t>export</t>
  </si>
  <si>
    <t>sum</t>
  </si>
  <si>
    <t>TOTAL</t>
  </si>
  <si>
    <t>F Benthic Trawl</t>
  </si>
  <si>
    <t>F Shrimp Trawl</t>
  </si>
  <si>
    <t>F Herring Fishery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</si>
</sst>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84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2FF00"/>
        <bgColor indexed="64"/>
      </patternFill>
    </fill>
    <fill>
      <patternFill patternType="solid">
        <fgColor rgb="FF01FF00"/>
        <bgColor indexed="64"/>
      </patternFill>
    </fill>
    <fill>
      <patternFill patternType="solid">
        <fgColor rgb="FF05FF00"/>
        <bgColor indexed="64"/>
      </patternFill>
    </fill>
    <fill>
      <patternFill patternType="solid">
        <fgColor rgb="FF07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16FF00"/>
        <bgColor indexed="64"/>
      </patternFill>
    </fill>
    <fill>
      <patternFill patternType="solid">
        <fgColor rgb="FF0A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03FF00"/>
        <bgColor indexed="64"/>
      </patternFill>
    </fill>
    <fill>
      <patternFill patternType="solid">
        <fgColor rgb="FF0D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1CFF00"/>
        <bgColor indexed="64"/>
      </patternFill>
    </fill>
    <fill>
      <patternFill patternType="solid">
        <fgColor rgb="FF0BFF00"/>
        <bgColor indexed="64"/>
      </patternFill>
    </fill>
    <fill>
      <patternFill patternType="solid">
        <fgColor rgb="FF15FF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8FF00"/>
        <bgColor indexed="64"/>
      </patternFill>
    </fill>
    <fill>
      <patternFill patternType="solid">
        <fgColor rgb="FF48FF00"/>
        <bgColor indexed="64"/>
      </patternFill>
    </fill>
    <fill>
      <patternFill patternType="solid">
        <fgColor rgb="FF3FFF00"/>
        <bgColor indexed="64"/>
      </patternFill>
    </fill>
    <fill>
      <patternFill patternType="solid">
        <fgColor rgb="FF97FF00"/>
        <bgColor indexed="64"/>
      </patternFill>
    </fill>
    <fill>
      <patternFill patternType="solid">
        <fgColor rgb="FFADFF00"/>
        <bgColor indexed="64"/>
      </patternFill>
    </fill>
    <fill>
      <patternFill patternType="solid">
        <fgColor rgb="FF33FF00"/>
        <bgColor indexed="64"/>
      </patternFill>
    </fill>
    <fill>
      <patternFill patternType="solid">
        <fgColor rgb="FF0FFF00"/>
        <bgColor indexed="64"/>
      </patternFill>
    </fill>
    <fill>
      <patternFill patternType="solid">
        <fgColor rgb="FF8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FBE83A"/>
        <bgColor indexed="64"/>
      </patternFill>
    </fill>
    <fill>
      <patternFill patternType="solid">
        <fgColor rgb="FFB1FA3E"/>
        <bgColor indexed="64"/>
      </patternFill>
    </fill>
    <fill>
      <patternFill patternType="solid">
        <fgColor rgb="FF881BFF"/>
        <bgColor indexed="64"/>
      </patternFill>
    </fill>
    <fill>
      <patternFill patternType="solid">
        <fgColor rgb="FFAC0493"/>
        <bgColor indexed="64"/>
      </patternFill>
    </fill>
    <fill>
      <patternFill patternType="solid">
        <fgColor rgb="FF1A1ACC"/>
        <bgColor indexed="64"/>
      </patternFill>
    </fill>
    <fill>
      <patternFill patternType="solid">
        <fgColor rgb="FF490C4B"/>
        <bgColor indexed="64"/>
      </patternFill>
    </fill>
    <fill>
      <patternFill patternType="solid">
        <fgColor rgb="FF614DF2"/>
        <bgColor indexed="64"/>
      </patternFill>
    </fill>
    <fill>
      <patternFill patternType="solid">
        <fgColor rgb="FFFA6647"/>
        <bgColor indexed="64"/>
      </patternFill>
    </fill>
    <fill>
      <patternFill patternType="solid">
        <fgColor rgb="FF9FFF00"/>
        <bgColor indexed="64"/>
      </patternFill>
    </fill>
    <fill>
      <patternFill patternType="solid">
        <fgColor rgb="FF8EFF00"/>
        <bgColor indexed="64"/>
      </patternFill>
    </fill>
    <fill>
      <patternFill patternType="solid">
        <fgColor rgb="FFA9FF00"/>
        <bgColor indexed="64"/>
      </patternFill>
    </fill>
    <fill>
      <patternFill patternType="solid">
        <fgColor rgb="FF78FF00"/>
        <bgColor indexed="64"/>
      </patternFill>
    </fill>
    <fill>
      <patternFill patternType="solid">
        <fgColor rgb="FF70FF00"/>
        <bgColor indexed="64"/>
      </patternFill>
    </fill>
    <fill>
      <patternFill patternType="solid">
        <fgColor rgb="FF11FF00"/>
        <bgColor indexed="64"/>
      </patternFill>
    </fill>
    <fill>
      <patternFill patternType="solid">
        <fgColor rgb="FFFFFE00"/>
        <bgColor indexed="64"/>
      </patternFill>
    </fill>
    <fill>
      <patternFill patternType="solid">
        <fgColor rgb="FF0CFF00"/>
        <bgColor indexed="64"/>
      </patternFill>
    </fill>
    <fill>
      <patternFill patternType="solid">
        <fgColor rgb="FF6DFF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4AFF00"/>
        <bgColor indexed="64"/>
      </patternFill>
    </fill>
    <fill>
      <patternFill patternType="solid">
        <fgColor rgb="FF4CFF00"/>
        <bgColor indexed="64"/>
      </patternFill>
    </fill>
    <fill>
      <patternFill patternType="solid">
        <fgColor rgb="FFE0FF00"/>
        <bgColor indexed="64"/>
      </patternFill>
    </fill>
    <fill>
      <patternFill patternType="solid">
        <fgColor rgb="FF83FF00"/>
        <bgColor indexed="64"/>
      </patternFill>
    </fill>
    <fill>
      <patternFill patternType="solid">
        <fgColor rgb="FFF2FF00"/>
        <bgColor indexed="64"/>
      </patternFill>
    </fill>
    <fill>
      <patternFill patternType="solid">
        <fgColor rgb="FF26FF00"/>
        <bgColor indexed="64"/>
      </patternFill>
    </fill>
    <fill>
      <patternFill patternType="solid">
        <fgColor rgb="FF2EFF00"/>
        <bgColor indexed="64"/>
      </patternFill>
    </fill>
    <fill>
      <patternFill patternType="solid">
        <fgColor rgb="FF37FF00"/>
        <bgColor indexed="64"/>
      </patternFill>
    </fill>
    <fill>
      <patternFill patternType="solid">
        <fgColor rgb="FF39FF00"/>
        <bgColor indexed="64"/>
      </patternFill>
    </fill>
    <fill>
      <patternFill patternType="solid">
        <fgColor rgb="FF4DFF00"/>
        <bgColor indexed="64"/>
      </patternFill>
    </fill>
    <fill>
      <patternFill patternType="solid">
        <fgColor rgb="FF29FF00"/>
        <bgColor indexed="64"/>
      </patternFill>
    </fill>
    <fill>
      <patternFill patternType="solid">
        <fgColor rgb="FF32FF00"/>
        <bgColor indexed="64"/>
      </patternFill>
    </fill>
    <fill>
      <patternFill patternType="solid">
        <fgColor rgb="FF53FF00"/>
        <bgColor indexed="64"/>
      </patternFill>
    </fill>
    <fill>
      <patternFill patternType="solid">
        <fgColor rgb="FF76FF00"/>
        <bgColor indexed="64"/>
      </patternFill>
    </fill>
    <fill>
      <patternFill patternType="solid">
        <fgColor rgb="FFC6FF00"/>
        <bgColor indexed="64"/>
      </patternFill>
    </fill>
    <fill>
      <patternFill patternType="solid">
        <fgColor rgb="FFFF2700"/>
        <bgColor indexed="64"/>
      </patternFill>
    </fill>
    <fill>
      <patternFill patternType="solid">
        <fgColor rgb="FFFFE400"/>
        <bgColor indexed="64"/>
      </patternFill>
    </fill>
    <fill>
      <patternFill patternType="solid">
        <fgColor rgb="FF43FF00"/>
        <bgColor indexed="64"/>
      </patternFill>
    </fill>
    <fill>
      <patternFill patternType="solid">
        <fgColor rgb="FFFFD1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207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8" borderId="2" xfId="0" applyFont="1" applyFill="1" applyBorder="1" applyAlignment="1">
      <alignment horizontal="center"/>
    </xf>
    <xf numFmtId="0" fontId="1" fillId="18" borderId="4" xfId="0" applyFont="1" applyFill="1" applyBorder="1" applyAlignment="1">
      <alignment horizontal="center"/>
    </xf>
    <xf numFmtId="0" fontId="1" fillId="18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8" borderId="5" xfId="0" applyFill="1" applyBorder="1"/>
    <xf numFmtId="0" fontId="0" fillId="18" borderId="6" xfId="0" applyFill="1" applyBorder="1"/>
    <xf numFmtId="0" fontId="0" fillId="18" borderId="7" xfId="0" applyFill="1" applyBorder="1"/>
    <xf numFmtId="0" fontId="0" fillId="18" borderId="8" xfId="0" applyFill="1" applyBorder="1"/>
    <xf numFmtId="0" fontId="0" fillId="18" borderId="9" xfId="0" applyFill="1" applyBorder="1"/>
    <xf numFmtId="0" fontId="0" fillId="18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28" borderId="0" xfId="0" applyFill="1"/>
    <xf numFmtId="0" fontId="0" fillId="0" borderId="0" xfId="0" applyFont="1" applyFill="1" applyAlignment="1">
      <alignment horizontal="center"/>
    </xf>
    <xf numFmtId="0" fontId="0" fillId="29" borderId="0" xfId="0" applyFill="1"/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2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27" borderId="3" xfId="0" applyNumberFormat="1" applyFont="1" applyFill="1" applyBorder="1"/>
    <xf numFmtId="0" fontId="0" fillId="27" borderId="2" xfId="0" applyFont="1" applyFill="1" applyBorder="1"/>
    <xf numFmtId="0" fontId="0" fillId="27" borderId="3" xfId="0" applyFont="1" applyFill="1" applyBorder="1"/>
    <xf numFmtId="0" fontId="0" fillId="2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30" borderId="0" xfId="0" applyFill="1"/>
    <xf numFmtId="0" fontId="0" fillId="31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23" borderId="0" xfId="0" applyFont="1" applyFill="1" applyAlignment="1">
      <alignment horizontal="center"/>
    </xf>
    <xf numFmtId="0" fontId="12" fillId="21" borderId="0" xfId="0" applyFont="1" applyFill="1" applyAlignment="1">
      <alignment horizontal="center"/>
    </xf>
    <xf numFmtId="0" fontId="12" fillId="22" borderId="0" xfId="0" applyFont="1" applyFill="1" applyAlignment="1">
      <alignment horizontal="center"/>
    </xf>
    <xf numFmtId="0" fontId="12" fillId="19" borderId="0" xfId="0" applyFont="1" applyFill="1" applyAlignment="1">
      <alignment horizontal="center"/>
    </xf>
    <xf numFmtId="0" fontId="12" fillId="20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8" borderId="2" xfId="0" applyFill="1" applyBorder="1" applyAlignment="1">
      <alignment horizontal="center"/>
    </xf>
    <xf numFmtId="0" fontId="0" fillId="18" borderId="4" xfId="0" applyFill="1" applyBorder="1" applyAlignment="1">
      <alignment horizontal="center"/>
    </xf>
    <xf numFmtId="0" fontId="0" fillId="18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0" fillId="32" borderId="0" xfId="0" applyFill="1"/>
    <xf numFmtId="0" fontId="0" fillId="33" borderId="0" xfId="0" applyFill="1"/>
    <xf numFmtId="0" fontId="1" fillId="2" borderId="0" xfId="0" applyNumberFormat="1" applyFont="1" applyFill="1"/>
    <xf numFmtId="0" fontId="0" fillId="0" borderId="0" xfId="0" applyNumberFormat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  <xf numFmtId="0" fontId="0" fillId="44" borderId="0" xfId="0" applyFill="1"/>
    <xf numFmtId="0" fontId="0" fillId="45" borderId="0" xfId="0" applyFill="1"/>
    <xf numFmtId="0" fontId="0" fillId="46" borderId="0" xfId="0" applyFill="1"/>
    <xf numFmtId="0" fontId="0" fillId="47" borderId="0" xfId="0" applyFill="1"/>
    <xf numFmtId="0" fontId="0" fillId="48" borderId="0" xfId="0" applyFill="1"/>
    <xf numFmtId="0" fontId="0" fillId="49" borderId="0" xfId="0" applyFill="1"/>
    <xf numFmtId="0" fontId="0" fillId="50" borderId="0" xfId="0" applyFill="1"/>
    <xf numFmtId="0" fontId="0" fillId="51" borderId="0" xfId="0" applyFill="1"/>
    <xf numFmtId="0" fontId="0" fillId="52" borderId="0" xfId="0" applyFill="1"/>
    <xf numFmtId="0" fontId="0" fillId="53" borderId="0" xfId="0" applyFill="1"/>
    <xf numFmtId="0" fontId="0" fillId="54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55" borderId="0" xfId="0" applyFill="1"/>
    <xf numFmtId="0" fontId="0" fillId="56" borderId="0" xfId="0" applyFill="1"/>
    <xf numFmtId="0" fontId="0" fillId="57" borderId="0" xfId="0" applyFill="1"/>
    <xf numFmtId="0" fontId="0" fillId="58" borderId="0" xfId="0" applyFill="1"/>
    <xf numFmtId="0" fontId="0" fillId="59" borderId="0" xfId="0" applyFill="1"/>
    <xf numFmtId="0" fontId="0" fillId="60" borderId="0" xfId="0" applyFill="1"/>
    <xf numFmtId="0" fontId="0" fillId="61" borderId="0" xfId="0" applyFill="1"/>
    <xf numFmtId="0" fontId="0" fillId="62" borderId="0" xfId="0" applyFill="1"/>
    <xf numFmtId="0" fontId="0" fillId="63" borderId="0" xfId="0" applyFill="1"/>
    <xf numFmtId="0" fontId="0" fillId="64" borderId="0" xfId="0" applyFill="1"/>
    <xf numFmtId="0" fontId="0" fillId="65" borderId="0" xfId="0" applyFill="1"/>
    <xf numFmtId="0" fontId="0" fillId="66" borderId="0" xfId="0" applyFill="1"/>
    <xf numFmtId="0" fontId="0" fillId="67" borderId="0" xfId="0" applyFill="1"/>
    <xf numFmtId="0" fontId="0" fillId="68" borderId="0" xfId="0" applyFill="1"/>
    <xf numFmtId="0" fontId="0" fillId="69" borderId="0" xfId="0" applyFill="1"/>
    <xf numFmtId="0" fontId="0" fillId="70" borderId="0" xfId="0" applyFill="1"/>
    <xf numFmtId="0" fontId="0" fillId="71" borderId="0" xfId="0" applyFill="1"/>
    <xf numFmtId="0" fontId="0" fillId="72" borderId="0" xfId="0" applyFill="1"/>
    <xf numFmtId="0" fontId="0" fillId="73" borderId="0" xfId="0" applyFill="1"/>
    <xf numFmtId="0" fontId="0" fillId="74" borderId="0" xfId="0" applyFill="1"/>
    <xf numFmtId="0" fontId="0" fillId="75" borderId="0" xfId="0" applyFill="1"/>
    <xf numFmtId="0" fontId="0" fillId="76" borderId="0" xfId="0" applyFill="1"/>
    <xf numFmtId="0" fontId="0" fillId="77" borderId="0" xfId="0" applyFill="1"/>
    <xf numFmtId="0" fontId="0" fillId="78" borderId="0" xfId="0" applyFill="1"/>
    <xf numFmtId="0" fontId="0" fillId="79" borderId="0" xfId="0" applyFill="1"/>
    <xf numFmtId="0" fontId="0" fillId="80" borderId="0" xfId="0" applyFill="1"/>
    <xf numFmtId="0" fontId="0" fillId="81" borderId="0" xfId="0" applyFill="1"/>
    <xf numFmtId="0" fontId="0" fillId="82" borderId="0" xfId="0" applyFill="1"/>
    <xf numFmtId="0" fontId="0" fillId="83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3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555.664062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55" t="s">
        <v>164</v>
      </c>
    </row>
    <row r="6" spans="2:4" ht="14" thickBot="1" x14ac:dyDescent="0.2">
      <c r="B6" s="39" t="s">
        <v>141</v>
      </c>
    </row>
    <row r="7" spans="2:4" x14ac:dyDescent="0.15">
      <c r="B7" s="55" t="s">
        <v>143</v>
      </c>
    </row>
    <row r="8" spans="2:4" x14ac:dyDescent="0.15">
      <c r="B8" s="55" t="s">
        <v>142</v>
      </c>
    </row>
    <row r="9" spans="2:4" x14ac:dyDescent="0.15">
      <c r="B9" s="55" t="s">
        <v>144</v>
      </c>
    </row>
    <row r="10" spans="2:4" x14ac:dyDescent="0.15">
      <c r="B10" s="55" t="s">
        <v>147</v>
      </c>
    </row>
    <row r="11" spans="2:4" x14ac:dyDescent="0.15">
      <c r="B11" s="55" t="s">
        <v>151</v>
      </c>
    </row>
    <row r="12" spans="2:4" x14ac:dyDescent="0.15">
      <c r="B12" s="55" t="s">
        <v>153</v>
      </c>
    </row>
    <row r="13" spans="2:4" x14ac:dyDescent="0.15">
      <c r="B13" s="55" t="s">
        <v>165</v>
      </c>
    </row>
    <row r="15" spans="2:4" ht="14" thickBot="1" x14ac:dyDescent="0.2"/>
    <row r="16" spans="2:4" ht="14" thickBot="1" x14ac:dyDescent="0.2">
      <c r="B16" s="40" t="s">
        <v>137</v>
      </c>
      <c r="C16" s="41"/>
      <c r="D16" s="23">
        <v>41373</v>
      </c>
    </row>
    <row r="17" spans="2:4" x14ac:dyDescent="0.15">
      <c r="B17" s="42" t="s">
        <v>58</v>
      </c>
      <c r="C17" s="26">
        <v>0</v>
      </c>
    </row>
    <row r="18" spans="2:4" x14ac:dyDescent="0.15">
      <c r="B18" s="42" t="s">
        <v>59</v>
      </c>
      <c r="C18" s="26">
        <v>1</v>
      </c>
    </row>
    <row r="19" spans="2:4" x14ac:dyDescent="0.15">
      <c r="B19" s="42" t="s">
        <v>60</v>
      </c>
      <c r="C19" s="26">
        <v>2</v>
      </c>
    </row>
    <row r="20" spans="2:4" ht="14" thickBot="1" x14ac:dyDescent="0.2">
      <c r="B20" s="43" t="s">
        <v>44</v>
      </c>
      <c r="C20" s="27">
        <v>3</v>
      </c>
    </row>
    <row r="21" spans="2:4" x14ac:dyDescent="0.15">
      <c r="B21" s="44" t="s">
        <v>140</v>
      </c>
    </row>
    <row r="22" spans="2:4" ht="14" thickBot="1" x14ac:dyDescent="0.2"/>
    <row r="23" spans="2:4" ht="14" thickBot="1" x14ac:dyDescent="0.2">
      <c r="B23" s="40" t="s">
        <v>65</v>
      </c>
      <c r="C23" s="41"/>
      <c r="D23" s="23" t="s">
        <v>148</v>
      </c>
    </row>
    <row r="24" spans="2:4" x14ac:dyDescent="0.15">
      <c r="B24" s="46" t="s">
        <v>38</v>
      </c>
      <c r="C24" s="24">
        <v>1</v>
      </c>
    </row>
    <row r="25" spans="2:4" x14ac:dyDescent="0.15">
      <c r="B25" s="42" t="s">
        <v>40</v>
      </c>
      <c r="C25" s="26">
        <v>1.1000000000000001</v>
      </c>
    </row>
    <row r="26" spans="2:4" x14ac:dyDescent="0.15">
      <c r="B26" s="42" t="s">
        <v>41</v>
      </c>
      <c r="C26" s="26">
        <v>1.2</v>
      </c>
    </row>
    <row r="27" spans="2:4" x14ac:dyDescent="0.15">
      <c r="B27" s="42"/>
      <c r="C27" s="26"/>
    </row>
    <row r="28" spans="2:4" x14ac:dyDescent="0.15">
      <c r="B28" s="42" t="s">
        <v>42</v>
      </c>
      <c r="C28" s="26">
        <v>2.1</v>
      </c>
    </row>
    <row r="29" spans="2:4" x14ac:dyDescent="0.15">
      <c r="B29" s="42" t="s">
        <v>43</v>
      </c>
      <c r="C29" s="26">
        <v>2.2000000000000002</v>
      </c>
    </row>
    <row r="30" spans="2:4" x14ac:dyDescent="0.15">
      <c r="B30" s="42" t="s">
        <v>67</v>
      </c>
      <c r="C30" s="26">
        <v>2.2999999999999998</v>
      </c>
    </row>
    <row r="31" spans="2:4" x14ac:dyDescent="0.15">
      <c r="B31" s="42"/>
      <c r="C31" s="26"/>
    </row>
    <row r="32" spans="2:4" x14ac:dyDescent="0.15">
      <c r="B32" s="42" t="s">
        <v>62</v>
      </c>
      <c r="C32" s="26">
        <v>3.11</v>
      </c>
    </row>
    <row r="33" spans="2:3" x14ac:dyDescent="0.15">
      <c r="B33" s="42" t="s">
        <v>61</v>
      </c>
      <c r="C33" s="26">
        <v>3.12</v>
      </c>
    </row>
    <row r="34" spans="2:3" x14ac:dyDescent="0.15">
      <c r="B34" s="42" t="s">
        <v>68</v>
      </c>
      <c r="C34" s="26">
        <v>3.13</v>
      </c>
    </row>
    <row r="35" spans="2:3" x14ac:dyDescent="0.15">
      <c r="B35" s="42"/>
      <c r="C35" s="26"/>
    </row>
    <row r="36" spans="2:3" x14ac:dyDescent="0.15">
      <c r="B36" s="42" t="s">
        <v>66</v>
      </c>
      <c r="C36" s="26">
        <v>3.21</v>
      </c>
    </row>
    <row r="37" spans="2:3" x14ac:dyDescent="0.15">
      <c r="B37" s="42" t="s">
        <v>63</v>
      </c>
      <c r="C37" s="26">
        <v>3.22</v>
      </c>
    </row>
    <row r="38" spans="2:3" x14ac:dyDescent="0.15">
      <c r="B38" s="42" t="s">
        <v>69</v>
      </c>
      <c r="C38" s="26">
        <v>3.23</v>
      </c>
    </row>
    <row r="39" spans="2:3" x14ac:dyDescent="0.15">
      <c r="B39" s="42"/>
      <c r="C39" s="26"/>
    </row>
    <row r="40" spans="2:3" x14ac:dyDescent="0.15">
      <c r="B40" s="42" t="s">
        <v>64</v>
      </c>
      <c r="C40" s="26">
        <v>8</v>
      </c>
    </row>
    <row r="41" spans="2:3" x14ac:dyDescent="0.15">
      <c r="B41" s="42"/>
      <c r="C41" s="26"/>
    </row>
    <row r="42" spans="2:3" x14ac:dyDescent="0.15">
      <c r="B42" s="42" t="s">
        <v>71</v>
      </c>
      <c r="C42" s="26">
        <v>4.0999999999999996</v>
      </c>
    </row>
    <row r="43" spans="2:3" x14ac:dyDescent="0.15">
      <c r="B43" s="42" t="s">
        <v>70</v>
      </c>
      <c r="C43" s="26">
        <v>4.2</v>
      </c>
    </row>
    <row r="44" spans="2:3" x14ac:dyDescent="0.15">
      <c r="B44" s="42" t="s">
        <v>72</v>
      </c>
      <c r="C44" s="26">
        <v>4.3</v>
      </c>
    </row>
    <row r="45" spans="2:3" x14ac:dyDescent="0.15">
      <c r="B45" s="25"/>
      <c r="C45" s="26"/>
    </row>
    <row r="46" spans="2:3" x14ac:dyDescent="0.15">
      <c r="B46" s="42" t="s">
        <v>138</v>
      </c>
      <c r="C46" s="26">
        <v>6.1</v>
      </c>
    </row>
    <row r="47" spans="2:3" x14ac:dyDescent="0.15">
      <c r="B47" s="42" t="s">
        <v>45</v>
      </c>
      <c r="C47" s="26">
        <v>6.2</v>
      </c>
    </row>
    <row r="48" spans="2:3" x14ac:dyDescent="0.15">
      <c r="B48" s="42"/>
      <c r="C48" s="26"/>
    </row>
    <row r="49" spans="2:4" x14ac:dyDescent="0.15">
      <c r="B49" s="42" t="s">
        <v>44</v>
      </c>
      <c r="C49" s="26">
        <v>5</v>
      </c>
    </row>
    <row r="50" spans="2:4" x14ac:dyDescent="0.15">
      <c r="B50" s="42"/>
      <c r="C50" s="26"/>
    </row>
    <row r="51" spans="2:4" ht="14" thickBot="1" x14ac:dyDescent="0.2">
      <c r="B51" s="43" t="s">
        <v>73</v>
      </c>
      <c r="C51" s="27">
        <v>7</v>
      </c>
    </row>
    <row r="53" spans="2:4" x14ac:dyDescent="0.15">
      <c r="B53" s="151" t="s">
        <v>171</v>
      </c>
      <c r="C53" s="96">
        <v>172</v>
      </c>
      <c r="D53" s="96"/>
    </row>
    <row r="54" spans="2:4" x14ac:dyDescent="0.15">
      <c r="B54" s="151" t="s">
        <v>172</v>
      </c>
      <c r="C54" s="151" t="s">
        <v>185</v>
      </c>
      <c r="D54" s="96"/>
    </row>
    <row r="55" spans="2:4" x14ac:dyDescent="0.15">
      <c r="B55" s="151" t="s">
        <v>173</v>
      </c>
      <c r="C55" s="151" t="s">
        <v>186</v>
      </c>
      <c r="D55" s="96"/>
    </row>
    <row r="56" spans="2:4" x14ac:dyDescent="0.15">
      <c r="B56" s="151" t="s">
        <v>174</v>
      </c>
      <c r="C56" s="96">
        <v>11000</v>
      </c>
      <c r="D56" s="96"/>
    </row>
    <row r="57" spans="2:4" x14ac:dyDescent="0.15">
      <c r="B57" s="151" t="s">
        <v>175</v>
      </c>
      <c r="C57" s="151" t="s">
        <v>187</v>
      </c>
      <c r="D57" s="96"/>
    </row>
    <row r="58" spans="2:4" x14ac:dyDescent="0.15">
      <c r="B58" s="151" t="s">
        <v>176</v>
      </c>
      <c r="C58" s="151" t="s">
        <v>188</v>
      </c>
      <c r="D58" s="96"/>
    </row>
    <row r="59" spans="2:4" x14ac:dyDescent="0.15">
      <c r="B59" s="151" t="s">
        <v>177</v>
      </c>
      <c r="C59" s="151" t="s">
        <v>189</v>
      </c>
      <c r="D59" s="96"/>
    </row>
    <row r="60" spans="2:4" x14ac:dyDescent="0.15">
      <c r="B60" s="151" t="s">
        <v>178</v>
      </c>
      <c r="C60" s="151" t="s">
        <v>190</v>
      </c>
      <c r="D60" s="96"/>
    </row>
    <row r="61" spans="2:4" x14ac:dyDescent="0.15">
      <c r="B61" s="151" t="s">
        <v>179</v>
      </c>
      <c r="C61" s="96">
        <v>15</v>
      </c>
      <c r="D61" s="96"/>
    </row>
    <row r="62" spans="2:4" x14ac:dyDescent="0.15">
      <c r="B62" s="151" t="s">
        <v>180</v>
      </c>
      <c r="C62" s="96">
        <v>3</v>
      </c>
      <c r="D62" s="96"/>
    </row>
    <row r="63" spans="2:4" x14ac:dyDescent="0.15">
      <c r="B63" s="151" t="s">
        <v>181</v>
      </c>
      <c r="C63" s="96">
        <v>1950</v>
      </c>
      <c r="D63" s="96"/>
    </row>
    <row r="64" spans="2:4" x14ac:dyDescent="0.15">
      <c r="B64" s="151" t="s">
        <v>182</v>
      </c>
      <c r="C64" s="96">
        <v>0</v>
      </c>
      <c r="D64" s="96"/>
    </row>
    <row r="65" spans="2:4" x14ac:dyDescent="0.15">
      <c r="B65" s="151" t="s">
        <v>183</v>
      </c>
      <c r="C65" s="151" t="s">
        <v>191</v>
      </c>
      <c r="D65" s="96"/>
    </row>
    <row r="66" spans="2:4" x14ac:dyDescent="0.15">
      <c r="B66" s="151" t="s">
        <v>184</v>
      </c>
      <c r="D66" s="96"/>
    </row>
    <row r="67" spans="2:4" x14ac:dyDescent="0.15">
      <c r="B67" s="96"/>
      <c r="C67" s="96"/>
      <c r="D67" s="96"/>
    </row>
    <row r="68" spans="2:4" x14ac:dyDescent="0.15">
      <c r="B68" s="96"/>
      <c r="C68" s="96"/>
      <c r="D68" s="96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Q4" sqref="Q4"/>
    </sheetView>
  </sheetViews>
  <sheetFormatPr baseColWidth="10" defaultColWidth="8.83203125" defaultRowHeight="15" customHeight="1" x14ac:dyDescent="0.15"/>
  <cols>
    <col min="1" max="1" width="22.5" style="70" customWidth="1"/>
    <col min="2" max="3" width="3.33203125" style="70" customWidth="1"/>
    <col min="4" max="4" width="14.33203125" style="70" customWidth="1"/>
    <col min="5" max="5" width="21.6640625" style="70" bestFit="1" customWidth="1"/>
    <col min="6" max="6" width="2.33203125" style="70" bestFit="1" customWidth="1"/>
    <col min="7" max="7" width="11.83203125" style="70" bestFit="1" customWidth="1"/>
    <col min="8" max="8" width="4.83203125" style="70" customWidth="1"/>
    <col min="9" max="9" width="8.83203125" style="70" customWidth="1"/>
    <col min="10" max="10" width="11.83203125" style="70" customWidth="1"/>
    <col min="11" max="11" width="12.83203125" style="70" customWidth="1"/>
    <col min="12" max="12" width="11.5" style="70" customWidth="1"/>
    <col min="13" max="13" width="3.83203125" style="70" customWidth="1"/>
    <col min="14" max="14" width="2.33203125" style="70" customWidth="1"/>
    <col min="16" max="25" width="8.83203125" style="70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70"/>
  </cols>
  <sheetData>
    <row r="1" spans="1:46" s="87" customFormat="1" ht="15" customHeight="1" x14ac:dyDescent="0.15">
      <c r="A1" s="66" t="s">
        <v>18</v>
      </c>
      <c r="C1" s="67" t="s">
        <v>8</v>
      </c>
      <c r="D1" s="66" t="s">
        <v>23</v>
      </c>
      <c r="E1" s="66" t="s">
        <v>0</v>
      </c>
      <c r="F1" s="66" t="s">
        <v>7</v>
      </c>
      <c r="G1" s="68" t="s">
        <v>13</v>
      </c>
      <c r="H1" s="66" t="s">
        <v>1</v>
      </c>
      <c r="I1" s="66" t="s">
        <v>2</v>
      </c>
      <c r="J1" s="66" t="s">
        <v>14</v>
      </c>
      <c r="K1" s="66" t="s">
        <v>3</v>
      </c>
      <c r="L1" s="66" t="s">
        <v>4</v>
      </c>
      <c r="M1" s="66" t="s">
        <v>5</v>
      </c>
      <c r="N1" s="66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87">
        <v>1</v>
      </c>
      <c r="D2"/>
      <c r="E2" s="152" t="s">
        <v>192</v>
      </c>
      <c r="F2" s="70">
        <v>0</v>
      </c>
      <c r="G2" s="70">
        <v>0.6</v>
      </c>
      <c r="H2" s="70">
        <v>0.18</v>
      </c>
      <c r="I2" s="6">
        <v>3.3</v>
      </c>
      <c r="J2" s="6">
        <v>0.331018478</v>
      </c>
      <c r="K2" s="6">
        <v>5.4545459999999997E-2</v>
      </c>
      <c r="L2" s="6">
        <v>0</v>
      </c>
      <c r="M2" s="70">
        <v>0.2</v>
      </c>
      <c r="N2" s="70">
        <v>0</v>
      </c>
    </row>
    <row r="3" spans="1:46" ht="15" customHeight="1" x14ac:dyDescent="0.15">
      <c r="A3" s="1" t="s">
        <v>9</v>
      </c>
      <c r="B3" s="4">
        <v>14</v>
      </c>
      <c r="C3" s="70">
        <v>2</v>
      </c>
      <c r="D3"/>
      <c r="E3" s="152" t="s">
        <v>193</v>
      </c>
      <c r="F3" s="70">
        <v>0</v>
      </c>
      <c r="G3" s="70">
        <v>0.15</v>
      </c>
      <c r="H3" s="70">
        <v>0.48</v>
      </c>
      <c r="I3" s="70">
        <v>3.8</v>
      </c>
      <c r="J3" s="70">
        <v>0.63583330000000005</v>
      </c>
      <c r="K3" s="70">
        <v>0.12631578700000001</v>
      </c>
      <c r="L3" s="70">
        <v>0</v>
      </c>
      <c r="M3" s="70">
        <v>0.2</v>
      </c>
      <c r="N3" s="70">
        <v>0</v>
      </c>
    </row>
    <row r="4" spans="1:46" ht="15" customHeight="1" x14ac:dyDescent="0.15">
      <c r="A4" s="1" t="s">
        <v>10</v>
      </c>
      <c r="B4" s="4">
        <v>2</v>
      </c>
      <c r="C4" s="70">
        <v>3</v>
      </c>
      <c r="D4"/>
      <c r="E4" s="152" t="s">
        <v>194</v>
      </c>
      <c r="F4" s="70">
        <v>0</v>
      </c>
      <c r="G4" s="70">
        <v>1.1339999999999999</v>
      </c>
      <c r="H4" s="70">
        <v>0.04</v>
      </c>
      <c r="I4" s="70">
        <v>1.8</v>
      </c>
      <c r="J4" s="70">
        <v>0.59479720000000003</v>
      </c>
      <c r="K4" s="70">
        <v>2.22222228E-2</v>
      </c>
      <c r="L4" s="70">
        <v>0</v>
      </c>
      <c r="M4" s="70">
        <v>0.2</v>
      </c>
      <c r="N4" s="70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3</v>
      </c>
      <c r="C5" s="70">
        <v>4</v>
      </c>
      <c r="D5"/>
      <c r="E5" s="152" t="s">
        <v>195</v>
      </c>
      <c r="F5" s="70">
        <v>0</v>
      </c>
      <c r="G5" s="70">
        <v>0.91900000000000004</v>
      </c>
      <c r="H5" s="70">
        <v>0.6</v>
      </c>
      <c r="I5" s="70">
        <v>2.4</v>
      </c>
      <c r="J5" s="70">
        <v>0.2430562</v>
      </c>
      <c r="K5" s="70">
        <v>0.25</v>
      </c>
      <c r="L5" s="70">
        <v>0</v>
      </c>
      <c r="M5" s="70">
        <v>0.2</v>
      </c>
      <c r="N5" s="70">
        <v>0</v>
      </c>
      <c r="P5" s="61"/>
      <c r="Q5" s="61"/>
      <c r="R5" s="61"/>
    </row>
    <row r="6" spans="1:46" ht="15" customHeight="1" thickBot="1" x14ac:dyDescent="0.2">
      <c r="B6" s="1"/>
      <c r="C6" s="70">
        <v>5</v>
      </c>
      <c r="D6"/>
      <c r="E6" s="152" t="s">
        <v>196</v>
      </c>
      <c r="F6" s="70">
        <v>0</v>
      </c>
      <c r="G6" s="70">
        <v>0.14899999999999999</v>
      </c>
      <c r="H6" s="70">
        <v>1.6</v>
      </c>
      <c r="I6" s="70">
        <v>5.3333329999999997</v>
      </c>
      <c r="J6" s="70">
        <v>0.29025167200000002</v>
      </c>
      <c r="K6" s="70">
        <v>0.3</v>
      </c>
      <c r="L6" s="70">
        <v>0</v>
      </c>
      <c r="M6" s="70">
        <v>0.2</v>
      </c>
      <c r="N6" s="70">
        <v>0</v>
      </c>
      <c r="P6" s="61"/>
      <c r="Q6" s="61"/>
      <c r="R6" s="61"/>
      <c r="W6" s="29" t="s">
        <v>31</v>
      </c>
      <c r="X6" s="45">
        <f>MAX(MainOutputs!G:G)</f>
        <v>0.98545223474502563</v>
      </c>
    </row>
    <row r="7" spans="1:46" ht="15" customHeight="1" x14ac:dyDescent="0.15">
      <c r="A7" s="2" t="s">
        <v>27</v>
      </c>
      <c r="B7" s="70">
        <f ca="1">COUNTIF(OFFSET(cornerDiets,1,1,NumLiving+NumDead+1,NumLiving+NumDead),"&gt;0")+NumLiving+NumDead+1</f>
        <v>89</v>
      </c>
      <c r="C7" s="70">
        <v>6</v>
      </c>
      <c r="D7"/>
      <c r="E7" s="152" t="s">
        <v>197</v>
      </c>
      <c r="F7" s="70">
        <v>0</v>
      </c>
      <c r="G7" s="70">
        <v>8.5</v>
      </c>
      <c r="H7" s="70">
        <v>0.52</v>
      </c>
      <c r="I7" s="70">
        <v>2.5</v>
      </c>
      <c r="J7" s="70">
        <v>0.9854678</v>
      </c>
      <c r="K7" s="70">
        <v>0.207999989</v>
      </c>
      <c r="L7" s="70">
        <v>0</v>
      </c>
      <c r="M7" s="70">
        <v>0.2</v>
      </c>
      <c r="N7" s="70">
        <v>0</v>
      </c>
      <c r="P7" s="61"/>
      <c r="Q7" s="61"/>
      <c r="R7" s="61"/>
    </row>
    <row r="8" spans="1:46" ht="15" customHeight="1" x14ac:dyDescent="0.15">
      <c r="A8" s="2" t="s">
        <v>28</v>
      </c>
      <c r="B8" s="70">
        <f ca="1">COUNTIF(OFFSET(cornerFishing,1,2,NumLiving+NumDead,NumGears),"&gt;0")+NumDead*COUNTIF(OFFSET(cornerDiscards,1,2,NumLiving+NumDead,NumGears),"&gt;0")+NumLiving+NumDead+1</f>
        <v>33</v>
      </c>
      <c r="C8" s="70">
        <v>7</v>
      </c>
      <c r="D8"/>
      <c r="E8" s="152" t="s">
        <v>198</v>
      </c>
      <c r="F8" s="70">
        <v>0</v>
      </c>
      <c r="G8" s="70">
        <v>6.1</v>
      </c>
      <c r="H8" s="70">
        <v>0.67</v>
      </c>
      <c r="I8" s="70">
        <v>4</v>
      </c>
      <c r="J8" s="70">
        <v>0.79386239999999997</v>
      </c>
      <c r="K8" s="70">
        <v>0.16750000000000001</v>
      </c>
      <c r="L8" s="70">
        <v>0</v>
      </c>
      <c r="M8" s="70">
        <v>0.2</v>
      </c>
      <c r="N8" s="70">
        <v>0</v>
      </c>
      <c r="P8" s="61"/>
      <c r="Q8" s="61"/>
      <c r="R8" s="61"/>
    </row>
    <row r="9" spans="1:46" ht="15" customHeight="1" x14ac:dyDescent="0.15">
      <c r="B9" s="1"/>
      <c r="C9" s="70">
        <v>8</v>
      </c>
      <c r="D9"/>
      <c r="E9" s="152" t="s">
        <v>199</v>
      </c>
      <c r="F9" s="70">
        <v>0</v>
      </c>
      <c r="G9" s="70">
        <v>3.6219999999999999</v>
      </c>
      <c r="H9" s="70">
        <v>1.23</v>
      </c>
      <c r="I9" s="70">
        <v>11.06</v>
      </c>
      <c r="J9" s="70">
        <v>0.42973062400000001</v>
      </c>
      <c r="K9" s="70">
        <v>0.111211568</v>
      </c>
      <c r="L9" s="70">
        <v>0</v>
      </c>
      <c r="M9" s="70">
        <v>0.2</v>
      </c>
      <c r="N9" s="70">
        <v>0</v>
      </c>
      <c r="P9" s="61"/>
      <c r="Q9" s="61"/>
      <c r="R9" s="61"/>
    </row>
    <row r="10" spans="1:46" ht="15" customHeight="1" x14ac:dyDescent="0.15">
      <c r="B10" s="1"/>
      <c r="C10" s="70">
        <v>9</v>
      </c>
      <c r="D10"/>
      <c r="E10" s="152" t="s">
        <v>200</v>
      </c>
      <c r="F10" s="70">
        <v>0</v>
      </c>
      <c r="G10" s="70">
        <v>0.21080532699999999</v>
      </c>
      <c r="H10" s="70">
        <v>0.47</v>
      </c>
      <c r="I10" s="70">
        <v>4.3</v>
      </c>
      <c r="J10" s="70">
        <v>0.8</v>
      </c>
      <c r="K10" s="70">
        <v>0.10930231999999999</v>
      </c>
      <c r="L10" s="70">
        <v>-4.7437130000000001E-2</v>
      </c>
      <c r="M10" s="70">
        <v>0.2</v>
      </c>
      <c r="N10" s="70">
        <v>0</v>
      </c>
    </row>
    <row r="11" spans="1:46" ht="15" customHeight="1" x14ac:dyDescent="0.15">
      <c r="C11" s="70">
        <v>10</v>
      </c>
      <c r="D11"/>
      <c r="E11" s="152" t="s">
        <v>201</v>
      </c>
      <c r="F11" s="70">
        <v>0</v>
      </c>
      <c r="G11" s="70">
        <v>18.610477400000001</v>
      </c>
      <c r="H11" s="70">
        <v>7.9</v>
      </c>
      <c r="I11" s="70">
        <v>65</v>
      </c>
      <c r="J11" s="70">
        <v>0.6</v>
      </c>
      <c r="K11" s="70">
        <v>0.12153846</v>
      </c>
      <c r="L11" s="70">
        <v>0</v>
      </c>
      <c r="M11" s="70">
        <v>0.3</v>
      </c>
      <c r="N11" s="70">
        <v>0</v>
      </c>
    </row>
    <row r="12" spans="1:46" ht="15" customHeight="1" x14ac:dyDescent="0.15">
      <c r="C12" s="70">
        <v>11</v>
      </c>
      <c r="D12"/>
      <c r="E12" s="152" t="s">
        <v>202</v>
      </c>
      <c r="F12" s="70">
        <v>0</v>
      </c>
      <c r="G12" s="70">
        <v>0.38807088099999998</v>
      </c>
      <c r="H12" s="70">
        <v>0.6</v>
      </c>
      <c r="I12" s="70">
        <v>12</v>
      </c>
      <c r="J12" s="70">
        <v>0.95</v>
      </c>
      <c r="K12" s="70">
        <v>0.05</v>
      </c>
      <c r="L12" s="70">
        <v>0</v>
      </c>
      <c r="M12" s="70">
        <v>0.2</v>
      </c>
      <c r="N12" s="70">
        <v>0</v>
      </c>
    </row>
    <row r="13" spans="1:46" ht="15" customHeight="1" x14ac:dyDescent="0.15">
      <c r="C13" s="70">
        <v>12</v>
      </c>
      <c r="D13"/>
      <c r="E13" s="152" t="s">
        <v>203</v>
      </c>
      <c r="F13" s="70">
        <v>0</v>
      </c>
      <c r="G13" s="70">
        <v>10.628761300000001</v>
      </c>
      <c r="H13" s="70">
        <v>27</v>
      </c>
      <c r="I13" s="70">
        <v>60</v>
      </c>
      <c r="J13" s="70">
        <v>0.95</v>
      </c>
      <c r="K13" s="70">
        <v>0.45</v>
      </c>
      <c r="L13" s="70">
        <v>0</v>
      </c>
      <c r="M13" s="70">
        <v>0.4</v>
      </c>
      <c r="N13" s="70">
        <v>0</v>
      </c>
    </row>
    <row r="14" spans="1:46" ht="15" customHeight="1" x14ac:dyDescent="0.15">
      <c r="C14" s="70">
        <v>13</v>
      </c>
      <c r="D14"/>
      <c r="E14" s="152" t="s">
        <v>204</v>
      </c>
      <c r="F14" s="70">
        <v>0</v>
      </c>
      <c r="G14" s="70">
        <v>15.729609999999999</v>
      </c>
      <c r="H14" s="70">
        <v>40</v>
      </c>
      <c r="I14" s="70">
        <v>183.3</v>
      </c>
      <c r="J14" s="70">
        <v>0.95</v>
      </c>
      <c r="K14" s="70">
        <v>0.21822148599999999</v>
      </c>
      <c r="L14" s="70">
        <v>0</v>
      </c>
      <c r="M14" s="70">
        <v>0.4</v>
      </c>
      <c r="N14" s="70">
        <v>0</v>
      </c>
    </row>
    <row r="15" spans="1:46" ht="15" customHeight="1" x14ac:dyDescent="0.15">
      <c r="C15" s="70">
        <v>14</v>
      </c>
      <c r="D15"/>
      <c r="E15" s="152" t="s">
        <v>205</v>
      </c>
      <c r="F15" s="70">
        <v>1</v>
      </c>
      <c r="G15" s="70">
        <v>35.783966100000001</v>
      </c>
      <c r="H15" s="70">
        <v>123</v>
      </c>
      <c r="I15" s="70">
        <v>0</v>
      </c>
      <c r="J15" s="70">
        <v>0.8</v>
      </c>
      <c r="K15" s="70">
        <v>0</v>
      </c>
      <c r="L15" s="70">
        <v>0</v>
      </c>
      <c r="M15" s="70">
        <v>0</v>
      </c>
      <c r="N15" s="70">
        <v>0</v>
      </c>
    </row>
    <row r="16" spans="1:46" ht="15" customHeight="1" x14ac:dyDescent="0.15">
      <c r="C16" s="70">
        <v>15</v>
      </c>
      <c r="D16"/>
      <c r="E16" s="152" t="s">
        <v>206</v>
      </c>
      <c r="F16" s="70">
        <v>2</v>
      </c>
      <c r="G16" s="70">
        <v>0</v>
      </c>
      <c r="H16" s="70">
        <v>0</v>
      </c>
      <c r="I16" s="70">
        <v>0</v>
      </c>
      <c r="J16" s="70">
        <v>0</v>
      </c>
      <c r="K16" s="70">
        <v>0</v>
      </c>
      <c r="L16" s="70">
        <v>0</v>
      </c>
      <c r="M16" s="70">
        <v>0</v>
      </c>
      <c r="N16" s="70">
        <v>0</v>
      </c>
    </row>
    <row r="17" spans="1:22" ht="15" customHeight="1" x14ac:dyDescent="0.15">
      <c r="C17" s="70">
        <v>16</v>
      </c>
      <c r="D17"/>
      <c r="E17" s="152" t="s">
        <v>207</v>
      </c>
      <c r="F17" s="70">
        <v>2</v>
      </c>
      <c r="G17" s="70">
        <v>5</v>
      </c>
      <c r="H17" s="70">
        <v>0</v>
      </c>
      <c r="I17" s="70">
        <v>0</v>
      </c>
      <c r="J17" s="70">
        <v>0</v>
      </c>
      <c r="K17" s="70">
        <v>0</v>
      </c>
      <c r="L17" s="70">
        <v>0</v>
      </c>
      <c r="M17" s="70">
        <v>0</v>
      </c>
      <c r="N17" s="70">
        <v>0</v>
      </c>
      <c r="V17" s="1" t="s">
        <v>30</v>
      </c>
    </row>
    <row r="18" spans="1:22" ht="15" customHeight="1" x14ac:dyDescent="0.15">
      <c r="C18" s="70">
        <v>17</v>
      </c>
      <c r="D18"/>
      <c r="E18" s="152" t="s">
        <v>208</v>
      </c>
      <c r="F18" s="70">
        <v>3</v>
      </c>
      <c r="G18" s="70">
        <v>0</v>
      </c>
      <c r="H18" s="70">
        <v>0</v>
      </c>
      <c r="I18" s="70">
        <v>0</v>
      </c>
      <c r="J18" s="70">
        <v>0</v>
      </c>
      <c r="K18" s="70">
        <v>0</v>
      </c>
      <c r="L18" s="70">
        <v>0</v>
      </c>
      <c r="M18" s="70">
        <v>0</v>
      </c>
      <c r="N18" s="70">
        <v>0</v>
      </c>
      <c r="V18" s="1"/>
    </row>
    <row r="19" spans="1:22" ht="15" customHeight="1" x14ac:dyDescent="0.15">
      <c r="C19" s="70">
        <v>18</v>
      </c>
      <c r="D19"/>
      <c r="E19" s="152" t="s">
        <v>209</v>
      </c>
      <c r="F19" s="70">
        <v>3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0</v>
      </c>
      <c r="N19" s="70">
        <v>0</v>
      </c>
    </row>
    <row r="20" spans="1:22" ht="15" customHeight="1" thickBot="1" x14ac:dyDescent="0.2">
      <c r="C20" s="70">
        <v>19</v>
      </c>
      <c r="D20"/>
      <c r="E20" s="152" t="s">
        <v>210</v>
      </c>
      <c r="F20" s="70">
        <v>3</v>
      </c>
      <c r="G20" s="70">
        <v>0</v>
      </c>
      <c r="H20" s="70">
        <v>0</v>
      </c>
      <c r="I20" s="70">
        <v>0</v>
      </c>
      <c r="J20" s="70">
        <v>0</v>
      </c>
      <c r="K20" s="70">
        <v>0</v>
      </c>
      <c r="L20" s="70">
        <v>0</v>
      </c>
      <c r="M20" s="70">
        <v>0</v>
      </c>
      <c r="N20" s="70">
        <v>0</v>
      </c>
    </row>
    <row r="21" spans="1:22" ht="15" customHeight="1" thickBot="1" x14ac:dyDescent="0.2">
      <c r="A21" s="40" t="s">
        <v>137</v>
      </c>
      <c r="B21" s="88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89" t="s">
        <v>58</v>
      </c>
      <c r="B22" s="90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89" t="s">
        <v>59</v>
      </c>
      <c r="B23" s="90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89" t="s">
        <v>60</v>
      </c>
      <c r="B24" s="90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91" t="s">
        <v>44</v>
      </c>
      <c r="B25" s="92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93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J26" sqref="J26"/>
    </sheetView>
  </sheetViews>
  <sheetFormatPr baseColWidth="10" defaultColWidth="8.83203125" defaultRowHeight="13" x14ac:dyDescent="0.15"/>
  <cols>
    <col min="1" max="1" width="21.6640625" style="129" bestFit="1" customWidth="1"/>
    <col min="2" max="17" width="10.83203125" style="129" customWidth="1"/>
    <col min="18" max="29" width="9" style="129" bestFit="1" customWidth="1"/>
    <col min="30" max="16384" width="8.83203125" style="129"/>
  </cols>
  <sheetData>
    <row r="1" spans="1:34" x14ac:dyDescent="0.15">
      <c r="A1" s="128" t="s">
        <v>19</v>
      </c>
      <c r="B1" s="154" t="s">
        <v>192</v>
      </c>
      <c r="C1" s="154" t="s">
        <v>193</v>
      </c>
      <c r="D1" s="154" t="s">
        <v>194</v>
      </c>
      <c r="E1" s="154" t="s">
        <v>195</v>
      </c>
      <c r="F1" s="154" t="s">
        <v>196</v>
      </c>
      <c r="G1" s="154" t="s">
        <v>197</v>
      </c>
      <c r="H1" s="154" t="s">
        <v>198</v>
      </c>
      <c r="I1" s="154" t="s">
        <v>199</v>
      </c>
      <c r="J1" s="154" t="s">
        <v>200</v>
      </c>
      <c r="K1" s="154" t="s">
        <v>201</v>
      </c>
      <c r="L1" s="154" t="s">
        <v>202</v>
      </c>
      <c r="M1" s="154" t="s">
        <v>203</v>
      </c>
      <c r="N1" s="154" t="s">
        <v>204</v>
      </c>
      <c r="O1" s="154" t="s">
        <v>205</v>
      </c>
      <c r="P1" s="154" t="s">
        <v>206</v>
      </c>
      <c r="Q1" s="154" t="s">
        <v>207</v>
      </c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53" t="s">
        <v>192</v>
      </c>
      <c r="B2" s="129">
        <v>1E-3</v>
      </c>
      <c r="C2" s="129">
        <v>0</v>
      </c>
      <c r="D2" s="129">
        <v>0</v>
      </c>
      <c r="E2" s="129">
        <v>0</v>
      </c>
      <c r="F2" s="129">
        <v>0</v>
      </c>
      <c r="G2" s="129">
        <v>0</v>
      </c>
      <c r="H2" s="129">
        <v>0</v>
      </c>
      <c r="I2" s="129">
        <v>0</v>
      </c>
      <c r="J2" s="129">
        <v>0</v>
      </c>
      <c r="K2" s="129">
        <v>0</v>
      </c>
      <c r="L2" s="129">
        <v>0</v>
      </c>
      <c r="M2" s="129">
        <v>0</v>
      </c>
      <c r="N2" s="129">
        <v>0</v>
      </c>
      <c r="O2" s="129">
        <v>0</v>
      </c>
      <c r="P2" s="129">
        <v>0</v>
      </c>
      <c r="Q2" s="129">
        <v>0</v>
      </c>
    </row>
    <row r="3" spans="1:34" customFormat="1" x14ac:dyDescent="0.15">
      <c r="A3" s="153" t="s">
        <v>193</v>
      </c>
      <c r="B3" s="129">
        <v>2E-3</v>
      </c>
      <c r="C3" s="129">
        <v>1E-3</v>
      </c>
      <c r="D3" s="129">
        <v>0</v>
      </c>
      <c r="E3" s="129">
        <v>0</v>
      </c>
      <c r="F3" s="129">
        <v>0</v>
      </c>
      <c r="G3" s="129">
        <v>9.9993877924820992E-4</v>
      </c>
      <c r="H3" s="129">
        <v>0</v>
      </c>
      <c r="I3" s="129">
        <v>0</v>
      </c>
      <c r="J3" s="129">
        <v>0</v>
      </c>
      <c r="K3" s="129">
        <v>0</v>
      </c>
      <c r="L3" s="129">
        <v>0</v>
      </c>
      <c r="M3" s="129">
        <v>0</v>
      </c>
      <c r="N3" s="129">
        <v>0</v>
      </c>
      <c r="O3" s="129">
        <v>0</v>
      </c>
      <c r="P3" s="129">
        <v>0</v>
      </c>
      <c r="Q3" s="129">
        <v>0</v>
      </c>
    </row>
    <row r="4" spans="1:34" customFormat="1" x14ac:dyDescent="0.15">
      <c r="A4" s="153" t="s">
        <v>194</v>
      </c>
      <c r="B4" s="129">
        <v>1E-3</v>
      </c>
      <c r="C4" s="129">
        <v>0</v>
      </c>
      <c r="D4" s="129">
        <v>0</v>
      </c>
      <c r="E4" s="129">
        <v>0</v>
      </c>
      <c r="F4" s="129">
        <v>0</v>
      </c>
      <c r="G4" s="129">
        <v>0</v>
      </c>
      <c r="H4" s="129">
        <v>0</v>
      </c>
      <c r="I4" s="129">
        <v>0</v>
      </c>
      <c r="J4" s="129">
        <v>0</v>
      </c>
      <c r="K4" s="129">
        <v>0</v>
      </c>
      <c r="L4" s="129">
        <v>0</v>
      </c>
      <c r="M4" s="129">
        <v>0</v>
      </c>
      <c r="N4" s="129">
        <v>0</v>
      </c>
      <c r="O4" s="129">
        <v>0</v>
      </c>
      <c r="P4" s="129">
        <v>0</v>
      </c>
      <c r="Q4" s="129">
        <v>0</v>
      </c>
    </row>
    <row r="5" spans="1:34" customFormat="1" x14ac:dyDescent="0.15">
      <c r="A5" s="153" t="s">
        <v>195</v>
      </c>
      <c r="B5" s="129">
        <v>1E-3</v>
      </c>
      <c r="C5" s="129">
        <v>0</v>
      </c>
      <c r="D5" s="129">
        <v>1E-3</v>
      </c>
      <c r="E5" s="129">
        <v>0</v>
      </c>
      <c r="F5" s="129">
        <v>0</v>
      </c>
      <c r="G5" s="129">
        <v>0</v>
      </c>
      <c r="H5" s="129">
        <v>0</v>
      </c>
      <c r="I5" s="129">
        <v>0</v>
      </c>
      <c r="J5" s="129">
        <v>0</v>
      </c>
      <c r="K5" s="129">
        <v>0</v>
      </c>
      <c r="L5" s="129">
        <v>0</v>
      </c>
      <c r="M5" s="129">
        <v>0</v>
      </c>
      <c r="N5" s="129">
        <v>0</v>
      </c>
      <c r="O5" s="129">
        <v>0</v>
      </c>
      <c r="P5" s="129">
        <v>0</v>
      </c>
      <c r="Q5" s="129">
        <v>0</v>
      </c>
    </row>
    <row r="6" spans="1:34" customFormat="1" x14ac:dyDescent="0.15">
      <c r="A6" s="153" t="s">
        <v>196</v>
      </c>
      <c r="B6" s="129">
        <v>5.0000000000000001E-3</v>
      </c>
      <c r="C6" s="129">
        <v>2E-3</v>
      </c>
      <c r="D6" s="129">
        <v>1.7000000000000001E-2</v>
      </c>
      <c r="E6" s="129">
        <v>1E-3</v>
      </c>
      <c r="F6" s="129">
        <v>0</v>
      </c>
      <c r="G6" s="129">
        <v>9.9993877924820992E-4</v>
      </c>
      <c r="H6" s="129">
        <v>0</v>
      </c>
      <c r="I6" s="129">
        <v>0</v>
      </c>
      <c r="J6" s="129">
        <v>0</v>
      </c>
      <c r="K6" s="129">
        <v>0</v>
      </c>
      <c r="L6" s="129">
        <v>0</v>
      </c>
      <c r="M6" s="129">
        <v>0</v>
      </c>
      <c r="N6" s="129">
        <v>0</v>
      </c>
      <c r="O6" s="129">
        <v>0</v>
      </c>
      <c r="P6" s="129">
        <v>0</v>
      </c>
      <c r="Q6" s="129">
        <v>0</v>
      </c>
    </row>
    <row r="7" spans="1:34" customFormat="1" x14ac:dyDescent="0.15">
      <c r="A7" s="153" t="s">
        <v>197</v>
      </c>
      <c r="B7" s="129">
        <v>0.25</v>
      </c>
      <c r="C7" s="129">
        <v>0.57999999999999996</v>
      </c>
      <c r="D7" s="129">
        <v>0.19500000000000001</v>
      </c>
      <c r="E7" s="129">
        <v>0.155</v>
      </c>
      <c r="F7" s="129">
        <v>1.6E-2</v>
      </c>
      <c r="G7" s="129">
        <v>5.3057976051945205E-2</v>
      </c>
      <c r="H7" s="129">
        <v>0</v>
      </c>
      <c r="I7" s="129">
        <v>0</v>
      </c>
      <c r="J7" s="129">
        <v>0</v>
      </c>
      <c r="K7" s="129">
        <v>0</v>
      </c>
      <c r="L7" s="129">
        <v>0</v>
      </c>
      <c r="M7" s="129">
        <v>0</v>
      </c>
      <c r="N7" s="129">
        <v>0</v>
      </c>
      <c r="O7" s="129">
        <v>0</v>
      </c>
      <c r="P7" s="129">
        <v>0</v>
      </c>
      <c r="Q7" s="129">
        <v>0</v>
      </c>
    </row>
    <row r="8" spans="1:34" customFormat="1" x14ac:dyDescent="0.15">
      <c r="A8" s="153" t="s">
        <v>198</v>
      </c>
      <c r="B8" s="129">
        <v>0.312</v>
      </c>
      <c r="C8" s="129">
        <v>5.0000000000000001E-3</v>
      </c>
      <c r="D8" s="129">
        <v>1.2999999999999999E-2</v>
      </c>
      <c r="E8" s="129">
        <v>0.2</v>
      </c>
      <c r="F8" s="129">
        <v>0</v>
      </c>
      <c r="G8" s="129">
        <v>4.9996938962410496E-3</v>
      </c>
      <c r="H8" s="129">
        <v>0</v>
      </c>
      <c r="I8" s="129">
        <v>0</v>
      </c>
      <c r="J8" s="129">
        <v>0</v>
      </c>
      <c r="K8" s="129">
        <v>0</v>
      </c>
      <c r="L8" s="129">
        <v>0</v>
      </c>
      <c r="M8" s="129">
        <v>0</v>
      </c>
      <c r="N8" s="129">
        <v>0</v>
      </c>
      <c r="O8" s="129">
        <v>0</v>
      </c>
      <c r="P8" s="129">
        <v>0</v>
      </c>
      <c r="Q8" s="129">
        <v>0</v>
      </c>
    </row>
    <row r="9" spans="1:34" customFormat="1" x14ac:dyDescent="0.15">
      <c r="A9" s="153" t="s">
        <v>199</v>
      </c>
      <c r="B9" s="129">
        <v>0.31900000000000001</v>
      </c>
      <c r="C9" s="129">
        <v>0.01</v>
      </c>
      <c r="D9" s="129">
        <v>4.8000000000000001E-2</v>
      </c>
      <c r="E9" s="129">
        <v>0.06</v>
      </c>
      <c r="F9" s="129">
        <v>0.114</v>
      </c>
      <c r="G9" s="129">
        <v>4.4997245066169443E-2</v>
      </c>
      <c r="H9" s="129">
        <v>0</v>
      </c>
      <c r="I9" s="129">
        <v>0</v>
      </c>
      <c r="J9" s="129">
        <v>0</v>
      </c>
      <c r="K9" s="129">
        <v>0</v>
      </c>
      <c r="L9" s="129">
        <v>0</v>
      </c>
      <c r="M9" s="129">
        <v>0</v>
      </c>
      <c r="N9" s="129">
        <v>0</v>
      </c>
      <c r="O9" s="129">
        <v>0</v>
      </c>
      <c r="P9" s="129">
        <v>0</v>
      </c>
      <c r="Q9" s="129">
        <v>0</v>
      </c>
    </row>
    <row r="10" spans="1:34" customFormat="1" x14ac:dyDescent="0.15">
      <c r="A10" s="153" t="s">
        <v>200</v>
      </c>
      <c r="B10" s="129">
        <v>2.1999999999999999E-2</v>
      </c>
      <c r="C10" s="129">
        <v>0</v>
      </c>
      <c r="D10" s="129">
        <v>6.0000000000000001E-3</v>
      </c>
      <c r="E10" s="129">
        <v>1E-3</v>
      </c>
      <c r="F10" s="129">
        <v>0</v>
      </c>
      <c r="G10" s="129">
        <v>9.9993877924820992E-4</v>
      </c>
      <c r="H10" s="129">
        <v>0</v>
      </c>
      <c r="I10" s="129">
        <v>0</v>
      </c>
      <c r="J10" s="129">
        <v>0</v>
      </c>
      <c r="K10" s="129">
        <v>0</v>
      </c>
      <c r="L10" s="129">
        <v>0</v>
      </c>
      <c r="M10" s="129">
        <v>0</v>
      </c>
      <c r="N10" s="129">
        <v>0</v>
      </c>
      <c r="O10" s="129">
        <v>0</v>
      </c>
      <c r="P10" s="129">
        <v>0</v>
      </c>
      <c r="Q10" s="129">
        <v>0</v>
      </c>
    </row>
    <row r="11" spans="1:34" customFormat="1" x14ac:dyDescent="0.15">
      <c r="A11" s="153" t="s">
        <v>201</v>
      </c>
      <c r="B11" s="129">
        <v>8.3000000000000004E-2</v>
      </c>
      <c r="C11" s="129">
        <v>0.39100000000000001</v>
      </c>
      <c r="D11" s="129">
        <v>0.70299999999999996</v>
      </c>
      <c r="E11" s="129">
        <v>0.53300000000000003</v>
      </c>
      <c r="F11" s="129">
        <v>0.74</v>
      </c>
      <c r="G11" s="129">
        <v>0.55096626736576371</v>
      </c>
      <c r="H11" s="129">
        <v>0.98499999999999999</v>
      </c>
      <c r="I11" s="129">
        <v>0.85</v>
      </c>
      <c r="J11" s="129">
        <v>0.30000000000000004</v>
      </c>
      <c r="K11" s="129">
        <v>1.2E-2</v>
      </c>
      <c r="L11" s="129">
        <v>0.01</v>
      </c>
      <c r="M11" s="129">
        <v>0</v>
      </c>
      <c r="N11" s="129">
        <v>0</v>
      </c>
      <c r="O11" s="129">
        <v>0</v>
      </c>
      <c r="P11" s="129">
        <v>0</v>
      </c>
      <c r="Q11" s="129">
        <v>0</v>
      </c>
    </row>
    <row r="12" spans="1:34" customFormat="1" x14ac:dyDescent="0.15">
      <c r="A12" s="153" t="s">
        <v>202</v>
      </c>
      <c r="B12" s="129">
        <v>4.0000000000000001E-3</v>
      </c>
      <c r="C12" s="129">
        <v>0.01</v>
      </c>
      <c r="D12" s="129">
        <v>1.7000000000000001E-2</v>
      </c>
      <c r="E12" s="129">
        <v>0.05</v>
      </c>
      <c r="F12" s="129">
        <v>7.4999999999999997E-2</v>
      </c>
      <c r="G12" s="129">
        <v>0</v>
      </c>
      <c r="H12" s="129">
        <v>0</v>
      </c>
      <c r="I12" s="129">
        <v>0</v>
      </c>
      <c r="J12" s="129">
        <v>0</v>
      </c>
      <c r="K12" s="129">
        <v>0</v>
      </c>
      <c r="L12" s="129">
        <v>0</v>
      </c>
      <c r="M12" s="129">
        <v>0</v>
      </c>
      <c r="N12" s="129">
        <v>0</v>
      </c>
      <c r="O12" s="129">
        <v>0</v>
      </c>
      <c r="P12" s="129">
        <v>0</v>
      </c>
      <c r="Q12" s="129">
        <v>0</v>
      </c>
    </row>
    <row r="13" spans="1:34" customFormat="1" x14ac:dyDescent="0.15">
      <c r="A13" s="153" t="s">
        <v>203</v>
      </c>
      <c r="B13" s="129">
        <v>0</v>
      </c>
      <c r="C13" s="129">
        <v>1E-3</v>
      </c>
      <c r="D13" s="129">
        <v>0</v>
      </c>
      <c r="E13" s="129">
        <v>0</v>
      </c>
      <c r="F13" s="129">
        <v>0.05</v>
      </c>
      <c r="G13" s="129">
        <v>0</v>
      </c>
      <c r="H13" s="129">
        <v>0.01</v>
      </c>
      <c r="I13" s="129">
        <v>0.05</v>
      </c>
      <c r="J13" s="129">
        <v>0.30000000000000004</v>
      </c>
      <c r="K13" s="129">
        <v>0.219</v>
      </c>
      <c r="L13" s="129">
        <v>0.01</v>
      </c>
      <c r="M13" s="129">
        <v>8.0000000000000002E-3</v>
      </c>
      <c r="N13" s="129">
        <v>0</v>
      </c>
      <c r="O13" s="129">
        <v>0</v>
      </c>
      <c r="P13" s="129">
        <v>0</v>
      </c>
      <c r="Q13" s="129">
        <v>0</v>
      </c>
    </row>
    <row r="14" spans="1:34" customFormat="1" x14ac:dyDescent="0.15">
      <c r="A14" s="153" t="s">
        <v>204</v>
      </c>
      <c r="B14" s="129">
        <v>0</v>
      </c>
      <c r="C14" s="129">
        <v>0</v>
      </c>
      <c r="D14" s="129">
        <v>0</v>
      </c>
      <c r="E14" s="129">
        <v>0</v>
      </c>
      <c r="F14" s="129">
        <v>5.0000000000000001E-3</v>
      </c>
      <c r="G14" s="129">
        <v>0</v>
      </c>
      <c r="H14" s="129">
        <v>5.0000000000000001E-3</v>
      </c>
      <c r="I14" s="129">
        <v>0.1</v>
      </c>
      <c r="J14" s="129">
        <v>0.30000000000000004</v>
      </c>
      <c r="K14" s="129">
        <v>0.28799999999999998</v>
      </c>
      <c r="L14" s="129">
        <v>0.01</v>
      </c>
      <c r="M14" s="129">
        <v>0.38400000000000001</v>
      </c>
      <c r="N14" s="129">
        <v>0</v>
      </c>
      <c r="O14" s="129">
        <v>0</v>
      </c>
      <c r="P14" s="129">
        <v>0</v>
      </c>
      <c r="Q14" s="129">
        <v>0</v>
      </c>
    </row>
    <row r="15" spans="1:34" customFormat="1" x14ac:dyDescent="0.15">
      <c r="A15" s="153" t="s">
        <v>205</v>
      </c>
      <c r="B15" s="129">
        <v>0</v>
      </c>
      <c r="C15" s="129">
        <v>0</v>
      </c>
      <c r="D15" s="129">
        <v>0</v>
      </c>
      <c r="E15" s="129">
        <v>0</v>
      </c>
      <c r="F15" s="129">
        <v>0</v>
      </c>
      <c r="G15" s="129">
        <v>0</v>
      </c>
      <c r="H15" s="129">
        <v>0</v>
      </c>
      <c r="I15" s="129">
        <v>0</v>
      </c>
      <c r="J15" s="129">
        <v>0</v>
      </c>
      <c r="K15" s="129">
        <v>0.48099999999999998</v>
      </c>
      <c r="L15" s="129">
        <v>0</v>
      </c>
      <c r="M15" s="129">
        <v>0.54</v>
      </c>
      <c r="N15" s="129">
        <v>0.9</v>
      </c>
      <c r="O15" s="129">
        <v>0</v>
      </c>
      <c r="P15" s="129">
        <v>0</v>
      </c>
      <c r="Q15" s="129">
        <v>0</v>
      </c>
    </row>
    <row r="16" spans="1:34" customFormat="1" x14ac:dyDescent="0.15">
      <c r="A16" s="153" t="s">
        <v>206</v>
      </c>
      <c r="B16" s="129">
        <v>0</v>
      </c>
      <c r="C16" s="129">
        <v>0</v>
      </c>
      <c r="D16" s="129">
        <v>0</v>
      </c>
      <c r="E16" s="129">
        <v>0</v>
      </c>
      <c r="F16" s="129">
        <v>0</v>
      </c>
      <c r="G16" s="129">
        <v>0</v>
      </c>
      <c r="H16" s="129">
        <v>0</v>
      </c>
      <c r="I16" s="129">
        <v>0</v>
      </c>
      <c r="J16" s="129">
        <v>0</v>
      </c>
      <c r="K16" s="129">
        <v>0</v>
      </c>
      <c r="L16" s="129">
        <v>0.97</v>
      </c>
      <c r="M16" s="129">
        <v>6.8000000000000005E-2</v>
      </c>
      <c r="N16" s="129">
        <v>0.1</v>
      </c>
      <c r="O16" s="129">
        <v>0</v>
      </c>
      <c r="P16" s="129">
        <v>0</v>
      </c>
      <c r="Q16" s="129">
        <v>0</v>
      </c>
    </row>
    <row r="17" spans="1:17" customFormat="1" x14ac:dyDescent="0.15">
      <c r="A17" s="153" t="s">
        <v>207</v>
      </c>
      <c r="B17" s="129">
        <v>0</v>
      </c>
      <c r="C17" s="129">
        <v>0</v>
      </c>
      <c r="D17" s="129">
        <v>0</v>
      </c>
      <c r="E17" s="129">
        <v>0</v>
      </c>
      <c r="F17" s="129">
        <v>0</v>
      </c>
      <c r="G17" s="129">
        <v>0</v>
      </c>
      <c r="H17" s="129">
        <v>0</v>
      </c>
      <c r="I17" s="129">
        <v>0</v>
      </c>
      <c r="J17" s="129">
        <v>0</v>
      </c>
      <c r="K17" s="129">
        <v>0</v>
      </c>
      <c r="L17" s="129">
        <v>0</v>
      </c>
      <c r="M17" s="129">
        <v>0</v>
      </c>
      <c r="N17" s="129">
        <v>0</v>
      </c>
      <c r="O17" s="129">
        <v>0</v>
      </c>
      <c r="P17" s="129">
        <v>0</v>
      </c>
      <c r="Q17" s="129">
        <v>0</v>
      </c>
    </row>
    <row r="18" spans="1:17" customFormat="1" x14ac:dyDescent="0.15">
      <c r="A18" s="153" t="s">
        <v>211</v>
      </c>
      <c r="B18" s="129">
        <v>0</v>
      </c>
      <c r="C18" s="129">
        <v>0</v>
      </c>
      <c r="D18" s="129">
        <v>0</v>
      </c>
      <c r="E18" s="129">
        <v>0</v>
      </c>
      <c r="F18" s="129">
        <v>0</v>
      </c>
      <c r="G18" s="129">
        <v>0.34297900128213604</v>
      </c>
      <c r="H18" s="129">
        <v>0</v>
      </c>
      <c r="I18" s="129">
        <v>0</v>
      </c>
      <c r="J18" s="129">
        <v>0.10000000000000002</v>
      </c>
      <c r="K18" s="129">
        <v>0</v>
      </c>
      <c r="L18" s="129">
        <v>0</v>
      </c>
      <c r="M18" s="129">
        <v>0</v>
      </c>
      <c r="N18" s="129">
        <v>0</v>
      </c>
      <c r="O18" s="129">
        <v>0</v>
      </c>
      <c r="P18" s="129">
        <v>0</v>
      </c>
      <c r="Q18" s="129">
        <v>0</v>
      </c>
    </row>
    <row r="19" spans="1:17" customFormat="1" x14ac:dyDescent="0.15"/>
    <row r="20" spans="1:17" customFormat="1" x14ac:dyDescent="0.15"/>
    <row r="21" spans="1:17" customFormat="1" x14ac:dyDescent="0.15"/>
    <row r="22" spans="1:17" customFormat="1" x14ac:dyDescent="0.15"/>
    <row r="23" spans="1:17" customFormat="1" x14ac:dyDescent="0.15"/>
    <row r="24" spans="1:17" customFormat="1" x14ac:dyDescent="0.15"/>
    <row r="25" spans="1:17" customFormat="1" x14ac:dyDescent="0.15"/>
    <row r="26" spans="1:17" customFormat="1" x14ac:dyDescent="0.15"/>
    <row r="27" spans="1:17" customFormat="1" x14ac:dyDescent="0.15"/>
    <row r="28" spans="1:17" customFormat="1" x14ac:dyDescent="0.15"/>
    <row r="29" spans="1:17" customFormat="1" x14ac:dyDescent="0.15"/>
    <row r="30" spans="1:17" customFormat="1" x14ac:dyDescent="0.15"/>
    <row r="31" spans="1:17" customFormat="1" x14ac:dyDescent="0.15"/>
    <row r="32" spans="1:17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E27" sqref="E27"/>
    </sheetView>
  </sheetViews>
  <sheetFormatPr baseColWidth="10" defaultColWidth="8.83203125" defaultRowHeight="13" x14ac:dyDescent="0.15"/>
  <cols>
    <col min="1" max="1" width="10.83203125" customWidth="1"/>
    <col min="2" max="2" width="21.6640625" customWidth="1"/>
    <col min="3" max="4" width="12.6640625" style="98" customWidth="1"/>
    <col min="5" max="6" width="12.6640625" style="97" customWidth="1"/>
    <col min="7" max="8" width="8.83203125" style="98"/>
  </cols>
  <sheetData>
    <row r="1" spans="1:8" ht="28" x14ac:dyDescent="0.15">
      <c r="A1" s="5" t="s">
        <v>20</v>
      </c>
      <c r="B1" s="1" t="s">
        <v>0</v>
      </c>
      <c r="C1" s="156" t="s">
        <v>206</v>
      </c>
      <c r="D1" s="156" t="s">
        <v>207</v>
      </c>
      <c r="E1" s="156" t="s">
        <v>212</v>
      </c>
      <c r="F1" s="156" t="s">
        <v>213</v>
      </c>
      <c r="G1"/>
      <c r="H1"/>
    </row>
    <row r="2" spans="1:8" x14ac:dyDescent="0.15">
      <c r="A2">
        <v>1</v>
      </c>
      <c r="B2" s="155" t="s">
        <v>192</v>
      </c>
      <c r="C2" s="98">
        <v>1</v>
      </c>
      <c r="D2" s="98">
        <v>0</v>
      </c>
      <c r="E2" s="97">
        <v>0</v>
      </c>
      <c r="F2" s="97">
        <v>1</v>
      </c>
      <c r="G2"/>
      <c r="H2"/>
    </row>
    <row r="3" spans="1:8" x14ac:dyDescent="0.15">
      <c r="A3">
        <v>2</v>
      </c>
      <c r="B3" s="155" t="s">
        <v>193</v>
      </c>
      <c r="C3" s="98">
        <v>1</v>
      </c>
      <c r="D3" s="98">
        <v>0</v>
      </c>
      <c r="E3" s="97">
        <v>0</v>
      </c>
      <c r="F3" s="97">
        <v>1</v>
      </c>
      <c r="G3"/>
      <c r="H3"/>
    </row>
    <row r="4" spans="1:8" x14ac:dyDescent="0.15">
      <c r="A4">
        <v>3</v>
      </c>
      <c r="B4" s="155" t="s">
        <v>194</v>
      </c>
      <c r="C4" s="98">
        <v>1</v>
      </c>
      <c r="D4" s="98">
        <v>0</v>
      </c>
      <c r="E4" s="97">
        <v>0</v>
      </c>
      <c r="F4" s="97">
        <v>1</v>
      </c>
      <c r="G4"/>
      <c r="H4"/>
    </row>
    <row r="5" spans="1:8" x14ac:dyDescent="0.15">
      <c r="A5">
        <v>4</v>
      </c>
      <c r="B5" s="155" t="s">
        <v>195</v>
      </c>
      <c r="C5" s="98">
        <v>1</v>
      </c>
      <c r="D5" s="98">
        <v>0</v>
      </c>
      <c r="E5" s="97">
        <v>0</v>
      </c>
      <c r="F5" s="97">
        <v>1</v>
      </c>
      <c r="G5"/>
      <c r="H5"/>
    </row>
    <row r="6" spans="1:8" x14ac:dyDescent="0.15">
      <c r="A6">
        <v>5</v>
      </c>
      <c r="B6" s="155" t="s">
        <v>196</v>
      </c>
      <c r="C6" s="98">
        <v>1</v>
      </c>
      <c r="D6" s="98">
        <v>0</v>
      </c>
      <c r="E6" s="97">
        <v>0</v>
      </c>
      <c r="F6" s="97">
        <v>1</v>
      </c>
      <c r="G6"/>
      <c r="H6"/>
    </row>
    <row r="7" spans="1:8" x14ac:dyDescent="0.15">
      <c r="A7">
        <v>6</v>
      </c>
      <c r="B7" s="155" t="s">
        <v>197</v>
      </c>
      <c r="C7" s="98">
        <v>1</v>
      </c>
      <c r="D7" s="98">
        <v>0</v>
      </c>
      <c r="E7" s="97">
        <v>0</v>
      </c>
      <c r="F7" s="97">
        <v>1</v>
      </c>
      <c r="G7"/>
      <c r="H7"/>
    </row>
    <row r="8" spans="1:8" x14ac:dyDescent="0.15">
      <c r="A8">
        <v>7</v>
      </c>
      <c r="B8" s="155" t="s">
        <v>198</v>
      </c>
      <c r="C8" s="98">
        <v>1</v>
      </c>
      <c r="D8" s="98">
        <v>0</v>
      </c>
      <c r="E8" s="97">
        <v>0</v>
      </c>
      <c r="F8" s="97">
        <v>1</v>
      </c>
      <c r="G8"/>
      <c r="H8"/>
    </row>
    <row r="9" spans="1:8" x14ac:dyDescent="0.15">
      <c r="A9">
        <v>8</v>
      </c>
      <c r="B9" s="155" t="s">
        <v>199</v>
      </c>
      <c r="C9" s="98">
        <v>1</v>
      </c>
      <c r="D9" s="98">
        <v>0</v>
      </c>
      <c r="E9" s="97">
        <v>0</v>
      </c>
      <c r="F9" s="97">
        <v>1</v>
      </c>
      <c r="G9"/>
      <c r="H9"/>
    </row>
    <row r="10" spans="1:8" x14ac:dyDescent="0.15">
      <c r="A10">
        <v>9</v>
      </c>
      <c r="B10" s="155" t="s">
        <v>200</v>
      </c>
      <c r="C10" s="98">
        <v>1</v>
      </c>
      <c r="D10" s="98">
        <v>0</v>
      </c>
      <c r="E10" s="97">
        <v>0</v>
      </c>
      <c r="F10" s="97">
        <v>1</v>
      </c>
      <c r="G10"/>
      <c r="H10"/>
    </row>
    <row r="11" spans="1:8" x14ac:dyDescent="0.15">
      <c r="A11">
        <v>10</v>
      </c>
      <c r="B11" s="155" t="s">
        <v>201</v>
      </c>
      <c r="C11" s="98">
        <v>1</v>
      </c>
      <c r="D11" s="98">
        <v>0</v>
      </c>
      <c r="E11" s="97">
        <v>0</v>
      </c>
      <c r="F11" s="97">
        <v>1</v>
      </c>
      <c r="G11"/>
      <c r="H11"/>
    </row>
    <row r="12" spans="1:8" x14ac:dyDescent="0.15">
      <c r="A12">
        <v>11</v>
      </c>
      <c r="B12" s="155" t="s">
        <v>202</v>
      </c>
      <c r="C12" s="98">
        <v>1</v>
      </c>
      <c r="D12" s="98">
        <v>0</v>
      </c>
      <c r="E12" s="97">
        <v>0</v>
      </c>
      <c r="F12" s="97">
        <v>1</v>
      </c>
      <c r="G12"/>
      <c r="H12"/>
    </row>
    <row r="13" spans="1:8" x14ac:dyDescent="0.15">
      <c r="A13">
        <v>12</v>
      </c>
      <c r="B13" s="155" t="s">
        <v>203</v>
      </c>
      <c r="C13" s="98">
        <v>1</v>
      </c>
      <c r="D13" s="98">
        <v>0</v>
      </c>
      <c r="E13" s="97">
        <v>0</v>
      </c>
      <c r="F13" s="97">
        <v>1</v>
      </c>
      <c r="G13"/>
      <c r="H13"/>
    </row>
    <row r="14" spans="1:8" x14ac:dyDescent="0.15">
      <c r="A14">
        <v>13</v>
      </c>
      <c r="B14" s="155" t="s">
        <v>204</v>
      </c>
      <c r="C14" s="98">
        <v>1</v>
      </c>
      <c r="D14" s="98">
        <v>0</v>
      </c>
      <c r="E14" s="97">
        <v>0</v>
      </c>
      <c r="F14" s="97">
        <v>1</v>
      </c>
      <c r="G14"/>
      <c r="H14"/>
    </row>
    <row r="15" spans="1:8" x14ac:dyDescent="0.15">
      <c r="A15">
        <v>14</v>
      </c>
      <c r="B15" s="155" t="s">
        <v>205</v>
      </c>
      <c r="C15" s="98">
        <v>1</v>
      </c>
      <c r="D15" s="98">
        <v>0</v>
      </c>
      <c r="E15" s="97">
        <v>0</v>
      </c>
      <c r="F15" s="97">
        <v>1</v>
      </c>
      <c r="G15"/>
      <c r="H15"/>
    </row>
    <row r="16" spans="1:8" x14ac:dyDescent="0.15">
      <c r="A16">
        <v>15</v>
      </c>
      <c r="B16" s="155" t="s">
        <v>206</v>
      </c>
      <c r="C16" s="98">
        <v>0</v>
      </c>
      <c r="D16" s="98">
        <v>1</v>
      </c>
      <c r="E16" s="97">
        <v>0</v>
      </c>
      <c r="F16" s="97">
        <v>1</v>
      </c>
      <c r="G16"/>
      <c r="H16"/>
    </row>
    <row r="17" spans="1:8" ht="15" customHeight="1" x14ac:dyDescent="0.15">
      <c r="A17">
        <v>16</v>
      </c>
      <c r="B17" s="155" t="s">
        <v>207</v>
      </c>
      <c r="C17" s="98">
        <v>0</v>
      </c>
      <c r="D17" s="98">
        <v>0</v>
      </c>
      <c r="E17" s="97">
        <v>1</v>
      </c>
      <c r="F17" s="97">
        <v>1</v>
      </c>
      <c r="G17"/>
      <c r="H17"/>
    </row>
    <row r="18" spans="1:8" ht="15" customHeight="1" x14ac:dyDescent="0.15">
      <c r="A18">
        <v>17</v>
      </c>
      <c r="B18" s="155" t="s">
        <v>208</v>
      </c>
      <c r="C18" s="98">
        <v>0</v>
      </c>
      <c r="D18" s="98">
        <v>1</v>
      </c>
      <c r="E18" s="97">
        <v>0</v>
      </c>
      <c r="F18" s="97">
        <v>1</v>
      </c>
      <c r="G18"/>
      <c r="H18"/>
    </row>
    <row r="19" spans="1:8" ht="15" customHeight="1" x14ac:dyDescent="0.15">
      <c r="A19">
        <v>18</v>
      </c>
      <c r="B19" s="155" t="s">
        <v>209</v>
      </c>
      <c r="C19" s="98">
        <v>0</v>
      </c>
      <c r="D19" s="98">
        <v>1</v>
      </c>
      <c r="E19" s="97">
        <v>0</v>
      </c>
      <c r="F19" s="97">
        <v>1</v>
      </c>
      <c r="G19"/>
      <c r="H19"/>
    </row>
    <row r="20" spans="1:8" ht="15" customHeight="1" x14ac:dyDescent="0.15">
      <c r="A20">
        <v>19</v>
      </c>
      <c r="B20" s="155" t="s">
        <v>210</v>
      </c>
      <c r="C20" s="98">
        <v>0</v>
      </c>
      <c r="D20" s="98">
        <v>1</v>
      </c>
      <c r="E20" s="97">
        <v>0</v>
      </c>
      <c r="F20" s="97">
        <v>1</v>
      </c>
      <c r="G20"/>
      <c r="H20"/>
    </row>
    <row r="21" spans="1:8" ht="15" customHeight="1" x14ac:dyDescent="0.15">
      <c r="C21"/>
      <c r="D21"/>
      <c r="E21"/>
      <c r="F21"/>
      <c r="G21"/>
      <c r="H21"/>
    </row>
    <row r="22" spans="1:8" ht="15" customHeight="1" x14ac:dyDescent="0.15">
      <c r="C22"/>
      <c r="D22"/>
      <c r="E22"/>
      <c r="F22"/>
      <c r="G22"/>
      <c r="H22"/>
    </row>
    <row r="23" spans="1:8" ht="15" customHeight="1" x14ac:dyDescent="0.15">
      <c r="C23"/>
      <c r="D23"/>
      <c r="E23"/>
      <c r="F23"/>
      <c r="G23"/>
      <c r="H23"/>
    </row>
    <row r="24" spans="1:8" ht="15" customHeight="1" x14ac:dyDescent="0.15">
      <c r="C24"/>
      <c r="D24"/>
      <c r="E24"/>
      <c r="F24"/>
      <c r="G24"/>
      <c r="H24"/>
    </row>
    <row r="25" spans="1:8" ht="15" customHeight="1" x14ac:dyDescent="0.15">
      <c r="C25"/>
      <c r="D25"/>
      <c r="E25"/>
      <c r="F25"/>
      <c r="G25"/>
      <c r="H25"/>
    </row>
    <row r="26" spans="1:8" ht="15" customHeight="1" x14ac:dyDescent="0.15">
      <c r="C26"/>
      <c r="D26"/>
      <c r="E26"/>
      <c r="F26"/>
      <c r="G26"/>
      <c r="H26"/>
    </row>
    <row r="27" spans="1:8" ht="15" customHeight="1" x14ac:dyDescent="0.15">
      <c r="C27"/>
      <c r="D27"/>
      <c r="E27"/>
      <c r="F27"/>
      <c r="G27"/>
      <c r="H27"/>
    </row>
    <row r="28" spans="1:8" ht="15" customHeight="1" x14ac:dyDescent="0.15">
      <c r="C28"/>
      <c r="D28"/>
      <c r="E28"/>
      <c r="F28"/>
      <c r="G28"/>
      <c r="H28"/>
    </row>
    <row r="29" spans="1:8" ht="15" customHeight="1" x14ac:dyDescent="0.15">
      <c r="C29"/>
      <c r="D29"/>
      <c r="E29"/>
      <c r="F29"/>
      <c r="G29"/>
      <c r="H29"/>
    </row>
    <row r="30" spans="1:8" ht="15" customHeight="1" x14ac:dyDescent="0.15">
      <c r="C30"/>
      <c r="D30"/>
      <c r="E30"/>
      <c r="F30"/>
      <c r="G30"/>
      <c r="H30"/>
    </row>
    <row r="31" spans="1:8" ht="15" customHeight="1" x14ac:dyDescent="0.15">
      <c r="C31"/>
      <c r="D31"/>
      <c r="E31"/>
      <c r="F31"/>
      <c r="G31"/>
      <c r="H31"/>
    </row>
    <row r="32" spans="1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98"/>
      <c r="F36" s="98"/>
      <c r="G36"/>
      <c r="H36"/>
    </row>
    <row r="37" spans="3:8" ht="15" customHeight="1" x14ac:dyDescent="0.15">
      <c r="C37"/>
      <c r="D37"/>
      <c r="E37" s="98"/>
      <c r="F37" s="98"/>
      <c r="G37"/>
      <c r="H37"/>
    </row>
    <row r="38" spans="3:8" ht="15" customHeight="1" x14ac:dyDescent="0.15">
      <c r="C38"/>
      <c r="D38"/>
      <c r="E38" s="98"/>
      <c r="F38" s="98"/>
      <c r="G38"/>
      <c r="H38"/>
    </row>
    <row r="39" spans="3:8" ht="15" customHeight="1" x14ac:dyDescent="0.15">
      <c r="C39"/>
      <c r="D39"/>
      <c r="E39" s="98"/>
      <c r="F39" s="98"/>
      <c r="G39"/>
      <c r="H39"/>
    </row>
    <row r="40" spans="3:8" ht="15" customHeight="1" x14ac:dyDescent="0.15">
      <c r="C40"/>
      <c r="D40"/>
      <c r="E40" s="98"/>
      <c r="F40" s="98"/>
      <c r="G40"/>
      <c r="H40"/>
    </row>
    <row r="41" spans="3:8" ht="15" customHeight="1" x14ac:dyDescent="0.15">
      <c r="C41"/>
      <c r="D41"/>
      <c r="E41" s="98"/>
      <c r="F41" s="98"/>
      <c r="G41"/>
      <c r="H41"/>
    </row>
    <row r="42" spans="3:8" ht="15" customHeight="1" x14ac:dyDescent="0.15">
      <c r="C42"/>
      <c r="D42"/>
      <c r="E42" s="98"/>
      <c r="F42" s="98"/>
      <c r="G42"/>
      <c r="H42"/>
    </row>
    <row r="43" spans="3:8" ht="15" customHeight="1" x14ac:dyDescent="0.15">
      <c r="C43"/>
      <c r="D43"/>
      <c r="E43" s="98"/>
      <c r="F43" s="98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98"/>
      <c r="F46" s="98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F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6640625" bestFit="1" customWidth="1"/>
    <col min="3" max="3" width="7.83203125" bestFit="1" customWidth="1"/>
    <col min="4" max="4" width="5.83203125" bestFit="1" customWidth="1"/>
    <col min="5" max="5" width="4.83203125" bestFit="1" customWidth="1"/>
    <col min="6" max="6" width="7.83203125" customWidth="1"/>
  </cols>
  <sheetData>
    <row r="1" spans="1:6" s="99" customFormat="1" ht="112" x14ac:dyDescent="0.15">
      <c r="A1" s="5" t="s">
        <v>21</v>
      </c>
      <c r="B1" s="3" t="s">
        <v>0</v>
      </c>
      <c r="C1" s="158" t="s">
        <v>208</v>
      </c>
      <c r="D1" s="158" t="s">
        <v>209</v>
      </c>
      <c r="E1" s="158" t="s">
        <v>210</v>
      </c>
      <c r="F1" s="158" t="s">
        <v>214</v>
      </c>
    </row>
    <row r="2" spans="1:6" ht="15" customHeight="1" x14ac:dyDescent="0.15">
      <c r="A2">
        <v>1</v>
      </c>
      <c r="B2" s="157" t="s">
        <v>192</v>
      </c>
      <c r="C2">
        <v>3.3770000000000001E-2</v>
      </c>
      <c r="D2">
        <v>0</v>
      </c>
      <c r="E2">
        <v>0</v>
      </c>
      <c r="F2">
        <v>3.3770000000000001E-2</v>
      </c>
    </row>
    <row r="3" spans="1:6" ht="15" customHeight="1" x14ac:dyDescent="0.15">
      <c r="A3">
        <v>2</v>
      </c>
      <c r="B3" s="157" t="s">
        <v>193</v>
      </c>
      <c r="C3">
        <v>0</v>
      </c>
      <c r="D3">
        <v>0</v>
      </c>
      <c r="E3">
        <v>0</v>
      </c>
      <c r="F3">
        <v>0</v>
      </c>
    </row>
    <row r="4" spans="1:6" ht="15" customHeight="1" x14ac:dyDescent="0.15">
      <c r="A4">
        <v>3</v>
      </c>
      <c r="B4" s="157" t="s">
        <v>194</v>
      </c>
      <c r="C4">
        <v>0</v>
      </c>
      <c r="D4">
        <v>0</v>
      </c>
      <c r="E4">
        <v>0</v>
      </c>
      <c r="F4">
        <v>0</v>
      </c>
    </row>
    <row r="5" spans="1:6" ht="15" customHeight="1" x14ac:dyDescent="0.15">
      <c r="A5">
        <v>4</v>
      </c>
      <c r="B5" s="157" t="s">
        <v>195</v>
      </c>
      <c r="C5">
        <v>0.13</v>
      </c>
      <c r="D5">
        <v>0</v>
      </c>
      <c r="E5">
        <v>0</v>
      </c>
      <c r="F5">
        <v>0.13</v>
      </c>
    </row>
    <row r="6" spans="1:6" ht="15" customHeight="1" x14ac:dyDescent="0.15">
      <c r="A6">
        <v>5</v>
      </c>
      <c r="B6" s="157" t="s">
        <v>196</v>
      </c>
      <c r="C6">
        <v>0</v>
      </c>
      <c r="D6">
        <v>0</v>
      </c>
      <c r="E6">
        <v>0</v>
      </c>
      <c r="F6">
        <v>0</v>
      </c>
    </row>
    <row r="7" spans="1:6" ht="15" customHeight="1" x14ac:dyDescent="0.15">
      <c r="A7">
        <v>6</v>
      </c>
      <c r="B7" s="157" t="s">
        <v>197</v>
      </c>
      <c r="C7">
        <v>0</v>
      </c>
      <c r="D7">
        <v>0</v>
      </c>
      <c r="E7">
        <v>0</v>
      </c>
      <c r="F7">
        <v>0</v>
      </c>
    </row>
    <row r="8" spans="1:6" ht="15" customHeight="1" x14ac:dyDescent="0.15">
      <c r="A8">
        <v>7</v>
      </c>
      <c r="B8" s="157" t="s">
        <v>198</v>
      </c>
      <c r="C8">
        <v>0</v>
      </c>
      <c r="D8">
        <v>0</v>
      </c>
      <c r="E8">
        <v>2.0499999999999998</v>
      </c>
      <c r="F8">
        <v>2.0499999999999998</v>
      </c>
    </row>
    <row r="9" spans="1:6" ht="15" customHeight="1" x14ac:dyDescent="0.15">
      <c r="A9">
        <v>8</v>
      </c>
      <c r="B9" s="157" t="s">
        <v>199</v>
      </c>
      <c r="C9">
        <v>0</v>
      </c>
      <c r="D9">
        <v>0</v>
      </c>
      <c r="E9">
        <v>0</v>
      </c>
      <c r="F9">
        <v>0</v>
      </c>
    </row>
    <row r="10" spans="1:6" ht="15" customHeight="1" x14ac:dyDescent="0.15">
      <c r="A10">
        <v>9</v>
      </c>
      <c r="B10" s="157" t="s">
        <v>200</v>
      </c>
      <c r="C10">
        <v>0</v>
      </c>
      <c r="D10">
        <v>0</v>
      </c>
      <c r="E10">
        <v>0</v>
      </c>
      <c r="F10">
        <v>0</v>
      </c>
    </row>
    <row r="11" spans="1:6" ht="15" customHeight="1" x14ac:dyDescent="0.15">
      <c r="A11">
        <v>10</v>
      </c>
      <c r="B11" s="157" t="s">
        <v>201</v>
      </c>
      <c r="C11">
        <v>0</v>
      </c>
      <c r="D11">
        <v>0</v>
      </c>
      <c r="E11">
        <v>0</v>
      </c>
      <c r="F11">
        <v>0</v>
      </c>
    </row>
    <row r="12" spans="1:6" ht="15" customHeight="1" x14ac:dyDescent="0.15">
      <c r="A12">
        <v>11</v>
      </c>
      <c r="B12" s="157" t="s">
        <v>202</v>
      </c>
      <c r="C12">
        <v>0</v>
      </c>
      <c r="D12">
        <v>3.0000000000000001E-3</v>
      </c>
      <c r="E12">
        <v>0</v>
      </c>
      <c r="F12">
        <v>3.0000000000000001E-3</v>
      </c>
    </row>
    <row r="13" spans="1:6" ht="15" customHeight="1" x14ac:dyDescent="0.15">
      <c r="A13">
        <v>12</v>
      </c>
      <c r="B13" s="157" t="s">
        <v>203</v>
      </c>
      <c r="C13">
        <v>0</v>
      </c>
      <c r="D13">
        <v>0</v>
      </c>
      <c r="E13">
        <v>0</v>
      </c>
      <c r="F13">
        <v>0</v>
      </c>
    </row>
    <row r="14" spans="1:6" ht="15" customHeight="1" x14ac:dyDescent="0.15">
      <c r="A14">
        <v>13</v>
      </c>
      <c r="B14" s="157" t="s">
        <v>204</v>
      </c>
      <c r="C14">
        <v>0</v>
      </c>
      <c r="D14">
        <v>0</v>
      </c>
      <c r="E14">
        <v>0</v>
      </c>
      <c r="F14">
        <v>0</v>
      </c>
    </row>
    <row r="15" spans="1:6" ht="15" customHeight="1" x14ac:dyDescent="0.15">
      <c r="A15">
        <v>14</v>
      </c>
      <c r="B15" s="157" t="s">
        <v>205</v>
      </c>
      <c r="C15">
        <v>0</v>
      </c>
      <c r="D15">
        <v>0</v>
      </c>
      <c r="E15">
        <v>0</v>
      </c>
      <c r="F15">
        <v>0</v>
      </c>
    </row>
    <row r="16" spans="1:6" ht="15" customHeight="1" x14ac:dyDescent="0.15">
      <c r="A16">
        <v>15</v>
      </c>
      <c r="B16" s="157" t="s">
        <v>206</v>
      </c>
      <c r="C16">
        <v>0</v>
      </c>
      <c r="D16">
        <v>0</v>
      </c>
      <c r="E16">
        <v>0</v>
      </c>
      <c r="F16">
        <v>0</v>
      </c>
    </row>
    <row r="17" spans="1:6" ht="15" customHeight="1" x14ac:dyDescent="0.15">
      <c r="A17">
        <v>16</v>
      </c>
      <c r="B17" s="157" t="s">
        <v>207</v>
      </c>
      <c r="C17">
        <v>0</v>
      </c>
      <c r="D17">
        <v>0</v>
      </c>
      <c r="E17">
        <v>0</v>
      </c>
      <c r="F17">
        <v>0</v>
      </c>
    </row>
    <row r="18" spans="1:6" ht="15" customHeight="1" x14ac:dyDescent="0.15"/>
    <row r="19" spans="1:6" ht="15" customHeight="1" x14ac:dyDescent="0.15"/>
    <row r="20" spans="1:6" ht="15" customHeight="1" x14ac:dyDescent="0.15"/>
    <row r="21" spans="1:6" ht="15" customHeight="1" x14ac:dyDescent="0.15"/>
    <row r="22" spans="1:6" ht="15" customHeight="1" x14ac:dyDescent="0.15"/>
    <row r="23" spans="1:6" ht="15" customHeight="1" x14ac:dyDescent="0.15"/>
    <row r="24" spans="1:6" ht="15" customHeight="1" x14ac:dyDescent="0.15"/>
    <row r="25" spans="1:6" ht="15" customHeight="1" x14ac:dyDescent="0.15"/>
    <row r="26" spans="1:6" ht="15" customHeight="1" x14ac:dyDescent="0.15"/>
    <row r="27" spans="1:6" ht="15" customHeight="1" x14ac:dyDescent="0.15"/>
    <row r="28" spans="1:6" ht="15" customHeight="1" x14ac:dyDescent="0.15"/>
    <row r="29" spans="1:6" ht="15" customHeight="1" x14ac:dyDescent="0.15"/>
    <row r="30" spans="1:6" ht="15" customHeight="1" x14ac:dyDescent="0.15"/>
    <row r="31" spans="1:6" ht="15" customHeight="1" x14ac:dyDescent="0.15"/>
    <row r="32" spans="1:6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F17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16.6640625" bestFit="1" customWidth="1"/>
    <col min="3" max="3" width="5.83203125" bestFit="1" customWidth="1"/>
    <col min="4" max="4" width="4.83203125" bestFit="1" customWidth="1"/>
    <col min="5" max="5" width="2.33203125" bestFit="1" customWidth="1"/>
    <col min="6" max="6" width="5.83203125" customWidth="1"/>
  </cols>
  <sheetData>
    <row r="1" spans="1:6" s="99" customFormat="1" ht="112" x14ac:dyDescent="0.15">
      <c r="A1" s="5" t="s">
        <v>22</v>
      </c>
      <c r="B1" s="3" t="s">
        <v>0</v>
      </c>
      <c r="C1" s="160" t="s">
        <v>208</v>
      </c>
      <c r="D1" s="160" t="s">
        <v>209</v>
      </c>
      <c r="E1" s="160" t="s">
        <v>210</v>
      </c>
      <c r="F1" s="160" t="s">
        <v>214</v>
      </c>
    </row>
    <row r="2" spans="1:6" x14ac:dyDescent="0.15">
      <c r="A2">
        <v>1</v>
      </c>
      <c r="B2" s="159" t="s">
        <v>192</v>
      </c>
      <c r="C2">
        <v>0</v>
      </c>
      <c r="D2">
        <v>0</v>
      </c>
      <c r="E2">
        <v>0</v>
      </c>
      <c r="F2">
        <v>0</v>
      </c>
    </row>
    <row r="3" spans="1:6" x14ac:dyDescent="0.15">
      <c r="A3">
        <v>2</v>
      </c>
      <c r="B3" s="159" t="s">
        <v>193</v>
      </c>
      <c r="C3">
        <v>0.02</v>
      </c>
      <c r="D3">
        <v>0</v>
      </c>
      <c r="E3">
        <v>0</v>
      </c>
      <c r="F3">
        <v>0.02</v>
      </c>
    </row>
    <row r="4" spans="1:6" x14ac:dyDescent="0.15">
      <c r="A4">
        <v>3</v>
      </c>
      <c r="B4" s="159" t="s">
        <v>194</v>
      </c>
      <c r="C4">
        <v>1.4999999999999999E-2</v>
      </c>
      <c r="D4">
        <v>0.01</v>
      </c>
      <c r="E4">
        <v>0</v>
      </c>
      <c r="F4">
        <v>2.5000000000000001E-2</v>
      </c>
    </row>
    <row r="5" spans="1:6" x14ac:dyDescent="0.15">
      <c r="A5">
        <v>4</v>
      </c>
      <c r="B5" s="159" t="s">
        <v>195</v>
      </c>
      <c r="C5">
        <v>0</v>
      </c>
      <c r="D5">
        <v>0</v>
      </c>
      <c r="E5">
        <v>0</v>
      </c>
      <c r="F5">
        <v>0</v>
      </c>
    </row>
    <row r="6" spans="1:6" x14ac:dyDescent="0.15">
      <c r="A6">
        <v>5</v>
      </c>
      <c r="B6" s="159" t="s">
        <v>196</v>
      </c>
      <c r="C6">
        <v>0</v>
      </c>
      <c r="D6">
        <v>0</v>
      </c>
      <c r="E6">
        <v>0</v>
      </c>
      <c r="F6">
        <v>0</v>
      </c>
    </row>
    <row r="7" spans="1:6" x14ac:dyDescent="0.15">
      <c r="A7">
        <v>6</v>
      </c>
      <c r="B7" s="159" t="s">
        <v>197</v>
      </c>
      <c r="C7">
        <v>1.5</v>
      </c>
      <c r="D7">
        <v>0.15</v>
      </c>
      <c r="E7">
        <v>0</v>
      </c>
      <c r="F7">
        <v>1.65</v>
      </c>
    </row>
    <row r="8" spans="1:6" x14ac:dyDescent="0.15">
      <c r="A8">
        <v>7</v>
      </c>
      <c r="B8" s="159" t="s">
        <v>198</v>
      </c>
      <c r="C8">
        <v>0</v>
      </c>
      <c r="D8">
        <v>0</v>
      </c>
      <c r="E8">
        <v>0</v>
      </c>
      <c r="F8">
        <v>0</v>
      </c>
    </row>
    <row r="9" spans="1:6" x14ac:dyDescent="0.15">
      <c r="A9">
        <v>8</v>
      </c>
      <c r="B9" s="159" t="s">
        <v>199</v>
      </c>
      <c r="C9">
        <v>0</v>
      </c>
      <c r="D9">
        <v>0</v>
      </c>
      <c r="E9">
        <v>0</v>
      </c>
      <c r="F9">
        <v>0</v>
      </c>
    </row>
    <row r="10" spans="1:6" x14ac:dyDescent="0.15">
      <c r="A10">
        <v>9</v>
      </c>
      <c r="B10" s="159" t="s">
        <v>200</v>
      </c>
      <c r="C10">
        <v>0</v>
      </c>
      <c r="D10">
        <v>0.01</v>
      </c>
      <c r="E10">
        <v>0</v>
      </c>
      <c r="F10">
        <v>0.01</v>
      </c>
    </row>
    <row r="11" spans="1:6" x14ac:dyDescent="0.15">
      <c r="A11">
        <v>10</v>
      </c>
      <c r="B11" s="159" t="s">
        <v>201</v>
      </c>
      <c r="C11">
        <v>0</v>
      </c>
      <c r="D11">
        <v>0</v>
      </c>
      <c r="E11">
        <v>0</v>
      </c>
      <c r="F11">
        <v>0</v>
      </c>
    </row>
    <row r="12" spans="1:6" x14ac:dyDescent="0.15">
      <c r="A12">
        <v>11</v>
      </c>
      <c r="B12" s="159" t="s">
        <v>202</v>
      </c>
      <c r="C12">
        <v>0</v>
      </c>
      <c r="D12">
        <v>0</v>
      </c>
      <c r="E12">
        <v>0</v>
      </c>
      <c r="F12">
        <v>0</v>
      </c>
    </row>
    <row r="13" spans="1:6" x14ac:dyDescent="0.15">
      <c r="A13">
        <v>12</v>
      </c>
      <c r="B13" s="159" t="s">
        <v>203</v>
      </c>
      <c r="C13">
        <v>0</v>
      </c>
      <c r="D13">
        <v>0</v>
      </c>
      <c r="E13">
        <v>0</v>
      </c>
      <c r="F13">
        <v>0</v>
      </c>
    </row>
    <row r="14" spans="1:6" x14ac:dyDescent="0.15">
      <c r="A14">
        <v>13</v>
      </c>
      <c r="B14" s="159" t="s">
        <v>204</v>
      </c>
      <c r="C14">
        <v>0</v>
      </c>
      <c r="D14">
        <v>0</v>
      </c>
      <c r="E14">
        <v>0</v>
      </c>
      <c r="F14">
        <v>0</v>
      </c>
    </row>
    <row r="15" spans="1:6" x14ac:dyDescent="0.15">
      <c r="A15">
        <v>14</v>
      </c>
      <c r="B15" s="159" t="s">
        <v>205</v>
      </c>
      <c r="C15">
        <v>0</v>
      </c>
      <c r="D15">
        <v>0</v>
      </c>
      <c r="E15">
        <v>0</v>
      </c>
      <c r="F15">
        <v>0</v>
      </c>
    </row>
    <row r="16" spans="1:6" x14ac:dyDescent="0.15">
      <c r="A16">
        <v>15</v>
      </c>
      <c r="B16" s="159" t="s">
        <v>206</v>
      </c>
      <c r="C16">
        <v>0</v>
      </c>
      <c r="D16">
        <v>0</v>
      </c>
      <c r="E16">
        <v>0</v>
      </c>
      <c r="F16">
        <v>0</v>
      </c>
    </row>
    <row r="17" spans="1:6" x14ac:dyDescent="0.15">
      <c r="A17">
        <v>16</v>
      </c>
      <c r="B17" s="159" t="s">
        <v>207</v>
      </c>
      <c r="C17">
        <v>0</v>
      </c>
      <c r="D17">
        <v>0</v>
      </c>
      <c r="E17">
        <v>0</v>
      </c>
      <c r="F17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3.33203125" customWidth="1"/>
    <col min="5" max="5" width="16.6640625" bestFit="1" customWidth="1"/>
    <col min="6" max="6" width="4.83203125" bestFit="1" customWidth="1"/>
    <col min="7" max="9" width="3.83203125" bestFit="1" customWidth="1"/>
    <col min="10" max="11" width="4.83203125" style="98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100" customFormat="1" ht="14" thickBot="1" x14ac:dyDescent="0.2">
      <c r="D1" s="101" t="s">
        <v>8</v>
      </c>
      <c r="E1" s="101" t="s">
        <v>0</v>
      </c>
      <c r="F1" s="102" t="s">
        <v>99</v>
      </c>
      <c r="G1" s="103" t="s">
        <v>84</v>
      </c>
      <c r="H1" s="103" t="s">
        <v>85</v>
      </c>
      <c r="I1" s="103" t="s">
        <v>86</v>
      </c>
      <c r="J1" s="103" t="s">
        <v>87</v>
      </c>
      <c r="K1" s="103" t="s">
        <v>88</v>
      </c>
      <c r="L1" s="104" t="s">
        <v>89</v>
      </c>
      <c r="M1" s="104" t="s">
        <v>93</v>
      </c>
      <c r="N1" s="104" t="s">
        <v>92</v>
      </c>
      <c r="O1" s="104" t="s">
        <v>90</v>
      </c>
      <c r="P1" s="104" t="s">
        <v>91</v>
      </c>
      <c r="Q1" s="105" t="s">
        <v>94</v>
      </c>
      <c r="R1" s="105" t="s">
        <v>95</v>
      </c>
      <c r="S1" s="105" t="s">
        <v>96</v>
      </c>
      <c r="T1" s="105" t="s">
        <v>97</v>
      </c>
      <c r="U1" s="105" t="s">
        <v>98</v>
      </c>
      <c r="V1" s="103" t="s">
        <v>100</v>
      </c>
      <c r="W1" s="103" t="s">
        <v>101</v>
      </c>
      <c r="X1" s="103" t="s">
        <v>102</v>
      </c>
      <c r="Y1" s="103" t="s">
        <v>134</v>
      </c>
      <c r="Z1" s="104" t="s">
        <v>103</v>
      </c>
      <c r="AA1" s="104" t="s">
        <v>104</v>
      </c>
      <c r="AB1" s="104" t="s">
        <v>105</v>
      </c>
      <c r="AC1" s="106" t="s">
        <v>135</v>
      </c>
      <c r="AD1" s="105" t="s">
        <v>106</v>
      </c>
      <c r="AE1" s="105" t="s">
        <v>107</v>
      </c>
      <c r="AF1" s="105" t="s">
        <v>108</v>
      </c>
      <c r="AG1" s="105" t="s">
        <v>136</v>
      </c>
      <c r="AH1" s="103" t="s">
        <v>109</v>
      </c>
      <c r="AI1" s="103" t="s">
        <v>111</v>
      </c>
      <c r="AJ1" s="103" t="s">
        <v>110</v>
      </c>
      <c r="AK1" s="104" t="s">
        <v>115</v>
      </c>
      <c r="AL1" s="104" t="s">
        <v>116</v>
      </c>
      <c r="AM1" s="104" t="s">
        <v>117</v>
      </c>
      <c r="AN1" s="105" t="s">
        <v>112</v>
      </c>
      <c r="AO1" s="105" t="s">
        <v>113</v>
      </c>
      <c r="AP1" s="105" t="s">
        <v>114</v>
      </c>
    </row>
    <row r="2" spans="1:42" x14ac:dyDescent="0.15">
      <c r="A2" s="107" t="s">
        <v>74</v>
      </c>
      <c r="B2" s="108">
        <v>1</v>
      </c>
      <c r="D2">
        <v>1</v>
      </c>
      <c r="E2" s="161" t="s">
        <v>192</v>
      </c>
      <c r="F2">
        <v>0.98</v>
      </c>
      <c r="G2">
        <v>0.8</v>
      </c>
      <c r="H2">
        <v>0.8</v>
      </c>
      <c r="I2">
        <v>0.8</v>
      </c>
      <c r="J2" s="98">
        <v>0.25</v>
      </c>
      <c r="K2" s="98">
        <v>0.05</v>
      </c>
    </row>
    <row r="3" spans="1:42" x14ac:dyDescent="0.15">
      <c r="A3" s="107" t="s">
        <v>75</v>
      </c>
      <c r="B3" s="109">
        <v>1</v>
      </c>
      <c r="D3">
        <v>2</v>
      </c>
      <c r="E3" s="161" t="s">
        <v>193</v>
      </c>
      <c r="F3">
        <v>0.98</v>
      </c>
      <c r="G3">
        <v>0.8</v>
      </c>
      <c r="H3">
        <v>0.8</v>
      </c>
      <c r="I3">
        <v>0.8</v>
      </c>
      <c r="J3" s="98">
        <v>0.25</v>
      </c>
      <c r="K3" s="98">
        <v>0.05</v>
      </c>
    </row>
    <row r="4" spans="1:42" x14ac:dyDescent="0.15">
      <c r="A4" s="107" t="s">
        <v>76</v>
      </c>
      <c r="B4" s="109">
        <v>1</v>
      </c>
      <c r="D4">
        <v>3</v>
      </c>
      <c r="E4" s="161" t="s">
        <v>194</v>
      </c>
      <c r="F4">
        <v>0.98</v>
      </c>
      <c r="G4">
        <v>0.8</v>
      </c>
      <c r="H4">
        <v>0.8</v>
      </c>
      <c r="I4">
        <v>0.8</v>
      </c>
      <c r="J4" s="98">
        <v>0.25</v>
      </c>
      <c r="K4" s="98">
        <v>0.05</v>
      </c>
    </row>
    <row r="5" spans="1:42" x14ac:dyDescent="0.15">
      <c r="A5" s="107" t="s">
        <v>77</v>
      </c>
      <c r="B5" s="109">
        <v>1</v>
      </c>
      <c r="D5">
        <v>4</v>
      </c>
      <c r="E5" s="161" t="s">
        <v>195</v>
      </c>
      <c r="F5">
        <v>0.98</v>
      </c>
      <c r="G5">
        <v>0.8</v>
      </c>
      <c r="H5">
        <v>0.8</v>
      </c>
      <c r="I5">
        <v>0.8</v>
      </c>
      <c r="J5" s="98">
        <v>0.25</v>
      </c>
      <c r="K5" s="98">
        <v>0.05</v>
      </c>
    </row>
    <row r="6" spans="1:42" x14ac:dyDescent="0.15">
      <c r="A6" s="107" t="s">
        <v>78</v>
      </c>
      <c r="B6" s="109">
        <v>1</v>
      </c>
      <c r="D6">
        <v>5</v>
      </c>
      <c r="E6" s="161" t="s">
        <v>196</v>
      </c>
      <c r="F6">
        <v>0.98</v>
      </c>
      <c r="G6">
        <v>0.8</v>
      </c>
      <c r="H6">
        <v>0.8</v>
      </c>
      <c r="I6">
        <v>0.8</v>
      </c>
      <c r="J6" s="98">
        <v>0.25</v>
      </c>
      <c r="K6" s="98">
        <v>0.05</v>
      </c>
    </row>
    <row r="7" spans="1:42" x14ac:dyDescent="0.15">
      <c r="A7" s="107" t="s">
        <v>79</v>
      </c>
      <c r="B7" s="109">
        <v>1</v>
      </c>
      <c r="D7">
        <v>6</v>
      </c>
      <c r="E7" s="161" t="s">
        <v>197</v>
      </c>
      <c r="F7">
        <v>0.98</v>
      </c>
      <c r="G7">
        <v>0.8</v>
      </c>
      <c r="H7">
        <v>0.8</v>
      </c>
      <c r="I7">
        <v>0.8</v>
      </c>
      <c r="J7" s="98">
        <v>0.25</v>
      </c>
      <c r="K7" s="98">
        <v>0.05</v>
      </c>
    </row>
    <row r="8" spans="1:42" x14ac:dyDescent="0.15">
      <c r="A8" s="107" t="s">
        <v>80</v>
      </c>
      <c r="B8" s="109">
        <v>1</v>
      </c>
      <c r="D8">
        <v>7</v>
      </c>
      <c r="E8" s="161" t="s">
        <v>198</v>
      </c>
      <c r="F8">
        <v>0.98</v>
      </c>
      <c r="G8">
        <v>0.8</v>
      </c>
      <c r="H8">
        <v>0.8</v>
      </c>
      <c r="I8">
        <v>0.8</v>
      </c>
      <c r="J8" s="98">
        <v>0.25</v>
      </c>
      <c r="K8" s="98">
        <v>0.05</v>
      </c>
    </row>
    <row r="9" spans="1:42" x14ac:dyDescent="0.15">
      <c r="A9" s="107" t="s">
        <v>81</v>
      </c>
      <c r="B9" s="109">
        <v>0.1</v>
      </c>
      <c r="C9" s="54" t="s">
        <v>150</v>
      </c>
      <c r="D9">
        <v>8</v>
      </c>
      <c r="E9" s="161" t="s">
        <v>199</v>
      </c>
      <c r="F9">
        <v>0.98</v>
      </c>
      <c r="G9">
        <v>0.8</v>
      </c>
      <c r="H9">
        <v>0.8</v>
      </c>
      <c r="I9">
        <v>0.8</v>
      </c>
      <c r="J9" s="98">
        <v>0.25</v>
      </c>
      <c r="K9" s="98">
        <v>0.05</v>
      </c>
    </row>
    <row r="10" spans="1:42" ht="14" thickBot="1" x14ac:dyDescent="0.2">
      <c r="A10" s="107" t="s">
        <v>149</v>
      </c>
      <c r="B10" s="110">
        <f>1/3</f>
        <v>0.33333333333333331</v>
      </c>
      <c r="C10" s="54" t="s">
        <v>150</v>
      </c>
      <c r="D10">
        <v>9</v>
      </c>
      <c r="E10" s="161" t="s">
        <v>200</v>
      </c>
      <c r="F10">
        <v>0.98</v>
      </c>
      <c r="G10">
        <v>0.8</v>
      </c>
      <c r="H10">
        <v>0.8</v>
      </c>
      <c r="I10">
        <v>0.8</v>
      </c>
      <c r="J10" s="98">
        <v>0.25</v>
      </c>
      <c r="K10" s="98">
        <v>0.05</v>
      </c>
    </row>
    <row r="11" spans="1:42" x14ac:dyDescent="0.15">
      <c r="D11">
        <v>10</v>
      </c>
      <c r="E11" s="161" t="s">
        <v>201</v>
      </c>
      <c r="F11">
        <v>0.98</v>
      </c>
      <c r="G11">
        <v>0.8</v>
      </c>
      <c r="H11">
        <v>0.8</v>
      </c>
      <c r="I11">
        <v>0.8</v>
      </c>
      <c r="J11" s="98">
        <v>0.25</v>
      </c>
      <c r="K11" s="98">
        <v>0.05</v>
      </c>
    </row>
    <row r="12" spans="1:42" x14ac:dyDescent="0.15">
      <c r="D12">
        <v>11</v>
      </c>
      <c r="E12" s="161" t="s">
        <v>202</v>
      </c>
      <c r="F12">
        <v>0.98</v>
      </c>
      <c r="G12">
        <v>0.8</v>
      </c>
      <c r="H12">
        <v>0.8</v>
      </c>
      <c r="I12">
        <v>0.8</v>
      </c>
      <c r="J12" s="98">
        <v>0.25</v>
      </c>
      <c r="K12" s="98">
        <v>0.05</v>
      </c>
    </row>
    <row r="13" spans="1:42" x14ac:dyDescent="0.15">
      <c r="D13">
        <v>12</v>
      </c>
      <c r="E13" s="161" t="s">
        <v>203</v>
      </c>
      <c r="F13">
        <v>0.98</v>
      </c>
      <c r="G13">
        <v>0.8</v>
      </c>
      <c r="H13">
        <v>0.8</v>
      </c>
      <c r="I13">
        <v>0.8</v>
      </c>
      <c r="J13" s="98">
        <v>0.25</v>
      </c>
      <c r="K13" s="98">
        <v>0.05</v>
      </c>
    </row>
    <row r="14" spans="1:42" x14ac:dyDescent="0.15">
      <c r="D14">
        <v>13</v>
      </c>
      <c r="E14" s="161" t="s">
        <v>204</v>
      </c>
      <c r="F14">
        <v>0.98</v>
      </c>
      <c r="G14">
        <v>0.8</v>
      </c>
      <c r="H14">
        <v>0.8</v>
      </c>
      <c r="I14">
        <v>0.8</v>
      </c>
      <c r="J14" s="98">
        <v>0.25</v>
      </c>
      <c r="K14" s="98">
        <v>0.05</v>
      </c>
    </row>
    <row r="15" spans="1:42" x14ac:dyDescent="0.15">
      <c r="D15">
        <v>14</v>
      </c>
      <c r="E15" s="161" t="s">
        <v>205</v>
      </c>
      <c r="F15">
        <v>0.98</v>
      </c>
      <c r="G15">
        <v>0.8</v>
      </c>
      <c r="H15">
        <v>0.8</v>
      </c>
      <c r="I15">
        <v>0</v>
      </c>
      <c r="J15" s="98">
        <v>0</v>
      </c>
      <c r="K15" s="98">
        <v>0</v>
      </c>
    </row>
    <row r="16" spans="1:42" x14ac:dyDescent="0.15">
      <c r="D16">
        <v>15</v>
      </c>
      <c r="E16" s="161" t="s">
        <v>206</v>
      </c>
      <c r="F16">
        <v>0.98</v>
      </c>
      <c r="G16">
        <v>0.8</v>
      </c>
      <c r="H16">
        <v>0</v>
      </c>
      <c r="I16">
        <v>0</v>
      </c>
      <c r="J16" s="98">
        <v>0</v>
      </c>
      <c r="K16" s="98">
        <v>0</v>
      </c>
    </row>
    <row r="17" spans="4:33" ht="15" customHeight="1" x14ac:dyDescent="0.15">
      <c r="D17">
        <v>16</v>
      </c>
      <c r="E17" s="161" t="s">
        <v>207</v>
      </c>
      <c r="F17">
        <v>0.98</v>
      </c>
      <c r="G17">
        <v>0.8</v>
      </c>
      <c r="H17">
        <v>0</v>
      </c>
      <c r="I17">
        <v>0</v>
      </c>
      <c r="J17" s="98">
        <v>0</v>
      </c>
      <c r="K17" s="98">
        <v>0</v>
      </c>
    </row>
    <row r="18" spans="4:33" ht="15" customHeight="1" x14ac:dyDescent="0.15">
      <c r="J18"/>
      <c r="K18"/>
    </row>
    <row r="19" spans="4:33" ht="15" customHeight="1" x14ac:dyDescent="0.15">
      <c r="J19"/>
      <c r="K19"/>
    </row>
    <row r="20" spans="4:33" ht="15" customHeight="1" x14ac:dyDescent="0.15">
      <c r="J20"/>
      <c r="K20"/>
    </row>
    <row r="21" spans="4:33" ht="15" customHeight="1" x14ac:dyDescent="0.15">
      <c r="J21"/>
      <c r="K21"/>
    </row>
    <row r="22" spans="4:33" ht="15" customHeight="1" x14ac:dyDescent="0.15">
      <c r="J22"/>
      <c r="K22"/>
    </row>
    <row r="23" spans="4:33" ht="15" customHeight="1" x14ac:dyDescent="0.15">
      <c r="J23"/>
      <c r="K23"/>
    </row>
    <row r="24" spans="4:33" ht="15" customHeight="1" x14ac:dyDescent="0.15">
      <c r="J24"/>
      <c r="K24"/>
    </row>
    <row r="25" spans="4:33" ht="15" customHeight="1" x14ac:dyDescent="0.15">
      <c r="J25"/>
      <c r="K25"/>
    </row>
    <row r="26" spans="4:33" ht="15" customHeight="1" x14ac:dyDescent="0.15">
      <c r="J26"/>
      <c r="K26"/>
    </row>
    <row r="27" spans="4:33" ht="15" customHeight="1" x14ac:dyDescent="0.15">
      <c r="J27"/>
      <c r="K27"/>
    </row>
    <row r="28" spans="4:33" ht="15" customHeight="1" x14ac:dyDescent="0.15">
      <c r="J28"/>
      <c r="K28"/>
    </row>
    <row r="29" spans="4:33" ht="15" customHeight="1" x14ac:dyDescent="0.15">
      <c r="J29"/>
      <c r="K29"/>
      <c r="Y29"/>
      <c r="AC29"/>
      <c r="AG29"/>
    </row>
    <row r="30" spans="4:33" ht="15" customHeight="1" x14ac:dyDescent="0.15">
      <c r="J30"/>
      <c r="K30"/>
      <c r="Y30"/>
      <c r="AC30"/>
      <c r="AG30"/>
    </row>
    <row r="31" spans="4:33" ht="15" customHeight="1" x14ac:dyDescent="0.15">
      <c r="J31"/>
      <c r="K31"/>
      <c r="Y31"/>
      <c r="AC31"/>
      <c r="AG31"/>
    </row>
    <row r="32" spans="4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96" bestFit="1" customWidth="1"/>
    <col min="2" max="14" width="3.83203125" style="96" customWidth="1"/>
    <col min="15" max="17" width="2.33203125" style="96" customWidth="1"/>
    <col min="18" max="16384" width="10.83203125" style="96"/>
  </cols>
  <sheetData>
    <row r="1" spans="1:30" x14ac:dyDescent="0.15">
      <c r="A1" s="56" t="s">
        <v>118</v>
      </c>
      <c r="B1" s="163" t="s">
        <v>192</v>
      </c>
      <c r="C1" s="163" t="s">
        <v>193</v>
      </c>
      <c r="D1" s="163" t="s">
        <v>194</v>
      </c>
      <c r="E1" s="163" t="s">
        <v>195</v>
      </c>
      <c r="F1" s="163" t="s">
        <v>196</v>
      </c>
      <c r="G1" s="163" t="s">
        <v>197</v>
      </c>
      <c r="H1" s="163" t="s">
        <v>198</v>
      </c>
      <c r="I1" s="163" t="s">
        <v>199</v>
      </c>
      <c r="J1" s="163" t="s">
        <v>200</v>
      </c>
      <c r="K1" s="163" t="s">
        <v>201</v>
      </c>
      <c r="L1" s="163" t="s">
        <v>202</v>
      </c>
      <c r="M1" s="163" t="s">
        <v>203</v>
      </c>
      <c r="N1" s="163" t="s">
        <v>204</v>
      </c>
      <c r="O1" s="163" t="s">
        <v>205</v>
      </c>
      <c r="P1" s="163" t="s">
        <v>206</v>
      </c>
      <c r="Q1" s="163" t="s">
        <v>207</v>
      </c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62" t="s">
        <v>192</v>
      </c>
      <c r="B2" s="96">
        <v>0.8</v>
      </c>
      <c r="C2" s="96">
        <v>0</v>
      </c>
      <c r="D2" s="96">
        <v>0</v>
      </c>
      <c r="E2" s="96">
        <v>0</v>
      </c>
      <c r="F2" s="96">
        <v>0</v>
      </c>
      <c r="G2" s="96">
        <v>0</v>
      </c>
      <c r="H2" s="96">
        <v>0</v>
      </c>
      <c r="I2" s="96">
        <v>0</v>
      </c>
      <c r="J2" s="96">
        <v>0</v>
      </c>
      <c r="K2" s="96">
        <v>0</v>
      </c>
      <c r="L2" s="96">
        <v>0</v>
      </c>
      <c r="M2" s="96">
        <v>0</v>
      </c>
      <c r="N2" s="96">
        <v>0</v>
      </c>
      <c r="O2" s="96">
        <v>0</v>
      </c>
      <c r="P2" s="96">
        <v>0</v>
      </c>
      <c r="Q2" s="96">
        <v>0</v>
      </c>
    </row>
    <row r="3" spans="1:30" customFormat="1" x14ac:dyDescent="0.15">
      <c r="A3" s="162" t="s">
        <v>193</v>
      </c>
      <c r="B3" s="96">
        <v>0.8</v>
      </c>
      <c r="C3" s="96">
        <v>0.8</v>
      </c>
      <c r="D3" s="96">
        <v>0</v>
      </c>
      <c r="E3" s="96">
        <v>0</v>
      </c>
      <c r="F3" s="96">
        <v>0</v>
      </c>
      <c r="G3" s="96">
        <v>0.8</v>
      </c>
      <c r="H3" s="96">
        <v>0</v>
      </c>
      <c r="I3" s="96">
        <v>0</v>
      </c>
      <c r="J3" s="96">
        <v>0</v>
      </c>
      <c r="K3" s="96">
        <v>0</v>
      </c>
      <c r="L3" s="96">
        <v>0</v>
      </c>
      <c r="M3" s="96">
        <v>0</v>
      </c>
      <c r="N3" s="96">
        <v>0</v>
      </c>
      <c r="O3" s="96">
        <v>0</v>
      </c>
      <c r="P3" s="96">
        <v>0</v>
      </c>
      <c r="Q3" s="96">
        <v>0</v>
      </c>
    </row>
    <row r="4" spans="1:30" customFormat="1" x14ac:dyDescent="0.15">
      <c r="A4" s="162" t="s">
        <v>194</v>
      </c>
      <c r="B4" s="96">
        <v>0.8</v>
      </c>
      <c r="C4" s="96">
        <v>0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0</v>
      </c>
      <c r="N4" s="96">
        <v>0</v>
      </c>
      <c r="O4" s="96">
        <v>0</v>
      </c>
      <c r="P4" s="96">
        <v>0</v>
      </c>
      <c r="Q4" s="96">
        <v>0</v>
      </c>
    </row>
    <row r="5" spans="1:30" customFormat="1" x14ac:dyDescent="0.15">
      <c r="A5" s="162" t="s">
        <v>195</v>
      </c>
      <c r="B5" s="96">
        <v>0.8</v>
      </c>
      <c r="C5" s="96">
        <v>0</v>
      </c>
      <c r="D5" s="96">
        <v>0.8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0</v>
      </c>
      <c r="K5" s="96">
        <v>0</v>
      </c>
      <c r="L5" s="96">
        <v>0</v>
      </c>
      <c r="M5" s="96">
        <v>0</v>
      </c>
      <c r="N5" s="96">
        <v>0</v>
      </c>
      <c r="O5" s="96">
        <v>0</v>
      </c>
      <c r="P5" s="96">
        <v>0</v>
      </c>
      <c r="Q5" s="96">
        <v>0</v>
      </c>
    </row>
    <row r="6" spans="1:30" customFormat="1" x14ac:dyDescent="0.15">
      <c r="A6" s="162" t="s">
        <v>196</v>
      </c>
      <c r="B6" s="96">
        <v>0.8</v>
      </c>
      <c r="C6" s="96">
        <v>0.8</v>
      </c>
      <c r="D6" s="96">
        <v>0.8</v>
      </c>
      <c r="E6" s="96">
        <v>0.8</v>
      </c>
      <c r="F6" s="96">
        <v>0</v>
      </c>
      <c r="G6" s="96">
        <v>0.8</v>
      </c>
      <c r="H6" s="96">
        <v>0</v>
      </c>
      <c r="I6" s="96">
        <v>0</v>
      </c>
      <c r="J6" s="96">
        <v>0</v>
      </c>
      <c r="K6" s="96">
        <v>0</v>
      </c>
      <c r="L6" s="96">
        <v>0</v>
      </c>
      <c r="M6" s="96">
        <v>0</v>
      </c>
      <c r="N6" s="96">
        <v>0</v>
      </c>
      <c r="O6" s="96">
        <v>0</v>
      </c>
      <c r="P6" s="96">
        <v>0</v>
      </c>
      <c r="Q6" s="96">
        <v>0</v>
      </c>
    </row>
    <row r="7" spans="1:30" customFormat="1" x14ac:dyDescent="0.15">
      <c r="A7" s="162" t="s">
        <v>197</v>
      </c>
      <c r="B7" s="96">
        <v>0.8</v>
      </c>
      <c r="C7" s="96">
        <v>0.8</v>
      </c>
      <c r="D7" s="96">
        <v>0.8</v>
      </c>
      <c r="E7" s="96">
        <v>0.8</v>
      </c>
      <c r="F7" s="96">
        <v>0.8</v>
      </c>
      <c r="G7" s="96">
        <v>0.8</v>
      </c>
      <c r="H7" s="96">
        <v>0</v>
      </c>
      <c r="I7" s="96">
        <v>0</v>
      </c>
      <c r="J7" s="96">
        <v>0</v>
      </c>
      <c r="K7" s="96">
        <v>0</v>
      </c>
      <c r="L7" s="96">
        <v>0</v>
      </c>
      <c r="M7" s="96">
        <v>0</v>
      </c>
      <c r="N7" s="96">
        <v>0</v>
      </c>
      <c r="O7" s="96">
        <v>0</v>
      </c>
      <c r="P7" s="96">
        <v>0</v>
      </c>
      <c r="Q7" s="96">
        <v>0</v>
      </c>
    </row>
    <row r="8" spans="1:30" customFormat="1" x14ac:dyDescent="0.15">
      <c r="A8" s="162" t="s">
        <v>198</v>
      </c>
      <c r="B8" s="96">
        <v>0.8</v>
      </c>
      <c r="C8" s="96">
        <v>0.8</v>
      </c>
      <c r="D8" s="96">
        <v>0.8</v>
      </c>
      <c r="E8" s="96">
        <v>0.8</v>
      </c>
      <c r="F8" s="96">
        <v>0</v>
      </c>
      <c r="G8" s="96">
        <v>0.8</v>
      </c>
      <c r="H8" s="96">
        <v>0</v>
      </c>
      <c r="I8" s="96">
        <v>0</v>
      </c>
      <c r="J8" s="96">
        <v>0</v>
      </c>
      <c r="K8" s="96">
        <v>0</v>
      </c>
      <c r="L8" s="96">
        <v>0</v>
      </c>
      <c r="M8" s="96">
        <v>0</v>
      </c>
      <c r="N8" s="96">
        <v>0</v>
      </c>
      <c r="O8" s="96">
        <v>0</v>
      </c>
      <c r="P8" s="96">
        <v>0</v>
      </c>
      <c r="Q8" s="96">
        <v>0</v>
      </c>
    </row>
    <row r="9" spans="1:30" customFormat="1" x14ac:dyDescent="0.15">
      <c r="A9" s="162" t="s">
        <v>199</v>
      </c>
      <c r="B9" s="96">
        <v>0.8</v>
      </c>
      <c r="C9" s="96">
        <v>0.8</v>
      </c>
      <c r="D9" s="96">
        <v>0.8</v>
      </c>
      <c r="E9" s="96">
        <v>0.8</v>
      </c>
      <c r="F9" s="96">
        <v>0.8</v>
      </c>
      <c r="G9" s="96">
        <v>0.8</v>
      </c>
      <c r="H9" s="96">
        <v>0</v>
      </c>
      <c r="I9" s="96">
        <v>0</v>
      </c>
      <c r="J9" s="96">
        <v>0</v>
      </c>
      <c r="K9" s="96">
        <v>0</v>
      </c>
      <c r="L9" s="96">
        <v>0</v>
      </c>
      <c r="M9" s="96">
        <v>0</v>
      </c>
      <c r="N9" s="96">
        <v>0</v>
      </c>
      <c r="O9" s="96">
        <v>0</v>
      </c>
      <c r="P9" s="96">
        <v>0</v>
      </c>
      <c r="Q9" s="96">
        <v>0</v>
      </c>
    </row>
    <row r="10" spans="1:30" customFormat="1" x14ac:dyDescent="0.15">
      <c r="A10" s="162" t="s">
        <v>200</v>
      </c>
      <c r="B10" s="96">
        <v>0.8</v>
      </c>
      <c r="C10" s="96">
        <v>0</v>
      </c>
      <c r="D10" s="96">
        <v>0.8</v>
      </c>
      <c r="E10" s="96">
        <v>0.8</v>
      </c>
      <c r="F10" s="96">
        <v>0</v>
      </c>
      <c r="G10" s="96">
        <v>0.8</v>
      </c>
      <c r="H10" s="96">
        <v>0</v>
      </c>
      <c r="I10" s="96">
        <v>0</v>
      </c>
      <c r="J10" s="96">
        <v>0</v>
      </c>
      <c r="K10" s="96">
        <v>0</v>
      </c>
      <c r="L10" s="96">
        <v>0</v>
      </c>
      <c r="M10" s="96">
        <v>0</v>
      </c>
      <c r="N10" s="96">
        <v>0</v>
      </c>
      <c r="O10" s="96">
        <v>0</v>
      </c>
      <c r="P10" s="96">
        <v>0</v>
      </c>
      <c r="Q10" s="96">
        <v>0</v>
      </c>
    </row>
    <row r="11" spans="1:30" customFormat="1" x14ac:dyDescent="0.15">
      <c r="A11" s="162" t="s">
        <v>201</v>
      </c>
      <c r="B11" s="96">
        <v>0.8</v>
      </c>
      <c r="C11" s="96">
        <v>0.8</v>
      </c>
      <c r="D11" s="96">
        <v>0.8</v>
      </c>
      <c r="E11" s="96">
        <v>0.8</v>
      </c>
      <c r="F11" s="96">
        <v>0.8</v>
      </c>
      <c r="G11" s="96">
        <v>0.8</v>
      </c>
      <c r="H11" s="96">
        <v>0.8</v>
      </c>
      <c r="I11" s="96">
        <v>0.8</v>
      </c>
      <c r="J11" s="96">
        <v>0.8</v>
      </c>
      <c r="K11" s="96">
        <v>0.8</v>
      </c>
      <c r="L11" s="96">
        <v>0.8</v>
      </c>
      <c r="M11" s="96">
        <v>0</v>
      </c>
      <c r="N11" s="96">
        <v>0</v>
      </c>
      <c r="O11" s="96">
        <v>0</v>
      </c>
      <c r="P11" s="96">
        <v>0</v>
      </c>
      <c r="Q11" s="96">
        <v>0</v>
      </c>
    </row>
    <row r="12" spans="1:30" customFormat="1" x14ac:dyDescent="0.15">
      <c r="A12" s="162" t="s">
        <v>202</v>
      </c>
      <c r="B12" s="96">
        <v>0.8</v>
      </c>
      <c r="C12" s="96">
        <v>0.8</v>
      </c>
      <c r="D12" s="96">
        <v>0.8</v>
      </c>
      <c r="E12" s="96">
        <v>0.8</v>
      </c>
      <c r="F12" s="96">
        <v>0.8</v>
      </c>
      <c r="G12" s="96">
        <v>0</v>
      </c>
      <c r="H12" s="96">
        <v>0</v>
      </c>
      <c r="I12" s="96">
        <v>0</v>
      </c>
      <c r="J12" s="96">
        <v>0</v>
      </c>
      <c r="K12" s="96">
        <v>0</v>
      </c>
      <c r="L12" s="96">
        <v>0</v>
      </c>
      <c r="M12" s="96">
        <v>0</v>
      </c>
      <c r="N12" s="96">
        <v>0</v>
      </c>
      <c r="O12" s="96">
        <v>0</v>
      </c>
      <c r="P12" s="96">
        <v>0</v>
      </c>
      <c r="Q12" s="96">
        <v>0</v>
      </c>
    </row>
    <row r="13" spans="1:30" customFormat="1" x14ac:dyDescent="0.15">
      <c r="A13" s="162" t="s">
        <v>203</v>
      </c>
      <c r="B13" s="96">
        <v>0</v>
      </c>
      <c r="C13" s="96">
        <v>0.8</v>
      </c>
      <c r="D13" s="96">
        <v>0</v>
      </c>
      <c r="E13" s="96">
        <v>0</v>
      </c>
      <c r="F13" s="96">
        <v>0.8</v>
      </c>
      <c r="G13" s="96">
        <v>0</v>
      </c>
      <c r="H13" s="96">
        <v>0.8</v>
      </c>
      <c r="I13" s="96">
        <v>0.8</v>
      </c>
      <c r="J13" s="96">
        <v>0.8</v>
      </c>
      <c r="K13" s="96">
        <v>0.8</v>
      </c>
      <c r="L13" s="96">
        <v>0.8</v>
      </c>
      <c r="M13" s="96">
        <v>0.8</v>
      </c>
      <c r="N13" s="96">
        <v>0</v>
      </c>
      <c r="O13" s="96">
        <v>0</v>
      </c>
      <c r="P13" s="96">
        <v>0</v>
      </c>
      <c r="Q13" s="96">
        <v>0</v>
      </c>
    </row>
    <row r="14" spans="1:30" customFormat="1" x14ac:dyDescent="0.15">
      <c r="A14" s="162" t="s">
        <v>204</v>
      </c>
      <c r="B14" s="96">
        <v>0</v>
      </c>
      <c r="C14" s="96">
        <v>0</v>
      </c>
      <c r="D14" s="96">
        <v>0</v>
      </c>
      <c r="E14" s="96">
        <v>0</v>
      </c>
      <c r="F14" s="96">
        <v>0.8</v>
      </c>
      <c r="G14" s="96">
        <v>0</v>
      </c>
      <c r="H14" s="96">
        <v>0.8</v>
      </c>
      <c r="I14" s="96">
        <v>0.8</v>
      </c>
      <c r="J14" s="96">
        <v>0.8</v>
      </c>
      <c r="K14" s="96">
        <v>0.8</v>
      </c>
      <c r="L14" s="96">
        <v>0.8</v>
      </c>
      <c r="M14" s="96">
        <v>0.8</v>
      </c>
      <c r="N14" s="96">
        <v>0</v>
      </c>
      <c r="O14" s="96">
        <v>0</v>
      </c>
      <c r="P14" s="96">
        <v>0</v>
      </c>
      <c r="Q14" s="96">
        <v>0</v>
      </c>
    </row>
    <row r="15" spans="1:30" customFormat="1" x14ac:dyDescent="0.15">
      <c r="A15" s="162" t="s">
        <v>205</v>
      </c>
      <c r="B15" s="96">
        <v>0</v>
      </c>
      <c r="C15" s="96">
        <v>0</v>
      </c>
      <c r="D15" s="96">
        <v>0</v>
      </c>
      <c r="E15" s="96">
        <v>0</v>
      </c>
      <c r="F15" s="96">
        <v>0</v>
      </c>
      <c r="G15" s="96">
        <v>0</v>
      </c>
      <c r="H15" s="96">
        <v>0</v>
      </c>
      <c r="I15" s="96">
        <v>0</v>
      </c>
      <c r="J15" s="96">
        <v>0</v>
      </c>
      <c r="K15" s="96">
        <v>0.8</v>
      </c>
      <c r="L15" s="96">
        <v>0</v>
      </c>
      <c r="M15" s="96">
        <v>0.8</v>
      </c>
      <c r="N15" s="96">
        <v>0.8</v>
      </c>
      <c r="O15" s="96">
        <v>0</v>
      </c>
      <c r="P15" s="96">
        <v>0</v>
      </c>
      <c r="Q15" s="96">
        <v>0</v>
      </c>
    </row>
    <row r="16" spans="1:30" customFormat="1" x14ac:dyDescent="0.15">
      <c r="A16" s="162" t="s">
        <v>206</v>
      </c>
      <c r="B16" s="96">
        <v>0</v>
      </c>
      <c r="C16" s="96">
        <v>0</v>
      </c>
      <c r="D16" s="96">
        <v>0</v>
      </c>
      <c r="E16" s="96">
        <v>0</v>
      </c>
      <c r="F16" s="96">
        <v>0</v>
      </c>
      <c r="G16" s="96">
        <v>0</v>
      </c>
      <c r="H16" s="96">
        <v>0</v>
      </c>
      <c r="I16" s="96">
        <v>0</v>
      </c>
      <c r="J16" s="96">
        <v>0</v>
      </c>
      <c r="K16" s="96">
        <v>0</v>
      </c>
      <c r="L16" s="96">
        <v>0.8</v>
      </c>
      <c r="M16" s="96">
        <v>0.8</v>
      </c>
      <c r="N16" s="96">
        <v>0.8</v>
      </c>
      <c r="O16" s="96">
        <v>0</v>
      </c>
      <c r="P16" s="96">
        <v>0</v>
      </c>
      <c r="Q16" s="96">
        <v>0</v>
      </c>
    </row>
    <row r="17" spans="1:17" customFormat="1" x14ac:dyDescent="0.15">
      <c r="A17" s="162" t="s">
        <v>207</v>
      </c>
      <c r="B17" s="96">
        <v>0</v>
      </c>
      <c r="C17" s="96">
        <v>0</v>
      </c>
      <c r="D17" s="96">
        <v>0</v>
      </c>
      <c r="E17" s="96">
        <v>0</v>
      </c>
      <c r="F17" s="96">
        <v>0</v>
      </c>
      <c r="G17" s="96">
        <v>0</v>
      </c>
      <c r="H17" s="96">
        <v>0</v>
      </c>
      <c r="I17" s="96">
        <v>0</v>
      </c>
      <c r="J17" s="96">
        <v>0</v>
      </c>
      <c r="K17" s="96">
        <v>0</v>
      </c>
      <c r="L17" s="96">
        <v>0</v>
      </c>
      <c r="M17" s="96">
        <v>0</v>
      </c>
      <c r="N17" s="96">
        <v>0</v>
      </c>
      <c r="O17" s="96">
        <v>0</v>
      </c>
      <c r="P17" s="96">
        <v>0</v>
      </c>
      <c r="Q17" s="96">
        <v>0</v>
      </c>
    </row>
    <row r="18" spans="1:17" customFormat="1" x14ac:dyDescent="0.15">
      <c r="A18" s="162" t="s">
        <v>211</v>
      </c>
      <c r="B18" s="96">
        <v>0</v>
      </c>
      <c r="C18" s="96">
        <v>0</v>
      </c>
      <c r="D18" s="96">
        <v>0</v>
      </c>
      <c r="E18" s="96">
        <v>0</v>
      </c>
      <c r="F18" s="96">
        <v>0</v>
      </c>
      <c r="G18" s="96">
        <v>0.8</v>
      </c>
      <c r="H18" s="96">
        <v>0</v>
      </c>
      <c r="I18" s="96">
        <v>0</v>
      </c>
      <c r="J18" s="96">
        <v>0.8</v>
      </c>
      <c r="K18" s="96">
        <v>0</v>
      </c>
      <c r="L18" s="96">
        <v>0</v>
      </c>
      <c r="M18" s="96">
        <v>0</v>
      </c>
      <c r="N18" s="96">
        <v>0</v>
      </c>
      <c r="O18" s="96">
        <v>0</v>
      </c>
      <c r="P18" s="96">
        <v>0</v>
      </c>
      <c r="Q18" s="96">
        <v>0</v>
      </c>
    </row>
    <row r="19" spans="1:17" customFormat="1" x14ac:dyDescent="0.15"/>
    <row r="20" spans="1:17" customFormat="1" x14ac:dyDescent="0.15"/>
    <row r="21" spans="1:17" customFormat="1" x14ac:dyDescent="0.15"/>
    <row r="22" spans="1:17" customFormat="1" x14ac:dyDescent="0.15"/>
    <row r="23" spans="1:17" customFormat="1" x14ac:dyDescent="0.15"/>
    <row r="24" spans="1:17" customFormat="1" x14ac:dyDescent="0.15"/>
    <row r="25" spans="1:17" customFormat="1" x14ac:dyDescent="0.15"/>
    <row r="26" spans="1:17" customFormat="1" x14ac:dyDescent="0.15"/>
    <row r="27" spans="1:17" customFormat="1" x14ac:dyDescent="0.15"/>
    <row r="28" spans="1:17" customFormat="1" x14ac:dyDescent="0.15"/>
    <row r="29" spans="1:17" customFormat="1" x14ac:dyDescent="0.15"/>
    <row r="30" spans="1:17" customFormat="1" x14ac:dyDescent="0.15"/>
    <row r="31" spans="1:17" customFormat="1" x14ac:dyDescent="0.15"/>
    <row r="32" spans="1:1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96" bestFit="1" customWidth="1"/>
    <col min="2" max="17" width="2.33203125" style="96" customWidth="1"/>
    <col min="18" max="16384" width="10.83203125" style="96"/>
  </cols>
  <sheetData>
    <row r="1" spans="1:31" x14ac:dyDescent="0.15">
      <c r="A1" s="56" t="s">
        <v>139</v>
      </c>
      <c r="B1" s="165" t="s">
        <v>192</v>
      </c>
      <c r="C1" s="165" t="s">
        <v>193</v>
      </c>
      <c r="D1" s="165" t="s">
        <v>194</v>
      </c>
      <c r="E1" s="165" t="s">
        <v>195</v>
      </c>
      <c r="F1" s="165" t="s">
        <v>196</v>
      </c>
      <c r="G1" s="165" t="s">
        <v>197</v>
      </c>
      <c r="H1" s="165" t="s">
        <v>198</v>
      </c>
      <c r="I1" s="165" t="s">
        <v>199</v>
      </c>
      <c r="J1" s="165" t="s">
        <v>200</v>
      </c>
      <c r="K1" s="165" t="s">
        <v>201</v>
      </c>
      <c r="L1" s="165" t="s">
        <v>202</v>
      </c>
      <c r="M1" s="165" t="s">
        <v>203</v>
      </c>
      <c r="N1" s="165" t="s">
        <v>204</v>
      </c>
      <c r="O1" s="165" t="s">
        <v>205</v>
      </c>
      <c r="P1" s="165" t="s">
        <v>206</v>
      </c>
      <c r="Q1" s="165" t="s">
        <v>207</v>
      </c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64" t="s">
        <v>192</v>
      </c>
      <c r="B2" s="96">
        <v>1</v>
      </c>
      <c r="C2" s="96">
        <v>0</v>
      </c>
      <c r="D2" s="96">
        <v>0</v>
      </c>
      <c r="E2" s="96">
        <v>0</v>
      </c>
      <c r="F2" s="96">
        <v>0</v>
      </c>
      <c r="G2" s="96">
        <v>0</v>
      </c>
      <c r="H2" s="96">
        <v>0</v>
      </c>
      <c r="I2" s="96">
        <v>0</v>
      </c>
      <c r="J2" s="96">
        <v>0</v>
      </c>
      <c r="K2" s="96">
        <v>0</v>
      </c>
      <c r="L2" s="96">
        <v>0</v>
      </c>
      <c r="M2" s="96">
        <v>0</v>
      </c>
      <c r="N2" s="96">
        <v>0</v>
      </c>
      <c r="O2" s="96">
        <v>0</v>
      </c>
      <c r="P2" s="96">
        <v>0</v>
      </c>
      <c r="Q2" s="96">
        <v>0</v>
      </c>
    </row>
    <row r="3" spans="1:31" customFormat="1" x14ac:dyDescent="0.15">
      <c r="A3" s="164" t="s">
        <v>193</v>
      </c>
      <c r="B3" s="96">
        <v>1</v>
      </c>
      <c r="C3" s="96">
        <v>1</v>
      </c>
      <c r="D3" s="96">
        <v>0</v>
      </c>
      <c r="E3" s="96">
        <v>0</v>
      </c>
      <c r="F3" s="96">
        <v>0</v>
      </c>
      <c r="G3" s="96">
        <v>1</v>
      </c>
      <c r="H3" s="96">
        <v>0</v>
      </c>
      <c r="I3" s="96">
        <v>0</v>
      </c>
      <c r="J3" s="96">
        <v>0</v>
      </c>
      <c r="K3" s="96">
        <v>0</v>
      </c>
      <c r="L3" s="96">
        <v>0</v>
      </c>
      <c r="M3" s="96">
        <v>0</v>
      </c>
      <c r="N3" s="96">
        <v>0</v>
      </c>
      <c r="O3" s="96">
        <v>0</v>
      </c>
      <c r="P3" s="96">
        <v>0</v>
      </c>
      <c r="Q3" s="96">
        <v>0</v>
      </c>
    </row>
    <row r="4" spans="1:31" customFormat="1" x14ac:dyDescent="0.15">
      <c r="A4" s="164" t="s">
        <v>194</v>
      </c>
      <c r="B4" s="96">
        <v>1</v>
      </c>
      <c r="C4" s="96">
        <v>0</v>
      </c>
      <c r="D4" s="96">
        <v>0</v>
      </c>
      <c r="E4" s="96">
        <v>0</v>
      </c>
      <c r="F4" s="96">
        <v>0</v>
      </c>
      <c r="G4" s="96">
        <v>0</v>
      </c>
      <c r="H4" s="96">
        <v>0</v>
      </c>
      <c r="I4" s="96">
        <v>0</v>
      </c>
      <c r="J4" s="96">
        <v>0</v>
      </c>
      <c r="K4" s="96">
        <v>0</v>
      </c>
      <c r="L4" s="96">
        <v>0</v>
      </c>
      <c r="M4" s="96">
        <v>0</v>
      </c>
      <c r="N4" s="96">
        <v>0</v>
      </c>
      <c r="O4" s="96">
        <v>0</v>
      </c>
      <c r="P4" s="96">
        <v>0</v>
      </c>
      <c r="Q4" s="96">
        <v>0</v>
      </c>
    </row>
    <row r="5" spans="1:31" customFormat="1" x14ac:dyDescent="0.15">
      <c r="A5" s="164" t="s">
        <v>195</v>
      </c>
      <c r="B5" s="96">
        <v>1</v>
      </c>
      <c r="C5" s="96">
        <v>0</v>
      </c>
      <c r="D5" s="96">
        <v>1</v>
      </c>
      <c r="E5" s="96">
        <v>0</v>
      </c>
      <c r="F5" s="96">
        <v>0</v>
      </c>
      <c r="G5" s="96">
        <v>0</v>
      </c>
      <c r="H5" s="96">
        <v>0</v>
      </c>
      <c r="I5" s="96">
        <v>0</v>
      </c>
      <c r="J5" s="96">
        <v>0</v>
      </c>
      <c r="K5" s="96">
        <v>0</v>
      </c>
      <c r="L5" s="96">
        <v>0</v>
      </c>
      <c r="M5" s="96">
        <v>0</v>
      </c>
      <c r="N5" s="96">
        <v>0</v>
      </c>
      <c r="O5" s="96">
        <v>0</v>
      </c>
      <c r="P5" s="96">
        <v>0</v>
      </c>
      <c r="Q5" s="96">
        <v>0</v>
      </c>
    </row>
    <row r="6" spans="1:31" customFormat="1" x14ac:dyDescent="0.15">
      <c r="A6" s="164" t="s">
        <v>196</v>
      </c>
      <c r="B6" s="96">
        <v>1</v>
      </c>
      <c r="C6" s="96">
        <v>1</v>
      </c>
      <c r="D6" s="96">
        <v>1</v>
      </c>
      <c r="E6" s="96">
        <v>1</v>
      </c>
      <c r="F6" s="96">
        <v>0</v>
      </c>
      <c r="G6" s="96">
        <v>1</v>
      </c>
      <c r="H6" s="96">
        <v>0</v>
      </c>
      <c r="I6" s="96">
        <v>0</v>
      </c>
      <c r="J6" s="96">
        <v>0</v>
      </c>
      <c r="K6" s="96">
        <v>0</v>
      </c>
      <c r="L6" s="96">
        <v>0</v>
      </c>
      <c r="M6" s="96">
        <v>0</v>
      </c>
      <c r="N6" s="96">
        <v>0</v>
      </c>
      <c r="O6" s="96">
        <v>0</v>
      </c>
      <c r="P6" s="96">
        <v>0</v>
      </c>
      <c r="Q6" s="96">
        <v>0</v>
      </c>
    </row>
    <row r="7" spans="1:31" customFormat="1" x14ac:dyDescent="0.15">
      <c r="A7" s="164" t="s">
        <v>197</v>
      </c>
      <c r="B7" s="96">
        <v>1</v>
      </c>
      <c r="C7" s="96">
        <v>1</v>
      </c>
      <c r="D7" s="96">
        <v>1</v>
      </c>
      <c r="E7" s="96">
        <v>1</v>
      </c>
      <c r="F7" s="96">
        <v>1</v>
      </c>
      <c r="G7" s="96">
        <v>1</v>
      </c>
      <c r="H7" s="96">
        <v>0</v>
      </c>
      <c r="I7" s="96">
        <v>0</v>
      </c>
      <c r="J7" s="96">
        <v>0</v>
      </c>
      <c r="K7" s="96">
        <v>0</v>
      </c>
      <c r="L7" s="96">
        <v>0</v>
      </c>
      <c r="M7" s="96">
        <v>0</v>
      </c>
      <c r="N7" s="96">
        <v>0</v>
      </c>
      <c r="O7" s="96">
        <v>0</v>
      </c>
      <c r="P7" s="96">
        <v>0</v>
      </c>
      <c r="Q7" s="96">
        <v>0</v>
      </c>
    </row>
    <row r="8" spans="1:31" customFormat="1" x14ac:dyDescent="0.15">
      <c r="A8" s="164" t="s">
        <v>198</v>
      </c>
      <c r="B8" s="96">
        <v>1</v>
      </c>
      <c r="C8" s="96">
        <v>1</v>
      </c>
      <c r="D8" s="96">
        <v>1</v>
      </c>
      <c r="E8" s="96">
        <v>1</v>
      </c>
      <c r="F8" s="96">
        <v>0</v>
      </c>
      <c r="G8" s="96">
        <v>1</v>
      </c>
      <c r="H8" s="96">
        <v>0</v>
      </c>
      <c r="I8" s="96">
        <v>0</v>
      </c>
      <c r="J8" s="96">
        <v>0</v>
      </c>
      <c r="K8" s="96">
        <v>0</v>
      </c>
      <c r="L8" s="96">
        <v>0</v>
      </c>
      <c r="M8" s="96">
        <v>0</v>
      </c>
      <c r="N8" s="96">
        <v>0</v>
      </c>
      <c r="O8" s="96">
        <v>0</v>
      </c>
      <c r="P8" s="96">
        <v>0</v>
      </c>
      <c r="Q8" s="96">
        <v>0</v>
      </c>
    </row>
    <row r="9" spans="1:31" customFormat="1" x14ac:dyDescent="0.15">
      <c r="A9" s="164" t="s">
        <v>199</v>
      </c>
      <c r="B9" s="96">
        <v>1</v>
      </c>
      <c r="C9" s="96">
        <v>1</v>
      </c>
      <c r="D9" s="96">
        <v>1</v>
      </c>
      <c r="E9" s="96">
        <v>1</v>
      </c>
      <c r="F9" s="96">
        <v>1</v>
      </c>
      <c r="G9" s="96">
        <v>1</v>
      </c>
      <c r="H9" s="96">
        <v>0</v>
      </c>
      <c r="I9" s="96">
        <v>0</v>
      </c>
      <c r="J9" s="96">
        <v>0</v>
      </c>
      <c r="K9" s="96">
        <v>0</v>
      </c>
      <c r="L9" s="96">
        <v>0</v>
      </c>
      <c r="M9" s="96">
        <v>0</v>
      </c>
      <c r="N9" s="96">
        <v>0</v>
      </c>
      <c r="O9" s="96">
        <v>0</v>
      </c>
      <c r="P9" s="96">
        <v>0</v>
      </c>
      <c r="Q9" s="96">
        <v>0</v>
      </c>
    </row>
    <row r="10" spans="1:31" customFormat="1" x14ac:dyDescent="0.15">
      <c r="A10" s="164" t="s">
        <v>200</v>
      </c>
      <c r="B10" s="96">
        <v>1</v>
      </c>
      <c r="C10" s="96">
        <v>0</v>
      </c>
      <c r="D10" s="96">
        <v>1</v>
      </c>
      <c r="E10" s="96">
        <v>1</v>
      </c>
      <c r="F10" s="96">
        <v>0</v>
      </c>
      <c r="G10" s="96">
        <v>1</v>
      </c>
      <c r="H10" s="96">
        <v>0</v>
      </c>
      <c r="I10" s="96">
        <v>0</v>
      </c>
      <c r="J10" s="96">
        <v>0</v>
      </c>
      <c r="K10" s="96">
        <v>0</v>
      </c>
      <c r="L10" s="96">
        <v>0</v>
      </c>
      <c r="M10" s="96">
        <v>0</v>
      </c>
      <c r="N10" s="96">
        <v>0</v>
      </c>
      <c r="O10" s="96">
        <v>0</v>
      </c>
      <c r="P10" s="96">
        <v>0</v>
      </c>
      <c r="Q10" s="96">
        <v>0</v>
      </c>
    </row>
    <row r="11" spans="1:31" customFormat="1" x14ac:dyDescent="0.15">
      <c r="A11" s="164" t="s">
        <v>201</v>
      </c>
      <c r="B11" s="96">
        <v>1</v>
      </c>
      <c r="C11" s="96">
        <v>1</v>
      </c>
      <c r="D11" s="96">
        <v>1</v>
      </c>
      <c r="E11" s="96">
        <v>1</v>
      </c>
      <c r="F11" s="96">
        <v>1</v>
      </c>
      <c r="G11" s="96">
        <v>1</v>
      </c>
      <c r="H11" s="96">
        <v>1</v>
      </c>
      <c r="I11" s="96">
        <v>1</v>
      </c>
      <c r="J11" s="96">
        <v>1</v>
      </c>
      <c r="K11" s="96">
        <v>1</v>
      </c>
      <c r="L11" s="96">
        <v>1</v>
      </c>
      <c r="M11" s="96">
        <v>0</v>
      </c>
      <c r="N11" s="96">
        <v>0</v>
      </c>
      <c r="O11" s="96">
        <v>0</v>
      </c>
      <c r="P11" s="96">
        <v>0</v>
      </c>
      <c r="Q11" s="96">
        <v>0</v>
      </c>
    </row>
    <row r="12" spans="1:31" customFormat="1" x14ac:dyDescent="0.15">
      <c r="A12" s="164" t="s">
        <v>202</v>
      </c>
      <c r="B12" s="96">
        <v>1</v>
      </c>
      <c r="C12" s="96">
        <v>1</v>
      </c>
      <c r="D12" s="96">
        <v>1</v>
      </c>
      <c r="E12" s="96">
        <v>1</v>
      </c>
      <c r="F12" s="96">
        <v>1</v>
      </c>
      <c r="G12" s="96">
        <v>0</v>
      </c>
      <c r="H12" s="96">
        <v>0</v>
      </c>
      <c r="I12" s="96">
        <v>0</v>
      </c>
      <c r="J12" s="96">
        <v>0</v>
      </c>
      <c r="K12" s="96">
        <v>0</v>
      </c>
      <c r="L12" s="96">
        <v>0</v>
      </c>
      <c r="M12" s="96">
        <v>0</v>
      </c>
      <c r="N12" s="96">
        <v>0</v>
      </c>
      <c r="O12" s="96">
        <v>0</v>
      </c>
      <c r="P12" s="96">
        <v>0</v>
      </c>
      <c r="Q12" s="96">
        <v>0</v>
      </c>
    </row>
    <row r="13" spans="1:31" customFormat="1" x14ac:dyDescent="0.15">
      <c r="A13" s="164" t="s">
        <v>203</v>
      </c>
      <c r="B13" s="96">
        <v>0</v>
      </c>
      <c r="C13" s="96">
        <v>1</v>
      </c>
      <c r="D13" s="96">
        <v>0</v>
      </c>
      <c r="E13" s="96">
        <v>0</v>
      </c>
      <c r="F13" s="96">
        <v>1</v>
      </c>
      <c r="G13" s="96">
        <v>0</v>
      </c>
      <c r="H13" s="96">
        <v>1</v>
      </c>
      <c r="I13" s="96">
        <v>1</v>
      </c>
      <c r="J13" s="96">
        <v>1</v>
      </c>
      <c r="K13" s="96">
        <v>1</v>
      </c>
      <c r="L13" s="96">
        <v>1</v>
      </c>
      <c r="M13" s="96">
        <v>1</v>
      </c>
      <c r="N13" s="96">
        <v>0</v>
      </c>
      <c r="O13" s="96">
        <v>0</v>
      </c>
      <c r="P13" s="96">
        <v>0</v>
      </c>
      <c r="Q13" s="96">
        <v>0</v>
      </c>
    </row>
    <row r="14" spans="1:31" customFormat="1" x14ac:dyDescent="0.15">
      <c r="A14" s="164" t="s">
        <v>204</v>
      </c>
      <c r="B14" s="96">
        <v>0</v>
      </c>
      <c r="C14" s="96">
        <v>0</v>
      </c>
      <c r="D14" s="96">
        <v>0</v>
      </c>
      <c r="E14" s="96">
        <v>0</v>
      </c>
      <c r="F14" s="96">
        <v>1</v>
      </c>
      <c r="G14" s="96">
        <v>0</v>
      </c>
      <c r="H14" s="96">
        <v>1</v>
      </c>
      <c r="I14" s="96">
        <v>1</v>
      </c>
      <c r="J14" s="96">
        <v>1</v>
      </c>
      <c r="K14" s="96">
        <v>1</v>
      </c>
      <c r="L14" s="96">
        <v>1</v>
      </c>
      <c r="M14" s="96">
        <v>1</v>
      </c>
      <c r="N14" s="96">
        <v>0</v>
      </c>
      <c r="O14" s="96">
        <v>0</v>
      </c>
      <c r="P14" s="96">
        <v>0</v>
      </c>
      <c r="Q14" s="96">
        <v>0</v>
      </c>
    </row>
    <row r="15" spans="1:31" customFormat="1" x14ac:dyDescent="0.15">
      <c r="A15" s="164" t="s">
        <v>205</v>
      </c>
      <c r="B15" s="96">
        <v>0</v>
      </c>
      <c r="C15" s="96">
        <v>0</v>
      </c>
      <c r="D15" s="96">
        <v>0</v>
      </c>
      <c r="E15" s="96">
        <v>0</v>
      </c>
      <c r="F15" s="96">
        <v>0</v>
      </c>
      <c r="G15" s="96">
        <v>0</v>
      </c>
      <c r="H15" s="96">
        <v>0</v>
      </c>
      <c r="I15" s="96">
        <v>0</v>
      </c>
      <c r="J15" s="96">
        <v>0</v>
      </c>
      <c r="K15" s="96">
        <v>1</v>
      </c>
      <c r="L15" s="96">
        <v>0</v>
      </c>
      <c r="M15" s="96">
        <v>1</v>
      </c>
      <c r="N15" s="96">
        <v>1</v>
      </c>
      <c r="O15" s="96">
        <v>0</v>
      </c>
      <c r="P15" s="96">
        <v>0</v>
      </c>
      <c r="Q15" s="96">
        <v>0</v>
      </c>
    </row>
    <row r="16" spans="1:31" customFormat="1" x14ac:dyDescent="0.15">
      <c r="A16" s="164" t="s">
        <v>206</v>
      </c>
      <c r="B16" s="96">
        <v>0</v>
      </c>
      <c r="C16" s="96">
        <v>0</v>
      </c>
      <c r="D16" s="96">
        <v>0</v>
      </c>
      <c r="E16" s="96">
        <v>0</v>
      </c>
      <c r="F16" s="96">
        <v>0</v>
      </c>
      <c r="G16" s="96">
        <v>0</v>
      </c>
      <c r="H16" s="96">
        <v>0</v>
      </c>
      <c r="I16" s="96">
        <v>0</v>
      </c>
      <c r="J16" s="96">
        <v>0</v>
      </c>
      <c r="K16" s="96">
        <v>0</v>
      </c>
      <c r="L16" s="96">
        <v>1</v>
      </c>
      <c r="M16" s="96">
        <v>1</v>
      </c>
      <c r="N16" s="96">
        <v>1</v>
      </c>
      <c r="O16" s="96">
        <v>0</v>
      </c>
      <c r="P16" s="96">
        <v>0</v>
      </c>
      <c r="Q16" s="96">
        <v>0</v>
      </c>
    </row>
    <row r="17" spans="1:17" customFormat="1" x14ac:dyDescent="0.15">
      <c r="A17" s="164" t="s">
        <v>207</v>
      </c>
      <c r="B17" s="96">
        <v>0</v>
      </c>
      <c r="C17" s="96">
        <v>0</v>
      </c>
      <c r="D17" s="96">
        <v>0</v>
      </c>
      <c r="E17" s="96">
        <v>0</v>
      </c>
      <c r="F17" s="96">
        <v>0</v>
      </c>
      <c r="G17" s="96">
        <v>0</v>
      </c>
      <c r="H17" s="96">
        <v>0</v>
      </c>
      <c r="I17" s="96">
        <v>0</v>
      </c>
      <c r="J17" s="96">
        <v>0</v>
      </c>
      <c r="K17" s="96">
        <v>0</v>
      </c>
      <c r="L17" s="96">
        <v>0</v>
      </c>
      <c r="M17" s="96">
        <v>0</v>
      </c>
      <c r="N17" s="96">
        <v>0</v>
      </c>
      <c r="O17" s="96">
        <v>0</v>
      </c>
      <c r="P17" s="96">
        <v>0</v>
      </c>
      <c r="Q17" s="96">
        <v>0</v>
      </c>
    </row>
    <row r="18" spans="1:17" customFormat="1" x14ac:dyDescent="0.15">
      <c r="A18" s="164" t="s">
        <v>211</v>
      </c>
      <c r="B18" s="96">
        <v>0</v>
      </c>
      <c r="C18" s="96">
        <v>0</v>
      </c>
      <c r="D18" s="96">
        <v>0</v>
      </c>
      <c r="E18" s="96">
        <v>0</v>
      </c>
      <c r="F18" s="96">
        <v>0</v>
      </c>
      <c r="G18" s="96">
        <v>1</v>
      </c>
      <c r="H18" s="96">
        <v>0</v>
      </c>
      <c r="I18" s="96">
        <v>0</v>
      </c>
      <c r="J18" s="96">
        <v>1</v>
      </c>
      <c r="K18" s="96">
        <v>0</v>
      </c>
      <c r="L18" s="96">
        <v>0</v>
      </c>
      <c r="M18" s="96">
        <v>0</v>
      </c>
      <c r="N18" s="96">
        <v>0</v>
      </c>
      <c r="O18" s="96">
        <v>0</v>
      </c>
      <c r="P18" s="96">
        <v>0</v>
      </c>
      <c r="Q18" s="96">
        <v>0</v>
      </c>
    </row>
    <row r="19" spans="1:17" customFormat="1" x14ac:dyDescent="0.15"/>
    <row r="20" spans="1:17" customFormat="1" x14ac:dyDescent="0.15"/>
    <row r="21" spans="1:17" customFormat="1" x14ac:dyDescent="0.15"/>
    <row r="22" spans="1:17" customFormat="1" x14ac:dyDescent="0.15"/>
    <row r="23" spans="1:17" customFormat="1" x14ac:dyDescent="0.15"/>
    <row r="24" spans="1:17" customFormat="1" x14ac:dyDescent="0.15"/>
    <row r="25" spans="1:17" customFormat="1" x14ac:dyDescent="0.15"/>
    <row r="26" spans="1:17" customFormat="1" x14ac:dyDescent="0.15"/>
    <row r="27" spans="1:17" customFormat="1" x14ac:dyDescent="0.15"/>
    <row r="28" spans="1:17" customFormat="1" x14ac:dyDescent="0.15"/>
    <row r="29" spans="1:17" customFormat="1" x14ac:dyDescent="0.15"/>
    <row r="30" spans="1:17" customFormat="1" x14ac:dyDescent="0.15"/>
    <row r="31" spans="1:1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E185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664062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83</v>
      </c>
      <c r="B1" s="3" t="s">
        <v>0</v>
      </c>
      <c r="C1" s="167" t="s">
        <v>208</v>
      </c>
      <c r="D1" s="167" t="s">
        <v>209</v>
      </c>
      <c r="E1" s="167" t="s">
        <v>210</v>
      </c>
    </row>
    <row r="2" spans="1:5" x14ac:dyDescent="0.15">
      <c r="A2">
        <v>1</v>
      </c>
      <c r="B2" s="166" t="s">
        <v>192</v>
      </c>
      <c r="C2">
        <v>0.8</v>
      </c>
      <c r="D2">
        <v>0</v>
      </c>
      <c r="E2">
        <v>0</v>
      </c>
    </row>
    <row r="3" spans="1:5" x14ac:dyDescent="0.15">
      <c r="A3">
        <v>2</v>
      </c>
      <c r="B3" s="166" t="s">
        <v>193</v>
      </c>
      <c r="C3">
        <v>0.8</v>
      </c>
      <c r="D3">
        <v>0</v>
      </c>
      <c r="E3">
        <v>0</v>
      </c>
    </row>
    <row r="4" spans="1:5" x14ac:dyDescent="0.15">
      <c r="A4">
        <v>3</v>
      </c>
      <c r="B4" s="166" t="s">
        <v>194</v>
      </c>
      <c r="C4">
        <v>0.8</v>
      </c>
      <c r="D4">
        <v>0.8</v>
      </c>
      <c r="E4">
        <v>0</v>
      </c>
    </row>
    <row r="5" spans="1:5" x14ac:dyDescent="0.15">
      <c r="A5">
        <v>4</v>
      </c>
      <c r="B5" s="166" t="s">
        <v>195</v>
      </c>
      <c r="C5">
        <v>0.8</v>
      </c>
      <c r="D5">
        <v>0</v>
      </c>
      <c r="E5">
        <v>0</v>
      </c>
    </row>
    <row r="6" spans="1:5" x14ac:dyDescent="0.15">
      <c r="A6">
        <v>5</v>
      </c>
      <c r="B6" s="166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66" t="s">
        <v>197</v>
      </c>
      <c r="C7">
        <v>0.8</v>
      </c>
      <c r="D7">
        <v>0.8</v>
      </c>
      <c r="E7">
        <v>0</v>
      </c>
    </row>
    <row r="8" spans="1:5" x14ac:dyDescent="0.15">
      <c r="A8">
        <v>7</v>
      </c>
      <c r="B8" s="166" t="s">
        <v>198</v>
      </c>
      <c r="C8">
        <v>0</v>
      </c>
      <c r="D8">
        <v>0</v>
      </c>
      <c r="E8">
        <v>0.8</v>
      </c>
    </row>
    <row r="9" spans="1:5" x14ac:dyDescent="0.15">
      <c r="A9">
        <v>8</v>
      </c>
      <c r="B9" s="166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66" t="s">
        <v>200</v>
      </c>
      <c r="C10">
        <v>0</v>
      </c>
      <c r="D10">
        <v>0.8</v>
      </c>
      <c r="E10">
        <v>0</v>
      </c>
    </row>
    <row r="11" spans="1:5" x14ac:dyDescent="0.15">
      <c r="A11">
        <v>10</v>
      </c>
      <c r="B11" s="166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66" t="s">
        <v>202</v>
      </c>
      <c r="C12">
        <v>0</v>
      </c>
      <c r="D12">
        <v>0.8</v>
      </c>
      <c r="E12">
        <v>0</v>
      </c>
    </row>
    <row r="13" spans="1:5" x14ac:dyDescent="0.15">
      <c r="A13">
        <v>12</v>
      </c>
      <c r="B13" s="166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66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66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66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66" t="s">
        <v>207</v>
      </c>
      <c r="C17">
        <v>0</v>
      </c>
      <c r="D17">
        <v>0</v>
      </c>
      <c r="E17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E17"/>
  <sheetViews>
    <sheetView workbookViewId="0">
      <selection activeCell="A3" sqref="A3"/>
    </sheetView>
  </sheetViews>
  <sheetFormatPr baseColWidth="10" defaultRowHeight="13" x14ac:dyDescent="0.15"/>
  <cols>
    <col min="1" max="1" width="3.33203125" customWidth="1"/>
    <col min="2" max="2" width="16.6640625" bestFit="1" customWidth="1"/>
    <col min="3" max="4" width="3.83203125" bestFit="1" customWidth="1"/>
    <col min="5" max="5" width="3.83203125" customWidth="1"/>
  </cols>
  <sheetData>
    <row r="1" spans="1:5" ht="112" x14ac:dyDescent="0.15">
      <c r="A1" s="5" t="s">
        <v>82</v>
      </c>
      <c r="B1" s="3" t="s">
        <v>0</v>
      </c>
      <c r="C1" s="169" t="s">
        <v>208</v>
      </c>
      <c r="D1" s="169" t="s">
        <v>209</v>
      </c>
      <c r="E1" s="169" t="s">
        <v>210</v>
      </c>
    </row>
    <row r="2" spans="1:5" x14ac:dyDescent="0.15">
      <c r="A2">
        <v>1</v>
      </c>
      <c r="B2" s="168" t="s">
        <v>192</v>
      </c>
      <c r="C2">
        <v>0.8</v>
      </c>
      <c r="D2">
        <v>0</v>
      </c>
      <c r="E2">
        <v>0</v>
      </c>
    </row>
    <row r="3" spans="1:5" x14ac:dyDescent="0.15">
      <c r="A3">
        <v>2</v>
      </c>
      <c r="B3" s="168" t="s">
        <v>193</v>
      </c>
      <c r="C3">
        <v>0.8</v>
      </c>
      <c r="D3">
        <v>0</v>
      </c>
      <c r="E3">
        <v>0</v>
      </c>
    </row>
    <row r="4" spans="1:5" x14ac:dyDescent="0.15">
      <c r="A4">
        <v>3</v>
      </c>
      <c r="B4" s="168" t="s">
        <v>194</v>
      </c>
      <c r="C4">
        <v>0.8</v>
      </c>
      <c r="D4">
        <v>0.8</v>
      </c>
      <c r="E4">
        <v>0</v>
      </c>
    </row>
    <row r="5" spans="1:5" x14ac:dyDescent="0.15">
      <c r="A5">
        <v>4</v>
      </c>
      <c r="B5" s="168" t="s">
        <v>195</v>
      </c>
      <c r="C5">
        <v>0.8</v>
      </c>
      <c r="D5">
        <v>0</v>
      </c>
      <c r="E5">
        <v>0</v>
      </c>
    </row>
    <row r="6" spans="1:5" x14ac:dyDescent="0.15">
      <c r="A6">
        <v>5</v>
      </c>
      <c r="B6" s="168" t="s">
        <v>196</v>
      </c>
      <c r="C6">
        <v>0</v>
      </c>
      <c r="D6">
        <v>0</v>
      </c>
      <c r="E6">
        <v>0</v>
      </c>
    </row>
    <row r="7" spans="1:5" x14ac:dyDescent="0.15">
      <c r="A7">
        <v>6</v>
      </c>
      <c r="B7" s="168" t="s">
        <v>197</v>
      </c>
      <c r="C7">
        <v>0.8</v>
      </c>
      <c r="D7">
        <v>0.8</v>
      </c>
      <c r="E7">
        <v>0</v>
      </c>
    </row>
    <row r="8" spans="1:5" x14ac:dyDescent="0.15">
      <c r="A8">
        <v>7</v>
      </c>
      <c r="B8" s="168" t="s">
        <v>198</v>
      </c>
      <c r="C8">
        <v>0</v>
      </c>
      <c r="D8">
        <v>0</v>
      </c>
      <c r="E8">
        <v>0.8</v>
      </c>
    </row>
    <row r="9" spans="1:5" x14ac:dyDescent="0.15">
      <c r="A9">
        <v>8</v>
      </c>
      <c r="B9" s="168" t="s">
        <v>199</v>
      </c>
      <c r="C9">
        <v>0</v>
      </c>
      <c r="D9">
        <v>0</v>
      </c>
      <c r="E9">
        <v>0</v>
      </c>
    </row>
    <row r="10" spans="1:5" x14ac:dyDescent="0.15">
      <c r="A10">
        <v>9</v>
      </c>
      <c r="B10" s="168" t="s">
        <v>200</v>
      </c>
      <c r="C10">
        <v>0</v>
      </c>
      <c r="D10">
        <v>0.8</v>
      </c>
      <c r="E10">
        <v>0</v>
      </c>
    </row>
    <row r="11" spans="1:5" x14ac:dyDescent="0.15">
      <c r="A11">
        <v>10</v>
      </c>
      <c r="B11" s="168" t="s">
        <v>201</v>
      </c>
      <c r="C11">
        <v>0</v>
      </c>
      <c r="D11">
        <v>0</v>
      </c>
      <c r="E11">
        <v>0</v>
      </c>
    </row>
    <row r="12" spans="1:5" x14ac:dyDescent="0.15">
      <c r="A12">
        <v>11</v>
      </c>
      <c r="B12" s="168" t="s">
        <v>202</v>
      </c>
      <c r="C12">
        <v>0</v>
      </c>
      <c r="D12">
        <v>0.8</v>
      </c>
      <c r="E12">
        <v>0</v>
      </c>
    </row>
    <row r="13" spans="1:5" x14ac:dyDescent="0.15">
      <c r="A13">
        <v>12</v>
      </c>
      <c r="B13" s="168" t="s">
        <v>203</v>
      </c>
      <c r="C13">
        <v>0</v>
      </c>
      <c r="D13">
        <v>0</v>
      </c>
      <c r="E13">
        <v>0</v>
      </c>
    </row>
    <row r="14" spans="1:5" x14ac:dyDescent="0.15">
      <c r="A14">
        <v>13</v>
      </c>
      <c r="B14" s="168" t="s">
        <v>204</v>
      </c>
      <c r="C14">
        <v>0</v>
      </c>
      <c r="D14">
        <v>0</v>
      </c>
      <c r="E14">
        <v>0</v>
      </c>
    </row>
    <row r="15" spans="1:5" x14ac:dyDescent="0.15">
      <c r="A15">
        <v>14</v>
      </c>
      <c r="B15" s="168" t="s">
        <v>205</v>
      </c>
      <c r="C15">
        <v>0</v>
      </c>
      <c r="D15">
        <v>0</v>
      </c>
      <c r="E15">
        <v>0</v>
      </c>
    </row>
    <row r="16" spans="1:5" x14ac:dyDescent="0.15">
      <c r="A16">
        <v>15</v>
      </c>
      <c r="B16" s="168" t="s">
        <v>206</v>
      </c>
      <c r="C16">
        <v>0</v>
      </c>
      <c r="D16">
        <v>0</v>
      </c>
      <c r="E16">
        <v>0</v>
      </c>
    </row>
    <row r="17" spans="1:5" x14ac:dyDescent="0.15">
      <c r="A17">
        <v>16</v>
      </c>
      <c r="B17" s="168" t="s">
        <v>207</v>
      </c>
      <c r="C17">
        <v>0</v>
      </c>
      <c r="D17">
        <v>0</v>
      </c>
      <c r="E17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tabSelected="1"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K4" sqref="K4"/>
    </sheetView>
  </sheetViews>
  <sheetFormatPr baseColWidth="10" defaultColWidth="8.83203125" defaultRowHeight="15" customHeight="1" x14ac:dyDescent="0.15"/>
  <cols>
    <col min="1" max="1" width="8.83203125" style="70"/>
    <col min="2" max="2" width="41.83203125" style="70" bestFit="1" customWidth="1"/>
    <col min="3" max="3" width="9.33203125" style="70" bestFit="1" customWidth="1"/>
    <col min="4" max="4" width="13" style="70" bestFit="1" customWidth="1"/>
    <col min="5" max="6" width="9.33203125" style="70" bestFit="1" customWidth="1"/>
    <col min="7" max="7" width="9.33203125" style="86" bestFit="1" customWidth="1"/>
    <col min="8" max="8" width="9.33203125" style="70" bestFit="1" customWidth="1"/>
    <col min="9" max="9" width="11" style="70" customWidth="1"/>
    <col min="10" max="10" width="8.83203125" style="70"/>
    <col min="15" max="16384" width="8.83203125" style="70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8" t="s">
        <v>14</v>
      </c>
      <c r="H1" s="1" t="s">
        <v>26</v>
      </c>
      <c r="I1" s="1" t="s">
        <v>24</v>
      </c>
    </row>
    <row r="2" spans="1:10" ht="15" customHeight="1" x14ac:dyDescent="0.15">
      <c r="A2" s="132">
        <v>1</v>
      </c>
      <c r="B2" s="132" t="s">
        <v>192</v>
      </c>
      <c r="C2" s="8">
        <v>4.5110526084899902</v>
      </c>
      <c r="D2" s="9">
        <v>0.60000002384185791</v>
      </c>
      <c r="E2" s="9">
        <v>0.18000000715255737</v>
      </c>
      <c r="F2" s="9">
        <v>3.2999999523162842</v>
      </c>
      <c r="G2" s="9">
        <v>0.33101847767829895</v>
      </c>
      <c r="H2" s="9">
        <v>5.4545458406209946E-2</v>
      </c>
      <c r="I2">
        <v>3.3769998699426651E-2</v>
      </c>
      <c r="J2"/>
    </row>
    <row r="3" spans="1:10" ht="15" customHeight="1" x14ac:dyDescent="0.15">
      <c r="A3" s="133">
        <v>2</v>
      </c>
      <c r="B3" s="133" t="s">
        <v>193</v>
      </c>
      <c r="C3" s="8">
        <v>4.2398719787597656</v>
      </c>
      <c r="D3" s="9">
        <v>0.15000000596046448</v>
      </c>
      <c r="E3" s="9">
        <v>0.47999998927116394</v>
      </c>
      <c r="F3" s="9">
        <v>3.7999999523162842</v>
      </c>
      <c r="G3" s="9">
        <v>0.63581526279449463</v>
      </c>
      <c r="H3" s="9">
        <v>0.12631578743457794</v>
      </c>
      <c r="I3">
        <v>1.9999999552965164E-2</v>
      </c>
      <c r="J3"/>
    </row>
    <row r="4" spans="1:10" ht="15" customHeight="1" x14ac:dyDescent="0.15">
      <c r="A4" s="134">
        <v>3</v>
      </c>
      <c r="B4" s="134" t="s">
        <v>194</v>
      </c>
      <c r="C4" s="8">
        <v>3.891211986541748</v>
      </c>
      <c r="D4" s="9">
        <v>1.1339999437332153</v>
      </c>
      <c r="E4" s="9">
        <v>3.9999999105930328E-2</v>
      </c>
      <c r="F4" s="9">
        <v>1.7999999523162842</v>
      </c>
      <c r="G4" s="9">
        <v>0.59479719400405884</v>
      </c>
      <c r="H4" s="9">
        <v>2.222222276031971E-2</v>
      </c>
      <c r="I4">
        <v>2.4999998509883881E-2</v>
      </c>
      <c r="J4"/>
    </row>
    <row r="5" spans="1:10" ht="15" customHeight="1" x14ac:dyDescent="0.15">
      <c r="A5" s="135">
        <v>4</v>
      </c>
      <c r="B5" s="135" t="s">
        <v>195</v>
      </c>
      <c r="C5" s="8">
        <v>4.0049943923950195</v>
      </c>
      <c r="D5" s="9">
        <v>0.91900002956390381</v>
      </c>
      <c r="E5" s="9">
        <v>0.60000002384185791</v>
      </c>
      <c r="F5" s="9">
        <v>2.4000000953674316</v>
      </c>
      <c r="G5" s="9">
        <v>0.24305619299411774</v>
      </c>
      <c r="H5" s="9">
        <v>0.25</v>
      </c>
      <c r="I5">
        <v>0.12999999523162842</v>
      </c>
      <c r="J5"/>
    </row>
    <row r="6" spans="1:10" ht="15" customHeight="1" x14ac:dyDescent="0.15">
      <c r="A6" s="136">
        <v>5</v>
      </c>
      <c r="B6" s="136" t="s">
        <v>196</v>
      </c>
      <c r="C6" s="8">
        <v>3.6787173748016357</v>
      </c>
      <c r="D6" s="9">
        <v>0.14900000393390656</v>
      </c>
      <c r="E6" s="9">
        <v>1.6000000238418579</v>
      </c>
      <c r="F6" s="9">
        <v>5.3333330154418945</v>
      </c>
      <c r="G6" s="9">
        <v>0.29024618864059448</v>
      </c>
      <c r="H6" s="9">
        <v>0.30000001192092896</v>
      </c>
      <c r="I6">
        <v>0</v>
      </c>
      <c r="J6"/>
    </row>
    <row r="7" spans="1:10" ht="15" customHeight="1" x14ac:dyDescent="0.15">
      <c r="A7" s="137">
        <v>6</v>
      </c>
      <c r="B7" s="137" t="s">
        <v>197</v>
      </c>
      <c r="C7" s="8">
        <v>3.6730887889862061</v>
      </c>
      <c r="D7" s="9">
        <v>8.5</v>
      </c>
      <c r="E7" s="9">
        <v>0.51999998092651367</v>
      </c>
      <c r="F7" s="9">
        <v>2.5</v>
      </c>
      <c r="G7" s="9">
        <v>0.98545223474502563</v>
      </c>
      <c r="H7" s="9">
        <v>0.20799998939037323</v>
      </c>
      <c r="I7">
        <v>1.6499999761581421</v>
      </c>
      <c r="J7"/>
    </row>
    <row r="8" spans="1:10" ht="15" customHeight="1" x14ac:dyDescent="0.15">
      <c r="A8" s="138">
        <v>7</v>
      </c>
      <c r="B8" s="138" t="s">
        <v>198</v>
      </c>
      <c r="C8" s="8">
        <v>3.6076533794403076</v>
      </c>
      <c r="D8" s="9">
        <v>6.0999999046325684</v>
      </c>
      <c r="E8" s="9">
        <v>0.67000001668930054</v>
      </c>
      <c r="F8" s="9">
        <v>4</v>
      </c>
      <c r="G8" s="9">
        <v>0.7938607931137085</v>
      </c>
      <c r="H8" s="9">
        <v>0.16750000417232513</v>
      </c>
      <c r="I8">
        <v>2.0499999523162842</v>
      </c>
      <c r="J8"/>
    </row>
    <row r="9" spans="1:10" ht="15" customHeight="1" x14ac:dyDescent="0.15">
      <c r="A9" s="139">
        <v>8</v>
      </c>
      <c r="B9" s="139" t="s">
        <v>199</v>
      </c>
      <c r="C9" s="8">
        <v>3.5407187938690186</v>
      </c>
      <c r="D9" s="9">
        <v>3.621999979019165</v>
      </c>
      <c r="E9" s="9">
        <v>1.2300000190734863</v>
      </c>
      <c r="F9" s="9">
        <v>11.060000419616699</v>
      </c>
      <c r="G9" s="9">
        <v>0.42971748113632202</v>
      </c>
      <c r="H9" s="9">
        <v>0.11121156811714172</v>
      </c>
      <c r="I9">
        <v>0</v>
      </c>
      <c r="J9"/>
    </row>
    <row r="10" spans="1:10" ht="15" customHeight="1" x14ac:dyDescent="0.15">
      <c r="A10" s="140">
        <v>9</v>
      </c>
      <c r="B10" s="140" t="s">
        <v>200</v>
      </c>
      <c r="C10" s="8">
        <v>3.3360188007354736</v>
      </c>
      <c r="D10" s="9">
        <v>0.21080532670021057</v>
      </c>
      <c r="E10" s="9">
        <v>0.4699999988079071</v>
      </c>
      <c r="F10" s="9">
        <v>4.3000001907348633</v>
      </c>
      <c r="G10" s="9">
        <v>0.42213359475135803</v>
      </c>
      <c r="H10" s="9">
        <v>0.10930231958627701</v>
      </c>
      <c r="I10">
        <v>9.9999997764825821E-3</v>
      </c>
      <c r="J10"/>
    </row>
    <row r="11" spans="1:10" ht="15" customHeight="1" x14ac:dyDescent="0.15">
      <c r="A11" s="141">
        <v>10</v>
      </c>
      <c r="B11" s="141" t="s">
        <v>201</v>
      </c>
      <c r="C11" s="8">
        <v>2.6128950119018555</v>
      </c>
      <c r="D11" s="9">
        <v>18.610477447509766</v>
      </c>
      <c r="E11" s="9">
        <v>7.9000000953674316</v>
      </c>
      <c r="F11" s="9">
        <v>65</v>
      </c>
      <c r="G11" s="9">
        <v>0.59999513626098633</v>
      </c>
      <c r="H11" s="9">
        <v>0.12153846025466919</v>
      </c>
      <c r="I11">
        <v>0</v>
      </c>
      <c r="J11"/>
    </row>
    <row r="12" spans="1:10" ht="15" customHeight="1" x14ac:dyDescent="0.15">
      <c r="A12" s="142">
        <v>11</v>
      </c>
      <c r="B12" s="142" t="s">
        <v>202</v>
      </c>
      <c r="C12" s="8">
        <v>2.0400807857513428</v>
      </c>
      <c r="D12" s="9">
        <v>0.38807088136672974</v>
      </c>
      <c r="E12" s="9">
        <v>0.60000002384185791</v>
      </c>
      <c r="F12" s="9">
        <v>12</v>
      </c>
      <c r="G12" s="9">
        <v>0.94999992847442627</v>
      </c>
      <c r="H12" s="9">
        <v>5.000000074505806E-2</v>
      </c>
      <c r="I12">
        <v>3.0000000260770321E-3</v>
      </c>
      <c r="J12"/>
    </row>
    <row r="13" spans="1:10" ht="15" customHeight="1" x14ac:dyDescent="0.15">
      <c r="A13" s="143">
        <v>12</v>
      </c>
      <c r="B13" s="143" t="s">
        <v>203</v>
      </c>
      <c r="C13" s="8">
        <v>2.3951611518859863</v>
      </c>
      <c r="D13" s="9">
        <v>10.628761291503906</v>
      </c>
      <c r="E13" s="9">
        <v>27</v>
      </c>
      <c r="F13" s="9">
        <v>60</v>
      </c>
      <c r="G13" s="9">
        <v>0.94999998807907104</v>
      </c>
      <c r="H13" s="9">
        <v>0.44999998807907104</v>
      </c>
      <c r="I13">
        <v>0</v>
      </c>
      <c r="J13"/>
    </row>
    <row r="14" spans="1:10" ht="15" customHeight="1" x14ac:dyDescent="0.15">
      <c r="A14" s="144">
        <v>13</v>
      </c>
      <c r="B14" s="144" t="s">
        <v>204</v>
      </c>
      <c r="C14" s="8">
        <v>2</v>
      </c>
      <c r="D14" s="9">
        <v>15.729610443115234</v>
      </c>
      <c r="E14" s="9">
        <v>40</v>
      </c>
      <c r="F14" s="9">
        <v>183.30000305175781</v>
      </c>
      <c r="G14" s="9">
        <v>0.95000004768371582</v>
      </c>
      <c r="H14" s="9">
        <v>0.21822148561477661</v>
      </c>
      <c r="I14">
        <v>0</v>
      </c>
      <c r="J14"/>
    </row>
    <row r="15" spans="1:10" ht="15" customHeight="1" x14ac:dyDescent="0.15">
      <c r="A15" s="145">
        <v>14</v>
      </c>
      <c r="B15" s="145" t="s">
        <v>205</v>
      </c>
      <c r="C15" s="8">
        <v>1</v>
      </c>
      <c r="D15" s="9">
        <v>35.783966064453125</v>
      </c>
      <c r="E15" s="9">
        <v>123</v>
      </c>
      <c r="F15" s="10"/>
      <c r="G15" s="9">
        <v>0.80000001192092896</v>
      </c>
      <c r="H15" s="10"/>
      <c r="I15">
        <v>0</v>
      </c>
      <c r="J15"/>
    </row>
    <row r="16" spans="1:10" ht="15" customHeight="1" x14ac:dyDescent="0.15">
      <c r="A16" s="146">
        <v>15</v>
      </c>
      <c r="B16" s="146" t="s">
        <v>206</v>
      </c>
      <c r="C16" s="8">
        <v>1</v>
      </c>
      <c r="D16" s="10"/>
      <c r="E16" s="10"/>
      <c r="F16" s="10"/>
      <c r="G16" s="7">
        <v>0.12092942744493484</v>
      </c>
      <c r="H16" s="10"/>
      <c r="I16">
        <v>0</v>
      </c>
      <c r="J16"/>
    </row>
    <row r="17" spans="1:10" ht="15" customHeight="1" x14ac:dyDescent="0.15">
      <c r="A17" s="147">
        <v>16</v>
      </c>
      <c r="B17" s="147" t="s">
        <v>207</v>
      </c>
      <c r="C17" s="8">
        <v>1</v>
      </c>
      <c r="D17" s="9">
        <v>5</v>
      </c>
      <c r="E17" s="10"/>
      <c r="F17" s="10"/>
      <c r="G17" s="7">
        <v>0</v>
      </c>
      <c r="H17" s="10"/>
      <c r="I17">
        <v>0</v>
      </c>
      <c r="J17"/>
    </row>
    <row r="18" spans="1:10" ht="15" customHeight="1" x14ac:dyDescent="0.15">
      <c r="A18" s="148">
        <v>17</v>
      </c>
      <c r="B18" s="148" t="s">
        <v>208</v>
      </c>
      <c r="C18" s="8">
        <v>4.7237448692321777</v>
      </c>
      <c r="D18" s="10"/>
      <c r="E18" s="10"/>
      <c r="F18" s="10"/>
      <c r="G18" s="10"/>
      <c r="H18" s="10"/>
      <c r="I18">
        <v>1.6987700462341309</v>
      </c>
      <c r="J18"/>
    </row>
    <row r="19" spans="1:10" ht="15" customHeight="1" x14ac:dyDescent="0.15">
      <c r="A19" s="149">
        <v>18</v>
      </c>
      <c r="B19" s="149" t="s">
        <v>209</v>
      </c>
      <c r="C19" s="8">
        <v>4.6378951072692871</v>
      </c>
      <c r="D19" s="10"/>
      <c r="E19" s="10"/>
      <c r="F19" s="10"/>
      <c r="G19" s="10"/>
      <c r="H19" s="10"/>
      <c r="I19">
        <v>0.1730000227689743</v>
      </c>
      <c r="J19"/>
    </row>
    <row r="20" spans="1:10" ht="15" customHeight="1" x14ac:dyDescent="0.15">
      <c r="A20" s="150">
        <v>19</v>
      </c>
      <c r="B20" s="150" t="s">
        <v>210</v>
      </c>
      <c r="C20" s="8">
        <v>4.6076531410217285</v>
      </c>
      <c r="D20" s="10"/>
      <c r="E20" s="10"/>
      <c r="F20" s="10"/>
      <c r="G20" s="10"/>
      <c r="H20" s="10"/>
      <c r="I20">
        <v>2.0499999523162842</v>
      </c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70" bestFit="1" customWidth="1"/>
    <col min="2" max="4" width="9.5" style="70" bestFit="1" customWidth="1"/>
    <col min="5" max="7" width="9" style="70" bestFit="1" customWidth="1"/>
    <col min="8" max="16" width="12.6640625" style="70" bestFit="1" customWidth="1"/>
    <col min="17" max="17" width="12.33203125" style="70" bestFit="1" customWidth="1"/>
    <col min="18" max="18" width="8.83203125" style="70"/>
    <col min="19" max="21" width="9.33203125" style="70" bestFit="1" customWidth="1"/>
    <col min="22" max="23" width="8.83203125" style="70"/>
    <col min="24" max="24" width="9.33203125" style="70" bestFit="1" customWidth="1"/>
    <col min="25" max="27" width="8.83203125" style="70"/>
    <col min="28" max="58" width="9" style="70" bestFit="1" customWidth="1"/>
    <col min="59" max="59" width="12.33203125" style="70" bestFit="1" customWidth="1"/>
    <col min="60" max="60" width="9" style="70" bestFit="1" customWidth="1"/>
    <col min="61" max="61" width="11.33203125" style="70" bestFit="1" customWidth="1"/>
    <col min="62" max="77" width="9" style="70" bestFit="1" customWidth="1"/>
    <col min="78" max="78" width="12.33203125" style="70" bestFit="1" customWidth="1"/>
    <col min="79" max="79" width="9" style="70" bestFit="1" customWidth="1"/>
    <col min="80" max="80" width="12.33203125" style="70" bestFit="1" customWidth="1"/>
    <col min="81" max="107" width="9" style="70" bestFit="1" customWidth="1"/>
    <col min="108" max="108" width="11.33203125" style="70" bestFit="1" customWidth="1"/>
    <col min="109" max="124" width="9" style="70" bestFit="1" customWidth="1"/>
    <col min="125" max="125" width="10.33203125" style="70" bestFit="1" customWidth="1"/>
    <col min="126" max="129" width="9.33203125" style="70" bestFit="1" customWidth="1"/>
    <col min="130" max="130" width="9" style="70" bestFit="1" customWidth="1"/>
    <col min="131" max="134" width="9.33203125" style="70" bestFit="1" customWidth="1"/>
    <col min="135" max="165" width="9" style="70" bestFit="1" customWidth="1"/>
    <col min="166" max="166" width="12.33203125" style="70" bestFit="1" customWidth="1"/>
    <col min="167" max="170" width="9" style="70" bestFit="1" customWidth="1"/>
    <col min="171" max="176" width="8.83203125" style="70"/>
    <col min="177" max="177" width="13.83203125" style="70" bestFit="1" customWidth="1"/>
    <col min="178" max="16384" width="8.83203125" style="70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215</v>
      </c>
      <c r="E1" t="s">
        <v>216</v>
      </c>
      <c r="F1" t="s">
        <v>217</v>
      </c>
      <c r="G1" t="s">
        <v>192</v>
      </c>
      <c r="H1" t="s">
        <v>193</v>
      </c>
      <c r="I1" t="s">
        <v>194</v>
      </c>
      <c r="J1" t="s">
        <v>195</v>
      </c>
      <c r="K1" t="s">
        <v>196</v>
      </c>
      <c r="L1" t="s">
        <v>197</v>
      </c>
      <c r="M1" t="s">
        <v>198</v>
      </c>
      <c r="N1" t="s">
        <v>199</v>
      </c>
      <c r="O1" t="s">
        <v>200</v>
      </c>
      <c r="P1" t="s">
        <v>201</v>
      </c>
      <c r="Q1" t="s">
        <v>202</v>
      </c>
      <c r="R1" t="s">
        <v>203</v>
      </c>
      <c r="S1" t="s">
        <v>204</v>
      </c>
      <c r="T1" t="s">
        <v>205</v>
      </c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0.18000000715255737</v>
      </c>
      <c r="C2">
        <v>0.12041667848825455</v>
      </c>
      <c r="D2" s="178">
        <v>5.6283328682184219E-2</v>
      </c>
      <c r="E2"/>
      <c r="F2"/>
      <c r="G2" s="16">
        <v>3.3000002149492502E-3</v>
      </c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0.47999998927116394</v>
      </c>
      <c r="C3">
        <v>0.17480866611003876</v>
      </c>
      <c r="D3" s="179">
        <v>0.13333332538604736</v>
      </c>
      <c r="E3"/>
      <c r="F3"/>
      <c r="G3" s="57">
        <v>2.6400001719594002E-2</v>
      </c>
      <c r="H3" s="19">
        <v>3.8000000640749931E-3</v>
      </c>
      <c r="I3"/>
      <c r="J3"/>
      <c r="K3"/>
      <c r="L3" s="95">
        <v>0.1416579931974411</v>
      </c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3.9999999105930328E-2</v>
      </c>
      <c r="C4">
        <v>1.6208112239837646E-2</v>
      </c>
      <c r="D4" s="180">
        <v>1.3227513991296291E-2</v>
      </c>
      <c r="E4" s="182">
        <v>8.818342350423336E-3</v>
      </c>
      <c r="F4"/>
      <c r="G4" s="17">
        <v>1.7460320377722383E-3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0.60000002384185791</v>
      </c>
      <c r="C5">
        <v>0.45416629314422607</v>
      </c>
      <c r="D5" s="181">
        <v>0.14145809412002563</v>
      </c>
      <c r="E5"/>
      <c r="F5"/>
      <c r="G5" s="12">
        <v>2.1545158233493567E-3</v>
      </c>
      <c r="H5"/>
      <c r="I5" s="12">
        <v>2.2211098112165928E-3</v>
      </c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1.6000000238418579</v>
      </c>
      <c r="C6">
        <v>1.1356061697006226</v>
      </c>
      <c r="D6"/>
      <c r="E6"/>
      <c r="F6"/>
      <c r="G6" s="59">
        <v>6.6442951560020447E-2</v>
      </c>
      <c r="H6" s="12">
        <v>7.6510068029165268E-3</v>
      </c>
      <c r="I6" s="188">
        <v>0.23288856446743011</v>
      </c>
      <c r="J6" s="14">
        <v>1.4802685938775539E-2</v>
      </c>
      <c r="K6"/>
      <c r="L6" s="187">
        <v>0.14260871708393097</v>
      </c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0.51999998092651367</v>
      </c>
      <c r="C7">
        <v>7.5648375786840916E-3</v>
      </c>
      <c r="D7" s="126">
        <v>0.17647059261798859</v>
      </c>
      <c r="E7" s="183">
        <v>1.7647059634327888E-2</v>
      </c>
      <c r="F7"/>
      <c r="G7" s="196">
        <v>5.8235295116901398E-2</v>
      </c>
      <c r="H7" s="193">
        <v>3.8894116878509521E-2</v>
      </c>
      <c r="I7" s="194">
        <v>4.6827524900436401E-2</v>
      </c>
      <c r="J7" s="22">
        <v>4.0219765156507492E-2</v>
      </c>
      <c r="K7" s="13">
        <v>1.4958431711420417E-3</v>
      </c>
      <c r="L7" s="131">
        <v>0.13264493644237518</v>
      </c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0.67000001668930054</v>
      </c>
      <c r="C8">
        <v>0.13811327517032623</v>
      </c>
      <c r="D8"/>
      <c r="E8"/>
      <c r="F8" s="184">
        <v>0.33606556057929993</v>
      </c>
      <c r="G8" s="197">
        <v>0.10127213597297668</v>
      </c>
      <c r="H8" s="11">
        <v>4.6721313265152276E-4</v>
      </c>
      <c r="I8" s="20">
        <v>4.3500983156263828E-3</v>
      </c>
      <c r="J8" s="195">
        <v>7.2314761579036713E-2</v>
      </c>
      <c r="K8"/>
      <c r="L8" s="21">
        <v>1.7416967079043388E-2</v>
      </c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1.2300000190734863</v>
      </c>
      <c r="C9">
        <v>0.70144748687744141</v>
      </c>
      <c r="D9"/>
      <c r="E9"/>
      <c r="F9"/>
      <c r="G9" s="65">
        <v>0.17438432574272156</v>
      </c>
      <c r="H9" s="13">
        <v>1.5737161738798022E-3</v>
      </c>
      <c r="I9" s="58">
        <v>2.7050688862800598E-2</v>
      </c>
      <c r="J9" s="130">
        <v>3.6536723375320435E-2</v>
      </c>
      <c r="K9" s="18">
        <v>2.5011595338582993E-2</v>
      </c>
      <c r="L9" s="186">
        <v>0.26399543881416321</v>
      </c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>
        <v>0.4699999988079071</v>
      </c>
      <c r="C10">
        <v>0.27159720659255981</v>
      </c>
      <c r="D10"/>
      <c r="E10" s="127">
        <v>4.7437131404876709E-2</v>
      </c>
      <c r="F10"/>
      <c r="G10" s="190">
        <v>0.20663616061210632</v>
      </c>
      <c r="H10"/>
      <c r="I10" s="94">
        <v>5.8097198605537415E-2</v>
      </c>
      <c r="J10" s="58">
        <v>1.046273484826088E-2</v>
      </c>
      <c r="K10"/>
      <c r="L10" s="186">
        <v>0.10079773515462875</v>
      </c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>
        <v>7.9000000953674316</v>
      </c>
      <c r="C11">
        <v>3.1600384712219238</v>
      </c>
      <c r="D11"/>
      <c r="E11"/>
      <c r="F11"/>
      <c r="G11" s="13">
        <v>8.8305100798606873E-3</v>
      </c>
      <c r="H11" s="13">
        <v>1.1975511908531189E-2</v>
      </c>
      <c r="I11" s="14">
        <v>7.7105142176151276E-2</v>
      </c>
      <c r="J11" s="19">
        <v>6.3167907297611237E-2</v>
      </c>
      <c r="K11" s="12">
        <v>3.159797191619873E-2</v>
      </c>
      <c r="L11" s="198">
        <v>0.62910974025726318</v>
      </c>
      <c r="M11" s="200">
        <v>1.2914230823516846</v>
      </c>
      <c r="N11" s="201">
        <v>1.8296372890472412</v>
      </c>
      <c r="O11" s="13">
        <v>1.4612139202654362E-2</v>
      </c>
      <c r="P11" s="199">
        <v>0.77999997138977051</v>
      </c>
      <c r="Q11" s="11">
        <v>2.5022735353559256E-3</v>
      </c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 t="s">
        <v>202</v>
      </c>
      <c r="B12">
        <v>0.60000002384185791</v>
      </c>
      <c r="C12">
        <v>3.0000044032931328E-2</v>
      </c>
      <c r="D12"/>
      <c r="E12" s="15">
        <v>7.7305464074015617E-3</v>
      </c>
      <c r="F12"/>
      <c r="G12" s="183">
        <v>2.0408645272254944E-2</v>
      </c>
      <c r="H12" s="185">
        <v>1.4688038267195225E-2</v>
      </c>
      <c r="I12" s="189">
        <v>8.9417681097984314E-2</v>
      </c>
      <c r="J12" s="192">
        <v>0.28417491912841797</v>
      </c>
      <c r="K12" s="191">
        <v>0.1535801887512207</v>
      </c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 t="s">
        <v>203</v>
      </c>
      <c r="B13">
        <v>27</v>
      </c>
      <c r="C13">
        <v>1.3500003814697266</v>
      </c>
      <c r="D13"/>
      <c r="E13"/>
      <c r="F13"/>
      <c r="G13"/>
      <c r="H13" s="11">
        <v>5.3628078603651375E-5</v>
      </c>
      <c r="I13"/>
      <c r="J13"/>
      <c r="K13" s="11">
        <v>3.7382843438535929E-3</v>
      </c>
      <c r="L13"/>
      <c r="M13" s="11">
        <v>2.2956578060984612E-2</v>
      </c>
      <c r="N13" s="19">
        <v>0.18844775855541229</v>
      </c>
      <c r="O13" s="11">
        <v>2.5585191324353218E-2</v>
      </c>
      <c r="P13" s="203">
        <v>24.924837112426758</v>
      </c>
      <c r="Q13" s="11">
        <v>4.3813670054078102E-3</v>
      </c>
      <c r="R13" s="16">
        <v>0.48000001907348633</v>
      </c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 t="s">
        <v>204</v>
      </c>
      <c r="B14">
        <v>40</v>
      </c>
      <c r="C14">
        <v>1.9999980926513672</v>
      </c>
      <c r="D14"/>
      <c r="E14"/>
      <c r="F14"/>
      <c r="G14"/>
      <c r="H14"/>
      <c r="I14"/>
      <c r="J14"/>
      <c r="K14" s="11">
        <v>2.5260212714783847E-4</v>
      </c>
      <c r="L14"/>
      <c r="M14" s="11">
        <v>7.7560720965266228E-3</v>
      </c>
      <c r="N14" s="20">
        <v>0.25467461347579956</v>
      </c>
      <c r="O14" s="11">
        <v>1.7288342118263245E-2</v>
      </c>
      <c r="P14" s="204">
        <v>22.148553848266602</v>
      </c>
      <c r="Q14" s="11">
        <v>2.9605631716549397E-3</v>
      </c>
      <c r="R14" s="202">
        <v>15.568513870239258</v>
      </c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 t="s">
        <v>205</v>
      </c>
      <c r="B15">
        <v>123</v>
      </c>
      <c r="C15">
        <v>24.599998474121094</v>
      </c>
      <c r="D15"/>
      <c r="E15"/>
      <c r="F15"/>
      <c r="G15"/>
      <c r="H15"/>
      <c r="I15"/>
      <c r="J15"/>
      <c r="K15"/>
      <c r="L15"/>
      <c r="M15"/>
      <c r="N15"/>
      <c r="O15"/>
      <c r="P15" s="205">
        <v>16.260259628295898</v>
      </c>
      <c r="Q15"/>
      <c r="R15" s="63">
        <v>9.6236362457275391</v>
      </c>
      <c r="S15" s="206">
        <v>72.516105651855469</v>
      </c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 t="s">
        <v>206</v>
      </c>
      <c r="B16"/>
      <c r="C16">
        <v>0.12092942744493484</v>
      </c>
      <c r="D16"/>
      <c r="E16"/>
      <c r="F16"/>
      <c r="G16"/>
      <c r="H16"/>
      <c r="I16"/>
      <c r="J16"/>
      <c r="K16"/>
      <c r="L16"/>
      <c r="M16"/>
      <c r="N16"/>
      <c r="O16"/>
      <c r="P16"/>
      <c r="Q16" s="9">
        <v>4.5171451568603516</v>
      </c>
      <c r="R16" s="9">
        <v>43.365348815917969</v>
      </c>
      <c r="S16" s="9">
        <v>288.32376098632812</v>
      </c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 t="s">
        <v>207</v>
      </c>
      <c r="B17"/>
      <c r="C17">
        <v>0</v>
      </c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H30" sqref="H30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7" width="10.83203125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7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55" t="s">
        <v>166</v>
      </c>
    </row>
    <row r="2" spans="1:12" x14ac:dyDescent="0.15">
      <c r="A2" s="1" t="s">
        <v>37</v>
      </c>
      <c r="B2" s="32">
        <v>3</v>
      </c>
      <c r="C2" s="30"/>
      <c r="D2" t="s">
        <v>38</v>
      </c>
      <c r="E2">
        <v>1</v>
      </c>
      <c r="F2">
        <v>1</v>
      </c>
      <c r="G2">
        <v>1</v>
      </c>
      <c r="H2" t="s">
        <v>38</v>
      </c>
      <c r="J2" s="48"/>
      <c r="K2" s="49"/>
      <c r="L2" s="55" t="s">
        <v>167</v>
      </c>
    </row>
    <row r="3" spans="1:12" ht="14" thickBot="1" x14ac:dyDescent="0.2">
      <c r="A3" s="1" t="s">
        <v>39</v>
      </c>
      <c r="B3" s="33">
        <v>0</v>
      </c>
      <c r="C3" s="30"/>
      <c r="D3" t="s">
        <v>40</v>
      </c>
      <c r="E3">
        <v>2</v>
      </c>
      <c r="F3">
        <v>1.1000000000000001</v>
      </c>
      <c r="G3">
        <v>2</v>
      </c>
      <c r="H3" t="s">
        <v>40</v>
      </c>
      <c r="J3" s="50"/>
      <c r="K3" s="51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50"/>
      <c r="K4" s="51"/>
    </row>
    <row r="5" spans="1:12" x14ac:dyDescent="0.15">
      <c r="D5" s="170" t="s">
        <v>192</v>
      </c>
      <c r="E5">
        <v>4</v>
      </c>
      <c r="F5">
        <v>3.12</v>
      </c>
      <c r="G5">
        <v>4</v>
      </c>
      <c r="H5" s="171" t="s">
        <v>192</v>
      </c>
      <c r="J5" s="50"/>
      <c r="K5" s="51"/>
    </row>
    <row r="6" spans="1:12" ht="14" thickBot="1" x14ac:dyDescent="0.2">
      <c r="A6" s="34" t="s">
        <v>121</v>
      </c>
      <c r="D6" s="170" t="s">
        <v>193</v>
      </c>
      <c r="E6">
        <v>5</v>
      </c>
      <c r="F6">
        <v>3.12</v>
      </c>
      <c r="G6">
        <v>5</v>
      </c>
      <c r="H6" s="171" t="s">
        <v>193</v>
      </c>
      <c r="J6" s="50"/>
      <c r="K6" s="51"/>
    </row>
    <row r="7" spans="1:12" x14ac:dyDescent="0.15">
      <c r="A7" s="29" t="s">
        <v>126</v>
      </c>
      <c r="B7" s="36">
        <v>1</v>
      </c>
      <c r="C7" s="31"/>
      <c r="D7" s="170" t="s">
        <v>194</v>
      </c>
      <c r="E7">
        <v>6</v>
      </c>
      <c r="F7">
        <v>3.22</v>
      </c>
      <c r="G7">
        <v>6</v>
      </c>
      <c r="H7" s="171" t="s">
        <v>194</v>
      </c>
      <c r="J7" s="50"/>
      <c r="K7" s="51"/>
    </row>
    <row r="8" spans="1:12" x14ac:dyDescent="0.15">
      <c r="A8" s="29" t="s">
        <v>38</v>
      </c>
      <c r="B8" s="37">
        <v>1</v>
      </c>
      <c r="C8" s="31"/>
      <c r="D8" s="170" t="s">
        <v>195</v>
      </c>
      <c r="E8">
        <v>7</v>
      </c>
      <c r="F8">
        <v>3.22</v>
      </c>
      <c r="G8">
        <v>7</v>
      </c>
      <c r="H8" s="171" t="s">
        <v>195</v>
      </c>
      <c r="J8" s="50"/>
      <c r="K8" s="51"/>
    </row>
    <row r="9" spans="1:12" x14ac:dyDescent="0.15">
      <c r="A9" s="29" t="s">
        <v>40</v>
      </c>
      <c r="B9" s="37">
        <v>1.1000000000000001</v>
      </c>
      <c r="C9" s="31"/>
      <c r="D9" s="170" t="s">
        <v>196</v>
      </c>
      <c r="E9">
        <v>8</v>
      </c>
      <c r="F9">
        <v>3.22</v>
      </c>
      <c r="G9">
        <v>8</v>
      </c>
      <c r="H9" s="171" t="s">
        <v>196</v>
      </c>
      <c r="J9" s="50"/>
      <c r="K9" s="51"/>
    </row>
    <row r="10" spans="1:12" x14ac:dyDescent="0.15">
      <c r="A10" s="29" t="s">
        <v>41</v>
      </c>
      <c r="B10" s="37">
        <v>1.2</v>
      </c>
      <c r="C10" s="31"/>
      <c r="D10" s="170" t="s">
        <v>197</v>
      </c>
      <c r="E10">
        <v>9</v>
      </c>
      <c r="F10">
        <v>3.22</v>
      </c>
      <c r="G10">
        <v>9</v>
      </c>
      <c r="H10" s="171" t="s">
        <v>197</v>
      </c>
      <c r="J10" s="50"/>
      <c r="K10" s="51"/>
    </row>
    <row r="11" spans="1:12" ht="12" customHeight="1" x14ac:dyDescent="0.15">
      <c r="A11" s="35" t="s">
        <v>127</v>
      </c>
      <c r="B11" s="37">
        <v>2</v>
      </c>
      <c r="C11" s="31"/>
      <c r="D11" s="170" t="s">
        <v>198</v>
      </c>
      <c r="E11">
        <v>10</v>
      </c>
      <c r="F11">
        <v>3.12</v>
      </c>
      <c r="G11">
        <v>10</v>
      </c>
      <c r="H11" s="171" t="s">
        <v>198</v>
      </c>
      <c r="J11" s="50"/>
      <c r="K11" s="51"/>
    </row>
    <row r="12" spans="1:12" x14ac:dyDescent="0.15">
      <c r="A12" s="29" t="s">
        <v>42</v>
      </c>
      <c r="B12" s="37">
        <v>2.1</v>
      </c>
      <c r="C12" s="31"/>
      <c r="D12" s="170" t="s">
        <v>199</v>
      </c>
      <c r="E12">
        <v>11</v>
      </c>
      <c r="F12">
        <v>3.12</v>
      </c>
      <c r="G12">
        <v>11</v>
      </c>
      <c r="H12" s="171" t="s">
        <v>199</v>
      </c>
      <c r="J12" s="50"/>
      <c r="K12" s="51"/>
    </row>
    <row r="13" spans="1:12" x14ac:dyDescent="0.15">
      <c r="A13" s="29" t="s">
        <v>43</v>
      </c>
      <c r="B13" s="37">
        <v>2.2000000000000002</v>
      </c>
      <c r="C13" s="31"/>
      <c r="D13" s="170" t="s">
        <v>200</v>
      </c>
      <c r="E13">
        <v>12</v>
      </c>
      <c r="F13">
        <v>3.12</v>
      </c>
      <c r="G13">
        <v>12</v>
      </c>
      <c r="H13" s="171" t="s">
        <v>200</v>
      </c>
      <c r="J13" s="50"/>
      <c r="K13" s="51"/>
    </row>
    <row r="14" spans="1:12" x14ac:dyDescent="0.15">
      <c r="A14" s="29" t="s">
        <v>67</v>
      </c>
      <c r="B14" s="37">
        <v>2.2999999999999998</v>
      </c>
      <c r="C14" s="31"/>
      <c r="D14" s="170" t="s">
        <v>201</v>
      </c>
      <c r="E14">
        <v>13</v>
      </c>
      <c r="F14">
        <v>3.12</v>
      </c>
      <c r="G14">
        <v>13</v>
      </c>
      <c r="H14" s="171" t="s">
        <v>201</v>
      </c>
      <c r="J14" s="50"/>
      <c r="K14" s="51"/>
    </row>
    <row r="15" spans="1:12" x14ac:dyDescent="0.15">
      <c r="A15" s="35" t="s">
        <v>128</v>
      </c>
      <c r="B15" s="37">
        <v>3</v>
      </c>
      <c r="C15" s="31"/>
      <c r="D15" s="170" t="s">
        <v>202</v>
      </c>
      <c r="E15">
        <v>14</v>
      </c>
      <c r="F15">
        <v>3</v>
      </c>
      <c r="G15">
        <v>14</v>
      </c>
      <c r="H15" s="171" t="s">
        <v>202</v>
      </c>
      <c r="J15" s="50"/>
      <c r="K15" s="51"/>
    </row>
    <row r="16" spans="1:12" x14ac:dyDescent="0.15">
      <c r="A16" s="29" t="s">
        <v>62</v>
      </c>
      <c r="B16" s="37">
        <v>3.11</v>
      </c>
      <c r="C16" s="31"/>
      <c r="D16" s="170" t="s">
        <v>203</v>
      </c>
      <c r="E16">
        <v>15</v>
      </c>
      <c r="F16">
        <v>3.11</v>
      </c>
      <c r="G16">
        <v>15</v>
      </c>
      <c r="H16" s="171" t="s">
        <v>203</v>
      </c>
      <c r="J16" s="50"/>
      <c r="K16" s="51"/>
    </row>
    <row r="17" spans="1:12" x14ac:dyDescent="0.15">
      <c r="A17" s="29" t="s">
        <v>61</v>
      </c>
      <c r="B17" s="37">
        <v>3.12</v>
      </c>
      <c r="C17" s="31"/>
      <c r="D17" s="170" t="s">
        <v>204</v>
      </c>
      <c r="E17">
        <v>16</v>
      </c>
      <c r="F17">
        <v>3.11</v>
      </c>
      <c r="G17">
        <v>16</v>
      </c>
      <c r="H17" s="171" t="s">
        <v>204</v>
      </c>
      <c r="J17" s="50"/>
      <c r="K17" s="51"/>
    </row>
    <row r="18" spans="1:12" x14ac:dyDescent="0.15">
      <c r="A18" s="29" t="s">
        <v>68</v>
      </c>
      <c r="B18" s="37">
        <v>3.13</v>
      </c>
      <c r="C18" s="31"/>
      <c r="D18" s="170" t="s">
        <v>205</v>
      </c>
      <c r="E18">
        <v>17</v>
      </c>
      <c r="F18">
        <v>2</v>
      </c>
      <c r="G18">
        <v>17</v>
      </c>
      <c r="H18" s="171" t="s">
        <v>205</v>
      </c>
      <c r="J18" s="50"/>
      <c r="K18" s="51"/>
    </row>
    <row r="19" spans="1:12" x14ac:dyDescent="0.15">
      <c r="A19" s="29" t="s">
        <v>66</v>
      </c>
      <c r="B19" s="37">
        <v>3.21</v>
      </c>
      <c r="C19" s="31"/>
      <c r="D19" s="170" t="s">
        <v>206</v>
      </c>
      <c r="E19">
        <v>18</v>
      </c>
      <c r="F19">
        <v>4.0999999999999996</v>
      </c>
      <c r="G19">
        <v>18</v>
      </c>
      <c r="H19" s="171" t="s">
        <v>206</v>
      </c>
      <c r="J19" s="50"/>
      <c r="K19" s="51"/>
    </row>
    <row r="20" spans="1:12" x14ac:dyDescent="0.15">
      <c r="A20" s="29" t="s">
        <v>63</v>
      </c>
      <c r="B20" s="37">
        <v>3.22</v>
      </c>
      <c r="C20" s="31"/>
      <c r="D20" s="170" t="s">
        <v>207</v>
      </c>
      <c r="E20">
        <v>19</v>
      </c>
      <c r="F20">
        <v>4.3</v>
      </c>
      <c r="G20">
        <v>19</v>
      </c>
      <c r="H20" s="171" t="s">
        <v>207</v>
      </c>
      <c r="J20" s="50"/>
      <c r="K20" s="51"/>
    </row>
    <row r="21" spans="1:12" ht="14" thickBot="1" x14ac:dyDescent="0.2">
      <c r="A21" s="29" t="s">
        <v>69</v>
      </c>
      <c r="B21" s="37">
        <v>3.23</v>
      </c>
      <c r="C21" s="31"/>
      <c r="D21" s="170" t="s">
        <v>208</v>
      </c>
      <c r="E21">
        <v>20</v>
      </c>
      <c r="F21">
        <v>5</v>
      </c>
      <c r="G21">
        <v>20</v>
      </c>
      <c r="H21" s="171" t="s">
        <v>208</v>
      </c>
      <c r="J21" s="52"/>
      <c r="K21" s="53"/>
      <c r="L21" s="55" t="s">
        <v>152</v>
      </c>
    </row>
    <row r="22" spans="1:12" x14ac:dyDescent="0.15">
      <c r="A22" s="29" t="s">
        <v>64</v>
      </c>
      <c r="B22" s="37">
        <v>8</v>
      </c>
      <c r="C22" s="31"/>
      <c r="D22" s="170" t="s">
        <v>209</v>
      </c>
      <c r="E22">
        <v>21</v>
      </c>
      <c r="F22">
        <v>5</v>
      </c>
      <c r="G22">
        <v>21</v>
      </c>
      <c r="H22" s="171" t="s">
        <v>209</v>
      </c>
    </row>
    <row r="23" spans="1:12" x14ac:dyDescent="0.15">
      <c r="A23" s="29" t="s">
        <v>129</v>
      </c>
      <c r="B23" s="37">
        <v>4</v>
      </c>
      <c r="C23" s="31"/>
      <c r="D23" s="170" t="s">
        <v>210</v>
      </c>
      <c r="E23">
        <v>22</v>
      </c>
      <c r="F23">
        <v>5</v>
      </c>
      <c r="G23">
        <v>22</v>
      </c>
      <c r="H23" s="171" t="s">
        <v>210</v>
      </c>
    </row>
    <row r="24" spans="1:12" x14ac:dyDescent="0.15">
      <c r="A24" s="29" t="s">
        <v>122</v>
      </c>
      <c r="B24" s="37">
        <v>4.0999999999999996</v>
      </c>
      <c r="C24" s="31"/>
      <c r="D24" s="170" t="s">
        <v>138</v>
      </c>
      <c r="E24">
        <v>23</v>
      </c>
      <c r="F24">
        <v>6.1</v>
      </c>
      <c r="G24">
        <v>23</v>
      </c>
      <c r="H24" s="171" t="s">
        <v>138</v>
      </c>
    </row>
    <row r="25" spans="1:12" x14ac:dyDescent="0.15">
      <c r="A25" s="29" t="s">
        <v>70</v>
      </c>
      <c r="B25" s="37">
        <v>4.2</v>
      </c>
      <c r="C25" s="31"/>
      <c r="D25" s="170" t="s">
        <v>45</v>
      </c>
      <c r="E25">
        <v>24</v>
      </c>
      <c r="F25">
        <v>6.2</v>
      </c>
      <c r="G25">
        <v>24</v>
      </c>
      <c r="H25" s="171" t="s">
        <v>45</v>
      </c>
    </row>
    <row r="26" spans="1:12" x14ac:dyDescent="0.15">
      <c r="A26" s="29" t="s">
        <v>123</v>
      </c>
      <c r="B26" s="37">
        <v>4.3</v>
      </c>
      <c r="C26" s="31"/>
    </row>
    <row r="27" spans="1:12" x14ac:dyDescent="0.15">
      <c r="A27" s="29" t="s">
        <v>125</v>
      </c>
      <c r="B27" s="37">
        <v>6.1</v>
      </c>
    </row>
    <row r="28" spans="1:12" x14ac:dyDescent="0.15">
      <c r="A28" s="29" t="s">
        <v>124</v>
      </c>
      <c r="B28" s="37">
        <v>6.2</v>
      </c>
    </row>
    <row r="29" spans="1:12" x14ac:dyDescent="0.15">
      <c r="A29" s="29" t="s">
        <v>44</v>
      </c>
      <c r="B29" s="37">
        <v>5</v>
      </c>
    </row>
    <row r="30" spans="1:12" x14ac:dyDescent="0.15">
      <c r="A30" s="29" t="s">
        <v>73</v>
      </c>
      <c r="B30" s="37">
        <v>7</v>
      </c>
    </row>
    <row r="31" spans="1:12" x14ac:dyDescent="0.15">
      <c r="A31" s="29" t="s">
        <v>169</v>
      </c>
      <c r="B31" s="37">
        <v>3.14</v>
      </c>
    </row>
    <row r="32" spans="1:12" ht="12" customHeight="1" thickBot="1" x14ac:dyDescent="0.2">
      <c r="A32" s="35" t="s">
        <v>170</v>
      </c>
      <c r="B32" s="38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workbookViewId="0">
      <pane ySplit="2" topLeftCell="A3" activePane="bottomLeft" state="frozen"/>
      <selection pane="bottomLeft" activeCell="D4" sqref="D4"/>
    </sheetView>
  </sheetViews>
  <sheetFormatPr baseColWidth="10" defaultColWidth="11.5" defaultRowHeight="15" customHeight="1" x14ac:dyDescent="0.15"/>
  <cols>
    <col min="1" max="1" width="40.1640625" style="71" bestFit="1" customWidth="1"/>
    <col min="2" max="2" width="10.83203125" style="70" customWidth="1"/>
    <col min="3" max="3" width="13.1640625" style="70" customWidth="1"/>
    <col min="4" max="4" width="39.6640625" style="70" customWidth="1"/>
    <col min="5" max="5" width="8.1640625" style="70" customWidth="1"/>
    <col min="6" max="6" width="21.6640625" style="70" bestFit="1" customWidth="1"/>
    <col min="7" max="15" width="10.83203125" style="70" customWidth="1"/>
    <col min="16" max="16" width="10.83203125" style="61" customWidth="1"/>
    <col min="17" max="17" width="10.83203125" style="70" customWidth="1"/>
    <col min="18" max="18" width="10.83203125" style="62" customWidth="1"/>
    <col min="19" max="16384" width="11.5" style="70"/>
  </cols>
  <sheetData>
    <row r="1" spans="1:23" ht="15" customHeight="1" thickBot="1" x14ac:dyDescent="0.2">
      <c r="F1" s="1"/>
      <c r="G1" s="60" t="s">
        <v>46</v>
      </c>
      <c r="H1" s="60" t="s">
        <v>47</v>
      </c>
      <c r="I1" s="60" t="s">
        <v>120</v>
      </c>
      <c r="J1" s="60" t="s">
        <v>132</v>
      </c>
      <c r="K1" s="72" t="s">
        <v>48</v>
      </c>
      <c r="L1" s="62"/>
      <c r="M1" s="72" t="s">
        <v>119</v>
      </c>
      <c r="N1" s="62"/>
      <c r="O1" s="72" t="s">
        <v>49</v>
      </c>
      <c r="P1" s="64"/>
      <c r="Q1" s="72" t="s">
        <v>50</v>
      </c>
      <c r="R1" s="60" t="s">
        <v>154</v>
      </c>
    </row>
    <row r="2" spans="1:23" ht="15" customHeight="1" x14ac:dyDescent="0.15">
      <c r="A2" s="72" t="s">
        <v>51</v>
      </c>
      <c r="B2" s="73">
        <v>0.5</v>
      </c>
      <c r="C2" s="71" t="s">
        <v>52</v>
      </c>
      <c r="D2" s="74"/>
      <c r="F2" s="1"/>
      <c r="G2" s="75"/>
      <c r="H2" s="75"/>
      <c r="I2" s="75" t="s">
        <v>133</v>
      </c>
      <c r="J2" s="75" t="s">
        <v>133</v>
      </c>
      <c r="K2" s="75" t="s">
        <v>52</v>
      </c>
      <c r="L2" s="75" t="s">
        <v>53</v>
      </c>
      <c r="M2" s="75" t="s">
        <v>52</v>
      </c>
      <c r="N2" s="75" t="s">
        <v>53</v>
      </c>
      <c r="O2" s="75" t="s">
        <v>52</v>
      </c>
      <c r="P2" s="76" t="s">
        <v>53</v>
      </c>
      <c r="Q2" s="75"/>
      <c r="R2" s="77" t="s">
        <v>155</v>
      </c>
    </row>
    <row r="3" spans="1:23" ht="15" customHeight="1" thickBot="1" x14ac:dyDescent="0.2">
      <c r="A3" s="72" t="s">
        <v>54</v>
      </c>
      <c r="B3" s="78">
        <v>0.5</v>
      </c>
      <c r="C3" s="71" t="s">
        <v>53</v>
      </c>
      <c r="D3" s="74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25">
        <v>0</v>
      </c>
      <c r="R3" s="31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25">
        <v>0</v>
      </c>
      <c r="R4" s="97">
        <v>0</v>
      </c>
    </row>
    <row r="5" spans="1:23" ht="15" customHeight="1" x14ac:dyDescent="0.15">
      <c r="A5" s="72" t="s">
        <v>55</v>
      </c>
      <c r="B5" s="79">
        <v>0.5</v>
      </c>
      <c r="C5" s="71" t="s">
        <v>52</v>
      </c>
      <c r="D5" s="74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25">
        <v>0</v>
      </c>
      <c r="R5" s="97">
        <v>0</v>
      </c>
    </row>
    <row r="6" spans="1:23" ht="15" customHeight="1" thickBot="1" x14ac:dyDescent="0.2">
      <c r="A6" s="72"/>
      <c r="B6" s="80">
        <v>0.5</v>
      </c>
      <c r="C6" s="71" t="s">
        <v>53</v>
      </c>
      <c r="D6" s="74"/>
      <c r="F6" s="172" t="s">
        <v>192</v>
      </c>
      <c r="G6" s="70">
        <v>0</v>
      </c>
      <c r="H6" s="70">
        <v>0</v>
      </c>
      <c r="I6" s="70">
        <v>0</v>
      </c>
      <c r="J6" s="70">
        <v>0</v>
      </c>
      <c r="K6" s="70">
        <v>1</v>
      </c>
      <c r="L6" s="70">
        <v>0</v>
      </c>
      <c r="M6" s="70">
        <v>1</v>
      </c>
      <c r="N6" s="70">
        <v>0</v>
      </c>
      <c r="O6" s="70">
        <v>1</v>
      </c>
      <c r="P6" s="61">
        <v>0</v>
      </c>
      <c r="Q6" s="70">
        <v>0</v>
      </c>
      <c r="R6" s="62">
        <v>1</v>
      </c>
      <c r="S6"/>
      <c r="T6"/>
    </row>
    <row r="7" spans="1:23" ht="15" customHeight="1" thickBot="1" x14ac:dyDescent="0.2">
      <c r="F7" s="172" t="s">
        <v>193</v>
      </c>
      <c r="G7" s="70">
        <v>0</v>
      </c>
      <c r="H7" s="70">
        <v>0</v>
      </c>
      <c r="I7" s="70">
        <v>0</v>
      </c>
      <c r="J7" s="70">
        <v>0</v>
      </c>
      <c r="K7" s="70">
        <v>1</v>
      </c>
      <c r="L7" s="70">
        <v>0</v>
      </c>
      <c r="M7" s="70">
        <v>1</v>
      </c>
      <c r="N7" s="70">
        <v>0</v>
      </c>
      <c r="O7" s="70">
        <v>1</v>
      </c>
      <c r="P7" s="61">
        <v>0</v>
      </c>
      <c r="Q7" s="70">
        <v>0</v>
      </c>
      <c r="R7" s="62">
        <v>1</v>
      </c>
      <c r="S7"/>
      <c r="T7"/>
    </row>
    <row r="8" spans="1:23" ht="15" customHeight="1" x14ac:dyDescent="0.15">
      <c r="A8" s="72" t="s">
        <v>56</v>
      </c>
      <c r="B8" s="79">
        <v>1</v>
      </c>
      <c r="C8" s="173" t="s">
        <v>205</v>
      </c>
      <c r="D8" s="74" t="s">
        <v>160</v>
      </c>
      <c r="F8" s="172" t="s">
        <v>194</v>
      </c>
      <c r="G8" s="70">
        <v>0</v>
      </c>
      <c r="H8" s="70">
        <v>0</v>
      </c>
      <c r="I8" s="70">
        <v>0</v>
      </c>
      <c r="J8" s="70">
        <v>0</v>
      </c>
      <c r="K8" s="70">
        <v>1</v>
      </c>
      <c r="L8" s="70">
        <v>0</v>
      </c>
      <c r="M8" s="70">
        <v>1</v>
      </c>
      <c r="N8" s="70">
        <v>0</v>
      </c>
      <c r="O8" s="70">
        <v>1</v>
      </c>
      <c r="P8" s="61">
        <v>0</v>
      </c>
      <c r="Q8" s="70">
        <v>0</v>
      </c>
      <c r="R8" s="62">
        <v>1</v>
      </c>
      <c r="S8"/>
      <c r="T8"/>
      <c r="W8"/>
    </row>
    <row r="9" spans="1:23" ht="15" customHeight="1" x14ac:dyDescent="0.15">
      <c r="A9" s="111" t="s">
        <v>168</v>
      </c>
      <c r="B9" s="81"/>
      <c r="C9" s="69"/>
      <c r="D9" s="74" t="s">
        <v>160</v>
      </c>
      <c r="F9" s="172" t="s">
        <v>195</v>
      </c>
      <c r="G9" s="70">
        <v>0</v>
      </c>
      <c r="H9" s="70">
        <v>0</v>
      </c>
      <c r="I9" s="70">
        <v>0</v>
      </c>
      <c r="J9" s="70">
        <v>0</v>
      </c>
      <c r="K9" s="70">
        <v>1</v>
      </c>
      <c r="L9" s="70">
        <v>0</v>
      </c>
      <c r="M9" s="70">
        <v>1</v>
      </c>
      <c r="N9" s="70">
        <v>0</v>
      </c>
      <c r="O9" s="70">
        <v>1</v>
      </c>
      <c r="P9" s="61">
        <v>0</v>
      </c>
      <c r="Q9" s="70">
        <v>0</v>
      </c>
      <c r="R9" s="62">
        <v>1</v>
      </c>
      <c r="S9"/>
      <c r="T9"/>
      <c r="W9"/>
    </row>
    <row r="10" spans="1:23" ht="15" customHeight="1" x14ac:dyDescent="0.15">
      <c r="B10" s="81"/>
      <c r="C10" s="69"/>
      <c r="D10" s="74" t="s">
        <v>160</v>
      </c>
      <c r="F10" s="172" t="s">
        <v>196</v>
      </c>
      <c r="G10" s="70">
        <v>0</v>
      </c>
      <c r="H10" s="70">
        <v>0</v>
      </c>
      <c r="I10" s="70">
        <v>0</v>
      </c>
      <c r="J10" s="70">
        <v>0</v>
      </c>
      <c r="K10" s="70">
        <v>1</v>
      </c>
      <c r="L10" s="70">
        <v>0</v>
      </c>
      <c r="M10" s="70">
        <v>1</v>
      </c>
      <c r="N10" s="70">
        <v>0</v>
      </c>
      <c r="O10" s="70">
        <v>1</v>
      </c>
      <c r="P10" s="61">
        <v>0</v>
      </c>
      <c r="Q10" s="70">
        <v>0</v>
      </c>
      <c r="R10" s="62">
        <v>1</v>
      </c>
      <c r="S10"/>
      <c r="T10"/>
      <c r="W10"/>
    </row>
    <row r="11" spans="1:23" ht="15" customHeight="1" x14ac:dyDescent="0.15">
      <c r="A11" s="72"/>
      <c r="B11" s="81"/>
      <c r="C11" s="84"/>
      <c r="D11" s="74" t="s">
        <v>160</v>
      </c>
      <c r="F11" s="172" t="s">
        <v>197</v>
      </c>
      <c r="G11" s="70">
        <v>0</v>
      </c>
      <c r="H11" s="70">
        <v>0</v>
      </c>
      <c r="I11" s="70">
        <v>0</v>
      </c>
      <c r="J11" s="70">
        <v>0</v>
      </c>
      <c r="K11" s="70">
        <v>1</v>
      </c>
      <c r="L11" s="70">
        <v>0</v>
      </c>
      <c r="M11" s="70">
        <v>1</v>
      </c>
      <c r="N11" s="70">
        <v>0</v>
      </c>
      <c r="O11" s="70">
        <v>1</v>
      </c>
      <c r="P11" s="61">
        <v>0</v>
      </c>
      <c r="Q11" s="70">
        <v>0</v>
      </c>
      <c r="R11" s="62">
        <v>1</v>
      </c>
      <c r="S11"/>
      <c r="T11"/>
      <c r="W11"/>
    </row>
    <row r="12" spans="1:23" ht="15" customHeight="1" x14ac:dyDescent="0.15">
      <c r="B12" s="81"/>
      <c r="C12" s="85"/>
      <c r="D12" s="74" t="s">
        <v>160</v>
      </c>
      <c r="F12" s="172" t="s">
        <v>198</v>
      </c>
      <c r="G12" s="70">
        <v>0</v>
      </c>
      <c r="H12" s="70">
        <v>0</v>
      </c>
      <c r="I12" s="70">
        <v>0</v>
      </c>
      <c r="J12" s="70">
        <v>0</v>
      </c>
      <c r="K12" s="70">
        <v>1</v>
      </c>
      <c r="L12" s="70">
        <v>0</v>
      </c>
      <c r="M12" s="70">
        <v>1</v>
      </c>
      <c r="N12" s="70">
        <v>0</v>
      </c>
      <c r="O12" s="70">
        <v>1</v>
      </c>
      <c r="P12" s="61">
        <v>0</v>
      </c>
      <c r="Q12" s="70">
        <v>0</v>
      </c>
      <c r="R12" s="62">
        <v>1</v>
      </c>
      <c r="S12"/>
      <c r="T12"/>
      <c r="W12"/>
    </row>
    <row r="13" spans="1:23" ht="15" customHeight="1" x14ac:dyDescent="0.15">
      <c r="B13" s="81"/>
      <c r="C13" s="85"/>
      <c r="D13" s="74" t="s">
        <v>160</v>
      </c>
      <c r="F13" s="172" t="s">
        <v>199</v>
      </c>
      <c r="G13" s="70">
        <v>0</v>
      </c>
      <c r="H13" s="70">
        <v>0</v>
      </c>
      <c r="I13" s="70">
        <v>0</v>
      </c>
      <c r="J13" s="70">
        <v>0</v>
      </c>
      <c r="K13" s="70">
        <v>1</v>
      </c>
      <c r="L13" s="70">
        <v>0</v>
      </c>
      <c r="M13" s="70">
        <v>1</v>
      </c>
      <c r="N13" s="70">
        <v>0</v>
      </c>
      <c r="O13" s="70">
        <v>1</v>
      </c>
      <c r="P13" s="61">
        <v>0</v>
      </c>
      <c r="Q13" s="70">
        <v>0</v>
      </c>
      <c r="R13" s="62">
        <v>1</v>
      </c>
      <c r="S13"/>
      <c r="T13"/>
      <c r="W13"/>
    </row>
    <row r="14" spans="1:23" ht="15" customHeight="1" x14ac:dyDescent="0.15">
      <c r="B14" s="81"/>
      <c r="C14" s="69"/>
      <c r="D14" s="74" t="s">
        <v>160</v>
      </c>
      <c r="F14" s="172" t="s">
        <v>200</v>
      </c>
      <c r="G14" s="70">
        <v>0</v>
      </c>
      <c r="H14" s="70">
        <v>0</v>
      </c>
      <c r="I14" s="70">
        <v>0</v>
      </c>
      <c r="J14" s="70">
        <v>0</v>
      </c>
      <c r="K14" s="70">
        <v>1</v>
      </c>
      <c r="L14" s="70">
        <v>0</v>
      </c>
      <c r="M14" s="70">
        <v>1</v>
      </c>
      <c r="N14" s="70">
        <v>0</v>
      </c>
      <c r="O14" s="70">
        <v>1</v>
      </c>
      <c r="P14" s="61">
        <v>0</v>
      </c>
      <c r="Q14" s="70">
        <v>0</v>
      </c>
      <c r="R14" s="62">
        <v>1</v>
      </c>
      <c r="S14"/>
      <c r="T14"/>
      <c r="W14"/>
    </row>
    <row r="15" spans="1:23" ht="15" customHeight="1" x14ac:dyDescent="0.15">
      <c r="B15" s="81"/>
      <c r="C15" s="69"/>
      <c r="D15" s="74" t="s">
        <v>160</v>
      </c>
      <c r="F15" s="172" t="s">
        <v>201</v>
      </c>
      <c r="G15" s="70">
        <v>0</v>
      </c>
      <c r="H15" s="70">
        <v>0</v>
      </c>
      <c r="I15" s="70">
        <v>0</v>
      </c>
      <c r="J15" s="70">
        <v>0</v>
      </c>
      <c r="K15" s="70">
        <v>1</v>
      </c>
      <c r="L15" s="70">
        <v>0</v>
      </c>
      <c r="M15" s="70">
        <v>1</v>
      </c>
      <c r="N15" s="70">
        <v>0</v>
      </c>
      <c r="O15" s="70">
        <v>1</v>
      </c>
      <c r="P15" s="61">
        <v>0</v>
      </c>
      <c r="Q15" s="70">
        <v>0</v>
      </c>
      <c r="R15" s="62">
        <v>1</v>
      </c>
      <c r="S15"/>
      <c r="T15"/>
      <c r="W15"/>
    </row>
    <row r="16" spans="1:23" ht="15" customHeight="1" x14ac:dyDescent="0.15">
      <c r="B16" s="81"/>
      <c r="C16" s="69"/>
      <c r="D16" s="74" t="s">
        <v>160</v>
      </c>
      <c r="F16" s="172" t="s">
        <v>202</v>
      </c>
      <c r="G16" s="70">
        <v>0</v>
      </c>
      <c r="H16" s="70">
        <v>0</v>
      </c>
      <c r="I16" s="70">
        <v>0</v>
      </c>
      <c r="J16" s="70">
        <v>0</v>
      </c>
      <c r="K16" s="70">
        <v>1</v>
      </c>
      <c r="L16" s="70">
        <v>0</v>
      </c>
      <c r="M16" s="70">
        <v>1</v>
      </c>
      <c r="N16" s="70">
        <v>0</v>
      </c>
      <c r="O16" s="70">
        <v>1</v>
      </c>
      <c r="P16" s="61">
        <v>0</v>
      </c>
      <c r="Q16" s="70">
        <v>0</v>
      </c>
      <c r="R16" s="62">
        <v>1</v>
      </c>
      <c r="S16"/>
      <c r="T16"/>
    </row>
    <row r="17" spans="1:20" ht="15" customHeight="1" thickBot="1" x14ac:dyDescent="0.2">
      <c r="B17" s="80"/>
      <c r="C17" s="69"/>
      <c r="D17" s="74" t="s">
        <v>160</v>
      </c>
      <c r="F17" s="172" t="s">
        <v>203</v>
      </c>
      <c r="G17" s="70">
        <v>0</v>
      </c>
      <c r="H17" s="70">
        <v>0</v>
      </c>
      <c r="I17" s="70">
        <v>0</v>
      </c>
      <c r="J17" s="70">
        <v>0</v>
      </c>
      <c r="K17" s="70">
        <v>1</v>
      </c>
      <c r="L17" s="70">
        <v>0</v>
      </c>
      <c r="M17" s="70">
        <v>1</v>
      </c>
      <c r="N17" s="70">
        <v>0</v>
      </c>
      <c r="O17" s="70">
        <v>1</v>
      </c>
      <c r="P17" s="61">
        <v>0</v>
      </c>
      <c r="Q17" s="70">
        <v>0</v>
      </c>
      <c r="R17" s="62">
        <v>1</v>
      </c>
      <c r="S17"/>
      <c r="T17"/>
    </row>
    <row r="18" spans="1:20" ht="15" customHeight="1" thickBot="1" x14ac:dyDescent="0.2">
      <c r="B18" s="82"/>
      <c r="F18" s="172" t="s">
        <v>204</v>
      </c>
      <c r="G18" s="70">
        <v>0</v>
      </c>
      <c r="H18" s="70">
        <v>0</v>
      </c>
      <c r="I18" s="70">
        <v>0</v>
      </c>
      <c r="J18" s="70">
        <v>0</v>
      </c>
      <c r="K18" s="70">
        <v>1</v>
      </c>
      <c r="L18" s="70">
        <v>0</v>
      </c>
      <c r="M18" s="70">
        <v>1</v>
      </c>
      <c r="N18" s="70">
        <v>0</v>
      </c>
      <c r="O18" s="70">
        <v>1</v>
      </c>
      <c r="P18" s="61">
        <v>0</v>
      </c>
      <c r="Q18" s="70">
        <v>0</v>
      </c>
      <c r="R18" s="62">
        <v>1</v>
      </c>
      <c r="S18"/>
      <c r="T18"/>
    </row>
    <row r="19" spans="1:20" ht="15" customHeight="1" x14ac:dyDescent="0.15">
      <c r="A19" s="72" t="s">
        <v>57</v>
      </c>
      <c r="B19" s="79">
        <v>1</v>
      </c>
      <c r="C19" s="174" t="s">
        <v>205</v>
      </c>
      <c r="D19" s="74" t="s">
        <v>160</v>
      </c>
      <c r="F19" s="172" t="s">
        <v>205</v>
      </c>
      <c r="G19" s="70">
        <v>0</v>
      </c>
      <c r="H19" s="70">
        <v>0</v>
      </c>
      <c r="I19" s="70">
        <v>0</v>
      </c>
      <c r="J19" s="70">
        <v>0</v>
      </c>
      <c r="K19" s="70">
        <v>0</v>
      </c>
      <c r="L19" s="70">
        <v>0</v>
      </c>
      <c r="M19" s="70">
        <v>1</v>
      </c>
      <c r="N19" s="70">
        <v>0</v>
      </c>
      <c r="O19" s="70">
        <v>0</v>
      </c>
      <c r="P19" s="61">
        <v>0</v>
      </c>
      <c r="Q19" s="70">
        <v>0</v>
      </c>
      <c r="R19" s="62">
        <v>1</v>
      </c>
      <c r="S19"/>
      <c r="T19"/>
    </row>
    <row r="20" spans="1:20" ht="15" customHeight="1" x14ac:dyDescent="0.15">
      <c r="A20" s="111" t="s">
        <v>168</v>
      </c>
      <c r="B20" s="81"/>
      <c r="C20" s="69"/>
      <c r="D20" s="74" t="s">
        <v>160</v>
      </c>
      <c r="F20" s="172" t="s">
        <v>206</v>
      </c>
      <c r="G20" s="70">
        <v>0</v>
      </c>
      <c r="H20" s="70">
        <v>0</v>
      </c>
      <c r="I20" s="70">
        <v>0</v>
      </c>
      <c r="J20" s="70">
        <v>0</v>
      </c>
      <c r="K20" s="70">
        <v>0</v>
      </c>
      <c r="L20" s="70">
        <v>1</v>
      </c>
      <c r="M20" s="70">
        <v>0</v>
      </c>
      <c r="N20" s="70">
        <v>1</v>
      </c>
      <c r="O20" s="70">
        <v>0</v>
      </c>
      <c r="P20" s="61">
        <v>1</v>
      </c>
      <c r="Q20" s="70">
        <v>0</v>
      </c>
      <c r="R20" s="62">
        <v>1</v>
      </c>
      <c r="S20"/>
      <c r="T20"/>
    </row>
    <row r="21" spans="1:20" ht="15" customHeight="1" x14ac:dyDescent="0.15">
      <c r="B21" s="81"/>
      <c r="C21" s="69"/>
      <c r="D21" s="74" t="s">
        <v>160</v>
      </c>
      <c r="F21" s="172" t="s">
        <v>207</v>
      </c>
      <c r="G21" s="70">
        <v>0</v>
      </c>
      <c r="H21" s="70">
        <v>0</v>
      </c>
      <c r="I21" s="70">
        <v>0</v>
      </c>
      <c r="J21" s="70">
        <v>0</v>
      </c>
      <c r="K21" s="70">
        <v>0</v>
      </c>
      <c r="L21" s="70">
        <v>1</v>
      </c>
      <c r="M21" s="70">
        <v>0</v>
      </c>
      <c r="N21" s="70">
        <v>1</v>
      </c>
      <c r="O21" s="70">
        <v>0</v>
      </c>
      <c r="P21" s="61">
        <v>1</v>
      </c>
      <c r="Q21" s="70">
        <v>0</v>
      </c>
      <c r="R21" s="62">
        <v>1</v>
      </c>
      <c r="S21"/>
      <c r="T21"/>
    </row>
    <row r="22" spans="1:20" ht="15" customHeight="1" x14ac:dyDescent="0.15">
      <c r="A22" s="70"/>
      <c r="B22" s="81"/>
      <c r="C22" s="84"/>
      <c r="D22" s="74" t="s">
        <v>160</v>
      </c>
      <c r="F22" s="172" t="s">
        <v>208</v>
      </c>
      <c r="G22" s="70">
        <v>0</v>
      </c>
      <c r="H22" s="70">
        <v>0</v>
      </c>
      <c r="I22" s="70">
        <v>0</v>
      </c>
      <c r="J22" s="70">
        <v>0</v>
      </c>
      <c r="K22" s="70">
        <v>0</v>
      </c>
      <c r="L22" s="70">
        <v>1</v>
      </c>
      <c r="M22" s="70">
        <v>0</v>
      </c>
      <c r="N22" s="70">
        <v>0</v>
      </c>
      <c r="O22" s="70">
        <v>0</v>
      </c>
      <c r="P22" s="61">
        <v>0</v>
      </c>
      <c r="Q22" s="70">
        <v>0</v>
      </c>
      <c r="R22" s="62">
        <v>1</v>
      </c>
      <c r="S22"/>
      <c r="T22"/>
    </row>
    <row r="23" spans="1:20" ht="15" customHeight="1" x14ac:dyDescent="0.15">
      <c r="A23" s="70"/>
      <c r="B23" s="81"/>
      <c r="C23" s="85"/>
      <c r="D23" s="74" t="s">
        <v>160</v>
      </c>
      <c r="F23" s="172" t="s">
        <v>209</v>
      </c>
      <c r="G23" s="70">
        <v>0</v>
      </c>
      <c r="H23" s="70">
        <v>0</v>
      </c>
      <c r="I23" s="70">
        <v>0</v>
      </c>
      <c r="J23" s="70">
        <v>0</v>
      </c>
      <c r="K23" s="70">
        <v>0</v>
      </c>
      <c r="L23" s="70">
        <v>1</v>
      </c>
      <c r="M23" s="70">
        <v>0</v>
      </c>
      <c r="N23" s="70">
        <v>0</v>
      </c>
      <c r="O23" s="70">
        <v>0</v>
      </c>
      <c r="P23" s="61">
        <v>0</v>
      </c>
      <c r="Q23" s="70">
        <v>0</v>
      </c>
      <c r="R23" s="62">
        <v>1</v>
      </c>
      <c r="S23"/>
      <c r="T23"/>
    </row>
    <row r="24" spans="1:20" ht="15" customHeight="1" x14ac:dyDescent="0.15">
      <c r="A24" s="70"/>
      <c r="B24" s="81"/>
      <c r="C24" s="85"/>
      <c r="D24" s="74" t="s">
        <v>160</v>
      </c>
      <c r="F24" s="172" t="s">
        <v>210</v>
      </c>
      <c r="G24" s="70">
        <v>0</v>
      </c>
      <c r="H24" s="70">
        <v>0</v>
      </c>
      <c r="I24" s="70">
        <v>0</v>
      </c>
      <c r="J24" s="70">
        <v>0</v>
      </c>
      <c r="K24" s="70">
        <v>0</v>
      </c>
      <c r="L24" s="70">
        <v>1</v>
      </c>
      <c r="M24" s="70">
        <v>0</v>
      </c>
      <c r="N24" s="70">
        <v>0</v>
      </c>
      <c r="O24" s="70">
        <v>0</v>
      </c>
      <c r="P24" s="61">
        <v>0</v>
      </c>
      <c r="Q24" s="70">
        <v>0</v>
      </c>
      <c r="R24" s="62">
        <v>1</v>
      </c>
      <c r="S24"/>
      <c r="T24"/>
    </row>
    <row r="25" spans="1:20" ht="15" customHeight="1" x14ac:dyDescent="0.15">
      <c r="A25" s="70"/>
      <c r="B25" s="81"/>
      <c r="C25" s="69"/>
      <c r="D25" s="74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81"/>
      <c r="C26" s="69"/>
      <c r="D26" s="74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81"/>
      <c r="C27" s="69"/>
      <c r="D27" s="74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80"/>
      <c r="C28" s="69"/>
      <c r="D28" s="74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112"/>
      <c r="B31" s="123" t="s">
        <v>17</v>
      </c>
      <c r="C31" s="123" t="s">
        <v>1</v>
      </c>
      <c r="D31" s="123" t="s">
        <v>161</v>
      </c>
      <c r="E31" s="124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75" t="s">
        <v>205</v>
      </c>
      <c r="B32" s="82">
        <v>35.783966100000001</v>
      </c>
      <c r="C32" s="82">
        <v>123</v>
      </c>
      <c r="D32" s="82">
        <v>4401.4278303000001</v>
      </c>
      <c r="E32" s="114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13"/>
      <c r="B33" s="82"/>
      <c r="C33" s="82"/>
      <c r="D33" s="82"/>
      <c r="E33" s="114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15"/>
      <c r="B34" s="82"/>
      <c r="C34" s="82"/>
      <c r="D34" s="82"/>
      <c r="E34" s="11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16"/>
      <c r="B35" s="82"/>
      <c r="C35" s="82"/>
      <c r="D35" s="82"/>
      <c r="E35" s="114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17"/>
      <c r="B36" s="82"/>
      <c r="C36" s="82"/>
      <c r="D36" s="82"/>
      <c r="E36" s="114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17"/>
      <c r="B37" s="82"/>
      <c r="C37" s="82"/>
      <c r="D37" s="82"/>
      <c r="E37" s="114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18"/>
      <c r="B38" s="82"/>
      <c r="C38" s="82"/>
      <c r="D38" s="82"/>
      <c r="E38" s="114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18"/>
      <c r="B39" s="82"/>
      <c r="C39" s="82"/>
      <c r="D39" s="82"/>
      <c r="E39" s="114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18"/>
      <c r="B40" s="82"/>
      <c r="C40" s="82"/>
      <c r="D40" s="82"/>
      <c r="E40" s="114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18"/>
      <c r="B41" s="82"/>
      <c r="C41" s="82"/>
      <c r="D41" s="83"/>
      <c r="E41" s="119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20"/>
      <c r="B42" s="121"/>
      <c r="C42" s="121" t="s">
        <v>162</v>
      </c>
      <c r="D42" s="121">
        <f>SUM(D32:D41)</f>
        <v>4401.4278303000001</v>
      </c>
      <c r="E42" s="122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70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70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70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70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70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70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70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70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70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70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70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70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70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70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70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70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70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70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70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70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70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70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70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70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70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70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70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70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70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70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70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70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70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70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70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70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70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70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70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70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70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70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70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70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70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70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70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70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70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70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70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70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70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70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70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70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70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70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70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70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70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70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70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70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70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70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70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70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70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70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70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70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70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70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70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70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70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70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70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70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70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70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70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70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70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70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70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70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70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70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70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70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70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70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70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70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70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70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70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70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70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70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70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70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70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70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70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70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70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70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70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70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70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70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70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70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70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70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70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70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70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70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70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70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70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70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70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70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97" customWidth="1"/>
    <col min="3" max="5" width="7.83203125" style="97" customWidth="1"/>
    <col min="6" max="8" width="8.83203125" style="6"/>
    <col min="9" max="9" width="7.6640625" style="6" customWidth="1"/>
    <col min="10" max="10" width="10.83203125" style="6" customWidth="1"/>
    <col min="11" max="11" width="7.5" style="6" customWidth="1"/>
    <col min="12" max="12" width="15.5" style="6" customWidth="1"/>
    <col min="13" max="13" width="14.5" style="6" customWidth="1"/>
    <col min="14" max="14" width="13.33203125" style="6" customWidth="1"/>
    <col min="15" max="15" width="12" style="6" customWidth="1"/>
    <col min="16" max="16" width="10.83203125" style="6" customWidth="1"/>
    <col min="17" max="17" width="9" style="6" customWidth="1"/>
    <col min="18" max="19" width="11.5" style="6" customWidth="1"/>
    <col min="20" max="20" width="9.5" style="6" customWidth="1"/>
    <col min="21" max="21" width="16.6640625" style="6" customWidth="1"/>
    <col min="22" max="22" width="13.1640625" style="6" customWidth="1"/>
    <col min="23" max="23" width="7.6640625" style="6" customWidth="1"/>
    <col min="24" max="24" width="21.6640625" style="6" customWidth="1"/>
    <col min="25" max="25" width="12.5" style="6" customWidth="1"/>
    <col min="26" max="26" width="12" style="6" customWidth="1"/>
    <col min="27" max="27" width="13.83203125" style="6" customWidth="1"/>
    <col min="28" max="38" width="8.83203125" style="6"/>
    <col min="81" max="81" width="22.1640625" bestFit="1" customWidth="1"/>
  </cols>
  <sheetData>
    <row r="1" spans="1:38" x14ac:dyDescent="0.15">
      <c r="A1" s="4" t="s">
        <v>156</v>
      </c>
      <c r="B1" s="30" t="s">
        <v>157</v>
      </c>
      <c r="C1" s="30" t="s">
        <v>17</v>
      </c>
      <c r="D1" s="30" t="s">
        <v>158</v>
      </c>
      <c r="E1" s="30" t="s">
        <v>159</v>
      </c>
      <c r="F1" t="s">
        <v>38</v>
      </c>
      <c r="G1" t="s">
        <v>40</v>
      </c>
      <c r="H1" t="s">
        <v>41</v>
      </c>
      <c r="I1" s="177" t="s">
        <v>192</v>
      </c>
      <c r="J1" s="177" t="s">
        <v>193</v>
      </c>
      <c r="K1" s="177" t="s">
        <v>194</v>
      </c>
      <c r="L1" s="177" t="s">
        <v>195</v>
      </c>
      <c r="M1" s="177" t="s">
        <v>196</v>
      </c>
      <c r="N1" s="177" t="s">
        <v>197</v>
      </c>
      <c r="O1" s="177" t="s">
        <v>198</v>
      </c>
      <c r="P1" s="177" t="s">
        <v>199</v>
      </c>
      <c r="Q1" s="177" t="s">
        <v>200</v>
      </c>
      <c r="R1" s="177" t="s">
        <v>201</v>
      </c>
      <c r="S1" s="177" t="s">
        <v>202</v>
      </c>
      <c r="T1" s="177" t="s">
        <v>203</v>
      </c>
      <c r="U1" s="177" t="s">
        <v>204</v>
      </c>
      <c r="V1" s="177" t="s">
        <v>205</v>
      </c>
      <c r="W1" s="177" t="s">
        <v>206</v>
      </c>
      <c r="X1" s="177" t="s">
        <v>207</v>
      </c>
      <c r="Y1" s="177" t="s">
        <v>208</v>
      </c>
      <c r="Z1" s="177" t="s">
        <v>209</v>
      </c>
      <c r="AA1" s="177" t="s">
        <v>210</v>
      </c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97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97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97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76" t="s">
        <v>192</v>
      </c>
      <c r="B5" s="97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76" t="s">
        <v>193</v>
      </c>
      <c r="B6" s="97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76" t="s">
        <v>194</v>
      </c>
      <c r="B7" s="97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76" t="s">
        <v>195</v>
      </c>
      <c r="B8" s="97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76" t="s">
        <v>196</v>
      </c>
      <c r="B9" s="97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76" t="s">
        <v>197</v>
      </c>
      <c r="B10" s="97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76" t="s">
        <v>198</v>
      </c>
      <c r="B11" s="97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76" t="s">
        <v>199</v>
      </c>
      <c r="B12" s="97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76" t="s">
        <v>200</v>
      </c>
      <c r="B13" s="97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76" t="s">
        <v>201</v>
      </c>
      <c r="B14" s="97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76" t="s">
        <v>202</v>
      </c>
      <c r="B15" s="97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A16" s="176" t="s">
        <v>203</v>
      </c>
      <c r="B16" s="97">
        <v>0</v>
      </c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1:38" ht="15" customHeight="1" x14ac:dyDescent="0.15">
      <c r="A17" s="176" t="s">
        <v>204</v>
      </c>
      <c r="B17" s="97">
        <v>0</v>
      </c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1:38" ht="15" customHeight="1" x14ac:dyDescent="0.15">
      <c r="A18" s="176" t="s">
        <v>205</v>
      </c>
      <c r="B18" s="97">
        <v>0</v>
      </c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1:38" ht="15" customHeight="1" x14ac:dyDescent="0.15">
      <c r="A19" s="176" t="s">
        <v>206</v>
      </c>
      <c r="B19" s="97">
        <v>0</v>
      </c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 ht="15" customHeight="1" x14ac:dyDescent="0.15">
      <c r="A20" s="176" t="s">
        <v>207</v>
      </c>
      <c r="B20" s="97">
        <v>0</v>
      </c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 ht="15" customHeight="1" x14ac:dyDescent="0.15">
      <c r="A21" s="176" t="s">
        <v>208</v>
      </c>
      <c r="B21" s="97">
        <v>0</v>
      </c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 ht="15" customHeight="1" x14ac:dyDescent="0.15">
      <c r="A22" s="176" t="s">
        <v>209</v>
      </c>
      <c r="B22" s="97">
        <v>0</v>
      </c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 ht="15" customHeight="1" x14ac:dyDescent="0.15">
      <c r="A23" s="176" t="s">
        <v>210</v>
      </c>
      <c r="B23" s="97">
        <v>0</v>
      </c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2022-10-23T22:36:22Z</dcterms:modified>
</cp:coreProperties>
</file>