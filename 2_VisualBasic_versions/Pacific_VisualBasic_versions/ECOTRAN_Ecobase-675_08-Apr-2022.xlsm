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2532E9FB-C563-C747-8E82-FB5B52334270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Main!$C$2:$N$72</definedName>
    <definedName name="matDetritus">Detritus!$C$2:$F$72</definedName>
    <definedName name="matDiet">Diets!$B$2:$AZ$56</definedName>
    <definedName name="matDiscards">Discards!$C$2:$S$55</definedName>
    <definedName name="matFishery">Fishing!$C$2:$S$55</definedName>
    <definedName name="matFishing">Fishing!#REF!</definedName>
    <definedName name="matMort">Mortalities!$A$1:$BV$55</definedName>
    <definedName name="matOut">MainOutputs!$A$2:$I$72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<sst xmlns="http://schemas.openxmlformats.org/spreadsheetml/2006/main" count="1647" uniqueCount="283">
  <si>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</si>
  <si>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</si>
  <si>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</si>
  <si>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</si>
  <si>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</si>
  <si>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</si>
  <si>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</si>
  <si>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</si>
  <si>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</si>
  <si>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</si>
  <si>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</si>
  <si>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</si>
  <si>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</si>
  <si>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</si>
  <si>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</si>
  <si>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</si>
  <si>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</si>
  <si>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</si>
  <si>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</si>
  <si>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</si>
  <si>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</si>
  <si>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</si>
  <si>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</si>
  <si>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</si>
  <si>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</si>
  <si>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</si>
  <si>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</si>
  <si>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</si>
  <si>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</si>
  <si>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</si>
  <si>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</si>
  <si>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</si>
  <si>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</si>
  <si>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</si>
  <si>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</si>
  <si>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</si>
  <si>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</si>
  <si>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</si>
  <si>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</si>
  <si>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</si>
  <si>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</si>
  <si>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</si>
  <si>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</si>
  <si>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</si>
  <si>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</si>
  <si>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</si>
  <si>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</si>
  <si>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</si>
  <si>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</si>
  <si>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</si>
  <si>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</si>
  <si>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</si>
  <si>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</si>
  <si>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</si>
  <si>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</si>
  <si>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</si>
  <si>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</si>
  <si>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</si>
  <si>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</si>
  <si>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</si>
  <si>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</si>
  <si>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</si>
  <si>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</si>
  <si>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</si>
  <si>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</si>
  <si>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</si>
  <si>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</si>
  <si>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</si>
  <si>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</si>
  <si>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</si>
  <si>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</si>
  <si>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</si>
  <si>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</si>
  <si>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</si>
  <si>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</si>
  <si>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</si>
  <si>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</si>
  <si>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</si>
  <si>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</si>
  <si>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</si>
  <si>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</si>
  <si>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</si>
  <si>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</si>
  <si>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</si>
  <si>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</si>
  <si>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</si>
  <si>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</si>
  <si>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</si>
  <si>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</si>
  <si>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</si>
  <si>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</si>
  <si>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</si>
  <si>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</si>
  <si>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</si>
  <si>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</si>
  <si>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</si>
  <si>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</si>
  <si>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</si>
  <si>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</si>
  <si>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</si>
  <si>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</si>
  <si>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</si>
  <si>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</si>
  <si>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</si>
  <si>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</si>
  <si>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</si>
  <si>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</si>
  <si>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</si>
  <si>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</si>
  <si>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</si>
  <si>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</si>
  <si>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</si>
  <si>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</si>
  <si>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</si>
  <si>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</si>
  <si>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</si>
  <si>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</si>
  <si>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</si>
  <si>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</si>
  <si>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</si>
  <si>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</si>
  <si>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</si>
  <si>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</si>
  <si>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</si>
  <si>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</si>
  <si>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</si>
  <si>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</si>
  <si>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</si>
  <si>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</si>
  <si>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</si>
  <si>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</si>
  <si>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</si>
  <si>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</si>
  <si>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</si>
  <si>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</si>
  <si>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</si>
  <si>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</si>
  <si>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</si>
  <si>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</si>
  <si>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</si>
  <si>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</si>
  <si>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</si>
  <si>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</si>
  <si>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</si>
  <si>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</si>
  <si>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</si>
  <si>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</si>
  <si>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</si>
  <si>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</si>
  <si>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</si>
  <si>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</si>
  <si>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</si>
  <si>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</si>
  <si>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</si>
  <si>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</si>
  <si>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</si>
  <si>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</si>
  <si>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</si>
  <si>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</si>
  <si>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</si>
  <si>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</si>
  <si>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</si>
  <si>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</si>
  <si>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</si>
  <si>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</si>
  <si>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</si>
  <si>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</si>
  <si>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</si>
  <si>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</si>
  <si>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</si>
  <si>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</si>
  <si>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</si>
  <si>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</si>
  <si>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</si>
  <si>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</si>
  <si>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</si>
  <si>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</si>
  <si>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</si>
  <si>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</si>
  <si>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</si>
  <si>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</si>
  <si>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</si>
  <si>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</si>
  <si>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</si>
  <si>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</si>
  <si>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British Columbia</t>
  </si>
  <si>
    <t>Canada</t>
  </si>
  <si>
    <t>BOX(-134.039 46.41217,-128.256 54.6)</t>
  </si>
  <si>
    <t>channel/strait</t>
  </si>
  <si>
    <t>WetWeight</t>
  </si>
  <si>
    <t>; 06/12/2004 7:08:49 PM; 06/12/2004 9:57:37 PM; 06/12/2004 11:27:23 PM; 07/12/2004 3:07:02 PM; 10/12/2004 3:47:40 PM; 10/12/2004 3:52:46 PM; 16/12/2004 2:24:53 PM; 28/12/2004 9:29:58 PM; 29/12/2004 2:42:27 PM; 01/01/2005 8:43:06 PM; 01/01/2005 8:47:49 PM; 01/01/2005 9:08:50 PM; 04/01/2005 6:02:14 PM; 05/01/2005 5:30:31 PM; 17/01/2005 12:53:06 PM; 17/01/2005 2:06:14 PM; 17/01/2005 2:57:38 PM; 17/01/2005 3:25:52 PM; 17/01/2005 5:50:27 PM</t>
  </si>
  <si>
    <t>Ainsworth C.,Heymans J.J.,Pitcher T.J.,Vasconcellos M.(2002). Ecosystem Models of Northern British Columbia for the Time Periods 2000, 1950, 1900 and 1750 Fisheries Centre Research Reports</t>
  </si>
  <si>
    <t>Sea Otters</t>
  </si>
  <si>
    <t>Mysticetae</t>
  </si>
  <si>
    <t>Odontocetae</t>
  </si>
  <si>
    <t>Seals, sea lions</t>
  </si>
  <si>
    <t>Seabirds</t>
  </si>
  <si>
    <t>Transient salmon</t>
  </si>
  <si>
    <t>Coho salmon</t>
  </si>
  <si>
    <t>Chinook salmon</t>
  </si>
  <si>
    <t>Small squid</t>
  </si>
  <si>
    <t>Squid</t>
  </si>
  <si>
    <t>Ratfish</t>
  </si>
  <si>
    <t>Dogfish</t>
  </si>
  <si>
    <t>Juvenile pollock</t>
  </si>
  <si>
    <t>Pollock</t>
  </si>
  <si>
    <t>Forage fish</t>
  </si>
  <si>
    <t>Eulachon</t>
  </si>
  <si>
    <t>Juvenile herring</t>
  </si>
  <si>
    <t>Adult herring</t>
  </si>
  <si>
    <t>Juvenile POP</t>
  </si>
  <si>
    <t>Adult POP</t>
  </si>
  <si>
    <t>Inshore rockfish</t>
  </si>
  <si>
    <t>Juvenile picivorous rockfish</t>
  </si>
  <si>
    <t>Adult picivorous rockfish</t>
  </si>
  <si>
    <t>Juvenile planktivorous rockfish</t>
  </si>
  <si>
    <t>Adult planktivorous rockfish</t>
  </si>
  <si>
    <t>Juvenile turbot</t>
  </si>
  <si>
    <t>Adult turbot</t>
  </si>
  <si>
    <t>Juvenile flatfish</t>
  </si>
  <si>
    <t>Adult flatfish</t>
  </si>
  <si>
    <t>Juvenile halibut</t>
  </si>
  <si>
    <t>Adult halibut</t>
  </si>
  <si>
    <t>Juvenile Pacific cod</t>
  </si>
  <si>
    <t>Adult Pacific cod</t>
  </si>
  <si>
    <t>Juvenile sablefish</t>
  </si>
  <si>
    <t>Adult sablefish</t>
  </si>
  <si>
    <t>Juvenile lingcod</t>
  </si>
  <si>
    <t>Adult lingcod</t>
  </si>
  <si>
    <t>Shallowwater benthic fish</t>
  </si>
  <si>
    <t>Skates</t>
  </si>
  <si>
    <t>Large crabs</t>
  </si>
  <si>
    <t>Small crabs</t>
  </si>
  <si>
    <t>Commercial shrimp</t>
  </si>
  <si>
    <t>Epifaunal invertebrates</t>
  </si>
  <si>
    <t>Infaunal carnivorous invertebrates</t>
  </si>
  <si>
    <t>Infaunal invertebrate detritivores</t>
  </si>
  <si>
    <t>Carnivorous jellyfish</t>
  </si>
  <si>
    <t>Euphausiids</t>
  </si>
  <si>
    <t>Copepods</t>
  </si>
  <si>
    <t>Corals and sponges</t>
  </si>
  <si>
    <t>Macrophytes</t>
  </si>
  <si>
    <t>Phytoplankton</t>
  </si>
  <si>
    <t>Discards</t>
  </si>
  <si>
    <t>Detritus</t>
  </si>
  <si>
    <t>detritus_TerminalBenthic</t>
  </si>
  <si>
    <t>Groundfish trawl</t>
  </si>
  <si>
    <t>Sable</t>
  </si>
  <si>
    <t>Herring gillnet</t>
  </si>
  <si>
    <t>Ground H+L</t>
  </si>
  <si>
    <t>Salmon gillnet</t>
  </si>
  <si>
    <t>Crab trap</t>
  </si>
  <si>
    <t>Shrimp / prawn trap</t>
  </si>
  <si>
    <t>Other Inv.</t>
  </si>
  <si>
    <t>Halibut H+L</t>
  </si>
  <si>
    <t>Salmon troll</t>
  </si>
  <si>
    <t>Salmon seine</t>
  </si>
  <si>
    <t>Salmon troll freezer</t>
  </si>
  <si>
    <t>Herring seine</t>
  </si>
  <si>
    <t>Shrimp trawl</t>
  </si>
  <si>
    <t>Longline</t>
  </si>
  <si>
    <t>Recreational</t>
  </si>
  <si>
    <t>Import</t>
  </si>
  <si>
    <t>export</t>
  </si>
  <si>
    <t>sum</t>
  </si>
  <si>
    <t>TOTAL</t>
  </si>
  <si>
    <t>F Groundfish trawl</t>
  </si>
  <si>
    <t>F Sable</t>
  </si>
  <si>
    <t>F Herring gillnet</t>
  </si>
  <si>
    <t>F Ground H+L</t>
  </si>
  <si>
    <t>F Salmon gillnet</t>
  </si>
  <si>
    <t>F Crab trap</t>
  </si>
  <si>
    <t>F Shrimp / prawn trap</t>
  </si>
  <si>
    <t>F Other Inv.</t>
  </si>
  <si>
    <t>F Halibut H+L</t>
  </si>
  <si>
    <t>F Salmon troll</t>
  </si>
  <si>
    <t>F Salmon seine</t>
  </si>
  <si>
    <t>F Salmon troll freezer</t>
  </si>
  <si>
    <t>F Herring seine</t>
  </si>
  <si>
    <t>F Shrimp trawl</t>
  </si>
  <si>
    <t>F Eulachon</t>
  </si>
  <si>
    <t>F Longline</t>
  </si>
  <si>
    <t>F Recreational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</si>
</sst>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1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4E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3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391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0" t="s">
        <v>171</v>
      </c>
      <c r="C53" s="112">
        <v>675</v>
      </c>
      <c r="D53" s="112"/>
    </row>
    <row r="54" spans="2:4" x14ac:dyDescent="0.15">
      <c r="B54" s="180" t="s">
        <v>172</v>
      </c>
      <c r="C54" s="180" t="s">
        <v>185</v>
      </c>
      <c r="D54" s="112"/>
    </row>
    <row r="55" spans="2:4" x14ac:dyDescent="0.15">
      <c r="B55" s="180" t="s">
        <v>173</v>
      </c>
      <c r="C55" s="180" t="s">
        <v>186</v>
      </c>
      <c r="D55" s="112"/>
    </row>
    <row r="56" spans="2:4" x14ac:dyDescent="0.15">
      <c r="B56" s="180" t="s">
        <v>174</v>
      </c>
      <c r="C56" s="112">
        <v>70000</v>
      </c>
      <c r="D56" s="112"/>
    </row>
    <row r="57" spans="2:4" x14ac:dyDescent="0.15">
      <c r="B57" s="180" t="s">
        <v>175</v>
      </c>
      <c r="C57" s="180" t="s">
        <v>187</v>
      </c>
      <c r="D57" s="112"/>
    </row>
    <row r="58" spans="2:4" x14ac:dyDescent="0.15">
      <c r="B58" s="180" t="s">
        <v>176</v>
      </c>
      <c r="C58" s="180" t="s">
        <v>188</v>
      </c>
      <c r="D58" s="112"/>
    </row>
    <row r="59" spans="2:4" x14ac:dyDescent="0.15">
      <c r="B59" s="180" t="s">
        <v>177</v>
      </c>
      <c r="C59" s="180" t="s">
        <v>189</v>
      </c>
      <c r="D59" s="112"/>
    </row>
    <row r="60" spans="2:4" x14ac:dyDescent="0.15">
      <c r="B60" s="180" t="s">
        <v>178</v>
      </c>
      <c r="C60" s="180" t="s">
        <v>190</v>
      </c>
      <c r="D60" s="112"/>
    </row>
    <row r="61" spans="2:4" x14ac:dyDescent="0.15">
      <c r="B61" s="180" t="s">
        <v>179</v>
      </c>
      <c r="C61" s="112">
        <v>53</v>
      </c>
      <c r="D61" s="112"/>
    </row>
    <row r="62" spans="2:4" x14ac:dyDescent="0.15">
      <c r="B62" s="180" t="s">
        <v>180</v>
      </c>
      <c r="C62" s="112">
        <v>17</v>
      </c>
      <c r="D62" s="112"/>
    </row>
    <row r="63" spans="2:4" x14ac:dyDescent="0.15">
      <c r="B63" s="180" t="s">
        <v>181</v>
      </c>
      <c r="C63" s="112">
        <v>2000</v>
      </c>
      <c r="D63" s="112"/>
    </row>
    <row r="64" spans="2:4" x14ac:dyDescent="0.15">
      <c r="B64" s="180" t="s">
        <v>182</v>
      </c>
      <c r="C64" s="112">
        <v>1</v>
      </c>
      <c r="D64" s="112"/>
    </row>
    <row r="65" spans="2:4" x14ac:dyDescent="0.15">
      <c r="B65" s="180" t="s">
        <v>183</v>
      </c>
      <c r="C65" s="180" t="s">
        <v>191</v>
      </c>
      <c r="D65" s="112"/>
    </row>
    <row r="66" spans="2:4" x14ac:dyDescent="0.15">
      <c r="B66" s="180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8.5" style="83" bestFit="1" customWidth="1"/>
    <col min="6" max="6" width="2.33203125" style="83" bestFit="1" customWidth="1"/>
    <col min="7" max="7" width="10.83203125" style="83" bestFit="1" customWidth="1"/>
    <col min="8" max="8" width="7.83203125" style="83" customWidth="1"/>
    <col min="9" max="9" width="10.83203125" style="83" customWidth="1"/>
    <col min="10" max="10" width="12.83203125" style="83" customWidth="1"/>
    <col min="11" max="11" width="13.83203125" style="83" customWidth="1"/>
    <col min="12" max="12" width="2.3320312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81" t="s">
        <v>192</v>
      </c>
      <c r="F2" s="83">
        <v>0</v>
      </c>
      <c r="G2" s="83">
        <v>1E-4</v>
      </c>
      <c r="H2" s="83">
        <v>0.13</v>
      </c>
      <c r="I2" s="6">
        <v>101.5</v>
      </c>
      <c r="J2" s="6">
        <v>7.3105970000000006E-2</v>
      </c>
      <c r="K2" s="6">
        <v>1.2807881E-3</v>
      </c>
      <c r="L2" s="6">
        <v>0</v>
      </c>
      <c r="M2" s="83">
        <v>0.2</v>
      </c>
      <c r="N2" s="83">
        <v>0</v>
      </c>
    </row>
    <row r="3" spans="1:46" ht="15" customHeight="1" x14ac:dyDescent="0.15">
      <c r="A3" s="1" t="s">
        <v>9</v>
      </c>
      <c r="B3" s="4">
        <v>51</v>
      </c>
      <c r="C3" s="83">
        <v>2</v>
      </c>
      <c r="D3"/>
      <c r="E3" s="181" t="s">
        <v>193</v>
      </c>
      <c r="F3" s="83">
        <v>0</v>
      </c>
      <c r="G3" s="83">
        <v>1.339</v>
      </c>
      <c r="H3" s="83">
        <v>0.02</v>
      </c>
      <c r="I3" s="83">
        <v>9.1</v>
      </c>
      <c r="J3" s="83">
        <v>0</v>
      </c>
      <c r="K3" s="83">
        <v>2.197802E-3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3</v>
      </c>
      <c r="C4" s="83">
        <v>3</v>
      </c>
      <c r="D4"/>
      <c r="E4" s="181" t="s">
        <v>194</v>
      </c>
      <c r="F4" s="83">
        <v>0</v>
      </c>
      <c r="G4" s="83">
        <v>6.1314680000000003E-2</v>
      </c>
      <c r="H4" s="83">
        <v>0.04</v>
      </c>
      <c r="I4" s="83">
        <v>15.5</v>
      </c>
      <c r="J4" s="83">
        <v>0</v>
      </c>
      <c r="K4" s="83">
        <v>2.5806449999999999E-3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17</v>
      </c>
      <c r="C5" s="83">
        <v>4</v>
      </c>
      <c r="D5"/>
      <c r="E5" s="181" t="s">
        <v>195</v>
      </c>
      <c r="F5" s="83">
        <v>0</v>
      </c>
      <c r="G5" s="83">
        <v>0.25839760000000001</v>
      </c>
      <c r="H5" s="83">
        <v>0.06</v>
      </c>
      <c r="I5" s="83">
        <v>15.1</v>
      </c>
      <c r="J5" s="83">
        <v>1.2579950499999999E-2</v>
      </c>
      <c r="K5" s="83">
        <v>3.9735096500000001E-3</v>
      </c>
      <c r="L5" s="83">
        <v>0</v>
      </c>
      <c r="M5" s="83">
        <v>0.2</v>
      </c>
      <c r="N5" s="83">
        <v>0</v>
      </c>
      <c r="P5" s="73"/>
      <c r="Q5" s="73"/>
      <c r="R5" s="73"/>
    </row>
    <row r="6" spans="1:46" ht="15" customHeight="1" thickBot="1" x14ac:dyDescent="0.2">
      <c r="B6" s="1"/>
      <c r="C6" s="83">
        <v>5</v>
      </c>
      <c r="D6"/>
      <c r="E6" s="181" t="s">
        <v>196</v>
      </c>
      <c r="F6" s="83">
        <v>0</v>
      </c>
      <c r="G6" s="83">
        <v>7.3709999999999999E-3</v>
      </c>
      <c r="H6" s="83">
        <v>0.1</v>
      </c>
      <c r="I6" s="83">
        <v>105.2</v>
      </c>
      <c r="J6" s="83">
        <v>0</v>
      </c>
      <c r="K6" s="83">
        <v>9.505704E-4</v>
      </c>
      <c r="L6" s="83">
        <v>0</v>
      </c>
      <c r="M6" s="83">
        <v>0.2</v>
      </c>
      <c r="N6" s="83">
        <v>0</v>
      </c>
      <c r="P6" s="73"/>
      <c r="Q6" s="73"/>
      <c r="R6" s="73"/>
      <c r="W6" s="36" t="s">
        <v>31</v>
      </c>
      <c r="X6" s="52">
        <f>MAX(MainOutputs!G:G)</f>
        <v>0.9997175931930542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491</v>
      </c>
      <c r="C7" s="83">
        <v>6</v>
      </c>
      <c r="D7"/>
      <c r="E7" s="181" t="s">
        <v>197</v>
      </c>
      <c r="F7" s="83">
        <v>0</v>
      </c>
      <c r="G7" s="83">
        <v>0.20799999999999999</v>
      </c>
      <c r="H7" s="83">
        <v>2.48</v>
      </c>
      <c r="I7" s="83">
        <v>8.33</v>
      </c>
      <c r="J7" s="83">
        <v>0.74560463399999999</v>
      </c>
      <c r="K7" s="83">
        <v>0.29771910000000001</v>
      </c>
      <c r="L7" s="83">
        <v>0</v>
      </c>
      <c r="M7" s="83">
        <v>0.2</v>
      </c>
      <c r="N7" s="83">
        <v>0</v>
      </c>
      <c r="P7" s="73"/>
      <c r="Q7" s="73"/>
      <c r="R7" s="73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236</v>
      </c>
      <c r="C8" s="83">
        <v>7</v>
      </c>
      <c r="D8"/>
      <c r="E8" s="181" t="s">
        <v>198</v>
      </c>
      <c r="F8" s="83">
        <v>0</v>
      </c>
      <c r="G8" s="83">
        <v>2.4E-2</v>
      </c>
      <c r="H8" s="83">
        <v>2.76</v>
      </c>
      <c r="I8" s="83">
        <v>13.8</v>
      </c>
      <c r="J8" s="83">
        <v>0.97787489999999999</v>
      </c>
      <c r="K8" s="83">
        <v>0.2</v>
      </c>
      <c r="L8" s="83">
        <v>0</v>
      </c>
      <c r="M8" s="83">
        <v>0.2</v>
      </c>
      <c r="N8" s="83">
        <v>0</v>
      </c>
      <c r="P8" s="73"/>
      <c r="Q8" s="73"/>
      <c r="R8" s="73"/>
    </row>
    <row r="9" spans="1:46" ht="15" customHeight="1" x14ac:dyDescent="0.15">
      <c r="B9" s="1"/>
      <c r="C9" s="83">
        <v>8</v>
      </c>
      <c r="D9"/>
      <c r="E9" s="181" t="s">
        <v>199</v>
      </c>
      <c r="F9" s="83">
        <v>0</v>
      </c>
      <c r="G9" s="83">
        <v>3.5999999999999997E-2</v>
      </c>
      <c r="H9" s="83">
        <v>2.16</v>
      </c>
      <c r="I9" s="83">
        <v>10.8</v>
      </c>
      <c r="J9" s="83">
        <v>0.97064839999999997</v>
      </c>
      <c r="K9" s="83">
        <v>0.2</v>
      </c>
      <c r="L9" s="83">
        <v>0</v>
      </c>
      <c r="M9" s="83">
        <v>0.2</v>
      </c>
      <c r="N9" s="83">
        <v>0</v>
      </c>
      <c r="P9" s="73"/>
      <c r="Q9" s="73"/>
      <c r="R9" s="73"/>
    </row>
    <row r="10" spans="1:46" ht="15" customHeight="1" x14ac:dyDescent="0.15">
      <c r="B10" s="1"/>
      <c r="C10" s="83">
        <v>9</v>
      </c>
      <c r="D10"/>
      <c r="E10" s="181" t="s">
        <v>200</v>
      </c>
      <c r="F10" s="83">
        <v>0</v>
      </c>
      <c r="G10" s="83">
        <v>1.08982</v>
      </c>
      <c r="H10" s="83">
        <v>6.0229999999999997</v>
      </c>
      <c r="I10" s="83">
        <v>34.674999999999997</v>
      </c>
      <c r="J10" s="83">
        <v>0.94640469999999999</v>
      </c>
      <c r="K10" s="83">
        <v>0.17369863399999999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81" t="s">
        <v>201</v>
      </c>
      <c r="F11" s="83">
        <v>0</v>
      </c>
      <c r="G11" s="83">
        <v>0.76519999999999999</v>
      </c>
      <c r="H11" s="83">
        <v>6.0229999999999997</v>
      </c>
      <c r="I11" s="83">
        <v>34.674999999999997</v>
      </c>
      <c r="J11" s="83">
        <v>0.963084936</v>
      </c>
      <c r="K11" s="83">
        <v>0.17369863399999999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81" t="s">
        <v>202</v>
      </c>
      <c r="F12" s="83">
        <v>0</v>
      </c>
      <c r="G12" s="83">
        <v>0.51700000000000002</v>
      </c>
      <c r="H12" s="83">
        <v>9.9000000000000005E-2</v>
      </c>
      <c r="I12" s="83">
        <v>1.4</v>
      </c>
      <c r="J12" s="83">
        <v>0.99777740000000004</v>
      </c>
      <c r="K12" s="83">
        <v>7.0714289999999999E-2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81" t="s">
        <v>203</v>
      </c>
      <c r="F13" s="83">
        <v>0</v>
      </c>
      <c r="G13" s="83">
        <v>0.90900000000000003</v>
      </c>
      <c r="H13" s="83">
        <v>9.9000000000000005E-2</v>
      </c>
      <c r="I13" s="83">
        <v>2.7189999999999999</v>
      </c>
      <c r="J13" s="83">
        <v>0.85438139999999996</v>
      </c>
      <c r="K13" s="83">
        <v>3.64104435E-2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81" t="s">
        <v>204</v>
      </c>
      <c r="F14" s="83">
        <v>0</v>
      </c>
      <c r="G14" s="83">
        <v>0.13200000000000001</v>
      </c>
      <c r="H14" s="83">
        <v>1.0609999999999999</v>
      </c>
      <c r="I14" s="83">
        <v>5.3049999999999997</v>
      </c>
      <c r="J14" s="83">
        <v>0.8180598</v>
      </c>
      <c r="K14" s="83">
        <v>0.2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81" t="s">
        <v>205</v>
      </c>
      <c r="F15" s="83">
        <v>0</v>
      </c>
      <c r="G15" s="83">
        <v>0.35899999999999999</v>
      </c>
      <c r="H15" s="83">
        <v>0.26300000000000001</v>
      </c>
      <c r="I15" s="83">
        <v>1.1679999999999999</v>
      </c>
      <c r="J15" s="83">
        <v>0.52448059999999996</v>
      </c>
      <c r="K15" s="83">
        <v>0.22517125299999999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81" t="s">
        <v>206</v>
      </c>
      <c r="F16" s="83">
        <v>0</v>
      </c>
      <c r="G16" s="83">
        <v>8.4779999999999998</v>
      </c>
      <c r="H16" s="83">
        <v>1.4319999999999999</v>
      </c>
      <c r="I16" s="83">
        <v>8.3949999999999996</v>
      </c>
      <c r="J16" s="83">
        <v>0.96575809999999995</v>
      </c>
      <c r="K16" s="83">
        <v>0.17057771999999999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81" t="s">
        <v>207</v>
      </c>
      <c r="F17" s="83">
        <v>0</v>
      </c>
      <c r="G17" s="83">
        <v>1.66</v>
      </c>
      <c r="H17" s="83">
        <v>1.4319999999999999</v>
      </c>
      <c r="I17" s="83">
        <v>8.3949999999999996</v>
      </c>
      <c r="J17" s="83">
        <v>0.81588643800000005</v>
      </c>
      <c r="K17" s="83">
        <v>0.17057771999999999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81" t="s">
        <v>208</v>
      </c>
      <c r="F18" s="83">
        <v>0</v>
      </c>
      <c r="G18" s="83">
        <v>2.2650000000000001</v>
      </c>
      <c r="H18" s="83">
        <v>2.19</v>
      </c>
      <c r="I18" s="83">
        <v>10.95</v>
      </c>
      <c r="J18" s="83">
        <v>0.81493289999999996</v>
      </c>
      <c r="K18" s="83">
        <v>0.2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81" t="s">
        <v>209</v>
      </c>
      <c r="F19" s="83">
        <v>0</v>
      </c>
      <c r="G19" s="83">
        <v>0.65800000000000003</v>
      </c>
      <c r="H19" s="83">
        <v>0.68300000000000005</v>
      </c>
      <c r="I19" s="83">
        <v>5.84</v>
      </c>
      <c r="J19" s="83">
        <v>0.96188563100000002</v>
      </c>
      <c r="K19" s="83">
        <v>0.116952054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81" t="s">
        <v>210</v>
      </c>
      <c r="F20" s="83">
        <v>0</v>
      </c>
      <c r="G20" s="83">
        <v>6.2E-2</v>
      </c>
      <c r="H20" s="83">
        <v>0.67200000000000004</v>
      </c>
      <c r="I20" s="83">
        <v>3.21</v>
      </c>
      <c r="J20" s="83">
        <v>0.77244919999999995</v>
      </c>
      <c r="K20" s="83">
        <v>0.209345788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81" t="s">
        <v>211</v>
      </c>
      <c r="F21" s="83">
        <v>0</v>
      </c>
      <c r="G21" s="83">
        <v>0.56100000000000005</v>
      </c>
      <c r="H21" s="83">
        <v>0.14399999999999999</v>
      </c>
      <c r="I21" s="83">
        <v>2.14</v>
      </c>
      <c r="J21" s="83">
        <v>0.99971759999999998</v>
      </c>
      <c r="K21" s="83">
        <v>6.7289710000000003E-2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81" t="s">
        <v>212</v>
      </c>
      <c r="F22" s="83">
        <v>0</v>
      </c>
      <c r="G22" s="83">
        <v>0.1</v>
      </c>
      <c r="H22" s="83">
        <v>0.19</v>
      </c>
      <c r="I22" s="83">
        <v>5.6879999999999997</v>
      </c>
      <c r="J22" s="83">
        <v>0.89853024500000001</v>
      </c>
      <c r="K22" s="83">
        <v>3.3403653700000001E-2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81" t="s">
        <v>213</v>
      </c>
      <c r="F23" s="83">
        <v>0</v>
      </c>
      <c r="G23" s="83">
        <v>7.0000000000000001E-3</v>
      </c>
      <c r="H23" s="83">
        <v>0.26100000000000001</v>
      </c>
      <c r="I23" s="83">
        <v>1.89</v>
      </c>
      <c r="J23" s="83">
        <v>0.77160949999999995</v>
      </c>
      <c r="K23" s="83">
        <v>0.13809524500000001</v>
      </c>
      <c r="L23" s="83">
        <v>0</v>
      </c>
      <c r="M23" s="83">
        <v>0.2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81" t="s">
        <v>214</v>
      </c>
      <c r="F24" s="83">
        <v>0</v>
      </c>
      <c r="G24" s="83">
        <v>0.65400000000000003</v>
      </c>
      <c r="H24" s="83">
        <v>3.6999999999999998E-2</v>
      </c>
      <c r="I24" s="83">
        <v>1.26</v>
      </c>
      <c r="J24" s="83">
        <v>0.59168540000000003</v>
      </c>
      <c r="K24" s="83">
        <v>2.9365079999999998E-2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81" t="s">
        <v>215</v>
      </c>
      <c r="F25" s="83">
        <v>0</v>
      </c>
      <c r="G25" s="83">
        <v>0.13600000000000001</v>
      </c>
      <c r="H25" s="83">
        <v>0.26100000000000001</v>
      </c>
      <c r="I25" s="83">
        <v>3.21</v>
      </c>
      <c r="J25" s="83">
        <v>0.80627110000000002</v>
      </c>
      <c r="K25" s="83">
        <v>8.1308409999999998E-2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81" t="s">
        <v>216</v>
      </c>
      <c r="F26" s="83">
        <v>0</v>
      </c>
      <c r="G26" s="83">
        <v>1.2070000000000001</v>
      </c>
      <c r="H26" s="83">
        <v>6.8000000000000005E-2</v>
      </c>
      <c r="I26" s="83">
        <v>2.14</v>
      </c>
      <c r="J26" s="83">
        <v>0.97549050000000004</v>
      </c>
      <c r="K26" s="83">
        <v>3.1775699999999997E-2</v>
      </c>
      <c r="L26" s="83">
        <v>0</v>
      </c>
      <c r="M26" s="83">
        <v>0.2</v>
      </c>
      <c r="N26" s="83">
        <v>0</v>
      </c>
    </row>
    <row r="27" spans="1:22" ht="15" customHeight="1" x14ac:dyDescent="0.15">
      <c r="C27" s="83">
        <v>26</v>
      </c>
      <c r="D27"/>
      <c r="E27" s="181" t="s">
        <v>217</v>
      </c>
      <c r="F27" s="83">
        <v>0</v>
      </c>
      <c r="G27" s="83">
        <v>0.218</v>
      </c>
      <c r="H27" s="83">
        <v>0.33</v>
      </c>
      <c r="I27" s="83">
        <v>2.1720000000000002</v>
      </c>
      <c r="J27" s="83">
        <v>0.83833729999999995</v>
      </c>
      <c r="K27" s="83">
        <v>0.151933715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81" t="s">
        <v>218</v>
      </c>
      <c r="F28" s="83">
        <v>0</v>
      </c>
      <c r="G28" s="83">
        <v>1.53</v>
      </c>
      <c r="H28" s="83">
        <v>0.22</v>
      </c>
      <c r="I28" s="83">
        <v>1.9830000000000001</v>
      </c>
      <c r="J28" s="83">
        <v>0.98673310000000003</v>
      </c>
      <c r="K28" s="83">
        <v>0.11094301199999999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81" t="s">
        <v>219</v>
      </c>
      <c r="F29" s="83">
        <v>0</v>
      </c>
      <c r="G29" s="83">
        <v>0.25900000000000001</v>
      </c>
      <c r="H29" s="83">
        <v>1.9350000000000001</v>
      </c>
      <c r="I29" s="83">
        <v>6.0229999999999997</v>
      </c>
      <c r="J29" s="83">
        <v>0.30497854899999999</v>
      </c>
      <c r="K29" s="83">
        <v>0.321268469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81" t="s">
        <v>220</v>
      </c>
      <c r="F30" s="83">
        <v>0</v>
      </c>
      <c r="G30" s="83">
        <v>0.23599999999999999</v>
      </c>
      <c r="H30" s="83">
        <v>0.94899999999999995</v>
      </c>
      <c r="I30" s="83">
        <v>4.2699999999999996</v>
      </c>
      <c r="J30" s="83">
        <v>0.93414586799999999</v>
      </c>
      <c r="K30" s="83">
        <v>0.22224824100000001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81" t="s">
        <v>221</v>
      </c>
      <c r="F31" s="83">
        <v>0</v>
      </c>
      <c r="G31" s="83">
        <v>0.628</v>
      </c>
      <c r="H31" s="83">
        <v>0.6</v>
      </c>
      <c r="I31" s="83">
        <v>1.46</v>
      </c>
      <c r="J31" s="83">
        <v>0.9797536</v>
      </c>
      <c r="K31" s="83">
        <v>0.41095891600000001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81" t="s">
        <v>222</v>
      </c>
      <c r="F32" s="83">
        <v>0</v>
      </c>
      <c r="G32" s="83">
        <v>0.628</v>
      </c>
      <c r="H32" s="83">
        <v>0.4</v>
      </c>
      <c r="I32" s="83">
        <v>1.095</v>
      </c>
      <c r="J32" s="83">
        <v>0.6456385</v>
      </c>
      <c r="K32" s="83">
        <v>0.36529679999999998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81" t="s">
        <v>223</v>
      </c>
      <c r="F33" s="83">
        <v>0</v>
      </c>
      <c r="G33" s="83">
        <v>8.8999999999999996E-2</v>
      </c>
      <c r="H33" s="83">
        <v>1.98</v>
      </c>
      <c r="I33" s="83">
        <v>7.5</v>
      </c>
      <c r="J33" s="83">
        <v>0.15867431500000001</v>
      </c>
      <c r="K33" s="83">
        <v>0.26400000000000001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81" t="s">
        <v>224</v>
      </c>
      <c r="F34" s="83">
        <v>0</v>
      </c>
      <c r="G34" s="83">
        <v>0.16300000000000001</v>
      </c>
      <c r="H34" s="83">
        <v>1.32</v>
      </c>
      <c r="I34" s="83">
        <v>4</v>
      </c>
      <c r="J34" s="83">
        <v>0.80535889999999999</v>
      </c>
      <c r="K34" s="83">
        <v>0.33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81" t="s">
        <v>225</v>
      </c>
      <c r="F35" s="83">
        <v>0</v>
      </c>
      <c r="G35" s="83">
        <v>0.11899999999999999</v>
      </c>
      <c r="H35" s="83">
        <v>0.6</v>
      </c>
      <c r="I35" s="83">
        <v>7</v>
      </c>
      <c r="J35" s="83">
        <v>0.91743649999999999</v>
      </c>
      <c r="K35" s="83">
        <v>8.5714289999999999E-2</v>
      </c>
      <c r="L35" s="83">
        <v>0</v>
      </c>
      <c r="M35" s="83">
        <v>0.2</v>
      </c>
      <c r="N35" s="83">
        <v>0</v>
      </c>
    </row>
    <row r="36" spans="3:14" customFormat="1" ht="15" customHeight="1" x14ac:dyDescent="0.15">
      <c r="C36" s="83">
        <v>35</v>
      </c>
      <c r="E36" s="181" t="s">
        <v>226</v>
      </c>
      <c r="F36" s="83">
        <v>0</v>
      </c>
      <c r="G36" s="83">
        <v>0.26900000000000002</v>
      </c>
      <c r="H36" s="83">
        <v>0.27600000000000002</v>
      </c>
      <c r="I36" s="83">
        <v>3.73</v>
      </c>
      <c r="J36" s="83">
        <v>0.88595575100000001</v>
      </c>
      <c r="K36" s="83">
        <v>7.399464E-2</v>
      </c>
      <c r="L36" s="83">
        <v>0</v>
      </c>
      <c r="M36" s="83">
        <v>0.2</v>
      </c>
      <c r="N36" s="83">
        <v>0</v>
      </c>
    </row>
    <row r="37" spans="3:14" customFormat="1" ht="15" customHeight="1" x14ac:dyDescent="0.15">
      <c r="C37" s="83">
        <v>36</v>
      </c>
      <c r="E37" s="181" t="s">
        <v>227</v>
      </c>
      <c r="F37" s="83">
        <v>0</v>
      </c>
      <c r="G37" s="83">
        <v>3.1E-2</v>
      </c>
      <c r="H37" s="83">
        <v>1.2</v>
      </c>
      <c r="I37" s="83">
        <v>3.3</v>
      </c>
      <c r="J37" s="83">
        <v>0.74778270000000002</v>
      </c>
      <c r="K37" s="83">
        <v>0.36363637399999998</v>
      </c>
      <c r="L37" s="83">
        <v>0</v>
      </c>
      <c r="M37" s="83">
        <v>0.2</v>
      </c>
      <c r="N37" s="83">
        <v>0</v>
      </c>
    </row>
    <row r="38" spans="3:14" customFormat="1" ht="15" customHeight="1" x14ac:dyDescent="0.15">
      <c r="C38" s="83">
        <v>37</v>
      </c>
      <c r="E38" s="181" t="s">
        <v>228</v>
      </c>
      <c r="F38" s="83">
        <v>0</v>
      </c>
      <c r="G38" s="83">
        <v>3.9E-2</v>
      </c>
      <c r="H38" s="83">
        <v>0.8</v>
      </c>
      <c r="I38" s="83">
        <v>3.3</v>
      </c>
      <c r="J38" s="83">
        <v>0.96998510000000004</v>
      </c>
      <c r="K38" s="83">
        <v>0.24242425000000001</v>
      </c>
      <c r="L38" s="83">
        <v>0</v>
      </c>
      <c r="M38" s="83">
        <v>0.2</v>
      </c>
      <c r="N38" s="83">
        <v>0</v>
      </c>
    </row>
    <row r="39" spans="3:14" customFormat="1" ht="15" customHeight="1" x14ac:dyDescent="0.15">
      <c r="C39" s="83">
        <v>38</v>
      </c>
      <c r="E39" s="181" t="s">
        <v>229</v>
      </c>
      <c r="F39" s="83">
        <v>0</v>
      </c>
      <c r="G39" s="83">
        <v>0.50900000000000001</v>
      </c>
      <c r="H39" s="83">
        <v>1.5</v>
      </c>
      <c r="I39" s="83">
        <v>5.2560000000000002</v>
      </c>
      <c r="J39" s="83">
        <v>0.9877032</v>
      </c>
      <c r="K39" s="83">
        <v>0.28538809999999998</v>
      </c>
      <c r="L39" s="83">
        <v>0</v>
      </c>
      <c r="M39" s="83">
        <v>0.2</v>
      </c>
      <c r="N39" s="83">
        <v>0</v>
      </c>
    </row>
    <row r="40" spans="3:14" customFormat="1" ht="15" customHeight="1" x14ac:dyDescent="0.15">
      <c r="C40" s="83">
        <v>39</v>
      </c>
      <c r="E40" s="181" t="s">
        <v>230</v>
      </c>
      <c r="F40" s="83">
        <v>0</v>
      </c>
      <c r="G40" s="83">
        <v>0.33500000000000002</v>
      </c>
      <c r="H40" s="83">
        <v>0.31</v>
      </c>
      <c r="I40" s="83">
        <v>1.24</v>
      </c>
      <c r="J40" s="83">
        <v>0.983231246</v>
      </c>
      <c r="K40" s="83">
        <v>0.25</v>
      </c>
      <c r="L40" s="83">
        <v>0</v>
      </c>
      <c r="M40" s="83">
        <v>0.2</v>
      </c>
      <c r="N40" s="83">
        <v>0</v>
      </c>
    </row>
    <row r="41" spans="3:14" customFormat="1" ht="15" customHeight="1" x14ac:dyDescent="0.15">
      <c r="C41" s="83">
        <v>40</v>
      </c>
      <c r="E41" s="181" t="s">
        <v>231</v>
      </c>
      <c r="F41" s="83">
        <v>0</v>
      </c>
      <c r="G41" s="83">
        <v>0.45600000000000002</v>
      </c>
      <c r="H41" s="83">
        <v>1.5</v>
      </c>
      <c r="I41" s="83">
        <v>5</v>
      </c>
      <c r="J41" s="83">
        <v>0.84522384399999995</v>
      </c>
      <c r="K41" s="83">
        <v>0.3</v>
      </c>
      <c r="L41" s="83">
        <v>0</v>
      </c>
      <c r="M41" s="83">
        <v>0.2</v>
      </c>
      <c r="N41" s="83">
        <v>0</v>
      </c>
    </row>
    <row r="42" spans="3:14" customFormat="1" ht="15" customHeight="1" x14ac:dyDescent="0.15">
      <c r="C42" s="83">
        <v>41</v>
      </c>
      <c r="E42" s="181" t="s">
        <v>232</v>
      </c>
      <c r="F42" s="83">
        <v>0</v>
      </c>
      <c r="G42" s="83">
        <v>0.64949999999999997</v>
      </c>
      <c r="H42" s="83">
        <v>3.5</v>
      </c>
      <c r="I42" s="83">
        <v>14</v>
      </c>
      <c r="J42" s="83">
        <v>0.8871097</v>
      </c>
      <c r="K42" s="83">
        <v>0.25</v>
      </c>
      <c r="L42" s="83">
        <v>0</v>
      </c>
      <c r="M42" s="83">
        <v>0.2</v>
      </c>
      <c r="N42" s="83">
        <v>0</v>
      </c>
    </row>
    <row r="43" spans="3:14" customFormat="1" ht="15" customHeight="1" x14ac:dyDescent="0.15">
      <c r="C43" s="83">
        <v>42</v>
      </c>
      <c r="E43" s="181" t="s">
        <v>233</v>
      </c>
      <c r="F43" s="83">
        <v>0</v>
      </c>
      <c r="G43" s="83">
        <v>0.2</v>
      </c>
      <c r="H43" s="83">
        <v>11.475</v>
      </c>
      <c r="I43" s="83">
        <v>45.9</v>
      </c>
      <c r="J43" s="83">
        <v>0.26037183400000002</v>
      </c>
      <c r="K43" s="83">
        <v>0.25</v>
      </c>
      <c r="L43" s="83">
        <v>0</v>
      </c>
      <c r="M43" s="83">
        <v>0.2</v>
      </c>
      <c r="N43" s="83">
        <v>0</v>
      </c>
    </row>
    <row r="44" spans="3:14" customFormat="1" ht="15" customHeight="1" x14ac:dyDescent="0.15">
      <c r="C44" s="83">
        <v>43</v>
      </c>
      <c r="E44" s="181" t="s">
        <v>234</v>
      </c>
      <c r="F44" s="83">
        <v>0</v>
      </c>
      <c r="G44" s="83">
        <v>13.448</v>
      </c>
      <c r="H44" s="83">
        <v>1.448</v>
      </c>
      <c r="I44" s="83">
        <v>16.0888882</v>
      </c>
      <c r="J44" s="83">
        <v>0.89527829999999997</v>
      </c>
      <c r="K44" s="83">
        <v>0.09</v>
      </c>
      <c r="L44" s="83">
        <v>0</v>
      </c>
      <c r="M44" s="83">
        <v>0.2</v>
      </c>
      <c r="N44" s="83">
        <v>0</v>
      </c>
    </row>
    <row r="45" spans="3:14" customFormat="1" ht="15" customHeight="1" x14ac:dyDescent="0.15">
      <c r="C45" s="83">
        <v>44</v>
      </c>
      <c r="E45" s="181" t="s">
        <v>235</v>
      </c>
      <c r="F45" s="83">
        <v>0</v>
      </c>
      <c r="G45" s="83">
        <v>13.2450657</v>
      </c>
      <c r="H45" s="83">
        <v>2</v>
      </c>
      <c r="I45" s="83">
        <v>22.222221399999999</v>
      </c>
      <c r="J45" s="83">
        <v>0.2289456</v>
      </c>
      <c r="K45" s="83">
        <v>0.09</v>
      </c>
      <c r="L45" s="83">
        <v>0</v>
      </c>
      <c r="M45" s="83">
        <v>0.2</v>
      </c>
      <c r="N45" s="83">
        <v>0</v>
      </c>
    </row>
    <row r="46" spans="3:14" customFormat="1" ht="15" customHeight="1" x14ac:dyDescent="0.15">
      <c r="C46" s="83">
        <v>45</v>
      </c>
      <c r="E46" s="181" t="s">
        <v>236</v>
      </c>
      <c r="F46" s="83">
        <v>0</v>
      </c>
      <c r="G46" s="83">
        <v>34.3051338</v>
      </c>
      <c r="H46" s="83">
        <v>1.349</v>
      </c>
      <c r="I46" s="83">
        <v>14.989000000000001</v>
      </c>
      <c r="J46" s="83">
        <v>0.91910666200000002</v>
      </c>
      <c r="K46" s="83">
        <v>8.9999330000000002E-2</v>
      </c>
      <c r="L46" s="83">
        <v>0</v>
      </c>
      <c r="M46" s="83">
        <v>0.2</v>
      </c>
      <c r="N46" s="83">
        <v>0</v>
      </c>
    </row>
    <row r="47" spans="3:14" customFormat="1" ht="15" customHeight="1" x14ac:dyDescent="0.15">
      <c r="C47" s="83">
        <v>46</v>
      </c>
      <c r="E47" s="181" t="s">
        <v>237</v>
      </c>
      <c r="F47" s="83">
        <v>0</v>
      </c>
      <c r="G47" s="83">
        <v>3</v>
      </c>
      <c r="H47" s="83">
        <v>18</v>
      </c>
      <c r="I47" s="83">
        <v>60</v>
      </c>
      <c r="J47" s="83">
        <v>0.69134130000000005</v>
      </c>
      <c r="K47" s="83">
        <v>0.3</v>
      </c>
      <c r="L47" s="83">
        <v>0</v>
      </c>
      <c r="M47" s="83">
        <v>0.2</v>
      </c>
      <c r="N47" s="83">
        <v>0</v>
      </c>
    </row>
    <row r="48" spans="3:14" customFormat="1" ht="15" customHeight="1" x14ac:dyDescent="0.15">
      <c r="C48" s="83">
        <v>47</v>
      </c>
      <c r="E48" s="181" t="s">
        <v>238</v>
      </c>
      <c r="F48" s="83">
        <v>0</v>
      </c>
      <c r="G48" s="83">
        <v>8.6999999999999993</v>
      </c>
      <c r="H48" s="83">
        <v>6.1</v>
      </c>
      <c r="I48" s="83">
        <v>24.82</v>
      </c>
      <c r="J48" s="83">
        <v>0.97509026499999996</v>
      </c>
      <c r="K48" s="83">
        <v>0.24576954500000001</v>
      </c>
      <c r="L48" s="83">
        <v>0</v>
      </c>
      <c r="M48" s="83">
        <v>0.2</v>
      </c>
      <c r="N48" s="83">
        <v>0</v>
      </c>
    </row>
    <row r="49" spans="3:14" customFormat="1" ht="15" customHeight="1" x14ac:dyDescent="0.15">
      <c r="C49" s="83">
        <v>48</v>
      </c>
      <c r="E49" s="181" t="s">
        <v>239</v>
      </c>
      <c r="F49" s="83">
        <v>0</v>
      </c>
      <c r="G49" s="83">
        <v>4.6669999999999998</v>
      </c>
      <c r="H49" s="83">
        <v>27</v>
      </c>
      <c r="I49" s="83">
        <v>90</v>
      </c>
      <c r="J49" s="83">
        <v>0.98858049999999997</v>
      </c>
      <c r="K49" s="83">
        <v>0.3</v>
      </c>
      <c r="L49" s="83">
        <v>0</v>
      </c>
      <c r="M49" s="83">
        <v>0.2</v>
      </c>
      <c r="N49" s="83">
        <v>0</v>
      </c>
    </row>
    <row r="50" spans="3:14" customFormat="1" ht="15" customHeight="1" x14ac:dyDescent="0.15">
      <c r="C50" s="83">
        <v>49</v>
      </c>
      <c r="E50" s="181" t="s">
        <v>240</v>
      </c>
      <c r="F50" s="83">
        <v>0</v>
      </c>
      <c r="G50" s="83">
        <v>1.928571</v>
      </c>
      <c r="H50" s="83">
        <v>0.01</v>
      </c>
      <c r="I50" s="83">
        <v>2</v>
      </c>
      <c r="J50" s="83">
        <v>0.103703737</v>
      </c>
      <c r="K50" s="83">
        <v>5.0000000000000001E-3</v>
      </c>
      <c r="L50" s="83">
        <v>0</v>
      </c>
      <c r="M50" s="83">
        <v>0.2</v>
      </c>
      <c r="N50" s="83">
        <v>0</v>
      </c>
    </row>
    <row r="51" spans="3:14" customFormat="1" ht="15" customHeight="1" x14ac:dyDescent="0.15">
      <c r="C51" s="83">
        <v>50</v>
      </c>
      <c r="E51" s="181" t="s">
        <v>241</v>
      </c>
      <c r="F51" s="83">
        <v>1</v>
      </c>
      <c r="G51" s="83">
        <v>5.28</v>
      </c>
      <c r="H51" s="83">
        <v>5.2560000000000002</v>
      </c>
      <c r="I51" s="83">
        <v>0</v>
      </c>
      <c r="J51" s="83">
        <v>7.7964059999999996E-3</v>
      </c>
      <c r="K51" s="83">
        <v>0</v>
      </c>
      <c r="L51" s="83">
        <v>0</v>
      </c>
      <c r="M51" s="83">
        <v>0</v>
      </c>
      <c r="N51" s="83">
        <v>0</v>
      </c>
    </row>
    <row r="52" spans="3:14" customFormat="1" ht="15" customHeight="1" x14ac:dyDescent="0.15">
      <c r="C52" s="83">
        <v>51</v>
      </c>
      <c r="E52" s="181" t="s">
        <v>242</v>
      </c>
      <c r="F52" s="83">
        <v>1</v>
      </c>
      <c r="G52" s="83">
        <v>15.406000000000001</v>
      </c>
      <c r="H52" s="83">
        <v>178.50200000000001</v>
      </c>
      <c r="I52" s="83">
        <v>0</v>
      </c>
      <c r="J52" s="83">
        <v>0.21555519100000001</v>
      </c>
      <c r="K52" s="83">
        <v>0</v>
      </c>
      <c r="L52" s="83">
        <v>0</v>
      </c>
      <c r="M52" s="83">
        <v>0</v>
      </c>
      <c r="N52" s="83">
        <v>0</v>
      </c>
    </row>
    <row r="53" spans="3:14" customFormat="1" ht="15" customHeight="1" x14ac:dyDescent="0.15">
      <c r="C53" s="83">
        <v>52</v>
      </c>
      <c r="E53" s="181" t="s">
        <v>243</v>
      </c>
      <c r="F53" s="83">
        <v>2</v>
      </c>
      <c r="G53" s="83">
        <v>7.1999999999999995E-2</v>
      </c>
      <c r="H53" s="83">
        <v>0</v>
      </c>
      <c r="I53" s="83">
        <v>0</v>
      </c>
      <c r="J53" s="83">
        <v>0.40344600000000003</v>
      </c>
      <c r="K53" s="83">
        <v>0</v>
      </c>
      <c r="L53" s="83">
        <v>0</v>
      </c>
      <c r="M53" s="83">
        <v>0.2</v>
      </c>
      <c r="N53" s="83">
        <v>0</v>
      </c>
    </row>
    <row r="54" spans="3:14" customFormat="1" ht="15" customHeight="1" x14ac:dyDescent="0.15">
      <c r="C54" s="83">
        <v>53</v>
      </c>
      <c r="E54" s="181" t="s">
        <v>244</v>
      </c>
      <c r="F54" s="83">
        <v>2</v>
      </c>
      <c r="G54" s="83">
        <v>10</v>
      </c>
      <c r="H54" s="83">
        <v>0</v>
      </c>
      <c r="I54" s="83">
        <v>0</v>
      </c>
      <c r="J54" s="83">
        <v>0.44467115400000001</v>
      </c>
      <c r="K54" s="83">
        <v>0</v>
      </c>
      <c r="L54" s="83">
        <v>0</v>
      </c>
      <c r="M54" s="83">
        <v>0</v>
      </c>
      <c r="N54" s="83">
        <v>0</v>
      </c>
    </row>
    <row r="55" spans="3:14" customFormat="1" ht="15" customHeight="1" x14ac:dyDescent="0.15">
      <c r="C55" s="83">
        <v>54</v>
      </c>
      <c r="E55" s="181" t="s">
        <v>245</v>
      </c>
      <c r="F55" s="83">
        <v>2</v>
      </c>
      <c r="G55" s="83">
        <v>5</v>
      </c>
      <c r="H55" s="83">
        <v>0</v>
      </c>
      <c r="I55" s="83">
        <v>0</v>
      </c>
      <c r="J55" s="83">
        <v>0</v>
      </c>
      <c r="K55" s="83">
        <v>0</v>
      </c>
      <c r="L55" s="83">
        <v>0</v>
      </c>
      <c r="M55" s="83">
        <v>0</v>
      </c>
      <c r="N55" s="83">
        <v>0</v>
      </c>
    </row>
    <row r="56" spans="3:14" customFormat="1" ht="15" customHeight="1" x14ac:dyDescent="0.15">
      <c r="C56" s="83">
        <v>55</v>
      </c>
      <c r="E56" s="181" t="s">
        <v>246</v>
      </c>
      <c r="F56" s="83">
        <v>3</v>
      </c>
      <c r="G56" s="83">
        <v>0</v>
      </c>
      <c r="H56" s="83">
        <v>0</v>
      </c>
      <c r="I56" s="83">
        <v>0</v>
      </c>
      <c r="J56" s="83">
        <v>0</v>
      </c>
      <c r="K56" s="83">
        <v>0</v>
      </c>
      <c r="L56" s="83">
        <v>0</v>
      </c>
      <c r="M56" s="83">
        <v>0</v>
      </c>
      <c r="N56" s="83">
        <v>0</v>
      </c>
    </row>
    <row r="57" spans="3:14" customFormat="1" ht="15" customHeight="1" x14ac:dyDescent="0.15">
      <c r="C57" s="83">
        <v>56</v>
      </c>
      <c r="E57" s="181" t="s">
        <v>247</v>
      </c>
      <c r="F57" s="83">
        <v>3</v>
      </c>
      <c r="G57" s="83">
        <v>0</v>
      </c>
      <c r="H57" s="83">
        <v>0</v>
      </c>
      <c r="I57" s="83">
        <v>0</v>
      </c>
      <c r="J57" s="83">
        <v>0</v>
      </c>
      <c r="K57" s="83">
        <v>0</v>
      </c>
      <c r="L57" s="83">
        <v>0</v>
      </c>
      <c r="M57" s="83">
        <v>0</v>
      </c>
      <c r="N57" s="83">
        <v>0</v>
      </c>
    </row>
    <row r="58" spans="3:14" customFormat="1" ht="15" customHeight="1" x14ac:dyDescent="0.15">
      <c r="C58" s="83">
        <v>57</v>
      </c>
      <c r="E58" s="181" t="s">
        <v>248</v>
      </c>
      <c r="F58" s="83">
        <v>3</v>
      </c>
      <c r="G58" s="83">
        <v>0</v>
      </c>
      <c r="H58" s="83">
        <v>0</v>
      </c>
      <c r="I58" s="83">
        <v>0</v>
      </c>
      <c r="J58" s="83">
        <v>0</v>
      </c>
      <c r="K58" s="83">
        <v>0</v>
      </c>
      <c r="L58" s="83">
        <v>0</v>
      </c>
      <c r="M58" s="83">
        <v>0</v>
      </c>
      <c r="N58" s="83">
        <v>0</v>
      </c>
    </row>
    <row r="59" spans="3:14" customFormat="1" ht="15" customHeight="1" x14ac:dyDescent="0.15">
      <c r="C59" s="83">
        <v>58</v>
      </c>
      <c r="E59" s="181" t="s">
        <v>249</v>
      </c>
      <c r="F59" s="83">
        <v>3</v>
      </c>
      <c r="G59" s="83">
        <v>0</v>
      </c>
      <c r="H59" s="83">
        <v>0</v>
      </c>
      <c r="I59" s="83">
        <v>0</v>
      </c>
      <c r="J59" s="83">
        <v>0</v>
      </c>
      <c r="K59" s="83">
        <v>0</v>
      </c>
      <c r="L59" s="83">
        <v>0</v>
      </c>
      <c r="M59" s="83">
        <v>0</v>
      </c>
      <c r="N59" s="83">
        <v>0</v>
      </c>
    </row>
    <row r="60" spans="3:14" customFormat="1" ht="15" customHeight="1" x14ac:dyDescent="0.15">
      <c r="C60" s="83">
        <v>59</v>
      </c>
      <c r="E60" s="181" t="s">
        <v>250</v>
      </c>
      <c r="F60" s="83">
        <v>3</v>
      </c>
      <c r="G60" s="83">
        <v>0</v>
      </c>
      <c r="H60" s="83">
        <v>0</v>
      </c>
      <c r="I60" s="83">
        <v>0</v>
      </c>
      <c r="J60" s="83">
        <v>0</v>
      </c>
      <c r="K60" s="83">
        <v>0</v>
      </c>
      <c r="L60" s="83">
        <v>0</v>
      </c>
      <c r="M60" s="83">
        <v>0</v>
      </c>
      <c r="N60" s="83">
        <v>0</v>
      </c>
    </row>
    <row r="61" spans="3:14" customFormat="1" ht="15" customHeight="1" x14ac:dyDescent="0.15">
      <c r="C61" s="83">
        <v>60</v>
      </c>
      <c r="E61" s="181" t="s">
        <v>251</v>
      </c>
      <c r="F61" s="83">
        <v>3</v>
      </c>
      <c r="G61" s="83">
        <v>0</v>
      </c>
      <c r="H61" s="83">
        <v>0</v>
      </c>
      <c r="I61" s="83">
        <v>0</v>
      </c>
      <c r="J61" s="83">
        <v>0</v>
      </c>
      <c r="K61" s="83">
        <v>0</v>
      </c>
      <c r="L61" s="83">
        <v>0</v>
      </c>
      <c r="M61" s="83">
        <v>0</v>
      </c>
      <c r="N61" s="83">
        <v>0</v>
      </c>
    </row>
    <row r="62" spans="3:14" customFormat="1" ht="15" customHeight="1" x14ac:dyDescent="0.15">
      <c r="C62" s="83">
        <v>61</v>
      </c>
      <c r="E62" s="181" t="s">
        <v>252</v>
      </c>
      <c r="F62" s="83">
        <v>3</v>
      </c>
      <c r="G62" s="83">
        <v>0</v>
      </c>
      <c r="H62" s="83">
        <v>0</v>
      </c>
      <c r="I62" s="83">
        <v>0</v>
      </c>
      <c r="J62" s="83">
        <v>0</v>
      </c>
      <c r="K62" s="83">
        <v>0</v>
      </c>
      <c r="L62" s="83">
        <v>0</v>
      </c>
      <c r="M62" s="83">
        <v>0</v>
      </c>
      <c r="N62" s="83">
        <v>0</v>
      </c>
    </row>
    <row r="63" spans="3:14" customFormat="1" ht="15" customHeight="1" x14ac:dyDescent="0.15">
      <c r="C63" s="83">
        <v>62</v>
      </c>
      <c r="E63" s="181" t="s">
        <v>253</v>
      </c>
      <c r="F63" s="83">
        <v>3</v>
      </c>
      <c r="G63" s="83">
        <v>0</v>
      </c>
      <c r="H63" s="83">
        <v>0</v>
      </c>
      <c r="I63" s="83">
        <v>0</v>
      </c>
      <c r="J63" s="83">
        <v>0</v>
      </c>
      <c r="K63" s="83">
        <v>0</v>
      </c>
      <c r="L63" s="83">
        <v>0</v>
      </c>
      <c r="M63" s="83">
        <v>0</v>
      </c>
      <c r="N63" s="83">
        <v>0</v>
      </c>
    </row>
    <row r="64" spans="3:14" customFormat="1" ht="15" customHeight="1" x14ac:dyDescent="0.15">
      <c r="C64" s="83">
        <v>63</v>
      </c>
      <c r="E64" s="181" t="s">
        <v>254</v>
      </c>
      <c r="F64" s="83">
        <v>3</v>
      </c>
      <c r="G64" s="83">
        <v>0</v>
      </c>
      <c r="H64" s="83">
        <v>0</v>
      </c>
      <c r="I64" s="83">
        <v>0</v>
      </c>
      <c r="J64" s="83">
        <v>0</v>
      </c>
      <c r="K64" s="83">
        <v>0</v>
      </c>
      <c r="L64" s="83">
        <v>0</v>
      </c>
      <c r="M64" s="83">
        <v>0</v>
      </c>
      <c r="N64" s="83">
        <v>0</v>
      </c>
    </row>
    <row r="65" spans="3:14" customFormat="1" ht="15" customHeight="1" x14ac:dyDescent="0.15">
      <c r="C65" s="83">
        <v>64</v>
      </c>
      <c r="E65" s="181" t="s">
        <v>255</v>
      </c>
      <c r="F65" s="83">
        <v>3</v>
      </c>
      <c r="G65" s="83">
        <v>0</v>
      </c>
      <c r="H65" s="83">
        <v>0</v>
      </c>
      <c r="I65" s="83">
        <v>0</v>
      </c>
      <c r="J65" s="83">
        <v>0</v>
      </c>
      <c r="K65" s="83">
        <v>0</v>
      </c>
      <c r="L65" s="83">
        <v>0</v>
      </c>
      <c r="M65" s="83">
        <v>0</v>
      </c>
      <c r="N65" s="83">
        <v>0</v>
      </c>
    </row>
    <row r="66" spans="3:14" customFormat="1" ht="15" customHeight="1" x14ac:dyDescent="0.15">
      <c r="C66" s="83">
        <v>65</v>
      </c>
      <c r="E66" s="181" t="s">
        <v>256</v>
      </c>
      <c r="F66" s="83">
        <v>3</v>
      </c>
      <c r="G66" s="83">
        <v>0</v>
      </c>
      <c r="H66" s="83">
        <v>0</v>
      </c>
      <c r="I66" s="83">
        <v>0</v>
      </c>
      <c r="J66" s="83">
        <v>0</v>
      </c>
      <c r="K66" s="83">
        <v>0</v>
      </c>
      <c r="L66" s="83">
        <v>0</v>
      </c>
      <c r="M66" s="83">
        <v>0</v>
      </c>
      <c r="N66" s="83">
        <v>0</v>
      </c>
    </row>
    <row r="67" spans="3:14" customFormat="1" ht="15" customHeight="1" x14ac:dyDescent="0.15">
      <c r="C67" s="83">
        <v>66</v>
      </c>
      <c r="E67" s="181" t="s">
        <v>257</v>
      </c>
      <c r="F67" s="83">
        <v>3</v>
      </c>
      <c r="G67" s="83">
        <v>0</v>
      </c>
      <c r="H67" s="83">
        <v>0</v>
      </c>
      <c r="I67" s="83">
        <v>0</v>
      </c>
      <c r="J67" s="83">
        <v>0</v>
      </c>
      <c r="K67" s="83">
        <v>0</v>
      </c>
      <c r="L67" s="83">
        <v>0</v>
      </c>
      <c r="M67" s="83">
        <v>0</v>
      </c>
      <c r="N67" s="83">
        <v>0</v>
      </c>
    </row>
    <row r="68" spans="3:14" customFormat="1" ht="15" customHeight="1" x14ac:dyDescent="0.15">
      <c r="C68" s="83">
        <v>67</v>
      </c>
      <c r="E68" s="181" t="s">
        <v>258</v>
      </c>
      <c r="F68" s="83">
        <v>3</v>
      </c>
      <c r="G68" s="83">
        <v>0</v>
      </c>
      <c r="H68" s="83">
        <v>0</v>
      </c>
      <c r="I68" s="83">
        <v>0</v>
      </c>
      <c r="J68" s="83">
        <v>0</v>
      </c>
      <c r="K68" s="83">
        <v>0</v>
      </c>
      <c r="L68" s="83">
        <v>0</v>
      </c>
      <c r="M68" s="83">
        <v>0</v>
      </c>
      <c r="N68" s="83">
        <v>0</v>
      </c>
    </row>
    <row r="69" spans="3:14" customFormat="1" ht="15" customHeight="1" x14ac:dyDescent="0.15">
      <c r="C69" s="83">
        <v>68</v>
      </c>
      <c r="E69" s="181" t="s">
        <v>259</v>
      </c>
      <c r="F69" s="83">
        <v>3</v>
      </c>
      <c r="G69" s="83">
        <v>0</v>
      </c>
      <c r="H69" s="83">
        <v>0</v>
      </c>
      <c r="I69" s="83">
        <v>0</v>
      </c>
      <c r="J69" s="83">
        <v>0</v>
      </c>
      <c r="K69" s="83">
        <v>0</v>
      </c>
      <c r="L69" s="83">
        <v>0</v>
      </c>
      <c r="M69" s="83">
        <v>0</v>
      </c>
      <c r="N69" s="83">
        <v>0</v>
      </c>
    </row>
    <row r="70" spans="3:14" customFormat="1" ht="15" customHeight="1" x14ac:dyDescent="0.15">
      <c r="C70" s="83">
        <v>69</v>
      </c>
      <c r="E70" s="181" t="s">
        <v>207</v>
      </c>
      <c r="F70" s="83">
        <v>3</v>
      </c>
      <c r="G70" s="83">
        <v>0</v>
      </c>
      <c r="H70" s="83">
        <v>0</v>
      </c>
      <c r="I70" s="83">
        <v>0</v>
      </c>
      <c r="J70" s="83">
        <v>0</v>
      </c>
      <c r="K70" s="83">
        <v>0</v>
      </c>
      <c r="L70" s="83">
        <v>0</v>
      </c>
      <c r="M70" s="83">
        <v>0</v>
      </c>
      <c r="N70" s="83">
        <v>0</v>
      </c>
    </row>
    <row r="71" spans="3:14" customFormat="1" ht="15" customHeight="1" x14ac:dyDescent="0.15">
      <c r="C71" s="83">
        <v>70</v>
      </c>
      <c r="E71" s="181" t="s">
        <v>260</v>
      </c>
      <c r="F71" s="83">
        <v>3</v>
      </c>
      <c r="G71" s="83">
        <v>0</v>
      </c>
      <c r="H71" s="83">
        <v>0</v>
      </c>
      <c r="I71" s="83">
        <v>0</v>
      </c>
      <c r="J71" s="83">
        <v>0</v>
      </c>
      <c r="K71" s="83">
        <v>0</v>
      </c>
      <c r="L71" s="83">
        <v>0</v>
      </c>
      <c r="M71" s="83">
        <v>0</v>
      </c>
      <c r="N71" s="83">
        <v>0</v>
      </c>
    </row>
    <row r="72" spans="3:14" customFormat="1" ht="15" customHeight="1" x14ac:dyDescent="0.15">
      <c r="C72" s="83">
        <v>71</v>
      </c>
      <c r="E72" s="181" t="s">
        <v>261</v>
      </c>
      <c r="F72" s="83">
        <v>3</v>
      </c>
      <c r="G72" s="83">
        <v>0</v>
      </c>
      <c r="H72" s="83">
        <v>0</v>
      </c>
      <c r="I72" s="83">
        <v>0</v>
      </c>
      <c r="J72" s="83">
        <v>0</v>
      </c>
      <c r="K72" s="83">
        <v>0</v>
      </c>
      <c r="L72" s="83">
        <v>0</v>
      </c>
      <c r="M72" s="83">
        <v>0</v>
      </c>
      <c r="N72" s="83">
        <v>0</v>
      </c>
    </row>
    <row r="73" spans="3:14" customFormat="1" ht="15" customHeight="1" x14ac:dyDescent="0.15"/>
    <row r="74" spans="3:14" customFormat="1" ht="15" customHeight="1" x14ac:dyDescent="0.15"/>
    <row r="75" spans="3:14" customFormat="1" ht="15" customHeight="1" x14ac:dyDescent="0.15"/>
    <row r="76" spans="3:14" customFormat="1" ht="15" customHeight="1" x14ac:dyDescent="0.15"/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C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8.5" style="146" bestFit="1" customWidth="1"/>
    <col min="2" max="3" width="5.83203125" style="146" bestFit="1" customWidth="1"/>
    <col min="4" max="4" width="8.83203125" style="146" bestFit="1" customWidth="1"/>
    <col min="5" max="5" width="15.83203125" style="146" bestFit="1" customWidth="1"/>
    <col min="6" max="6" width="6.83203125" style="146" bestFit="1" customWidth="1"/>
    <col min="7" max="7" width="4.83203125" style="146" bestFit="1" customWidth="1"/>
    <col min="8" max="10" width="5.83203125" style="146" bestFit="1" customWidth="1"/>
    <col min="11" max="11" width="6.83203125" style="146" bestFit="1" customWidth="1"/>
    <col min="12" max="12" width="5.83203125" style="146" bestFit="1" customWidth="1"/>
    <col min="13" max="13" width="6.83203125" style="146" bestFit="1" customWidth="1"/>
    <col min="14" max="14" width="5.83203125" style="146" bestFit="1" customWidth="1"/>
    <col min="15" max="15" width="6.83203125" style="146" bestFit="1" customWidth="1"/>
    <col min="16" max="16" width="4.83203125" style="146" bestFit="1" customWidth="1"/>
    <col min="17" max="20" width="3.83203125" style="146" bestFit="1" customWidth="1"/>
    <col min="21" max="22" width="5.83203125" style="146" bestFit="1" customWidth="1"/>
    <col min="23" max="23" width="3.83203125" style="146" bestFit="1" customWidth="1"/>
    <col min="24" max="24" width="15.83203125" style="146" bestFit="1" customWidth="1"/>
    <col min="25" max="25" width="3.83203125" style="146" bestFit="1" customWidth="1"/>
    <col min="26" max="27" width="5.83203125" style="146" bestFit="1" customWidth="1"/>
    <col min="28" max="28" width="15.83203125" style="146" bestFit="1" customWidth="1"/>
    <col min="29" max="29" width="5.83203125" style="146" bestFit="1" customWidth="1"/>
    <col min="30" max="30" width="5.83203125" style="146" customWidth="1"/>
    <col min="31" max="32" width="6.83203125" style="146" customWidth="1"/>
    <col min="33" max="33" width="5.83203125" style="146" customWidth="1"/>
    <col min="34" max="34" width="15.83203125" style="146" customWidth="1"/>
    <col min="35" max="35" width="5.83203125" style="146" customWidth="1"/>
    <col min="36" max="36" width="14.83203125" style="146" customWidth="1"/>
    <col min="37" max="37" width="13.83203125" style="146" customWidth="1"/>
    <col min="38" max="38" width="5.83203125" style="146" customWidth="1"/>
    <col min="39" max="39" width="15.5" style="146" customWidth="1"/>
    <col min="40" max="41" width="5.83203125" style="146" customWidth="1"/>
    <col min="42" max="43" width="3.83203125" style="146" customWidth="1"/>
    <col min="44" max="44" width="5.83203125" style="146" customWidth="1"/>
    <col min="45" max="45" width="4.83203125" style="146" customWidth="1"/>
    <col min="46" max="46" width="2.33203125" style="146" customWidth="1"/>
    <col min="47" max="47" width="5.83203125" style="146" customWidth="1"/>
    <col min="48" max="48" width="3.83203125" style="146" customWidth="1"/>
    <col min="49" max="55" width="2.33203125" style="146" customWidth="1"/>
    <col min="56" max="16384" width="8.83203125" style="146"/>
  </cols>
  <sheetData>
    <row r="1" spans="1:55" x14ac:dyDescent="0.15">
      <c r="A1" s="145" t="s">
        <v>19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  <c r="AI1" s="183" t="s">
        <v>225</v>
      </c>
      <c r="AJ1" s="183" t="s">
        <v>226</v>
      </c>
      <c r="AK1" s="183" t="s">
        <v>227</v>
      </c>
      <c r="AL1" s="183" t="s">
        <v>228</v>
      </c>
      <c r="AM1" s="183" t="s">
        <v>229</v>
      </c>
      <c r="AN1" s="183" t="s">
        <v>230</v>
      </c>
      <c r="AO1" s="183" t="s">
        <v>231</v>
      </c>
      <c r="AP1" s="183" t="s">
        <v>232</v>
      </c>
      <c r="AQ1" s="183" t="s">
        <v>233</v>
      </c>
      <c r="AR1" s="183" t="s">
        <v>234</v>
      </c>
      <c r="AS1" s="183" t="s">
        <v>235</v>
      </c>
      <c r="AT1" s="183" t="s">
        <v>236</v>
      </c>
      <c r="AU1" s="183" t="s">
        <v>237</v>
      </c>
      <c r="AV1" s="183" t="s">
        <v>238</v>
      </c>
      <c r="AW1" s="183" t="s">
        <v>239</v>
      </c>
      <c r="AX1" s="183" t="s">
        <v>240</v>
      </c>
      <c r="AY1" s="183" t="s">
        <v>241</v>
      </c>
      <c r="AZ1" s="183" t="s">
        <v>242</v>
      </c>
      <c r="BA1" s="183" t="s">
        <v>243</v>
      </c>
      <c r="BB1" s="183" t="s">
        <v>244</v>
      </c>
      <c r="BC1" s="183" t="s">
        <v>245</v>
      </c>
    </row>
    <row r="2" spans="1:55" customFormat="1" x14ac:dyDescent="0.15">
      <c r="A2" s="182" t="s">
        <v>192</v>
      </c>
      <c r="B2" s="146">
        <v>0</v>
      </c>
      <c r="C2" s="146">
        <v>0</v>
      </c>
      <c r="D2" s="146">
        <v>9.9999999999999974E-7</v>
      </c>
      <c r="E2" s="146">
        <v>0</v>
      </c>
      <c r="F2" s="146">
        <v>0</v>
      </c>
      <c r="G2" s="146">
        <v>0</v>
      </c>
      <c r="H2" s="146">
        <v>0</v>
      </c>
      <c r="I2" s="146">
        <v>0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  <c r="AO2" s="146">
        <v>0</v>
      </c>
      <c r="AP2" s="146">
        <v>0</v>
      </c>
      <c r="AQ2" s="146">
        <v>0</v>
      </c>
      <c r="AR2" s="146">
        <v>0</v>
      </c>
      <c r="AS2" s="146">
        <v>0</v>
      </c>
      <c r="AT2" s="146">
        <v>0</v>
      </c>
      <c r="AU2" s="146">
        <v>0</v>
      </c>
      <c r="AV2" s="146">
        <v>0</v>
      </c>
      <c r="AW2" s="146">
        <v>0</v>
      </c>
      <c r="AX2" s="146">
        <v>0</v>
      </c>
      <c r="AY2" s="146">
        <v>0</v>
      </c>
      <c r="AZ2" s="146">
        <v>0</v>
      </c>
      <c r="BA2" s="146">
        <v>0</v>
      </c>
      <c r="BB2" s="146">
        <v>0</v>
      </c>
      <c r="BC2" s="146">
        <v>0</v>
      </c>
    </row>
    <row r="3" spans="1:55" customFormat="1" x14ac:dyDescent="0.15">
      <c r="A3" s="182" t="s">
        <v>193</v>
      </c>
      <c r="B3" s="146">
        <v>0</v>
      </c>
      <c r="C3" s="146">
        <v>0</v>
      </c>
      <c r="D3" s="146">
        <v>0</v>
      </c>
      <c r="E3" s="146">
        <v>0</v>
      </c>
      <c r="F3" s="146">
        <v>0</v>
      </c>
      <c r="G3" s="146">
        <v>0</v>
      </c>
      <c r="H3" s="146">
        <v>0</v>
      </c>
      <c r="I3" s="146">
        <v>0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0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  <c r="AN3" s="146">
        <v>0</v>
      </c>
      <c r="AO3" s="146">
        <v>0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146">
        <v>0</v>
      </c>
      <c r="AV3" s="146">
        <v>0</v>
      </c>
      <c r="AW3" s="146">
        <v>0</v>
      </c>
      <c r="AX3" s="146">
        <v>0</v>
      </c>
      <c r="AY3" s="146">
        <v>0</v>
      </c>
      <c r="AZ3" s="146">
        <v>0</v>
      </c>
      <c r="BA3" s="146">
        <v>0</v>
      </c>
      <c r="BB3" s="146">
        <v>0</v>
      </c>
      <c r="BC3" s="146">
        <v>0</v>
      </c>
    </row>
    <row r="4" spans="1:55" customFormat="1" x14ac:dyDescent="0.15">
      <c r="A4" s="182" t="s">
        <v>194</v>
      </c>
      <c r="B4" s="146">
        <v>0</v>
      </c>
      <c r="C4" s="146">
        <v>0</v>
      </c>
      <c r="D4" s="146">
        <v>0</v>
      </c>
      <c r="E4" s="146">
        <v>0</v>
      </c>
      <c r="F4" s="146">
        <v>0</v>
      </c>
      <c r="G4" s="146">
        <v>0</v>
      </c>
      <c r="H4" s="146">
        <v>0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0</v>
      </c>
      <c r="AP4" s="146">
        <v>0</v>
      </c>
      <c r="AQ4" s="146">
        <v>0</v>
      </c>
      <c r="AR4" s="146">
        <v>0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  <c r="AY4" s="146">
        <v>0</v>
      </c>
      <c r="AZ4" s="146">
        <v>0</v>
      </c>
      <c r="BA4" s="146">
        <v>0</v>
      </c>
      <c r="BB4" s="146">
        <v>0</v>
      </c>
      <c r="BC4" s="146">
        <v>0</v>
      </c>
    </row>
    <row r="5" spans="1:55" customFormat="1" x14ac:dyDescent="0.15">
      <c r="A5" s="182" t="s">
        <v>195</v>
      </c>
      <c r="B5" s="146">
        <v>0</v>
      </c>
      <c r="C5" s="146">
        <v>0</v>
      </c>
      <c r="D5" s="146">
        <v>9.9999999999999978E-5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0</v>
      </c>
      <c r="Q5" s="146">
        <v>0</v>
      </c>
      <c r="R5" s="146">
        <v>0</v>
      </c>
      <c r="S5" s="146">
        <v>0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0</v>
      </c>
      <c r="Z5" s="146">
        <v>0</v>
      </c>
      <c r="AA5" s="146">
        <v>0</v>
      </c>
      <c r="AB5" s="146">
        <v>0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0</v>
      </c>
      <c r="AJ5" s="146">
        <v>0</v>
      </c>
      <c r="AK5" s="146">
        <v>0</v>
      </c>
      <c r="AL5" s="146">
        <v>0</v>
      </c>
      <c r="AM5" s="146">
        <v>0</v>
      </c>
      <c r="AN5" s="146">
        <v>0</v>
      </c>
      <c r="AO5" s="146">
        <v>0</v>
      </c>
      <c r="AP5" s="146">
        <v>0</v>
      </c>
      <c r="AQ5" s="146">
        <v>0</v>
      </c>
      <c r="AR5" s="146">
        <v>0</v>
      </c>
      <c r="AS5" s="146">
        <v>0</v>
      </c>
      <c r="AT5" s="146">
        <v>0</v>
      </c>
      <c r="AU5" s="146">
        <v>0</v>
      </c>
      <c r="AV5" s="146">
        <v>0</v>
      </c>
      <c r="AW5" s="146">
        <v>0</v>
      </c>
      <c r="AX5" s="146">
        <v>0</v>
      </c>
      <c r="AY5" s="146">
        <v>0</v>
      </c>
      <c r="AZ5" s="146">
        <v>0</v>
      </c>
      <c r="BA5" s="146">
        <v>0</v>
      </c>
      <c r="BB5" s="146">
        <v>0</v>
      </c>
      <c r="BC5" s="146">
        <v>0</v>
      </c>
    </row>
    <row r="6" spans="1:55" customFormat="1" x14ac:dyDescent="0.15">
      <c r="A6" s="182" t="s">
        <v>196</v>
      </c>
      <c r="B6" s="146">
        <v>0</v>
      </c>
      <c r="C6" s="146">
        <v>0</v>
      </c>
      <c r="D6" s="146">
        <v>0</v>
      </c>
      <c r="E6" s="146">
        <v>0</v>
      </c>
      <c r="F6" s="146">
        <v>0</v>
      </c>
      <c r="G6" s="146">
        <v>0</v>
      </c>
      <c r="H6" s="146">
        <v>0</v>
      </c>
      <c r="I6" s="146">
        <v>0</v>
      </c>
      <c r="J6" s="146">
        <v>0</v>
      </c>
      <c r="K6" s="146">
        <v>0</v>
      </c>
      <c r="L6" s="146">
        <v>0</v>
      </c>
      <c r="M6" s="146">
        <v>0</v>
      </c>
      <c r="N6" s="146">
        <v>0</v>
      </c>
      <c r="O6" s="146">
        <v>0</v>
      </c>
      <c r="P6" s="146">
        <v>0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6">
        <v>0</v>
      </c>
      <c r="Y6" s="146">
        <v>0</v>
      </c>
      <c r="Z6" s="146">
        <v>0</v>
      </c>
      <c r="AA6" s="146">
        <v>0</v>
      </c>
      <c r="AB6" s="146">
        <v>0</v>
      </c>
      <c r="AC6" s="146">
        <v>0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  <c r="AL6" s="146">
        <v>0</v>
      </c>
      <c r="AM6" s="146">
        <v>0</v>
      </c>
      <c r="AN6" s="146">
        <v>0</v>
      </c>
      <c r="AO6" s="146">
        <v>0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6">
        <v>0</v>
      </c>
      <c r="AY6" s="146">
        <v>0</v>
      </c>
      <c r="AZ6" s="146">
        <v>0</v>
      </c>
      <c r="BA6" s="146">
        <v>0</v>
      </c>
      <c r="BB6" s="146">
        <v>0</v>
      </c>
      <c r="BC6" s="146">
        <v>0</v>
      </c>
    </row>
    <row r="7" spans="1:55" customFormat="1" x14ac:dyDescent="0.15">
      <c r="A7" s="182" t="s">
        <v>197</v>
      </c>
      <c r="B7" s="146">
        <v>0</v>
      </c>
      <c r="C7" s="146">
        <v>0</v>
      </c>
      <c r="D7" s="146">
        <v>4.0999999999999995E-2</v>
      </c>
      <c r="E7" s="146">
        <v>1.0141987327038545E-2</v>
      </c>
      <c r="F7" s="146">
        <v>5.3999999999999986E-2</v>
      </c>
      <c r="G7" s="146">
        <v>0</v>
      </c>
      <c r="H7" s="146">
        <v>0</v>
      </c>
      <c r="I7" s="146">
        <v>0</v>
      </c>
      <c r="J7" s="146">
        <v>0</v>
      </c>
      <c r="K7" s="146">
        <v>0</v>
      </c>
      <c r="L7" s="146">
        <v>0</v>
      </c>
      <c r="M7" s="146">
        <v>1.3999999999999997E-2</v>
      </c>
      <c r="N7" s="146">
        <v>0</v>
      </c>
      <c r="O7" s="146">
        <v>0</v>
      </c>
      <c r="P7" s="146">
        <v>0</v>
      </c>
      <c r="Q7" s="146">
        <v>0</v>
      </c>
      <c r="R7" s="146">
        <v>0</v>
      </c>
      <c r="S7" s="146">
        <v>0</v>
      </c>
      <c r="T7" s="146">
        <v>0</v>
      </c>
      <c r="U7" s="146">
        <v>0</v>
      </c>
      <c r="V7" s="146">
        <v>0</v>
      </c>
      <c r="W7" s="146">
        <v>0</v>
      </c>
      <c r="X7" s="146">
        <v>0</v>
      </c>
      <c r="Y7" s="146">
        <v>0</v>
      </c>
      <c r="Z7" s="146">
        <v>0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  <c r="AL7" s="146">
        <v>0</v>
      </c>
      <c r="AM7" s="146">
        <v>0</v>
      </c>
      <c r="AN7" s="146">
        <v>0</v>
      </c>
      <c r="AO7" s="146">
        <v>0</v>
      </c>
      <c r="AP7" s="146">
        <v>0</v>
      </c>
      <c r="AQ7" s="146">
        <v>0</v>
      </c>
      <c r="AR7" s="146">
        <v>0</v>
      </c>
      <c r="AS7" s="146">
        <v>0</v>
      </c>
      <c r="AT7" s="146">
        <v>0</v>
      </c>
      <c r="AU7" s="146">
        <v>0</v>
      </c>
      <c r="AV7" s="146">
        <v>0</v>
      </c>
      <c r="AW7" s="146">
        <v>0</v>
      </c>
      <c r="AX7" s="146">
        <v>0</v>
      </c>
      <c r="AY7" s="146">
        <v>0</v>
      </c>
      <c r="AZ7" s="146">
        <v>0</v>
      </c>
      <c r="BA7" s="146">
        <v>0</v>
      </c>
      <c r="BB7" s="146">
        <v>0</v>
      </c>
      <c r="BC7" s="146">
        <v>0</v>
      </c>
    </row>
    <row r="8" spans="1:55" customFormat="1" x14ac:dyDescent="0.15">
      <c r="A8" s="182" t="s">
        <v>198</v>
      </c>
      <c r="B8" s="146">
        <v>0</v>
      </c>
      <c r="C8" s="146">
        <v>0</v>
      </c>
      <c r="D8" s="146">
        <v>3.9999999999999992E-3</v>
      </c>
      <c r="E8" s="146">
        <v>1.0141988727038534E-3</v>
      </c>
      <c r="F8" s="146">
        <v>0</v>
      </c>
      <c r="G8" s="146">
        <v>0</v>
      </c>
      <c r="H8" s="146">
        <v>0</v>
      </c>
      <c r="I8" s="146">
        <v>0</v>
      </c>
      <c r="J8" s="146">
        <v>0</v>
      </c>
      <c r="K8" s="146">
        <v>0</v>
      </c>
      <c r="L8" s="146">
        <v>0</v>
      </c>
      <c r="M8" s="146">
        <v>2.9999999999999992E-3</v>
      </c>
      <c r="N8" s="146">
        <v>0</v>
      </c>
      <c r="O8" s="146">
        <v>0</v>
      </c>
      <c r="P8" s="146">
        <v>0</v>
      </c>
      <c r="Q8" s="146">
        <v>0</v>
      </c>
      <c r="R8" s="146">
        <v>0</v>
      </c>
      <c r="S8" s="146">
        <v>0</v>
      </c>
      <c r="T8" s="146">
        <v>0</v>
      </c>
      <c r="U8" s="146">
        <v>0</v>
      </c>
      <c r="V8" s="146">
        <v>0</v>
      </c>
      <c r="W8" s="146">
        <v>0</v>
      </c>
      <c r="X8" s="146">
        <v>0</v>
      </c>
      <c r="Y8" s="146">
        <v>0</v>
      </c>
      <c r="Z8" s="146">
        <v>0</v>
      </c>
      <c r="AA8" s="146">
        <v>0</v>
      </c>
      <c r="AB8" s="146">
        <v>0</v>
      </c>
      <c r="AC8" s="146">
        <v>0</v>
      </c>
      <c r="AD8" s="146">
        <v>0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  <c r="AJ8" s="146">
        <v>0</v>
      </c>
      <c r="AK8" s="146">
        <v>0</v>
      </c>
      <c r="AL8" s="146">
        <v>0</v>
      </c>
      <c r="AM8" s="146">
        <v>0</v>
      </c>
      <c r="AN8" s="146">
        <v>0</v>
      </c>
      <c r="AO8" s="146">
        <v>0</v>
      </c>
      <c r="AP8" s="146">
        <v>0</v>
      </c>
      <c r="AQ8" s="146">
        <v>0</v>
      </c>
      <c r="AR8" s="146">
        <v>0</v>
      </c>
      <c r="AS8" s="146">
        <v>0</v>
      </c>
      <c r="AT8" s="146">
        <v>0</v>
      </c>
      <c r="AU8" s="146">
        <v>0</v>
      </c>
      <c r="AV8" s="146">
        <v>0</v>
      </c>
      <c r="AW8" s="146">
        <v>0</v>
      </c>
      <c r="AX8" s="146">
        <v>0</v>
      </c>
      <c r="AY8" s="146">
        <v>0</v>
      </c>
      <c r="AZ8" s="146">
        <v>0</v>
      </c>
      <c r="BA8" s="146">
        <v>0</v>
      </c>
      <c r="BB8" s="146">
        <v>0</v>
      </c>
      <c r="BC8" s="146">
        <v>0</v>
      </c>
    </row>
    <row r="9" spans="1:55" customFormat="1" x14ac:dyDescent="0.15">
      <c r="A9" s="182" t="s">
        <v>199</v>
      </c>
      <c r="B9" s="146">
        <v>0</v>
      </c>
      <c r="C9" s="146">
        <v>0</v>
      </c>
      <c r="D9" s="146">
        <v>3.9999999999999992E-3</v>
      </c>
      <c r="E9" s="146">
        <v>4.0567954708154138E-3</v>
      </c>
      <c r="F9" s="146">
        <v>0</v>
      </c>
      <c r="G9" s="146">
        <v>0</v>
      </c>
      <c r="H9" s="146">
        <v>0</v>
      </c>
      <c r="I9" s="146">
        <v>0</v>
      </c>
      <c r="J9" s="146">
        <v>0</v>
      </c>
      <c r="K9" s="146">
        <v>0</v>
      </c>
      <c r="L9" s="146">
        <v>0</v>
      </c>
      <c r="M9" s="146">
        <v>3.9999999999999992E-3</v>
      </c>
      <c r="N9" s="146">
        <v>0</v>
      </c>
      <c r="O9" s="146">
        <v>0</v>
      </c>
      <c r="P9" s="146">
        <v>0</v>
      </c>
      <c r="Q9" s="146">
        <v>0</v>
      </c>
      <c r="R9" s="146">
        <v>0</v>
      </c>
      <c r="S9" s="146">
        <v>0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0</v>
      </c>
      <c r="AA9" s="146">
        <v>0</v>
      </c>
      <c r="AB9" s="146">
        <v>0</v>
      </c>
      <c r="AC9" s="146">
        <v>0</v>
      </c>
      <c r="AD9" s="146">
        <v>0</v>
      </c>
      <c r="AE9" s="146">
        <v>0</v>
      </c>
      <c r="AF9" s="146">
        <v>0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  <c r="AL9" s="146">
        <v>0</v>
      </c>
      <c r="AM9" s="146">
        <v>0</v>
      </c>
      <c r="AN9" s="146">
        <v>0</v>
      </c>
      <c r="AO9" s="146">
        <v>0</v>
      </c>
      <c r="AP9" s="146">
        <v>0</v>
      </c>
      <c r="AQ9" s="146">
        <v>0</v>
      </c>
      <c r="AR9" s="146">
        <v>0</v>
      </c>
      <c r="AS9" s="146">
        <v>0</v>
      </c>
      <c r="AT9" s="146">
        <v>0</v>
      </c>
      <c r="AU9" s="146">
        <v>0</v>
      </c>
      <c r="AV9" s="146">
        <v>0</v>
      </c>
      <c r="AW9" s="146">
        <v>0</v>
      </c>
      <c r="AX9" s="146">
        <v>0</v>
      </c>
      <c r="AY9" s="146">
        <v>0</v>
      </c>
      <c r="AZ9" s="146">
        <v>0</v>
      </c>
      <c r="BA9" s="146">
        <v>0</v>
      </c>
      <c r="BB9" s="146">
        <v>0</v>
      </c>
      <c r="BC9" s="146">
        <v>0</v>
      </c>
    </row>
    <row r="10" spans="1:55" customFormat="1" x14ac:dyDescent="0.15">
      <c r="A10" s="182" t="s">
        <v>200</v>
      </c>
      <c r="B10" s="146">
        <v>4.4999999999999998E-2</v>
      </c>
      <c r="C10" s="146">
        <v>0</v>
      </c>
      <c r="D10" s="146">
        <v>0.21299999999999994</v>
      </c>
      <c r="E10" s="146">
        <v>4.5638949671673402E-2</v>
      </c>
      <c r="F10" s="146">
        <v>3.4499999999999996E-2</v>
      </c>
      <c r="G10" s="146">
        <v>0</v>
      </c>
      <c r="H10" s="146">
        <v>0.2</v>
      </c>
      <c r="I10" s="146">
        <v>0</v>
      </c>
      <c r="J10" s="146">
        <v>0</v>
      </c>
      <c r="K10" s="146">
        <v>0.17349999999999999</v>
      </c>
      <c r="L10" s="146">
        <v>0</v>
      </c>
      <c r="M10" s="146">
        <v>6.4999999999999988E-2</v>
      </c>
      <c r="N10" s="146">
        <v>0</v>
      </c>
      <c r="O10" s="146">
        <v>1.55E-2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1.2E-2</v>
      </c>
      <c r="V10" s="146">
        <v>0</v>
      </c>
      <c r="W10" s="146">
        <v>0</v>
      </c>
      <c r="X10" s="146">
        <v>6.9965019409635162E-2</v>
      </c>
      <c r="Y10" s="146">
        <v>0</v>
      </c>
      <c r="Z10" s="146">
        <v>0.10100000000000001</v>
      </c>
      <c r="AA10" s="146">
        <v>8.6999999999999994E-2</v>
      </c>
      <c r="AB10" s="146">
        <v>0.16049838234834685</v>
      </c>
      <c r="AC10" s="146">
        <v>0</v>
      </c>
      <c r="AD10" s="146">
        <v>0</v>
      </c>
      <c r="AE10" s="146">
        <v>3.15E-2</v>
      </c>
      <c r="AF10" s="146">
        <v>6.3500000000000001E-2</v>
      </c>
      <c r="AG10" s="146">
        <v>0</v>
      </c>
      <c r="AH10" s="146">
        <v>0</v>
      </c>
      <c r="AI10" s="146">
        <v>8.9999999999999993E-3</v>
      </c>
      <c r="AJ10" s="146">
        <v>2.499999862599999E-2</v>
      </c>
      <c r="AK10" s="146">
        <v>0</v>
      </c>
      <c r="AL10" s="146">
        <v>0</v>
      </c>
      <c r="AM10" s="146">
        <v>4.999950030499695E-4</v>
      </c>
      <c r="AN10" s="146">
        <v>0</v>
      </c>
      <c r="AO10" s="146">
        <v>0</v>
      </c>
      <c r="AP10" s="146">
        <v>0</v>
      </c>
      <c r="AQ10" s="146">
        <v>0</v>
      </c>
      <c r="AR10" s="146">
        <v>0</v>
      </c>
      <c r="AS10" s="146">
        <v>0</v>
      </c>
      <c r="AT10" s="146">
        <v>0</v>
      </c>
      <c r="AU10" s="146">
        <v>0</v>
      </c>
      <c r="AV10" s="146">
        <v>0</v>
      </c>
      <c r="AW10" s="146">
        <v>0</v>
      </c>
      <c r="AX10" s="146">
        <v>0</v>
      </c>
      <c r="AY10" s="146">
        <v>0</v>
      </c>
      <c r="AZ10" s="146">
        <v>0</v>
      </c>
      <c r="BA10" s="146">
        <v>0</v>
      </c>
      <c r="BB10" s="146">
        <v>0</v>
      </c>
      <c r="BC10" s="146">
        <v>0</v>
      </c>
    </row>
    <row r="11" spans="1:55" customFormat="1" x14ac:dyDescent="0.15">
      <c r="A11" s="182" t="s">
        <v>201</v>
      </c>
      <c r="B11" s="146">
        <v>4.4999999999999998E-2</v>
      </c>
      <c r="C11" s="146">
        <v>0</v>
      </c>
      <c r="D11" s="146">
        <v>0.21299999999999994</v>
      </c>
      <c r="E11" s="146">
        <v>5.2738339620600393E-2</v>
      </c>
      <c r="F11" s="146">
        <v>5.4499999999999986E-2</v>
      </c>
      <c r="G11" s="146">
        <v>0</v>
      </c>
      <c r="H11" s="146">
        <v>0.19</v>
      </c>
      <c r="I11" s="146">
        <v>0</v>
      </c>
      <c r="J11" s="146">
        <v>0</v>
      </c>
      <c r="K11" s="146">
        <v>0.1</v>
      </c>
      <c r="L11" s="146">
        <v>0</v>
      </c>
      <c r="M11" s="146">
        <v>0.11699999999999998</v>
      </c>
      <c r="N11" s="146">
        <v>0</v>
      </c>
      <c r="O11" s="146">
        <v>1.55E-2</v>
      </c>
      <c r="P11" s="146">
        <v>0</v>
      </c>
      <c r="Q11" s="146">
        <v>0</v>
      </c>
      <c r="R11" s="146">
        <v>0</v>
      </c>
      <c r="S11" s="146">
        <v>0</v>
      </c>
      <c r="T11" s="146">
        <v>0</v>
      </c>
      <c r="U11" s="146">
        <v>1.2E-2</v>
      </c>
      <c r="V11" s="146">
        <v>0</v>
      </c>
      <c r="W11" s="146">
        <v>0</v>
      </c>
      <c r="X11" s="146">
        <v>7.9960019325297352E-2</v>
      </c>
      <c r="Y11" s="146">
        <v>0</v>
      </c>
      <c r="Z11" s="146">
        <v>0.10100000000000001</v>
      </c>
      <c r="AA11" s="146">
        <v>8.6999999999999994E-2</v>
      </c>
      <c r="AB11" s="146">
        <v>0.16049838234834685</v>
      </c>
      <c r="AC11" s="146">
        <v>0</v>
      </c>
      <c r="AD11" s="146">
        <v>0</v>
      </c>
      <c r="AE11" s="146">
        <v>3.15E-2</v>
      </c>
      <c r="AF11" s="146">
        <v>6.3500000000000001E-2</v>
      </c>
      <c r="AG11" s="146">
        <v>0</v>
      </c>
      <c r="AH11" s="146">
        <v>0</v>
      </c>
      <c r="AI11" s="146">
        <v>8.9999999999999993E-3</v>
      </c>
      <c r="AJ11" s="146">
        <v>2.499999862599999E-2</v>
      </c>
      <c r="AK11" s="146">
        <v>0</v>
      </c>
      <c r="AL11" s="146">
        <v>0</v>
      </c>
      <c r="AM11" s="146">
        <v>4.999950030499695E-4</v>
      </c>
      <c r="AN11" s="146">
        <v>0</v>
      </c>
      <c r="AO11" s="146">
        <v>0</v>
      </c>
      <c r="AP11" s="146">
        <v>0</v>
      </c>
      <c r="AQ11" s="146">
        <v>0</v>
      </c>
      <c r="AR11" s="146">
        <v>0</v>
      </c>
      <c r="AS11" s="146">
        <v>0</v>
      </c>
      <c r="AT11" s="146">
        <v>0</v>
      </c>
      <c r="AU11" s="146">
        <v>0</v>
      </c>
      <c r="AV11" s="146">
        <v>0</v>
      </c>
      <c r="AW11" s="146">
        <v>0</v>
      </c>
      <c r="AX11" s="146">
        <v>0</v>
      </c>
      <c r="AY11" s="146">
        <v>0</v>
      </c>
      <c r="AZ11" s="146">
        <v>0</v>
      </c>
      <c r="BA11" s="146">
        <v>0</v>
      </c>
      <c r="BB11" s="146">
        <v>0</v>
      </c>
      <c r="BC11" s="146">
        <v>0</v>
      </c>
    </row>
    <row r="12" spans="1:55" customFormat="1" x14ac:dyDescent="0.15">
      <c r="A12" s="182" t="s">
        <v>202</v>
      </c>
      <c r="B12" s="146">
        <v>0</v>
      </c>
      <c r="C12" s="146">
        <v>0</v>
      </c>
      <c r="D12" s="146">
        <v>2.5999999999999992E-2</v>
      </c>
      <c r="E12" s="146">
        <v>0</v>
      </c>
      <c r="F12" s="146">
        <v>0</v>
      </c>
      <c r="G12" s="146">
        <v>0</v>
      </c>
      <c r="H12" s="146">
        <v>0</v>
      </c>
      <c r="I12" s="146">
        <v>0</v>
      </c>
      <c r="J12" s="146">
        <v>0</v>
      </c>
      <c r="K12" s="146">
        <v>0</v>
      </c>
      <c r="L12" s="146">
        <v>0</v>
      </c>
      <c r="M12" s="146">
        <v>5.9999999999999984E-3</v>
      </c>
      <c r="N12" s="146">
        <v>0</v>
      </c>
      <c r="O12" s="146">
        <v>0</v>
      </c>
      <c r="P12" s="146">
        <v>0</v>
      </c>
      <c r="Q12" s="146">
        <v>0</v>
      </c>
      <c r="R12" s="146">
        <v>0</v>
      </c>
      <c r="S12" s="146">
        <v>0</v>
      </c>
      <c r="T12" s="146">
        <v>0</v>
      </c>
      <c r="U12" s="146">
        <v>0</v>
      </c>
      <c r="V12" s="146">
        <v>0</v>
      </c>
      <c r="W12" s="146">
        <v>0</v>
      </c>
      <c r="X12" s="146">
        <v>0</v>
      </c>
      <c r="Y12" s="146">
        <v>0</v>
      </c>
      <c r="Z12" s="146">
        <v>0</v>
      </c>
      <c r="AA12" s="146">
        <v>0</v>
      </c>
      <c r="AB12" s="146">
        <v>0</v>
      </c>
      <c r="AC12" s="146">
        <v>0</v>
      </c>
      <c r="AD12" s="146">
        <v>0</v>
      </c>
      <c r="AE12" s="146">
        <v>0</v>
      </c>
      <c r="AF12" s="146">
        <v>0</v>
      </c>
      <c r="AG12" s="146">
        <v>0</v>
      </c>
      <c r="AH12" s="146">
        <v>0</v>
      </c>
      <c r="AI12" s="146">
        <v>0</v>
      </c>
      <c r="AJ12" s="146">
        <v>0</v>
      </c>
      <c r="AK12" s="146">
        <v>0</v>
      </c>
      <c r="AL12" s="146">
        <v>0</v>
      </c>
      <c r="AM12" s="146">
        <v>0</v>
      </c>
      <c r="AN12" s="146">
        <v>0</v>
      </c>
      <c r="AO12" s="146">
        <v>0</v>
      </c>
      <c r="AP12" s="146">
        <v>0</v>
      </c>
      <c r="AQ12" s="146">
        <v>0</v>
      </c>
      <c r="AR12" s="146">
        <v>0</v>
      </c>
      <c r="AS12" s="146">
        <v>0</v>
      </c>
      <c r="AT12" s="146">
        <v>0</v>
      </c>
      <c r="AU12" s="146">
        <v>0</v>
      </c>
      <c r="AV12" s="146">
        <v>0</v>
      </c>
      <c r="AW12" s="146">
        <v>0</v>
      </c>
      <c r="AX12" s="146">
        <v>0</v>
      </c>
      <c r="AY12" s="146">
        <v>0</v>
      </c>
      <c r="AZ12" s="146">
        <v>0</v>
      </c>
      <c r="BA12" s="146">
        <v>0</v>
      </c>
      <c r="BB12" s="146">
        <v>0</v>
      </c>
      <c r="BC12" s="146">
        <v>0</v>
      </c>
    </row>
    <row r="13" spans="1:55" customFormat="1" x14ac:dyDescent="0.15">
      <c r="A13" s="182" t="s">
        <v>203</v>
      </c>
      <c r="B13" s="146">
        <v>0</v>
      </c>
      <c r="C13" s="146">
        <v>0</v>
      </c>
      <c r="D13" s="146">
        <v>0</v>
      </c>
      <c r="E13" s="146">
        <v>7.0993919489269761E-3</v>
      </c>
      <c r="F13" s="146">
        <v>0</v>
      </c>
      <c r="G13" s="146">
        <v>0</v>
      </c>
      <c r="H13" s="146">
        <v>0</v>
      </c>
      <c r="I13" s="146">
        <v>0</v>
      </c>
      <c r="J13" s="146">
        <v>0</v>
      </c>
      <c r="K13" s="146">
        <v>0</v>
      </c>
      <c r="L13" s="146">
        <v>0</v>
      </c>
      <c r="M13" s="146">
        <v>0</v>
      </c>
      <c r="N13" s="146">
        <v>0</v>
      </c>
      <c r="O13" s="146">
        <v>0</v>
      </c>
      <c r="P13" s="146">
        <v>0</v>
      </c>
      <c r="Q13" s="146">
        <v>0</v>
      </c>
      <c r="R13" s="146">
        <v>0</v>
      </c>
      <c r="S13" s="146">
        <v>0</v>
      </c>
      <c r="T13" s="146">
        <v>0</v>
      </c>
      <c r="U13" s="146">
        <v>0</v>
      </c>
      <c r="V13" s="146">
        <v>0</v>
      </c>
      <c r="W13" s="146">
        <v>0</v>
      </c>
      <c r="X13" s="146">
        <v>0</v>
      </c>
      <c r="Y13" s="146">
        <v>0</v>
      </c>
      <c r="Z13" s="146">
        <v>0</v>
      </c>
      <c r="AA13" s="146">
        <v>0</v>
      </c>
      <c r="AB13" s="146">
        <v>0</v>
      </c>
      <c r="AC13" s="146">
        <v>0</v>
      </c>
      <c r="AD13" s="146">
        <v>0</v>
      </c>
      <c r="AE13" s="146">
        <v>0</v>
      </c>
      <c r="AF13" s="146">
        <v>0</v>
      </c>
      <c r="AG13" s="146">
        <v>0</v>
      </c>
      <c r="AH13" s="146">
        <v>0</v>
      </c>
      <c r="AI13" s="146">
        <v>0</v>
      </c>
      <c r="AJ13" s="146">
        <v>0</v>
      </c>
      <c r="AK13" s="146">
        <v>0</v>
      </c>
      <c r="AL13" s="146">
        <v>0</v>
      </c>
      <c r="AM13" s="146">
        <v>0</v>
      </c>
      <c r="AN13" s="146">
        <v>1E-3</v>
      </c>
      <c r="AO13" s="146">
        <v>0</v>
      </c>
      <c r="AP13" s="146">
        <v>0</v>
      </c>
      <c r="AQ13" s="146">
        <v>0</v>
      </c>
      <c r="AR13" s="146">
        <v>0</v>
      </c>
      <c r="AS13" s="146">
        <v>0</v>
      </c>
      <c r="AT13" s="146">
        <v>0</v>
      </c>
      <c r="AU13" s="146">
        <v>0</v>
      </c>
      <c r="AV13" s="146">
        <v>0</v>
      </c>
      <c r="AW13" s="146">
        <v>0</v>
      </c>
      <c r="AX13" s="146">
        <v>0</v>
      </c>
      <c r="AY13" s="146">
        <v>0</v>
      </c>
      <c r="AZ13" s="146">
        <v>0</v>
      </c>
      <c r="BA13" s="146">
        <v>0</v>
      </c>
      <c r="BB13" s="146">
        <v>0</v>
      </c>
      <c r="BC13" s="146">
        <v>0</v>
      </c>
    </row>
    <row r="14" spans="1:55" customFormat="1" x14ac:dyDescent="0.15">
      <c r="A14" s="182" t="s">
        <v>204</v>
      </c>
      <c r="B14" s="146">
        <v>0.1</v>
      </c>
      <c r="C14" s="146">
        <v>0</v>
      </c>
      <c r="D14" s="146">
        <v>0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2.5000000000000001E-2</v>
      </c>
      <c r="O14" s="146">
        <v>0.1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0</v>
      </c>
      <c r="Y14" s="146">
        <v>0</v>
      </c>
      <c r="Z14" s="146">
        <v>0</v>
      </c>
      <c r="AA14" s="146">
        <v>0.03</v>
      </c>
      <c r="AB14" s="146">
        <v>8.9999090756082319E-3</v>
      </c>
      <c r="AC14" s="146">
        <v>0</v>
      </c>
      <c r="AD14" s="146">
        <v>0</v>
      </c>
      <c r="AE14" s="146">
        <v>0</v>
      </c>
      <c r="AF14" s="146">
        <v>0</v>
      </c>
      <c r="AG14" s="146">
        <v>0</v>
      </c>
      <c r="AH14" s="146">
        <v>0</v>
      </c>
      <c r="AI14" s="146">
        <v>0</v>
      </c>
      <c r="AJ14" s="146">
        <v>9.9999990503999957E-3</v>
      </c>
      <c r="AK14" s="146">
        <v>0</v>
      </c>
      <c r="AL14" s="146">
        <v>1.9999999999999997E-2</v>
      </c>
      <c r="AM14" s="146">
        <v>0</v>
      </c>
      <c r="AN14" s="146">
        <v>0</v>
      </c>
      <c r="AO14" s="146">
        <v>0</v>
      </c>
      <c r="AP14" s="146">
        <v>0</v>
      </c>
      <c r="AQ14" s="146">
        <v>0</v>
      </c>
      <c r="AR14" s="146">
        <v>0</v>
      </c>
      <c r="AS14" s="146">
        <v>0</v>
      </c>
      <c r="AT14" s="146">
        <v>0</v>
      </c>
      <c r="AU14" s="146">
        <v>0</v>
      </c>
      <c r="AV14" s="146">
        <v>0</v>
      </c>
      <c r="AW14" s="146">
        <v>0</v>
      </c>
      <c r="AX14" s="146">
        <v>0</v>
      </c>
      <c r="AY14" s="146">
        <v>0</v>
      </c>
      <c r="AZ14" s="146">
        <v>0</v>
      </c>
      <c r="BA14" s="146">
        <v>0</v>
      </c>
      <c r="BB14" s="146">
        <v>0</v>
      </c>
      <c r="BC14" s="146">
        <v>0</v>
      </c>
    </row>
    <row r="15" spans="1:55" customFormat="1" x14ac:dyDescent="0.15">
      <c r="A15" s="182" t="s">
        <v>205</v>
      </c>
      <c r="B15" s="146">
        <v>0</v>
      </c>
      <c r="C15" s="146">
        <v>0</v>
      </c>
      <c r="D15" s="146">
        <v>0</v>
      </c>
      <c r="E15" s="146">
        <v>1.0141988727038534E-3</v>
      </c>
      <c r="F15" s="146">
        <v>0</v>
      </c>
      <c r="G15" s="146">
        <v>0</v>
      </c>
      <c r="H15" s="146">
        <v>0</v>
      </c>
      <c r="I15" s="146">
        <v>0</v>
      </c>
      <c r="J15" s="146">
        <v>0</v>
      </c>
      <c r="K15" s="146">
        <v>0</v>
      </c>
      <c r="L15" s="146">
        <v>0</v>
      </c>
      <c r="M15" s="146">
        <v>0</v>
      </c>
      <c r="N15" s="146">
        <v>0</v>
      </c>
      <c r="O15" s="146">
        <v>0</v>
      </c>
      <c r="P15" s="146">
        <v>0</v>
      </c>
      <c r="Q15" s="146">
        <v>0</v>
      </c>
      <c r="R15" s="146">
        <v>0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0</v>
      </c>
      <c r="Y15" s="146">
        <v>0</v>
      </c>
      <c r="Z15" s="146">
        <v>0</v>
      </c>
      <c r="AA15" s="146">
        <v>7.0000000000000007E-2</v>
      </c>
      <c r="AB15" s="146">
        <v>9.9998990840091478E-4</v>
      </c>
      <c r="AC15" s="146">
        <v>0</v>
      </c>
      <c r="AD15" s="146">
        <v>0</v>
      </c>
      <c r="AE15" s="146">
        <v>0</v>
      </c>
      <c r="AF15" s="146">
        <v>0</v>
      </c>
      <c r="AG15" s="146">
        <v>0</v>
      </c>
      <c r="AH15" s="146">
        <v>0</v>
      </c>
      <c r="AI15" s="146">
        <v>0</v>
      </c>
      <c r="AJ15" s="146">
        <v>0</v>
      </c>
      <c r="AK15" s="146">
        <v>0</v>
      </c>
      <c r="AL15" s="146">
        <v>0</v>
      </c>
      <c r="AM15" s="146">
        <v>0</v>
      </c>
      <c r="AN15" s="146">
        <v>0</v>
      </c>
      <c r="AO15" s="146">
        <v>0</v>
      </c>
      <c r="AP15" s="146">
        <v>0</v>
      </c>
      <c r="AQ15" s="146">
        <v>0</v>
      </c>
      <c r="AR15" s="146">
        <v>0</v>
      </c>
      <c r="AS15" s="146">
        <v>0</v>
      </c>
      <c r="AT15" s="146">
        <v>0</v>
      </c>
      <c r="AU15" s="146">
        <v>0</v>
      </c>
      <c r="AV15" s="146">
        <v>0</v>
      </c>
      <c r="AW15" s="146">
        <v>0</v>
      </c>
      <c r="AX15" s="146">
        <v>0</v>
      </c>
      <c r="AY15" s="146">
        <v>0</v>
      </c>
      <c r="AZ15" s="146">
        <v>0</v>
      </c>
      <c r="BA15" s="146">
        <v>0</v>
      </c>
      <c r="BB15" s="146">
        <v>0</v>
      </c>
      <c r="BC15" s="146">
        <v>0</v>
      </c>
    </row>
    <row r="16" spans="1:55" customFormat="1" x14ac:dyDescent="0.15">
      <c r="A16" s="182" t="s">
        <v>206</v>
      </c>
      <c r="B16" s="146">
        <v>0</v>
      </c>
      <c r="C16" s="146">
        <v>1.4E-2</v>
      </c>
      <c r="D16" s="146">
        <v>0.16199999999999998</v>
      </c>
      <c r="E16" s="146">
        <v>0.1014198802703854</v>
      </c>
      <c r="F16" s="146">
        <v>0.24299999999999994</v>
      </c>
      <c r="G16" s="146">
        <v>0</v>
      </c>
      <c r="H16" s="146">
        <v>0.16700000000000001</v>
      </c>
      <c r="I16" s="146">
        <v>0.433</v>
      </c>
      <c r="J16" s="146">
        <v>8.1000000000000003E-2</v>
      </c>
      <c r="K16" s="146">
        <v>0.187</v>
      </c>
      <c r="L16" s="146">
        <v>0.27800000000000002</v>
      </c>
      <c r="M16" s="146">
        <v>7.1999999999999981E-2</v>
      </c>
      <c r="N16" s="146">
        <v>7.1999999999999995E-2</v>
      </c>
      <c r="O16" s="146">
        <v>0.19800000000000001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0</v>
      </c>
      <c r="V16" s="146">
        <v>0.06</v>
      </c>
      <c r="W16" s="146">
        <v>0</v>
      </c>
      <c r="X16" s="146">
        <v>2.6986507472287848E-2</v>
      </c>
      <c r="Y16" s="146">
        <v>0</v>
      </c>
      <c r="Z16" s="146">
        <v>2.8000000000000001E-2</v>
      </c>
      <c r="AA16" s="146">
        <v>0.111</v>
      </c>
      <c r="AB16" s="146">
        <v>0.10699892089889788</v>
      </c>
      <c r="AC16" s="146">
        <v>0.05</v>
      </c>
      <c r="AD16" s="146">
        <v>0.154</v>
      </c>
      <c r="AE16" s="146">
        <v>5.5E-2</v>
      </c>
      <c r="AF16" s="146">
        <v>1.4E-2</v>
      </c>
      <c r="AG16" s="146">
        <v>0</v>
      </c>
      <c r="AH16" s="146">
        <v>0.39299994828903972</v>
      </c>
      <c r="AI16" s="146">
        <v>2.5000000000000001E-2</v>
      </c>
      <c r="AJ16" s="146">
        <v>0.31299996557751986</v>
      </c>
      <c r="AK16" s="146">
        <v>0.22699998910629973</v>
      </c>
      <c r="AL16" s="146">
        <v>0.11699999999999998</v>
      </c>
      <c r="AM16" s="146">
        <v>0.1979980182077879</v>
      </c>
      <c r="AN16" s="146">
        <v>0.23799999999999999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  <c r="AY16" s="146">
        <v>0</v>
      </c>
      <c r="AZ16" s="146">
        <v>0</v>
      </c>
      <c r="BA16" s="146">
        <v>0</v>
      </c>
      <c r="BB16" s="146">
        <v>0</v>
      </c>
      <c r="BC16" s="146">
        <v>0</v>
      </c>
    </row>
    <row r="17" spans="1:55" customFormat="1" x14ac:dyDescent="0.15">
      <c r="A17" s="182" t="s">
        <v>207</v>
      </c>
      <c r="B17" s="146">
        <v>0</v>
      </c>
      <c r="C17" s="146">
        <v>0</v>
      </c>
      <c r="D17" s="146">
        <v>3.1999999999999994E-2</v>
      </c>
      <c r="E17" s="146">
        <v>0</v>
      </c>
      <c r="F17" s="146">
        <v>7.8999999999999987E-2</v>
      </c>
      <c r="G17" s="146">
        <v>0</v>
      </c>
      <c r="H17" s="146">
        <v>3.3000000000000002E-2</v>
      </c>
      <c r="I17" s="146">
        <v>6.7000000000000004E-2</v>
      </c>
      <c r="J17" s="146">
        <v>1.4E-2</v>
      </c>
      <c r="K17" s="146">
        <v>2.5000000000000001E-2</v>
      </c>
      <c r="L17" s="146">
        <v>5.6000000000000001E-2</v>
      </c>
      <c r="M17" s="146">
        <v>1.4999999999999996E-2</v>
      </c>
      <c r="N17" s="146">
        <v>1.4E-2</v>
      </c>
      <c r="O17" s="146">
        <v>2.8000000000000001E-2</v>
      </c>
      <c r="P17" s="146">
        <v>0</v>
      </c>
      <c r="Q17" s="146">
        <v>0</v>
      </c>
      <c r="R17" s="146">
        <v>0</v>
      </c>
      <c r="S17" s="146">
        <v>0</v>
      </c>
      <c r="T17" s="146">
        <v>0</v>
      </c>
      <c r="U17" s="146">
        <v>0</v>
      </c>
      <c r="V17" s="146">
        <v>1.2E-2</v>
      </c>
      <c r="W17" s="146">
        <v>0</v>
      </c>
      <c r="X17" s="146">
        <v>4.9975009578310864E-3</v>
      </c>
      <c r="Y17" s="146">
        <v>0</v>
      </c>
      <c r="Z17" s="146">
        <v>6.0000000000000001E-3</v>
      </c>
      <c r="AA17" s="146">
        <v>2.1999999999999999E-2</v>
      </c>
      <c r="AB17" s="146">
        <v>5.099948542844665E-2</v>
      </c>
      <c r="AC17" s="146">
        <v>0.01</v>
      </c>
      <c r="AD17" s="146">
        <v>3.1E-2</v>
      </c>
      <c r="AE17" s="146">
        <v>1.0999999999999999E-2</v>
      </c>
      <c r="AF17" s="146">
        <v>3.0000000000000001E-3</v>
      </c>
      <c r="AG17" s="146">
        <v>0</v>
      </c>
      <c r="AH17" s="146">
        <v>7.8999996459119967E-2</v>
      </c>
      <c r="AI17" s="146">
        <v>5.0000000000000001E-3</v>
      </c>
      <c r="AJ17" s="146">
        <v>6.6999994537679963E-2</v>
      </c>
      <c r="AK17" s="146">
        <v>6.3000001694700047E-2</v>
      </c>
      <c r="AL17" s="146">
        <v>6.2999999999999987E-2</v>
      </c>
      <c r="AM17" s="146">
        <v>3.9999600243997561E-2</v>
      </c>
      <c r="AN17" s="146">
        <v>4.8000000000000001E-2</v>
      </c>
      <c r="AO17" s="146">
        <v>0</v>
      </c>
      <c r="AP17" s="146">
        <v>0</v>
      </c>
      <c r="AQ17" s="146">
        <v>0</v>
      </c>
      <c r="AR17" s="146">
        <v>0</v>
      </c>
      <c r="AS17" s="146">
        <v>0</v>
      </c>
      <c r="AT17" s="146">
        <v>0</v>
      </c>
      <c r="AU17" s="146">
        <v>0</v>
      </c>
      <c r="AV17" s="146">
        <v>0</v>
      </c>
      <c r="AW17" s="146">
        <v>0</v>
      </c>
      <c r="AX17" s="146">
        <v>0</v>
      </c>
      <c r="AY17" s="146">
        <v>0</v>
      </c>
      <c r="AZ17" s="146">
        <v>0</v>
      </c>
      <c r="BA17" s="146">
        <v>0</v>
      </c>
      <c r="BB17" s="146">
        <v>0</v>
      </c>
      <c r="BC17" s="146">
        <v>0</v>
      </c>
    </row>
    <row r="18" spans="1:55" customFormat="1" x14ac:dyDescent="0.15">
      <c r="A18" s="182" t="s">
        <v>208</v>
      </c>
      <c r="B18" s="146">
        <v>0</v>
      </c>
      <c r="C18" s="146">
        <v>0</v>
      </c>
      <c r="D18" s="146">
        <v>5.5999999999999987E-2</v>
      </c>
      <c r="E18" s="146">
        <v>0.21298172946780947</v>
      </c>
      <c r="F18" s="146">
        <v>0.10499999999999997</v>
      </c>
      <c r="G18" s="146">
        <v>0</v>
      </c>
      <c r="H18" s="146">
        <v>0</v>
      </c>
      <c r="I18" s="146">
        <v>0</v>
      </c>
      <c r="J18" s="146">
        <v>0.05</v>
      </c>
      <c r="K18" s="146">
        <v>0</v>
      </c>
      <c r="L18" s="146">
        <v>0</v>
      </c>
      <c r="M18" s="146">
        <v>2.2999999999999996E-2</v>
      </c>
      <c r="N18" s="146">
        <v>0</v>
      </c>
      <c r="O18" s="146">
        <v>0</v>
      </c>
      <c r="P18" s="146">
        <v>0</v>
      </c>
      <c r="Q18" s="146">
        <v>0</v>
      </c>
      <c r="R18" s="146">
        <v>0</v>
      </c>
      <c r="S18" s="146">
        <v>0</v>
      </c>
      <c r="T18" s="146">
        <v>0</v>
      </c>
      <c r="U18" s="146">
        <v>0</v>
      </c>
      <c r="V18" s="146">
        <v>0.33</v>
      </c>
      <c r="W18" s="146">
        <v>0</v>
      </c>
      <c r="X18" s="146">
        <v>0</v>
      </c>
      <c r="Y18" s="146">
        <v>0</v>
      </c>
      <c r="Z18" s="146">
        <v>0.109</v>
      </c>
      <c r="AA18" s="146">
        <v>0.18</v>
      </c>
      <c r="AB18" s="146">
        <v>9.8999000831690567E-2</v>
      </c>
      <c r="AC18" s="146">
        <v>0</v>
      </c>
      <c r="AD18" s="146">
        <v>0</v>
      </c>
      <c r="AE18" s="146">
        <v>0.05</v>
      </c>
      <c r="AF18" s="146">
        <v>0</v>
      </c>
      <c r="AG18" s="146">
        <v>0</v>
      </c>
      <c r="AH18" s="146">
        <v>2.9999995698399975E-2</v>
      </c>
      <c r="AI18" s="146">
        <v>0</v>
      </c>
      <c r="AJ18" s="146">
        <v>0</v>
      </c>
      <c r="AK18" s="146">
        <v>0.16999999157299978</v>
      </c>
      <c r="AL18" s="146">
        <v>9.8999999999999977E-2</v>
      </c>
      <c r="AM18" s="146">
        <v>0</v>
      </c>
      <c r="AN18" s="146">
        <v>0</v>
      </c>
      <c r="AO18" s="146">
        <v>0</v>
      </c>
      <c r="AP18" s="146">
        <v>0</v>
      </c>
      <c r="AQ18" s="146">
        <v>0</v>
      </c>
      <c r="AR18" s="146">
        <v>0</v>
      </c>
      <c r="AS18" s="146">
        <v>0</v>
      </c>
      <c r="AT18" s="146">
        <v>0</v>
      </c>
      <c r="AU18" s="146">
        <v>1E-3</v>
      </c>
      <c r="AV18" s="146">
        <v>0</v>
      </c>
      <c r="AW18" s="146">
        <v>0</v>
      </c>
      <c r="AX18" s="146">
        <v>0</v>
      </c>
      <c r="AY18" s="146">
        <v>0</v>
      </c>
      <c r="AZ18" s="146">
        <v>0</v>
      </c>
      <c r="BA18" s="146">
        <v>0</v>
      </c>
      <c r="BB18" s="146">
        <v>0</v>
      </c>
      <c r="BC18" s="146">
        <v>0</v>
      </c>
    </row>
    <row r="19" spans="1:55" customFormat="1" x14ac:dyDescent="0.15">
      <c r="A19" s="182" t="s">
        <v>209</v>
      </c>
      <c r="B19" s="146">
        <v>0</v>
      </c>
      <c r="C19" s="146">
        <v>1E-3</v>
      </c>
      <c r="D19" s="146">
        <v>9.9999999999999985E-3</v>
      </c>
      <c r="E19" s="146">
        <v>1.0141987327038545E-2</v>
      </c>
      <c r="F19" s="146">
        <v>2.9999999999999992E-3</v>
      </c>
      <c r="G19" s="146">
        <v>0</v>
      </c>
      <c r="H19" s="146">
        <v>0.04</v>
      </c>
      <c r="I19" s="146">
        <v>0.05</v>
      </c>
      <c r="J19" s="146">
        <v>0</v>
      </c>
      <c r="K19" s="146">
        <v>0</v>
      </c>
      <c r="L19" s="146">
        <v>0</v>
      </c>
      <c r="M19" s="146">
        <v>9.9999999999999985E-3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6">
        <v>0</v>
      </c>
      <c r="T19" s="146">
        <v>0</v>
      </c>
      <c r="U19" s="146">
        <v>0</v>
      </c>
      <c r="V19" s="146">
        <v>0.02</v>
      </c>
      <c r="W19" s="146">
        <v>0</v>
      </c>
      <c r="X19" s="146">
        <v>0</v>
      </c>
      <c r="Y19" s="146">
        <v>0</v>
      </c>
      <c r="Z19" s="146">
        <v>0</v>
      </c>
      <c r="AA19" s="146">
        <v>1.7999999999999999E-2</v>
      </c>
      <c r="AB19" s="146">
        <v>9.9998990840091473E-6</v>
      </c>
      <c r="AC19" s="146">
        <v>0</v>
      </c>
      <c r="AD19" s="146">
        <v>0</v>
      </c>
      <c r="AE19" s="146">
        <v>0</v>
      </c>
      <c r="AF19" s="146">
        <v>0.02</v>
      </c>
      <c r="AG19" s="146">
        <v>0</v>
      </c>
      <c r="AH19" s="146">
        <v>2.2999996375439979E-2</v>
      </c>
      <c r="AI19" s="146">
        <v>0.01</v>
      </c>
      <c r="AJ19" s="146">
        <v>9.9999990503999957E-3</v>
      </c>
      <c r="AK19" s="146">
        <v>0</v>
      </c>
      <c r="AL19" s="146">
        <v>1.9999999999999997E-2</v>
      </c>
      <c r="AM19" s="146">
        <v>0</v>
      </c>
      <c r="AN19" s="146">
        <v>0</v>
      </c>
      <c r="AO19" s="146">
        <v>0</v>
      </c>
      <c r="AP19" s="146">
        <v>0</v>
      </c>
      <c r="AQ19" s="146">
        <v>0</v>
      </c>
      <c r="AR19" s="146">
        <v>0</v>
      </c>
      <c r="AS19" s="146">
        <v>0</v>
      </c>
      <c r="AT19" s="146">
        <v>0</v>
      </c>
      <c r="AU19" s="146">
        <v>0</v>
      </c>
      <c r="AV19" s="146">
        <v>0</v>
      </c>
      <c r="AW19" s="146">
        <v>0</v>
      </c>
      <c r="AX19" s="146">
        <v>0</v>
      </c>
      <c r="AY19" s="146">
        <v>0</v>
      </c>
      <c r="AZ19" s="146">
        <v>0</v>
      </c>
      <c r="BA19" s="146">
        <v>0</v>
      </c>
      <c r="BB19" s="146">
        <v>0</v>
      </c>
      <c r="BC19" s="146">
        <v>0</v>
      </c>
    </row>
    <row r="20" spans="1:55" customFormat="1" x14ac:dyDescent="0.15">
      <c r="A20" s="182" t="s">
        <v>210</v>
      </c>
      <c r="B20" s="146">
        <v>0</v>
      </c>
      <c r="C20" s="146">
        <v>0</v>
      </c>
      <c r="D20" s="146">
        <v>4.9999999999999992E-3</v>
      </c>
      <c r="E20" s="146">
        <v>0</v>
      </c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9.999999999999998E-4</v>
      </c>
      <c r="N20" s="146">
        <v>0</v>
      </c>
      <c r="O20" s="146">
        <v>0</v>
      </c>
      <c r="P20" s="146">
        <v>0</v>
      </c>
      <c r="Q20" s="146">
        <v>0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1.999000443132434E-2</v>
      </c>
      <c r="Y20" s="146">
        <v>0</v>
      </c>
      <c r="Z20" s="146">
        <v>0</v>
      </c>
      <c r="AA20" s="146">
        <v>0</v>
      </c>
      <c r="AB20" s="146">
        <v>9.9998990840091478E-4</v>
      </c>
      <c r="AC20" s="146">
        <v>0</v>
      </c>
      <c r="AD20" s="146">
        <v>0</v>
      </c>
      <c r="AE20" s="146">
        <v>3.0000000000000001E-3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  <c r="AL20" s="146">
        <v>2.0999999999999998E-2</v>
      </c>
      <c r="AM20" s="146">
        <v>0</v>
      </c>
      <c r="AN20" s="146">
        <v>0</v>
      </c>
      <c r="AO20" s="146">
        <v>0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146">
        <v>0</v>
      </c>
      <c r="AV20" s="146">
        <v>0</v>
      </c>
      <c r="AW20" s="146">
        <v>0</v>
      </c>
      <c r="AX20" s="146">
        <v>0</v>
      </c>
      <c r="AY20" s="146">
        <v>0</v>
      </c>
      <c r="AZ20" s="146">
        <v>0</v>
      </c>
      <c r="BA20" s="146">
        <v>0</v>
      </c>
      <c r="BB20" s="146">
        <v>0</v>
      </c>
      <c r="BC20" s="146">
        <v>0</v>
      </c>
    </row>
    <row r="21" spans="1:55" customFormat="1" x14ac:dyDescent="0.15">
      <c r="A21" s="182" t="s">
        <v>211</v>
      </c>
      <c r="B21" s="146">
        <v>0</v>
      </c>
      <c r="C21" s="146">
        <v>0</v>
      </c>
      <c r="D21" s="146">
        <v>0</v>
      </c>
      <c r="E21" s="146">
        <v>1.0141988727038534E-3</v>
      </c>
      <c r="F21" s="146">
        <v>0</v>
      </c>
      <c r="G21" s="146">
        <v>0</v>
      </c>
      <c r="H21" s="146">
        <v>0</v>
      </c>
      <c r="I21" s="146">
        <v>0</v>
      </c>
      <c r="J21" s="146">
        <v>0</v>
      </c>
      <c r="K21" s="146">
        <v>0</v>
      </c>
      <c r="L21" s="146">
        <v>0</v>
      </c>
      <c r="M21" s="146">
        <v>2.9999999999999992E-3</v>
      </c>
      <c r="N21" s="146">
        <v>0</v>
      </c>
      <c r="O21" s="146">
        <v>0</v>
      </c>
      <c r="P21" s="146">
        <v>0</v>
      </c>
      <c r="Q21" s="146">
        <v>0</v>
      </c>
      <c r="R21" s="146">
        <v>0</v>
      </c>
      <c r="S21" s="146">
        <v>0</v>
      </c>
      <c r="T21" s="146">
        <v>0</v>
      </c>
      <c r="U21" s="146">
        <v>0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9.9998990840091478E-4</v>
      </c>
      <c r="AC21" s="146">
        <v>0</v>
      </c>
      <c r="AD21" s="146">
        <v>0</v>
      </c>
      <c r="AE21" s="146">
        <v>0</v>
      </c>
      <c r="AF21" s="146">
        <v>5.0000000000000001E-3</v>
      </c>
      <c r="AG21" s="146">
        <v>0</v>
      </c>
      <c r="AH21" s="146">
        <v>0</v>
      </c>
      <c r="AI21" s="146">
        <v>1E-3</v>
      </c>
      <c r="AJ21" s="146">
        <v>0</v>
      </c>
      <c r="AK21" s="146">
        <v>0</v>
      </c>
      <c r="AL21" s="146">
        <v>0</v>
      </c>
      <c r="AM21" s="146">
        <v>0</v>
      </c>
      <c r="AN21" s="146">
        <v>0</v>
      </c>
      <c r="AO21" s="146">
        <v>0</v>
      </c>
      <c r="AP21" s="146">
        <v>0</v>
      </c>
      <c r="AQ21" s="146">
        <v>0</v>
      </c>
      <c r="AR21" s="146">
        <v>0</v>
      </c>
      <c r="AS21" s="146">
        <v>0</v>
      </c>
      <c r="AT21" s="146">
        <v>0</v>
      </c>
      <c r="AU21" s="146">
        <v>0</v>
      </c>
      <c r="AV21" s="146">
        <v>0</v>
      </c>
      <c r="AW21" s="146">
        <v>0</v>
      </c>
      <c r="AX21" s="146">
        <v>0</v>
      </c>
      <c r="AY21" s="146">
        <v>0</v>
      </c>
      <c r="AZ21" s="146">
        <v>0</v>
      </c>
      <c r="BA21" s="146">
        <v>0</v>
      </c>
      <c r="BB21" s="146">
        <v>0</v>
      </c>
      <c r="BC21" s="146">
        <v>0</v>
      </c>
    </row>
    <row r="22" spans="1:55" customFormat="1" x14ac:dyDescent="0.15">
      <c r="A22" s="182" t="s">
        <v>212</v>
      </c>
      <c r="B22" s="146">
        <v>0</v>
      </c>
      <c r="C22" s="146">
        <v>0</v>
      </c>
      <c r="D22" s="146">
        <v>0</v>
      </c>
      <c r="E22" s="146">
        <v>5.0709943435192672E-4</v>
      </c>
      <c r="F22" s="146">
        <v>0</v>
      </c>
      <c r="G22" s="146">
        <v>0</v>
      </c>
      <c r="H22" s="146">
        <v>0</v>
      </c>
      <c r="I22" s="146">
        <v>0</v>
      </c>
      <c r="J22" s="146">
        <v>0</v>
      </c>
      <c r="K22" s="146">
        <v>0</v>
      </c>
      <c r="L22" s="146">
        <v>0</v>
      </c>
      <c r="M22" s="146">
        <v>0</v>
      </c>
      <c r="N22" s="146">
        <v>0</v>
      </c>
      <c r="O22" s="146">
        <v>0</v>
      </c>
      <c r="P22" s="146">
        <v>0</v>
      </c>
      <c r="Q22" s="146">
        <v>0</v>
      </c>
      <c r="R22" s="146">
        <v>0</v>
      </c>
      <c r="S22" s="146">
        <v>0</v>
      </c>
      <c r="T22" s="146">
        <v>0</v>
      </c>
      <c r="U22" s="146">
        <v>0</v>
      </c>
      <c r="V22" s="146">
        <v>0</v>
      </c>
      <c r="W22" s="146">
        <v>0</v>
      </c>
      <c r="X22" s="146">
        <v>0</v>
      </c>
      <c r="Y22" s="146">
        <v>0</v>
      </c>
      <c r="Z22" s="146">
        <v>0</v>
      </c>
      <c r="AA22" s="146">
        <v>7.0000000000000001E-3</v>
      </c>
      <c r="AB22" s="146">
        <v>0</v>
      </c>
      <c r="AC22" s="146">
        <v>0</v>
      </c>
      <c r="AD22" s="146">
        <v>0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0</v>
      </c>
      <c r="AL22" s="146">
        <v>9.9999999999999985E-3</v>
      </c>
      <c r="AM22" s="146">
        <v>0</v>
      </c>
      <c r="AN22" s="146">
        <v>0</v>
      </c>
      <c r="AO22" s="146">
        <v>0</v>
      </c>
      <c r="AP22" s="146">
        <v>0</v>
      </c>
      <c r="AQ22" s="146">
        <v>0</v>
      </c>
      <c r="AR22" s="146">
        <v>0</v>
      </c>
      <c r="AS22" s="146">
        <v>0</v>
      </c>
      <c r="AT22" s="146">
        <v>0</v>
      </c>
      <c r="AU22" s="146">
        <v>0</v>
      </c>
      <c r="AV22" s="146">
        <v>0</v>
      </c>
      <c r="AW22" s="146">
        <v>0</v>
      </c>
      <c r="AX22" s="146">
        <v>0</v>
      </c>
      <c r="AY22" s="146">
        <v>0</v>
      </c>
      <c r="AZ22" s="146">
        <v>0</v>
      </c>
      <c r="BA22" s="146">
        <v>0</v>
      </c>
      <c r="BB22" s="146">
        <v>0</v>
      </c>
      <c r="BC22" s="146">
        <v>0</v>
      </c>
    </row>
    <row r="23" spans="1:55" customFormat="1" x14ac:dyDescent="0.15">
      <c r="A23" s="182" t="s">
        <v>213</v>
      </c>
      <c r="B23" s="146">
        <v>0</v>
      </c>
      <c r="C23" s="146">
        <v>0</v>
      </c>
      <c r="D23" s="146">
        <v>0</v>
      </c>
      <c r="E23" s="146">
        <v>1.0141987827038541E-4</v>
      </c>
      <c r="F23" s="146">
        <v>0</v>
      </c>
      <c r="G23" s="146">
        <v>0</v>
      </c>
      <c r="H23" s="146">
        <v>0</v>
      </c>
      <c r="I23" s="146">
        <v>0</v>
      </c>
      <c r="J23" s="146">
        <v>0</v>
      </c>
      <c r="K23" s="146">
        <v>0</v>
      </c>
      <c r="L23" s="146">
        <v>0</v>
      </c>
      <c r="M23" s="146">
        <v>0</v>
      </c>
      <c r="N23" s="146">
        <v>0</v>
      </c>
      <c r="O23" s="146">
        <v>0</v>
      </c>
      <c r="P23" s="146">
        <v>0</v>
      </c>
      <c r="Q23" s="146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6">
        <v>4.9975013378310827E-4</v>
      </c>
      <c r="Y23" s="146">
        <v>0</v>
      </c>
      <c r="Z23" s="146">
        <v>0</v>
      </c>
      <c r="AA23" s="146">
        <v>1E-3</v>
      </c>
      <c r="AB23" s="146">
        <v>0</v>
      </c>
      <c r="AC23" s="146">
        <v>0</v>
      </c>
      <c r="AD23" s="146">
        <v>0</v>
      </c>
      <c r="AE23" s="146">
        <v>0</v>
      </c>
      <c r="AF23" s="146">
        <v>0</v>
      </c>
      <c r="AG23" s="146">
        <v>0</v>
      </c>
      <c r="AH23" s="146">
        <v>0</v>
      </c>
      <c r="AI23" s="146">
        <v>0</v>
      </c>
      <c r="AJ23" s="146">
        <v>0</v>
      </c>
      <c r="AK23" s="146">
        <v>0</v>
      </c>
      <c r="AL23" s="146">
        <v>9.999999999999998E-4</v>
      </c>
      <c r="AM23" s="146">
        <v>0</v>
      </c>
      <c r="AN23" s="146">
        <v>0</v>
      </c>
      <c r="AO23" s="146">
        <v>0</v>
      </c>
      <c r="AP23" s="146">
        <v>0</v>
      </c>
      <c r="AQ23" s="146">
        <v>0</v>
      </c>
      <c r="AR23" s="146">
        <v>0</v>
      </c>
      <c r="AS23" s="146">
        <v>0</v>
      </c>
      <c r="AT23" s="146">
        <v>0</v>
      </c>
      <c r="AU23" s="146">
        <v>0</v>
      </c>
      <c r="AV23" s="146">
        <v>0</v>
      </c>
      <c r="AW23" s="146">
        <v>0</v>
      </c>
      <c r="AX23" s="146">
        <v>0</v>
      </c>
      <c r="AY23" s="146">
        <v>0</v>
      </c>
      <c r="AZ23" s="146">
        <v>0</v>
      </c>
      <c r="BA23" s="146">
        <v>0</v>
      </c>
      <c r="BB23" s="146">
        <v>0</v>
      </c>
      <c r="BC23" s="146">
        <v>0</v>
      </c>
    </row>
    <row r="24" spans="1:55" customFormat="1" x14ac:dyDescent="0.15">
      <c r="A24" s="182" t="s">
        <v>214</v>
      </c>
      <c r="B24" s="146">
        <v>0</v>
      </c>
      <c r="C24" s="146">
        <v>0</v>
      </c>
      <c r="D24" s="146">
        <v>0</v>
      </c>
      <c r="E24" s="146">
        <v>5.0709943435192672E-4</v>
      </c>
      <c r="F24" s="146">
        <v>0</v>
      </c>
      <c r="G24" s="146">
        <v>0</v>
      </c>
      <c r="H24" s="146">
        <v>0</v>
      </c>
      <c r="I24" s="146">
        <v>0</v>
      </c>
      <c r="J24" s="146">
        <v>0</v>
      </c>
      <c r="K24" s="146">
        <v>0</v>
      </c>
      <c r="L24" s="146">
        <v>0</v>
      </c>
      <c r="M24" s="146">
        <v>0</v>
      </c>
      <c r="N24" s="146">
        <v>0</v>
      </c>
      <c r="O24" s="146">
        <v>0</v>
      </c>
      <c r="P24" s="146">
        <v>0</v>
      </c>
      <c r="Q24" s="146">
        <v>0</v>
      </c>
      <c r="R24" s="146">
        <v>0</v>
      </c>
      <c r="S24" s="146">
        <v>0</v>
      </c>
      <c r="T24" s="146">
        <v>0</v>
      </c>
      <c r="U24" s="146">
        <v>0</v>
      </c>
      <c r="V24" s="146">
        <v>0</v>
      </c>
      <c r="W24" s="146">
        <v>0</v>
      </c>
      <c r="X24" s="146">
        <v>0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0</v>
      </c>
      <c r="AE24" s="146">
        <v>0</v>
      </c>
      <c r="AF24" s="146">
        <v>0</v>
      </c>
      <c r="AG24" s="146">
        <v>0</v>
      </c>
      <c r="AH24" s="146">
        <v>0</v>
      </c>
      <c r="AI24" s="146">
        <v>0</v>
      </c>
      <c r="AJ24" s="146">
        <v>0</v>
      </c>
      <c r="AK24" s="146">
        <v>0</v>
      </c>
      <c r="AL24" s="146">
        <v>0</v>
      </c>
      <c r="AM24" s="146">
        <v>0</v>
      </c>
      <c r="AN24" s="146">
        <v>0</v>
      </c>
      <c r="AO24" s="146">
        <v>0</v>
      </c>
      <c r="AP24" s="146">
        <v>0</v>
      </c>
      <c r="AQ24" s="146">
        <v>0</v>
      </c>
      <c r="AR24" s="146">
        <v>0</v>
      </c>
      <c r="AS24" s="146">
        <v>0</v>
      </c>
      <c r="AT24" s="146">
        <v>0</v>
      </c>
      <c r="AU24" s="146">
        <v>0</v>
      </c>
      <c r="AV24" s="146">
        <v>0</v>
      </c>
      <c r="AW24" s="146">
        <v>0</v>
      </c>
      <c r="AX24" s="146">
        <v>0</v>
      </c>
      <c r="AY24" s="146">
        <v>0</v>
      </c>
      <c r="AZ24" s="146">
        <v>0</v>
      </c>
      <c r="BA24" s="146">
        <v>0</v>
      </c>
      <c r="BB24" s="146">
        <v>0</v>
      </c>
      <c r="BC24" s="146">
        <v>0</v>
      </c>
    </row>
    <row r="25" spans="1:55" customFormat="1" x14ac:dyDescent="0.15">
      <c r="A25" s="182" t="s">
        <v>215</v>
      </c>
      <c r="B25" s="146">
        <v>0</v>
      </c>
      <c r="C25" s="146">
        <v>0</v>
      </c>
      <c r="D25" s="146">
        <v>1.9999999999999996E-3</v>
      </c>
      <c r="E25" s="146">
        <v>1.0141987827038541E-4</v>
      </c>
      <c r="F25" s="146">
        <v>0</v>
      </c>
      <c r="G25" s="146">
        <v>0</v>
      </c>
      <c r="H25" s="146">
        <v>0</v>
      </c>
      <c r="I25" s="146">
        <v>0</v>
      </c>
      <c r="J25" s="146">
        <v>0</v>
      </c>
      <c r="K25" s="146">
        <v>0</v>
      </c>
      <c r="L25" s="146">
        <v>0</v>
      </c>
      <c r="M25" s="146">
        <v>2.9999999999999992E-3</v>
      </c>
      <c r="N25" s="146">
        <v>0</v>
      </c>
      <c r="O25" s="146">
        <v>0</v>
      </c>
      <c r="P25" s="146">
        <v>0</v>
      </c>
      <c r="Q25" s="146">
        <v>0</v>
      </c>
      <c r="R25" s="146">
        <v>0</v>
      </c>
      <c r="S25" s="146">
        <v>0</v>
      </c>
      <c r="T25" s="146">
        <v>0</v>
      </c>
      <c r="U25" s="146">
        <v>0</v>
      </c>
      <c r="V25" s="146">
        <v>0</v>
      </c>
      <c r="W25" s="146">
        <v>0</v>
      </c>
      <c r="X25" s="146">
        <v>0</v>
      </c>
      <c r="Y25" s="146">
        <v>0</v>
      </c>
      <c r="Z25" s="146">
        <v>0</v>
      </c>
      <c r="AA25" s="146">
        <v>1.7000000000000001E-2</v>
      </c>
      <c r="AB25" s="146">
        <v>0</v>
      </c>
      <c r="AC25" s="146">
        <v>0</v>
      </c>
      <c r="AD25" s="146">
        <v>0</v>
      </c>
      <c r="AE25" s="146">
        <v>0</v>
      </c>
      <c r="AF25" s="146">
        <v>5.0000000000000001E-3</v>
      </c>
      <c r="AG25" s="146">
        <v>0</v>
      </c>
      <c r="AH25" s="146">
        <v>0</v>
      </c>
      <c r="AI25" s="146">
        <v>1E-3</v>
      </c>
      <c r="AJ25" s="146">
        <v>3.999999740159999E-3</v>
      </c>
      <c r="AK25" s="146">
        <v>0</v>
      </c>
      <c r="AL25" s="146">
        <v>1.9999999999999997E-2</v>
      </c>
      <c r="AM25" s="146">
        <v>0</v>
      </c>
      <c r="AN25" s="146">
        <v>0</v>
      </c>
      <c r="AO25" s="146">
        <v>0</v>
      </c>
      <c r="AP25" s="146">
        <v>0</v>
      </c>
      <c r="AQ25" s="146">
        <v>0</v>
      </c>
      <c r="AR25" s="146">
        <v>0</v>
      </c>
      <c r="AS25" s="146">
        <v>0</v>
      </c>
      <c r="AT25" s="146">
        <v>0</v>
      </c>
      <c r="AU25" s="146">
        <v>0</v>
      </c>
      <c r="AV25" s="146">
        <v>0</v>
      </c>
      <c r="AW25" s="146">
        <v>0</v>
      </c>
      <c r="AX25" s="146">
        <v>0</v>
      </c>
      <c r="AY25" s="146">
        <v>0</v>
      </c>
      <c r="AZ25" s="146">
        <v>0</v>
      </c>
      <c r="BA25" s="146">
        <v>0</v>
      </c>
      <c r="BB25" s="146">
        <v>0</v>
      </c>
      <c r="BC25" s="146">
        <v>0</v>
      </c>
    </row>
    <row r="26" spans="1:55" customFormat="1" x14ac:dyDescent="0.15">
      <c r="A26" s="182" t="s">
        <v>216</v>
      </c>
      <c r="B26" s="146">
        <v>0</v>
      </c>
      <c r="C26" s="146">
        <v>0</v>
      </c>
      <c r="D26" s="146">
        <v>1.0999999999999998E-2</v>
      </c>
      <c r="E26" s="146">
        <v>2.0283977354077069E-3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1.9999999999999996E-3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146">
        <v>0</v>
      </c>
      <c r="W26" s="146">
        <v>0</v>
      </c>
      <c r="X26" s="146">
        <v>0</v>
      </c>
      <c r="Y26" s="146">
        <v>0</v>
      </c>
      <c r="Z26" s="146">
        <v>0</v>
      </c>
      <c r="AA26" s="146">
        <v>0</v>
      </c>
      <c r="AB26" s="146">
        <v>0</v>
      </c>
      <c r="AC26" s="146">
        <v>0</v>
      </c>
      <c r="AD26" s="146">
        <v>0</v>
      </c>
      <c r="AE26" s="146">
        <v>0</v>
      </c>
      <c r="AF26" s="146">
        <v>1E-3</v>
      </c>
      <c r="AG26" s="146">
        <v>0</v>
      </c>
      <c r="AH26" s="146">
        <v>0</v>
      </c>
      <c r="AI26" s="146">
        <v>0</v>
      </c>
      <c r="AJ26" s="146">
        <v>0</v>
      </c>
      <c r="AK26" s="146">
        <v>0</v>
      </c>
      <c r="AL26" s="146">
        <v>0</v>
      </c>
      <c r="AM26" s="146">
        <v>0</v>
      </c>
      <c r="AN26" s="146">
        <v>0</v>
      </c>
      <c r="AO26" s="146">
        <v>0</v>
      </c>
      <c r="AP26" s="146">
        <v>0</v>
      </c>
      <c r="AQ26" s="146">
        <v>0</v>
      </c>
      <c r="AR26" s="146">
        <v>0</v>
      </c>
      <c r="AS26" s="146">
        <v>0</v>
      </c>
      <c r="AT26" s="146">
        <v>0</v>
      </c>
      <c r="AU26" s="146">
        <v>0</v>
      </c>
      <c r="AV26" s="146">
        <v>0</v>
      </c>
      <c r="AW26" s="146">
        <v>0</v>
      </c>
      <c r="AX26" s="146">
        <v>0</v>
      </c>
      <c r="AY26" s="146">
        <v>0</v>
      </c>
      <c r="AZ26" s="146">
        <v>0</v>
      </c>
      <c r="BA26" s="146">
        <v>0</v>
      </c>
      <c r="BB26" s="146">
        <v>0</v>
      </c>
      <c r="BC26" s="146">
        <v>0</v>
      </c>
    </row>
    <row r="27" spans="1:55" customFormat="1" x14ac:dyDescent="0.15">
      <c r="A27" s="182" t="s">
        <v>217</v>
      </c>
      <c r="B27" s="146">
        <v>0</v>
      </c>
      <c r="C27" s="146">
        <v>0</v>
      </c>
      <c r="D27" s="146">
        <v>1.4898999999999997E-2</v>
      </c>
      <c r="E27" s="146">
        <v>0</v>
      </c>
      <c r="F27" s="146">
        <v>0</v>
      </c>
      <c r="G27" s="146">
        <v>0</v>
      </c>
      <c r="H27" s="146">
        <v>0</v>
      </c>
      <c r="I27" s="146">
        <v>0</v>
      </c>
      <c r="J27" s="146">
        <v>0</v>
      </c>
      <c r="K27" s="146">
        <v>0</v>
      </c>
      <c r="L27" s="146">
        <v>0</v>
      </c>
      <c r="M27" s="146">
        <v>4.9999999999999992E-3</v>
      </c>
      <c r="N27" s="146">
        <v>0</v>
      </c>
      <c r="O27" s="146">
        <v>0</v>
      </c>
      <c r="P27" s="146">
        <v>0</v>
      </c>
      <c r="Q27" s="146">
        <v>0</v>
      </c>
      <c r="R27" s="146">
        <v>0</v>
      </c>
      <c r="S27" s="146">
        <v>0</v>
      </c>
      <c r="T27" s="146">
        <v>0</v>
      </c>
      <c r="U27" s="146">
        <v>0</v>
      </c>
      <c r="V27" s="146">
        <v>0</v>
      </c>
      <c r="W27" s="146">
        <v>0</v>
      </c>
      <c r="X27" s="146">
        <v>0</v>
      </c>
      <c r="Y27" s="146">
        <v>0</v>
      </c>
      <c r="Z27" s="146">
        <v>0</v>
      </c>
      <c r="AA27" s="146">
        <v>0</v>
      </c>
      <c r="AB27" s="146">
        <v>9.9998990840091478E-4</v>
      </c>
      <c r="AC27" s="146">
        <v>0</v>
      </c>
      <c r="AD27" s="146">
        <v>0</v>
      </c>
      <c r="AE27" s="146">
        <v>0.01</v>
      </c>
      <c r="AF27" s="146">
        <v>0</v>
      </c>
      <c r="AG27" s="146">
        <v>0</v>
      </c>
      <c r="AH27" s="146">
        <v>9.9999990327999931E-4</v>
      </c>
      <c r="AI27" s="146">
        <v>0.01</v>
      </c>
      <c r="AJ27" s="146">
        <v>9.9999990503999957E-3</v>
      </c>
      <c r="AK27" s="146">
        <v>0</v>
      </c>
      <c r="AL27" s="146">
        <v>1.9999999999999997E-2</v>
      </c>
      <c r="AM27" s="146">
        <v>0</v>
      </c>
      <c r="AN27" s="146">
        <v>0</v>
      </c>
      <c r="AO27" s="146">
        <v>0</v>
      </c>
      <c r="AP27" s="146">
        <v>0</v>
      </c>
      <c r="AQ27" s="146">
        <v>0</v>
      </c>
      <c r="AR27" s="146">
        <v>0</v>
      </c>
      <c r="AS27" s="146">
        <v>0</v>
      </c>
      <c r="AT27" s="146">
        <v>0</v>
      </c>
      <c r="AU27" s="146">
        <v>0</v>
      </c>
      <c r="AV27" s="146">
        <v>0</v>
      </c>
      <c r="AW27" s="146">
        <v>0</v>
      </c>
      <c r="AX27" s="146">
        <v>0</v>
      </c>
      <c r="AY27" s="146">
        <v>0</v>
      </c>
      <c r="AZ27" s="146">
        <v>0</v>
      </c>
      <c r="BA27" s="146">
        <v>0</v>
      </c>
      <c r="BB27" s="146">
        <v>0</v>
      </c>
      <c r="BC27" s="146">
        <v>0</v>
      </c>
    </row>
    <row r="28" spans="1:55" customFormat="1" x14ac:dyDescent="0.15">
      <c r="A28" s="182" t="s">
        <v>218</v>
      </c>
      <c r="B28" s="146">
        <v>0</v>
      </c>
      <c r="C28" s="146">
        <v>0</v>
      </c>
      <c r="D28" s="146">
        <v>0</v>
      </c>
      <c r="E28" s="146">
        <v>2.2312372739484793E-2</v>
      </c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1.9999999999999997E-2</v>
      </c>
      <c r="N28" s="146">
        <v>0</v>
      </c>
      <c r="O28" s="146">
        <v>0</v>
      </c>
      <c r="P28" s="146">
        <v>0</v>
      </c>
      <c r="Q28" s="146">
        <v>0</v>
      </c>
      <c r="R28" s="146">
        <v>0</v>
      </c>
      <c r="S28" s="146">
        <v>0</v>
      </c>
      <c r="T28" s="146">
        <v>0</v>
      </c>
      <c r="U28" s="146">
        <v>0</v>
      </c>
      <c r="V28" s="146">
        <v>0</v>
      </c>
      <c r="W28" s="146">
        <v>0</v>
      </c>
      <c r="X28" s="146">
        <v>0</v>
      </c>
      <c r="Y28" s="146">
        <v>0</v>
      </c>
      <c r="Z28" s="146">
        <v>0</v>
      </c>
      <c r="AA28" s="146">
        <v>0</v>
      </c>
      <c r="AB28" s="146">
        <v>0</v>
      </c>
      <c r="AC28" s="146">
        <v>0</v>
      </c>
      <c r="AD28" s="146">
        <v>0</v>
      </c>
      <c r="AE28" s="146">
        <v>0</v>
      </c>
      <c r="AF28" s="146">
        <v>0.09</v>
      </c>
      <c r="AG28" s="146">
        <v>0</v>
      </c>
      <c r="AH28" s="146">
        <v>5.8999993093519963E-2</v>
      </c>
      <c r="AI28" s="146">
        <v>0</v>
      </c>
      <c r="AJ28" s="146">
        <v>0</v>
      </c>
      <c r="AK28" s="146">
        <v>0</v>
      </c>
      <c r="AL28" s="146">
        <v>0</v>
      </c>
      <c r="AM28" s="146">
        <v>0</v>
      </c>
      <c r="AN28" s="146">
        <v>0</v>
      </c>
      <c r="AO28" s="146">
        <v>0</v>
      </c>
      <c r="AP28" s="146">
        <v>0</v>
      </c>
      <c r="AQ28" s="146">
        <v>0</v>
      </c>
      <c r="AR28" s="146">
        <v>0</v>
      </c>
      <c r="AS28" s="146">
        <v>0</v>
      </c>
      <c r="AT28" s="146">
        <v>0</v>
      </c>
      <c r="AU28" s="146">
        <v>0</v>
      </c>
      <c r="AV28" s="146">
        <v>0</v>
      </c>
      <c r="AW28" s="146">
        <v>0</v>
      </c>
      <c r="AX28" s="146">
        <v>0</v>
      </c>
      <c r="AY28" s="146">
        <v>0</v>
      </c>
      <c r="AZ28" s="146">
        <v>0</v>
      </c>
      <c r="BA28" s="146">
        <v>0</v>
      </c>
      <c r="BB28" s="146">
        <v>0</v>
      </c>
      <c r="BC28" s="146">
        <v>0</v>
      </c>
    </row>
    <row r="29" spans="1:55" customFormat="1" x14ac:dyDescent="0.15">
      <c r="A29" s="182" t="s">
        <v>219</v>
      </c>
      <c r="B29" s="146">
        <v>0</v>
      </c>
      <c r="C29" s="146">
        <v>0</v>
      </c>
      <c r="D29" s="146">
        <v>0</v>
      </c>
      <c r="E29" s="146">
        <v>0</v>
      </c>
      <c r="F29" s="146">
        <v>0</v>
      </c>
      <c r="G29" s="146">
        <v>0</v>
      </c>
      <c r="H29" s="146">
        <v>0</v>
      </c>
      <c r="I29" s="146">
        <v>0</v>
      </c>
      <c r="J29" s="146">
        <v>0</v>
      </c>
      <c r="K29" s="146">
        <v>0</v>
      </c>
      <c r="L29" s="146">
        <v>0</v>
      </c>
      <c r="M29" s="146">
        <v>1.9999999999999997E-2</v>
      </c>
      <c r="N29" s="146">
        <v>0</v>
      </c>
      <c r="O29" s="146">
        <v>0</v>
      </c>
      <c r="P29" s="146">
        <v>0</v>
      </c>
      <c r="Q29" s="146">
        <v>0</v>
      </c>
      <c r="R29" s="146">
        <v>0</v>
      </c>
      <c r="S29" s="146">
        <v>0</v>
      </c>
      <c r="T29" s="146">
        <v>0</v>
      </c>
      <c r="U29" s="146">
        <v>0</v>
      </c>
      <c r="V29" s="146">
        <v>0</v>
      </c>
      <c r="W29" s="146">
        <v>0</v>
      </c>
      <c r="X29" s="146">
        <v>0</v>
      </c>
      <c r="Y29" s="146">
        <v>0</v>
      </c>
      <c r="Z29" s="146">
        <v>0</v>
      </c>
      <c r="AA29" s="146">
        <v>3.3000000000000002E-2</v>
      </c>
      <c r="AB29" s="146">
        <v>4.9999496420045754E-3</v>
      </c>
      <c r="AC29" s="146">
        <v>0</v>
      </c>
      <c r="AD29" s="146">
        <v>0</v>
      </c>
      <c r="AE29" s="146">
        <v>0.02</v>
      </c>
      <c r="AF29" s="146">
        <v>0</v>
      </c>
      <c r="AG29" s="146">
        <v>0</v>
      </c>
      <c r="AH29" s="146">
        <v>0</v>
      </c>
      <c r="AI29" s="146">
        <v>0</v>
      </c>
      <c r="AJ29" s="146">
        <v>9.9999990503999957E-3</v>
      </c>
      <c r="AK29" s="146">
        <v>6.9999991882999782E-2</v>
      </c>
      <c r="AL29" s="146">
        <v>0.11099999999999997</v>
      </c>
      <c r="AM29" s="146">
        <v>0</v>
      </c>
      <c r="AN29" s="146">
        <v>0</v>
      </c>
      <c r="AO29" s="146">
        <v>0.01</v>
      </c>
      <c r="AP29" s="146">
        <v>0</v>
      </c>
      <c r="AQ29" s="146">
        <v>0</v>
      </c>
      <c r="AR29" s="146">
        <v>0</v>
      </c>
      <c r="AS29" s="146">
        <v>0</v>
      </c>
      <c r="AT29" s="146">
        <v>0</v>
      </c>
      <c r="AU29" s="146">
        <v>0</v>
      </c>
      <c r="AV29" s="146">
        <v>0</v>
      </c>
      <c r="AW29" s="146">
        <v>0</v>
      </c>
      <c r="AX29" s="146">
        <v>0</v>
      </c>
      <c r="AY29" s="146">
        <v>0</v>
      </c>
      <c r="AZ29" s="146">
        <v>0</v>
      </c>
      <c r="BA29" s="146">
        <v>0</v>
      </c>
      <c r="BB29" s="146">
        <v>0</v>
      </c>
      <c r="BC29" s="146">
        <v>0</v>
      </c>
    </row>
    <row r="30" spans="1:55" customFormat="1" x14ac:dyDescent="0.15">
      <c r="A30" s="182" t="s">
        <v>220</v>
      </c>
      <c r="B30" s="146">
        <v>0</v>
      </c>
      <c r="C30" s="146">
        <v>0</v>
      </c>
      <c r="D30" s="146">
        <v>0</v>
      </c>
      <c r="E30" s="146">
        <v>4.0567954708154138E-3</v>
      </c>
      <c r="F30" s="146">
        <v>0</v>
      </c>
      <c r="G30" s="146">
        <v>0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1.9999999999999997E-2</v>
      </c>
      <c r="N30" s="146">
        <v>0</v>
      </c>
      <c r="O30" s="146">
        <v>0</v>
      </c>
      <c r="P30" s="146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0</v>
      </c>
      <c r="AB30" s="146">
        <v>4.9999496420045754E-3</v>
      </c>
      <c r="AC30" s="146">
        <v>0</v>
      </c>
      <c r="AD30" s="146">
        <v>0</v>
      </c>
      <c r="AE30" s="146">
        <v>0</v>
      </c>
      <c r="AF30" s="146">
        <v>0.1</v>
      </c>
      <c r="AG30" s="146">
        <v>0</v>
      </c>
      <c r="AH30" s="146">
        <v>0</v>
      </c>
      <c r="AI30" s="146">
        <v>0</v>
      </c>
      <c r="AJ30" s="146">
        <v>0</v>
      </c>
      <c r="AK30" s="146">
        <v>0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  <c r="AQ30" s="146">
        <v>0</v>
      </c>
      <c r="AR30" s="146">
        <v>0</v>
      </c>
      <c r="AS30" s="146">
        <v>0</v>
      </c>
      <c r="AT30" s="146">
        <v>0</v>
      </c>
      <c r="AU30" s="146">
        <v>0</v>
      </c>
      <c r="AV30" s="146">
        <v>0</v>
      </c>
      <c r="AW30" s="146">
        <v>0</v>
      </c>
      <c r="AX30" s="146">
        <v>0</v>
      </c>
      <c r="AY30" s="146">
        <v>0</v>
      </c>
      <c r="AZ30" s="146">
        <v>0</v>
      </c>
      <c r="BA30" s="146">
        <v>0</v>
      </c>
      <c r="BB30" s="146">
        <v>0</v>
      </c>
      <c r="BC30" s="146">
        <v>0</v>
      </c>
    </row>
    <row r="31" spans="1:55" customFormat="1" x14ac:dyDescent="0.15">
      <c r="A31" s="182" t="s">
        <v>221</v>
      </c>
      <c r="B31" s="146">
        <v>0</v>
      </c>
      <c r="C31" s="146">
        <v>0</v>
      </c>
      <c r="D31" s="146">
        <v>0</v>
      </c>
      <c r="E31" s="146">
        <v>6.1866126554935098E-2</v>
      </c>
      <c r="F31" s="146">
        <v>0</v>
      </c>
      <c r="G31" s="146">
        <v>0</v>
      </c>
      <c r="H31" s="146">
        <v>0</v>
      </c>
      <c r="I31" s="146">
        <v>0</v>
      </c>
      <c r="J31" s="146">
        <v>0</v>
      </c>
      <c r="K31" s="146">
        <v>0</v>
      </c>
      <c r="L31" s="146">
        <v>0</v>
      </c>
      <c r="M31" s="146">
        <v>0</v>
      </c>
      <c r="N31" s="146">
        <v>0</v>
      </c>
      <c r="O31" s="146">
        <v>0</v>
      </c>
      <c r="P31" s="146">
        <v>0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V31" s="146">
        <v>0</v>
      </c>
      <c r="W31" s="146">
        <v>0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0</v>
      </c>
      <c r="AE31" s="146">
        <v>0</v>
      </c>
      <c r="AF31" s="146">
        <v>0.08</v>
      </c>
      <c r="AG31" s="146">
        <v>0</v>
      </c>
      <c r="AH31" s="146">
        <v>1.9999997765599988E-2</v>
      </c>
      <c r="AI31" s="146">
        <v>0</v>
      </c>
      <c r="AJ31" s="146">
        <v>4.9999994451999973E-3</v>
      </c>
      <c r="AK31" s="146">
        <v>0.15999998630399967</v>
      </c>
      <c r="AL31" s="146">
        <v>4.9999999999999989E-2</v>
      </c>
      <c r="AM31" s="146">
        <v>0</v>
      </c>
      <c r="AN31" s="146">
        <v>0</v>
      </c>
      <c r="AO31" s="146">
        <v>0</v>
      </c>
      <c r="AP31" s="146">
        <v>0</v>
      </c>
      <c r="AQ31" s="146">
        <v>0</v>
      </c>
      <c r="AR31" s="146">
        <v>0</v>
      </c>
      <c r="AS31" s="146">
        <v>0</v>
      </c>
      <c r="AT31" s="146">
        <v>0</v>
      </c>
      <c r="AU31" s="146">
        <v>0</v>
      </c>
      <c r="AV31" s="146">
        <v>0</v>
      </c>
      <c r="AW31" s="146">
        <v>0</v>
      </c>
      <c r="AX31" s="146">
        <v>0</v>
      </c>
      <c r="AY31" s="146">
        <v>0</v>
      </c>
      <c r="AZ31" s="146">
        <v>0</v>
      </c>
      <c r="BA31" s="146">
        <v>0</v>
      </c>
      <c r="BB31" s="146">
        <v>0</v>
      </c>
      <c r="BC31" s="146">
        <v>0</v>
      </c>
    </row>
    <row r="32" spans="1:55" customFormat="1" x14ac:dyDescent="0.15">
      <c r="A32" s="182" t="s">
        <v>222</v>
      </c>
      <c r="B32" s="146">
        <v>0</v>
      </c>
      <c r="C32" s="146">
        <v>0</v>
      </c>
      <c r="D32" s="146">
        <v>2.7899999999999994E-2</v>
      </c>
      <c r="E32" s="146">
        <v>1.4198783697853953E-2</v>
      </c>
      <c r="F32" s="146">
        <v>0</v>
      </c>
      <c r="G32" s="146">
        <v>0</v>
      </c>
      <c r="H32" s="146">
        <v>0</v>
      </c>
      <c r="I32" s="146">
        <v>0</v>
      </c>
      <c r="J32" s="146">
        <v>0</v>
      </c>
      <c r="K32" s="146">
        <v>0</v>
      </c>
      <c r="L32" s="146">
        <v>0</v>
      </c>
      <c r="M32" s="146">
        <v>0</v>
      </c>
      <c r="N32" s="146">
        <v>0</v>
      </c>
      <c r="O32" s="146">
        <v>0</v>
      </c>
      <c r="P32" s="146">
        <v>0</v>
      </c>
      <c r="Q32" s="146">
        <v>0</v>
      </c>
      <c r="R32" s="146">
        <v>0</v>
      </c>
      <c r="S32" s="146">
        <v>0</v>
      </c>
      <c r="T32" s="146">
        <v>0</v>
      </c>
      <c r="U32" s="146">
        <v>0</v>
      </c>
      <c r="V32" s="146">
        <v>0</v>
      </c>
      <c r="W32" s="146">
        <v>0</v>
      </c>
      <c r="X32" s="146">
        <v>0</v>
      </c>
      <c r="Y32" s="146">
        <v>0</v>
      </c>
      <c r="Z32" s="146">
        <v>0</v>
      </c>
      <c r="AA32" s="146">
        <v>0</v>
      </c>
      <c r="AB32" s="146">
        <v>0</v>
      </c>
      <c r="AC32" s="146">
        <v>0</v>
      </c>
      <c r="AD32" s="146">
        <v>0</v>
      </c>
      <c r="AE32" s="146">
        <v>0</v>
      </c>
      <c r="AF32" s="146">
        <v>0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  <c r="AL32" s="146">
        <v>4.9999999999999989E-2</v>
      </c>
      <c r="AM32" s="146">
        <v>0</v>
      </c>
      <c r="AN32" s="146">
        <v>0.06</v>
      </c>
      <c r="AO32" s="146">
        <v>0</v>
      </c>
      <c r="AP32" s="146">
        <v>0</v>
      </c>
      <c r="AQ32" s="146">
        <v>0</v>
      </c>
      <c r="AR32" s="146">
        <v>0</v>
      </c>
      <c r="AS32" s="146">
        <v>0</v>
      </c>
      <c r="AT32" s="146">
        <v>0</v>
      </c>
      <c r="AU32" s="146">
        <v>0</v>
      </c>
      <c r="AV32" s="146">
        <v>0</v>
      </c>
      <c r="AW32" s="146">
        <v>0</v>
      </c>
      <c r="AX32" s="146">
        <v>0</v>
      </c>
      <c r="AY32" s="146">
        <v>0</v>
      </c>
      <c r="AZ32" s="146">
        <v>0</v>
      </c>
      <c r="BA32" s="146">
        <v>0</v>
      </c>
      <c r="BB32" s="146">
        <v>0</v>
      </c>
      <c r="BC32" s="146">
        <v>0</v>
      </c>
    </row>
    <row r="33" spans="1:55" customFormat="1" x14ac:dyDescent="0.15">
      <c r="A33" s="182" t="s">
        <v>223</v>
      </c>
      <c r="B33" s="146">
        <v>0</v>
      </c>
      <c r="C33" s="146">
        <v>0</v>
      </c>
      <c r="D33" s="146">
        <v>0</v>
      </c>
      <c r="E33" s="146">
        <v>0</v>
      </c>
      <c r="F33" s="146">
        <v>0</v>
      </c>
      <c r="G33" s="146">
        <v>0</v>
      </c>
      <c r="H33" s="146">
        <v>0.01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0</v>
      </c>
      <c r="O33" s="146">
        <v>0</v>
      </c>
      <c r="P33" s="146">
        <v>0</v>
      </c>
      <c r="Q33" s="146">
        <v>0</v>
      </c>
      <c r="R33" s="146">
        <v>0</v>
      </c>
      <c r="S33" s="146">
        <v>0</v>
      </c>
      <c r="T33" s="146">
        <v>0</v>
      </c>
      <c r="U33" s="146">
        <v>0</v>
      </c>
      <c r="V33" s="146">
        <v>0</v>
      </c>
      <c r="W33" s="146">
        <v>0</v>
      </c>
      <c r="X33" s="146">
        <v>0</v>
      </c>
      <c r="Y33" s="146">
        <v>0</v>
      </c>
      <c r="Z33" s="146">
        <v>0</v>
      </c>
      <c r="AA33" s="146">
        <v>0</v>
      </c>
      <c r="AB33" s="146">
        <v>0</v>
      </c>
      <c r="AC33" s="146">
        <v>0</v>
      </c>
      <c r="AD33" s="146">
        <v>0</v>
      </c>
      <c r="AE33" s="146">
        <v>8.0000000000000002E-3</v>
      </c>
      <c r="AF33" s="146">
        <v>0</v>
      </c>
      <c r="AG33" s="146">
        <v>0</v>
      </c>
      <c r="AH33" s="146">
        <v>9.9999990327999931E-4</v>
      </c>
      <c r="AI33" s="146">
        <v>0</v>
      </c>
      <c r="AJ33" s="146">
        <v>4.9999994451999973E-3</v>
      </c>
      <c r="AK33" s="146">
        <v>9.9999996689999912E-2</v>
      </c>
      <c r="AL33" s="146">
        <v>1.0999999999999998E-2</v>
      </c>
      <c r="AM33" s="146">
        <v>0</v>
      </c>
      <c r="AN33" s="146">
        <v>0</v>
      </c>
      <c r="AO33" s="146">
        <v>0</v>
      </c>
      <c r="AP33" s="146">
        <v>0</v>
      </c>
      <c r="AQ33" s="146">
        <v>0</v>
      </c>
      <c r="AR33" s="146">
        <v>0</v>
      </c>
      <c r="AS33" s="146">
        <v>0</v>
      </c>
      <c r="AT33" s="146">
        <v>0</v>
      </c>
      <c r="AU33" s="146">
        <v>0</v>
      </c>
      <c r="AV33" s="146">
        <v>0</v>
      </c>
      <c r="AW33" s="146">
        <v>0</v>
      </c>
      <c r="AX33" s="146">
        <v>0</v>
      </c>
      <c r="AY33" s="146">
        <v>0</v>
      </c>
      <c r="AZ33" s="146">
        <v>0</v>
      </c>
      <c r="BA33" s="146">
        <v>0</v>
      </c>
      <c r="BB33" s="146">
        <v>0</v>
      </c>
      <c r="BC33" s="146">
        <v>0</v>
      </c>
    </row>
    <row r="34" spans="1:55" customFormat="1" x14ac:dyDescent="0.15">
      <c r="A34" s="182" t="s">
        <v>224</v>
      </c>
      <c r="B34" s="146">
        <v>0</v>
      </c>
      <c r="C34" s="146">
        <v>0</v>
      </c>
      <c r="D34" s="146">
        <v>0</v>
      </c>
      <c r="E34" s="146">
        <v>7.0993919489269761E-3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9.9999999999999985E-3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146">
        <v>0</v>
      </c>
      <c r="W34" s="146">
        <v>0</v>
      </c>
      <c r="X34" s="146">
        <v>0</v>
      </c>
      <c r="Y34" s="146">
        <v>0</v>
      </c>
      <c r="Z34" s="146">
        <v>0</v>
      </c>
      <c r="AA34" s="146">
        <v>0</v>
      </c>
      <c r="AB34" s="146">
        <v>2.9999697852027447E-3</v>
      </c>
      <c r="AC34" s="146">
        <v>0</v>
      </c>
      <c r="AD34" s="146">
        <v>0</v>
      </c>
      <c r="AE34" s="146">
        <v>0</v>
      </c>
      <c r="AF34" s="146">
        <v>0.05</v>
      </c>
      <c r="AG34" s="146">
        <v>0</v>
      </c>
      <c r="AH34" s="146">
        <v>1.9999997765599988E-2</v>
      </c>
      <c r="AI34" s="146">
        <v>0</v>
      </c>
      <c r="AJ34" s="146">
        <v>0</v>
      </c>
      <c r="AK34" s="146">
        <v>0</v>
      </c>
      <c r="AL34" s="146">
        <v>6.9999999999999993E-2</v>
      </c>
      <c r="AM34" s="146">
        <v>0</v>
      </c>
      <c r="AN34" s="146">
        <v>0</v>
      </c>
      <c r="AO34" s="146">
        <v>0</v>
      </c>
      <c r="AP34" s="146">
        <v>0</v>
      </c>
      <c r="AQ34" s="146">
        <v>0</v>
      </c>
      <c r="AR34" s="146">
        <v>0</v>
      </c>
      <c r="AS34" s="146">
        <v>0</v>
      </c>
      <c r="AT34" s="146">
        <v>0</v>
      </c>
      <c r="AU34" s="146">
        <v>0</v>
      </c>
      <c r="AV34" s="146">
        <v>0</v>
      </c>
      <c r="AW34" s="146">
        <v>0</v>
      </c>
      <c r="AX34" s="146">
        <v>0</v>
      </c>
      <c r="AY34" s="146">
        <v>0</v>
      </c>
      <c r="AZ34" s="146">
        <v>0</v>
      </c>
      <c r="BA34" s="146">
        <v>0</v>
      </c>
      <c r="BB34" s="146">
        <v>0</v>
      </c>
      <c r="BC34" s="146">
        <v>0</v>
      </c>
    </row>
    <row r="35" spans="1:55" customFormat="1" x14ac:dyDescent="0.15">
      <c r="A35" s="182" t="s">
        <v>225</v>
      </c>
      <c r="B35" s="146">
        <v>0</v>
      </c>
      <c r="C35" s="146">
        <v>0</v>
      </c>
      <c r="D35" s="146">
        <v>0</v>
      </c>
      <c r="E35" s="146">
        <v>5.0709936435192728E-3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</v>
      </c>
      <c r="L35" s="146">
        <v>0</v>
      </c>
      <c r="M35" s="146">
        <v>4.9999999999999992E-3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0</v>
      </c>
      <c r="T35" s="146">
        <v>0</v>
      </c>
      <c r="U35" s="146">
        <v>0</v>
      </c>
      <c r="V35" s="146">
        <v>0</v>
      </c>
      <c r="W35" s="146">
        <v>0</v>
      </c>
      <c r="X35" s="146">
        <v>0</v>
      </c>
      <c r="Y35" s="146">
        <v>0</v>
      </c>
      <c r="Z35" s="146">
        <v>0</v>
      </c>
      <c r="AA35" s="146">
        <v>0</v>
      </c>
      <c r="AB35" s="146">
        <v>0</v>
      </c>
      <c r="AC35" s="146">
        <v>0</v>
      </c>
      <c r="AD35" s="146">
        <v>0</v>
      </c>
      <c r="AE35" s="146">
        <v>0</v>
      </c>
      <c r="AF35" s="146">
        <v>0</v>
      </c>
      <c r="AG35" s="146">
        <v>0</v>
      </c>
      <c r="AH35" s="146">
        <v>4.9999994363999966E-3</v>
      </c>
      <c r="AI35" s="146">
        <v>0</v>
      </c>
      <c r="AJ35" s="146">
        <v>2.9999997651199987E-2</v>
      </c>
      <c r="AK35" s="146">
        <v>0</v>
      </c>
      <c r="AL35" s="146">
        <v>0</v>
      </c>
      <c r="AM35" s="146">
        <v>0</v>
      </c>
      <c r="AN35" s="146">
        <v>0</v>
      </c>
      <c r="AO35" s="146">
        <v>0</v>
      </c>
      <c r="AP35" s="146">
        <v>0</v>
      </c>
      <c r="AQ35" s="146">
        <v>0</v>
      </c>
      <c r="AR35" s="146">
        <v>0</v>
      </c>
      <c r="AS35" s="146">
        <v>0</v>
      </c>
      <c r="AT35" s="146">
        <v>0</v>
      </c>
      <c r="AU35" s="146">
        <v>0</v>
      </c>
      <c r="AV35" s="146">
        <v>0</v>
      </c>
      <c r="AW35" s="146">
        <v>0</v>
      </c>
      <c r="AX35" s="146">
        <v>0</v>
      </c>
      <c r="AY35" s="146">
        <v>0</v>
      </c>
      <c r="AZ35" s="146">
        <v>0</v>
      </c>
      <c r="BA35" s="146">
        <v>0</v>
      </c>
      <c r="BB35" s="146">
        <v>0</v>
      </c>
      <c r="BC35" s="146">
        <v>0</v>
      </c>
    </row>
    <row r="36" spans="1:55" customFormat="1" x14ac:dyDescent="0.15">
      <c r="A36" s="182" t="s">
        <v>226</v>
      </c>
      <c r="B36" s="146">
        <v>0</v>
      </c>
      <c r="C36" s="146">
        <v>0</v>
      </c>
      <c r="D36" s="146">
        <v>0</v>
      </c>
      <c r="E36" s="146">
        <v>3.0425963681115623E-3</v>
      </c>
      <c r="F36" s="146">
        <v>0</v>
      </c>
      <c r="G36" s="146">
        <v>0</v>
      </c>
      <c r="H36" s="146">
        <v>0</v>
      </c>
      <c r="I36" s="146">
        <v>0</v>
      </c>
      <c r="J36" s="146">
        <v>0</v>
      </c>
      <c r="K36" s="146">
        <v>0</v>
      </c>
      <c r="L36" s="146">
        <v>0</v>
      </c>
      <c r="M36" s="146">
        <v>3.9999999999999992E-3</v>
      </c>
      <c r="N36" s="146">
        <v>0</v>
      </c>
      <c r="O36" s="146">
        <v>0</v>
      </c>
      <c r="P36" s="146">
        <v>0</v>
      </c>
      <c r="Q36" s="146">
        <v>0</v>
      </c>
      <c r="R36" s="146">
        <v>0</v>
      </c>
      <c r="S36" s="146">
        <v>0</v>
      </c>
      <c r="T36" s="146">
        <v>0</v>
      </c>
      <c r="U36" s="146">
        <v>0</v>
      </c>
      <c r="V36" s="146">
        <v>0</v>
      </c>
      <c r="W36" s="146">
        <v>0</v>
      </c>
      <c r="X36" s="146">
        <v>0</v>
      </c>
      <c r="Y36" s="146">
        <v>0</v>
      </c>
      <c r="Z36" s="146">
        <v>0</v>
      </c>
      <c r="AA36" s="146">
        <v>0</v>
      </c>
      <c r="AB36" s="146">
        <v>0</v>
      </c>
      <c r="AC36" s="146">
        <v>0</v>
      </c>
      <c r="AD36" s="146">
        <v>0</v>
      </c>
      <c r="AE36" s="146">
        <v>0</v>
      </c>
      <c r="AF36" s="146">
        <v>0</v>
      </c>
      <c r="AG36" s="146">
        <v>0</v>
      </c>
      <c r="AH36" s="146">
        <v>0</v>
      </c>
      <c r="AI36" s="146">
        <v>0</v>
      </c>
      <c r="AJ36" s="146">
        <v>0</v>
      </c>
      <c r="AK36" s="146">
        <v>0</v>
      </c>
      <c r="AL36" s="146">
        <v>0</v>
      </c>
      <c r="AM36" s="146">
        <v>0</v>
      </c>
      <c r="AN36" s="146">
        <v>0</v>
      </c>
      <c r="AO36" s="146">
        <v>0</v>
      </c>
      <c r="AP36" s="146">
        <v>0</v>
      </c>
      <c r="AQ36" s="146">
        <v>0</v>
      </c>
      <c r="AR36" s="146">
        <v>0</v>
      </c>
      <c r="AS36" s="146">
        <v>0</v>
      </c>
      <c r="AT36" s="146">
        <v>0</v>
      </c>
      <c r="AU36" s="146">
        <v>0</v>
      </c>
      <c r="AV36" s="146">
        <v>0</v>
      </c>
      <c r="AW36" s="146">
        <v>0</v>
      </c>
      <c r="AX36" s="146">
        <v>0</v>
      </c>
      <c r="AY36" s="146">
        <v>0</v>
      </c>
      <c r="AZ36" s="146">
        <v>0</v>
      </c>
      <c r="BA36" s="146">
        <v>0</v>
      </c>
      <c r="BB36" s="146">
        <v>0</v>
      </c>
      <c r="BC36" s="146">
        <v>0</v>
      </c>
    </row>
    <row r="37" spans="1:55" customFormat="1" x14ac:dyDescent="0.15">
      <c r="A37" s="182" t="s">
        <v>227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0</v>
      </c>
      <c r="R37" s="146">
        <v>0</v>
      </c>
      <c r="S37" s="146">
        <v>0</v>
      </c>
      <c r="T37" s="146">
        <v>0</v>
      </c>
      <c r="U37" s="146">
        <v>0</v>
      </c>
      <c r="V37" s="146">
        <v>0</v>
      </c>
      <c r="W37" s="146">
        <v>0</v>
      </c>
      <c r="X37" s="146">
        <v>0</v>
      </c>
      <c r="Y37" s="146">
        <v>0</v>
      </c>
      <c r="Z37" s="146">
        <v>0</v>
      </c>
      <c r="AA37" s="146">
        <v>0</v>
      </c>
      <c r="AB37" s="146">
        <v>1.9999798568018298E-3</v>
      </c>
      <c r="AC37" s="146">
        <v>0</v>
      </c>
      <c r="AD37" s="146">
        <v>5.0000000000000001E-3</v>
      </c>
      <c r="AE37" s="146">
        <v>0</v>
      </c>
      <c r="AF37" s="146">
        <v>0</v>
      </c>
      <c r="AG37" s="146">
        <v>0</v>
      </c>
      <c r="AH37" s="146">
        <v>1.2999998442639991E-2</v>
      </c>
      <c r="AI37" s="146">
        <v>0</v>
      </c>
      <c r="AJ37" s="146">
        <v>0</v>
      </c>
      <c r="AK37" s="146">
        <v>0</v>
      </c>
      <c r="AL37" s="146">
        <v>4.9999999999999989E-2</v>
      </c>
      <c r="AM37" s="146">
        <v>0</v>
      </c>
      <c r="AN37" s="146">
        <v>0</v>
      </c>
      <c r="AO37" s="146">
        <v>0</v>
      </c>
      <c r="AP37" s="146">
        <v>0</v>
      </c>
      <c r="AQ37" s="146">
        <v>0</v>
      </c>
      <c r="AR37" s="146">
        <v>0</v>
      </c>
      <c r="AS37" s="146">
        <v>0</v>
      </c>
      <c r="AT37" s="146">
        <v>0</v>
      </c>
      <c r="AU37" s="146">
        <v>0</v>
      </c>
      <c r="AV37" s="146">
        <v>0</v>
      </c>
      <c r="AW37" s="146">
        <v>0</v>
      </c>
      <c r="AX37" s="146">
        <v>0</v>
      </c>
      <c r="AY37" s="146">
        <v>0</v>
      </c>
      <c r="AZ37" s="146">
        <v>0</v>
      </c>
      <c r="BA37" s="146">
        <v>0</v>
      </c>
      <c r="BB37" s="146">
        <v>0</v>
      </c>
      <c r="BC37" s="146">
        <v>0</v>
      </c>
    </row>
    <row r="38" spans="1:55" customFormat="1" x14ac:dyDescent="0.15">
      <c r="A38" s="182" t="s">
        <v>228</v>
      </c>
      <c r="B38" s="146">
        <v>0</v>
      </c>
      <c r="C38" s="146">
        <v>0</v>
      </c>
      <c r="D38" s="146">
        <v>0</v>
      </c>
      <c r="E38" s="146">
        <v>9.1277889343346886E-4</v>
      </c>
      <c r="F38" s="146">
        <v>0</v>
      </c>
      <c r="G38" s="146">
        <v>0</v>
      </c>
      <c r="H38" s="146">
        <v>0</v>
      </c>
      <c r="I38" s="146">
        <v>0</v>
      </c>
      <c r="J38" s="146">
        <v>0</v>
      </c>
      <c r="K38" s="146">
        <v>0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0</v>
      </c>
      <c r="R38" s="146">
        <v>0</v>
      </c>
      <c r="S38" s="146">
        <v>0</v>
      </c>
      <c r="T38" s="146">
        <v>0</v>
      </c>
      <c r="U38" s="146">
        <v>0</v>
      </c>
      <c r="V38" s="146">
        <v>0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</v>
      </c>
      <c r="AC38" s="146">
        <v>0</v>
      </c>
      <c r="AD38" s="146">
        <v>0</v>
      </c>
      <c r="AE38" s="146">
        <v>0</v>
      </c>
      <c r="AF38" s="146">
        <v>5.0000000000000001E-3</v>
      </c>
      <c r="AG38" s="146">
        <v>0</v>
      </c>
      <c r="AH38" s="146">
        <v>9.9999990327999931E-4</v>
      </c>
      <c r="AI38" s="146">
        <v>0</v>
      </c>
      <c r="AJ38" s="146">
        <v>0</v>
      </c>
      <c r="AK38" s="146">
        <v>0</v>
      </c>
      <c r="AL38" s="146">
        <v>9.9999999999999985E-3</v>
      </c>
      <c r="AM38" s="146">
        <v>9.99990006099939E-6</v>
      </c>
      <c r="AN38" s="146">
        <v>0</v>
      </c>
      <c r="AO38" s="146">
        <v>0</v>
      </c>
      <c r="AP38" s="146">
        <v>0</v>
      </c>
      <c r="AQ38" s="146">
        <v>0</v>
      </c>
      <c r="AR38" s="146">
        <v>0</v>
      </c>
      <c r="AS38" s="146">
        <v>0</v>
      </c>
      <c r="AT38" s="146">
        <v>0</v>
      </c>
      <c r="AU38" s="146">
        <v>0</v>
      </c>
      <c r="AV38" s="146">
        <v>0</v>
      </c>
      <c r="AW38" s="146">
        <v>0</v>
      </c>
      <c r="AX38" s="146">
        <v>0</v>
      </c>
      <c r="AY38" s="146">
        <v>0</v>
      </c>
      <c r="AZ38" s="146">
        <v>0</v>
      </c>
      <c r="BA38" s="146">
        <v>0</v>
      </c>
      <c r="BB38" s="146">
        <v>0</v>
      </c>
      <c r="BC38" s="146">
        <v>0</v>
      </c>
    </row>
    <row r="39" spans="1:55" x14ac:dyDescent="0.15">
      <c r="A39" s="182" t="s">
        <v>229</v>
      </c>
      <c r="B39" s="146">
        <v>0.1</v>
      </c>
      <c r="C39" s="146">
        <v>0</v>
      </c>
      <c r="D39" s="146">
        <v>0</v>
      </c>
      <c r="E39" s="146">
        <v>3.6308314438797985E-2</v>
      </c>
      <c r="F39" s="146">
        <v>0</v>
      </c>
      <c r="G39" s="146">
        <v>0</v>
      </c>
      <c r="H39" s="146">
        <v>0</v>
      </c>
      <c r="I39" s="146">
        <v>0</v>
      </c>
      <c r="J39" s="146">
        <v>0</v>
      </c>
      <c r="K39" s="146">
        <v>0</v>
      </c>
      <c r="L39" s="146">
        <v>0</v>
      </c>
      <c r="M39" s="146">
        <v>6.1899999999999983E-2</v>
      </c>
      <c r="N39" s="146">
        <v>0</v>
      </c>
      <c r="O39" s="146">
        <v>0</v>
      </c>
      <c r="P39" s="146">
        <v>0</v>
      </c>
      <c r="Q39" s="146">
        <v>0</v>
      </c>
      <c r="R39" s="146">
        <v>0</v>
      </c>
      <c r="S39" s="146">
        <v>0</v>
      </c>
      <c r="T39" s="146">
        <v>0</v>
      </c>
      <c r="U39" s="146">
        <v>0</v>
      </c>
      <c r="V39" s="146">
        <v>4.4999999999999998E-2</v>
      </c>
      <c r="W39" s="146">
        <v>0</v>
      </c>
      <c r="X39" s="146">
        <v>0</v>
      </c>
      <c r="Y39" s="146">
        <v>0</v>
      </c>
      <c r="Z39" s="146">
        <v>0</v>
      </c>
      <c r="AA39" s="146">
        <v>0</v>
      </c>
      <c r="AB39" s="146">
        <v>8.7999110739280489E-2</v>
      </c>
      <c r="AC39" s="146">
        <v>0</v>
      </c>
      <c r="AD39" s="146">
        <v>0</v>
      </c>
      <c r="AE39" s="146">
        <v>5.5E-2</v>
      </c>
      <c r="AF39" s="146">
        <v>0</v>
      </c>
      <c r="AG39" s="146">
        <v>0</v>
      </c>
      <c r="AH39" s="146">
        <v>0.12199998640015992</v>
      </c>
      <c r="AI39" s="146">
        <v>0</v>
      </c>
      <c r="AJ39" s="146">
        <v>0</v>
      </c>
      <c r="AK39" s="146">
        <v>0</v>
      </c>
      <c r="AL39" s="146">
        <v>0</v>
      </c>
      <c r="AM39" s="146">
        <v>9.9999000609993904E-3</v>
      </c>
      <c r="AN39" s="146">
        <v>1.9E-2</v>
      </c>
      <c r="AO39" s="146">
        <v>0</v>
      </c>
      <c r="AP39" s="146">
        <v>0</v>
      </c>
      <c r="AQ39" s="146">
        <v>0</v>
      </c>
      <c r="AR39" s="146">
        <v>0</v>
      </c>
      <c r="AS39" s="146">
        <v>0</v>
      </c>
      <c r="AT39" s="146">
        <v>0</v>
      </c>
      <c r="AU39" s="146">
        <v>0</v>
      </c>
      <c r="AV39" s="146">
        <v>0</v>
      </c>
      <c r="AW39" s="146">
        <v>0</v>
      </c>
      <c r="AX39" s="146">
        <v>0</v>
      </c>
      <c r="AY39" s="146">
        <v>0</v>
      </c>
      <c r="AZ39" s="146">
        <v>0</v>
      </c>
      <c r="BA39" s="146">
        <v>0</v>
      </c>
      <c r="BB39" s="146">
        <v>0</v>
      </c>
      <c r="BC39" s="146">
        <v>0</v>
      </c>
    </row>
    <row r="40" spans="1:55" x14ac:dyDescent="0.15">
      <c r="A40" s="182" t="s">
        <v>230</v>
      </c>
      <c r="B40" s="146">
        <v>0</v>
      </c>
      <c r="C40" s="146">
        <v>0</v>
      </c>
      <c r="D40" s="146">
        <v>0</v>
      </c>
      <c r="E40" s="146">
        <v>0</v>
      </c>
      <c r="F40" s="146">
        <v>0</v>
      </c>
      <c r="G40" s="146">
        <v>0</v>
      </c>
      <c r="H40" s="146">
        <v>0</v>
      </c>
      <c r="I40" s="146">
        <v>0</v>
      </c>
      <c r="J40" s="146">
        <v>0</v>
      </c>
      <c r="K40" s="146">
        <v>0</v>
      </c>
      <c r="L40" s="146">
        <v>0</v>
      </c>
      <c r="M40" s="146">
        <v>0</v>
      </c>
      <c r="N40" s="146">
        <v>0</v>
      </c>
      <c r="O40" s="146">
        <v>0</v>
      </c>
      <c r="P40" s="146">
        <v>0</v>
      </c>
      <c r="Q40" s="146">
        <v>0</v>
      </c>
      <c r="R40" s="146">
        <v>0</v>
      </c>
      <c r="S40" s="146">
        <v>0</v>
      </c>
      <c r="T40" s="146">
        <v>0</v>
      </c>
      <c r="U40" s="146">
        <v>0</v>
      </c>
      <c r="V40" s="146">
        <v>0</v>
      </c>
      <c r="W40" s="146">
        <v>0</v>
      </c>
      <c r="X40" s="146">
        <v>2.7986006563854075E-2</v>
      </c>
      <c r="Y40" s="146">
        <v>0</v>
      </c>
      <c r="Z40" s="146">
        <v>0</v>
      </c>
      <c r="AA40" s="146">
        <v>0</v>
      </c>
      <c r="AB40" s="146">
        <v>0</v>
      </c>
      <c r="AC40" s="146">
        <v>0</v>
      </c>
      <c r="AD40" s="146">
        <v>0</v>
      </c>
      <c r="AE40" s="146">
        <v>0</v>
      </c>
      <c r="AF40" s="146">
        <v>5.2999999999999999E-2</v>
      </c>
      <c r="AG40" s="146">
        <v>0</v>
      </c>
      <c r="AH40" s="146">
        <v>9.9999990327999944E-3</v>
      </c>
      <c r="AI40" s="146">
        <v>0</v>
      </c>
      <c r="AJ40" s="146">
        <v>0</v>
      </c>
      <c r="AK40" s="146">
        <v>0</v>
      </c>
      <c r="AL40" s="146">
        <v>0</v>
      </c>
      <c r="AM40" s="146">
        <v>0</v>
      </c>
      <c r="AN40" s="146">
        <v>0</v>
      </c>
      <c r="AO40" s="146">
        <v>0</v>
      </c>
      <c r="AP40" s="146">
        <v>0</v>
      </c>
      <c r="AQ40" s="146">
        <v>0</v>
      </c>
      <c r="AR40" s="146">
        <v>0</v>
      </c>
      <c r="AS40" s="146">
        <v>0</v>
      </c>
      <c r="AT40" s="146">
        <v>0</v>
      </c>
      <c r="AU40" s="146">
        <v>0</v>
      </c>
      <c r="AV40" s="146">
        <v>0</v>
      </c>
      <c r="AW40" s="146">
        <v>0</v>
      </c>
      <c r="AX40" s="146">
        <v>0</v>
      </c>
      <c r="AY40" s="146">
        <v>0</v>
      </c>
      <c r="AZ40" s="146">
        <v>0</v>
      </c>
      <c r="BA40" s="146">
        <v>0</v>
      </c>
      <c r="BB40" s="146">
        <v>0</v>
      </c>
      <c r="BC40" s="146">
        <v>0</v>
      </c>
    </row>
    <row r="41" spans="1:55" x14ac:dyDescent="0.15">
      <c r="A41" s="182" t="s">
        <v>231</v>
      </c>
      <c r="B41" s="146">
        <v>0.01</v>
      </c>
      <c r="C41" s="146">
        <v>0</v>
      </c>
      <c r="D41" s="146">
        <v>2.7999999999999994E-2</v>
      </c>
      <c r="E41" s="146">
        <v>0</v>
      </c>
      <c r="F41" s="146">
        <v>0</v>
      </c>
      <c r="G41" s="146">
        <v>0</v>
      </c>
      <c r="H41" s="146">
        <v>0</v>
      </c>
      <c r="I41" s="146">
        <v>0</v>
      </c>
      <c r="J41" s="146">
        <v>0</v>
      </c>
      <c r="K41" s="146">
        <v>0</v>
      </c>
      <c r="L41" s="146">
        <v>0</v>
      </c>
      <c r="M41" s="146">
        <v>3.6999999999999991E-2</v>
      </c>
      <c r="N41" s="146">
        <v>0</v>
      </c>
      <c r="O41" s="146">
        <v>0</v>
      </c>
      <c r="P41" s="146">
        <v>0</v>
      </c>
      <c r="Q41" s="146">
        <v>0</v>
      </c>
      <c r="R41" s="146">
        <v>0</v>
      </c>
      <c r="S41" s="146">
        <v>0</v>
      </c>
      <c r="T41" s="146">
        <v>0</v>
      </c>
      <c r="U41" s="146">
        <v>0</v>
      </c>
      <c r="V41" s="146">
        <v>5.0000000000000001E-3</v>
      </c>
      <c r="W41" s="146">
        <v>0</v>
      </c>
      <c r="X41" s="146">
        <v>0</v>
      </c>
      <c r="Y41" s="146">
        <v>0</v>
      </c>
      <c r="Z41" s="146">
        <v>0</v>
      </c>
      <c r="AA41" s="146">
        <v>0</v>
      </c>
      <c r="AB41" s="146">
        <v>1.4999848926013724E-2</v>
      </c>
      <c r="AC41" s="146">
        <v>0</v>
      </c>
      <c r="AD41" s="146">
        <v>0</v>
      </c>
      <c r="AE41" s="146">
        <v>0.24</v>
      </c>
      <c r="AF41" s="146">
        <v>0.155</v>
      </c>
      <c r="AG41" s="146">
        <v>0</v>
      </c>
      <c r="AH41" s="146">
        <v>0</v>
      </c>
      <c r="AI41" s="146">
        <v>0</v>
      </c>
      <c r="AJ41" s="146">
        <v>0</v>
      </c>
      <c r="AK41" s="146">
        <v>0</v>
      </c>
      <c r="AL41" s="146">
        <v>0</v>
      </c>
      <c r="AM41" s="146">
        <v>0</v>
      </c>
      <c r="AN41" s="146">
        <v>0.14000000000000001</v>
      </c>
      <c r="AO41" s="146">
        <v>0</v>
      </c>
      <c r="AP41" s="146">
        <v>0</v>
      </c>
      <c r="AQ41" s="146">
        <v>0</v>
      </c>
      <c r="AR41" s="146">
        <v>0</v>
      </c>
      <c r="AS41" s="146">
        <v>0</v>
      </c>
      <c r="AT41" s="146">
        <v>0</v>
      </c>
      <c r="AU41" s="146">
        <v>0</v>
      </c>
      <c r="AV41" s="146">
        <v>0</v>
      </c>
      <c r="AW41" s="146">
        <v>0</v>
      </c>
      <c r="AX41" s="146">
        <v>0</v>
      </c>
      <c r="AY41" s="146">
        <v>0</v>
      </c>
      <c r="AZ41" s="146">
        <v>0</v>
      </c>
      <c r="BA41" s="146">
        <v>0</v>
      </c>
      <c r="BB41" s="146">
        <v>0</v>
      </c>
      <c r="BC41" s="146">
        <v>0</v>
      </c>
    </row>
    <row r="42" spans="1:55" x14ac:dyDescent="0.15">
      <c r="A42" s="182" t="s">
        <v>232</v>
      </c>
      <c r="B42" s="146">
        <v>0.2</v>
      </c>
      <c r="C42" s="146">
        <v>0</v>
      </c>
      <c r="D42" s="146">
        <v>0</v>
      </c>
      <c r="E42" s="146">
        <v>0</v>
      </c>
      <c r="F42" s="146">
        <v>4.0999999999999995E-2</v>
      </c>
      <c r="G42" s="146">
        <v>0</v>
      </c>
      <c r="H42" s="146">
        <v>0</v>
      </c>
      <c r="I42" s="146">
        <v>0</v>
      </c>
      <c r="J42" s="146">
        <v>0</v>
      </c>
      <c r="K42" s="146">
        <v>0</v>
      </c>
      <c r="L42" s="146">
        <v>0</v>
      </c>
      <c r="M42" s="146">
        <v>2.5999999999999992E-2</v>
      </c>
      <c r="N42" s="146">
        <v>0</v>
      </c>
      <c r="O42" s="146">
        <v>0</v>
      </c>
      <c r="P42" s="146">
        <v>0</v>
      </c>
      <c r="Q42" s="146">
        <v>0</v>
      </c>
      <c r="R42" s="146">
        <v>0</v>
      </c>
      <c r="S42" s="146">
        <v>0</v>
      </c>
      <c r="T42" s="146">
        <v>0</v>
      </c>
      <c r="U42" s="146">
        <v>0</v>
      </c>
      <c r="V42" s="146">
        <v>0.107</v>
      </c>
      <c r="W42" s="146">
        <v>0.1</v>
      </c>
      <c r="X42" s="146">
        <v>0.12993502490360825</v>
      </c>
      <c r="Y42" s="146">
        <v>0</v>
      </c>
      <c r="Z42" s="146">
        <v>0</v>
      </c>
      <c r="AA42" s="146">
        <v>0.1</v>
      </c>
      <c r="AB42" s="146">
        <v>0</v>
      </c>
      <c r="AC42" s="146">
        <v>6.8000000000000005E-2</v>
      </c>
      <c r="AD42" s="146">
        <v>3.7999999999999999E-2</v>
      </c>
      <c r="AE42" s="146">
        <v>0.3</v>
      </c>
      <c r="AF42" s="146">
        <v>0.125</v>
      </c>
      <c r="AG42" s="146">
        <v>2.7E-2</v>
      </c>
      <c r="AH42" s="146">
        <v>0</v>
      </c>
      <c r="AI42" s="146">
        <v>0</v>
      </c>
      <c r="AJ42" s="146">
        <v>1.0999999055439994E-2</v>
      </c>
      <c r="AK42" s="146">
        <v>0.14999999503499989</v>
      </c>
      <c r="AL42" s="146">
        <v>0</v>
      </c>
      <c r="AM42" s="146">
        <v>0.33299666803127964</v>
      </c>
      <c r="AN42" s="146">
        <v>0.08</v>
      </c>
      <c r="AO42" s="146">
        <v>0.1</v>
      </c>
      <c r="AP42" s="146">
        <v>0</v>
      </c>
      <c r="AQ42" s="146">
        <v>0</v>
      </c>
      <c r="AR42" s="146">
        <v>0</v>
      </c>
      <c r="AS42" s="146">
        <v>0</v>
      </c>
      <c r="AT42" s="146">
        <v>0</v>
      </c>
      <c r="AU42" s="146">
        <v>0</v>
      </c>
      <c r="AV42" s="146">
        <v>0</v>
      </c>
      <c r="AW42" s="146">
        <v>0</v>
      </c>
      <c r="AX42" s="146">
        <v>0</v>
      </c>
      <c r="AY42" s="146">
        <v>0</v>
      </c>
      <c r="AZ42" s="146">
        <v>0</v>
      </c>
      <c r="BA42" s="146">
        <v>0</v>
      </c>
      <c r="BB42" s="146">
        <v>0</v>
      </c>
      <c r="BC42" s="146">
        <v>0</v>
      </c>
    </row>
    <row r="43" spans="1:55" x14ac:dyDescent="0.15">
      <c r="A43" s="182" t="s">
        <v>233</v>
      </c>
      <c r="B43" s="146">
        <v>0</v>
      </c>
      <c r="C43" s="146">
        <v>0</v>
      </c>
      <c r="D43" s="146">
        <v>0</v>
      </c>
      <c r="E43" s="146">
        <v>0</v>
      </c>
      <c r="F43" s="146">
        <v>0</v>
      </c>
      <c r="G43" s="146">
        <v>0</v>
      </c>
      <c r="H43" s="146">
        <v>0</v>
      </c>
      <c r="I43" s="146">
        <v>0</v>
      </c>
      <c r="J43" s="146">
        <v>0</v>
      </c>
      <c r="K43" s="146">
        <v>0</v>
      </c>
      <c r="L43" s="146">
        <v>0</v>
      </c>
      <c r="M43" s="146">
        <v>0</v>
      </c>
      <c r="N43" s="146">
        <v>0</v>
      </c>
      <c r="O43" s="146">
        <v>0</v>
      </c>
      <c r="P43" s="146">
        <v>0</v>
      </c>
      <c r="Q43" s="146">
        <v>0</v>
      </c>
      <c r="R43" s="146">
        <v>0</v>
      </c>
      <c r="S43" s="146">
        <v>0</v>
      </c>
      <c r="T43" s="146">
        <v>0</v>
      </c>
      <c r="U43" s="146">
        <v>0</v>
      </c>
      <c r="V43" s="146">
        <v>9.5000000000000001E-2</v>
      </c>
      <c r="W43" s="146">
        <v>0.1</v>
      </c>
      <c r="X43" s="146">
        <v>0</v>
      </c>
      <c r="Y43" s="146">
        <v>0</v>
      </c>
      <c r="Z43" s="146">
        <v>0</v>
      </c>
      <c r="AA43" s="146">
        <v>0.1</v>
      </c>
      <c r="AB43" s="146">
        <v>4.9999498220045763E-2</v>
      </c>
      <c r="AC43" s="146">
        <v>0</v>
      </c>
      <c r="AD43" s="146">
        <v>0</v>
      </c>
      <c r="AE43" s="146">
        <v>0.06</v>
      </c>
      <c r="AF43" s="146">
        <v>0</v>
      </c>
      <c r="AG43" s="146">
        <v>0</v>
      </c>
      <c r="AH43" s="146">
        <v>0</v>
      </c>
      <c r="AI43" s="146">
        <v>0.05</v>
      </c>
      <c r="AJ43" s="146">
        <v>0.10499998952919995</v>
      </c>
      <c r="AK43" s="146">
        <v>4.9999998344999956E-2</v>
      </c>
      <c r="AL43" s="146">
        <v>9.9999999999999978E-2</v>
      </c>
      <c r="AM43" s="146">
        <v>3.999960024399756E-3</v>
      </c>
      <c r="AN43" s="146">
        <v>0.1</v>
      </c>
      <c r="AO43" s="146">
        <v>1.4999999999999999E-2</v>
      </c>
      <c r="AP43" s="146">
        <v>0</v>
      </c>
      <c r="AQ43" s="146">
        <v>0</v>
      </c>
      <c r="AR43" s="146">
        <v>0</v>
      </c>
      <c r="AS43" s="146">
        <v>0</v>
      </c>
      <c r="AT43" s="146">
        <v>0</v>
      </c>
      <c r="AU43" s="146">
        <v>0</v>
      </c>
      <c r="AV43" s="146">
        <v>0</v>
      </c>
      <c r="AW43" s="146">
        <v>0</v>
      </c>
      <c r="AX43" s="146">
        <v>0</v>
      </c>
      <c r="AY43" s="146">
        <v>0</v>
      </c>
      <c r="AZ43" s="146">
        <v>0</v>
      </c>
      <c r="BA43" s="146">
        <v>0</v>
      </c>
      <c r="BB43" s="146">
        <v>0</v>
      </c>
      <c r="BC43" s="146">
        <v>0</v>
      </c>
    </row>
    <row r="44" spans="1:55" x14ac:dyDescent="0.15">
      <c r="A44" s="182" t="s">
        <v>234</v>
      </c>
      <c r="B44" s="146">
        <v>0.5</v>
      </c>
      <c r="C44" s="146">
        <v>3.5000000000000003E-2</v>
      </c>
      <c r="D44" s="146">
        <v>0</v>
      </c>
      <c r="E44" s="146">
        <v>0.19675457358454762</v>
      </c>
      <c r="F44" s="146">
        <v>4.0999999999999995E-2</v>
      </c>
      <c r="G44" s="146">
        <v>0</v>
      </c>
      <c r="H44" s="146">
        <v>0</v>
      </c>
      <c r="I44" s="146">
        <v>0</v>
      </c>
      <c r="J44" s="146">
        <v>0</v>
      </c>
      <c r="K44" s="146">
        <v>0</v>
      </c>
      <c r="L44" s="146">
        <v>0.183</v>
      </c>
      <c r="M44" s="146">
        <v>5.2099999999999987E-2</v>
      </c>
      <c r="N44" s="146">
        <v>7.0999999999999994E-2</v>
      </c>
      <c r="O44" s="146">
        <v>2.1999999999999999E-2</v>
      </c>
      <c r="P44" s="146">
        <v>0.1</v>
      </c>
      <c r="Q44" s="146">
        <v>0.1</v>
      </c>
      <c r="R44" s="146">
        <v>0</v>
      </c>
      <c r="S44" s="146">
        <v>0</v>
      </c>
      <c r="T44" s="146">
        <v>0</v>
      </c>
      <c r="U44" s="146">
        <v>0</v>
      </c>
      <c r="V44" s="146">
        <v>0.05</v>
      </c>
      <c r="W44" s="146">
        <v>0.1</v>
      </c>
      <c r="X44" s="146">
        <v>0.25387307785781893</v>
      </c>
      <c r="Y44" s="146">
        <v>0</v>
      </c>
      <c r="Z44" s="146">
        <v>0</v>
      </c>
      <c r="AA44" s="146">
        <v>3.3000000000000002E-2</v>
      </c>
      <c r="AB44" s="146">
        <v>2.7999717935225616E-2</v>
      </c>
      <c r="AC44" s="146">
        <v>4.5999999999999999E-2</v>
      </c>
      <c r="AD44" s="146">
        <v>5.0999999999999997E-2</v>
      </c>
      <c r="AE44" s="146">
        <v>0.05</v>
      </c>
      <c r="AF44" s="146">
        <v>0.09</v>
      </c>
      <c r="AG44" s="146">
        <v>0.21</v>
      </c>
      <c r="AH44" s="146">
        <v>7.3999990242719943E-2</v>
      </c>
      <c r="AI44" s="146">
        <v>0.02</v>
      </c>
      <c r="AJ44" s="146">
        <v>9.9999990503999957E-3</v>
      </c>
      <c r="AK44" s="146">
        <v>0</v>
      </c>
      <c r="AL44" s="146">
        <v>9.9999999999999978E-2</v>
      </c>
      <c r="AM44" s="146">
        <v>3.6999630225697744E-2</v>
      </c>
      <c r="AN44" s="146">
        <v>0.09</v>
      </c>
      <c r="AO44" s="146">
        <v>0.39500000000000002</v>
      </c>
      <c r="AP44" s="146">
        <v>0.60000000000000009</v>
      </c>
      <c r="AQ44" s="146">
        <v>0</v>
      </c>
      <c r="AR44" s="146">
        <v>0</v>
      </c>
      <c r="AS44" s="146">
        <v>0</v>
      </c>
      <c r="AT44" s="146">
        <v>0</v>
      </c>
      <c r="AU44" s="146">
        <v>0</v>
      </c>
      <c r="AV44" s="146">
        <v>0</v>
      </c>
      <c r="AW44" s="146">
        <v>0</v>
      </c>
      <c r="AX44" s="146">
        <v>0</v>
      </c>
      <c r="AY44" s="146">
        <v>0</v>
      </c>
      <c r="AZ44" s="146">
        <v>0</v>
      </c>
      <c r="BA44" s="146">
        <v>0</v>
      </c>
      <c r="BB44" s="146">
        <v>0</v>
      </c>
      <c r="BC44" s="146">
        <v>0</v>
      </c>
    </row>
    <row r="45" spans="1:55" x14ac:dyDescent="0.15">
      <c r="A45" s="182" t="s">
        <v>235</v>
      </c>
      <c r="B45" s="146">
        <v>0</v>
      </c>
      <c r="C45" s="146">
        <v>4.4999999999999998E-2</v>
      </c>
      <c r="D45" s="146">
        <v>0</v>
      </c>
      <c r="E45" s="146">
        <v>0.19787017857652198</v>
      </c>
      <c r="F45" s="146">
        <v>0</v>
      </c>
      <c r="G45" s="146">
        <v>0</v>
      </c>
      <c r="H45" s="146">
        <v>0</v>
      </c>
      <c r="I45" s="146">
        <v>0</v>
      </c>
      <c r="J45" s="146">
        <v>0</v>
      </c>
      <c r="K45" s="146">
        <v>0</v>
      </c>
      <c r="L45" s="146">
        <v>0.2</v>
      </c>
      <c r="M45" s="146">
        <v>1.8999999999999996E-2</v>
      </c>
      <c r="N45" s="146">
        <v>0.02</v>
      </c>
      <c r="O45" s="146">
        <v>0</v>
      </c>
      <c r="P45" s="146">
        <v>0</v>
      </c>
      <c r="Q45" s="146">
        <v>0</v>
      </c>
      <c r="R45" s="146">
        <v>0</v>
      </c>
      <c r="S45" s="146">
        <v>0</v>
      </c>
      <c r="T45" s="146">
        <v>0</v>
      </c>
      <c r="U45" s="146">
        <v>0</v>
      </c>
      <c r="V45" s="146">
        <v>0.124</v>
      </c>
      <c r="W45" s="146">
        <v>0</v>
      </c>
      <c r="X45" s="146">
        <v>0</v>
      </c>
      <c r="Y45" s="146">
        <v>0</v>
      </c>
      <c r="Z45" s="146">
        <v>0</v>
      </c>
      <c r="AA45" s="146">
        <v>0</v>
      </c>
      <c r="AB45" s="146">
        <v>0</v>
      </c>
      <c r="AC45" s="146">
        <v>0.373</v>
      </c>
      <c r="AD45" s="146">
        <v>0.27200000000000002</v>
      </c>
      <c r="AE45" s="146">
        <v>0</v>
      </c>
      <c r="AF45" s="146">
        <v>0</v>
      </c>
      <c r="AG45" s="146">
        <v>7.9000000000000001E-2</v>
      </c>
      <c r="AH45" s="146">
        <v>7.0000104829600326E-2</v>
      </c>
      <c r="AI45" s="146">
        <v>0</v>
      </c>
      <c r="AJ45" s="146">
        <v>0</v>
      </c>
      <c r="AK45" s="146">
        <v>0</v>
      </c>
      <c r="AL45" s="146">
        <v>0</v>
      </c>
      <c r="AM45" s="146">
        <v>0.18099819210408896</v>
      </c>
      <c r="AN45" s="146">
        <v>0.15</v>
      </c>
      <c r="AO45" s="146">
        <v>0.105</v>
      </c>
      <c r="AP45" s="146">
        <v>0.30000000000000004</v>
      </c>
      <c r="AQ45" s="146">
        <v>0</v>
      </c>
      <c r="AR45" s="146">
        <v>0</v>
      </c>
      <c r="AS45" s="146">
        <v>0</v>
      </c>
      <c r="AT45" s="146">
        <v>0</v>
      </c>
      <c r="AU45" s="146">
        <v>0</v>
      </c>
      <c r="AV45" s="146">
        <v>0</v>
      </c>
      <c r="AW45" s="146">
        <v>0</v>
      </c>
      <c r="AX45" s="146">
        <v>0</v>
      </c>
      <c r="AY45" s="146">
        <v>0</v>
      </c>
      <c r="AZ45" s="146">
        <v>0</v>
      </c>
      <c r="BA45" s="146">
        <v>0</v>
      </c>
      <c r="BB45" s="146">
        <v>0</v>
      </c>
      <c r="BC45" s="146">
        <v>0</v>
      </c>
    </row>
    <row r="46" spans="1:55" x14ac:dyDescent="0.15">
      <c r="A46" s="182" t="s">
        <v>236</v>
      </c>
      <c r="B46" s="146">
        <v>0</v>
      </c>
      <c r="C46" s="146">
        <v>0.65800000000000003</v>
      </c>
      <c r="D46" s="146">
        <v>0</v>
      </c>
      <c r="E46" s="146">
        <v>0</v>
      </c>
      <c r="F46" s="146">
        <v>0</v>
      </c>
      <c r="G46" s="146">
        <v>0</v>
      </c>
      <c r="H46" s="146">
        <v>0</v>
      </c>
      <c r="I46" s="146">
        <v>0</v>
      </c>
      <c r="J46" s="146">
        <v>0</v>
      </c>
      <c r="K46" s="146">
        <v>0</v>
      </c>
      <c r="L46" s="146">
        <v>0.08</v>
      </c>
      <c r="M46" s="146">
        <v>7.9999999999999984E-3</v>
      </c>
      <c r="N46" s="146">
        <v>0</v>
      </c>
      <c r="O46" s="146">
        <v>0</v>
      </c>
      <c r="P46" s="146">
        <v>0</v>
      </c>
      <c r="Q46" s="146">
        <v>0</v>
      </c>
      <c r="R46" s="146">
        <v>0</v>
      </c>
      <c r="S46" s="146">
        <v>0</v>
      </c>
      <c r="T46" s="146">
        <v>0</v>
      </c>
      <c r="U46" s="146">
        <v>0</v>
      </c>
      <c r="V46" s="146">
        <v>0</v>
      </c>
      <c r="W46" s="146">
        <v>0</v>
      </c>
      <c r="X46" s="146">
        <v>0.14992503673493254</v>
      </c>
      <c r="Y46" s="146">
        <v>0</v>
      </c>
      <c r="Z46" s="146">
        <v>0</v>
      </c>
      <c r="AA46" s="146">
        <v>0</v>
      </c>
      <c r="AB46" s="146">
        <v>0</v>
      </c>
      <c r="AC46" s="146">
        <v>0.45300000000000001</v>
      </c>
      <c r="AD46" s="146">
        <v>0.44500000000000001</v>
      </c>
      <c r="AE46" s="146">
        <v>0</v>
      </c>
      <c r="AF46" s="146">
        <v>0</v>
      </c>
      <c r="AG46" s="146">
        <v>0.36299999999999999</v>
      </c>
      <c r="AH46" s="146">
        <v>0</v>
      </c>
      <c r="AI46" s="146">
        <v>0</v>
      </c>
      <c r="AJ46" s="146">
        <v>0</v>
      </c>
      <c r="AK46" s="146">
        <v>0</v>
      </c>
      <c r="AL46" s="146">
        <v>0</v>
      </c>
      <c r="AM46" s="146">
        <v>9.5999040585594136E-2</v>
      </c>
      <c r="AN46" s="146">
        <v>0.05</v>
      </c>
      <c r="AO46" s="146">
        <v>7.4999999999999997E-2</v>
      </c>
      <c r="AP46" s="146">
        <v>0.10000000000000002</v>
      </c>
      <c r="AQ46" s="146">
        <v>0.1</v>
      </c>
      <c r="AR46" s="146">
        <v>0.06</v>
      </c>
      <c r="AS46" s="146">
        <v>0.06</v>
      </c>
      <c r="AT46" s="146">
        <v>0</v>
      </c>
      <c r="AU46" s="146">
        <v>0</v>
      </c>
      <c r="AV46" s="146">
        <v>0</v>
      </c>
      <c r="AW46" s="146">
        <v>0</v>
      </c>
      <c r="AX46" s="146">
        <v>0</v>
      </c>
      <c r="AY46" s="146">
        <v>0</v>
      </c>
      <c r="AZ46" s="146">
        <v>0</v>
      </c>
      <c r="BA46" s="146">
        <v>0</v>
      </c>
      <c r="BB46" s="146">
        <v>0</v>
      </c>
      <c r="BC46" s="146">
        <v>0</v>
      </c>
    </row>
    <row r="47" spans="1:55" x14ac:dyDescent="0.15">
      <c r="A47" s="182" t="s">
        <v>237</v>
      </c>
      <c r="B47" s="146">
        <v>0</v>
      </c>
      <c r="C47" s="146">
        <v>0</v>
      </c>
      <c r="D47" s="146">
        <v>0</v>
      </c>
      <c r="E47" s="146">
        <v>0</v>
      </c>
      <c r="F47" s="146">
        <v>3.599999999999999E-2</v>
      </c>
      <c r="G47" s="146">
        <v>0.1</v>
      </c>
      <c r="H47" s="146">
        <v>0</v>
      </c>
      <c r="I47" s="146">
        <v>0</v>
      </c>
      <c r="J47" s="146">
        <v>0.06</v>
      </c>
      <c r="K47" s="146">
        <v>0.06</v>
      </c>
      <c r="L47" s="146">
        <v>0</v>
      </c>
      <c r="M47" s="146">
        <v>2.8999999999999995E-2</v>
      </c>
      <c r="N47" s="146">
        <v>0</v>
      </c>
      <c r="O47" s="146">
        <v>0</v>
      </c>
      <c r="P47" s="146">
        <v>0.27</v>
      </c>
      <c r="Q47" s="146">
        <v>0.2</v>
      </c>
      <c r="R47" s="146">
        <v>0</v>
      </c>
      <c r="S47" s="146">
        <v>0</v>
      </c>
      <c r="T47" s="146">
        <v>0</v>
      </c>
      <c r="U47" s="146">
        <v>0</v>
      </c>
      <c r="V47" s="146">
        <v>0</v>
      </c>
      <c r="W47" s="146">
        <v>0</v>
      </c>
      <c r="X47" s="146">
        <v>3.7981006879516263E-2</v>
      </c>
      <c r="Y47" s="146">
        <v>0</v>
      </c>
      <c r="Z47" s="146">
        <v>6.0000000000000001E-3</v>
      </c>
      <c r="AA47" s="146">
        <v>0</v>
      </c>
      <c r="AB47" s="146">
        <v>0</v>
      </c>
      <c r="AC47" s="146">
        <v>0</v>
      </c>
      <c r="AD47" s="146">
        <v>0</v>
      </c>
      <c r="AE47" s="146">
        <v>0</v>
      </c>
      <c r="AF47" s="146">
        <v>0</v>
      </c>
      <c r="AG47" s="146">
        <v>0</v>
      </c>
      <c r="AH47" s="146">
        <v>0</v>
      </c>
      <c r="AI47" s="146">
        <v>0.01</v>
      </c>
      <c r="AJ47" s="146">
        <v>0.34000006471360034</v>
      </c>
      <c r="AK47" s="146">
        <v>0</v>
      </c>
      <c r="AL47" s="146">
        <v>0</v>
      </c>
      <c r="AM47" s="146">
        <v>0</v>
      </c>
      <c r="AN47" s="146">
        <v>0</v>
      </c>
      <c r="AO47" s="146">
        <v>0</v>
      </c>
      <c r="AP47" s="146">
        <v>0</v>
      </c>
      <c r="AQ47" s="146">
        <v>0</v>
      </c>
      <c r="AR47" s="146">
        <v>0</v>
      </c>
      <c r="AS47" s="146">
        <v>0</v>
      </c>
      <c r="AT47" s="146">
        <v>0</v>
      </c>
      <c r="AU47" s="146">
        <v>0.06</v>
      </c>
      <c r="AV47" s="146">
        <v>0</v>
      </c>
      <c r="AW47" s="146">
        <v>0</v>
      </c>
      <c r="AX47" s="146">
        <v>0</v>
      </c>
      <c r="AY47" s="146">
        <v>0</v>
      </c>
      <c r="AZ47" s="146">
        <v>0</v>
      </c>
      <c r="BA47" s="146">
        <v>0</v>
      </c>
      <c r="BB47" s="146">
        <v>0</v>
      </c>
      <c r="BC47" s="146">
        <v>0</v>
      </c>
    </row>
    <row r="48" spans="1:55" x14ac:dyDescent="0.15">
      <c r="A48" s="182" t="s">
        <v>238</v>
      </c>
      <c r="B48" s="146">
        <v>0</v>
      </c>
      <c r="C48" s="146">
        <v>0.22600000000000001</v>
      </c>
      <c r="D48" s="146">
        <v>0.14209999999999998</v>
      </c>
      <c r="E48" s="146">
        <v>0</v>
      </c>
      <c r="F48" s="146">
        <v>0.11199999999999997</v>
      </c>
      <c r="G48" s="146">
        <v>0.15</v>
      </c>
      <c r="H48" s="146">
        <v>0.36</v>
      </c>
      <c r="I48" s="146">
        <v>0.45</v>
      </c>
      <c r="J48" s="146">
        <v>0.38</v>
      </c>
      <c r="K48" s="146">
        <v>0.1065</v>
      </c>
      <c r="L48" s="146">
        <v>0.20300000000000001</v>
      </c>
      <c r="M48" s="146">
        <v>0.13899999999999998</v>
      </c>
      <c r="N48" s="146">
        <v>0.3</v>
      </c>
      <c r="O48" s="146">
        <v>0.46100000000000002</v>
      </c>
      <c r="P48" s="146">
        <v>0.2</v>
      </c>
      <c r="Q48" s="146">
        <v>0.1</v>
      </c>
      <c r="R48" s="146">
        <v>0.1</v>
      </c>
      <c r="S48" s="146">
        <v>0.9</v>
      </c>
      <c r="T48" s="146">
        <v>0.2</v>
      </c>
      <c r="U48" s="146">
        <v>0.89300000000000002</v>
      </c>
      <c r="V48" s="146">
        <v>0.152</v>
      </c>
      <c r="W48" s="146">
        <v>0.4</v>
      </c>
      <c r="X48" s="146">
        <v>8.5957019274694665E-2</v>
      </c>
      <c r="Y48" s="146">
        <v>0.5</v>
      </c>
      <c r="Z48" s="146">
        <v>0.57399999999999995</v>
      </c>
      <c r="AA48" s="146">
        <v>7.3999999999999996E-2</v>
      </c>
      <c r="AB48" s="146">
        <v>4.9999570420046373E-2</v>
      </c>
      <c r="AC48" s="146">
        <v>0</v>
      </c>
      <c r="AD48" s="146">
        <v>4.0000000000000001E-3</v>
      </c>
      <c r="AE48" s="146">
        <v>0</v>
      </c>
      <c r="AF48" s="146">
        <v>0</v>
      </c>
      <c r="AG48" s="146">
        <v>0.115</v>
      </c>
      <c r="AH48" s="146">
        <v>0</v>
      </c>
      <c r="AI48" s="146">
        <v>0.85</v>
      </c>
      <c r="AJ48" s="146">
        <v>0</v>
      </c>
      <c r="AK48" s="146">
        <v>0</v>
      </c>
      <c r="AL48" s="146">
        <v>0</v>
      </c>
      <c r="AM48" s="146">
        <v>2.4999750152498477E-2</v>
      </c>
      <c r="AN48" s="146">
        <v>0</v>
      </c>
      <c r="AO48" s="146">
        <v>0</v>
      </c>
      <c r="AP48" s="146">
        <v>0</v>
      </c>
      <c r="AQ48" s="146">
        <v>0.3</v>
      </c>
      <c r="AR48" s="146">
        <v>0</v>
      </c>
      <c r="AS48" s="146">
        <v>0</v>
      </c>
      <c r="AT48" s="146">
        <v>0</v>
      </c>
      <c r="AU48" s="146">
        <v>0.01</v>
      </c>
      <c r="AV48" s="146">
        <v>0</v>
      </c>
      <c r="AW48" s="146">
        <v>0</v>
      </c>
      <c r="AX48" s="146">
        <v>0</v>
      </c>
      <c r="AY48" s="146">
        <v>0</v>
      </c>
      <c r="AZ48" s="146">
        <v>0</v>
      </c>
      <c r="BA48" s="146">
        <v>0</v>
      </c>
      <c r="BB48" s="146">
        <v>0</v>
      </c>
      <c r="BC48" s="146">
        <v>0</v>
      </c>
    </row>
    <row r="49" spans="1:55" x14ac:dyDescent="0.15">
      <c r="A49" s="182" t="s">
        <v>239</v>
      </c>
      <c r="B49" s="146">
        <v>0</v>
      </c>
      <c r="C49" s="146">
        <v>2.1000000000000001E-2</v>
      </c>
      <c r="D49" s="146">
        <v>0</v>
      </c>
      <c r="E49" s="146">
        <v>0</v>
      </c>
      <c r="F49" s="146">
        <v>0.15599999999999997</v>
      </c>
      <c r="G49" s="146">
        <v>0.15</v>
      </c>
      <c r="H49" s="146">
        <v>0</v>
      </c>
      <c r="I49" s="146">
        <v>0</v>
      </c>
      <c r="J49" s="146">
        <v>9.9000000000000005E-2</v>
      </c>
      <c r="K49" s="146">
        <v>4.1000000000000002E-2</v>
      </c>
      <c r="L49" s="146">
        <v>0</v>
      </c>
      <c r="M49" s="146">
        <v>0.12599999999999997</v>
      </c>
      <c r="N49" s="146">
        <v>0.498</v>
      </c>
      <c r="O49" s="146">
        <v>0.16</v>
      </c>
      <c r="P49" s="146">
        <v>0.38</v>
      </c>
      <c r="Q49" s="146">
        <v>0.6</v>
      </c>
      <c r="R49" s="146">
        <v>0.9</v>
      </c>
      <c r="S49" s="146">
        <v>0.1</v>
      </c>
      <c r="T49" s="146">
        <v>0.8</v>
      </c>
      <c r="U49" s="146">
        <v>8.3000000000000004E-2</v>
      </c>
      <c r="V49" s="146">
        <v>0</v>
      </c>
      <c r="W49" s="146">
        <v>0.3</v>
      </c>
      <c r="X49" s="146">
        <v>0</v>
      </c>
      <c r="Y49" s="146">
        <v>0.5</v>
      </c>
      <c r="Z49" s="146">
        <v>7.4999999999999997E-2</v>
      </c>
      <c r="AA49" s="146">
        <v>0</v>
      </c>
      <c r="AB49" s="146">
        <v>0</v>
      </c>
      <c r="AC49" s="146">
        <v>0</v>
      </c>
      <c r="AD49" s="146">
        <v>0</v>
      </c>
      <c r="AE49" s="146">
        <v>0</v>
      </c>
      <c r="AF49" s="146">
        <v>0</v>
      </c>
      <c r="AG49" s="146">
        <v>5.7000000000000002E-2</v>
      </c>
      <c r="AH49" s="146">
        <v>0</v>
      </c>
      <c r="AI49" s="146">
        <v>0</v>
      </c>
      <c r="AJ49" s="146">
        <v>0</v>
      </c>
      <c r="AK49" s="146">
        <v>0</v>
      </c>
      <c r="AL49" s="146">
        <v>0</v>
      </c>
      <c r="AM49" s="146">
        <v>4.7999520292797068E-2</v>
      </c>
      <c r="AN49" s="146">
        <v>0</v>
      </c>
      <c r="AO49" s="146">
        <v>0</v>
      </c>
      <c r="AP49" s="146">
        <v>0</v>
      </c>
      <c r="AQ49" s="146">
        <v>0.2</v>
      </c>
      <c r="AR49" s="146">
        <v>0</v>
      </c>
      <c r="AS49" s="146">
        <v>0</v>
      </c>
      <c r="AT49" s="146">
        <v>0</v>
      </c>
      <c r="AU49" s="146">
        <v>0.08</v>
      </c>
      <c r="AV49" s="146">
        <v>0.2</v>
      </c>
      <c r="AW49" s="146">
        <v>0</v>
      </c>
      <c r="AX49" s="146">
        <v>0</v>
      </c>
      <c r="AY49" s="146">
        <v>0</v>
      </c>
      <c r="AZ49" s="146">
        <v>0</v>
      </c>
      <c r="BA49" s="146">
        <v>0</v>
      </c>
      <c r="BB49" s="146">
        <v>0</v>
      </c>
      <c r="BC49" s="146">
        <v>0</v>
      </c>
    </row>
    <row r="50" spans="1:55" x14ac:dyDescent="0.15">
      <c r="A50" s="182" t="s">
        <v>240</v>
      </c>
      <c r="B50" s="146">
        <v>0</v>
      </c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6">
        <v>0</v>
      </c>
      <c r="AY50" s="146">
        <v>0</v>
      </c>
      <c r="AZ50" s="146">
        <v>0</v>
      </c>
      <c r="BA50" s="146">
        <v>0</v>
      </c>
      <c r="BB50" s="146">
        <v>0</v>
      </c>
      <c r="BC50" s="146">
        <v>0</v>
      </c>
    </row>
    <row r="51" spans="1:55" x14ac:dyDescent="0.15">
      <c r="A51" s="182" t="s">
        <v>241</v>
      </c>
      <c r="B51" s="146">
        <v>0</v>
      </c>
      <c r="C51" s="146">
        <v>0</v>
      </c>
      <c r="D51" s="146">
        <v>0</v>
      </c>
      <c r="E51" s="146">
        <v>0</v>
      </c>
      <c r="F51" s="146">
        <v>0</v>
      </c>
      <c r="G51" s="146">
        <v>0</v>
      </c>
      <c r="H51" s="146">
        <v>0</v>
      </c>
      <c r="I51" s="146">
        <v>0</v>
      </c>
      <c r="J51" s="146">
        <v>0</v>
      </c>
      <c r="K51" s="146">
        <v>0</v>
      </c>
      <c r="L51" s="146">
        <v>0</v>
      </c>
      <c r="M51" s="146">
        <v>0</v>
      </c>
      <c r="N51" s="146">
        <v>0</v>
      </c>
      <c r="O51" s="146">
        <v>0</v>
      </c>
      <c r="P51" s="146">
        <v>0</v>
      </c>
      <c r="Q51" s="146">
        <v>0</v>
      </c>
      <c r="R51" s="146">
        <v>0</v>
      </c>
      <c r="S51" s="146">
        <v>0</v>
      </c>
      <c r="T51" s="146">
        <v>0</v>
      </c>
      <c r="U51" s="146">
        <v>0</v>
      </c>
      <c r="V51" s="146">
        <v>0</v>
      </c>
      <c r="W51" s="146">
        <v>0</v>
      </c>
      <c r="X51" s="146">
        <v>0</v>
      </c>
      <c r="Y51" s="146">
        <v>0</v>
      </c>
      <c r="Z51" s="146">
        <v>0</v>
      </c>
      <c r="AA51" s="146">
        <v>0</v>
      </c>
      <c r="AB51" s="146">
        <v>0</v>
      </c>
      <c r="AC51" s="146">
        <v>0</v>
      </c>
      <c r="AD51" s="146">
        <v>0</v>
      </c>
      <c r="AE51" s="146">
        <v>0</v>
      </c>
      <c r="AF51" s="146">
        <v>0</v>
      </c>
      <c r="AG51" s="146">
        <v>0</v>
      </c>
      <c r="AH51" s="146">
        <v>0</v>
      </c>
      <c r="AI51" s="146">
        <v>0</v>
      </c>
      <c r="AJ51" s="146">
        <v>0</v>
      </c>
      <c r="AK51" s="146">
        <v>0</v>
      </c>
      <c r="AL51" s="146">
        <v>0</v>
      </c>
      <c r="AM51" s="146">
        <v>0</v>
      </c>
      <c r="AN51" s="146">
        <v>0</v>
      </c>
      <c r="AO51" s="146">
        <v>0</v>
      </c>
      <c r="AP51" s="146">
        <v>0</v>
      </c>
      <c r="AQ51" s="146">
        <v>0</v>
      </c>
      <c r="AR51" s="146">
        <v>1E-3</v>
      </c>
      <c r="AS51" s="146">
        <v>0</v>
      </c>
      <c r="AT51" s="146">
        <v>0</v>
      </c>
      <c r="AU51" s="146">
        <v>0</v>
      </c>
      <c r="AV51" s="146">
        <v>0</v>
      </c>
      <c r="AW51" s="146">
        <v>0</v>
      </c>
      <c r="AX51" s="146">
        <v>0</v>
      </c>
      <c r="AY51" s="146">
        <v>0</v>
      </c>
      <c r="AZ51" s="146">
        <v>0</v>
      </c>
      <c r="BA51" s="146">
        <v>0</v>
      </c>
      <c r="BB51" s="146">
        <v>0</v>
      </c>
      <c r="BC51" s="146">
        <v>0</v>
      </c>
    </row>
    <row r="52" spans="1:55" x14ac:dyDescent="0.15">
      <c r="A52" s="182" t="s">
        <v>242</v>
      </c>
      <c r="B52" s="146">
        <v>0</v>
      </c>
      <c r="C52" s="146">
        <v>0</v>
      </c>
      <c r="D52" s="146">
        <v>0</v>
      </c>
      <c r="E52" s="146">
        <v>0</v>
      </c>
      <c r="F52" s="146">
        <v>0</v>
      </c>
      <c r="G52" s="146">
        <v>0</v>
      </c>
      <c r="H52" s="146">
        <v>0</v>
      </c>
      <c r="I52" s="146">
        <v>0</v>
      </c>
      <c r="J52" s="146">
        <v>0</v>
      </c>
      <c r="K52" s="146">
        <v>0</v>
      </c>
      <c r="L52" s="146">
        <v>0</v>
      </c>
      <c r="M52" s="146">
        <v>0</v>
      </c>
      <c r="N52" s="146">
        <v>0</v>
      </c>
      <c r="O52" s="146">
        <v>0</v>
      </c>
      <c r="P52" s="146">
        <v>0</v>
      </c>
      <c r="Q52" s="146">
        <v>0</v>
      </c>
      <c r="R52" s="146">
        <v>0</v>
      </c>
      <c r="S52" s="146">
        <v>0</v>
      </c>
      <c r="T52" s="146">
        <v>0</v>
      </c>
      <c r="U52" s="146">
        <v>0</v>
      </c>
      <c r="V52" s="146">
        <v>0</v>
      </c>
      <c r="W52" s="146">
        <v>0</v>
      </c>
      <c r="X52" s="146">
        <v>0</v>
      </c>
      <c r="Y52" s="146">
        <v>0</v>
      </c>
      <c r="Z52" s="146">
        <v>0</v>
      </c>
      <c r="AA52" s="146">
        <v>0</v>
      </c>
      <c r="AB52" s="146">
        <v>0</v>
      </c>
      <c r="AC52" s="146">
        <v>0</v>
      </c>
      <c r="AD52" s="146">
        <v>0</v>
      </c>
      <c r="AE52" s="146">
        <v>0</v>
      </c>
      <c r="AF52" s="146">
        <v>0</v>
      </c>
      <c r="AG52" s="146">
        <v>0</v>
      </c>
      <c r="AH52" s="146">
        <v>0</v>
      </c>
      <c r="AI52" s="146">
        <v>0</v>
      </c>
      <c r="AJ52" s="146">
        <v>0</v>
      </c>
      <c r="AK52" s="146">
        <v>0</v>
      </c>
      <c r="AL52" s="146">
        <v>0</v>
      </c>
      <c r="AM52" s="146">
        <v>0</v>
      </c>
      <c r="AN52" s="146">
        <v>0</v>
      </c>
      <c r="AO52" s="146">
        <v>0</v>
      </c>
      <c r="AP52" s="146">
        <v>0</v>
      </c>
      <c r="AQ52" s="146">
        <v>0</v>
      </c>
      <c r="AR52" s="146">
        <v>0</v>
      </c>
      <c r="AS52" s="146">
        <v>0</v>
      </c>
      <c r="AT52" s="146">
        <v>0</v>
      </c>
      <c r="AU52" s="146">
        <v>0</v>
      </c>
      <c r="AV52" s="146">
        <v>0.8</v>
      </c>
      <c r="AW52" s="146">
        <v>1</v>
      </c>
      <c r="AX52" s="146">
        <v>0</v>
      </c>
      <c r="AY52" s="146">
        <v>0</v>
      </c>
      <c r="AZ52" s="146">
        <v>0</v>
      </c>
      <c r="BA52" s="146">
        <v>0</v>
      </c>
      <c r="BB52" s="146">
        <v>0</v>
      </c>
      <c r="BC52" s="146">
        <v>0</v>
      </c>
    </row>
    <row r="53" spans="1:55" x14ac:dyDescent="0.15">
      <c r="A53" s="182" t="s">
        <v>243</v>
      </c>
      <c r="B53" s="146">
        <v>0</v>
      </c>
      <c r="C53" s="146">
        <v>0</v>
      </c>
      <c r="D53" s="146">
        <v>7.9999999999999984E-3</v>
      </c>
      <c r="E53" s="146">
        <v>0</v>
      </c>
      <c r="F53" s="146">
        <v>4.0999999999999995E-2</v>
      </c>
      <c r="G53" s="146">
        <v>0</v>
      </c>
      <c r="H53" s="146">
        <v>0</v>
      </c>
      <c r="I53" s="146">
        <v>0</v>
      </c>
      <c r="J53" s="146">
        <v>0</v>
      </c>
      <c r="K53" s="146">
        <v>0</v>
      </c>
      <c r="L53" s="146">
        <v>0</v>
      </c>
      <c r="M53" s="146">
        <v>0</v>
      </c>
      <c r="N53" s="146">
        <v>0</v>
      </c>
      <c r="O53" s="146">
        <v>0</v>
      </c>
      <c r="P53" s="146">
        <v>0</v>
      </c>
      <c r="Q53" s="146">
        <v>0</v>
      </c>
      <c r="R53" s="146">
        <v>0</v>
      </c>
      <c r="S53" s="146">
        <v>0</v>
      </c>
      <c r="T53" s="146">
        <v>0</v>
      </c>
      <c r="U53" s="146">
        <v>0</v>
      </c>
      <c r="V53" s="146">
        <v>0</v>
      </c>
      <c r="W53" s="146">
        <v>0</v>
      </c>
      <c r="X53" s="146">
        <v>0</v>
      </c>
      <c r="Y53" s="146">
        <v>0</v>
      </c>
      <c r="Z53" s="146">
        <v>0</v>
      </c>
      <c r="AA53" s="146">
        <v>0</v>
      </c>
      <c r="AB53" s="146">
        <v>0</v>
      </c>
      <c r="AC53" s="146">
        <v>0</v>
      </c>
      <c r="AD53" s="146">
        <v>0</v>
      </c>
      <c r="AE53" s="146">
        <v>0</v>
      </c>
      <c r="AF53" s="146">
        <v>0</v>
      </c>
      <c r="AG53" s="146">
        <v>0</v>
      </c>
      <c r="AH53" s="146">
        <v>0</v>
      </c>
      <c r="AI53" s="146">
        <v>0</v>
      </c>
      <c r="AJ53" s="146">
        <v>0</v>
      </c>
      <c r="AK53" s="146">
        <v>0</v>
      </c>
      <c r="AL53" s="146">
        <v>0</v>
      </c>
      <c r="AM53" s="146">
        <v>0</v>
      </c>
      <c r="AN53" s="146">
        <v>0</v>
      </c>
      <c r="AO53" s="146">
        <v>0</v>
      </c>
      <c r="AP53" s="146">
        <v>0</v>
      </c>
      <c r="AQ53" s="146">
        <v>0</v>
      </c>
      <c r="AR53" s="146">
        <v>0</v>
      </c>
      <c r="AS53" s="146">
        <v>0</v>
      </c>
      <c r="AT53" s="146">
        <v>0</v>
      </c>
      <c r="AU53" s="146">
        <v>0</v>
      </c>
      <c r="AV53" s="146">
        <v>0</v>
      </c>
      <c r="AW53" s="146">
        <v>0</v>
      </c>
      <c r="AX53" s="146">
        <v>0</v>
      </c>
      <c r="AY53" s="146">
        <v>0</v>
      </c>
      <c r="AZ53" s="146">
        <v>0</v>
      </c>
      <c r="BA53" s="146">
        <v>0</v>
      </c>
      <c r="BB53" s="146">
        <v>0</v>
      </c>
      <c r="BC53" s="146">
        <v>0</v>
      </c>
    </row>
    <row r="54" spans="1:55" x14ac:dyDescent="0.15">
      <c r="A54" s="182" t="s">
        <v>244</v>
      </c>
      <c r="B54" s="146">
        <v>0</v>
      </c>
      <c r="C54" s="146">
        <v>0</v>
      </c>
      <c r="D54" s="146">
        <v>0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0.316</v>
      </c>
      <c r="K54" s="146">
        <v>0.307</v>
      </c>
      <c r="L54" s="146">
        <v>0</v>
      </c>
      <c r="M54" s="146">
        <v>7.9999999999999988E-2</v>
      </c>
      <c r="N54" s="146">
        <v>0</v>
      </c>
      <c r="O54" s="146">
        <v>0</v>
      </c>
      <c r="P54" s="146">
        <v>0.05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146">
        <v>0</v>
      </c>
      <c r="W54" s="146">
        <v>0</v>
      </c>
      <c r="X54" s="146">
        <v>0.1119440260554163</v>
      </c>
      <c r="Y54" s="146">
        <v>0</v>
      </c>
      <c r="Z54" s="146">
        <v>0</v>
      </c>
      <c r="AA54" s="146">
        <v>0.03</v>
      </c>
      <c r="AB54" s="146">
        <v>0.1629983643693492</v>
      </c>
      <c r="AC54" s="146">
        <v>0</v>
      </c>
      <c r="AD54" s="146">
        <v>0</v>
      </c>
      <c r="AE54" s="146">
        <v>7.4999999999999997E-2</v>
      </c>
      <c r="AF54" s="146">
        <v>7.6999999999999999E-2</v>
      </c>
      <c r="AG54" s="146">
        <v>0.14899999999999999</v>
      </c>
      <c r="AH54" s="146">
        <v>7.8999996459119967E-2</v>
      </c>
      <c r="AI54" s="146">
        <v>0</v>
      </c>
      <c r="AJ54" s="146">
        <v>1.9999997800799991E-2</v>
      </c>
      <c r="AK54" s="146">
        <v>1.000004936900133E-2</v>
      </c>
      <c r="AL54" s="146">
        <v>5.6999999999999988E-2</v>
      </c>
      <c r="AM54" s="146">
        <v>2.6999730164698352E-2</v>
      </c>
      <c r="AN54" s="146">
        <v>2.4E-2</v>
      </c>
      <c r="AO54" s="146">
        <v>0.3</v>
      </c>
      <c r="AP54" s="146">
        <v>0</v>
      </c>
      <c r="AQ54" s="146">
        <v>0.4</v>
      </c>
      <c r="AR54" s="146">
        <v>0.93899999999999995</v>
      </c>
      <c r="AS54" s="146">
        <v>0.94</v>
      </c>
      <c r="AT54" s="146">
        <v>1</v>
      </c>
      <c r="AU54" s="146">
        <v>0.84899999999999998</v>
      </c>
      <c r="AV54" s="146">
        <v>0</v>
      </c>
      <c r="AW54" s="146">
        <v>0</v>
      </c>
      <c r="AX54" s="146">
        <v>1</v>
      </c>
      <c r="AY54" s="146">
        <v>0</v>
      </c>
      <c r="AZ54" s="146">
        <v>0</v>
      </c>
      <c r="BA54" s="146">
        <v>0</v>
      </c>
      <c r="BB54" s="146">
        <v>0</v>
      </c>
      <c r="BC54" s="146">
        <v>0</v>
      </c>
    </row>
    <row r="55" spans="1:55" x14ac:dyDescent="0.15">
      <c r="A55" s="182" t="s">
        <v>245</v>
      </c>
      <c r="B55" s="146">
        <v>0</v>
      </c>
      <c r="C55" s="146">
        <v>0</v>
      </c>
      <c r="D55" s="146">
        <v>0</v>
      </c>
      <c r="E55" s="146">
        <v>0</v>
      </c>
      <c r="F55" s="146">
        <v>0</v>
      </c>
      <c r="G55" s="146">
        <v>0</v>
      </c>
      <c r="H55" s="146">
        <v>0</v>
      </c>
      <c r="I55" s="146">
        <v>0</v>
      </c>
      <c r="J55" s="146">
        <v>0</v>
      </c>
      <c r="K55" s="146">
        <v>0</v>
      </c>
      <c r="L55" s="146">
        <v>0</v>
      </c>
      <c r="M55" s="146">
        <v>0</v>
      </c>
      <c r="N55" s="146">
        <v>0</v>
      </c>
      <c r="O55" s="146">
        <v>0</v>
      </c>
      <c r="P55" s="146">
        <v>0</v>
      </c>
      <c r="Q55" s="146">
        <v>0</v>
      </c>
      <c r="R55" s="146">
        <v>0</v>
      </c>
      <c r="S55" s="146">
        <v>0</v>
      </c>
      <c r="T55" s="146">
        <v>0</v>
      </c>
      <c r="U55" s="146">
        <v>0</v>
      </c>
      <c r="V55" s="146">
        <v>0</v>
      </c>
      <c r="W55" s="146">
        <v>0</v>
      </c>
      <c r="X55" s="146">
        <v>0</v>
      </c>
      <c r="Y55" s="146">
        <v>0</v>
      </c>
      <c r="Z55" s="146">
        <v>0</v>
      </c>
      <c r="AA55" s="146">
        <v>0</v>
      </c>
      <c r="AB55" s="146">
        <v>0</v>
      </c>
      <c r="AC55" s="146">
        <v>0</v>
      </c>
      <c r="AD55" s="146">
        <v>0</v>
      </c>
      <c r="AE55" s="146">
        <v>0</v>
      </c>
      <c r="AF55" s="146">
        <v>0</v>
      </c>
      <c r="AG55" s="146">
        <v>0</v>
      </c>
      <c r="AH55" s="146">
        <v>0</v>
      </c>
      <c r="AI55" s="146">
        <v>0</v>
      </c>
      <c r="AJ55" s="146">
        <v>0</v>
      </c>
      <c r="AK55" s="146">
        <v>0</v>
      </c>
      <c r="AL55" s="146">
        <v>0</v>
      </c>
      <c r="AM55" s="146">
        <v>0</v>
      </c>
      <c r="AN55" s="146">
        <v>0</v>
      </c>
      <c r="AO55" s="146">
        <v>0</v>
      </c>
      <c r="AP55" s="146">
        <v>0</v>
      </c>
      <c r="AQ55" s="146">
        <v>0</v>
      </c>
      <c r="AR55" s="146">
        <v>0</v>
      </c>
      <c r="AS55" s="146">
        <v>0</v>
      </c>
      <c r="AT55" s="146">
        <v>0</v>
      </c>
      <c r="AU55" s="146">
        <v>0</v>
      </c>
      <c r="AV55" s="146">
        <v>0</v>
      </c>
      <c r="AW55" s="146">
        <v>0</v>
      </c>
      <c r="AX55" s="146">
        <v>0</v>
      </c>
      <c r="AY55" s="146">
        <v>0</v>
      </c>
      <c r="AZ55" s="146">
        <v>0</v>
      </c>
      <c r="BA55" s="146">
        <v>0</v>
      </c>
      <c r="BB55" s="146">
        <v>0</v>
      </c>
      <c r="BC55" s="146">
        <v>0</v>
      </c>
    </row>
    <row r="56" spans="1:55" x14ac:dyDescent="0.15">
      <c r="A56" s="182" t="s">
        <v>262</v>
      </c>
      <c r="B56" s="146">
        <v>0</v>
      </c>
      <c r="C56" s="146">
        <v>0</v>
      </c>
      <c r="D56" s="146">
        <v>0</v>
      </c>
      <c r="E56" s="146">
        <v>0</v>
      </c>
      <c r="F56" s="146">
        <v>0</v>
      </c>
      <c r="G56" s="146">
        <v>0.6</v>
      </c>
      <c r="H56" s="146">
        <v>0</v>
      </c>
      <c r="I56" s="146">
        <v>0</v>
      </c>
      <c r="J56" s="146">
        <v>0</v>
      </c>
      <c r="K56" s="146">
        <v>0</v>
      </c>
      <c r="L56" s="146">
        <v>0</v>
      </c>
      <c r="M56" s="146">
        <v>0</v>
      </c>
      <c r="N56" s="146">
        <v>0</v>
      </c>
      <c r="O56" s="146">
        <v>0</v>
      </c>
      <c r="P56" s="146">
        <v>0</v>
      </c>
      <c r="Q56" s="146">
        <v>0</v>
      </c>
      <c r="R56" s="146">
        <v>0</v>
      </c>
      <c r="S56" s="146">
        <v>0</v>
      </c>
      <c r="T56" s="146">
        <v>0</v>
      </c>
      <c r="U56" s="146">
        <v>0</v>
      </c>
      <c r="V56" s="146">
        <v>0</v>
      </c>
      <c r="W56" s="146">
        <v>0</v>
      </c>
      <c r="X56" s="146">
        <v>0</v>
      </c>
      <c r="Y56" s="146">
        <v>0</v>
      </c>
      <c r="Z56" s="146">
        <v>0</v>
      </c>
      <c r="AA56" s="146">
        <v>0</v>
      </c>
      <c r="AB56" s="146">
        <v>0</v>
      </c>
      <c r="AC56" s="146">
        <v>0</v>
      </c>
      <c r="AD56" s="146">
        <v>0</v>
      </c>
      <c r="AE56" s="146">
        <v>0</v>
      </c>
      <c r="AF56" s="146">
        <v>0</v>
      </c>
      <c r="AG56" s="146">
        <v>0</v>
      </c>
      <c r="AH56" s="146">
        <v>0</v>
      </c>
      <c r="AI56" s="146">
        <v>0</v>
      </c>
      <c r="AJ56" s="146">
        <v>0</v>
      </c>
      <c r="AK56" s="146">
        <v>0</v>
      </c>
      <c r="AL56" s="146">
        <v>0</v>
      </c>
      <c r="AM56" s="146">
        <v>0</v>
      </c>
      <c r="AN56" s="146">
        <v>0</v>
      </c>
      <c r="AO56" s="146">
        <v>0</v>
      </c>
      <c r="AP56" s="146">
        <v>0</v>
      </c>
      <c r="AQ56" s="146">
        <v>0</v>
      </c>
      <c r="AR56" s="146">
        <v>0</v>
      </c>
      <c r="AS56" s="146">
        <v>0</v>
      </c>
      <c r="AT56" s="146">
        <v>0</v>
      </c>
      <c r="AU56" s="146">
        <v>0</v>
      </c>
      <c r="AV56" s="146">
        <v>0</v>
      </c>
      <c r="AW56" s="146">
        <v>0</v>
      </c>
      <c r="AX56" s="146">
        <v>0</v>
      </c>
      <c r="AY56" s="146">
        <v>0</v>
      </c>
      <c r="AZ56" s="146">
        <v>0</v>
      </c>
      <c r="BA56" s="146">
        <v>0</v>
      </c>
      <c r="BB56" s="146">
        <v>0</v>
      </c>
      <c r="BC56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customWidth="1"/>
    <col min="3" max="4" width="2.33203125" style="114" customWidth="1"/>
    <col min="5" max="6" width="2.33203125" style="113" bestFit="1" customWidth="1"/>
    <col min="7" max="7" width="2.33203125" style="114" customWidth="1"/>
    <col min="8" max="8" width="8.83203125" style="114"/>
  </cols>
  <sheetData>
    <row r="1" spans="1:8" ht="70" x14ac:dyDescent="0.15">
      <c r="A1" s="5" t="s">
        <v>20</v>
      </c>
      <c r="B1" s="1" t="s">
        <v>0</v>
      </c>
      <c r="C1" s="185" t="s">
        <v>243</v>
      </c>
      <c r="D1" s="185" t="s">
        <v>244</v>
      </c>
      <c r="E1" s="185" t="s">
        <v>245</v>
      </c>
      <c r="F1" s="185" t="s">
        <v>263</v>
      </c>
      <c r="G1" s="185" t="s">
        <v>264</v>
      </c>
      <c r="H1"/>
    </row>
    <row r="2" spans="1:8" x14ac:dyDescent="0.15">
      <c r="A2">
        <v>1</v>
      </c>
      <c r="B2" s="184" t="s">
        <v>192</v>
      </c>
      <c r="C2" s="114">
        <v>0</v>
      </c>
      <c r="D2" s="114">
        <v>1</v>
      </c>
      <c r="E2" s="113">
        <v>0</v>
      </c>
      <c r="F2" s="113">
        <v>0</v>
      </c>
      <c r="G2" s="114">
        <v>1</v>
      </c>
      <c r="H2"/>
    </row>
    <row r="3" spans="1:8" x14ac:dyDescent="0.15">
      <c r="A3">
        <v>2</v>
      </c>
      <c r="B3" s="184" t="s">
        <v>193</v>
      </c>
      <c r="C3" s="114">
        <v>0</v>
      </c>
      <c r="D3" s="114">
        <v>1</v>
      </c>
      <c r="E3" s="113">
        <v>0</v>
      </c>
      <c r="F3" s="113">
        <v>0</v>
      </c>
      <c r="G3" s="114">
        <v>1</v>
      </c>
      <c r="H3"/>
    </row>
    <row r="4" spans="1:8" x14ac:dyDescent="0.15">
      <c r="A4">
        <v>3</v>
      </c>
      <c r="B4" s="184" t="s">
        <v>194</v>
      </c>
      <c r="C4" s="114">
        <v>0</v>
      </c>
      <c r="D4" s="114">
        <v>1</v>
      </c>
      <c r="E4" s="113">
        <v>0</v>
      </c>
      <c r="F4" s="113">
        <v>0</v>
      </c>
      <c r="G4" s="114">
        <v>1</v>
      </c>
      <c r="H4"/>
    </row>
    <row r="5" spans="1:8" x14ac:dyDescent="0.15">
      <c r="A5">
        <v>4</v>
      </c>
      <c r="B5" s="184" t="s">
        <v>195</v>
      </c>
      <c r="C5" s="114">
        <v>0</v>
      </c>
      <c r="D5" s="114">
        <v>1</v>
      </c>
      <c r="E5" s="113">
        <v>0</v>
      </c>
      <c r="F5" s="113">
        <v>0</v>
      </c>
      <c r="G5" s="114">
        <v>1</v>
      </c>
      <c r="H5"/>
    </row>
    <row r="6" spans="1:8" x14ac:dyDescent="0.15">
      <c r="A6">
        <v>5</v>
      </c>
      <c r="B6" s="184" t="s">
        <v>196</v>
      </c>
      <c r="C6" s="114">
        <v>0</v>
      </c>
      <c r="D6" s="114">
        <v>1</v>
      </c>
      <c r="E6" s="113">
        <v>0</v>
      </c>
      <c r="F6" s="113">
        <v>0</v>
      </c>
      <c r="G6" s="114">
        <v>1</v>
      </c>
      <c r="H6"/>
    </row>
    <row r="7" spans="1:8" x14ac:dyDescent="0.15">
      <c r="A7">
        <v>6</v>
      </c>
      <c r="B7" s="184" t="s">
        <v>197</v>
      </c>
      <c r="C7" s="114">
        <v>0</v>
      </c>
      <c r="D7" s="114">
        <v>1</v>
      </c>
      <c r="E7" s="113">
        <v>0</v>
      </c>
      <c r="F7" s="113">
        <v>0</v>
      </c>
      <c r="G7" s="114">
        <v>1</v>
      </c>
      <c r="H7"/>
    </row>
    <row r="8" spans="1:8" x14ac:dyDescent="0.15">
      <c r="A8">
        <v>7</v>
      </c>
      <c r="B8" s="184" t="s">
        <v>198</v>
      </c>
      <c r="C8" s="114">
        <v>0</v>
      </c>
      <c r="D8" s="114">
        <v>1</v>
      </c>
      <c r="E8" s="113">
        <v>0</v>
      </c>
      <c r="F8" s="113">
        <v>0</v>
      </c>
      <c r="G8" s="114">
        <v>1</v>
      </c>
      <c r="H8"/>
    </row>
    <row r="9" spans="1:8" x14ac:dyDescent="0.15">
      <c r="A9">
        <v>8</v>
      </c>
      <c r="B9" s="184" t="s">
        <v>199</v>
      </c>
      <c r="C9" s="114">
        <v>0</v>
      </c>
      <c r="D9" s="114">
        <v>1</v>
      </c>
      <c r="E9" s="113">
        <v>0</v>
      </c>
      <c r="F9" s="113">
        <v>0</v>
      </c>
      <c r="G9" s="114">
        <v>1</v>
      </c>
      <c r="H9"/>
    </row>
    <row r="10" spans="1:8" x14ac:dyDescent="0.15">
      <c r="A10">
        <v>9</v>
      </c>
      <c r="B10" s="184" t="s">
        <v>200</v>
      </c>
      <c r="C10" s="114">
        <v>0</v>
      </c>
      <c r="D10" s="114">
        <v>1</v>
      </c>
      <c r="E10" s="113">
        <v>0</v>
      </c>
      <c r="F10" s="113">
        <v>0</v>
      </c>
      <c r="G10" s="114">
        <v>1</v>
      </c>
      <c r="H10"/>
    </row>
    <row r="11" spans="1:8" x14ac:dyDescent="0.15">
      <c r="A11">
        <v>10</v>
      </c>
      <c r="B11" s="184" t="s">
        <v>201</v>
      </c>
      <c r="C11" s="114">
        <v>0</v>
      </c>
      <c r="D11" s="114">
        <v>1</v>
      </c>
      <c r="E11" s="113">
        <v>0</v>
      </c>
      <c r="F11" s="113">
        <v>0</v>
      </c>
      <c r="G11" s="114">
        <v>1</v>
      </c>
      <c r="H11"/>
    </row>
    <row r="12" spans="1:8" x14ac:dyDescent="0.15">
      <c r="A12">
        <v>11</v>
      </c>
      <c r="B12" s="184" t="s">
        <v>202</v>
      </c>
      <c r="C12" s="114">
        <v>0</v>
      </c>
      <c r="D12" s="114">
        <v>1</v>
      </c>
      <c r="E12" s="113">
        <v>0</v>
      </c>
      <c r="F12" s="113">
        <v>0</v>
      </c>
      <c r="G12" s="114">
        <v>1</v>
      </c>
      <c r="H12"/>
    </row>
    <row r="13" spans="1:8" x14ac:dyDescent="0.15">
      <c r="A13">
        <v>12</v>
      </c>
      <c r="B13" s="184" t="s">
        <v>203</v>
      </c>
      <c r="C13" s="114">
        <v>0</v>
      </c>
      <c r="D13" s="114">
        <v>1</v>
      </c>
      <c r="E13" s="113">
        <v>0</v>
      </c>
      <c r="F13" s="113">
        <v>0</v>
      </c>
      <c r="G13" s="114">
        <v>1</v>
      </c>
      <c r="H13"/>
    </row>
    <row r="14" spans="1:8" x14ac:dyDescent="0.15">
      <c r="A14">
        <v>13</v>
      </c>
      <c r="B14" s="184" t="s">
        <v>204</v>
      </c>
      <c r="C14" s="114">
        <v>0</v>
      </c>
      <c r="D14" s="114">
        <v>1</v>
      </c>
      <c r="E14" s="113">
        <v>0</v>
      </c>
      <c r="F14" s="113">
        <v>0</v>
      </c>
      <c r="G14" s="114">
        <v>1</v>
      </c>
      <c r="H14"/>
    </row>
    <row r="15" spans="1:8" x14ac:dyDescent="0.15">
      <c r="A15">
        <v>14</v>
      </c>
      <c r="B15" s="184" t="s">
        <v>205</v>
      </c>
      <c r="C15" s="114">
        <v>0</v>
      </c>
      <c r="D15" s="114">
        <v>1</v>
      </c>
      <c r="E15" s="113">
        <v>0</v>
      </c>
      <c r="F15" s="113">
        <v>0</v>
      </c>
      <c r="G15" s="114">
        <v>1</v>
      </c>
      <c r="H15"/>
    </row>
    <row r="16" spans="1:8" x14ac:dyDescent="0.15">
      <c r="A16">
        <v>15</v>
      </c>
      <c r="B16" s="184" t="s">
        <v>206</v>
      </c>
      <c r="C16" s="114">
        <v>0</v>
      </c>
      <c r="D16" s="114">
        <v>1</v>
      </c>
      <c r="E16" s="113">
        <v>0</v>
      </c>
      <c r="F16" s="113">
        <v>0</v>
      </c>
      <c r="G16" s="114">
        <v>1</v>
      </c>
      <c r="H16"/>
    </row>
    <row r="17" spans="1:8" ht="15" customHeight="1" x14ac:dyDescent="0.15">
      <c r="A17">
        <v>16</v>
      </c>
      <c r="B17" s="184" t="s">
        <v>207</v>
      </c>
      <c r="C17" s="114">
        <v>0</v>
      </c>
      <c r="D17" s="114">
        <v>1</v>
      </c>
      <c r="E17" s="113">
        <v>0</v>
      </c>
      <c r="F17" s="113">
        <v>0</v>
      </c>
      <c r="G17" s="114">
        <v>1</v>
      </c>
      <c r="H17"/>
    </row>
    <row r="18" spans="1:8" ht="15" customHeight="1" x14ac:dyDescent="0.15">
      <c r="A18">
        <v>17</v>
      </c>
      <c r="B18" s="184" t="s">
        <v>208</v>
      </c>
      <c r="C18" s="114">
        <v>0</v>
      </c>
      <c r="D18" s="114">
        <v>1</v>
      </c>
      <c r="E18" s="113">
        <v>0</v>
      </c>
      <c r="F18" s="113">
        <v>0</v>
      </c>
      <c r="G18" s="114">
        <v>1</v>
      </c>
      <c r="H18"/>
    </row>
    <row r="19" spans="1:8" ht="15" customHeight="1" x14ac:dyDescent="0.15">
      <c r="A19">
        <v>18</v>
      </c>
      <c r="B19" s="184" t="s">
        <v>209</v>
      </c>
      <c r="C19" s="114">
        <v>0</v>
      </c>
      <c r="D19" s="114">
        <v>1</v>
      </c>
      <c r="E19" s="113">
        <v>0</v>
      </c>
      <c r="F19" s="113">
        <v>0</v>
      </c>
      <c r="G19" s="114">
        <v>1</v>
      </c>
      <c r="H19"/>
    </row>
    <row r="20" spans="1:8" ht="15" customHeight="1" x14ac:dyDescent="0.15">
      <c r="A20">
        <v>19</v>
      </c>
      <c r="B20" s="184" t="s">
        <v>210</v>
      </c>
      <c r="C20" s="114">
        <v>0</v>
      </c>
      <c r="D20" s="114">
        <v>1</v>
      </c>
      <c r="E20" s="113">
        <v>0</v>
      </c>
      <c r="F20" s="113">
        <v>0</v>
      </c>
      <c r="G20" s="114">
        <v>1</v>
      </c>
      <c r="H20"/>
    </row>
    <row r="21" spans="1:8" ht="15" customHeight="1" x14ac:dyDescent="0.15">
      <c r="A21">
        <v>20</v>
      </c>
      <c r="B21" s="184" t="s">
        <v>211</v>
      </c>
      <c r="C21" s="114">
        <v>0</v>
      </c>
      <c r="D21" s="114">
        <v>1</v>
      </c>
      <c r="E21" s="113">
        <v>0</v>
      </c>
      <c r="F21" s="113">
        <v>0</v>
      </c>
      <c r="G21" s="114">
        <v>1</v>
      </c>
      <c r="H21"/>
    </row>
    <row r="22" spans="1:8" ht="15" customHeight="1" x14ac:dyDescent="0.15">
      <c r="A22">
        <v>21</v>
      </c>
      <c r="B22" s="184" t="s">
        <v>212</v>
      </c>
      <c r="C22" s="114">
        <v>0</v>
      </c>
      <c r="D22" s="114">
        <v>1</v>
      </c>
      <c r="E22" s="113">
        <v>0</v>
      </c>
      <c r="F22" s="113">
        <v>0</v>
      </c>
      <c r="G22" s="114">
        <v>1</v>
      </c>
      <c r="H22"/>
    </row>
    <row r="23" spans="1:8" ht="15" customHeight="1" x14ac:dyDescent="0.15">
      <c r="A23">
        <v>22</v>
      </c>
      <c r="B23" s="184" t="s">
        <v>213</v>
      </c>
      <c r="C23" s="114">
        <v>0</v>
      </c>
      <c r="D23" s="114">
        <v>1</v>
      </c>
      <c r="E23" s="113">
        <v>0</v>
      </c>
      <c r="F23" s="113">
        <v>0</v>
      </c>
      <c r="G23" s="114">
        <v>1</v>
      </c>
      <c r="H23"/>
    </row>
    <row r="24" spans="1:8" ht="15" customHeight="1" x14ac:dyDescent="0.15">
      <c r="A24">
        <v>23</v>
      </c>
      <c r="B24" s="184" t="s">
        <v>214</v>
      </c>
      <c r="C24" s="114">
        <v>0</v>
      </c>
      <c r="D24" s="114">
        <v>1</v>
      </c>
      <c r="E24" s="113">
        <v>0</v>
      </c>
      <c r="F24" s="113">
        <v>0</v>
      </c>
      <c r="G24" s="114">
        <v>1</v>
      </c>
      <c r="H24"/>
    </row>
    <row r="25" spans="1:8" ht="15" customHeight="1" x14ac:dyDescent="0.15">
      <c r="A25">
        <v>24</v>
      </c>
      <c r="B25" s="184" t="s">
        <v>215</v>
      </c>
      <c r="C25" s="114">
        <v>0</v>
      </c>
      <c r="D25" s="114">
        <v>1</v>
      </c>
      <c r="E25" s="113">
        <v>0</v>
      </c>
      <c r="F25" s="113">
        <v>0</v>
      </c>
      <c r="G25" s="114">
        <v>1</v>
      </c>
      <c r="H25"/>
    </row>
    <row r="26" spans="1:8" ht="15" customHeight="1" x14ac:dyDescent="0.15">
      <c r="A26">
        <v>25</v>
      </c>
      <c r="B26" s="184" t="s">
        <v>216</v>
      </c>
      <c r="C26" s="114">
        <v>0</v>
      </c>
      <c r="D26" s="114">
        <v>1</v>
      </c>
      <c r="E26" s="113">
        <v>0</v>
      </c>
      <c r="F26" s="113">
        <v>0</v>
      </c>
      <c r="G26" s="114">
        <v>1</v>
      </c>
      <c r="H26"/>
    </row>
    <row r="27" spans="1:8" ht="15" customHeight="1" x14ac:dyDescent="0.15">
      <c r="A27">
        <v>26</v>
      </c>
      <c r="B27" s="184" t="s">
        <v>217</v>
      </c>
      <c r="C27" s="114">
        <v>0</v>
      </c>
      <c r="D27" s="114">
        <v>1</v>
      </c>
      <c r="E27" s="113">
        <v>0</v>
      </c>
      <c r="F27" s="113">
        <v>0</v>
      </c>
      <c r="G27" s="114">
        <v>1</v>
      </c>
      <c r="H27"/>
    </row>
    <row r="28" spans="1:8" ht="15" customHeight="1" x14ac:dyDescent="0.15">
      <c r="A28">
        <v>27</v>
      </c>
      <c r="B28" s="184" t="s">
        <v>218</v>
      </c>
      <c r="C28" s="114">
        <v>0</v>
      </c>
      <c r="D28" s="114">
        <v>1</v>
      </c>
      <c r="E28" s="113">
        <v>0</v>
      </c>
      <c r="F28" s="113">
        <v>0</v>
      </c>
      <c r="G28" s="114">
        <v>1</v>
      </c>
      <c r="H28"/>
    </row>
    <row r="29" spans="1:8" ht="15" customHeight="1" x14ac:dyDescent="0.15">
      <c r="A29">
        <v>28</v>
      </c>
      <c r="B29" s="184" t="s">
        <v>219</v>
      </c>
      <c r="C29" s="114">
        <v>0</v>
      </c>
      <c r="D29" s="114">
        <v>1</v>
      </c>
      <c r="E29" s="113">
        <v>0</v>
      </c>
      <c r="F29" s="113">
        <v>0</v>
      </c>
      <c r="G29" s="114">
        <v>1</v>
      </c>
      <c r="H29"/>
    </row>
    <row r="30" spans="1:8" ht="15" customHeight="1" x14ac:dyDescent="0.15">
      <c r="A30">
        <v>29</v>
      </c>
      <c r="B30" s="184" t="s">
        <v>220</v>
      </c>
      <c r="C30" s="114">
        <v>0</v>
      </c>
      <c r="D30" s="114">
        <v>1</v>
      </c>
      <c r="E30" s="113">
        <v>0</v>
      </c>
      <c r="F30" s="113">
        <v>0</v>
      </c>
      <c r="G30" s="114">
        <v>1</v>
      </c>
      <c r="H30"/>
    </row>
    <row r="31" spans="1:8" ht="15" customHeight="1" x14ac:dyDescent="0.15">
      <c r="A31">
        <v>30</v>
      </c>
      <c r="B31" s="184" t="s">
        <v>221</v>
      </c>
      <c r="C31" s="114">
        <v>0</v>
      </c>
      <c r="D31" s="114">
        <v>1</v>
      </c>
      <c r="E31" s="113">
        <v>0</v>
      </c>
      <c r="F31" s="113">
        <v>0</v>
      </c>
      <c r="G31" s="114">
        <v>1</v>
      </c>
      <c r="H31"/>
    </row>
    <row r="32" spans="1:8" ht="15" customHeight="1" x14ac:dyDescent="0.15">
      <c r="A32">
        <v>31</v>
      </c>
      <c r="B32" s="184" t="s">
        <v>222</v>
      </c>
      <c r="C32" s="114">
        <v>0</v>
      </c>
      <c r="D32" s="114">
        <v>1</v>
      </c>
      <c r="E32" s="113">
        <v>0</v>
      </c>
      <c r="F32" s="113">
        <v>0</v>
      </c>
      <c r="G32" s="114">
        <v>1</v>
      </c>
    </row>
    <row r="33" spans="1:8" ht="15" customHeight="1" x14ac:dyDescent="0.15">
      <c r="A33">
        <v>32</v>
      </c>
      <c r="B33" s="184" t="s">
        <v>223</v>
      </c>
      <c r="C33" s="114">
        <v>0</v>
      </c>
      <c r="D33" s="114">
        <v>1</v>
      </c>
      <c r="E33" s="113">
        <v>0</v>
      </c>
      <c r="F33" s="113">
        <v>0</v>
      </c>
      <c r="G33" s="114">
        <v>1</v>
      </c>
    </row>
    <row r="34" spans="1:8" ht="15" customHeight="1" x14ac:dyDescent="0.15">
      <c r="A34">
        <v>33</v>
      </c>
      <c r="B34" s="184" t="s">
        <v>224</v>
      </c>
      <c r="C34" s="114">
        <v>0</v>
      </c>
      <c r="D34" s="114">
        <v>1</v>
      </c>
      <c r="E34" s="113">
        <v>0</v>
      </c>
      <c r="F34" s="113">
        <v>0</v>
      </c>
      <c r="G34" s="114">
        <v>1</v>
      </c>
    </row>
    <row r="35" spans="1:8" ht="15" customHeight="1" x14ac:dyDescent="0.15">
      <c r="A35">
        <v>34</v>
      </c>
      <c r="B35" s="184" t="s">
        <v>225</v>
      </c>
      <c r="C35" s="114">
        <v>0</v>
      </c>
      <c r="D35" s="114">
        <v>1</v>
      </c>
      <c r="E35" s="113">
        <v>0</v>
      </c>
      <c r="F35" s="113">
        <v>0</v>
      </c>
      <c r="G35" s="114">
        <v>1</v>
      </c>
    </row>
    <row r="36" spans="1:8" ht="15" customHeight="1" x14ac:dyDescent="0.15">
      <c r="A36">
        <v>35</v>
      </c>
      <c r="B36" s="184" t="s">
        <v>226</v>
      </c>
      <c r="C36" s="114">
        <v>0</v>
      </c>
      <c r="D36" s="114">
        <v>1</v>
      </c>
      <c r="E36" s="114">
        <v>0</v>
      </c>
      <c r="F36" s="114">
        <v>0</v>
      </c>
      <c r="G36" s="114">
        <v>1</v>
      </c>
      <c r="H36"/>
    </row>
    <row r="37" spans="1:8" ht="15" customHeight="1" x14ac:dyDescent="0.15">
      <c r="A37">
        <v>36</v>
      </c>
      <c r="B37" s="184" t="s">
        <v>227</v>
      </c>
      <c r="C37" s="114">
        <v>0</v>
      </c>
      <c r="D37" s="114">
        <v>1</v>
      </c>
      <c r="E37" s="114">
        <v>0</v>
      </c>
      <c r="F37" s="114">
        <v>0</v>
      </c>
      <c r="G37" s="114">
        <v>1</v>
      </c>
      <c r="H37"/>
    </row>
    <row r="38" spans="1:8" ht="15" customHeight="1" x14ac:dyDescent="0.15">
      <c r="A38">
        <v>37</v>
      </c>
      <c r="B38" s="184" t="s">
        <v>228</v>
      </c>
      <c r="C38" s="114">
        <v>0</v>
      </c>
      <c r="D38" s="114">
        <v>1</v>
      </c>
      <c r="E38" s="114">
        <v>0</v>
      </c>
      <c r="F38" s="114">
        <v>0</v>
      </c>
      <c r="G38" s="114">
        <v>1</v>
      </c>
      <c r="H38"/>
    </row>
    <row r="39" spans="1:8" ht="15" customHeight="1" x14ac:dyDescent="0.15">
      <c r="A39">
        <v>38</v>
      </c>
      <c r="B39" s="184" t="s">
        <v>229</v>
      </c>
      <c r="C39" s="114">
        <v>0</v>
      </c>
      <c r="D39" s="114">
        <v>1</v>
      </c>
      <c r="E39" s="114">
        <v>0</v>
      </c>
      <c r="F39" s="114">
        <v>0</v>
      </c>
      <c r="G39" s="114">
        <v>1</v>
      </c>
      <c r="H39"/>
    </row>
    <row r="40" spans="1:8" ht="15" customHeight="1" x14ac:dyDescent="0.15">
      <c r="A40">
        <v>39</v>
      </c>
      <c r="B40" s="184" t="s">
        <v>230</v>
      </c>
      <c r="C40" s="114">
        <v>0</v>
      </c>
      <c r="D40" s="114">
        <v>1</v>
      </c>
      <c r="E40" s="114">
        <v>0</v>
      </c>
      <c r="F40" s="114">
        <v>0</v>
      </c>
      <c r="G40" s="114">
        <v>1</v>
      </c>
      <c r="H40"/>
    </row>
    <row r="41" spans="1:8" ht="15" customHeight="1" x14ac:dyDescent="0.15">
      <c r="A41">
        <v>40</v>
      </c>
      <c r="B41" s="184" t="s">
        <v>231</v>
      </c>
      <c r="C41" s="114">
        <v>0</v>
      </c>
      <c r="D41" s="114">
        <v>1</v>
      </c>
      <c r="E41" s="114">
        <v>0</v>
      </c>
      <c r="F41" s="114">
        <v>0</v>
      </c>
      <c r="G41" s="114">
        <v>1</v>
      </c>
      <c r="H41"/>
    </row>
    <row r="42" spans="1:8" ht="15" customHeight="1" x14ac:dyDescent="0.15">
      <c r="A42">
        <v>41</v>
      </c>
      <c r="B42" s="184" t="s">
        <v>232</v>
      </c>
      <c r="C42" s="114">
        <v>0</v>
      </c>
      <c r="D42" s="114">
        <v>1</v>
      </c>
      <c r="E42" s="114">
        <v>0</v>
      </c>
      <c r="F42" s="114">
        <v>0</v>
      </c>
      <c r="G42" s="114">
        <v>1</v>
      </c>
      <c r="H42"/>
    </row>
    <row r="43" spans="1:8" ht="15" customHeight="1" x14ac:dyDescent="0.15">
      <c r="A43">
        <v>42</v>
      </c>
      <c r="B43" s="184" t="s">
        <v>233</v>
      </c>
      <c r="C43" s="114">
        <v>0</v>
      </c>
      <c r="D43" s="114">
        <v>1</v>
      </c>
      <c r="E43" s="114">
        <v>0</v>
      </c>
      <c r="F43" s="114">
        <v>0</v>
      </c>
      <c r="G43" s="114">
        <v>1</v>
      </c>
      <c r="H43"/>
    </row>
    <row r="44" spans="1:8" ht="15" customHeight="1" x14ac:dyDescent="0.15">
      <c r="A44">
        <v>43</v>
      </c>
      <c r="B44" s="184" t="s">
        <v>234</v>
      </c>
      <c r="C44" s="114">
        <v>0</v>
      </c>
      <c r="D44" s="114">
        <v>1</v>
      </c>
      <c r="E44" s="113">
        <v>0</v>
      </c>
      <c r="F44" s="113">
        <v>0</v>
      </c>
      <c r="G44" s="114">
        <v>1</v>
      </c>
      <c r="H44"/>
    </row>
    <row r="45" spans="1:8" ht="15" customHeight="1" x14ac:dyDescent="0.15">
      <c r="A45">
        <v>44</v>
      </c>
      <c r="B45" s="184" t="s">
        <v>235</v>
      </c>
      <c r="C45" s="114">
        <v>0</v>
      </c>
      <c r="D45" s="114">
        <v>1</v>
      </c>
      <c r="E45" s="113">
        <v>0</v>
      </c>
      <c r="F45" s="113">
        <v>0</v>
      </c>
      <c r="G45" s="114">
        <v>1</v>
      </c>
      <c r="H45"/>
    </row>
    <row r="46" spans="1:8" ht="15" customHeight="1" x14ac:dyDescent="0.15">
      <c r="A46">
        <v>45</v>
      </c>
      <c r="B46" s="184" t="s">
        <v>236</v>
      </c>
      <c r="C46" s="114">
        <v>0</v>
      </c>
      <c r="D46" s="114">
        <v>1</v>
      </c>
      <c r="E46" s="114">
        <v>0</v>
      </c>
      <c r="F46" s="114">
        <v>0</v>
      </c>
      <c r="G46" s="114">
        <v>1</v>
      </c>
      <c r="H46"/>
    </row>
    <row r="47" spans="1:8" ht="15" customHeight="1" x14ac:dyDescent="0.15">
      <c r="A47">
        <v>46</v>
      </c>
      <c r="B47" s="184" t="s">
        <v>237</v>
      </c>
      <c r="C47" s="114">
        <v>0</v>
      </c>
      <c r="D47" s="114">
        <v>1</v>
      </c>
      <c r="E47" s="113">
        <v>0</v>
      </c>
      <c r="F47" s="113">
        <v>0</v>
      </c>
      <c r="G47" s="114">
        <v>1</v>
      </c>
      <c r="H47"/>
    </row>
    <row r="48" spans="1:8" ht="15" customHeight="1" x14ac:dyDescent="0.15">
      <c r="A48">
        <v>47</v>
      </c>
      <c r="B48" s="184" t="s">
        <v>238</v>
      </c>
      <c r="C48" s="114">
        <v>0</v>
      </c>
      <c r="D48" s="114">
        <v>1</v>
      </c>
      <c r="E48" s="113">
        <v>0</v>
      </c>
      <c r="F48" s="113">
        <v>0</v>
      </c>
      <c r="G48" s="114">
        <v>1</v>
      </c>
      <c r="H48"/>
    </row>
    <row r="49" spans="1:8" ht="15" customHeight="1" x14ac:dyDescent="0.15">
      <c r="A49">
        <v>48</v>
      </c>
      <c r="B49" s="184" t="s">
        <v>239</v>
      </c>
      <c r="C49" s="114">
        <v>0</v>
      </c>
      <c r="D49" s="114">
        <v>1</v>
      </c>
      <c r="E49" s="113">
        <v>0</v>
      </c>
      <c r="F49" s="113">
        <v>0</v>
      </c>
      <c r="G49" s="114">
        <v>1</v>
      </c>
      <c r="H49"/>
    </row>
    <row r="50" spans="1:8" ht="15" customHeight="1" x14ac:dyDescent="0.15">
      <c r="A50">
        <v>49</v>
      </c>
      <c r="B50" s="184" t="s">
        <v>240</v>
      </c>
      <c r="C50" s="114">
        <v>0</v>
      </c>
      <c r="D50" s="114">
        <v>1</v>
      </c>
      <c r="E50" s="113">
        <v>0</v>
      </c>
      <c r="F50" s="113">
        <v>0</v>
      </c>
      <c r="G50" s="114">
        <v>1</v>
      </c>
      <c r="H50"/>
    </row>
    <row r="51" spans="1:8" ht="15" customHeight="1" x14ac:dyDescent="0.15">
      <c r="A51">
        <v>50</v>
      </c>
      <c r="B51" s="184" t="s">
        <v>241</v>
      </c>
      <c r="C51" s="114">
        <v>0</v>
      </c>
      <c r="D51" s="114">
        <v>1</v>
      </c>
      <c r="E51" s="113">
        <v>0</v>
      </c>
      <c r="F51" s="113">
        <v>0</v>
      </c>
      <c r="G51" s="114">
        <v>1</v>
      </c>
      <c r="H51"/>
    </row>
    <row r="52" spans="1:8" ht="15" customHeight="1" x14ac:dyDescent="0.15">
      <c r="A52">
        <v>51</v>
      </c>
      <c r="B52" s="184" t="s">
        <v>242</v>
      </c>
      <c r="C52" s="114">
        <v>0</v>
      </c>
      <c r="D52" s="114">
        <v>1</v>
      </c>
      <c r="E52" s="113">
        <v>0</v>
      </c>
      <c r="F52" s="113">
        <v>0</v>
      </c>
      <c r="G52" s="114">
        <v>1</v>
      </c>
      <c r="H52"/>
    </row>
    <row r="53" spans="1:8" ht="15" customHeight="1" x14ac:dyDescent="0.15">
      <c r="A53">
        <v>52</v>
      </c>
      <c r="B53" s="184" t="s">
        <v>243</v>
      </c>
      <c r="C53" s="114">
        <v>0</v>
      </c>
      <c r="D53" s="114">
        <v>1</v>
      </c>
      <c r="E53" s="113">
        <v>0</v>
      </c>
      <c r="F53" s="113">
        <v>0</v>
      </c>
      <c r="G53" s="114">
        <v>1</v>
      </c>
      <c r="H53"/>
    </row>
    <row r="54" spans="1:8" ht="15" customHeight="1" x14ac:dyDescent="0.15">
      <c r="A54">
        <v>53</v>
      </c>
      <c r="B54" s="184" t="s">
        <v>244</v>
      </c>
      <c r="C54" s="114">
        <v>0</v>
      </c>
      <c r="D54" s="114">
        <v>0</v>
      </c>
      <c r="E54" s="113">
        <v>1</v>
      </c>
      <c r="F54" s="113">
        <v>0</v>
      </c>
      <c r="G54" s="114">
        <v>1</v>
      </c>
      <c r="H54"/>
    </row>
    <row r="55" spans="1:8" ht="15" customHeight="1" x14ac:dyDescent="0.15">
      <c r="A55">
        <v>54</v>
      </c>
      <c r="B55" s="184" t="s">
        <v>245</v>
      </c>
      <c r="C55" s="114">
        <v>0</v>
      </c>
      <c r="D55" s="114">
        <v>0</v>
      </c>
      <c r="E55" s="113">
        <v>0</v>
      </c>
      <c r="F55" s="113">
        <v>1</v>
      </c>
      <c r="G55" s="114">
        <v>1</v>
      </c>
      <c r="H55"/>
    </row>
    <row r="56" spans="1:8" ht="15" customHeight="1" x14ac:dyDescent="0.15">
      <c r="A56">
        <v>55</v>
      </c>
      <c r="B56" s="184" t="s">
        <v>246</v>
      </c>
      <c r="C56" s="114">
        <v>1</v>
      </c>
      <c r="D56" s="114">
        <v>0</v>
      </c>
      <c r="E56" s="113">
        <v>0</v>
      </c>
      <c r="F56" s="113">
        <v>0</v>
      </c>
      <c r="G56" s="114">
        <v>1</v>
      </c>
      <c r="H56"/>
    </row>
    <row r="57" spans="1:8" ht="15" customHeight="1" x14ac:dyDescent="0.15">
      <c r="A57">
        <v>56</v>
      </c>
      <c r="B57" s="184" t="s">
        <v>247</v>
      </c>
      <c r="C57" s="114">
        <v>1</v>
      </c>
      <c r="D57" s="114">
        <v>0</v>
      </c>
      <c r="E57" s="113">
        <v>0</v>
      </c>
      <c r="F57" s="113">
        <v>0</v>
      </c>
      <c r="G57" s="114">
        <v>1</v>
      </c>
      <c r="H57"/>
    </row>
    <row r="58" spans="1:8" ht="15" customHeight="1" x14ac:dyDescent="0.15">
      <c r="A58">
        <v>57</v>
      </c>
      <c r="B58" s="184" t="s">
        <v>248</v>
      </c>
      <c r="C58" s="114">
        <v>1</v>
      </c>
      <c r="D58" s="114">
        <v>0</v>
      </c>
      <c r="E58" s="113">
        <v>0</v>
      </c>
      <c r="F58" s="113">
        <v>0</v>
      </c>
      <c r="G58" s="114">
        <v>1</v>
      </c>
      <c r="H58"/>
    </row>
    <row r="59" spans="1:8" ht="15" customHeight="1" x14ac:dyDescent="0.15">
      <c r="A59">
        <v>58</v>
      </c>
      <c r="B59" s="184" t="s">
        <v>249</v>
      </c>
      <c r="C59" s="114">
        <v>1</v>
      </c>
      <c r="D59" s="114">
        <v>0</v>
      </c>
      <c r="E59" s="113">
        <v>0</v>
      </c>
      <c r="F59" s="113">
        <v>0</v>
      </c>
      <c r="G59" s="114">
        <v>1</v>
      </c>
      <c r="H59"/>
    </row>
    <row r="60" spans="1:8" ht="15" customHeight="1" x14ac:dyDescent="0.15">
      <c r="A60">
        <v>59</v>
      </c>
      <c r="B60" s="184" t="s">
        <v>250</v>
      </c>
      <c r="C60" s="114">
        <v>1</v>
      </c>
      <c r="D60" s="114">
        <v>0</v>
      </c>
      <c r="E60" s="113">
        <v>0</v>
      </c>
      <c r="F60" s="113">
        <v>0</v>
      </c>
      <c r="G60" s="114">
        <v>1</v>
      </c>
      <c r="H60"/>
    </row>
    <row r="61" spans="1:8" ht="15" customHeight="1" x14ac:dyDescent="0.15">
      <c r="A61">
        <v>60</v>
      </c>
      <c r="B61" s="184" t="s">
        <v>251</v>
      </c>
      <c r="C61" s="114">
        <v>1</v>
      </c>
      <c r="D61" s="114">
        <v>0</v>
      </c>
      <c r="E61" s="113">
        <v>0</v>
      </c>
      <c r="F61" s="113">
        <v>0</v>
      </c>
      <c r="G61" s="114">
        <v>1</v>
      </c>
      <c r="H61"/>
    </row>
    <row r="62" spans="1:8" ht="15" customHeight="1" x14ac:dyDescent="0.15">
      <c r="A62">
        <v>61</v>
      </c>
      <c r="B62" s="184" t="s">
        <v>252</v>
      </c>
      <c r="C62" s="114">
        <v>1</v>
      </c>
      <c r="D62" s="114">
        <v>0</v>
      </c>
      <c r="E62" s="113">
        <v>0</v>
      </c>
      <c r="F62" s="113">
        <v>0</v>
      </c>
      <c r="G62" s="114">
        <v>1</v>
      </c>
      <c r="H62"/>
    </row>
    <row r="63" spans="1:8" ht="15" customHeight="1" x14ac:dyDescent="0.15">
      <c r="A63">
        <v>62</v>
      </c>
      <c r="B63" s="184" t="s">
        <v>253</v>
      </c>
      <c r="C63" s="114">
        <v>1</v>
      </c>
      <c r="D63" s="114">
        <v>0</v>
      </c>
      <c r="E63" s="113">
        <v>0</v>
      </c>
      <c r="F63" s="113">
        <v>0</v>
      </c>
      <c r="G63" s="114">
        <v>1</v>
      </c>
      <c r="H63"/>
    </row>
    <row r="64" spans="1:8" ht="15" customHeight="1" x14ac:dyDescent="0.15">
      <c r="A64">
        <v>63</v>
      </c>
      <c r="B64" s="184" t="s">
        <v>254</v>
      </c>
      <c r="C64" s="114">
        <v>1</v>
      </c>
      <c r="D64" s="114">
        <v>0</v>
      </c>
      <c r="E64" s="113">
        <v>0</v>
      </c>
      <c r="F64" s="113">
        <v>0</v>
      </c>
      <c r="G64" s="114">
        <v>1</v>
      </c>
      <c r="H64"/>
    </row>
    <row r="65" spans="1:8" ht="15" customHeight="1" x14ac:dyDescent="0.15">
      <c r="A65">
        <v>64</v>
      </c>
      <c r="B65" s="184" t="s">
        <v>255</v>
      </c>
      <c r="C65" s="114">
        <v>1</v>
      </c>
      <c r="D65" s="114">
        <v>0</v>
      </c>
      <c r="E65" s="113">
        <v>0</v>
      </c>
      <c r="F65" s="113">
        <v>0</v>
      </c>
      <c r="G65" s="114">
        <v>1</v>
      </c>
      <c r="H65"/>
    </row>
    <row r="66" spans="1:8" ht="15" customHeight="1" x14ac:dyDescent="0.15">
      <c r="A66">
        <v>65</v>
      </c>
      <c r="B66" s="184" t="s">
        <v>256</v>
      </c>
      <c r="C66" s="114">
        <v>1</v>
      </c>
      <c r="D66" s="114">
        <v>0</v>
      </c>
      <c r="E66" s="113">
        <v>0</v>
      </c>
      <c r="F66" s="113">
        <v>0</v>
      </c>
      <c r="G66" s="114">
        <v>1</v>
      </c>
      <c r="H66"/>
    </row>
    <row r="67" spans="1:8" ht="15" customHeight="1" x14ac:dyDescent="0.15">
      <c r="A67">
        <v>66</v>
      </c>
      <c r="B67" s="184" t="s">
        <v>257</v>
      </c>
      <c r="C67" s="114">
        <v>1</v>
      </c>
      <c r="D67" s="114">
        <v>0</v>
      </c>
      <c r="E67" s="113">
        <v>0</v>
      </c>
      <c r="F67" s="113">
        <v>0</v>
      </c>
      <c r="G67" s="114">
        <v>1</v>
      </c>
      <c r="H67"/>
    </row>
    <row r="68" spans="1:8" ht="15" customHeight="1" x14ac:dyDescent="0.15">
      <c r="A68">
        <v>67</v>
      </c>
      <c r="B68" s="184" t="s">
        <v>258</v>
      </c>
      <c r="C68" s="114">
        <v>1</v>
      </c>
      <c r="D68" s="114">
        <v>0</v>
      </c>
      <c r="E68" s="113">
        <v>0</v>
      </c>
      <c r="F68" s="113">
        <v>0</v>
      </c>
      <c r="G68" s="114">
        <v>1</v>
      </c>
      <c r="H68"/>
    </row>
    <row r="69" spans="1:8" ht="15" customHeight="1" x14ac:dyDescent="0.15">
      <c r="A69">
        <v>68</v>
      </c>
      <c r="B69" s="184" t="s">
        <v>259</v>
      </c>
      <c r="C69" s="114">
        <v>1</v>
      </c>
      <c r="D69" s="114">
        <v>0</v>
      </c>
      <c r="E69" s="113">
        <v>0</v>
      </c>
      <c r="F69" s="113">
        <v>0</v>
      </c>
      <c r="G69" s="114">
        <v>1</v>
      </c>
      <c r="H69"/>
    </row>
    <row r="70" spans="1:8" ht="15" customHeight="1" x14ac:dyDescent="0.15">
      <c r="A70">
        <v>69</v>
      </c>
      <c r="B70" s="184" t="s">
        <v>207</v>
      </c>
      <c r="C70" s="114">
        <v>1</v>
      </c>
      <c r="D70" s="114">
        <v>0</v>
      </c>
      <c r="E70" s="113">
        <v>0</v>
      </c>
      <c r="F70" s="113">
        <v>0</v>
      </c>
      <c r="G70" s="114">
        <v>1</v>
      </c>
      <c r="H70"/>
    </row>
    <row r="71" spans="1:8" ht="15" customHeight="1" x14ac:dyDescent="0.15">
      <c r="A71">
        <v>70</v>
      </c>
      <c r="B71" s="184" t="s">
        <v>260</v>
      </c>
      <c r="C71" s="114">
        <v>1</v>
      </c>
      <c r="D71" s="114">
        <v>0</v>
      </c>
      <c r="E71" s="113">
        <v>0</v>
      </c>
      <c r="F71" s="113">
        <v>0</v>
      </c>
      <c r="G71" s="114">
        <v>1</v>
      </c>
      <c r="H71"/>
    </row>
    <row r="72" spans="1:8" ht="15" customHeight="1" x14ac:dyDescent="0.15">
      <c r="A72">
        <v>71</v>
      </c>
      <c r="B72" s="184" t="s">
        <v>261</v>
      </c>
      <c r="C72" s="114">
        <v>1</v>
      </c>
      <c r="D72" s="114">
        <v>0</v>
      </c>
      <c r="E72" s="113">
        <v>0</v>
      </c>
      <c r="F72" s="113">
        <v>0</v>
      </c>
      <c r="G72" s="114">
        <v>1</v>
      </c>
      <c r="H72"/>
    </row>
    <row r="73" spans="1:8" ht="15" customHeight="1" x14ac:dyDescent="0.15">
      <c r="C73"/>
      <c r="D73"/>
      <c r="E73"/>
      <c r="F73"/>
      <c r="G73"/>
      <c r="H73"/>
    </row>
    <row r="74" spans="1:8" ht="15" customHeight="1" x14ac:dyDescent="0.15">
      <c r="C74"/>
      <c r="D74"/>
      <c r="E74"/>
      <c r="F74"/>
      <c r="G74"/>
      <c r="H74"/>
    </row>
    <row r="75" spans="1:8" ht="15" customHeight="1" x14ac:dyDescent="0.15">
      <c r="C75"/>
      <c r="D75"/>
      <c r="E75"/>
      <c r="F75"/>
      <c r="G75"/>
      <c r="H75"/>
    </row>
    <row r="76" spans="1:8" ht="15" customHeight="1" x14ac:dyDescent="0.15">
      <c r="C76"/>
      <c r="D76"/>
      <c r="E76"/>
      <c r="F76"/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T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bestFit="1" customWidth="1"/>
    <col min="3" max="5" width="6.83203125" bestFit="1" customWidth="1"/>
    <col min="6" max="6" width="5.83203125" customWidth="1"/>
    <col min="7" max="7" width="8.83203125" customWidth="1"/>
    <col min="8" max="16" width="6.83203125" customWidth="1"/>
    <col min="17" max="17" width="5.83203125" customWidth="1"/>
    <col min="18" max="18" width="4.83203125" customWidth="1"/>
    <col min="19" max="19" width="6.83203125" customWidth="1"/>
    <col min="20" max="20" width="8.83203125" customWidth="1"/>
  </cols>
  <sheetData>
    <row r="1" spans="1:20" s="115" customFormat="1" ht="112" x14ac:dyDescent="0.15">
      <c r="A1" s="5" t="s">
        <v>21</v>
      </c>
      <c r="B1" s="3" t="s">
        <v>0</v>
      </c>
      <c r="C1" s="187" t="s">
        <v>246</v>
      </c>
      <c r="D1" s="187" t="s">
        <v>247</v>
      </c>
      <c r="E1" s="187" t="s">
        <v>248</v>
      </c>
      <c r="F1" s="187" t="s">
        <v>249</v>
      </c>
      <c r="G1" s="187" t="s">
        <v>250</v>
      </c>
      <c r="H1" s="187" t="s">
        <v>251</v>
      </c>
      <c r="I1" s="187" t="s">
        <v>252</v>
      </c>
      <c r="J1" s="187" t="s">
        <v>253</v>
      </c>
      <c r="K1" s="187" t="s">
        <v>254</v>
      </c>
      <c r="L1" s="187" t="s">
        <v>255</v>
      </c>
      <c r="M1" s="187" t="s">
        <v>256</v>
      </c>
      <c r="N1" s="187" t="s">
        <v>257</v>
      </c>
      <c r="O1" s="187" t="s">
        <v>258</v>
      </c>
      <c r="P1" s="187" t="s">
        <v>259</v>
      </c>
      <c r="Q1" s="187" t="s">
        <v>207</v>
      </c>
      <c r="R1" s="187" t="s">
        <v>260</v>
      </c>
      <c r="S1" s="187" t="s">
        <v>261</v>
      </c>
      <c r="T1" s="187" t="s">
        <v>265</v>
      </c>
    </row>
    <row r="2" spans="1:20" ht="15" customHeight="1" x14ac:dyDescent="0.15">
      <c r="A2">
        <v>1</v>
      </c>
      <c r="B2" s="18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ht="15" customHeight="1" x14ac:dyDescent="0.15">
      <c r="A3">
        <v>2</v>
      </c>
      <c r="B3" s="18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ht="15" customHeight="1" x14ac:dyDescent="0.15">
      <c r="A4">
        <v>3</v>
      </c>
      <c r="B4" s="18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ht="15" customHeight="1" x14ac:dyDescent="0.15">
      <c r="A5">
        <v>4</v>
      </c>
      <c r="B5" s="18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ht="15" customHeight="1" x14ac:dyDescent="0.15">
      <c r="A6">
        <v>5</v>
      </c>
      <c r="B6" s="18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ht="15" customHeight="1" x14ac:dyDescent="0.15">
      <c r="A7">
        <v>6</v>
      </c>
      <c r="B7" s="186" t="s">
        <v>197</v>
      </c>
      <c r="C7">
        <v>0</v>
      </c>
      <c r="D7">
        <v>0</v>
      </c>
      <c r="E7">
        <v>0</v>
      </c>
      <c r="F7">
        <v>0</v>
      </c>
      <c r="G7">
        <v>0.15</v>
      </c>
      <c r="H7">
        <v>0</v>
      </c>
      <c r="I7">
        <v>0</v>
      </c>
      <c r="J7">
        <v>0</v>
      </c>
      <c r="K7">
        <v>0</v>
      </c>
      <c r="L7">
        <v>2.5000000000000001E-3</v>
      </c>
      <c r="M7">
        <v>6.6699999999999995E-2</v>
      </c>
      <c r="N7">
        <v>9.7000000000000003E-3</v>
      </c>
      <c r="O7">
        <v>0</v>
      </c>
      <c r="P7">
        <v>0</v>
      </c>
      <c r="Q7">
        <v>0</v>
      </c>
      <c r="R7">
        <v>0</v>
      </c>
      <c r="S7">
        <v>6.9999999999999999E-4</v>
      </c>
      <c r="T7">
        <v>0.2296</v>
      </c>
    </row>
    <row r="8" spans="1:20" ht="15" customHeight="1" x14ac:dyDescent="0.15">
      <c r="A8">
        <v>7</v>
      </c>
      <c r="B8" s="186" t="s">
        <v>198</v>
      </c>
      <c r="C8">
        <v>0</v>
      </c>
      <c r="D8">
        <v>0</v>
      </c>
      <c r="E8">
        <v>0</v>
      </c>
      <c r="F8">
        <v>0</v>
      </c>
      <c r="G8">
        <v>4.4999999999999998E-2</v>
      </c>
      <c r="H8">
        <v>0</v>
      </c>
      <c r="I8">
        <v>0</v>
      </c>
      <c r="J8">
        <v>0</v>
      </c>
      <c r="K8">
        <v>0</v>
      </c>
      <c r="L8">
        <v>6.9999999999999999E-4</v>
      </c>
      <c r="M8">
        <v>2.0000000000000001E-4</v>
      </c>
      <c r="N8">
        <v>1.4E-3</v>
      </c>
      <c r="O8">
        <v>0</v>
      </c>
      <c r="P8">
        <v>0</v>
      </c>
      <c r="Q8">
        <v>0</v>
      </c>
      <c r="R8">
        <v>0</v>
      </c>
      <c r="S8">
        <v>2.3E-3</v>
      </c>
      <c r="T8">
        <v>4.9599999999999991E-2</v>
      </c>
    </row>
    <row r="9" spans="1:20" ht="15" customHeight="1" x14ac:dyDescent="0.15">
      <c r="A9">
        <v>8</v>
      </c>
      <c r="B9" s="186" t="s">
        <v>199</v>
      </c>
      <c r="C9">
        <v>0</v>
      </c>
      <c r="D9">
        <v>0</v>
      </c>
      <c r="E9">
        <v>0</v>
      </c>
      <c r="F9">
        <v>0</v>
      </c>
      <c r="G9">
        <v>3.5851000000000001E-2</v>
      </c>
      <c r="H9">
        <v>0</v>
      </c>
      <c r="I9">
        <v>0</v>
      </c>
      <c r="J9">
        <v>0</v>
      </c>
      <c r="K9">
        <v>0</v>
      </c>
      <c r="L9">
        <v>2.9999999999999997E-4</v>
      </c>
      <c r="M9">
        <v>0</v>
      </c>
      <c r="N9">
        <v>5.0000000000000001E-4</v>
      </c>
      <c r="O9">
        <v>0</v>
      </c>
      <c r="P9">
        <v>0</v>
      </c>
      <c r="Q9">
        <v>0</v>
      </c>
      <c r="R9">
        <v>0</v>
      </c>
      <c r="S9">
        <v>9.2999999999999992E-3</v>
      </c>
      <c r="T9">
        <v>4.5951000000000006E-2</v>
      </c>
    </row>
    <row r="10" spans="1:20" ht="15" customHeight="1" x14ac:dyDescent="0.15">
      <c r="A10">
        <v>9</v>
      </c>
      <c r="B10" s="186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ht="15" customHeight="1" x14ac:dyDescent="0.15">
      <c r="A11">
        <v>10</v>
      </c>
      <c r="B11" s="186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ht="15" customHeight="1" x14ac:dyDescent="0.15">
      <c r="A12">
        <v>11</v>
      </c>
      <c r="B12" s="186" t="s">
        <v>202</v>
      </c>
      <c r="C12">
        <v>1E-4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1E-4</v>
      </c>
    </row>
    <row r="13" spans="1:20" ht="15" customHeight="1" x14ac:dyDescent="0.15">
      <c r="A13">
        <v>12</v>
      </c>
      <c r="B13" s="186" t="s">
        <v>203</v>
      </c>
      <c r="C13">
        <v>6.9999999999999999E-4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0.03</v>
      </c>
      <c r="S13">
        <v>0</v>
      </c>
      <c r="T13">
        <v>3.0699999999999998E-2</v>
      </c>
    </row>
    <row r="14" spans="1:20" ht="15" customHeight="1" x14ac:dyDescent="0.15">
      <c r="A14">
        <v>13</v>
      </c>
      <c r="B14" s="186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ht="15" customHeight="1" x14ac:dyDescent="0.15">
      <c r="A15">
        <v>14</v>
      </c>
      <c r="B15" s="186" t="s">
        <v>205</v>
      </c>
      <c r="C15">
        <v>6.7000000000000002E-3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6.7000000000000002E-3</v>
      </c>
    </row>
    <row r="16" spans="1:20" ht="15" customHeight="1" x14ac:dyDescent="0.15">
      <c r="A16">
        <v>15</v>
      </c>
      <c r="B16" s="186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ht="15" customHeight="1" x14ac:dyDescent="0.15">
      <c r="A17">
        <v>16</v>
      </c>
      <c r="B17" s="18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3.0000000000000001E-3</v>
      </c>
      <c r="R17">
        <v>0</v>
      </c>
      <c r="S17">
        <v>0</v>
      </c>
      <c r="T17">
        <v>3.0000000000000001E-3</v>
      </c>
    </row>
    <row r="18" spans="1:20" ht="15" customHeight="1" x14ac:dyDescent="0.15">
      <c r="A18">
        <v>17</v>
      </c>
      <c r="B18" s="18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ht="15" customHeight="1" x14ac:dyDescent="0.15">
      <c r="A19">
        <v>18</v>
      </c>
      <c r="B19" s="186" t="s">
        <v>209</v>
      </c>
      <c r="C19">
        <v>0</v>
      </c>
      <c r="D19">
        <v>0</v>
      </c>
      <c r="E19">
        <v>0.1545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8.6900000000000005E-2</v>
      </c>
      <c r="P19">
        <v>0</v>
      </c>
      <c r="Q19">
        <v>0</v>
      </c>
      <c r="R19">
        <v>0</v>
      </c>
      <c r="S19">
        <v>0</v>
      </c>
      <c r="T19">
        <v>0.2414</v>
      </c>
    </row>
    <row r="20" spans="1:20" ht="15" customHeight="1" x14ac:dyDescent="0.15">
      <c r="A20">
        <v>19</v>
      </c>
      <c r="B20" s="18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ht="15" customHeight="1" x14ac:dyDescent="0.15">
      <c r="A21">
        <v>20</v>
      </c>
      <c r="B21" s="186" t="s">
        <v>211</v>
      </c>
      <c r="C21">
        <v>5.9900000000000002E-2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5.9900000000000002E-2</v>
      </c>
    </row>
    <row r="22" spans="1:20" ht="15" customHeight="1" x14ac:dyDescent="0.15">
      <c r="A22">
        <v>21</v>
      </c>
      <c r="B22" s="186" t="s">
        <v>212</v>
      </c>
      <c r="C22">
        <v>2.9999999999999997E-4</v>
      </c>
      <c r="D22">
        <v>0</v>
      </c>
      <c r="E22">
        <v>0</v>
      </c>
      <c r="F22">
        <v>3.0000000000000001E-3</v>
      </c>
      <c r="G22">
        <v>0</v>
      </c>
      <c r="H22">
        <v>0</v>
      </c>
      <c r="I22">
        <v>0</v>
      </c>
      <c r="J22">
        <v>0</v>
      </c>
      <c r="K22">
        <v>4.0000000000000001E-3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3.0000000000000001E-3</v>
      </c>
      <c r="T22">
        <v>1.03E-2</v>
      </c>
    </row>
    <row r="23" spans="1:20" ht="15" customHeight="1" x14ac:dyDescent="0.15">
      <c r="A23">
        <v>22</v>
      </c>
      <c r="B23" s="18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ht="15" customHeight="1" x14ac:dyDescent="0.15">
      <c r="A24">
        <v>23</v>
      </c>
      <c r="B24" s="186" t="s">
        <v>214</v>
      </c>
      <c r="C24">
        <v>8.0000000000000002E-3</v>
      </c>
      <c r="D24">
        <v>0</v>
      </c>
      <c r="E24">
        <v>0</v>
      </c>
      <c r="F24">
        <v>2E-3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2E-3</v>
      </c>
      <c r="T24">
        <v>1.2E-2</v>
      </c>
    </row>
    <row r="25" spans="1:20" ht="15" customHeight="1" x14ac:dyDescent="0.15">
      <c r="A25">
        <v>24</v>
      </c>
      <c r="B25" s="186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ht="15" customHeight="1" x14ac:dyDescent="0.15">
      <c r="A26">
        <v>25</v>
      </c>
      <c r="B26" s="186" t="s">
        <v>216</v>
      </c>
      <c r="C26">
        <v>0.05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0.05</v>
      </c>
    </row>
    <row r="27" spans="1:20" ht="15" customHeight="1" x14ac:dyDescent="0.15">
      <c r="A27">
        <v>26</v>
      </c>
      <c r="B27" s="18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ht="15" customHeight="1" x14ac:dyDescent="0.15">
      <c r="A28">
        <v>27</v>
      </c>
      <c r="B28" s="186" t="s">
        <v>218</v>
      </c>
      <c r="C28">
        <v>6.7000000000000004E-2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6.7000000000000004E-2</v>
      </c>
    </row>
    <row r="29" spans="1:20" ht="15" customHeight="1" x14ac:dyDescent="0.15">
      <c r="A29">
        <v>28</v>
      </c>
      <c r="B29" s="18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ht="15" customHeight="1" x14ac:dyDescent="0.15">
      <c r="A30">
        <v>29</v>
      </c>
      <c r="B30" s="186" t="s">
        <v>220</v>
      </c>
      <c r="C30">
        <v>5.8000000000000003E-2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5.8000000000000003E-2</v>
      </c>
    </row>
    <row r="31" spans="1:20" ht="15" customHeight="1" x14ac:dyDescent="0.15">
      <c r="A31">
        <v>30</v>
      </c>
      <c r="B31" s="186" t="s">
        <v>221</v>
      </c>
      <c r="C31">
        <v>1E-4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2.7799999999999998E-2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1.4E-3</v>
      </c>
      <c r="T31">
        <v>2.9299999999999996E-2</v>
      </c>
    </row>
    <row r="32" spans="1:20" ht="15" customHeight="1" x14ac:dyDescent="0.15">
      <c r="A32">
        <v>31</v>
      </c>
      <c r="B32" s="186" t="s">
        <v>222</v>
      </c>
      <c r="C32">
        <v>1E-4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3.0700000000000002E-2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1.55E-2</v>
      </c>
      <c r="T32">
        <v>4.6300000000000001E-2</v>
      </c>
    </row>
    <row r="33" spans="1:20" ht="15" customHeight="1" x14ac:dyDescent="0.15">
      <c r="A33">
        <v>32</v>
      </c>
      <c r="B33" s="18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ht="15" customHeight="1" x14ac:dyDescent="0.15">
      <c r="A34">
        <v>33</v>
      </c>
      <c r="B34" s="186" t="s">
        <v>224</v>
      </c>
      <c r="C34">
        <v>5.0999999999999997E-2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2.8E-3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5.3799999999999994E-2</v>
      </c>
    </row>
    <row r="35" spans="1:20" ht="15" customHeight="1" x14ac:dyDescent="0.15">
      <c r="A35">
        <v>34</v>
      </c>
      <c r="B35" s="186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ht="15" customHeight="1" x14ac:dyDescent="0.15">
      <c r="A36">
        <v>35</v>
      </c>
      <c r="B36" s="186" t="s">
        <v>226</v>
      </c>
      <c r="C36">
        <v>4.0000000000000002E-4</v>
      </c>
      <c r="D36">
        <v>3.8300000000000001E-2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2.0999999999999999E-3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4.0799999999999996E-2</v>
      </c>
    </row>
    <row r="37" spans="1:20" ht="15" customHeight="1" x14ac:dyDescent="0.15">
      <c r="A37">
        <v>36</v>
      </c>
      <c r="B37" s="18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1.8E-3</v>
      </c>
      <c r="T37">
        <v>1.8E-3</v>
      </c>
    </row>
    <row r="38" spans="1:20" ht="15" customHeight="1" x14ac:dyDescent="0.15">
      <c r="A38">
        <v>37</v>
      </c>
      <c r="B38" s="186" t="s">
        <v>228</v>
      </c>
      <c r="C38">
        <v>1.9E-2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1E-3</v>
      </c>
      <c r="T38">
        <v>0.02</v>
      </c>
    </row>
    <row r="39" spans="1:20" ht="15" customHeight="1" x14ac:dyDescent="0.15">
      <c r="A39">
        <v>38</v>
      </c>
      <c r="B39" s="186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ht="15" customHeight="1" x14ac:dyDescent="0.15">
      <c r="A40">
        <v>39</v>
      </c>
      <c r="B40" s="186" t="s">
        <v>230</v>
      </c>
      <c r="C40">
        <v>2.87E-2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2.87E-2</v>
      </c>
    </row>
    <row r="41" spans="1:20" ht="15" customHeight="1" x14ac:dyDescent="0.15">
      <c r="A41">
        <v>40</v>
      </c>
      <c r="B41" s="186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2.5600000000000001E-2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1E-3</v>
      </c>
      <c r="T41">
        <v>2.6600000000000002E-2</v>
      </c>
    </row>
    <row r="42" spans="1:20" ht="15" customHeight="1" x14ac:dyDescent="0.15">
      <c r="A42">
        <v>41</v>
      </c>
      <c r="B42" s="186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ht="15" customHeight="1" x14ac:dyDescent="0.15">
      <c r="A43">
        <v>42</v>
      </c>
      <c r="B43" s="186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3.8E-3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3.27E-2</v>
      </c>
      <c r="Q43">
        <v>0</v>
      </c>
      <c r="R43">
        <v>0</v>
      </c>
      <c r="S43">
        <v>2.0000000000000001E-4</v>
      </c>
      <c r="T43">
        <v>3.6699999999999997E-2</v>
      </c>
    </row>
    <row r="44" spans="1:20" ht="15" customHeight="1" x14ac:dyDescent="0.15">
      <c r="A44">
        <v>43</v>
      </c>
      <c r="B44" s="186" t="s">
        <v>234</v>
      </c>
      <c r="C44">
        <v>1E-4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7.7600000000000002E-2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2.0000000000000001E-4</v>
      </c>
      <c r="T44">
        <v>7.7900000000000011E-2</v>
      </c>
    </row>
    <row r="45" spans="1:20" ht="15" customHeight="1" x14ac:dyDescent="0.15">
      <c r="A45">
        <v>44</v>
      </c>
      <c r="B45" s="186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ht="15" customHeight="1" x14ac:dyDescent="0.15">
      <c r="A46">
        <v>45</v>
      </c>
      <c r="B46" s="186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ht="15" customHeight="1" x14ac:dyDescent="0.15">
      <c r="A47">
        <v>46</v>
      </c>
      <c r="B47" s="186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ht="15" customHeight="1" x14ac:dyDescent="0.15">
      <c r="A48">
        <v>47</v>
      </c>
      <c r="B48" s="186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ht="15" customHeight="1" x14ac:dyDescent="0.15">
      <c r="A49">
        <v>48</v>
      </c>
      <c r="B49" s="186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86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15">
      <c r="A51">
        <v>50</v>
      </c>
      <c r="B51" s="186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15">
      <c r="A52">
        <v>51</v>
      </c>
      <c r="B52" s="186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15">
      <c r="A53">
        <v>52</v>
      </c>
      <c r="B53" s="186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15">
      <c r="A54">
        <v>53</v>
      </c>
      <c r="B54" s="186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15">
      <c r="A55">
        <v>54</v>
      </c>
      <c r="B55" s="186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T5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bestFit="1" customWidth="1"/>
    <col min="3" max="3" width="8.83203125" bestFit="1" customWidth="1"/>
    <col min="4" max="5" width="2.33203125" bestFit="1" customWidth="1"/>
    <col min="6" max="6" width="2.33203125" customWidth="1"/>
    <col min="7" max="7" width="9.83203125" customWidth="1"/>
    <col min="8" max="10" width="2.33203125" customWidth="1"/>
    <col min="11" max="11" width="6.83203125" customWidth="1"/>
    <col min="12" max="15" width="2.33203125" customWidth="1"/>
    <col min="16" max="16" width="8.83203125" customWidth="1"/>
    <col min="17" max="19" width="2.33203125" customWidth="1"/>
    <col min="20" max="20" width="9.83203125" customWidth="1"/>
  </cols>
  <sheetData>
    <row r="1" spans="1:20" s="115" customFormat="1" ht="112" x14ac:dyDescent="0.15">
      <c r="A1" s="5" t="s">
        <v>22</v>
      </c>
      <c r="B1" s="3" t="s">
        <v>0</v>
      </c>
      <c r="C1" s="189" t="s">
        <v>246</v>
      </c>
      <c r="D1" s="189" t="s">
        <v>247</v>
      </c>
      <c r="E1" s="189" t="s">
        <v>248</v>
      </c>
      <c r="F1" s="189" t="s">
        <v>249</v>
      </c>
      <c r="G1" s="189" t="s">
        <v>250</v>
      </c>
      <c r="H1" s="189" t="s">
        <v>251</v>
      </c>
      <c r="I1" s="189" t="s">
        <v>252</v>
      </c>
      <c r="J1" s="189" t="s">
        <v>253</v>
      </c>
      <c r="K1" s="189" t="s">
        <v>254</v>
      </c>
      <c r="L1" s="189" t="s">
        <v>255</v>
      </c>
      <c r="M1" s="189" t="s">
        <v>256</v>
      </c>
      <c r="N1" s="189" t="s">
        <v>257</v>
      </c>
      <c r="O1" s="189" t="s">
        <v>258</v>
      </c>
      <c r="P1" s="189" t="s">
        <v>259</v>
      </c>
      <c r="Q1" s="189" t="s">
        <v>207</v>
      </c>
      <c r="R1" s="189" t="s">
        <v>260</v>
      </c>
      <c r="S1" s="189" t="s">
        <v>261</v>
      </c>
      <c r="T1" s="189" t="s">
        <v>265</v>
      </c>
    </row>
    <row r="2" spans="1:20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8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88" t="s">
        <v>195</v>
      </c>
      <c r="C5">
        <v>0</v>
      </c>
      <c r="D5">
        <v>0</v>
      </c>
      <c r="E5">
        <v>0</v>
      </c>
      <c r="F5">
        <v>0</v>
      </c>
      <c r="G5">
        <v>1E-4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1E-4</v>
      </c>
    </row>
    <row r="6" spans="1:20" x14ac:dyDescent="0.15">
      <c r="A6">
        <v>5</v>
      </c>
      <c r="B6" s="18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15">
      <c r="A7">
        <v>6</v>
      </c>
      <c r="B7" s="18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15">
      <c r="A8">
        <v>7</v>
      </c>
      <c r="B8" s="188" t="s">
        <v>198</v>
      </c>
      <c r="C8">
        <v>9.9999999999999995E-7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9.9999999999999995E-7</v>
      </c>
    </row>
    <row r="9" spans="1:20" x14ac:dyDescent="0.15">
      <c r="A9">
        <v>8</v>
      </c>
      <c r="B9" s="188" t="s">
        <v>199</v>
      </c>
      <c r="C9">
        <v>1.0000000000000001E-5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1.0000000000000001E-5</v>
      </c>
    </row>
    <row r="10" spans="1:20" x14ac:dyDescent="0.15">
      <c r="A10">
        <v>9</v>
      </c>
      <c r="B10" s="18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15">
      <c r="A11">
        <v>10</v>
      </c>
      <c r="B11" s="188" t="s">
        <v>201</v>
      </c>
      <c r="C11">
        <v>2.1999999999999999E-5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2.1999999999999999E-5</v>
      </c>
    </row>
    <row r="12" spans="1:20" x14ac:dyDescent="0.15">
      <c r="A12">
        <v>11</v>
      </c>
      <c r="B12" s="188" t="s">
        <v>202</v>
      </c>
      <c r="C12">
        <v>1.0234E-2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1.196E-3</v>
      </c>
      <c r="Q12">
        <v>0</v>
      </c>
      <c r="R12">
        <v>0</v>
      </c>
      <c r="S12">
        <v>0</v>
      </c>
      <c r="T12">
        <v>1.1429999999999999E-2</v>
      </c>
    </row>
    <row r="13" spans="1:20" x14ac:dyDescent="0.15">
      <c r="A13">
        <v>12</v>
      </c>
      <c r="B13" s="188" t="s">
        <v>203</v>
      </c>
      <c r="C13">
        <v>9.0819999999999998E-3</v>
      </c>
      <c r="D13">
        <v>0</v>
      </c>
      <c r="E13">
        <v>0</v>
      </c>
      <c r="F13">
        <v>0</v>
      </c>
      <c r="G13">
        <v>8.4197999999999999E-3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5.6899999999999995E-4</v>
      </c>
      <c r="Q13">
        <v>0</v>
      </c>
      <c r="R13">
        <v>0</v>
      </c>
      <c r="S13">
        <v>0</v>
      </c>
      <c r="T13">
        <v>1.8070799999999998E-2</v>
      </c>
    </row>
    <row r="14" spans="1:20" x14ac:dyDescent="0.15">
      <c r="A14">
        <v>13</v>
      </c>
      <c r="B14" s="18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88" t="s">
        <v>205</v>
      </c>
      <c r="C15">
        <v>2.4480000000000001E-3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2.3599999999999999E-4</v>
      </c>
      <c r="Q15">
        <v>0</v>
      </c>
      <c r="R15">
        <v>0</v>
      </c>
      <c r="S15">
        <v>0</v>
      </c>
      <c r="T15">
        <v>2.6840000000000002E-3</v>
      </c>
    </row>
    <row r="16" spans="1:20" x14ac:dyDescent="0.15">
      <c r="A16">
        <v>15</v>
      </c>
      <c r="B16" s="188" t="s">
        <v>206</v>
      </c>
      <c r="C16">
        <v>4.0000000000000003E-5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4.0000000000000003E-5</v>
      </c>
    </row>
    <row r="17" spans="1:20" x14ac:dyDescent="0.15">
      <c r="A17">
        <v>16</v>
      </c>
      <c r="B17" s="188" t="s">
        <v>207</v>
      </c>
      <c r="C17">
        <v>6.9999999999999999E-6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1.286E-3</v>
      </c>
      <c r="Q17">
        <v>0</v>
      </c>
      <c r="R17">
        <v>0</v>
      </c>
      <c r="S17">
        <v>0</v>
      </c>
      <c r="T17">
        <v>1.2930000000000001E-3</v>
      </c>
    </row>
    <row r="18" spans="1:20" x14ac:dyDescent="0.15">
      <c r="A18">
        <v>17</v>
      </c>
      <c r="B18" s="18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88" t="s">
        <v>209</v>
      </c>
      <c r="C19">
        <v>2.7799999999999998E-4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2.7799999999999998E-4</v>
      </c>
    </row>
    <row r="20" spans="1:20" x14ac:dyDescent="0.15">
      <c r="A20">
        <v>19</v>
      </c>
      <c r="B20" s="18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88" t="s">
        <v>211</v>
      </c>
      <c r="C21">
        <v>2.1840000000000002E-3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2.1840000000000002E-3</v>
      </c>
    </row>
    <row r="22" spans="1:20" x14ac:dyDescent="0.15">
      <c r="A22">
        <v>21</v>
      </c>
      <c r="B22" s="188" t="s">
        <v>212</v>
      </c>
      <c r="C22">
        <v>1.92E-4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1.92E-4</v>
      </c>
    </row>
    <row r="23" spans="1:20" x14ac:dyDescent="0.15">
      <c r="A23">
        <v>22</v>
      </c>
      <c r="B23" s="18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15">
      <c r="A24">
        <v>23</v>
      </c>
      <c r="B24" s="188" t="s">
        <v>214</v>
      </c>
      <c r="C24">
        <v>3.39E-4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3.39E-4</v>
      </c>
    </row>
    <row r="25" spans="1:20" x14ac:dyDescent="0.15">
      <c r="A25">
        <v>24</v>
      </c>
      <c r="B25" s="18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88" t="s">
        <v>216</v>
      </c>
      <c r="C26">
        <v>5.0650000000000001E-3</v>
      </c>
      <c r="D26">
        <v>0</v>
      </c>
      <c r="E26">
        <v>0</v>
      </c>
      <c r="F26">
        <v>0</v>
      </c>
      <c r="G26">
        <v>1E-3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6.0650000000000001E-3</v>
      </c>
    </row>
    <row r="27" spans="1:20" x14ac:dyDescent="0.15">
      <c r="A27">
        <v>26</v>
      </c>
      <c r="B27" s="18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15">
      <c r="A28">
        <v>27</v>
      </c>
      <c r="B28" s="188" t="s">
        <v>218</v>
      </c>
      <c r="C28">
        <v>2.6089000000000001E-2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1.5E-3</v>
      </c>
      <c r="L28">
        <v>0</v>
      </c>
      <c r="M28">
        <v>0</v>
      </c>
      <c r="N28">
        <v>0</v>
      </c>
      <c r="O28">
        <v>0</v>
      </c>
      <c r="P28">
        <v>6.9800000000000005E-4</v>
      </c>
      <c r="Q28">
        <v>0</v>
      </c>
      <c r="R28">
        <v>0</v>
      </c>
      <c r="S28">
        <v>0</v>
      </c>
      <c r="T28">
        <v>2.8287000000000003E-2</v>
      </c>
    </row>
    <row r="29" spans="1:20" x14ac:dyDescent="0.15">
      <c r="A29">
        <v>28</v>
      </c>
      <c r="B29" s="18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15">
      <c r="A30">
        <v>29</v>
      </c>
      <c r="B30" s="18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2.019E-3</v>
      </c>
      <c r="Q30">
        <v>0</v>
      </c>
      <c r="R30">
        <v>0</v>
      </c>
      <c r="S30">
        <v>0</v>
      </c>
      <c r="T30">
        <v>2.019E-3</v>
      </c>
    </row>
    <row r="31" spans="1:20" x14ac:dyDescent="0.15">
      <c r="A31">
        <v>30</v>
      </c>
      <c r="B31" s="188" t="s">
        <v>221</v>
      </c>
      <c r="C31">
        <v>2.6090000000000002E-3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2.6090000000000002E-3</v>
      </c>
    </row>
    <row r="32" spans="1:20" x14ac:dyDescent="0.15">
      <c r="A32">
        <v>31</v>
      </c>
      <c r="B32" s="188" t="s">
        <v>222</v>
      </c>
      <c r="C32">
        <v>2.6090000000000002E-3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2.6090000000000002E-3</v>
      </c>
    </row>
    <row r="33" spans="1:20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15">
      <c r="A34">
        <v>33</v>
      </c>
      <c r="B34" s="188" t="s">
        <v>224</v>
      </c>
      <c r="C34">
        <v>1.531E-3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1.531E-3</v>
      </c>
    </row>
    <row r="35" spans="1:20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15">
      <c r="A36">
        <v>35</v>
      </c>
      <c r="B36" s="188" t="s">
        <v>226</v>
      </c>
      <c r="C36">
        <v>3.2190000000000001E-3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3.2190000000000001E-3</v>
      </c>
    </row>
    <row r="37" spans="1:20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15">
      <c r="A38">
        <v>37</v>
      </c>
      <c r="B38" s="188" t="s">
        <v>228</v>
      </c>
      <c r="C38">
        <v>1.2979999999999999E-3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1.2979999999999999E-3</v>
      </c>
    </row>
    <row r="39" spans="1:20" x14ac:dyDescent="0.15">
      <c r="A39">
        <v>38</v>
      </c>
      <c r="B39" s="188" t="s">
        <v>229</v>
      </c>
      <c r="C39">
        <v>4.0000000000000003E-5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1.196E-3</v>
      </c>
      <c r="Q39">
        <v>0</v>
      </c>
      <c r="R39">
        <v>0</v>
      </c>
      <c r="S39">
        <v>0</v>
      </c>
      <c r="T39">
        <v>1.2360000000000001E-3</v>
      </c>
    </row>
    <row r="40" spans="1:20" x14ac:dyDescent="0.15">
      <c r="A40">
        <v>39</v>
      </c>
      <c r="B40" s="188" t="s">
        <v>230</v>
      </c>
      <c r="C40">
        <v>6.8560000000000001E-3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5.2499999999999997E-4</v>
      </c>
      <c r="Q40">
        <v>0</v>
      </c>
      <c r="R40">
        <v>0</v>
      </c>
      <c r="S40">
        <v>0</v>
      </c>
      <c r="T40">
        <v>7.3810000000000004E-3</v>
      </c>
    </row>
    <row r="41" spans="1:20" x14ac:dyDescent="0.15">
      <c r="A41">
        <v>40</v>
      </c>
      <c r="B41" s="188" t="s">
        <v>231</v>
      </c>
      <c r="C41">
        <v>2.2499999999999999E-4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2.2499999999999999E-4</v>
      </c>
    </row>
    <row r="42" spans="1:20" x14ac:dyDescent="0.15">
      <c r="A42">
        <v>41</v>
      </c>
      <c r="B42" s="188" t="s">
        <v>232</v>
      </c>
      <c r="C42">
        <v>3.6999999999999998E-5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3.6999999999999998E-5</v>
      </c>
    </row>
    <row r="43" spans="1:20" x14ac:dyDescent="0.15">
      <c r="A43">
        <v>42</v>
      </c>
      <c r="B43" s="188" t="s">
        <v>233</v>
      </c>
      <c r="C43">
        <v>3.9999999999999998E-6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3.9999999999999998E-6</v>
      </c>
    </row>
    <row r="44" spans="1:20" x14ac:dyDescent="0.15">
      <c r="A44">
        <v>43</v>
      </c>
      <c r="B44" s="188" t="s">
        <v>234</v>
      </c>
      <c r="C44">
        <v>2.3470000000000001E-3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2.3470000000000001E-3</v>
      </c>
    </row>
    <row r="45" spans="1:20" x14ac:dyDescent="0.15">
      <c r="A45">
        <v>44</v>
      </c>
      <c r="B45" s="18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88" t="s">
        <v>236</v>
      </c>
      <c r="C46">
        <v>3.0000000000000001E-6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3.0000000000000001E-6</v>
      </c>
    </row>
    <row r="47" spans="1:20" x14ac:dyDescent="0.15">
      <c r="A47">
        <v>46</v>
      </c>
      <c r="B47" s="188" t="s">
        <v>237</v>
      </c>
      <c r="C47">
        <v>3.4E-5</v>
      </c>
      <c r="D47">
        <v>0</v>
      </c>
      <c r="E47">
        <v>0</v>
      </c>
      <c r="F47">
        <v>0</v>
      </c>
      <c r="G47">
        <v>1E-4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1.34E-4</v>
      </c>
    </row>
    <row r="48" spans="1:20" x14ac:dyDescent="0.15">
      <c r="A48">
        <v>47</v>
      </c>
      <c r="B48" s="18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8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88" t="s">
        <v>240</v>
      </c>
      <c r="C50">
        <v>1E-3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1E-3</v>
      </c>
      <c r="Q50">
        <v>0</v>
      </c>
      <c r="R50">
        <v>0</v>
      </c>
      <c r="S50">
        <v>0</v>
      </c>
      <c r="T50">
        <v>2E-3</v>
      </c>
    </row>
    <row r="51" spans="1:20" x14ac:dyDescent="0.15">
      <c r="A51">
        <v>50</v>
      </c>
      <c r="B51" s="18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15">
      <c r="A52">
        <v>51</v>
      </c>
      <c r="B52" s="188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15">
      <c r="A53">
        <v>52</v>
      </c>
      <c r="B53" s="188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15">
      <c r="A54">
        <v>53</v>
      </c>
      <c r="B54" s="188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15">
      <c r="A55">
        <v>54</v>
      </c>
      <c r="B55" s="188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8.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0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0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0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0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0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0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0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0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0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0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0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0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0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0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0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0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0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0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0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0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0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0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0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0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0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0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0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0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0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0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0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0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90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90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90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90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90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90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90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90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90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90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90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90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90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90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90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90" t="s">
        <v>239</v>
      </c>
      <c r="F49">
        <v>0.98</v>
      </c>
      <c r="G49">
        <v>0.8</v>
      </c>
      <c r="H49">
        <v>0.8</v>
      </c>
      <c r="I49">
        <v>0.8</v>
      </c>
      <c r="J49" s="114">
        <v>0.25</v>
      </c>
      <c r="K49" s="114">
        <v>0.05</v>
      </c>
      <c r="Y49"/>
      <c r="AC49"/>
      <c r="AG49"/>
    </row>
    <row r="50" spans="4:33" ht="15" customHeight="1" x14ac:dyDescent="0.15">
      <c r="D50">
        <v>49</v>
      </c>
      <c r="E50" s="190" t="s">
        <v>240</v>
      </c>
      <c r="F50">
        <v>0.98</v>
      </c>
      <c r="G50">
        <v>0.8</v>
      </c>
      <c r="H50">
        <v>0.8</v>
      </c>
      <c r="I50">
        <v>0.8</v>
      </c>
      <c r="J50" s="114">
        <v>0.25</v>
      </c>
      <c r="K50" s="114">
        <v>0.05</v>
      </c>
      <c r="Y50"/>
      <c r="AC50"/>
      <c r="AG50"/>
    </row>
    <row r="51" spans="4:33" ht="15" customHeight="1" x14ac:dyDescent="0.15">
      <c r="D51">
        <v>50</v>
      </c>
      <c r="E51" s="190" t="s">
        <v>241</v>
      </c>
      <c r="F51">
        <v>0.98</v>
      </c>
      <c r="G51">
        <v>0.8</v>
      </c>
      <c r="H51">
        <v>0.8</v>
      </c>
      <c r="I51">
        <v>0</v>
      </c>
      <c r="J51" s="114">
        <v>0</v>
      </c>
      <c r="K51" s="114">
        <v>0</v>
      </c>
      <c r="Y51"/>
      <c r="AC51"/>
      <c r="AG51"/>
    </row>
    <row r="52" spans="4:33" ht="15" customHeight="1" x14ac:dyDescent="0.15">
      <c r="D52">
        <v>51</v>
      </c>
      <c r="E52" s="190" t="s">
        <v>242</v>
      </c>
      <c r="F52">
        <v>0.98</v>
      </c>
      <c r="G52">
        <v>0.8</v>
      </c>
      <c r="H52">
        <v>0.8</v>
      </c>
      <c r="I52">
        <v>0</v>
      </c>
      <c r="J52" s="114">
        <v>0</v>
      </c>
      <c r="K52" s="114">
        <v>0</v>
      </c>
      <c r="Y52"/>
      <c r="AC52"/>
      <c r="AG52"/>
    </row>
    <row r="53" spans="4:33" ht="15" customHeight="1" x14ac:dyDescent="0.15">
      <c r="D53">
        <v>52</v>
      </c>
      <c r="E53" s="190" t="s">
        <v>243</v>
      </c>
      <c r="F53">
        <v>0.98</v>
      </c>
      <c r="G53">
        <v>0.8</v>
      </c>
      <c r="H53">
        <v>0</v>
      </c>
      <c r="I53">
        <v>0</v>
      </c>
      <c r="J53" s="114">
        <v>0</v>
      </c>
      <c r="K53" s="114">
        <v>0</v>
      </c>
      <c r="Y53"/>
      <c r="AC53"/>
      <c r="AG53"/>
    </row>
    <row r="54" spans="4:33" ht="15" customHeight="1" x14ac:dyDescent="0.15">
      <c r="D54">
        <v>53</v>
      </c>
      <c r="E54" s="190" t="s">
        <v>244</v>
      </c>
      <c r="F54">
        <v>0.98</v>
      </c>
      <c r="G54">
        <v>0.8</v>
      </c>
      <c r="H54">
        <v>0</v>
      </c>
      <c r="I54">
        <v>0</v>
      </c>
      <c r="J54" s="114">
        <v>0</v>
      </c>
      <c r="K54" s="114">
        <v>0</v>
      </c>
      <c r="Y54"/>
      <c r="AC54"/>
      <c r="AG54"/>
    </row>
    <row r="55" spans="4:33" ht="15" customHeight="1" x14ac:dyDescent="0.15">
      <c r="D55">
        <v>54</v>
      </c>
      <c r="E55" s="190" t="s">
        <v>245</v>
      </c>
      <c r="F55">
        <v>0.98</v>
      </c>
      <c r="G55">
        <v>0.8</v>
      </c>
      <c r="H55">
        <v>0</v>
      </c>
      <c r="I55">
        <v>0</v>
      </c>
      <c r="J55" s="114">
        <v>0</v>
      </c>
      <c r="K55" s="114">
        <v>0</v>
      </c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8.5" style="112" bestFit="1" customWidth="1"/>
    <col min="2" max="50" width="3.83203125" style="112" customWidth="1"/>
    <col min="51" max="55" width="2.33203125" style="112" customWidth="1"/>
    <col min="56" max="16384" width="10.83203125" style="112"/>
  </cols>
  <sheetData>
    <row r="1" spans="1:55" x14ac:dyDescent="0.15">
      <c r="A1" s="63" t="s">
        <v>118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  <c r="AN1" s="192" t="s">
        <v>230</v>
      </c>
      <c r="AO1" s="192" t="s">
        <v>231</v>
      </c>
      <c r="AP1" s="192" t="s">
        <v>232</v>
      </c>
      <c r="AQ1" s="192" t="s">
        <v>233</v>
      </c>
      <c r="AR1" s="192" t="s">
        <v>234</v>
      </c>
      <c r="AS1" s="192" t="s">
        <v>235</v>
      </c>
      <c r="AT1" s="192" t="s">
        <v>236</v>
      </c>
      <c r="AU1" s="192" t="s">
        <v>237</v>
      </c>
      <c r="AV1" s="192" t="s">
        <v>238</v>
      </c>
      <c r="AW1" s="192" t="s">
        <v>239</v>
      </c>
      <c r="AX1" s="192" t="s">
        <v>240</v>
      </c>
      <c r="AY1" s="192" t="s">
        <v>241</v>
      </c>
      <c r="AZ1" s="192" t="s">
        <v>242</v>
      </c>
      <c r="BA1" s="192" t="s">
        <v>243</v>
      </c>
      <c r="BB1" s="192" t="s">
        <v>244</v>
      </c>
      <c r="BC1" s="192" t="s">
        <v>245</v>
      </c>
    </row>
    <row r="2" spans="1:55" customFormat="1" x14ac:dyDescent="0.15">
      <c r="A2" s="191" t="s">
        <v>192</v>
      </c>
      <c r="B2" s="112">
        <v>0</v>
      </c>
      <c r="C2" s="112">
        <v>0</v>
      </c>
      <c r="D2" s="112">
        <v>0.8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</row>
    <row r="3" spans="1:55" customFormat="1" x14ac:dyDescent="0.15">
      <c r="A3" s="191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</row>
    <row r="4" spans="1:55" customFormat="1" x14ac:dyDescent="0.15">
      <c r="A4" s="191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</row>
    <row r="5" spans="1:55" customFormat="1" x14ac:dyDescent="0.15">
      <c r="A5" s="191" t="s">
        <v>195</v>
      </c>
      <c r="B5" s="112">
        <v>0</v>
      </c>
      <c r="C5" s="112">
        <v>0</v>
      </c>
      <c r="D5" s="112">
        <v>0.8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</row>
    <row r="6" spans="1:55" customFormat="1" x14ac:dyDescent="0.15">
      <c r="A6" s="191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</row>
    <row r="7" spans="1:55" customFormat="1" x14ac:dyDescent="0.15">
      <c r="A7" s="191" t="s">
        <v>197</v>
      </c>
      <c r="B7" s="112">
        <v>0</v>
      </c>
      <c r="C7" s="112">
        <v>0</v>
      </c>
      <c r="D7" s="112">
        <v>0.8</v>
      </c>
      <c r="E7" s="112">
        <v>0.8</v>
      </c>
      <c r="F7" s="112">
        <v>0.8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0.8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</row>
    <row r="8" spans="1:55" customFormat="1" x14ac:dyDescent="0.15">
      <c r="A8" s="191" t="s">
        <v>198</v>
      </c>
      <c r="B8" s="112">
        <v>0</v>
      </c>
      <c r="C8" s="112">
        <v>0</v>
      </c>
      <c r="D8" s="112">
        <v>0.8</v>
      </c>
      <c r="E8" s="112">
        <v>0.8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0.8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</row>
    <row r="9" spans="1:55" customFormat="1" x14ac:dyDescent="0.15">
      <c r="A9" s="191" t="s">
        <v>199</v>
      </c>
      <c r="B9" s="112">
        <v>0</v>
      </c>
      <c r="C9" s="112">
        <v>0</v>
      </c>
      <c r="D9" s="112">
        <v>0.8</v>
      </c>
      <c r="E9" s="112">
        <v>0.8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0.8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</row>
    <row r="10" spans="1:55" customFormat="1" x14ac:dyDescent="0.15">
      <c r="A10" s="191" t="s">
        <v>200</v>
      </c>
      <c r="B10" s="112">
        <v>0.8</v>
      </c>
      <c r="C10" s="112">
        <v>0</v>
      </c>
      <c r="D10" s="112">
        <v>0.8</v>
      </c>
      <c r="E10" s="112">
        <v>0.8</v>
      </c>
      <c r="F10" s="112">
        <v>0.8</v>
      </c>
      <c r="G10" s="112">
        <v>0</v>
      </c>
      <c r="H10" s="112">
        <v>0.8</v>
      </c>
      <c r="I10" s="112">
        <v>0</v>
      </c>
      <c r="J10" s="112">
        <v>0</v>
      </c>
      <c r="K10" s="112">
        <v>0.8</v>
      </c>
      <c r="L10" s="112">
        <v>0</v>
      </c>
      <c r="M10" s="112">
        <v>0.8</v>
      </c>
      <c r="N10" s="112">
        <v>0</v>
      </c>
      <c r="O10" s="112">
        <v>0.8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0.8</v>
      </c>
      <c r="V10" s="112">
        <v>0</v>
      </c>
      <c r="W10" s="112">
        <v>0</v>
      </c>
      <c r="X10" s="112">
        <v>0.8</v>
      </c>
      <c r="Y10" s="112">
        <v>0</v>
      </c>
      <c r="Z10" s="112">
        <v>0.8</v>
      </c>
      <c r="AA10" s="112">
        <v>0.8</v>
      </c>
      <c r="AB10" s="112">
        <v>0.8</v>
      </c>
      <c r="AC10" s="112">
        <v>0</v>
      </c>
      <c r="AD10" s="112">
        <v>0</v>
      </c>
      <c r="AE10" s="112">
        <v>0.8</v>
      </c>
      <c r="AF10" s="112">
        <v>0.8</v>
      </c>
      <c r="AG10" s="112">
        <v>0</v>
      </c>
      <c r="AH10" s="112">
        <v>0</v>
      </c>
      <c r="AI10" s="112">
        <v>0.8</v>
      </c>
      <c r="AJ10" s="112">
        <v>0.8</v>
      </c>
      <c r="AK10" s="112">
        <v>0</v>
      </c>
      <c r="AL10" s="112">
        <v>0</v>
      </c>
      <c r="AM10" s="112">
        <v>0.8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</row>
    <row r="11" spans="1:55" customFormat="1" x14ac:dyDescent="0.15">
      <c r="A11" s="191" t="s">
        <v>201</v>
      </c>
      <c r="B11" s="112">
        <v>0.8</v>
      </c>
      <c r="C11" s="112">
        <v>0</v>
      </c>
      <c r="D11" s="112">
        <v>0.8</v>
      </c>
      <c r="E11" s="112">
        <v>0.8</v>
      </c>
      <c r="F11" s="112">
        <v>0.8</v>
      </c>
      <c r="G11" s="112">
        <v>0</v>
      </c>
      <c r="H11" s="112">
        <v>0.8</v>
      </c>
      <c r="I11" s="112">
        <v>0</v>
      </c>
      <c r="J11" s="112">
        <v>0</v>
      </c>
      <c r="K11" s="112">
        <v>0.8</v>
      </c>
      <c r="L11" s="112">
        <v>0</v>
      </c>
      <c r="M11" s="112">
        <v>0.8</v>
      </c>
      <c r="N11" s="112">
        <v>0</v>
      </c>
      <c r="O11" s="112">
        <v>0.8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0.8</v>
      </c>
      <c r="V11" s="112">
        <v>0</v>
      </c>
      <c r="W11" s="112">
        <v>0</v>
      </c>
      <c r="X11" s="112">
        <v>0.8</v>
      </c>
      <c r="Y11" s="112">
        <v>0</v>
      </c>
      <c r="Z11" s="112">
        <v>0.8</v>
      </c>
      <c r="AA11" s="112">
        <v>0.8</v>
      </c>
      <c r="AB11" s="112">
        <v>0.8</v>
      </c>
      <c r="AC11" s="112">
        <v>0</v>
      </c>
      <c r="AD11" s="112">
        <v>0</v>
      </c>
      <c r="AE11" s="112">
        <v>0.8</v>
      </c>
      <c r="AF11" s="112">
        <v>0.8</v>
      </c>
      <c r="AG11" s="112">
        <v>0</v>
      </c>
      <c r="AH11" s="112">
        <v>0</v>
      </c>
      <c r="AI11" s="112">
        <v>0.8</v>
      </c>
      <c r="AJ11" s="112">
        <v>0.8</v>
      </c>
      <c r="AK11" s="112">
        <v>0</v>
      </c>
      <c r="AL11" s="112">
        <v>0</v>
      </c>
      <c r="AM11" s="112">
        <v>0.8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</row>
    <row r="12" spans="1:55" customFormat="1" x14ac:dyDescent="0.15">
      <c r="A12" s="191" t="s">
        <v>202</v>
      </c>
      <c r="B12" s="112">
        <v>0</v>
      </c>
      <c r="C12" s="112">
        <v>0</v>
      </c>
      <c r="D12" s="112">
        <v>0.8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0.8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</row>
    <row r="13" spans="1:55" customFormat="1" x14ac:dyDescent="0.15">
      <c r="A13" s="191" t="s">
        <v>203</v>
      </c>
      <c r="B13" s="112">
        <v>0</v>
      </c>
      <c r="C13" s="112">
        <v>0</v>
      </c>
      <c r="D13" s="112">
        <v>0</v>
      </c>
      <c r="E13" s="112">
        <v>0.8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0.8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</row>
    <row r="14" spans="1:55" customFormat="1" x14ac:dyDescent="0.15">
      <c r="A14" s="191" t="s">
        <v>204</v>
      </c>
      <c r="B14" s="112">
        <v>0.8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0.8</v>
      </c>
      <c r="O14" s="112">
        <v>0.8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0.8</v>
      </c>
      <c r="AB14" s="112">
        <v>0.8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0.8</v>
      </c>
      <c r="AK14" s="112">
        <v>0</v>
      </c>
      <c r="AL14" s="112">
        <v>0.8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</row>
    <row r="15" spans="1:55" customFormat="1" x14ac:dyDescent="0.15">
      <c r="A15" s="191" t="s">
        <v>205</v>
      </c>
      <c r="B15" s="112">
        <v>0</v>
      </c>
      <c r="C15" s="112">
        <v>0</v>
      </c>
      <c r="D15" s="112">
        <v>0</v>
      </c>
      <c r="E15" s="112">
        <v>0.8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0.8</v>
      </c>
      <c r="AB15" s="112">
        <v>0.8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</row>
    <row r="16" spans="1:55" customFormat="1" x14ac:dyDescent="0.15">
      <c r="A16" s="191" t="s">
        <v>206</v>
      </c>
      <c r="B16" s="112">
        <v>0</v>
      </c>
      <c r="C16" s="112">
        <v>0.8</v>
      </c>
      <c r="D16" s="112">
        <v>0.8</v>
      </c>
      <c r="E16" s="112">
        <v>0.8</v>
      </c>
      <c r="F16" s="112">
        <v>0.8</v>
      </c>
      <c r="G16" s="112">
        <v>0</v>
      </c>
      <c r="H16" s="112">
        <v>0.8</v>
      </c>
      <c r="I16" s="112">
        <v>0.8</v>
      </c>
      <c r="J16" s="112">
        <v>0.8</v>
      </c>
      <c r="K16" s="112">
        <v>0.8</v>
      </c>
      <c r="L16" s="112">
        <v>0.8</v>
      </c>
      <c r="M16" s="112">
        <v>0.8</v>
      </c>
      <c r="N16" s="112">
        <v>0.8</v>
      </c>
      <c r="O16" s="112">
        <v>0.8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0.8</v>
      </c>
      <c r="W16" s="112">
        <v>0</v>
      </c>
      <c r="X16" s="112">
        <v>0.8</v>
      </c>
      <c r="Y16" s="112">
        <v>0</v>
      </c>
      <c r="Z16" s="112">
        <v>0.8</v>
      </c>
      <c r="AA16" s="112">
        <v>0.8</v>
      </c>
      <c r="AB16" s="112">
        <v>0.8</v>
      </c>
      <c r="AC16" s="112">
        <v>0.8</v>
      </c>
      <c r="AD16" s="112">
        <v>0.8</v>
      </c>
      <c r="AE16" s="112">
        <v>0.8</v>
      </c>
      <c r="AF16" s="112">
        <v>0.8</v>
      </c>
      <c r="AG16" s="112">
        <v>0</v>
      </c>
      <c r="AH16" s="112">
        <v>0.8</v>
      </c>
      <c r="AI16" s="112">
        <v>0.8</v>
      </c>
      <c r="AJ16" s="112">
        <v>0.8</v>
      </c>
      <c r="AK16" s="112">
        <v>0.8</v>
      </c>
      <c r="AL16" s="112">
        <v>0.8</v>
      </c>
      <c r="AM16" s="112">
        <v>0.8</v>
      </c>
      <c r="AN16" s="112">
        <v>0.8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</row>
    <row r="17" spans="1:55" customFormat="1" x14ac:dyDescent="0.15">
      <c r="A17" s="191" t="s">
        <v>207</v>
      </c>
      <c r="B17" s="112">
        <v>0</v>
      </c>
      <c r="C17" s="112">
        <v>0</v>
      </c>
      <c r="D17" s="112">
        <v>0.8</v>
      </c>
      <c r="E17" s="112">
        <v>0</v>
      </c>
      <c r="F17" s="112">
        <v>0.8</v>
      </c>
      <c r="G17" s="112">
        <v>0</v>
      </c>
      <c r="H17" s="112">
        <v>0.8</v>
      </c>
      <c r="I17" s="112">
        <v>0.8</v>
      </c>
      <c r="J17" s="112">
        <v>0.8</v>
      </c>
      <c r="K17" s="112">
        <v>0.8</v>
      </c>
      <c r="L17" s="112">
        <v>0.8</v>
      </c>
      <c r="M17" s="112">
        <v>0.8</v>
      </c>
      <c r="N17" s="112">
        <v>0.8</v>
      </c>
      <c r="O17" s="112">
        <v>0.8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0.8</v>
      </c>
      <c r="W17" s="112">
        <v>0</v>
      </c>
      <c r="X17" s="112">
        <v>0.8</v>
      </c>
      <c r="Y17" s="112">
        <v>0</v>
      </c>
      <c r="Z17" s="112">
        <v>0.8</v>
      </c>
      <c r="AA17" s="112">
        <v>0.8</v>
      </c>
      <c r="AB17" s="112">
        <v>0.8</v>
      </c>
      <c r="AC17" s="112">
        <v>0.8</v>
      </c>
      <c r="AD17" s="112">
        <v>0.8</v>
      </c>
      <c r="AE17" s="112">
        <v>0.8</v>
      </c>
      <c r="AF17" s="112">
        <v>0.8</v>
      </c>
      <c r="AG17" s="112">
        <v>0</v>
      </c>
      <c r="AH17" s="112">
        <v>0.8</v>
      </c>
      <c r="AI17" s="112">
        <v>0.8</v>
      </c>
      <c r="AJ17" s="112">
        <v>0.8</v>
      </c>
      <c r="AK17" s="112">
        <v>0.8</v>
      </c>
      <c r="AL17" s="112">
        <v>0.8</v>
      </c>
      <c r="AM17" s="112">
        <v>0.8</v>
      </c>
      <c r="AN17" s="112">
        <v>0.8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</row>
    <row r="18" spans="1:55" customFormat="1" x14ac:dyDescent="0.15">
      <c r="A18" s="191" t="s">
        <v>208</v>
      </c>
      <c r="B18" s="112">
        <v>0</v>
      </c>
      <c r="C18" s="112">
        <v>0</v>
      </c>
      <c r="D18" s="112">
        <v>0.8</v>
      </c>
      <c r="E18" s="112">
        <v>0.8</v>
      </c>
      <c r="F18" s="112">
        <v>0.8</v>
      </c>
      <c r="G18" s="112">
        <v>0</v>
      </c>
      <c r="H18" s="112">
        <v>0</v>
      </c>
      <c r="I18" s="112">
        <v>0</v>
      </c>
      <c r="J18" s="112">
        <v>0.8</v>
      </c>
      <c r="K18" s="112">
        <v>0</v>
      </c>
      <c r="L18" s="112">
        <v>0</v>
      </c>
      <c r="M18" s="112">
        <v>0.8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0.8</v>
      </c>
      <c r="W18" s="112">
        <v>0</v>
      </c>
      <c r="X18" s="112">
        <v>0</v>
      </c>
      <c r="Y18" s="112">
        <v>0</v>
      </c>
      <c r="Z18" s="112">
        <v>0.8</v>
      </c>
      <c r="AA18" s="112">
        <v>0.8</v>
      </c>
      <c r="AB18" s="112">
        <v>0.8</v>
      </c>
      <c r="AC18" s="112">
        <v>0</v>
      </c>
      <c r="AD18" s="112">
        <v>0</v>
      </c>
      <c r="AE18" s="112">
        <v>0.8</v>
      </c>
      <c r="AF18" s="112">
        <v>0</v>
      </c>
      <c r="AG18" s="112">
        <v>0</v>
      </c>
      <c r="AH18" s="112">
        <v>0.8</v>
      </c>
      <c r="AI18" s="112">
        <v>0</v>
      </c>
      <c r="AJ18" s="112">
        <v>0</v>
      </c>
      <c r="AK18" s="112">
        <v>0.8</v>
      </c>
      <c r="AL18" s="112">
        <v>0.8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0.8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</row>
    <row r="19" spans="1:55" customFormat="1" x14ac:dyDescent="0.15">
      <c r="A19" s="191" t="s">
        <v>209</v>
      </c>
      <c r="B19" s="112">
        <v>0</v>
      </c>
      <c r="C19" s="112">
        <v>0.8</v>
      </c>
      <c r="D19" s="112">
        <v>0.8</v>
      </c>
      <c r="E19" s="112">
        <v>0.8</v>
      </c>
      <c r="F19" s="112">
        <v>0.8</v>
      </c>
      <c r="G19" s="112">
        <v>0</v>
      </c>
      <c r="H19" s="112">
        <v>0.8</v>
      </c>
      <c r="I19" s="112">
        <v>0.8</v>
      </c>
      <c r="J19" s="112">
        <v>0</v>
      </c>
      <c r="K19" s="112">
        <v>0</v>
      </c>
      <c r="L19" s="112">
        <v>0</v>
      </c>
      <c r="M19" s="112">
        <v>0.8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0.8</v>
      </c>
      <c r="W19" s="112">
        <v>0</v>
      </c>
      <c r="X19" s="112">
        <v>0</v>
      </c>
      <c r="Y19" s="112">
        <v>0</v>
      </c>
      <c r="Z19" s="112">
        <v>0</v>
      </c>
      <c r="AA19" s="112">
        <v>0.8</v>
      </c>
      <c r="AB19" s="112">
        <v>0.8</v>
      </c>
      <c r="AC19" s="112">
        <v>0</v>
      </c>
      <c r="AD19" s="112">
        <v>0</v>
      </c>
      <c r="AE19" s="112">
        <v>0</v>
      </c>
      <c r="AF19" s="112">
        <v>0.8</v>
      </c>
      <c r="AG19" s="112">
        <v>0</v>
      </c>
      <c r="AH19" s="112">
        <v>0.8</v>
      </c>
      <c r="AI19" s="112">
        <v>0.8</v>
      </c>
      <c r="AJ19" s="112">
        <v>0.8</v>
      </c>
      <c r="AK19" s="112">
        <v>0</v>
      </c>
      <c r="AL19" s="112">
        <v>0.8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</row>
    <row r="20" spans="1:55" customFormat="1" x14ac:dyDescent="0.15">
      <c r="A20" s="191" t="s">
        <v>210</v>
      </c>
      <c r="B20" s="112">
        <v>0</v>
      </c>
      <c r="C20" s="112">
        <v>0</v>
      </c>
      <c r="D20" s="112">
        <v>0.8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0.8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0.8</v>
      </c>
      <c r="Y20" s="112">
        <v>0</v>
      </c>
      <c r="Z20" s="112">
        <v>0</v>
      </c>
      <c r="AA20" s="112">
        <v>0</v>
      </c>
      <c r="AB20" s="112">
        <v>0.8</v>
      </c>
      <c r="AC20" s="112">
        <v>0</v>
      </c>
      <c r="AD20" s="112">
        <v>0</v>
      </c>
      <c r="AE20" s="112">
        <v>0.8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0.8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</row>
    <row r="21" spans="1:55" customFormat="1" x14ac:dyDescent="0.15">
      <c r="A21" s="191" t="s">
        <v>211</v>
      </c>
      <c r="B21" s="112">
        <v>0</v>
      </c>
      <c r="C21" s="112">
        <v>0</v>
      </c>
      <c r="D21" s="112">
        <v>0</v>
      </c>
      <c r="E21" s="112">
        <v>0.8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0.8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0.8</v>
      </c>
      <c r="AC21" s="112">
        <v>0</v>
      </c>
      <c r="AD21" s="112">
        <v>0</v>
      </c>
      <c r="AE21" s="112">
        <v>0</v>
      </c>
      <c r="AF21" s="112">
        <v>0.8</v>
      </c>
      <c r="AG21" s="112">
        <v>0</v>
      </c>
      <c r="AH21" s="112">
        <v>0</v>
      </c>
      <c r="AI21" s="112">
        <v>0.8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</row>
    <row r="22" spans="1:55" customFormat="1" x14ac:dyDescent="0.15">
      <c r="A22" s="191" t="s">
        <v>212</v>
      </c>
      <c r="B22" s="112">
        <v>0</v>
      </c>
      <c r="C22" s="112">
        <v>0</v>
      </c>
      <c r="D22" s="112">
        <v>0</v>
      </c>
      <c r="E22" s="112">
        <v>0.8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0.8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0.8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</row>
    <row r="23" spans="1:55" customFormat="1" x14ac:dyDescent="0.15">
      <c r="A23" s="191" t="s">
        <v>213</v>
      </c>
      <c r="B23" s="112">
        <v>0</v>
      </c>
      <c r="C23" s="112">
        <v>0</v>
      </c>
      <c r="D23" s="112">
        <v>0</v>
      </c>
      <c r="E23" s="112">
        <v>0.8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0.8</v>
      </c>
      <c r="Y23" s="112">
        <v>0</v>
      </c>
      <c r="Z23" s="112">
        <v>0</v>
      </c>
      <c r="AA23" s="112">
        <v>0.8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0.8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</row>
    <row r="24" spans="1:55" customFormat="1" x14ac:dyDescent="0.15">
      <c r="A24" s="191" t="s">
        <v>214</v>
      </c>
      <c r="B24" s="112">
        <v>0</v>
      </c>
      <c r="C24" s="112">
        <v>0</v>
      </c>
      <c r="D24" s="112">
        <v>0</v>
      </c>
      <c r="E24" s="112">
        <v>0.8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</row>
    <row r="25" spans="1:55" customFormat="1" x14ac:dyDescent="0.15">
      <c r="A25" s="191" t="s">
        <v>215</v>
      </c>
      <c r="B25" s="112">
        <v>0</v>
      </c>
      <c r="C25" s="112">
        <v>0</v>
      </c>
      <c r="D25" s="112">
        <v>0.8</v>
      </c>
      <c r="E25" s="112">
        <v>0.8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0.8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0.8</v>
      </c>
      <c r="AB25" s="112">
        <v>0</v>
      </c>
      <c r="AC25" s="112">
        <v>0</v>
      </c>
      <c r="AD25" s="112">
        <v>0</v>
      </c>
      <c r="AE25" s="112">
        <v>0</v>
      </c>
      <c r="AF25" s="112">
        <v>0.8</v>
      </c>
      <c r="AG25" s="112">
        <v>0</v>
      </c>
      <c r="AH25" s="112">
        <v>0</v>
      </c>
      <c r="AI25" s="112">
        <v>0.8</v>
      </c>
      <c r="AJ25" s="112">
        <v>0.8</v>
      </c>
      <c r="AK25" s="112">
        <v>0</v>
      </c>
      <c r="AL25" s="112">
        <v>0.8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</row>
    <row r="26" spans="1:55" customFormat="1" x14ac:dyDescent="0.15">
      <c r="A26" s="191" t="s">
        <v>216</v>
      </c>
      <c r="B26" s="112">
        <v>0</v>
      </c>
      <c r="C26" s="112">
        <v>0</v>
      </c>
      <c r="D26" s="112">
        <v>0.8</v>
      </c>
      <c r="E26" s="112">
        <v>0.8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0.8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0.8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</row>
    <row r="27" spans="1:55" customFormat="1" x14ac:dyDescent="0.15">
      <c r="A27" s="191" t="s">
        <v>217</v>
      </c>
      <c r="B27" s="112">
        <v>0</v>
      </c>
      <c r="C27" s="112">
        <v>0</v>
      </c>
      <c r="D27" s="112">
        <v>0.8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0.8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0.8</v>
      </c>
      <c r="AC27" s="112">
        <v>0</v>
      </c>
      <c r="AD27" s="112">
        <v>0</v>
      </c>
      <c r="AE27" s="112">
        <v>0.8</v>
      </c>
      <c r="AF27" s="112">
        <v>0</v>
      </c>
      <c r="AG27" s="112">
        <v>0</v>
      </c>
      <c r="AH27" s="112">
        <v>0.8</v>
      </c>
      <c r="AI27" s="112">
        <v>0.8</v>
      </c>
      <c r="AJ27" s="112">
        <v>0.8</v>
      </c>
      <c r="AK27" s="112">
        <v>0</v>
      </c>
      <c r="AL27" s="112">
        <v>0.8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</row>
    <row r="28" spans="1:55" customFormat="1" x14ac:dyDescent="0.15">
      <c r="A28" s="191" t="s">
        <v>218</v>
      </c>
      <c r="B28" s="112">
        <v>0</v>
      </c>
      <c r="C28" s="112">
        <v>0</v>
      </c>
      <c r="D28" s="112">
        <v>0</v>
      </c>
      <c r="E28" s="112">
        <v>0.8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0.8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0.8</v>
      </c>
      <c r="AG28" s="112">
        <v>0</v>
      </c>
      <c r="AH28" s="112">
        <v>0.8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</row>
    <row r="29" spans="1:55" customFormat="1" x14ac:dyDescent="0.15">
      <c r="A29" s="191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0.8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0.8</v>
      </c>
      <c r="AB29" s="112">
        <v>0.8</v>
      </c>
      <c r="AC29" s="112">
        <v>0</v>
      </c>
      <c r="AD29" s="112">
        <v>0</v>
      </c>
      <c r="AE29" s="112">
        <v>0.8</v>
      </c>
      <c r="AF29" s="112">
        <v>0</v>
      </c>
      <c r="AG29" s="112">
        <v>0</v>
      </c>
      <c r="AH29" s="112">
        <v>0</v>
      </c>
      <c r="AI29" s="112">
        <v>0</v>
      </c>
      <c r="AJ29" s="112">
        <v>0.8</v>
      </c>
      <c r="AK29" s="112">
        <v>0.8</v>
      </c>
      <c r="AL29" s="112">
        <v>0.8</v>
      </c>
      <c r="AM29" s="112">
        <v>0</v>
      </c>
      <c r="AN29" s="112">
        <v>0</v>
      </c>
      <c r="AO29" s="112">
        <v>0.8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</row>
    <row r="30" spans="1:55" customFormat="1" x14ac:dyDescent="0.15">
      <c r="A30" s="191" t="s">
        <v>220</v>
      </c>
      <c r="B30" s="112">
        <v>0</v>
      </c>
      <c r="C30" s="112">
        <v>0</v>
      </c>
      <c r="D30" s="112">
        <v>0</v>
      </c>
      <c r="E30" s="112">
        <v>0.8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0.8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0.8</v>
      </c>
      <c r="AC30" s="112">
        <v>0</v>
      </c>
      <c r="AD30" s="112">
        <v>0</v>
      </c>
      <c r="AE30" s="112">
        <v>0</v>
      </c>
      <c r="AF30" s="112">
        <v>0.8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</row>
    <row r="31" spans="1:55" customFormat="1" x14ac:dyDescent="0.15">
      <c r="A31" s="191" t="s">
        <v>221</v>
      </c>
      <c r="B31" s="112">
        <v>0</v>
      </c>
      <c r="C31" s="112">
        <v>0</v>
      </c>
      <c r="D31" s="112">
        <v>0</v>
      </c>
      <c r="E31" s="112">
        <v>0.8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0.8</v>
      </c>
      <c r="AG31" s="112">
        <v>0</v>
      </c>
      <c r="AH31" s="112">
        <v>0.8</v>
      </c>
      <c r="AI31" s="112">
        <v>0</v>
      </c>
      <c r="AJ31" s="112">
        <v>0.8</v>
      </c>
      <c r="AK31" s="112">
        <v>0.8</v>
      </c>
      <c r="AL31" s="112">
        <v>0.8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</row>
    <row r="32" spans="1:55" customFormat="1" x14ac:dyDescent="0.15">
      <c r="A32" s="191" t="s">
        <v>222</v>
      </c>
      <c r="B32" s="112">
        <v>0</v>
      </c>
      <c r="C32" s="112">
        <v>0</v>
      </c>
      <c r="D32" s="112">
        <v>0.8</v>
      </c>
      <c r="E32" s="112">
        <v>0.8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0.8</v>
      </c>
      <c r="AM32" s="112">
        <v>0</v>
      </c>
      <c r="AN32" s="112">
        <v>0.8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</row>
    <row r="33" spans="1:55" x14ac:dyDescent="0.15">
      <c r="A33" s="191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0.8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0.8</v>
      </c>
      <c r="AF33" s="112">
        <v>0</v>
      </c>
      <c r="AG33" s="112">
        <v>0</v>
      </c>
      <c r="AH33" s="112">
        <v>0.8</v>
      </c>
      <c r="AI33" s="112">
        <v>0</v>
      </c>
      <c r="AJ33" s="112">
        <v>0.8</v>
      </c>
      <c r="AK33" s="112">
        <v>0.8</v>
      </c>
      <c r="AL33" s="112">
        <v>0.8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</row>
    <row r="34" spans="1:55" x14ac:dyDescent="0.15">
      <c r="A34" s="191" t="s">
        <v>224</v>
      </c>
      <c r="B34" s="112">
        <v>0</v>
      </c>
      <c r="C34" s="112">
        <v>0</v>
      </c>
      <c r="D34" s="112">
        <v>0</v>
      </c>
      <c r="E34" s="112">
        <v>0.8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0.8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0.8</v>
      </c>
      <c r="AC34" s="112">
        <v>0</v>
      </c>
      <c r="AD34" s="112">
        <v>0</v>
      </c>
      <c r="AE34" s="112">
        <v>0</v>
      </c>
      <c r="AF34" s="112">
        <v>0.8</v>
      </c>
      <c r="AG34" s="112">
        <v>0</v>
      </c>
      <c r="AH34" s="112">
        <v>0.8</v>
      </c>
      <c r="AI34" s="112">
        <v>0</v>
      </c>
      <c r="AJ34" s="112">
        <v>0</v>
      </c>
      <c r="AK34" s="112">
        <v>0</v>
      </c>
      <c r="AL34" s="112">
        <v>0.8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</row>
    <row r="35" spans="1:55" x14ac:dyDescent="0.15">
      <c r="A35" s="191" t="s">
        <v>225</v>
      </c>
      <c r="B35" s="112">
        <v>0</v>
      </c>
      <c r="C35" s="112">
        <v>0</v>
      </c>
      <c r="D35" s="112">
        <v>0</v>
      </c>
      <c r="E35" s="112">
        <v>0.8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0.8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0.8</v>
      </c>
      <c r="AI35" s="112">
        <v>0</v>
      </c>
      <c r="AJ35" s="112">
        <v>0.8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</row>
    <row r="36" spans="1:55" x14ac:dyDescent="0.15">
      <c r="A36" s="191" t="s">
        <v>226</v>
      </c>
      <c r="B36" s="112">
        <v>0</v>
      </c>
      <c r="C36" s="112">
        <v>0</v>
      </c>
      <c r="D36" s="112">
        <v>0</v>
      </c>
      <c r="E36" s="112">
        <v>0.8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0.8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</row>
    <row r="37" spans="1:55" x14ac:dyDescent="0.15">
      <c r="A37" s="191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0.8</v>
      </c>
      <c r="AC37" s="112">
        <v>0</v>
      </c>
      <c r="AD37" s="112">
        <v>0.8</v>
      </c>
      <c r="AE37" s="112">
        <v>0</v>
      </c>
      <c r="AF37" s="112">
        <v>0</v>
      </c>
      <c r="AG37" s="112">
        <v>0</v>
      </c>
      <c r="AH37" s="112">
        <v>0.8</v>
      </c>
      <c r="AI37" s="112">
        <v>0</v>
      </c>
      <c r="AJ37" s="112">
        <v>0</v>
      </c>
      <c r="AK37" s="112">
        <v>0</v>
      </c>
      <c r="AL37" s="112">
        <v>0.8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</row>
    <row r="38" spans="1:55" x14ac:dyDescent="0.15">
      <c r="A38" s="191" t="s">
        <v>228</v>
      </c>
      <c r="B38" s="112">
        <v>0</v>
      </c>
      <c r="C38" s="112">
        <v>0</v>
      </c>
      <c r="D38" s="112">
        <v>0</v>
      </c>
      <c r="E38" s="112">
        <v>0.8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0.8</v>
      </c>
      <c r="AG38" s="112">
        <v>0</v>
      </c>
      <c r="AH38" s="112">
        <v>0.8</v>
      </c>
      <c r="AI38" s="112">
        <v>0</v>
      </c>
      <c r="AJ38" s="112">
        <v>0</v>
      </c>
      <c r="AK38" s="112">
        <v>0</v>
      </c>
      <c r="AL38" s="112">
        <v>0.8</v>
      </c>
      <c r="AM38" s="112">
        <v>0.8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</row>
    <row r="39" spans="1:55" x14ac:dyDescent="0.15">
      <c r="A39" s="191" t="s">
        <v>229</v>
      </c>
      <c r="B39" s="112">
        <v>0.8</v>
      </c>
      <c r="C39" s="112">
        <v>0</v>
      </c>
      <c r="D39" s="112">
        <v>0</v>
      </c>
      <c r="E39" s="112">
        <v>0.8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0.8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0.8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0.8</v>
      </c>
      <c r="AC39" s="112">
        <v>0</v>
      </c>
      <c r="AD39" s="112">
        <v>0</v>
      </c>
      <c r="AE39" s="112">
        <v>0.8</v>
      </c>
      <c r="AF39" s="112">
        <v>0</v>
      </c>
      <c r="AG39" s="112">
        <v>0</v>
      </c>
      <c r="AH39" s="112">
        <v>0.8</v>
      </c>
      <c r="AI39" s="112">
        <v>0</v>
      </c>
      <c r="AJ39" s="112">
        <v>0</v>
      </c>
      <c r="AK39" s="112">
        <v>0</v>
      </c>
      <c r="AL39" s="112">
        <v>0</v>
      </c>
      <c r="AM39" s="112">
        <v>0.8</v>
      </c>
      <c r="AN39" s="112">
        <v>0.8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</row>
    <row r="40" spans="1:55" x14ac:dyDescent="0.15">
      <c r="A40" s="191" t="s">
        <v>230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0.8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0.8</v>
      </c>
      <c r="AG40" s="112">
        <v>0</v>
      </c>
      <c r="AH40" s="112">
        <v>0.8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</row>
    <row r="41" spans="1:55" x14ac:dyDescent="0.15">
      <c r="A41" s="191" t="s">
        <v>231</v>
      </c>
      <c r="B41" s="112">
        <v>0.8</v>
      </c>
      <c r="C41" s="112">
        <v>0</v>
      </c>
      <c r="D41" s="112">
        <v>0.8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0.8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0.8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0.8</v>
      </c>
      <c r="AC41" s="112">
        <v>0</v>
      </c>
      <c r="AD41" s="112">
        <v>0</v>
      </c>
      <c r="AE41" s="112">
        <v>0.8</v>
      </c>
      <c r="AF41" s="112">
        <v>0.8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0.8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</row>
    <row r="42" spans="1:55" x14ac:dyDescent="0.15">
      <c r="A42" s="191" t="s">
        <v>232</v>
      </c>
      <c r="B42" s="112">
        <v>0.8</v>
      </c>
      <c r="C42" s="112">
        <v>0</v>
      </c>
      <c r="D42" s="112">
        <v>0</v>
      </c>
      <c r="E42" s="112">
        <v>0</v>
      </c>
      <c r="F42" s="112">
        <v>0.8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0.8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0.8</v>
      </c>
      <c r="W42" s="112">
        <v>0.8</v>
      </c>
      <c r="X42" s="112">
        <v>0.8</v>
      </c>
      <c r="Y42" s="112">
        <v>0</v>
      </c>
      <c r="Z42" s="112">
        <v>0</v>
      </c>
      <c r="AA42" s="112">
        <v>0.8</v>
      </c>
      <c r="AB42" s="112">
        <v>0</v>
      </c>
      <c r="AC42" s="112">
        <v>0.8</v>
      </c>
      <c r="AD42" s="112">
        <v>0.8</v>
      </c>
      <c r="AE42" s="112">
        <v>0.8</v>
      </c>
      <c r="AF42" s="112">
        <v>0.8</v>
      </c>
      <c r="AG42" s="112">
        <v>0.8</v>
      </c>
      <c r="AH42" s="112">
        <v>0</v>
      </c>
      <c r="AI42" s="112">
        <v>0</v>
      </c>
      <c r="AJ42" s="112">
        <v>0.8</v>
      </c>
      <c r="AK42" s="112">
        <v>0.8</v>
      </c>
      <c r="AL42" s="112">
        <v>0</v>
      </c>
      <c r="AM42" s="112">
        <v>0.8</v>
      </c>
      <c r="AN42" s="112">
        <v>0.8</v>
      </c>
      <c r="AO42" s="112">
        <v>0.8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</row>
    <row r="43" spans="1:55" x14ac:dyDescent="0.15">
      <c r="A43" s="191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0.8</v>
      </c>
      <c r="W43" s="112">
        <v>0.8</v>
      </c>
      <c r="X43" s="112">
        <v>0</v>
      </c>
      <c r="Y43" s="112">
        <v>0</v>
      </c>
      <c r="Z43" s="112">
        <v>0</v>
      </c>
      <c r="AA43" s="112">
        <v>0.8</v>
      </c>
      <c r="AB43" s="112">
        <v>0.8</v>
      </c>
      <c r="AC43" s="112">
        <v>0</v>
      </c>
      <c r="AD43" s="112">
        <v>0</v>
      </c>
      <c r="AE43" s="112">
        <v>0.8</v>
      </c>
      <c r="AF43" s="112">
        <v>0</v>
      </c>
      <c r="AG43" s="112">
        <v>0</v>
      </c>
      <c r="AH43" s="112">
        <v>0</v>
      </c>
      <c r="AI43" s="112">
        <v>0.8</v>
      </c>
      <c r="AJ43" s="112">
        <v>0.8</v>
      </c>
      <c r="AK43" s="112">
        <v>0.8</v>
      </c>
      <c r="AL43" s="112">
        <v>0.8</v>
      </c>
      <c r="AM43" s="112">
        <v>0.8</v>
      </c>
      <c r="AN43" s="112">
        <v>0.8</v>
      </c>
      <c r="AO43" s="112">
        <v>0.8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</row>
    <row r="44" spans="1:55" x14ac:dyDescent="0.15">
      <c r="A44" s="191" t="s">
        <v>234</v>
      </c>
      <c r="B44" s="112">
        <v>0.8</v>
      </c>
      <c r="C44" s="112">
        <v>0.8</v>
      </c>
      <c r="D44" s="112">
        <v>0</v>
      </c>
      <c r="E44" s="112">
        <v>0.8</v>
      </c>
      <c r="F44" s="112">
        <v>0.8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0.8</v>
      </c>
      <c r="M44" s="112">
        <v>0.8</v>
      </c>
      <c r="N44" s="112">
        <v>0.8</v>
      </c>
      <c r="O44" s="112">
        <v>0.8</v>
      </c>
      <c r="P44" s="112">
        <v>0.8</v>
      </c>
      <c r="Q44" s="112">
        <v>0.8</v>
      </c>
      <c r="R44" s="112">
        <v>0</v>
      </c>
      <c r="S44" s="112">
        <v>0</v>
      </c>
      <c r="T44" s="112">
        <v>0</v>
      </c>
      <c r="U44" s="112">
        <v>0</v>
      </c>
      <c r="V44" s="112">
        <v>0.8</v>
      </c>
      <c r="W44" s="112">
        <v>0.8</v>
      </c>
      <c r="X44" s="112">
        <v>0.8</v>
      </c>
      <c r="Y44" s="112">
        <v>0</v>
      </c>
      <c r="Z44" s="112">
        <v>0</v>
      </c>
      <c r="AA44" s="112">
        <v>0.8</v>
      </c>
      <c r="AB44" s="112">
        <v>0.8</v>
      </c>
      <c r="AC44" s="112">
        <v>0.8</v>
      </c>
      <c r="AD44" s="112">
        <v>0.8</v>
      </c>
      <c r="AE44" s="112">
        <v>0.8</v>
      </c>
      <c r="AF44" s="112">
        <v>0.8</v>
      </c>
      <c r="AG44" s="112">
        <v>0.8</v>
      </c>
      <c r="AH44" s="112">
        <v>0.8</v>
      </c>
      <c r="AI44" s="112">
        <v>0.8</v>
      </c>
      <c r="AJ44" s="112">
        <v>0.8</v>
      </c>
      <c r="AK44" s="112">
        <v>0</v>
      </c>
      <c r="AL44" s="112">
        <v>0.8</v>
      </c>
      <c r="AM44" s="112">
        <v>0.8</v>
      </c>
      <c r="AN44" s="112">
        <v>0.8</v>
      </c>
      <c r="AO44" s="112">
        <v>0.8</v>
      </c>
      <c r="AP44" s="112">
        <v>0.8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</row>
    <row r="45" spans="1:55" x14ac:dyDescent="0.15">
      <c r="A45" s="191" t="s">
        <v>235</v>
      </c>
      <c r="B45" s="112">
        <v>0</v>
      </c>
      <c r="C45" s="112">
        <v>0.8</v>
      </c>
      <c r="D45" s="112">
        <v>0</v>
      </c>
      <c r="E45" s="112">
        <v>0.8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0.8</v>
      </c>
      <c r="M45" s="112">
        <v>0.8</v>
      </c>
      <c r="N45" s="112">
        <v>0.8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0.8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0.8</v>
      </c>
      <c r="AD45" s="112">
        <v>0.8</v>
      </c>
      <c r="AE45" s="112">
        <v>0</v>
      </c>
      <c r="AF45" s="112">
        <v>0</v>
      </c>
      <c r="AG45" s="112">
        <v>0.8</v>
      </c>
      <c r="AH45" s="112">
        <v>0.8</v>
      </c>
      <c r="AI45" s="112">
        <v>0</v>
      </c>
      <c r="AJ45" s="112">
        <v>0</v>
      </c>
      <c r="AK45" s="112">
        <v>0</v>
      </c>
      <c r="AL45" s="112">
        <v>0</v>
      </c>
      <c r="AM45" s="112">
        <v>0.8</v>
      </c>
      <c r="AN45" s="112">
        <v>0.8</v>
      </c>
      <c r="AO45" s="112">
        <v>0.8</v>
      </c>
      <c r="AP45" s="112">
        <v>0.8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</row>
    <row r="46" spans="1:55" x14ac:dyDescent="0.15">
      <c r="A46" s="191" t="s">
        <v>236</v>
      </c>
      <c r="B46" s="112">
        <v>0</v>
      </c>
      <c r="C46" s="112">
        <v>0.8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0.8</v>
      </c>
      <c r="M46" s="112">
        <v>0.8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0.8</v>
      </c>
      <c r="Y46" s="112">
        <v>0</v>
      </c>
      <c r="Z46" s="112">
        <v>0</v>
      </c>
      <c r="AA46" s="112">
        <v>0</v>
      </c>
      <c r="AB46" s="112">
        <v>0</v>
      </c>
      <c r="AC46" s="112">
        <v>0.8</v>
      </c>
      <c r="AD46" s="112">
        <v>0.8</v>
      </c>
      <c r="AE46" s="112">
        <v>0</v>
      </c>
      <c r="AF46" s="112">
        <v>0</v>
      </c>
      <c r="AG46" s="112">
        <v>0.8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0.8</v>
      </c>
      <c r="AN46" s="112">
        <v>0.8</v>
      </c>
      <c r="AO46" s="112">
        <v>0.8</v>
      </c>
      <c r="AP46" s="112">
        <v>0.8</v>
      </c>
      <c r="AQ46" s="112">
        <v>0.8</v>
      </c>
      <c r="AR46" s="112">
        <v>0.8</v>
      </c>
      <c r="AS46" s="112">
        <v>0.8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</row>
    <row r="47" spans="1:55" x14ac:dyDescent="0.15">
      <c r="A47" s="191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0.8</v>
      </c>
      <c r="G47" s="112">
        <v>0.8</v>
      </c>
      <c r="H47" s="112">
        <v>0</v>
      </c>
      <c r="I47" s="112">
        <v>0</v>
      </c>
      <c r="J47" s="112">
        <v>0.8</v>
      </c>
      <c r="K47" s="112">
        <v>0.8</v>
      </c>
      <c r="L47" s="112">
        <v>0</v>
      </c>
      <c r="M47" s="112">
        <v>0.8</v>
      </c>
      <c r="N47" s="112">
        <v>0</v>
      </c>
      <c r="O47" s="112">
        <v>0</v>
      </c>
      <c r="P47" s="112">
        <v>0.8</v>
      </c>
      <c r="Q47" s="112">
        <v>0.8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0.8</v>
      </c>
      <c r="Y47" s="112">
        <v>0</v>
      </c>
      <c r="Z47" s="112">
        <v>0.8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0.8</v>
      </c>
      <c r="AJ47" s="112">
        <v>0.8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0.8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</row>
    <row r="48" spans="1:55" x14ac:dyDescent="0.15">
      <c r="A48" s="191" t="s">
        <v>238</v>
      </c>
      <c r="B48" s="112">
        <v>0</v>
      </c>
      <c r="C48" s="112">
        <v>0.8</v>
      </c>
      <c r="D48" s="112">
        <v>0.8</v>
      </c>
      <c r="E48" s="112">
        <v>0</v>
      </c>
      <c r="F48" s="112">
        <v>0.8</v>
      </c>
      <c r="G48" s="112">
        <v>0.8</v>
      </c>
      <c r="H48" s="112">
        <v>0.8</v>
      </c>
      <c r="I48" s="112">
        <v>0.8</v>
      </c>
      <c r="J48" s="112">
        <v>0.8</v>
      </c>
      <c r="K48" s="112">
        <v>0.8</v>
      </c>
      <c r="L48" s="112">
        <v>0.8</v>
      </c>
      <c r="M48" s="112">
        <v>0.8</v>
      </c>
      <c r="N48" s="112">
        <v>0.8</v>
      </c>
      <c r="O48" s="112">
        <v>0.8</v>
      </c>
      <c r="P48" s="112">
        <v>0.8</v>
      </c>
      <c r="Q48" s="112">
        <v>0.8</v>
      </c>
      <c r="R48" s="112">
        <v>0.8</v>
      </c>
      <c r="S48" s="112">
        <v>0.8</v>
      </c>
      <c r="T48" s="112">
        <v>0.8</v>
      </c>
      <c r="U48" s="112">
        <v>0.8</v>
      </c>
      <c r="V48" s="112">
        <v>0.8</v>
      </c>
      <c r="W48" s="112">
        <v>0.8</v>
      </c>
      <c r="X48" s="112">
        <v>0.8</v>
      </c>
      <c r="Y48" s="112">
        <v>0.8</v>
      </c>
      <c r="Z48" s="112">
        <v>0.8</v>
      </c>
      <c r="AA48" s="112">
        <v>0.8</v>
      </c>
      <c r="AB48" s="112">
        <v>0.8</v>
      </c>
      <c r="AC48" s="112">
        <v>0</v>
      </c>
      <c r="AD48" s="112">
        <v>0.8</v>
      </c>
      <c r="AE48" s="112">
        <v>0</v>
      </c>
      <c r="AF48" s="112">
        <v>0</v>
      </c>
      <c r="AG48" s="112">
        <v>0.8</v>
      </c>
      <c r="AH48" s="112">
        <v>0</v>
      </c>
      <c r="AI48" s="112">
        <v>0.8</v>
      </c>
      <c r="AJ48" s="112">
        <v>0</v>
      </c>
      <c r="AK48" s="112">
        <v>0</v>
      </c>
      <c r="AL48" s="112">
        <v>0</v>
      </c>
      <c r="AM48" s="112">
        <v>0.8</v>
      </c>
      <c r="AN48" s="112">
        <v>0</v>
      </c>
      <c r="AO48" s="112">
        <v>0</v>
      </c>
      <c r="AP48" s="112">
        <v>0</v>
      </c>
      <c r="AQ48" s="112">
        <v>0.8</v>
      </c>
      <c r="AR48" s="112">
        <v>0</v>
      </c>
      <c r="AS48" s="112">
        <v>0</v>
      </c>
      <c r="AT48" s="112">
        <v>0</v>
      </c>
      <c r="AU48" s="112">
        <v>0.8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</row>
    <row r="49" spans="1:55" x14ac:dyDescent="0.15">
      <c r="A49" s="191" t="s">
        <v>239</v>
      </c>
      <c r="B49" s="112">
        <v>0</v>
      </c>
      <c r="C49" s="112">
        <v>0.8</v>
      </c>
      <c r="D49" s="112">
        <v>0</v>
      </c>
      <c r="E49" s="112">
        <v>0</v>
      </c>
      <c r="F49" s="112">
        <v>0.8</v>
      </c>
      <c r="G49" s="112">
        <v>0.8</v>
      </c>
      <c r="H49" s="112">
        <v>0</v>
      </c>
      <c r="I49" s="112">
        <v>0</v>
      </c>
      <c r="J49" s="112">
        <v>0.8</v>
      </c>
      <c r="K49" s="112">
        <v>0.8</v>
      </c>
      <c r="L49" s="112">
        <v>0</v>
      </c>
      <c r="M49" s="112">
        <v>0.8</v>
      </c>
      <c r="N49" s="112">
        <v>0.8</v>
      </c>
      <c r="O49" s="112">
        <v>0.8</v>
      </c>
      <c r="P49" s="112">
        <v>0.8</v>
      </c>
      <c r="Q49" s="112">
        <v>0.8</v>
      </c>
      <c r="R49" s="112">
        <v>0.8</v>
      </c>
      <c r="S49" s="112">
        <v>0.8</v>
      </c>
      <c r="T49" s="112">
        <v>0.8</v>
      </c>
      <c r="U49" s="112">
        <v>0.8</v>
      </c>
      <c r="V49" s="112">
        <v>0</v>
      </c>
      <c r="W49" s="112">
        <v>0.8</v>
      </c>
      <c r="X49" s="112">
        <v>0</v>
      </c>
      <c r="Y49" s="112">
        <v>0.8</v>
      </c>
      <c r="Z49" s="112">
        <v>0.8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0.8</v>
      </c>
      <c r="AH49" s="112">
        <v>0</v>
      </c>
      <c r="AI49" s="112">
        <v>0</v>
      </c>
      <c r="AJ49" s="112">
        <v>0</v>
      </c>
      <c r="AK49" s="112">
        <v>0</v>
      </c>
      <c r="AL49" s="112">
        <v>0</v>
      </c>
      <c r="AM49" s="112">
        <v>0.8</v>
      </c>
      <c r="AN49" s="112">
        <v>0</v>
      </c>
      <c r="AO49" s="112">
        <v>0</v>
      </c>
      <c r="AP49" s="112">
        <v>0</v>
      </c>
      <c r="AQ49" s="112">
        <v>0.8</v>
      </c>
      <c r="AR49" s="112">
        <v>0</v>
      </c>
      <c r="AS49" s="112">
        <v>0</v>
      </c>
      <c r="AT49" s="112">
        <v>0</v>
      </c>
      <c r="AU49" s="112">
        <v>0.8</v>
      </c>
      <c r="AV49" s="112">
        <v>0.8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</row>
    <row r="50" spans="1:55" x14ac:dyDescent="0.15">
      <c r="A50" s="191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</row>
    <row r="51" spans="1:55" x14ac:dyDescent="0.15">
      <c r="A51" s="191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0</v>
      </c>
      <c r="AR51" s="112">
        <v>0.8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</row>
    <row r="52" spans="1:55" x14ac:dyDescent="0.15">
      <c r="A52" s="191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0.8</v>
      </c>
      <c r="AW52" s="112">
        <v>0.8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</row>
    <row r="53" spans="1:55" x14ac:dyDescent="0.15">
      <c r="A53" s="191" t="s">
        <v>243</v>
      </c>
      <c r="B53" s="112">
        <v>0</v>
      </c>
      <c r="C53" s="112">
        <v>0</v>
      </c>
      <c r="D53" s="112">
        <v>0.8</v>
      </c>
      <c r="E53" s="112">
        <v>0</v>
      </c>
      <c r="F53" s="112">
        <v>0.8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  <c r="BC53" s="112">
        <v>0</v>
      </c>
    </row>
    <row r="54" spans="1:55" x14ac:dyDescent="0.15">
      <c r="A54" s="191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0.8</v>
      </c>
      <c r="K54" s="112">
        <v>0.8</v>
      </c>
      <c r="L54" s="112">
        <v>0</v>
      </c>
      <c r="M54" s="112">
        <v>0.8</v>
      </c>
      <c r="N54" s="112">
        <v>0</v>
      </c>
      <c r="O54" s="112">
        <v>0</v>
      </c>
      <c r="P54" s="112">
        <v>0.8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0.8</v>
      </c>
      <c r="Y54" s="112">
        <v>0</v>
      </c>
      <c r="Z54" s="112">
        <v>0</v>
      </c>
      <c r="AA54" s="112">
        <v>0.8</v>
      </c>
      <c r="AB54" s="112">
        <v>0.8</v>
      </c>
      <c r="AC54" s="112">
        <v>0</v>
      </c>
      <c r="AD54" s="112">
        <v>0</v>
      </c>
      <c r="AE54" s="112">
        <v>0.8</v>
      </c>
      <c r="AF54" s="112">
        <v>0.8</v>
      </c>
      <c r="AG54" s="112">
        <v>0.8</v>
      </c>
      <c r="AH54" s="112">
        <v>0.8</v>
      </c>
      <c r="AI54" s="112">
        <v>0</v>
      </c>
      <c r="AJ54" s="112">
        <v>0.8</v>
      </c>
      <c r="AK54" s="112">
        <v>0.8</v>
      </c>
      <c r="AL54" s="112">
        <v>0.8</v>
      </c>
      <c r="AM54" s="112">
        <v>0.8</v>
      </c>
      <c r="AN54" s="112">
        <v>0.8</v>
      </c>
      <c r="AO54" s="112">
        <v>0.8</v>
      </c>
      <c r="AP54" s="112">
        <v>0</v>
      </c>
      <c r="AQ54" s="112">
        <v>0.8</v>
      </c>
      <c r="AR54" s="112">
        <v>0.8</v>
      </c>
      <c r="AS54" s="112">
        <v>0.8</v>
      </c>
      <c r="AT54" s="112">
        <v>0.8</v>
      </c>
      <c r="AU54" s="112">
        <v>0.8</v>
      </c>
      <c r="AV54" s="112">
        <v>0</v>
      </c>
      <c r="AW54" s="112">
        <v>0</v>
      </c>
      <c r="AX54" s="112">
        <v>0.8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</row>
    <row r="55" spans="1:55" x14ac:dyDescent="0.15">
      <c r="A55" s="191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</row>
    <row r="56" spans="1:55" x14ac:dyDescent="0.15">
      <c r="A56" s="191" t="s">
        <v>262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0.8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8.5" style="112" bestFit="1" customWidth="1"/>
    <col min="2" max="55" width="2.33203125" style="112" customWidth="1"/>
    <col min="56" max="16384" width="10.83203125" style="112"/>
  </cols>
  <sheetData>
    <row r="1" spans="1:55" x14ac:dyDescent="0.15">
      <c r="A1" s="63" t="s">
        <v>139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  <c r="AK1" s="194" t="s">
        <v>227</v>
      </c>
      <c r="AL1" s="194" t="s">
        <v>228</v>
      </c>
      <c r="AM1" s="194" t="s">
        <v>229</v>
      </c>
      <c r="AN1" s="194" t="s">
        <v>230</v>
      </c>
      <c r="AO1" s="194" t="s">
        <v>231</v>
      </c>
      <c r="AP1" s="194" t="s">
        <v>232</v>
      </c>
      <c r="AQ1" s="194" t="s">
        <v>233</v>
      </c>
      <c r="AR1" s="194" t="s">
        <v>234</v>
      </c>
      <c r="AS1" s="194" t="s">
        <v>235</v>
      </c>
      <c r="AT1" s="194" t="s">
        <v>236</v>
      </c>
      <c r="AU1" s="194" t="s">
        <v>237</v>
      </c>
      <c r="AV1" s="194" t="s">
        <v>238</v>
      </c>
      <c r="AW1" s="194" t="s">
        <v>239</v>
      </c>
      <c r="AX1" s="194" t="s">
        <v>240</v>
      </c>
      <c r="AY1" s="194" t="s">
        <v>241</v>
      </c>
      <c r="AZ1" s="194" t="s">
        <v>242</v>
      </c>
      <c r="BA1" s="194" t="s">
        <v>243</v>
      </c>
      <c r="BB1" s="194" t="s">
        <v>244</v>
      </c>
      <c r="BC1" s="194" t="s">
        <v>245</v>
      </c>
    </row>
    <row r="2" spans="1:55" customFormat="1" x14ac:dyDescent="0.15">
      <c r="A2" s="193" t="s">
        <v>192</v>
      </c>
      <c r="B2" s="112">
        <v>0</v>
      </c>
      <c r="C2" s="112">
        <v>0</v>
      </c>
      <c r="D2" s="112">
        <v>1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</row>
    <row r="3" spans="1:55" customFormat="1" x14ac:dyDescent="0.15">
      <c r="A3" s="193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</row>
    <row r="4" spans="1:55" customFormat="1" x14ac:dyDescent="0.15">
      <c r="A4" s="193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</row>
    <row r="5" spans="1:55" customFormat="1" x14ac:dyDescent="0.15">
      <c r="A5" s="193" t="s">
        <v>195</v>
      </c>
      <c r="B5" s="112">
        <v>0</v>
      </c>
      <c r="C5" s="112">
        <v>0</v>
      </c>
      <c r="D5" s="112">
        <v>1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</row>
    <row r="6" spans="1:55" customFormat="1" x14ac:dyDescent="0.15">
      <c r="A6" s="193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</row>
    <row r="7" spans="1:55" customFormat="1" x14ac:dyDescent="0.15">
      <c r="A7" s="193" t="s">
        <v>197</v>
      </c>
      <c r="B7" s="112">
        <v>0</v>
      </c>
      <c r="C7" s="112">
        <v>0</v>
      </c>
      <c r="D7" s="112">
        <v>1</v>
      </c>
      <c r="E7" s="112">
        <v>1</v>
      </c>
      <c r="F7" s="112">
        <v>1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1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</row>
    <row r="8" spans="1:55" customFormat="1" x14ac:dyDescent="0.15">
      <c r="A8" s="193" t="s">
        <v>198</v>
      </c>
      <c r="B8" s="112">
        <v>0</v>
      </c>
      <c r="C8" s="112">
        <v>0</v>
      </c>
      <c r="D8" s="112">
        <v>1</v>
      </c>
      <c r="E8" s="112">
        <v>1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1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</row>
    <row r="9" spans="1:55" customFormat="1" x14ac:dyDescent="0.15">
      <c r="A9" s="193" t="s">
        <v>199</v>
      </c>
      <c r="B9" s="112">
        <v>0</v>
      </c>
      <c r="C9" s="112">
        <v>0</v>
      </c>
      <c r="D9" s="112">
        <v>1</v>
      </c>
      <c r="E9" s="112">
        <v>1</v>
      </c>
      <c r="F9" s="112">
        <v>0</v>
      </c>
      <c r="G9" s="112">
        <v>0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1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</row>
    <row r="10" spans="1:55" customFormat="1" x14ac:dyDescent="0.15">
      <c r="A10" s="193" t="s">
        <v>200</v>
      </c>
      <c r="B10" s="112">
        <v>1</v>
      </c>
      <c r="C10" s="112">
        <v>0</v>
      </c>
      <c r="D10" s="112">
        <v>1</v>
      </c>
      <c r="E10" s="112">
        <v>1</v>
      </c>
      <c r="F10" s="112">
        <v>1</v>
      </c>
      <c r="G10" s="112">
        <v>0</v>
      </c>
      <c r="H10" s="112">
        <v>1</v>
      </c>
      <c r="I10" s="112">
        <v>0</v>
      </c>
      <c r="J10" s="112">
        <v>0</v>
      </c>
      <c r="K10" s="112">
        <v>1</v>
      </c>
      <c r="L10" s="112">
        <v>0</v>
      </c>
      <c r="M10" s="112">
        <v>1</v>
      </c>
      <c r="N10" s="112">
        <v>0</v>
      </c>
      <c r="O10" s="112">
        <v>1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1</v>
      </c>
      <c r="V10" s="112">
        <v>0</v>
      </c>
      <c r="W10" s="112">
        <v>0</v>
      </c>
      <c r="X10" s="112">
        <v>1</v>
      </c>
      <c r="Y10" s="112">
        <v>0</v>
      </c>
      <c r="Z10" s="112">
        <v>1</v>
      </c>
      <c r="AA10" s="112">
        <v>1</v>
      </c>
      <c r="AB10" s="112">
        <v>1</v>
      </c>
      <c r="AC10" s="112">
        <v>0</v>
      </c>
      <c r="AD10" s="112">
        <v>0</v>
      </c>
      <c r="AE10" s="112">
        <v>1</v>
      </c>
      <c r="AF10" s="112">
        <v>1</v>
      </c>
      <c r="AG10" s="112">
        <v>0</v>
      </c>
      <c r="AH10" s="112">
        <v>0</v>
      </c>
      <c r="AI10" s="112">
        <v>1</v>
      </c>
      <c r="AJ10" s="112">
        <v>1</v>
      </c>
      <c r="AK10" s="112">
        <v>0</v>
      </c>
      <c r="AL10" s="112">
        <v>0</v>
      </c>
      <c r="AM10" s="112">
        <v>1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</row>
    <row r="11" spans="1:55" customFormat="1" x14ac:dyDescent="0.15">
      <c r="A11" s="193" t="s">
        <v>201</v>
      </c>
      <c r="B11" s="112">
        <v>1</v>
      </c>
      <c r="C11" s="112">
        <v>0</v>
      </c>
      <c r="D11" s="112">
        <v>1</v>
      </c>
      <c r="E11" s="112">
        <v>1</v>
      </c>
      <c r="F11" s="112">
        <v>1</v>
      </c>
      <c r="G11" s="112">
        <v>0</v>
      </c>
      <c r="H11" s="112">
        <v>1</v>
      </c>
      <c r="I11" s="112">
        <v>0</v>
      </c>
      <c r="J11" s="112">
        <v>0</v>
      </c>
      <c r="K11" s="112">
        <v>1</v>
      </c>
      <c r="L11" s="112">
        <v>0</v>
      </c>
      <c r="M11" s="112">
        <v>1</v>
      </c>
      <c r="N11" s="112">
        <v>0</v>
      </c>
      <c r="O11" s="112">
        <v>1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1</v>
      </c>
      <c r="V11" s="112">
        <v>0</v>
      </c>
      <c r="W11" s="112">
        <v>0</v>
      </c>
      <c r="X11" s="112">
        <v>1</v>
      </c>
      <c r="Y11" s="112">
        <v>0</v>
      </c>
      <c r="Z11" s="112">
        <v>1</v>
      </c>
      <c r="AA11" s="112">
        <v>1</v>
      </c>
      <c r="AB11" s="112">
        <v>1</v>
      </c>
      <c r="AC11" s="112">
        <v>0</v>
      </c>
      <c r="AD11" s="112">
        <v>0</v>
      </c>
      <c r="AE11" s="112">
        <v>1</v>
      </c>
      <c r="AF11" s="112">
        <v>1</v>
      </c>
      <c r="AG11" s="112">
        <v>0</v>
      </c>
      <c r="AH11" s="112">
        <v>0</v>
      </c>
      <c r="AI11" s="112">
        <v>1</v>
      </c>
      <c r="AJ11" s="112">
        <v>1</v>
      </c>
      <c r="AK11" s="112">
        <v>0</v>
      </c>
      <c r="AL11" s="112">
        <v>0</v>
      </c>
      <c r="AM11" s="112">
        <v>1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</row>
    <row r="12" spans="1:55" customFormat="1" x14ac:dyDescent="0.15">
      <c r="A12" s="193" t="s">
        <v>202</v>
      </c>
      <c r="B12" s="112">
        <v>0</v>
      </c>
      <c r="C12" s="112">
        <v>0</v>
      </c>
      <c r="D12" s="112">
        <v>1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1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</row>
    <row r="13" spans="1:55" customFormat="1" x14ac:dyDescent="0.15">
      <c r="A13" s="193" t="s">
        <v>203</v>
      </c>
      <c r="B13" s="112">
        <v>0</v>
      </c>
      <c r="C13" s="112">
        <v>0</v>
      </c>
      <c r="D13" s="112">
        <v>0</v>
      </c>
      <c r="E13" s="112">
        <v>1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1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</row>
    <row r="14" spans="1:55" customFormat="1" x14ac:dyDescent="0.15">
      <c r="A14" s="193" t="s">
        <v>204</v>
      </c>
      <c r="B14" s="112">
        <v>1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1</v>
      </c>
      <c r="O14" s="112">
        <v>1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1</v>
      </c>
      <c r="AB14" s="112">
        <v>1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1</v>
      </c>
      <c r="AK14" s="112">
        <v>0</v>
      </c>
      <c r="AL14" s="112">
        <v>1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</row>
    <row r="15" spans="1:55" customFormat="1" x14ac:dyDescent="0.15">
      <c r="A15" s="193" t="s">
        <v>205</v>
      </c>
      <c r="B15" s="112">
        <v>0</v>
      </c>
      <c r="C15" s="112">
        <v>0</v>
      </c>
      <c r="D15" s="112">
        <v>0</v>
      </c>
      <c r="E15" s="112">
        <v>1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1</v>
      </c>
      <c r="AB15" s="112">
        <v>1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</row>
    <row r="16" spans="1:55" customFormat="1" x14ac:dyDescent="0.15">
      <c r="A16" s="193" t="s">
        <v>206</v>
      </c>
      <c r="B16" s="112">
        <v>0</v>
      </c>
      <c r="C16" s="112">
        <v>1</v>
      </c>
      <c r="D16" s="112">
        <v>1</v>
      </c>
      <c r="E16" s="112">
        <v>1</v>
      </c>
      <c r="F16" s="112">
        <v>1</v>
      </c>
      <c r="G16" s="112">
        <v>0</v>
      </c>
      <c r="H16" s="112">
        <v>1</v>
      </c>
      <c r="I16" s="112">
        <v>1</v>
      </c>
      <c r="J16" s="112">
        <v>1</v>
      </c>
      <c r="K16" s="112">
        <v>1</v>
      </c>
      <c r="L16" s="112">
        <v>1</v>
      </c>
      <c r="M16" s="112">
        <v>1</v>
      </c>
      <c r="N16" s="112">
        <v>1</v>
      </c>
      <c r="O16" s="112">
        <v>1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1</v>
      </c>
      <c r="W16" s="112">
        <v>0</v>
      </c>
      <c r="X16" s="112">
        <v>1</v>
      </c>
      <c r="Y16" s="112">
        <v>0</v>
      </c>
      <c r="Z16" s="112">
        <v>1</v>
      </c>
      <c r="AA16" s="112">
        <v>1</v>
      </c>
      <c r="AB16" s="112">
        <v>1</v>
      </c>
      <c r="AC16" s="112">
        <v>1</v>
      </c>
      <c r="AD16" s="112">
        <v>1</v>
      </c>
      <c r="AE16" s="112">
        <v>1</v>
      </c>
      <c r="AF16" s="112">
        <v>1</v>
      </c>
      <c r="AG16" s="112">
        <v>0</v>
      </c>
      <c r="AH16" s="112">
        <v>1</v>
      </c>
      <c r="AI16" s="112">
        <v>1</v>
      </c>
      <c r="AJ16" s="112">
        <v>1</v>
      </c>
      <c r="AK16" s="112">
        <v>1</v>
      </c>
      <c r="AL16" s="112">
        <v>1</v>
      </c>
      <c r="AM16" s="112">
        <v>1</v>
      </c>
      <c r="AN16" s="112">
        <v>1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</row>
    <row r="17" spans="1:55" customFormat="1" x14ac:dyDescent="0.15">
      <c r="A17" s="193" t="s">
        <v>207</v>
      </c>
      <c r="B17" s="112">
        <v>0</v>
      </c>
      <c r="C17" s="112">
        <v>0</v>
      </c>
      <c r="D17" s="112">
        <v>1</v>
      </c>
      <c r="E17" s="112">
        <v>0</v>
      </c>
      <c r="F17" s="112">
        <v>1</v>
      </c>
      <c r="G17" s="112">
        <v>0</v>
      </c>
      <c r="H17" s="112">
        <v>1</v>
      </c>
      <c r="I17" s="112">
        <v>1</v>
      </c>
      <c r="J17" s="112">
        <v>1</v>
      </c>
      <c r="K17" s="112">
        <v>1</v>
      </c>
      <c r="L17" s="112">
        <v>1</v>
      </c>
      <c r="M17" s="112">
        <v>1</v>
      </c>
      <c r="N17" s="112">
        <v>1</v>
      </c>
      <c r="O17" s="112">
        <v>1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1</v>
      </c>
      <c r="W17" s="112">
        <v>0</v>
      </c>
      <c r="X17" s="112">
        <v>1</v>
      </c>
      <c r="Y17" s="112">
        <v>0</v>
      </c>
      <c r="Z17" s="112">
        <v>1</v>
      </c>
      <c r="AA17" s="112">
        <v>1</v>
      </c>
      <c r="AB17" s="112">
        <v>1</v>
      </c>
      <c r="AC17" s="112">
        <v>1</v>
      </c>
      <c r="AD17" s="112">
        <v>1</v>
      </c>
      <c r="AE17" s="112">
        <v>1</v>
      </c>
      <c r="AF17" s="112">
        <v>1</v>
      </c>
      <c r="AG17" s="112">
        <v>0</v>
      </c>
      <c r="AH17" s="112">
        <v>1</v>
      </c>
      <c r="AI17" s="112">
        <v>1</v>
      </c>
      <c r="AJ17" s="112">
        <v>1</v>
      </c>
      <c r="AK17" s="112">
        <v>1</v>
      </c>
      <c r="AL17" s="112">
        <v>1</v>
      </c>
      <c r="AM17" s="112">
        <v>1</v>
      </c>
      <c r="AN17" s="112">
        <v>1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</row>
    <row r="18" spans="1:55" customFormat="1" x14ac:dyDescent="0.15">
      <c r="A18" s="193" t="s">
        <v>208</v>
      </c>
      <c r="B18" s="112">
        <v>0</v>
      </c>
      <c r="C18" s="112">
        <v>0</v>
      </c>
      <c r="D18" s="112">
        <v>1</v>
      </c>
      <c r="E18" s="112">
        <v>1</v>
      </c>
      <c r="F18" s="112">
        <v>1</v>
      </c>
      <c r="G18" s="112">
        <v>0</v>
      </c>
      <c r="H18" s="112">
        <v>0</v>
      </c>
      <c r="I18" s="112">
        <v>0</v>
      </c>
      <c r="J18" s="112">
        <v>1</v>
      </c>
      <c r="K18" s="112">
        <v>0</v>
      </c>
      <c r="L18" s="112">
        <v>0</v>
      </c>
      <c r="M18" s="112">
        <v>1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1</v>
      </c>
      <c r="W18" s="112">
        <v>0</v>
      </c>
      <c r="X18" s="112">
        <v>0</v>
      </c>
      <c r="Y18" s="112">
        <v>0</v>
      </c>
      <c r="Z18" s="112">
        <v>1</v>
      </c>
      <c r="AA18" s="112">
        <v>1</v>
      </c>
      <c r="AB18" s="112">
        <v>1</v>
      </c>
      <c r="AC18" s="112">
        <v>0</v>
      </c>
      <c r="AD18" s="112">
        <v>0</v>
      </c>
      <c r="AE18" s="112">
        <v>1</v>
      </c>
      <c r="AF18" s="112">
        <v>0</v>
      </c>
      <c r="AG18" s="112">
        <v>0</v>
      </c>
      <c r="AH18" s="112">
        <v>1</v>
      </c>
      <c r="AI18" s="112">
        <v>0</v>
      </c>
      <c r="AJ18" s="112">
        <v>0</v>
      </c>
      <c r="AK18" s="112">
        <v>1</v>
      </c>
      <c r="AL18" s="112">
        <v>1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1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</row>
    <row r="19" spans="1:55" customFormat="1" x14ac:dyDescent="0.15">
      <c r="A19" s="193" t="s">
        <v>209</v>
      </c>
      <c r="B19" s="112">
        <v>0</v>
      </c>
      <c r="C19" s="112">
        <v>1</v>
      </c>
      <c r="D19" s="112">
        <v>1</v>
      </c>
      <c r="E19" s="112">
        <v>1</v>
      </c>
      <c r="F19" s="112">
        <v>1</v>
      </c>
      <c r="G19" s="112">
        <v>0</v>
      </c>
      <c r="H19" s="112">
        <v>1</v>
      </c>
      <c r="I19" s="112">
        <v>1</v>
      </c>
      <c r="J19" s="112">
        <v>0</v>
      </c>
      <c r="K19" s="112">
        <v>0</v>
      </c>
      <c r="L19" s="112">
        <v>0</v>
      </c>
      <c r="M19" s="112">
        <v>1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1</v>
      </c>
      <c r="W19" s="112">
        <v>0</v>
      </c>
      <c r="X19" s="112">
        <v>0</v>
      </c>
      <c r="Y19" s="112">
        <v>0</v>
      </c>
      <c r="Z19" s="112">
        <v>0</v>
      </c>
      <c r="AA19" s="112">
        <v>1</v>
      </c>
      <c r="AB19" s="112">
        <v>1</v>
      </c>
      <c r="AC19" s="112">
        <v>0</v>
      </c>
      <c r="AD19" s="112">
        <v>0</v>
      </c>
      <c r="AE19" s="112">
        <v>0</v>
      </c>
      <c r="AF19" s="112">
        <v>1</v>
      </c>
      <c r="AG19" s="112">
        <v>0</v>
      </c>
      <c r="AH19" s="112">
        <v>1</v>
      </c>
      <c r="AI19" s="112">
        <v>1</v>
      </c>
      <c r="AJ19" s="112">
        <v>1</v>
      </c>
      <c r="AK19" s="112">
        <v>0</v>
      </c>
      <c r="AL19" s="112">
        <v>1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</row>
    <row r="20" spans="1:55" customFormat="1" x14ac:dyDescent="0.15">
      <c r="A20" s="193" t="s">
        <v>210</v>
      </c>
      <c r="B20" s="112">
        <v>0</v>
      </c>
      <c r="C20" s="112">
        <v>0</v>
      </c>
      <c r="D20" s="112">
        <v>1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1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1</v>
      </c>
      <c r="Y20" s="112">
        <v>0</v>
      </c>
      <c r="Z20" s="112">
        <v>0</v>
      </c>
      <c r="AA20" s="112">
        <v>0</v>
      </c>
      <c r="AB20" s="112">
        <v>1</v>
      </c>
      <c r="AC20" s="112">
        <v>0</v>
      </c>
      <c r="AD20" s="112">
        <v>0</v>
      </c>
      <c r="AE20" s="112">
        <v>1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1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</row>
    <row r="21" spans="1:55" customFormat="1" x14ac:dyDescent="0.15">
      <c r="A21" s="193" t="s">
        <v>211</v>
      </c>
      <c r="B21" s="112">
        <v>0</v>
      </c>
      <c r="C21" s="112">
        <v>0</v>
      </c>
      <c r="D21" s="112">
        <v>0</v>
      </c>
      <c r="E21" s="112">
        <v>1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</v>
      </c>
      <c r="L21" s="112">
        <v>0</v>
      </c>
      <c r="M21" s="112">
        <v>1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1</v>
      </c>
      <c r="AC21" s="112">
        <v>0</v>
      </c>
      <c r="AD21" s="112">
        <v>0</v>
      </c>
      <c r="AE21" s="112">
        <v>0</v>
      </c>
      <c r="AF21" s="112">
        <v>1</v>
      </c>
      <c r="AG21" s="112">
        <v>0</v>
      </c>
      <c r="AH21" s="112">
        <v>0</v>
      </c>
      <c r="AI21" s="112">
        <v>1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</row>
    <row r="22" spans="1:55" customFormat="1" x14ac:dyDescent="0.15">
      <c r="A22" s="193" t="s">
        <v>212</v>
      </c>
      <c r="B22" s="112">
        <v>0</v>
      </c>
      <c r="C22" s="112">
        <v>0</v>
      </c>
      <c r="D22" s="112">
        <v>0</v>
      </c>
      <c r="E22" s="112">
        <v>1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1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1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</row>
    <row r="23" spans="1:55" customFormat="1" x14ac:dyDescent="0.15">
      <c r="A23" s="193" t="s">
        <v>213</v>
      </c>
      <c r="B23" s="112">
        <v>0</v>
      </c>
      <c r="C23" s="112">
        <v>0</v>
      </c>
      <c r="D23" s="112">
        <v>0</v>
      </c>
      <c r="E23" s="112">
        <v>1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1</v>
      </c>
      <c r="Y23" s="112">
        <v>0</v>
      </c>
      <c r="Z23" s="112">
        <v>0</v>
      </c>
      <c r="AA23" s="112">
        <v>1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1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</row>
    <row r="24" spans="1:55" customFormat="1" x14ac:dyDescent="0.15">
      <c r="A24" s="193" t="s">
        <v>214</v>
      </c>
      <c r="B24" s="112">
        <v>0</v>
      </c>
      <c r="C24" s="112">
        <v>0</v>
      </c>
      <c r="D24" s="112">
        <v>0</v>
      </c>
      <c r="E24" s="112">
        <v>1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</row>
    <row r="25" spans="1:55" customFormat="1" x14ac:dyDescent="0.15">
      <c r="A25" s="193" t="s">
        <v>215</v>
      </c>
      <c r="B25" s="112">
        <v>0</v>
      </c>
      <c r="C25" s="112">
        <v>0</v>
      </c>
      <c r="D25" s="112">
        <v>1</v>
      </c>
      <c r="E25" s="112">
        <v>1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1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1</v>
      </c>
      <c r="AB25" s="112">
        <v>0</v>
      </c>
      <c r="AC25" s="112">
        <v>0</v>
      </c>
      <c r="AD25" s="112">
        <v>0</v>
      </c>
      <c r="AE25" s="112">
        <v>0</v>
      </c>
      <c r="AF25" s="112">
        <v>1</v>
      </c>
      <c r="AG25" s="112">
        <v>0</v>
      </c>
      <c r="AH25" s="112">
        <v>0</v>
      </c>
      <c r="AI25" s="112">
        <v>1</v>
      </c>
      <c r="AJ25" s="112">
        <v>1</v>
      </c>
      <c r="AK25" s="112">
        <v>0</v>
      </c>
      <c r="AL25" s="112">
        <v>1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</row>
    <row r="26" spans="1:55" customFormat="1" x14ac:dyDescent="0.15">
      <c r="A26" s="193" t="s">
        <v>216</v>
      </c>
      <c r="B26" s="112">
        <v>0</v>
      </c>
      <c r="C26" s="112">
        <v>0</v>
      </c>
      <c r="D26" s="112">
        <v>1</v>
      </c>
      <c r="E26" s="112">
        <v>1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1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1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</row>
    <row r="27" spans="1:55" customFormat="1" x14ac:dyDescent="0.15">
      <c r="A27" s="193" t="s">
        <v>217</v>
      </c>
      <c r="B27" s="112">
        <v>0</v>
      </c>
      <c r="C27" s="112">
        <v>0</v>
      </c>
      <c r="D27" s="112">
        <v>1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1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</v>
      </c>
      <c r="AB27" s="112">
        <v>1</v>
      </c>
      <c r="AC27" s="112">
        <v>0</v>
      </c>
      <c r="AD27" s="112">
        <v>0</v>
      </c>
      <c r="AE27" s="112">
        <v>1</v>
      </c>
      <c r="AF27" s="112">
        <v>0</v>
      </c>
      <c r="AG27" s="112">
        <v>0</v>
      </c>
      <c r="AH27" s="112">
        <v>1</v>
      </c>
      <c r="AI27" s="112">
        <v>1</v>
      </c>
      <c r="AJ27" s="112">
        <v>1</v>
      </c>
      <c r="AK27" s="112">
        <v>0</v>
      </c>
      <c r="AL27" s="112">
        <v>1</v>
      </c>
      <c r="AM27" s="112">
        <v>0</v>
      </c>
      <c r="AN27" s="112">
        <v>0</v>
      </c>
      <c r="AO27" s="112">
        <v>0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</row>
    <row r="28" spans="1:55" customFormat="1" x14ac:dyDescent="0.15">
      <c r="A28" s="193" t="s">
        <v>218</v>
      </c>
      <c r="B28" s="112">
        <v>0</v>
      </c>
      <c r="C28" s="112">
        <v>0</v>
      </c>
      <c r="D28" s="112">
        <v>0</v>
      </c>
      <c r="E28" s="112">
        <v>1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1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1</v>
      </c>
      <c r="AG28" s="112">
        <v>0</v>
      </c>
      <c r="AH28" s="112">
        <v>1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</v>
      </c>
      <c r="AO28" s="112">
        <v>0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</row>
    <row r="29" spans="1:55" customFormat="1" x14ac:dyDescent="0.15">
      <c r="A29" s="193" t="s">
        <v>219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1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1</v>
      </c>
      <c r="AB29" s="112">
        <v>1</v>
      </c>
      <c r="AC29" s="112">
        <v>0</v>
      </c>
      <c r="AD29" s="112">
        <v>0</v>
      </c>
      <c r="AE29" s="112">
        <v>1</v>
      </c>
      <c r="AF29" s="112">
        <v>0</v>
      </c>
      <c r="AG29" s="112">
        <v>0</v>
      </c>
      <c r="AH29" s="112">
        <v>0</v>
      </c>
      <c r="AI29" s="112">
        <v>0</v>
      </c>
      <c r="AJ29" s="112">
        <v>1</v>
      </c>
      <c r="AK29" s="112">
        <v>1</v>
      </c>
      <c r="AL29" s="112">
        <v>1</v>
      </c>
      <c r="AM29" s="112">
        <v>0</v>
      </c>
      <c r="AN29" s="112">
        <v>0</v>
      </c>
      <c r="AO29" s="112">
        <v>1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</row>
    <row r="30" spans="1:55" customFormat="1" x14ac:dyDescent="0.15">
      <c r="A30" s="193" t="s">
        <v>220</v>
      </c>
      <c r="B30" s="112">
        <v>0</v>
      </c>
      <c r="C30" s="112">
        <v>0</v>
      </c>
      <c r="D30" s="112">
        <v>0</v>
      </c>
      <c r="E30" s="112">
        <v>1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1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1</v>
      </c>
      <c r="AC30" s="112">
        <v>0</v>
      </c>
      <c r="AD30" s="112">
        <v>0</v>
      </c>
      <c r="AE30" s="112">
        <v>0</v>
      </c>
      <c r="AF30" s="112">
        <v>1</v>
      </c>
      <c r="AG30" s="112">
        <v>0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</row>
    <row r="31" spans="1:55" customFormat="1" x14ac:dyDescent="0.15">
      <c r="A31" s="193" t="s">
        <v>221</v>
      </c>
      <c r="B31" s="112">
        <v>0</v>
      </c>
      <c r="C31" s="112">
        <v>0</v>
      </c>
      <c r="D31" s="112">
        <v>0</v>
      </c>
      <c r="E31" s="112">
        <v>1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1</v>
      </c>
      <c r="AG31" s="112">
        <v>0</v>
      </c>
      <c r="AH31" s="112">
        <v>1</v>
      </c>
      <c r="AI31" s="112">
        <v>0</v>
      </c>
      <c r="AJ31" s="112">
        <v>1</v>
      </c>
      <c r="AK31" s="112">
        <v>1</v>
      </c>
      <c r="AL31" s="112">
        <v>1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</row>
    <row r="32" spans="1:55" x14ac:dyDescent="0.15">
      <c r="A32" s="193" t="s">
        <v>222</v>
      </c>
      <c r="B32" s="112">
        <v>0</v>
      </c>
      <c r="C32" s="112">
        <v>0</v>
      </c>
      <c r="D32" s="112">
        <v>1</v>
      </c>
      <c r="E32" s="112">
        <v>1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1</v>
      </c>
      <c r="AM32" s="112">
        <v>0</v>
      </c>
      <c r="AN32" s="112">
        <v>1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</row>
    <row r="33" spans="1:55" x14ac:dyDescent="0.15">
      <c r="A33" s="193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1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1</v>
      </c>
      <c r="AF33" s="112">
        <v>0</v>
      </c>
      <c r="AG33" s="112">
        <v>0</v>
      </c>
      <c r="AH33" s="112">
        <v>1</v>
      </c>
      <c r="AI33" s="112">
        <v>0</v>
      </c>
      <c r="AJ33" s="112">
        <v>1</v>
      </c>
      <c r="AK33" s="112">
        <v>1</v>
      </c>
      <c r="AL33" s="112">
        <v>1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</row>
    <row r="34" spans="1:55" x14ac:dyDescent="0.15">
      <c r="A34" s="193" t="s">
        <v>224</v>
      </c>
      <c r="B34" s="112">
        <v>0</v>
      </c>
      <c r="C34" s="112">
        <v>0</v>
      </c>
      <c r="D34" s="112">
        <v>0</v>
      </c>
      <c r="E34" s="112">
        <v>1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1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</v>
      </c>
      <c r="AA34" s="112">
        <v>0</v>
      </c>
      <c r="AB34" s="112">
        <v>1</v>
      </c>
      <c r="AC34" s="112">
        <v>0</v>
      </c>
      <c r="AD34" s="112">
        <v>0</v>
      </c>
      <c r="AE34" s="112">
        <v>0</v>
      </c>
      <c r="AF34" s="112">
        <v>1</v>
      </c>
      <c r="AG34" s="112">
        <v>0</v>
      </c>
      <c r="AH34" s="112">
        <v>1</v>
      </c>
      <c r="AI34" s="112">
        <v>0</v>
      </c>
      <c r="AJ34" s="112">
        <v>0</v>
      </c>
      <c r="AK34" s="112">
        <v>0</v>
      </c>
      <c r="AL34" s="112">
        <v>1</v>
      </c>
      <c r="AM34" s="112">
        <v>0</v>
      </c>
      <c r="AN34" s="112">
        <v>0</v>
      </c>
      <c r="AO34" s="112">
        <v>0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</row>
    <row r="35" spans="1:55" x14ac:dyDescent="0.15">
      <c r="A35" s="193" t="s">
        <v>225</v>
      </c>
      <c r="B35" s="112">
        <v>0</v>
      </c>
      <c r="C35" s="112">
        <v>0</v>
      </c>
      <c r="D35" s="112">
        <v>0</v>
      </c>
      <c r="E35" s="112">
        <v>1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</v>
      </c>
      <c r="M35" s="112">
        <v>1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112">
        <v>0</v>
      </c>
      <c r="X35" s="112">
        <v>0</v>
      </c>
      <c r="Y35" s="112">
        <v>0</v>
      </c>
      <c r="Z35" s="112">
        <v>0</v>
      </c>
      <c r="AA35" s="112">
        <v>0</v>
      </c>
      <c r="AB35" s="112">
        <v>0</v>
      </c>
      <c r="AC35" s="112">
        <v>0</v>
      </c>
      <c r="AD35" s="112">
        <v>0</v>
      </c>
      <c r="AE35" s="112">
        <v>0</v>
      </c>
      <c r="AF35" s="112">
        <v>0</v>
      </c>
      <c r="AG35" s="112">
        <v>0</v>
      </c>
      <c r="AH35" s="112">
        <v>1</v>
      </c>
      <c r="AI35" s="112">
        <v>0</v>
      </c>
      <c r="AJ35" s="112">
        <v>1</v>
      </c>
      <c r="AK35" s="112">
        <v>0</v>
      </c>
      <c r="AL35" s="112">
        <v>0</v>
      </c>
      <c r="AM35" s="112">
        <v>0</v>
      </c>
      <c r="AN35" s="112">
        <v>0</v>
      </c>
      <c r="AO35" s="112">
        <v>0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</row>
    <row r="36" spans="1:55" x14ac:dyDescent="0.15">
      <c r="A36" s="193" t="s">
        <v>226</v>
      </c>
      <c r="B36" s="112">
        <v>0</v>
      </c>
      <c r="C36" s="112">
        <v>0</v>
      </c>
      <c r="D36" s="112">
        <v>0</v>
      </c>
      <c r="E36" s="112">
        <v>1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1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  <c r="AK36" s="112">
        <v>0</v>
      </c>
      <c r="AL36" s="112">
        <v>0</v>
      </c>
      <c r="AM36" s="112">
        <v>0</v>
      </c>
      <c r="AN36" s="112">
        <v>0</v>
      </c>
      <c r="AO36" s="112">
        <v>0</v>
      </c>
      <c r="AP36" s="112">
        <v>0</v>
      </c>
      <c r="AQ36" s="112">
        <v>0</v>
      </c>
      <c r="AR36" s="112">
        <v>0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</row>
    <row r="37" spans="1:55" x14ac:dyDescent="0.15">
      <c r="A37" s="193" t="s">
        <v>227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1</v>
      </c>
      <c r="AC37" s="112">
        <v>0</v>
      </c>
      <c r="AD37" s="112">
        <v>1</v>
      </c>
      <c r="AE37" s="112">
        <v>0</v>
      </c>
      <c r="AF37" s="112">
        <v>0</v>
      </c>
      <c r="AG37" s="112">
        <v>0</v>
      </c>
      <c r="AH37" s="112">
        <v>1</v>
      </c>
      <c r="AI37" s="112">
        <v>0</v>
      </c>
      <c r="AJ37" s="112">
        <v>0</v>
      </c>
      <c r="AK37" s="112">
        <v>0</v>
      </c>
      <c r="AL37" s="112">
        <v>1</v>
      </c>
      <c r="AM37" s="112">
        <v>0</v>
      </c>
      <c r="AN37" s="112">
        <v>0</v>
      </c>
      <c r="AO37" s="112">
        <v>0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</row>
    <row r="38" spans="1:55" x14ac:dyDescent="0.15">
      <c r="A38" s="193" t="s">
        <v>228</v>
      </c>
      <c r="B38" s="112">
        <v>0</v>
      </c>
      <c r="C38" s="112">
        <v>0</v>
      </c>
      <c r="D38" s="112">
        <v>0</v>
      </c>
      <c r="E38" s="112">
        <v>1</v>
      </c>
      <c r="F38" s="112">
        <v>0</v>
      </c>
      <c r="G38" s="112">
        <v>0</v>
      </c>
      <c r="H38" s="112">
        <v>0</v>
      </c>
      <c r="I38" s="112">
        <v>0</v>
      </c>
      <c r="J38" s="112">
        <v>0</v>
      </c>
      <c r="K38" s="112">
        <v>0</v>
      </c>
      <c r="L38" s="112">
        <v>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1</v>
      </c>
      <c r="AG38" s="112">
        <v>0</v>
      </c>
      <c r="AH38" s="112">
        <v>1</v>
      </c>
      <c r="AI38" s="112">
        <v>0</v>
      </c>
      <c r="AJ38" s="112">
        <v>0</v>
      </c>
      <c r="AK38" s="112">
        <v>0</v>
      </c>
      <c r="AL38" s="112">
        <v>1</v>
      </c>
      <c r="AM38" s="112">
        <v>1</v>
      </c>
      <c r="AN38" s="112">
        <v>0</v>
      </c>
      <c r="AO38" s="112">
        <v>0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</row>
    <row r="39" spans="1:55" x14ac:dyDescent="0.15">
      <c r="A39" s="193" t="s">
        <v>229</v>
      </c>
      <c r="B39" s="112">
        <v>1</v>
      </c>
      <c r="C39" s="112">
        <v>0</v>
      </c>
      <c r="D39" s="112">
        <v>0</v>
      </c>
      <c r="E39" s="112">
        <v>1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1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1</v>
      </c>
      <c r="W39" s="112">
        <v>0</v>
      </c>
      <c r="X39" s="112">
        <v>0</v>
      </c>
      <c r="Y39" s="112">
        <v>0</v>
      </c>
      <c r="Z39" s="112">
        <v>0</v>
      </c>
      <c r="AA39" s="112">
        <v>0</v>
      </c>
      <c r="AB39" s="112">
        <v>1</v>
      </c>
      <c r="AC39" s="112">
        <v>0</v>
      </c>
      <c r="AD39" s="112">
        <v>0</v>
      </c>
      <c r="AE39" s="112">
        <v>1</v>
      </c>
      <c r="AF39" s="112">
        <v>0</v>
      </c>
      <c r="AG39" s="112">
        <v>0</v>
      </c>
      <c r="AH39" s="112">
        <v>1</v>
      </c>
      <c r="AI39" s="112">
        <v>0</v>
      </c>
      <c r="AJ39" s="112">
        <v>0</v>
      </c>
      <c r="AK39" s="112">
        <v>0</v>
      </c>
      <c r="AL39" s="112">
        <v>0</v>
      </c>
      <c r="AM39" s="112">
        <v>1</v>
      </c>
      <c r="AN39" s="112">
        <v>1</v>
      </c>
      <c r="AO39" s="112">
        <v>0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</row>
    <row r="40" spans="1:55" x14ac:dyDescent="0.15">
      <c r="A40" s="193" t="s">
        <v>230</v>
      </c>
      <c r="B40" s="112">
        <v>0</v>
      </c>
      <c r="C40" s="112">
        <v>0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1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1</v>
      </c>
      <c r="AG40" s="112">
        <v>0</v>
      </c>
      <c r="AH40" s="112">
        <v>1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</row>
    <row r="41" spans="1:55" x14ac:dyDescent="0.15">
      <c r="A41" s="193" t="s">
        <v>231</v>
      </c>
      <c r="B41" s="112">
        <v>1</v>
      </c>
      <c r="C41" s="112">
        <v>0</v>
      </c>
      <c r="D41" s="112">
        <v>1</v>
      </c>
      <c r="E41" s="112">
        <v>0</v>
      </c>
      <c r="F41" s="112">
        <v>0</v>
      </c>
      <c r="G41" s="112">
        <v>0</v>
      </c>
      <c r="H41" s="112">
        <v>0</v>
      </c>
      <c r="I41" s="112">
        <v>0</v>
      </c>
      <c r="J41" s="112">
        <v>0</v>
      </c>
      <c r="K41" s="112">
        <v>0</v>
      </c>
      <c r="L41" s="112">
        <v>0</v>
      </c>
      <c r="M41" s="112">
        <v>1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1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1</v>
      </c>
      <c r="AC41" s="112">
        <v>0</v>
      </c>
      <c r="AD41" s="112">
        <v>0</v>
      </c>
      <c r="AE41" s="112">
        <v>1</v>
      </c>
      <c r="AF41" s="112">
        <v>1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1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</row>
    <row r="42" spans="1:55" x14ac:dyDescent="0.15">
      <c r="A42" s="193" t="s">
        <v>232</v>
      </c>
      <c r="B42" s="112">
        <v>1</v>
      </c>
      <c r="C42" s="112">
        <v>0</v>
      </c>
      <c r="D42" s="112">
        <v>0</v>
      </c>
      <c r="E42" s="112">
        <v>0</v>
      </c>
      <c r="F42" s="112">
        <v>1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1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1</v>
      </c>
      <c r="W42" s="112">
        <v>1</v>
      </c>
      <c r="X42" s="112">
        <v>1</v>
      </c>
      <c r="Y42" s="112">
        <v>0</v>
      </c>
      <c r="Z42" s="112">
        <v>0</v>
      </c>
      <c r="AA42" s="112">
        <v>1</v>
      </c>
      <c r="AB42" s="112">
        <v>0</v>
      </c>
      <c r="AC42" s="112">
        <v>1</v>
      </c>
      <c r="AD42" s="112">
        <v>1</v>
      </c>
      <c r="AE42" s="112">
        <v>1</v>
      </c>
      <c r="AF42" s="112">
        <v>1</v>
      </c>
      <c r="AG42" s="112">
        <v>1</v>
      </c>
      <c r="AH42" s="112">
        <v>0</v>
      </c>
      <c r="AI42" s="112">
        <v>0</v>
      </c>
      <c r="AJ42" s="112">
        <v>1</v>
      </c>
      <c r="AK42" s="112">
        <v>1</v>
      </c>
      <c r="AL42" s="112">
        <v>0</v>
      </c>
      <c r="AM42" s="112">
        <v>1</v>
      </c>
      <c r="AN42" s="112">
        <v>1</v>
      </c>
      <c r="AO42" s="112">
        <v>1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</row>
    <row r="43" spans="1:55" x14ac:dyDescent="0.15">
      <c r="A43" s="193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1</v>
      </c>
      <c r="W43" s="112">
        <v>1</v>
      </c>
      <c r="X43" s="112">
        <v>0</v>
      </c>
      <c r="Y43" s="112">
        <v>0</v>
      </c>
      <c r="Z43" s="112">
        <v>0</v>
      </c>
      <c r="AA43" s="112">
        <v>1</v>
      </c>
      <c r="AB43" s="112">
        <v>1</v>
      </c>
      <c r="AC43" s="112">
        <v>0</v>
      </c>
      <c r="AD43" s="112">
        <v>0</v>
      </c>
      <c r="AE43" s="112">
        <v>1</v>
      </c>
      <c r="AF43" s="112">
        <v>0</v>
      </c>
      <c r="AG43" s="112">
        <v>0</v>
      </c>
      <c r="AH43" s="112">
        <v>0</v>
      </c>
      <c r="AI43" s="112">
        <v>1</v>
      </c>
      <c r="AJ43" s="112">
        <v>1</v>
      </c>
      <c r="AK43" s="112">
        <v>1</v>
      </c>
      <c r="AL43" s="112">
        <v>1</v>
      </c>
      <c r="AM43" s="112">
        <v>1</v>
      </c>
      <c r="AN43" s="112">
        <v>1</v>
      </c>
      <c r="AO43" s="112">
        <v>1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</row>
    <row r="44" spans="1:55" x14ac:dyDescent="0.15">
      <c r="A44" s="193" t="s">
        <v>234</v>
      </c>
      <c r="B44" s="112">
        <v>1</v>
      </c>
      <c r="C44" s="112">
        <v>1</v>
      </c>
      <c r="D44" s="112">
        <v>0</v>
      </c>
      <c r="E44" s="112">
        <v>1</v>
      </c>
      <c r="F44" s="112">
        <v>1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1</v>
      </c>
      <c r="M44" s="112">
        <v>1</v>
      </c>
      <c r="N44" s="112">
        <v>1</v>
      </c>
      <c r="O44" s="112">
        <v>1</v>
      </c>
      <c r="P44" s="112">
        <v>1</v>
      </c>
      <c r="Q44" s="112">
        <v>1</v>
      </c>
      <c r="R44" s="112">
        <v>0</v>
      </c>
      <c r="S44" s="112">
        <v>0</v>
      </c>
      <c r="T44" s="112">
        <v>0</v>
      </c>
      <c r="U44" s="112">
        <v>0</v>
      </c>
      <c r="V44" s="112">
        <v>1</v>
      </c>
      <c r="W44" s="112">
        <v>1</v>
      </c>
      <c r="X44" s="112">
        <v>1</v>
      </c>
      <c r="Y44" s="112">
        <v>0</v>
      </c>
      <c r="Z44" s="112">
        <v>0</v>
      </c>
      <c r="AA44" s="112">
        <v>1</v>
      </c>
      <c r="AB44" s="112">
        <v>1</v>
      </c>
      <c r="AC44" s="112">
        <v>1</v>
      </c>
      <c r="AD44" s="112">
        <v>1</v>
      </c>
      <c r="AE44" s="112">
        <v>1</v>
      </c>
      <c r="AF44" s="112">
        <v>1</v>
      </c>
      <c r="AG44" s="112">
        <v>1</v>
      </c>
      <c r="AH44" s="112">
        <v>1</v>
      </c>
      <c r="AI44" s="112">
        <v>1</v>
      </c>
      <c r="AJ44" s="112">
        <v>1</v>
      </c>
      <c r="AK44" s="112">
        <v>0</v>
      </c>
      <c r="AL44" s="112">
        <v>1</v>
      </c>
      <c r="AM44" s="112">
        <v>1</v>
      </c>
      <c r="AN44" s="112">
        <v>1</v>
      </c>
      <c r="AO44" s="112">
        <v>1</v>
      </c>
      <c r="AP44" s="112">
        <v>1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</row>
    <row r="45" spans="1:55" x14ac:dyDescent="0.15">
      <c r="A45" s="193" t="s">
        <v>235</v>
      </c>
      <c r="B45" s="112">
        <v>0</v>
      </c>
      <c r="C45" s="112">
        <v>1</v>
      </c>
      <c r="D45" s="112">
        <v>0</v>
      </c>
      <c r="E45" s="112">
        <v>1</v>
      </c>
      <c r="F45" s="112"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1</v>
      </c>
      <c r="M45" s="112">
        <v>1</v>
      </c>
      <c r="N45" s="112">
        <v>1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112">
        <v>1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1</v>
      </c>
      <c r="AD45" s="112">
        <v>1</v>
      </c>
      <c r="AE45" s="112">
        <v>0</v>
      </c>
      <c r="AF45" s="112">
        <v>0</v>
      </c>
      <c r="AG45" s="112">
        <v>1</v>
      </c>
      <c r="AH45" s="112">
        <v>1</v>
      </c>
      <c r="AI45" s="112">
        <v>0</v>
      </c>
      <c r="AJ45" s="112">
        <v>0</v>
      </c>
      <c r="AK45" s="112">
        <v>0</v>
      </c>
      <c r="AL45" s="112">
        <v>0</v>
      </c>
      <c r="AM45" s="112">
        <v>1</v>
      </c>
      <c r="AN45" s="112">
        <v>1</v>
      </c>
      <c r="AO45" s="112">
        <v>1</v>
      </c>
      <c r="AP45" s="112">
        <v>1</v>
      </c>
      <c r="AQ45" s="112">
        <v>0</v>
      </c>
      <c r="AR45" s="112">
        <v>0</v>
      </c>
      <c r="AS45" s="112">
        <v>0</v>
      </c>
      <c r="AT45" s="112">
        <v>0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</row>
    <row r="46" spans="1:55" x14ac:dyDescent="0.15">
      <c r="A46" s="193" t="s">
        <v>236</v>
      </c>
      <c r="B46" s="112">
        <v>0</v>
      </c>
      <c r="C46" s="112">
        <v>1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1</v>
      </c>
      <c r="M46" s="112">
        <v>1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1</v>
      </c>
      <c r="Y46" s="112">
        <v>0</v>
      </c>
      <c r="Z46" s="112">
        <v>0</v>
      </c>
      <c r="AA46" s="112">
        <v>0</v>
      </c>
      <c r="AB46" s="112">
        <v>0</v>
      </c>
      <c r="AC46" s="112">
        <v>1</v>
      </c>
      <c r="AD46" s="112">
        <v>1</v>
      </c>
      <c r="AE46" s="112">
        <v>0</v>
      </c>
      <c r="AF46" s="112">
        <v>0</v>
      </c>
      <c r="AG46" s="112">
        <v>1</v>
      </c>
      <c r="AH46" s="112">
        <v>0</v>
      </c>
      <c r="AI46" s="112">
        <v>0</v>
      </c>
      <c r="AJ46" s="112">
        <v>0</v>
      </c>
      <c r="AK46" s="112">
        <v>0</v>
      </c>
      <c r="AL46" s="112">
        <v>0</v>
      </c>
      <c r="AM46" s="112">
        <v>1</v>
      </c>
      <c r="AN46" s="112">
        <v>1</v>
      </c>
      <c r="AO46" s="112">
        <v>1</v>
      </c>
      <c r="AP46" s="112">
        <v>1</v>
      </c>
      <c r="AQ46" s="112">
        <v>1</v>
      </c>
      <c r="AR46" s="112">
        <v>1</v>
      </c>
      <c r="AS46" s="112">
        <v>1</v>
      </c>
      <c r="AT46" s="112">
        <v>0</v>
      </c>
      <c r="AU46" s="112">
        <v>0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</row>
    <row r="47" spans="1:55" x14ac:dyDescent="0.15">
      <c r="A47" s="193" t="s">
        <v>237</v>
      </c>
      <c r="B47" s="112">
        <v>0</v>
      </c>
      <c r="C47" s="112">
        <v>0</v>
      </c>
      <c r="D47" s="112">
        <v>0</v>
      </c>
      <c r="E47" s="112">
        <v>0</v>
      </c>
      <c r="F47" s="112">
        <v>1</v>
      </c>
      <c r="G47" s="112">
        <v>1</v>
      </c>
      <c r="H47" s="112">
        <v>0</v>
      </c>
      <c r="I47" s="112">
        <v>0</v>
      </c>
      <c r="J47" s="112">
        <v>1</v>
      </c>
      <c r="K47" s="112">
        <v>1</v>
      </c>
      <c r="L47" s="112">
        <v>0</v>
      </c>
      <c r="M47" s="112">
        <v>1</v>
      </c>
      <c r="N47" s="112">
        <v>0</v>
      </c>
      <c r="O47" s="112">
        <v>0</v>
      </c>
      <c r="P47" s="112">
        <v>1</v>
      </c>
      <c r="Q47" s="112">
        <v>1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1</v>
      </c>
      <c r="Y47" s="112">
        <v>0</v>
      </c>
      <c r="Z47" s="112">
        <v>1</v>
      </c>
      <c r="AA47" s="112">
        <v>0</v>
      </c>
      <c r="AB47" s="112">
        <v>0</v>
      </c>
      <c r="AC47" s="112">
        <v>0</v>
      </c>
      <c r="AD47" s="112">
        <v>0</v>
      </c>
      <c r="AE47" s="112">
        <v>0</v>
      </c>
      <c r="AF47" s="112">
        <v>0</v>
      </c>
      <c r="AG47" s="112">
        <v>0</v>
      </c>
      <c r="AH47" s="112">
        <v>0</v>
      </c>
      <c r="AI47" s="112">
        <v>1</v>
      </c>
      <c r="AJ47" s="112">
        <v>1</v>
      </c>
      <c r="AK47" s="112">
        <v>0</v>
      </c>
      <c r="AL47" s="112">
        <v>0</v>
      </c>
      <c r="AM47" s="112">
        <v>0</v>
      </c>
      <c r="AN47" s="112">
        <v>0</v>
      </c>
      <c r="AO47" s="112">
        <v>0</v>
      </c>
      <c r="AP47" s="112">
        <v>0</v>
      </c>
      <c r="AQ47" s="112">
        <v>0</v>
      </c>
      <c r="AR47" s="112">
        <v>0</v>
      </c>
      <c r="AS47" s="112">
        <v>0</v>
      </c>
      <c r="AT47" s="112">
        <v>0</v>
      </c>
      <c r="AU47" s="112">
        <v>1</v>
      </c>
      <c r="AV47" s="112">
        <v>0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</row>
    <row r="48" spans="1:55" x14ac:dyDescent="0.15">
      <c r="A48" s="193" t="s">
        <v>238</v>
      </c>
      <c r="B48" s="112">
        <v>0</v>
      </c>
      <c r="C48" s="112">
        <v>1</v>
      </c>
      <c r="D48" s="112">
        <v>1</v>
      </c>
      <c r="E48" s="112">
        <v>0</v>
      </c>
      <c r="F48" s="112">
        <v>1</v>
      </c>
      <c r="G48" s="112">
        <v>1</v>
      </c>
      <c r="H48" s="112">
        <v>1</v>
      </c>
      <c r="I48" s="112">
        <v>1</v>
      </c>
      <c r="J48" s="112">
        <v>1</v>
      </c>
      <c r="K48" s="112">
        <v>1</v>
      </c>
      <c r="L48" s="112">
        <v>1</v>
      </c>
      <c r="M48" s="112">
        <v>1</v>
      </c>
      <c r="N48" s="112">
        <v>1</v>
      </c>
      <c r="O48" s="112">
        <v>1</v>
      </c>
      <c r="P48" s="112">
        <v>1</v>
      </c>
      <c r="Q48" s="112">
        <v>1</v>
      </c>
      <c r="R48" s="112">
        <v>1</v>
      </c>
      <c r="S48" s="112">
        <v>1</v>
      </c>
      <c r="T48" s="112">
        <v>1</v>
      </c>
      <c r="U48" s="112">
        <v>1</v>
      </c>
      <c r="V48" s="112">
        <v>1</v>
      </c>
      <c r="W48" s="112">
        <v>1</v>
      </c>
      <c r="X48" s="112">
        <v>1</v>
      </c>
      <c r="Y48" s="112">
        <v>1</v>
      </c>
      <c r="Z48" s="112">
        <v>1</v>
      </c>
      <c r="AA48" s="112">
        <v>1</v>
      </c>
      <c r="AB48" s="112">
        <v>1</v>
      </c>
      <c r="AC48" s="112">
        <v>0</v>
      </c>
      <c r="AD48" s="112">
        <v>1</v>
      </c>
      <c r="AE48" s="112">
        <v>0</v>
      </c>
      <c r="AF48" s="112">
        <v>0</v>
      </c>
      <c r="AG48" s="112">
        <v>1</v>
      </c>
      <c r="AH48" s="112">
        <v>0</v>
      </c>
      <c r="AI48" s="112">
        <v>1</v>
      </c>
      <c r="AJ48" s="112">
        <v>0</v>
      </c>
      <c r="AK48" s="112">
        <v>0</v>
      </c>
      <c r="AL48" s="112">
        <v>0</v>
      </c>
      <c r="AM48" s="112">
        <v>1</v>
      </c>
      <c r="AN48" s="112">
        <v>0</v>
      </c>
      <c r="AO48" s="112">
        <v>0</v>
      </c>
      <c r="AP48" s="112">
        <v>0</v>
      </c>
      <c r="AQ48" s="112">
        <v>1</v>
      </c>
      <c r="AR48" s="112">
        <v>0</v>
      </c>
      <c r="AS48" s="112">
        <v>0</v>
      </c>
      <c r="AT48" s="112">
        <v>0</v>
      </c>
      <c r="AU48" s="112">
        <v>1</v>
      </c>
      <c r="AV48" s="112">
        <v>0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</row>
    <row r="49" spans="1:55" x14ac:dyDescent="0.15">
      <c r="A49" s="193" t="s">
        <v>239</v>
      </c>
      <c r="B49" s="112">
        <v>0</v>
      </c>
      <c r="C49" s="112">
        <v>1</v>
      </c>
      <c r="D49" s="112">
        <v>0</v>
      </c>
      <c r="E49" s="112">
        <v>0</v>
      </c>
      <c r="F49" s="112">
        <v>1</v>
      </c>
      <c r="G49" s="112">
        <v>1</v>
      </c>
      <c r="H49" s="112">
        <v>0</v>
      </c>
      <c r="I49" s="112">
        <v>0</v>
      </c>
      <c r="J49" s="112">
        <v>1</v>
      </c>
      <c r="K49" s="112">
        <v>1</v>
      </c>
      <c r="L49" s="112">
        <v>0</v>
      </c>
      <c r="M49" s="112">
        <v>1</v>
      </c>
      <c r="N49" s="112">
        <v>1</v>
      </c>
      <c r="O49" s="112">
        <v>1</v>
      </c>
      <c r="P49" s="112">
        <v>1</v>
      </c>
      <c r="Q49" s="112">
        <v>1</v>
      </c>
      <c r="R49" s="112">
        <v>1</v>
      </c>
      <c r="S49" s="112">
        <v>1</v>
      </c>
      <c r="T49" s="112">
        <v>1</v>
      </c>
      <c r="U49" s="112">
        <v>1</v>
      </c>
      <c r="V49" s="112">
        <v>0</v>
      </c>
      <c r="W49" s="112">
        <v>1</v>
      </c>
      <c r="X49" s="112">
        <v>0</v>
      </c>
      <c r="Y49" s="112">
        <v>1</v>
      </c>
      <c r="Z49" s="112">
        <v>1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1</v>
      </c>
      <c r="AH49" s="112">
        <v>0</v>
      </c>
      <c r="AI49" s="112">
        <v>0</v>
      </c>
      <c r="AJ49" s="112">
        <v>0</v>
      </c>
      <c r="AK49" s="112">
        <v>0</v>
      </c>
      <c r="AL49" s="112">
        <v>0</v>
      </c>
      <c r="AM49" s="112">
        <v>1</v>
      </c>
      <c r="AN49" s="112">
        <v>0</v>
      </c>
      <c r="AO49" s="112">
        <v>0</v>
      </c>
      <c r="AP49" s="112">
        <v>0</v>
      </c>
      <c r="AQ49" s="112">
        <v>1</v>
      </c>
      <c r="AR49" s="112">
        <v>0</v>
      </c>
      <c r="AS49" s="112">
        <v>0</v>
      </c>
      <c r="AT49" s="112">
        <v>0</v>
      </c>
      <c r="AU49" s="112">
        <v>1</v>
      </c>
      <c r="AV49" s="112">
        <v>1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</row>
    <row r="50" spans="1:55" x14ac:dyDescent="0.15">
      <c r="A50" s="193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</v>
      </c>
      <c r="AI50" s="112">
        <v>0</v>
      </c>
      <c r="AJ50" s="112">
        <v>0</v>
      </c>
      <c r="AK50" s="112">
        <v>0</v>
      </c>
      <c r="AL50" s="112">
        <v>0</v>
      </c>
      <c r="AM50" s="112">
        <v>0</v>
      </c>
      <c r="AN50" s="112">
        <v>0</v>
      </c>
      <c r="AO50" s="112">
        <v>0</v>
      </c>
      <c r="AP50" s="112">
        <v>0</v>
      </c>
      <c r="AQ50" s="112">
        <v>0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</row>
    <row r="51" spans="1:55" x14ac:dyDescent="0.15">
      <c r="A51" s="193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0</v>
      </c>
      <c r="Q51" s="112">
        <v>0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</v>
      </c>
      <c r="AI51" s="112">
        <v>0</v>
      </c>
      <c r="AJ51" s="112">
        <v>0</v>
      </c>
      <c r="AK51" s="112">
        <v>0</v>
      </c>
      <c r="AL51" s="112">
        <v>0</v>
      </c>
      <c r="AM51" s="112">
        <v>0</v>
      </c>
      <c r="AN51" s="112">
        <v>0</v>
      </c>
      <c r="AO51" s="112">
        <v>0</v>
      </c>
      <c r="AP51" s="112">
        <v>0</v>
      </c>
      <c r="AQ51" s="112">
        <v>0</v>
      </c>
      <c r="AR51" s="112">
        <v>1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</row>
    <row r="52" spans="1:55" x14ac:dyDescent="0.15">
      <c r="A52" s="193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</v>
      </c>
      <c r="Y52" s="112">
        <v>0</v>
      </c>
      <c r="Z52" s="112">
        <v>0</v>
      </c>
      <c r="AA52" s="112">
        <v>0</v>
      </c>
      <c r="AB52" s="112">
        <v>0</v>
      </c>
      <c r="AC52" s="112">
        <v>0</v>
      </c>
      <c r="AD52" s="112">
        <v>0</v>
      </c>
      <c r="AE52" s="112">
        <v>0</v>
      </c>
      <c r="AF52" s="112">
        <v>0</v>
      </c>
      <c r="AG52" s="112">
        <v>0</v>
      </c>
      <c r="AH52" s="112">
        <v>0</v>
      </c>
      <c r="AI52" s="112">
        <v>0</v>
      </c>
      <c r="AJ52" s="112">
        <v>0</v>
      </c>
      <c r="AK52" s="112">
        <v>0</v>
      </c>
      <c r="AL52" s="112">
        <v>0</v>
      </c>
      <c r="AM52" s="112">
        <v>0</v>
      </c>
      <c r="AN52" s="112">
        <v>0</v>
      </c>
      <c r="AO52" s="112">
        <v>0</v>
      </c>
      <c r="AP52" s="112">
        <v>0</v>
      </c>
      <c r="AQ52" s="112">
        <v>0</v>
      </c>
      <c r="AR52" s="112">
        <v>0</v>
      </c>
      <c r="AS52" s="112">
        <v>0</v>
      </c>
      <c r="AT52" s="112">
        <v>0</v>
      </c>
      <c r="AU52" s="112">
        <v>0</v>
      </c>
      <c r="AV52" s="112">
        <v>1</v>
      </c>
      <c r="AW52" s="112">
        <v>1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</row>
    <row r="53" spans="1:55" x14ac:dyDescent="0.15">
      <c r="A53" s="193" t="s">
        <v>243</v>
      </c>
      <c r="B53" s="112">
        <v>0</v>
      </c>
      <c r="C53" s="112">
        <v>0</v>
      </c>
      <c r="D53" s="112">
        <v>1</v>
      </c>
      <c r="E53" s="112">
        <v>0</v>
      </c>
      <c r="F53" s="112">
        <v>1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</v>
      </c>
      <c r="AI53" s="112">
        <v>0</v>
      </c>
      <c r="AJ53" s="112">
        <v>0</v>
      </c>
      <c r="AK53" s="112">
        <v>0</v>
      </c>
      <c r="AL53" s="112">
        <v>0</v>
      </c>
      <c r="AM53" s="112">
        <v>0</v>
      </c>
      <c r="AN53" s="112">
        <v>0</v>
      </c>
      <c r="AO53" s="112">
        <v>0</v>
      </c>
      <c r="AP53" s="112">
        <v>0</v>
      </c>
      <c r="AQ53" s="112">
        <v>0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  <c r="BC53" s="112">
        <v>0</v>
      </c>
    </row>
    <row r="54" spans="1:55" x14ac:dyDescent="0.15">
      <c r="A54" s="193" t="s">
        <v>244</v>
      </c>
      <c r="B54" s="112">
        <v>0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1</v>
      </c>
      <c r="K54" s="112">
        <v>1</v>
      </c>
      <c r="L54" s="112">
        <v>0</v>
      </c>
      <c r="M54" s="112">
        <v>1</v>
      </c>
      <c r="N54" s="112">
        <v>0</v>
      </c>
      <c r="O54" s="112">
        <v>0</v>
      </c>
      <c r="P54" s="112">
        <v>1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1</v>
      </c>
      <c r="Y54" s="112">
        <v>0</v>
      </c>
      <c r="Z54" s="112">
        <v>0</v>
      </c>
      <c r="AA54" s="112">
        <v>1</v>
      </c>
      <c r="AB54" s="112">
        <v>1</v>
      </c>
      <c r="AC54" s="112">
        <v>0</v>
      </c>
      <c r="AD54" s="112">
        <v>0</v>
      </c>
      <c r="AE54" s="112">
        <v>1</v>
      </c>
      <c r="AF54" s="112">
        <v>1</v>
      </c>
      <c r="AG54" s="112">
        <v>1</v>
      </c>
      <c r="AH54" s="112">
        <v>1</v>
      </c>
      <c r="AI54" s="112">
        <v>0</v>
      </c>
      <c r="AJ54" s="112">
        <v>1</v>
      </c>
      <c r="AK54" s="112">
        <v>1</v>
      </c>
      <c r="AL54" s="112">
        <v>1</v>
      </c>
      <c r="AM54" s="112">
        <v>1</v>
      </c>
      <c r="AN54" s="112">
        <v>1</v>
      </c>
      <c r="AO54" s="112">
        <v>1</v>
      </c>
      <c r="AP54" s="112">
        <v>0</v>
      </c>
      <c r="AQ54" s="112">
        <v>1</v>
      </c>
      <c r="AR54" s="112">
        <v>1</v>
      </c>
      <c r="AS54" s="112">
        <v>1</v>
      </c>
      <c r="AT54" s="112">
        <v>1</v>
      </c>
      <c r="AU54" s="112">
        <v>1</v>
      </c>
      <c r="AV54" s="112">
        <v>0</v>
      </c>
      <c r="AW54" s="112">
        <v>0</v>
      </c>
      <c r="AX54" s="112">
        <v>1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</row>
    <row r="55" spans="1:55" x14ac:dyDescent="0.15">
      <c r="A55" s="193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</row>
    <row r="56" spans="1:55" x14ac:dyDescent="0.15">
      <c r="A56" s="193" t="s">
        <v>262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1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S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83</v>
      </c>
      <c r="B1" s="3" t="s">
        <v>0</v>
      </c>
      <c r="C1" s="196" t="s">
        <v>246</v>
      </c>
      <c r="D1" s="196" t="s">
        <v>247</v>
      </c>
      <c r="E1" s="196" t="s">
        <v>248</v>
      </c>
      <c r="F1" s="196" t="s">
        <v>249</v>
      </c>
      <c r="G1" s="196" t="s">
        <v>250</v>
      </c>
      <c r="H1" s="196" t="s">
        <v>251</v>
      </c>
      <c r="I1" s="196" t="s">
        <v>252</v>
      </c>
      <c r="J1" s="196" t="s">
        <v>253</v>
      </c>
      <c r="K1" s="196" t="s">
        <v>254</v>
      </c>
      <c r="L1" s="196" t="s">
        <v>255</v>
      </c>
      <c r="M1" s="196" t="s">
        <v>256</v>
      </c>
      <c r="N1" s="196" t="s">
        <v>257</v>
      </c>
      <c r="O1" s="196" t="s">
        <v>258</v>
      </c>
      <c r="P1" s="196" t="s">
        <v>259</v>
      </c>
      <c r="Q1" s="196" t="s">
        <v>207</v>
      </c>
      <c r="R1" s="196" t="s">
        <v>260</v>
      </c>
      <c r="S1" s="196" t="s">
        <v>261</v>
      </c>
    </row>
    <row r="2" spans="1:19" x14ac:dyDescent="0.15">
      <c r="A2">
        <v>1</v>
      </c>
      <c r="B2" s="19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9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9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95" t="s">
        <v>195</v>
      </c>
      <c r="C5">
        <v>0</v>
      </c>
      <c r="D5">
        <v>0</v>
      </c>
      <c r="E5">
        <v>0</v>
      </c>
      <c r="F5">
        <v>0</v>
      </c>
      <c r="G5">
        <v>0.8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9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15">
      <c r="A7">
        <v>6</v>
      </c>
      <c r="B7" s="195" t="s">
        <v>197</v>
      </c>
      <c r="C7">
        <v>0</v>
      </c>
      <c r="D7">
        <v>0</v>
      </c>
      <c r="E7">
        <v>0</v>
      </c>
      <c r="F7">
        <v>0</v>
      </c>
      <c r="G7">
        <v>0.8</v>
      </c>
      <c r="H7">
        <v>0</v>
      </c>
      <c r="I7">
        <v>0</v>
      </c>
      <c r="J7">
        <v>0</v>
      </c>
      <c r="K7">
        <v>0</v>
      </c>
      <c r="L7">
        <v>0.8</v>
      </c>
      <c r="M7">
        <v>0.8</v>
      </c>
      <c r="N7">
        <v>0.8</v>
      </c>
      <c r="O7">
        <v>0</v>
      </c>
      <c r="P7">
        <v>0</v>
      </c>
      <c r="Q7">
        <v>0</v>
      </c>
      <c r="R7">
        <v>0</v>
      </c>
      <c r="S7">
        <v>0.8</v>
      </c>
    </row>
    <row r="8" spans="1:19" x14ac:dyDescent="0.15">
      <c r="A8">
        <v>7</v>
      </c>
      <c r="B8" s="195" t="s">
        <v>198</v>
      </c>
      <c r="C8">
        <v>0.8</v>
      </c>
      <c r="D8">
        <v>0</v>
      </c>
      <c r="E8">
        <v>0</v>
      </c>
      <c r="F8">
        <v>0</v>
      </c>
      <c r="G8">
        <v>0.8</v>
      </c>
      <c r="H8">
        <v>0</v>
      </c>
      <c r="I8">
        <v>0</v>
      </c>
      <c r="J8">
        <v>0</v>
      </c>
      <c r="K8">
        <v>0</v>
      </c>
      <c r="L8">
        <v>0.8</v>
      </c>
      <c r="M8">
        <v>0.8</v>
      </c>
      <c r="N8">
        <v>0.8</v>
      </c>
      <c r="O8">
        <v>0</v>
      </c>
      <c r="P8">
        <v>0</v>
      </c>
      <c r="Q8">
        <v>0</v>
      </c>
      <c r="R8">
        <v>0</v>
      </c>
      <c r="S8">
        <v>0.8</v>
      </c>
    </row>
    <row r="9" spans="1:19" x14ac:dyDescent="0.15">
      <c r="A9">
        <v>8</v>
      </c>
      <c r="B9" s="195" t="s">
        <v>199</v>
      </c>
      <c r="C9">
        <v>0.8</v>
      </c>
      <c r="D9">
        <v>0</v>
      </c>
      <c r="E9">
        <v>0</v>
      </c>
      <c r="F9">
        <v>0</v>
      </c>
      <c r="G9">
        <v>0.8</v>
      </c>
      <c r="H9">
        <v>0</v>
      </c>
      <c r="I9">
        <v>0</v>
      </c>
      <c r="J9">
        <v>0</v>
      </c>
      <c r="K9">
        <v>0</v>
      </c>
      <c r="L9">
        <v>0.8</v>
      </c>
      <c r="M9">
        <v>0</v>
      </c>
      <c r="N9">
        <v>0.8</v>
      </c>
      <c r="O9">
        <v>0</v>
      </c>
      <c r="P9">
        <v>0</v>
      </c>
      <c r="Q9">
        <v>0</v>
      </c>
      <c r="R9">
        <v>0</v>
      </c>
      <c r="S9">
        <v>0.8</v>
      </c>
    </row>
    <row r="10" spans="1:19" x14ac:dyDescent="0.15">
      <c r="A10">
        <v>9</v>
      </c>
      <c r="B10" s="195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95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95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0.8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95" t="s">
        <v>203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0.8</v>
      </c>
      <c r="Q13">
        <v>0</v>
      </c>
      <c r="R13">
        <v>0.8</v>
      </c>
      <c r="S13">
        <v>0</v>
      </c>
    </row>
    <row r="14" spans="1:19" x14ac:dyDescent="0.15">
      <c r="A14">
        <v>13</v>
      </c>
      <c r="B14" s="195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95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95" t="s">
        <v>206</v>
      </c>
      <c r="C16">
        <v>0.8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95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0.8</v>
      </c>
      <c r="Q17">
        <v>0.8</v>
      </c>
      <c r="R17">
        <v>0</v>
      </c>
      <c r="S17">
        <v>0</v>
      </c>
    </row>
    <row r="18" spans="1:19" x14ac:dyDescent="0.15">
      <c r="A18">
        <v>17</v>
      </c>
      <c r="B18" s="19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95" t="s">
        <v>209</v>
      </c>
      <c r="C19">
        <v>0.8</v>
      </c>
      <c r="D19">
        <v>0</v>
      </c>
      <c r="E19">
        <v>0.8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0.8</v>
      </c>
      <c r="P19">
        <v>0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9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15">
      <c r="A21">
        <v>20</v>
      </c>
      <c r="B21" s="195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15">
      <c r="A22">
        <v>21</v>
      </c>
      <c r="B22" s="195" t="s">
        <v>212</v>
      </c>
      <c r="C22">
        <v>0.8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  <c r="K22">
        <v>0.8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0.8</v>
      </c>
    </row>
    <row r="23" spans="1:19" x14ac:dyDescent="0.15">
      <c r="A23">
        <v>22</v>
      </c>
      <c r="B23" s="19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s="195" t="s">
        <v>214</v>
      </c>
      <c r="C24">
        <v>0.8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0.8</v>
      </c>
    </row>
    <row r="25" spans="1:19" x14ac:dyDescent="0.15">
      <c r="A25">
        <v>24</v>
      </c>
      <c r="B25" s="195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95" t="s">
        <v>216</v>
      </c>
      <c r="C26">
        <v>0.8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s="195" t="s">
        <v>218</v>
      </c>
      <c r="C28">
        <v>0.8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0.8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s="19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s="195" t="s">
        <v>220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0.8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5" t="s">
        <v>221</v>
      </c>
      <c r="C31">
        <v>0.8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0.8</v>
      </c>
    </row>
    <row r="32" spans="1:19" x14ac:dyDescent="0.15">
      <c r="A32">
        <v>31</v>
      </c>
      <c r="B32" s="195" t="s">
        <v>222</v>
      </c>
      <c r="C32">
        <v>0.8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0.8</v>
      </c>
    </row>
    <row r="33" spans="1:19" x14ac:dyDescent="0.15">
      <c r="A33">
        <v>32</v>
      </c>
      <c r="B33" s="19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5" t="s">
        <v>224</v>
      </c>
      <c r="C34">
        <v>0.8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0.8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5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5" t="s">
        <v>226</v>
      </c>
      <c r="C36">
        <v>0.8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0.8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0.8</v>
      </c>
    </row>
    <row r="38" spans="1:19" x14ac:dyDescent="0.15">
      <c r="A38">
        <v>37</v>
      </c>
      <c r="B38" s="195" t="s">
        <v>228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0.8</v>
      </c>
    </row>
    <row r="39" spans="1:19" x14ac:dyDescent="0.15">
      <c r="A39">
        <v>38</v>
      </c>
      <c r="B39" s="195" t="s">
        <v>229</v>
      </c>
      <c r="C39">
        <v>0.8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0.8</v>
      </c>
      <c r="Q39">
        <v>0</v>
      </c>
      <c r="R39">
        <v>0</v>
      </c>
      <c r="S39">
        <v>0</v>
      </c>
    </row>
    <row r="40" spans="1:19" x14ac:dyDescent="0.15">
      <c r="A40">
        <v>39</v>
      </c>
      <c r="B40" s="195" t="s">
        <v>230</v>
      </c>
      <c r="C40">
        <v>0.8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0.8</v>
      </c>
      <c r="Q40">
        <v>0</v>
      </c>
      <c r="R40">
        <v>0</v>
      </c>
      <c r="S40">
        <v>0</v>
      </c>
    </row>
    <row r="41" spans="1:19" x14ac:dyDescent="0.15">
      <c r="A41">
        <v>40</v>
      </c>
      <c r="B41" s="195" t="s">
        <v>231</v>
      </c>
      <c r="C41">
        <v>0.8</v>
      </c>
      <c r="D41">
        <v>0</v>
      </c>
      <c r="E41">
        <v>0</v>
      </c>
      <c r="F41">
        <v>0</v>
      </c>
      <c r="G41">
        <v>0</v>
      </c>
      <c r="H41">
        <v>0.8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0.8</v>
      </c>
    </row>
    <row r="42" spans="1:19" x14ac:dyDescent="0.15">
      <c r="A42">
        <v>41</v>
      </c>
      <c r="B42" s="195" t="s">
        <v>232</v>
      </c>
      <c r="C42">
        <v>0.8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15">
      <c r="A43">
        <v>42</v>
      </c>
      <c r="B43" s="195" t="s">
        <v>233</v>
      </c>
      <c r="C43">
        <v>0.8</v>
      </c>
      <c r="D43">
        <v>0</v>
      </c>
      <c r="E43">
        <v>0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0.8</v>
      </c>
    </row>
    <row r="44" spans="1:19" x14ac:dyDescent="0.15">
      <c r="A44">
        <v>43</v>
      </c>
      <c r="B44" s="195" t="s">
        <v>234</v>
      </c>
      <c r="C44">
        <v>0.8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0.8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0.8</v>
      </c>
    </row>
    <row r="45" spans="1:19" x14ac:dyDescent="0.15">
      <c r="A45">
        <v>44</v>
      </c>
      <c r="B45" s="195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1:19" x14ac:dyDescent="0.15">
      <c r="A46">
        <v>45</v>
      </c>
      <c r="B46" s="195" t="s">
        <v>236</v>
      </c>
      <c r="C46">
        <v>0.8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15">
      <c r="A47">
        <v>46</v>
      </c>
      <c r="B47" s="195" t="s">
        <v>237</v>
      </c>
      <c r="C47">
        <v>0.8</v>
      </c>
      <c r="D47">
        <v>0</v>
      </c>
      <c r="E47">
        <v>0</v>
      </c>
      <c r="F47">
        <v>0</v>
      </c>
      <c r="G47">
        <v>0.8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15">
      <c r="A48">
        <v>47</v>
      </c>
      <c r="B48" s="195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95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95" t="s">
        <v>240</v>
      </c>
      <c r="C50">
        <v>0.8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s="195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 x14ac:dyDescent="0.15">
      <c r="A52">
        <v>51</v>
      </c>
      <c r="B52" s="195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15">
      <c r="A53">
        <v>52</v>
      </c>
      <c r="B53" s="195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15">
      <c r="A54">
        <v>53</v>
      </c>
      <c r="B54" s="195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 x14ac:dyDescent="0.15">
      <c r="A55">
        <v>54</v>
      </c>
      <c r="B55" s="195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S5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82</v>
      </c>
      <c r="B1" s="3" t="s">
        <v>0</v>
      </c>
      <c r="C1" s="198" t="s">
        <v>246</v>
      </c>
      <c r="D1" s="198" t="s">
        <v>247</v>
      </c>
      <c r="E1" s="198" t="s">
        <v>248</v>
      </c>
      <c r="F1" s="198" t="s">
        <v>249</v>
      </c>
      <c r="G1" s="198" t="s">
        <v>250</v>
      </c>
      <c r="H1" s="198" t="s">
        <v>251</v>
      </c>
      <c r="I1" s="198" t="s">
        <v>252</v>
      </c>
      <c r="J1" s="198" t="s">
        <v>253</v>
      </c>
      <c r="K1" s="198" t="s">
        <v>254</v>
      </c>
      <c r="L1" s="198" t="s">
        <v>255</v>
      </c>
      <c r="M1" s="198" t="s">
        <v>256</v>
      </c>
      <c r="N1" s="198" t="s">
        <v>257</v>
      </c>
      <c r="O1" s="198" t="s">
        <v>258</v>
      </c>
      <c r="P1" s="198" t="s">
        <v>259</v>
      </c>
      <c r="Q1" s="198" t="s">
        <v>207</v>
      </c>
      <c r="R1" s="198" t="s">
        <v>260</v>
      </c>
      <c r="S1" s="198" t="s">
        <v>261</v>
      </c>
    </row>
    <row r="2" spans="1:19" x14ac:dyDescent="0.15">
      <c r="A2">
        <v>1</v>
      </c>
      <c r="B2" s="19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9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9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97" t="s">
        <v>195</v>
      </c>
      <c r="C5">
        <v>0</v>
      </c>
      <c r="D5">
        <v>0</v>
      </c>
      <c r="E5">
        <v>0</v>
      </c>
      <c r="F5">
        <v>0</v>
      </c>
      <c r="G5">
        <v>0.8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9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15">
      <c r="A7">
        <v>6</v>
      </c>
      <c r="B7" s="197" t="s">
        <v>197</v>
      </c>
      <c r="C7">
        <v>0</v>
      </c>
      <c r="D7">
        <v>0</v>
      </c>
      <c r="E7">
        <v>0</v>
      </c>
      <c r="F7">
        <v>0</v>
      </c>
      <c r="G7">
        <v>0.8</v>
      </c>
      <c r="H7">
        <v>0</v>
      </c>
      <c r="I7">
        <v>0</v>
      </c>
      <c r="J7">
        <v>0</v>
      </c>
      <c r="K7">
        <v>0</v>
      </c>
      <c r="L7">
        <v>0.8</v>
      </c>
      <c r="M7">
        <v>0.8</v>
      </c>
      <c r="N7">
        <v>0.8</v>
      </c>
      <c r="O7">
        <v>0</v>
      </c>
      <c r="P7">
        <v>0</v>
      </c>
      <c r="Q7">
        <v>0</v>
      </c>
      <c r="R7">
        <v>0</v>
      </c>
      <c r="S7">
        <v>0.8</v>
      </c>
    </row>
    <row r="8" spans="1:19" x14ac:dyDescent="0.15">
      <c r="A8">
        <v>7</v>
      </c>
      <c r="B8" s="197" t="s">
        <v>198</v>
      </c>
      <c r="C8">
        <v>0.8</v>
      </c>
      <c r="D8">
        <v>0</v>
      </c>
      <c r="E8">
        <v>0</v>
      </c>
      <c r="F8">
        <v>0</v>
      </c>
      <c r="G8">
        <v>0.8</v>
      </c>
      <c r="H8">
        <v>0</v>
      </c>
      <c r="I8">
        <v>0</v>
      </c>
      <c r="J8">
        <v>0</v>
      </c>
      <c r="K8">
        <v>0</v>
      </c>
      <c r="L8">
        <v>0.8</v>
      </c>
      <c r="M8">
        <v>0.8</v>
      </c>
      <c r="N8">
        <v>0.8</v>
      </c>
      <c r="O8">
        <v>0</v>
      </c>
      <c r="P8">
        <v>0</v>
      </c>
      <c r="Q8">
        <v>0</v>
      </c>
      <c r="R8">
        <v>0</v>
      </c>
      <c r="S8">
        <v>0.8</v>
      </c>
    </row>
    <row r="9" spans="1:19" x14ac:dyDescent="0.15">
      <c r="A9">
        <v>8</v>
      </c>
      <c r="B9" s="197" t="s">
        <v>199</v>
      </c>
      <c r="C9">
        <v>0.8</v>
      </c>
      <c r="D9">
        <v>0</v>
      </c>
      <c r="E9">
        <v>0</v>
      </c>
      <c r="F9">
        <v>0</v>
      </c>
      <c r="G9">
        <v>0.8</v>
      </c>
      <c r="H9">
        <v>0</v>
      </c>
      <c r="I9">
        <v>0</v>
      </c>
      <c r="J9">
        <v>0</v>
      </c>
      <c r="K9">
        <v>0</v>
      </c>
      <c r="L9">
        <v>0.8</v>
      </c>
      <c r="M9">
        <v>0</v>
      </c>
      <c r="N9">
        <v>0.8</v>
      </c>
      <c r="O9">
        <v>0</v>
      </c>
      <c r="P9">
        <v>0</v>
      </c>
      <c r="Q9">
        <v>0</v>
      </c>
      <c r="R9">
        <v>0</v>
      </c>
      <c r="S9">
        <v>0.8</v>
      </c>
    </row>
    <row r="10" spans="1:19" x14ac:dyDescent="0.15">
      <c r="A10">
        <v>9</v>
      </c>
      <c r="B10" s="197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97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97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0.8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97" t="s">
        <v>203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0.8</v>
      </c>
      <c r="Q13">
        <v>0</v>
      </c>
      <c r="R13">
        <v>0.8</v>
      </c>
      <c r="S13">
        <v>0</v>
      </c>
    </row>
    <row r="14" spans="1:19" x14ac:dyDescent="0.15">
      <c r="A14">
        <v>13</v>
      </c>
      <c r="B14" s="197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97" t="s">
        <v>205</v>
      </c>
      <c r="C15">
        <v>0.8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97" t="s">
        <v>206</v>
      </c>
      <c r="C16">
        <v>0.8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97" t="s">
        <v>207</v>
      </c>
      <c r="C17">
        <v>0.8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0.8</v>
      </c>
      <c r="Q17">
        <v>0.8</v>
      </c>
      <c r="R17">
        <v>0</v>
      </c>
      <c r="S17">
        <v>0</v>
      </c>
    </row>
    <row r="18" spans="1:19" x14ac:dyDescent="0.15">
      <c r="A18">
        <v>17</v>
      </c>
      <c r="B18" s="19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97" t="s">
        <v>209</v>
      </c>
      <c r="C19">
        <v>0.8</v>
      </c>
      <c r="D19">
        <v>0</v>
      </c>
      <c r="E19">
        <v>0.8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0.8</v>
      </c>
      <c r="P19">
        <v>0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9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15">
      <c r="A21">
        <v>20</v>
      </c>
      <c r="B21" s="197" t="s">
        <v>211</v>
      </c>
      <c r="C21">
        <v>0.8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15">
      <c r="A22">
        <v>21</v>
      </c>
      <c r="B22" s="197" t="s">
        <v>212</v>
      </c>
      <c r="C22">
        <v>0.8</v>
      </c>
      <c r="D22">
        <v>0</v>
      </c>
      <c r="E22">
        <v>0</v>
      </c>
      <c r="F22">
        <v>0.8</v>
      </c>
      <c r="G22">
        <v>0</v>
      </c>
      <c r="H22">
        <v>0</v>
      </c>
      <c r="I22">
        <v>0</v>
      </c>
      <c r="J22">
        <v>0</v>
      </c>
      <c r="K22">
        <v>0.8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0.8</v>
      </c>
    </row>
    <row r="23" spans="1:19" x14ac:dyDescent="0.15">
      <c r="A23">
        <v>22</v>
      </c>
      <c r="B23" s="19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s="197" t="s">
        <v>214</v>
      </c>
      <c r="C24">
        <v>0.8</v>
      </c>
      <c r="D24">
        <v>0</v>
      </c>
      <c r="E24">
        <v>0</v>
      </c>
      <c r="F24">
        <v>0.8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0.8</v>
      </c>
    </row>
    <row r="25" spans="1:19" x14ac:dyDescent="0.15">
      <c r="A25">
        <v>24</v>
      </c>
      <c r="B25" s="197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97" t="s">
        <v>216</v>
      </c>
      <c r="C26">
        <v>0.8</v>
      </c>
      <c r="D26">
        <v>0</v>
      </c>
      <c r="E26">
        <v>0</v>
      </c>
      <c r="F26">
        <v>0</v>
      </c>
      <c r="G26">
        <v>0.8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s="197" t="s">
        <v>218</v>
      </c>
      <c r="C28">
        <v>0.8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0.8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s="19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s="197" t="s">
        <v>220</v>
      </c>
      <c r="C30">
        <v>0.8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0.8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7" t="s">
        <v>221</v>
      </c>
      <c r="C31">
        <v>0.8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0.8</v>
      </c>
    </row>
    <row r="32" spans="1:19" x14ac:dyDescent="0.15">
      <c r="A32">
        <v>31</v>
      </c>
      <c r="B32" s="197" t="s">
        <v>222</v>
      </c>
      <c r="C32">
        <v>0.8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0.8</v>
      </c>
    </row>
    <row r="33" spans="1:19" x14ac:dyDescent="0.15">
      <c r="A33">
        <v>32</v>
      </c>
      <c r="B33" s="19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7" t="s">
        <v>224</v>
      </c>
      <c r="C34">
        <v>0.8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0.8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7" t="s">
        <v>226</v>
      </c>
      <c r="C36">
        <v>0.8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0.8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0.8</v>
      </c>
    </row>
    <row r="38" spans="1:19" x14ac:dyDescent="0.15">
      <c r="A38">
        <v>37</v>
      </c>
      <c r="B38" s="197" t="s">
        <v>228</v>
      </c>
      <c r="C38">
        <v>0.8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0.8</v>
      </c>
    </row>
    <row r="39" spans="1:19" x14ac:dyDescent="0.15">
      <c r="A39">
        <v>38</v>
      </c>
      <c r="B39" s="197" t="s">
        <v>229</v>
      </c>
      <c r="C39">
        <v>0.8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0.8</v>
      </c>
      <c r="Q39">
        <v>0</v>
      </c>
      <c r="R39">
        <v>0</v>
      </c>
      <c r="S39">
        <v>0</v>
      </c>
    </row>
    <row r="40" spans="1:19" x14ac:dyDescent="0.15">
      <c r="A40">
        <v>39</v>
      </c>
      <c r="B40" s="197" t="s">
        <v>230</v>
      </c>
      <c r="C40">
        <v>0.8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0.8</v>
      </c>
      <c r="Q40">
        <v>0</v>
      </c>
      <c r="R40">
        <v>0</v>
      </c>
      <c r="S40">
        <v>0</v>
      </c>
    </row>
    <row r="41" spans="1:19" x14ac:dyDescent="0.15">
      <c r="A41">
        <v>40</v>
      </c>
      <c r="B41" s="197" t="s">
        <v>231</v>
      </c>
      <c r="C41">
        <v>0.8</v>
      </c>
      <c r="D41">
        <v>0</v>
      </c>
      <c r="E41">
        <v>0</v>
      </c>
      <c r="F41">
        <v>0</v>
      </c>
      <c r="G41">
        <v>0</v>
      </c>
      <c r="H41">
        <v>0.8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0.8</v>
      </c>
    </row>
    <row r="42" spans="1:19" x14ac:dyDescent="0.15">
      <c r="A42">
        <v>41</v>
      </c>
      <c r="B42" s="197" t="s">
        <v>232</v>
      </c>
      <c r="C42">
        <v>0.8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15">
      <c r="A43">
        <v>42</v>
      </c>
      <c r="B43" s="197" t="s">
        <v>233</v>
      </c>
      <c r="C43">
        <v>0.8</v>
      </c>
      <c r="D43">
        <v>0</v>
      </c>
      <c r="E43">
        <v>0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0.8</v>
      </c>
    </row>
    <row r="44" spans="1:19" x14ac:dyDescent="0.15">
      <c r="A44">
        <v>43</v>
      </c>
      <c r="B44" s="197" t="s">
        <v>234</v>
      </c>
      <c r="C44">
        <v>0.8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0.8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0.8</v>
      </c>
    </row>
    <row r="45" spans="1:19" x14ac:dyDescent="0.15">
      <c r="A45">
        <v>44</v>
      </c>
      <c r="B45" s="19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1:19" x14ac:dyDescent="0.15">
      <c r="A46">
        <v>45</v>
      </c>
      <c r="B46" s="197" t="s">
        <v>236</v>
      </c>
      <c r="C46">
        <v>0.8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15">
      <c r="A47">
        <v>46</v>
      </c>
      <c r="B47" s="197" t="s">
        <v>237</v>
      </c>
      <c r="C47">
        <v>0.8</v>
      </c>
      <c r="D47">
        <v>0</v>
      </c>
      <c r="E47">
        <v>0</v>
      </c>
      <c r="F47">
        <v>0</v>
      </c>
      <c r="G47">
        <v>0.8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15">
      <c r="A48">
        <v>47</v>
      </c>
      <c r="B48" s="19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9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97" t="s">
        <v>240</v>
      </c>
      <c r="C50">
        <v>0.8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s="19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 x14ac:dyDescent="0.15">
      <c r="A52">
        <v>51</v>
      </c>
      <c r="B52" s="197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15">
      <c r="A53">
        <v>52</v>
      </c>
      <c r="B53" s="197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15">
      <c r="A54">
        <v>53</v>
      </c>
      <c r="B54" s="197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 x14ac:dyDescent="0.15">
      <c r="A55">
        <v>54</v>
      </c>
      <c r="B55" s="197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192</v>
      </c>
      <c r="C2" s="8">
        <v>3.625502347946167</v>
      </c>
      <c r="D2" s="9">
        <v>9.9999997473787516E-5</v>
      </c>
      <c r="E2" s="9">
        <v>0.12999999523162842</v>
      </c>
      <c r="F2" s="9">
        <v>101.5</v>
      </c>
      <c r="G2" s="9">
        <v>7.3105968534946442E-2</v>
      </c>
      <c r="H2" s="9">
        <v>1.2807880993932486E-3</v>
      </c>
      <c r="I2">
        <v>0</v>
      </c>
      <c r="J2"/>
    </row>
    <row r="3" spans="1:10" ht="15" customHeight="1" x14ac:dyDescent="0.15">
      <c r="A3" s="151">
        <v>2</v>
      </c>
      <c r="B3" s="151" t="s">
        <v>193</v>
      </c>
      <c r="C3" s="8">
        <v>3.0657434463500977</v>
      </c>
      <c r="D3" s="9">
        <v>1.3389999866485596</v>
      </c>
      <c r="E3" s="9">
        <v>1.9999999552965164E-2</v>
      </c>
      <c r="F3" s="9">
        <v>9.1000003814697266</v>
      </c>
      <c r="G3" s="7">
        <v>0</v>
      </c>
      <c r="H3" s="9">
        <v>2.1978020668029785E-3</v>
      </c>
      <c r="I3">
        <v>0</v>
      </c>
      <c r="J3"/>
    </row>
    <row r="4" spans="1:10" ht="15" customHeight="1" x14ac:dyDescent="0.15">
      <c r="A4" s="152">
        <v>3</v>
      </c>
      <c r="B4" s="152" t="s">
        <v>194</v>
      </c>
      <c r="C4" s="8">
        <v>3.9773209095001221</v>
      </c>
      <c r="D4" s="9">
        <v>6.1314679682254791E-2</v>
      </c>
      <c r="E4" s="9">
        <v>3.9999999105930328E-2</v>
      </c>
      <c r="F4" s="9">
        <v>15.5</v>
      </c>
      <c r="G4" s="7">
        <v>0</v>
      </c>
      <c r="H4" s="9">
        <v>2.580645028501749E-3</v>
      </c>
      <c r="I4">
        <v>0</v>
      </c>
      <c r="J4"/>
    </row>
    <row r="5" spans="1:10" ht="15" customHeight="1" x14ac:dyDescent="0.15">
      <c r="A5" s="153">
        <v>4</v>
      </c>
      <c r="B5" s="153" t="s">
        <v>195</v>
      </c>
      <c r="C5" s="8">
        <v>3.7731375694274902</v>
      </c>
      <c r="D5" s="9">
        <v>0.25839760899543762</v>
      </c>
      <c r="E5" s="9">
        <v>5.9999998658895493E-2</v>
      </c>
      <c r="F5" s="9">
        <v>15.100000381469727</v>
      </c>
      <c r="G5" s="9">
        <v>1.2579950504004955E-2</v>
      </c>
      <c r="H5" s="9">
        <v>3.9735096506774426E-3</v>
      </c>
      <c r="I5">
        <v>9.9999997473787516E-5</v>
      </c>
      <c r="J5"/>
    </row>
    <row r="6" spans="1:10" ht="15" customHeight="1" x14ac:dyDescent="0.15">
      <c r="A6" s="154">
        <v>5</v>
      </c>
      <c r="B6" s="154" t="s">
        <v>196</v>
      </c>
      <c r="C6" s="8">
        <v>3.6389303207397461</v>
      </c>
      <c r="D6" s="9">
        <v>7.3710000142455101E-3</v>
      </c>
      <c r="E6" s="9">
        <v>0.10000000149011612</v>
      </c>
      <c r="F6" s="9">
        <v>105.19999694824219</v>
      </c>
      <c r="G6" s="7">
        <v>0</v>
      </c>
      <c r="H6" s="9">
        <v>9.5057039288803935E-4</v>
      </c>
      <c r="I6">
        <v>0</v>
      </c>
      <c r="J6"/>
    </row>
    <row r="7" spans="1:10" ht="15" customHeight="1" x14ac:dyDescent="0.15">
      <c r="A7" s="155">
        <v>6</v>
      </c>
      <c r="B7" s="155" t="s">
        <v>197</v>
      </c>
      <c r="C7" s="8">
        <v>3.1159627437591553</v>
      </c>
      <c r="D7" s="9">
        <v>0.20800000429153442</v>
      </c>
      <c r="E7" s="9">
        <v>2.4800000190734863</v>
      </c>
      <c r="F7" s="9">
        <v>8.3299999237060547</v>
      </c>
      <c r="G7" s="9">
        <v>0.74560463428497314</v>
      </c>
      <c r="H7" s="9">
        <v>0.29771909117698669</v>
      </c>
      <c r="I7">
        <v>0.22959999740123749</v>
      </c>
      <c r="J7"/>
    </row>
    <row r="8" spans="1:10" ht="15" customHeight="1" x14ac:dyDescent="0.15">
      <c r="A8" s="156">
        <v>7</v>
      </c>
      <c r="B8" s="156" t="s">
        <v>198</v>
      </c>
      <c r="C8" s="8">
        <v>3.7542610168457031</v>
      </c>
      <c r="D8" s="9">
        <v>2.4000000208616257E-2</v>
      </c>
      <c r="E8" s="9">
        <v>2.7599999904632568</v>
      </c>
      <c r="F8" s="9">
        <v>13.800000190734863</v>
      </c>
      <c r="G8" s="9">
        <v>0.97787487506866455</v>
      </c>
      <c r="H8" s="9">
        <v>0.20000000298023224</v>
      </c>
      <c r="I8">
        <v>4.9601003527641296E-2</v>
      </c>
      <c r="J8"/>
    </row>
    <row r="9" spans="1:10" ht="15" customHeight="1" x14ac:dyDescent="0.15">
      <c r="A9" s="157">
        <v>8</v>
      </c>
      <c r="B9" s="157" t="s">
        <v>199</v>
      </c>
      <c r="C9" s="8">
        <v>3.6703615188598633</v>
      </c>
      <c r="D9" s="9">
        <v>3.5999998450279236E-2</v>
      </c>
      <c r="E9" s="9">
        <v>2.1600000858306885</v>
      </c>
      <c r="F9" s="9">
        <v>10.800000190734863</v>
      </c>
      <c r="G9" s="9">
        <v>0.97064846754074097</v>
      </c>
      <c r="H9" s="9">
        <v>0.20000000298023224</v>
      </c>
      <c r="I9">
        <v>4.5961003750562668E-2</v>
      </c>
      <c r="J9"/>
    </row>
    <row r="10" spans="1:10" ht="15" customHeight="1" x14ac:dyDescent="0.15">
      <c r="A10" s="158">
        <v>9</v>
      </c>
      <c r="B10" s="158" t="s">
        <v>200</v>
      </c>
      <c r="C10" s="8">
        <v>2.9199132919311523</v>
      </c>
      <c r="D10" s="9">
        <v>1.0898200273513794</v>
      </c>
      <c r="E10" s="9">
        <v>6.0229997634887695</v>
      </c>
      <c r="F10" s="9">
        <v>34.674999237060547</v>
      </c>
      <c r="G10" s="9">
        <v>0.94640469551086426</v>
      </c>
      <c r="H10" s="9">
        <v>0.17369863390922546</v>
      </c>
      <c r="I10">
        <v>0</v>
      </c>
      <c r="J10"/>
    </row>
    <row r="11" spans="1:10" ht="15" customHeight="1" x14ac:dyDescent="0.15">
      <c r="A11" s="159">
        <v>10</v>
      </c>
      <c r="B11" s="159" t="s">
        <v>201</v>
      </c>
      <c r="C11" s="8">
        <v>3.22747802734375</v>
      </c>
      <c r="D11" s="9">
        <v>0.76520001888275146</v>
      </c>
      <c r="E11" s="9">
        <v>6.0229997634887695</v>
      </c>
      <c r="F11" s="9">
        <v>34.674999237060547</v>
      </c>
      <c r="G11" s="9">
        <v>0.96308493614196777</v>
      </c>
      <c r="H11" s="9">
        <v>0.17369863390922546</v>
      </c>
      <c r="I11">
        <v>2.2000000171829015E-5</v>
      </c>
      <c r="J11"/>
    </row>
    <row r="12" spans="1:10" ht="15" customHeight="1" x14ac:dyDescent="0.15">
      <c r="A12" s="160">
        <v>11</v>
      </c>
      <c r="B12" s="160" t="s">
        <v>202</v>
      </c>
      <c r="C12" s="8">
        <v>3.4120583534240723</v>
      </c>
      <c r="D12" s="9">
        <v>0.51700001955032349</v>
      </c>
      <c r="E12" s="9">
        <v>9.8999999463558197E-2</v>
      </c>
      <c r="F12" s="9">
        <v>1.3999999761581421</v>
      </c>
      <c r="G12" s="9">
        <v>0.99777740240097046</v>
      </c>
      <c r="H12" s="9">
        <v>7.0714287459850311E-2</v>
      </c>
      <c r="I12">
        <v>1.1529999785125256E-2</v>
      </c>
      <c r="J12"/>
    </row>
    <row r="13" spans="1:10" ht="15" customHeight="1" x14ac:dyDescent="0.15">
      <c r="A13" s="161">
        <v>12</v>
      </c>
      <c r="B13" s="161" t="s">
        <v>203</v>
      </c>
      <c r="C13" s="8">
        <v>3.6158895492553711</v>
      </c>
      <c r="D13" s="9">
        <v>0.9089999794960022</v>
      </c>
      <c r="E13" s="9">
        <v>9.8999999463558197E-2</v>
      </c>
      <c r="F13" s="9">
        <v>2.7190001010894775</v>
      </c>
      <c r="G13" s="9">
        <v>0.85438144207000732</v>
      </c>
      <c r="H13" s="9">
        <v>3.6410443484783173E-2</v>
      </c>
      <c r="I13">
        <v>4.8770800232887268E-2</v>
      </c>
      <c r="J13"/>
    </row>
    <row r="14" spans="1:10" ht="15" customHeight="1" x14ac:dyDescent="0.15">
      <c r="A14" s="162">
        <v>13</v>
      </c>
      <c r="B14" s="162" t="s">
        <v>204</v>
      </c>
      <c r="C14" s="8">
        <v>3.1848001480102539</v>
      </c>
      <c r="D14" s="9">
        <v>0.13199999928474426</v>
      </c>
      <c r="E14" s="9">
        <v>1.0609999895095825</v>
      </c>
      <c r="F14" s="9">
        <v>5.304999828338623</v>
      </c>
      <c r="G14" s="9">
        <v>0.81805980205535889</v>
      </c>
      <c r="H14" s="9">
        <v>0.20000000298023224</v>
      </c>
      <c r="I14">
        <v>0</v>
      </c>
      <c r="J14"/>
    </row>
    <row r="15" spans="1:10" ht="15" customHeight="1" x14ac:dyDescent="0.15">
      <c r="A15" s="163">
        <v>14</v>
      </c>
      <c r="B15" s="163" t="s">
        <v>205</v>
      </c>
      <c r="C15" s="8">
        <v>3.4808979034423828</v>
      </c>
      <c r="D15" s="9">
        <v>0.35899999737739563</v>
      </c>
      <c r="E15" s="9">
        <v>0.2630000114440918</v>
      </c>
      <c r="F15" s="9">
        <v>1.1679999828338623</v>
      </c>
      <c r="G15" s="9">
        <v>0.52448058128356934</v>
      </c>
      <c r="H15" s="9">
        <v>0.22517125308513641</v>
      </c>
      <c r="I15">
        <v>9.3839997425675392E-3</v>
      </c>
      <c r="J15"/>
    </row>
    <row r="16" spans="1:10" ht="15" customHeight="1" x14ac:dyDescent="0.15">
      <c r="A16" s="164">
        <v>15</v>
      </c>
      <c r="B16" s="164" t="s">
        <v>206</v>
      </c>
      <c r="C16" s="8">
        <v>3.0402398109436035</v>
      </c>
      <c r="D16" s="9">
        <v>8.4779996871948242</v>
      </c>
      <c r="E16" s="9">
        <v>1.4320000410079956</v>
      </c>
      <c r="F16" s="9">
        <v>8.3950004577636719</v>
      </c>
      <c r="G16" s="9">
        <v>0.96575808525085449</v>
      </c>
      <c r="H16" s="9">
        <v>0.17057771980762482</v>
      </c>
      <c r="I16">
        <v>3.9999998989515007E-5</v>
      </c>
      <c r="J16"/>
    </row>
    <row r="17" spans="1:10" ht="15" customHeight="1" x14ac:dyDescent="0.15">
      <c r="A17" s="165">
        <v>16</v>
      </c>
      <c r="B17" s="165" t="s">
        <v>207</v>
      </c>
      <c r="C17" s="8">
        <v>3.0587701797485352</v>
      </c>
      <c r="D17" s="9">
        <v>1.6599999666213989</v>
      </c>
      <c r="E17" s="9">
        <v>1.4320000410079956</v>
      </c>
      <c r="F17" s="9">
        <v>8.3950004577636719</v>
      </c>
      <c r="G17" s="9">
        <v>0.81588643789291382</v>
      </c>
      <c r="H17" s="9">
        <v>0.17057771980762482</v>
      </c>
      <c r="I17">
        <v>4.2930003255605698E-3</v>
      </c>
      <c r="J17"/>
    </row>
    <row r="18" spans="1:10" ht="15" customHeight="1" x14ac:dyDescent="0.15">
      <c r="A18" s="166">
        <v>17</v>
      </c>
      <c r="B18" s="166" t="s">
        <v>208</v>
      </c>
      <c r="C18" s="8">
        <v>3.0199999809265137</v>
      </c>
      <c r="D18" s="9">
        <v>2.2650001049041748</v>
      </c>
      <c r="E18" s="9">
        <v>2.190000057220459</v>
      </c>
      <c r="F18" s="9">
        <v>10.949999809265137</v>
      </c>
      <c r="G18" s="9">
        <v>0.81493288278579712</v>
      </c>
      <c r="H18" s="9">
        <v>0.20000000298023224</v>
      </c>
      <c r="I18">
        <v>0</v>
      </c>
      <c r="J18"/>
    </row>
    <row r="19" spans="1:10" ht="15" customHeight="1" x14ac:dyDescent="0.15">
      <c r="A19" s="167">
        <v>18</v>
      </c>
      <c r="B19" s="167" t="s">
        <v>209</v>
      </c>
      <c r="C19" s="8">
        <v>3.1800000667572021</v>
      </c>
      <c r="D19" s="9">
        <v>0.65799999237060547</v>
      </c>
      <c r="E19" s="9">
        <v>0.68300002813339233</v>
      </c>
      <c r="F19" s="9">
        <v>5.8400001525878906</v>
      </c>
      <c r="G19" s="9">
        <v>0.96188563108444214</v>
      </c>
      <c r="H19" s="9">
        <v>0.11695205420255661</v>
      </c>
      <c r="I19">
        <v>0.24167799949645996</v>
      </c>
      <c r="J19"/>
    </row>
    <row r="20" spans="1:10" ht="15" customHeight="1" x14ac:dyDescent="0.15">
      <c r="A20" s="168">
        <v>19</v>
      </c>
      <c r="B20" s="168" t="s">
        <v>210</v>
      </c>
      <c r="C20" s="8">
        <v>3.0399999618530273</v>
      </c>
      <c r="D20" s="9">
        <v>6.1999998986721039E-2</v>
      </c>
      <c r="E20" s="9">
        <v>0.67199999094009399</v>
      </c>
      <c r="F20" s="9">
        <v>3.2100000381469727</v>
      </c>
      <c r="G20" s="9">
        <v>0.77244919538497925</v>
      </c>
      <c r="H20" s="9">
        <v>0.20934578776359558</v>
      </c>
      <c r="I20">
        <v>0</v>
      </c>
      <c r="J20"/>
    </row>
    <row r="21" spans="1:10" ht="15" customHeight="1" x14ac:dyDescent="0.15">
      <c r="A21" s="169">
        <v>20</v>
      </c>
      <c r="B21" s="169" t="s">
        <v>211</v>
      </c>
      <c r="C21" s="8">
        <v>3.2043688297271729</v>
      </c>
      <c r="D21" s="9">
        <v>0.56099998950958252</v>
      </c>
      <c r="E21" s="9">
        <v>0.14399999380111694</v>
      </c>
      <c r="F21" s="9">
        <v>2.1400001049041748</v>
      </c>
      <c r="G21" s="9">
        <v>0.9997175931930542</v>
      </c>
      <c r="H21" s="9">
        <v>6.728971004486084E-2</v>
      </c>
      <c r="I21">
        <v>6.2084000557661057E-2</v>
      </c>
      <c r="J21"/>
    </row>
    <row r="22" spans="1:10" ht="15" customHeight="1" x14ac:dyDescent="0.15">
      <c r="A22" s="170">
        <v>21</v>
      </c>
      <c r="B22" s="170" t="s">
        <v>212</v>
      </c>
      <c r="C22" s="8">
        <v>3.7283816337585449</v>
      </c>
      <c r="D22" s="9">
        <v>0.10000000149011612</v>
      </c>
      <c r="E22" s="9">
        <v>0.18999999761581421</v>
      </c>
      <c r="F22" s="9">
        <v>5.6880002021789551</v>
      </c>
      <c r="G22" s="9">
        <v>0.89853030443191528</v>
      </c>
      <c r="H22" s="9">
        <v>3.3403653651475906E-2</v>
      </c>
      <c r="I22">
        <v>1.0492000728845596E-2</v>
      </c>
      <c r="J22"/>
    </row>
    <row r="23" spans="1:10" ht="15" customHeight="1" x14ac:dyDescent="0.15">
      <c r="A23" s="171">
        <v>22</v>
      </c>
      <c r="B23" s="171" t="s">
        <v>213</v>
      </c>
      <c r="C23" s="8">
        <v>3.2574002742767334</v>
      </c>
      <c r="D23" s="9">
        <v>7.0000002160668373E-3</v>
      </c>
      <c r="E23" s="9">
        <v>0.26100000739097595</v>
      </c>
      <c r="F23" s="9">
        <v>1.8899999856948853</v>
      </c>
      <c r="G23" s="9">
        <v>0.77160948514938354</v>
      </c>
      <c r="H23" s="9">
        <v>0.13809524476528168</v>
      </c>
      <c r="I23">
        <v>0</v>
      </c>
      <c r="J23"/>
    </row>
    <row r="24" spans="1:10" ht="15" customHeight="1" x14ac:dyDescent="0.15">
      <c r="A24" s="172">
        <v>23</v>
      </c>
      <c r="B24" s="172" t="s">
        <v>214</v>
      </c>
      <c r="C24" s="8">
        <v>3.3288447856903076</v>
      </c>
      <c r="D24" s="9">
        <v>0.65399998426437378</v>
      </c>
      <c r="E24" s="9">
        <v>3.7000000476837158E-2</v>
      </c>
      <c r="F24" s="9">
        <v>1.2599999904632568</v>
      </c>
      <c r="G24" s="9">
        <v>0.59168541431427002</v>
      </c>
      <c r="H24" s="9">
        <v>2.936507947742939E-2</v>
      </c>
      <c r="I24">
        <v>1.2339000590145588E-2</v>
      </c>
      <c r="J24"/>
    </row>
    <row r="25" spans="1:10" ht="15" customHeight="1" x14ac:dyDescent="0.15">
      <c r="A25" s="173">
        <v>24</v>
      </c>
      <c r="B25" s="173" t="s">
        <v>215</v>
      </c>
      <c r="C25" s="8">
        <v>3.0999999046325684</v>
      </c>
      <c r="D25" s="9">
        <v>0.13600000739097595</v>
      </c>
      <c r="E25" s="9">
        <v>0.26100000739097595</v>
      </c>
      <c r="F25" s="9">
        <v>3.2100000381469727</v>
      </c>
      <c r="G25" s="9">
        <v>0.80627107620239258</v>
      </c>
      <c r="H25" s="9">
        <v>8.1308409571647644E-2</v>
      </c>
      <c r="I25">
        <v>0</v>
      </c>
      <c r="J25"/>
    </row>
    <row r="26" spans="1:10" ht="15" customHeight="1" x14ac:dyDescent="0.15">
      <c r="A26" s="174">
        <v>25</v>
      </c>
      <c r="B26" s="174" t="s">
        <v>216</v>
      </c>
      <c r="C26" s="8">
        <v>3.4793291091918945</v>
      </c>
      <c r="D26" s="9">
        <v>1.2070000171661377</v>
      </c>
      <c r="E26" s="9">
        <v>6.8000003695487976E-2</v>
      </c>
      <c r="F26" s="9">
        <v>2.1400001049041748</v>
      </c>
      <c r="G26" s="9">
        <v>0.97549057006835938</v>
      </c>
      <c r="H26" s="9">
        <v>3.177570179104805E-2</v>
      </c>
      <c r="I26">
        <v>5.6065000593662262E-2</v>
      </c>
      <c r="J26"/>
    </row>
    <row r="27" spans="1:10" ht="15" customHeight="1" x14ac:dyDescent="0.15">
      <c r="A27" s="175">
        <v>26</v>
      </c>
      <c r="B27" s="175" t="s">
        <v>217</v>
      </c>
      <c r="C27" s="8">
        <v>3.8981256484985352</v>
      </c>
      <c r="D27" s="9">
        <v>0.21799999475479126</v>
      </c>
      <c r="E27" s="9">
        <v>0.33000001311302185</v>
      </c>
      <c r="F27" s="9">
        <v>2.1719999313354492</v>
      </c>
      <c r="G27" s="9">
        <v>0.83833736181259155</v>
      </c>
      <c r="H27" s="9">
        <v>0.15193371474742889</v>
      </c>
      <c r="I27">
        <v>0</v>
      </c>
      <c r="J27"/>
    </row>
    <row r="28" spans="1:10" ht="15" customHeight="1" x14ac:dyDescent="0.15">
      <c r="A28" s="176">
        <v>27</v>
      </c>
      <c r="B28" s="176" t="s">
        <v>218</v>
      </c>
      <c r="C28" s="8">
        <v>3.6855406761169434</v>
      </c>
      <c r="D28" s="9">
        <v>1.5299999713897705</v>
      </c>
      <c r="E28" s="9">
        <v>0.2199999988079071</v>
      </c>
      <c r="F28" s="9">
        <v>1.9830000400543213</v>
      </c>
      <c r="G28" s="9">
        <v>0.98673313856124878</v>
      </c>
      <c r="H28" s="9">
        <v>0.1109430119395256</v>
      </c>
      <c r="I28">
        <v>9.5287002623081207E-2</v>
      </c>
      <c r="J28"/>
    </row>
    <row r="29" spans="1:10" ht="15" customHeight="1" x14ac:dyDescent="0.15">
      <c r="A29" s="177">
        <v>28</v>
      </c>
      <c r="B29" s="177" t="s">
        <v>219</v>
      </c>
      <c r="C29" s="8">
        <v>3.1594116687774658</v>
      </c>
      <c r="D29" s="9">
        <v>0.25900000333786011</v>
      </c>
      <c r="E29" s="9">
        <v>1.934999942779541</v>
      </c>
      <c r="F29" s="9">
        <v>6.0229997634887695</v>
      </c>
      <c r="G29" s="9">
        <v>0.30497854948043823</v>
      </c>
      <c r="H29" s="9">
        <v>0.3212684690952301</v>
      </c>
      <c r="I29">
        <v>0</v>
      </c>
      <c r="J29"/>
    </row>
    <row r="30" spans="1:10" ht="15" customHeight="1" x14ac:dyDescent="0.15">
      <c r="A30" s="178">
        <v>29</v>
      </c>
      <c r="B30" s="178" t="s">
        <v>220</v>
      </c>
      <c r="C30" s="8">
        <v>3.2638578414916992</v>
      </c>
      <c r="D30" s="9">
        <v>0.23600000143051147</v>
      </c>
      <c r="E30" s="9">
        <v>0.94900000095367432</v>
      </c>
      <c r="F30" s="9">
        <v>4.2699999809265137</v>
      </c>
      <c r="G30" s="9">
        <v>0.93414586782455444</v>
      </c>
      <c r="H30" s="9">
        <v>0.22224824130535126</v>
      </c>
      <c r="I30">
        <v>6.0018997639417648E-2</v>
      </c>
      <c r="J30"/>
    </row>
    <row r="31" spans="1:10" ht="15" customHeight="1" x14ac:dyDescent="0.15">
      <c r="A31" s="179">
        <v>30</v>
      </c>
      <c r="B31" s="179" t="s">
        <v>221</v>
      </c>
      <c r="C31" s="8">
        <v>3.8181664943695068</v>
      </c>
      <c r="D31" s="9">
        <v>0.62800002098083496</v>
      </c>
      <c r="E31" s="9">
        <v>0.60000002384185791</v>
      </c>
      <c r="F31" s="9">
        <v>1.4600000381469727</v>
      </c>
      <c r="G31" s="9">
        <v>0.97975367307662964</v>
      </c>
      <c r="H31" s="9">
        <v>0.4109589159488678</v>
      </c>
      <c r="I31">
        <v>3.1909000128507614E-2</v>
      </c>
      <c r="J31"/>
    </row>
    <row r="32" spans="1:10" ht="15" customHeight="1" x14ac:dyDescent="0.15">
      <c r="A32" s="207">
        <v>31</v>
      </c>
      <c r="B32" s="207" t="s">
        <v>222</v>
      </c>
      <c r="C32" s="8">
        <v>4.0034360885620117</v>
      </c>
      <c r="D32" s="9">
        <v>0.62800002098083496</v>
      </c>
      <c r="E32" s="9">
        <v>0.40000000596046448</v>
      </c>
      <c r="F32" s="9">
        <v>1.0950000286102295</v>
      </c>
      <c r="G32" s="9">
        <v>0.64563858509063721</v>
      </c>
      <c r="H32" s="9">
        <v>0.36529681086540222</v>
      </c>
      <c r="I32">
        <v>4.8909001052379608E-2</v>
      </c>
      <c r="J32"/>
    </row>
    <row r="33" spans="1:10" ht="15" customHeight="1" x14ac:dyDescent="0.15">
      <c r="A33" s="208">
        <v>32</v>
      </c>
      <c r="B33" s="208" t="s">
        <v>223</v>
      </c>
      <c r="C33" s="8">
        <v>2.9197981357574463</v>
      </c>
      <c r="D33" s="9">
        <v>8.9000001549720764E-2</v>
      </c>
      <c r="E33" s="9">
        <v>1.9800000190734863</v>
      </c>
      <c r="F33" s="9">
        <v>7.5</v>
      </c>
      <c r="G33" s="9">
        <v>0.15867431461811066</v>
      </c>
      <c r="H33" s="9">
        <v>0.26399999856948853</v>
      </c>
      <c r="I33">
        <v>0</v>
      </c>
      <c r="J33"/>
    </row>
    <row r="34" spans="1:10" ht="15" customHeight="1" x14ac:dyDescent="0.15">
      <c r="A34" s="209">
        <v>33</v>
      </c>
      <c r="B34" s="209" t="s">
        <v>224</v>
      </c>
      <c r="C34" s="8">
        <v>3.9062175750732422</v>
      </c>
      <c r="D34" s="9">
        <v>0.16300000250339508</v>
      </c>
      <c r="E34" s="9">
        <v>1.3200000524520874</v>
      </c>
      <c r="F34" s="9">
        <v>4</v>
      </c>
      <c r="G34" s="9">
        <v>0.80535888671875</v>
      </c>
      <c r="H34" s="9">
        <v>0.33000001311302185</v>
      </c>
      <c r="I34">
        <v>5.5330999195575714E-2</v>
      </c>
      <c r="J34"/>
    </row>
    <row r="35" spans="1:10" ht="15" customHeight="1" x14ac:dyDescent="0.15">
      <c r="A35" s="210">
        <v>34</v>
      </c>
      <c r="B35" s="210" t="s">
        <v>225</v>
      </c>
      <c r="C35" s="8">
        <v>3.2895503044128418</v>
      </c>
      <c r="D35" s="9">
        <v>0.11900000274181366</v>
      </c>
      <c r="E35" s="9">
        <v>0.60000002384185791</v>
      </c>
      <c r="F35" s="9">
        <v>7</v>
      </c>
      <c r="G35" s="9">
        <v>0.91743665933609009</v>
      </c>
      <c r="H35" s="9">
        <v>8.5714288055896759E-2</v>
      </c>
      <c r="I35">
        <v>0</v>
      </c>
      <c r="J35"/>
    </row>
    <row r="36" spans="1:10" ht="15" customHeight="1" x14ac:dyDescent="0.15">
      <c r="A36" s="211">
        <v>35</v>
      </c>
      <c r="B36" s="211" t="s">
        <v>226</v>
      </c>
      <c r="C36" s="8">
        <v>3.6784207820892334</v>
      </c>
      <c r="D36" s="9">
        <v>0.26899999380111694</v>
      </c>
      <c r="E36" s="9">
        <v>0.27599999308586121</v>
      </c>
      <c r="F36" s="9">
        <v>3.7300000190734863</v>
      </c>
      <c r="G36" s="9">
        <v>0.885955810546875</v>
      </c>
      <c r="H36" s="9">
        <v>7.3994636535644531E-2</v>
      </c>
      <c r="I36">
        <v>4.4018998742103577E-2</v>
      </c>
      <c r="J36"/>
    </row>
    <row r="37" spans="1:10" ht="15" customHeight="1" x14ac:dyDescent="0.15">
      <c r="A37" s="212">
        <v>36</v>
      </c>
      <c r="B37" s="212" t="s">
        <v>227</v>
      </c>
      <c r="C37" s="8">
        <v>4.1213822364807129</v>
      </c>
      <c r="D37" s="9">
        <v>3.0999999493360519E-2</v>
      </c>
      <c r="E37" s="9">
        <v>1.2000000476837158</v>
      </c>
      <c r="F37" s="9">
        <v>3.2999999523162842</v>
      </c>
      <c r="G37" s="9">
        <v>0.74778270721435547</v>
      </c>
      <c r="H37" s="9">
        <v>0.36363637447357178</v>
      </c>
      <c r="I37">
        <v>1.7999999690800905E-3</v>
      </c>
      <c r="J37"/>
    </row>
    <row r="38" spans="1:10" ht="15" customHeight="1" x14ac:dyDescent="0.15">
      <c r="A38" s="213">
        <v>37</v>
      </c>
      <c r="B38" s="213" t="s">
        <v>228</v>
      </c>
      <c r="C38" s="8">
        <v>4.0418462753295898</v>
      </c>
      <c r="D38" s="9">
        <v>3.9000000804662704E-2</v>
      </c>
      <c r="E38" s="9">
        <v>0.80000001192092896</v>
      </c>
      <c r="F38" s="9">
        <v>3.2999999523162842</v>
      </c>
      <c r="G38" s="9">
        <v>0.96998512744903564</v>
      </c>
      <c r="H38" s="9">
        <v>0.24242424964904785</v>
      </c>
      <c r="I38">
        <v>2.129799872636795E-2</v>
      </c>
      <c r="J38"/>
    </row>
    <row r="39" spans="1:10" ht="15" customHeight="1" x14ac:dyDescent="0.15">
      <c r="A39" s="214">
        <v>38</v>
      </c>
      <c r="B39" s="214" t="s">
        <v>229</v>
      </c>
      <c r="C39" s="8">
        <v>3.6102104187011719</v>
      </c>
      <c r="D39" s="9">
        <v>0.50900000333786011</v>
      </c>
      <c r="E39" s="9">
        <v>1.5</v>
      </c>
      <c r="F39" s="9">
        <v>5.2560000419616699</v>
      </c>
      <c r="G39" s="9">
        <v>0.98770320415496826</v>
      </c>
      <c r="H39" s="9">
        <v>0.28538811206817627</v>
      </c>
      <c r="I39">
        <v>1.2359999818727374E-3</v>
      </c>
      <c r="J39"/>
    </row>
    <row r="40" spans="1:10" ht="15" customHeight="1" x14ac:dyDescent="0.15">
      <c r="A40" s="215">
        <v>39</v>
      </c>
      <c r="B40" s="215" t="s">
        <v>230</v>
      </c>
      <c r="C40" s="8">
        <v>3.7114992141723633</v>
      </c>
      <c r="D40" s="9">
        <v>0.33500000834465027</v>
      </c>
      <c r="E40" s="9">
        <v>0.31000000238418579</v>
      </c>
      <c r="F40" s="9">
        <v>1.2400000095367432</v>
      </c>
      <c r="G40" s="9">
        <v>0.9832313060760498</v>
      </c>
      <c r="H40" s="9">
        <v>0.25</v>
      </c>
      <c r="I40">
        <v>3.6081001162528992E-2</v>
      </c>
      <c r="J40"/>
    </row>
    <row r="41" spans="1:10" ht="15" customHeight="1" x14ac:dyDescent="0.15">
      <c r="A41" s="216">
        <v>40</v>
      </c>
      <c r="B41" s="216" t="s">
        <v>231</v>
      </c>
      <c r="C41" s="8">
        <v>2.8568942546844482</v>
      </c>
      <c r="D41" s="9">
        <v>0.45600000023841858</v>
      </c>
      <c r="E41" s="9">
        <v>1.5</v>
      </c>
      <c r="F41" s="9">
        <v>5</v>
      </c>
      <c r="G41" s="9">
        <v>0.84522384405136108</v>
      </c>
      <c r="H41" s="9">
        <v>0.30000001192092896</v>
      </c>
      <c r="I41">
        <v>2.682499960064888E-2</v>
      </c>
      <c r="J41"/>
    </row>
    <row r="42" spans="1:10" ht="15" customHeight="1" x14ac:dyDescent="0.15">
      <c r="A42" s="217">
        <v>41</v>
      </c>
      <c r="B42" s="217" t="s">
        <v>232</v>
      </c>
      <c r="C42" s="8">
        <v>3.0540001392364502</v>
      </c>
      <c r="D42" s="9">
        <v>0.64950001239776611</v>
      </c>
      <c r="E42" s="9">
        <v>3.5</v>
      </c>
      <c r="F42" s="9">
        <v>14</v>
      </c>
      <c r="G42" s="9">
        <v>0.88710969686508179</v>
      </c>
      <c r="H42" s="9">
        <v>0.25</v>
      </c>
      <c r="I42">
        <v>3.7000001611886546E-5</v>
      </c>
      <c r="J42"/>
    </row>
    <row r="43" spans="1:10" ht="15" customHeight="1" x14ac:dyDescent="0.15">
      <c r="A43" s="218">
        <v>42</v>
      </c>
      <c r="B43" s="218" t="s">
        <v>233</v>
      </c>
      <c r="C43" s="8">
        <v>2.6600000858306885</v>
      </c>
      <c r="D43" s="9">
        <v>0.20000000298023224</v>
      </c>
      <c r="E43" s="9">
        <v>11.475000381469727</v>
      </c>
      <c r="F43" s="9">
        <v>45.900001525878906</v>
      </c>
      <c r="G43" s="9">
        <v>0.26037183403968811</v>
      </c>
      <c r="H43" s="9">
        <v>0.25</v>
      </c>
      <c r="I43">
        <v>3.670400008559227E-2</v>
      </c>
      <c r="J43"/>
    </row>
    <row r="44" spans="1:10" ht="15" customHeight="1" x14ac:dyDescent="0.15">
      <c r="A44" s="219">
        <v>43</v>
      </c>
      <c r="B44" s="219" t="s">
        <v>234</v>
      </c>
      <c r="C44" s="8">
        <v>2.059999942779541</v>
      </c>
      <c r="D44" s="9">
        <v>13.447999954223633</v>
      </c>
      <c r="E44" s="9">
        <v>1.4479999542236328</v>
      </c>
      <c r="F44" s="9">
        <v>16.088888168334961</v>
      </c>
      <c r="G44" s="9">
        <v>0.89527827501296997</v>
      </c>
      <c r="H44" s="9">
        <v>9.0000003576278687E-2</v>
      </c>
      <c r="I44">
        <v>8.0247007310390472E-2</v>
      </c>
      <c r="J44"/>
    </row>
    <row r="45" spans="1:10" ht="15" customHeight="1" x14ac:dyDescent="0.15">
      <c r="A45" s="220">
        <v>44</v>
      </c>
      <c r="B45" s="220" t="s">
        <v>235</v>
      </c>
      <c r="C45" s="8">
        <v>2.059999942779541</v>
      </c>
      <c r="D45" s="9">
        <v>13.245065689086914</v>
      </c>
      <c r="E45" s="9">
        <v>2</v>
      </c>
      <c r="F45" s="9">
        <v>22.222221374511719</v>
      </c>
      <c r="G45" s="9">
        <v>0.22894561290740967</v>
      </c>
      <c r="H45" s="9">
        <v>9.0000003576278687E-2</v>
      </c>
      <c r="I45">
        <v>0</v>
      </c>
      <c r="J45"/>
    </row>
    <row r="46" spans="1:10" ht="15" customHeight="1" x14ac:dyDescent="0.15">
      <c r="A46" s="221">
        <v>45</v>
      </c>
      <c r="B46" s="221" t="s">
        <v>236</v>
      </c>
      <c r="C46" s="8">
        <v>2</v>
      </c>
      <c r="D46" s="9">
        <v>34.305133819580078</v>
      </c>
      <c r="E46" s="9">
        <v>1.3489999771118164</v>
      </c>
      <c r="F46" s="9">
        <v>14.98900032043457</v>
      </c>
      <c r="G46" s="9">
        <v>0.91910666227340698</v>
      </c>
      <c r="H46" s="9">
        <v>8.9999333024024963E-2</v>
      </c>
      <c r="I46">
        <v>3.0000001061125658E-6</v>
      </c>
      <c r="J46"/>
    </row>
    <row r="47" spans="1:10" ht="15" customHeight="1" x14ac:dyDescent="0.15">
      <c r="A47" s="222">
        <v>46</v>
      </c>
      <c r="B47" s="222" t="s">
        <v>237</v>
      </c>
      <c r="C47" s="8">
        <v>2.1638510227203369</v>
      </c>
      <c r="D47" s="9">
        <v>3</v>
      </c>
      <c r="E47" s="9">
        <v>18</v>
      </c>
      <c r="F47" s="9">
        <v>60</v>
      </c>
      <c r="G47" s="9">
        <v>0.69134128093719482</v>
      </c>
      <c r="H47" s="9">
        <v>0.30000001192092896</v>
      </c>
      <c r="I47">
        <v>1.340000017080456E-4</v>
      </c>
      <c r="J47"/>
    </row>
    <row r="48" spans="1:10" ht="15" customHeight="1" x14ac:dyDescent="0.15">
      <c r="A48" s="223">
        <v>47</v>
      </c>
      <c r="B48" s="223" t="s">
        <v>238</v>
      </c>
      <c r="C48" s="8">
        <v>2.2000000476837158</v>
      </c>
      <c r="D48" s="9">
        <v>8.6999998092651367</v>
      </c>
      <c r="E48" s="9">
        <v>6.0999999046325684</v>
      </c>
      <c r="F48" s="9">
        <v>24.819999694824219</v>
      </c>
      <c r="G48" s="9">
        <v>0.97509026527404785</v>
      </c>
      <c r="H48" s="9">
        <v>0.24576954543590546</v>
      </c>
      <c r="I48">
        <v>0</v>
      </c>
      <c r="J48"/>
    </row>
    <row r="49" spans="1:10" ht="15" customHeight="1" x14ac:dyDescent="0.15">
      <c r="A49" s="224">
        <v>48</v>
      </c>
      <c r="B49" s="224" t="s">
        <v>239</v>
      </c>
      <c r="C49" s="8">
        <v>2</v>
      </c>
      <c r="D49" s="9">
        <v>4.6669998168945312</v>
      </c>
      <c r="E49" s="9">
        <v>27</v>
      </c>
      <c r="F49" s="9">
        <v>90</v>
      </c>
      <c r="G49" s="9">
        <v>0.98858052492141724</v>
      </c>
      <c r="H49" s="9">
        <v>0.30000001192092896</v>
      </c>
      <c r="I49">
        <v>0</v>
      </c>
      <c r="J49"/>
    </row>
    <row r="50" spans="1:10" ht="15" customHeight="1" x14ac:dyDescent="0.15">
      <c r="A50" s="225">
        <v>49</v>
      </c>
      <c r="B50" s="225" t="s">
        <v>240</v>
      </c>
      <c r="C50" s="8">
        <v>2</v>
      </c>
      <c r="D50" s="9">
        <v>1.9285709857940674</v>
      </c>
      <c r="E50" s="9">
        <v>9.9999997764825821E-3</v>
      </c>
      <c r="F50" s="9">
        <v>2</v>
      </c>
      <c r="G50" s="9">
        <v>0.10370373725891113</v>
      </c>
      <c r="H50" s="9">
        <v>4.999999888241291E-3</v>
      </c>
      <c r="I50">
        <v>2.0000000949949026E-3</v>
      </c>
      <c r="J50"/>
    </row>
    <row r="51" spans="1:10" ht="15" customHeight="1" x14ac:dyDescent="0.15">
      <c r="A51" s="226">
        <v>50</v>
      </c>
      <c r="B51" s="226" t="s">
        <v>241</v>
      </c>
      <c r="C51" s="8">
        <v>1</v>
      </c>
      <c r="D51" s="9">
        <v>5.2800002098083496</v>
      </c>
      <c r="E51" s="9">
        <v>5.2560000419616699</v>
      </c>
      <c r="F51" s="10"/>
      <c r="G51" s="9">
        <v>7.7964058145880699E-3</v>
      </c>
      <c r="H51" s="10"/>
      <c r="I51">
        <v>0</v>
      </c>
      <c r="J51"/>
    </row>
    <row r="52" spans="1:10" ht="15" customHeight="1" x14ac:dyDescent="0.15">
      <c r="A52" s="227">
        <v>51</v>
      </c>
      <c r="B52" s="227" t="s">
        <v>242</v>
      </c>
      <c r="C52" s="8">
        <v>1</v>
      </c>
      <c r="D52" s="9">
        <v>15.406000137329102</v>
      </c>
      <c r="E52" s="9">
        <v>178.50199890136719</v>
      </c>
      <c r="F52" s="10"/>
      <c r="G52" s="9">
        <v>0.21555519104003906</v>
      </c>
      <c r="H52" s="10"/>
      <c r="I52">
        <v>0</v>
      </c>
      <c r="J52"/>
    </row>
    <row r="53" spans="1:10" ht="15" customHeight="1" x14ac:dyDescent="0.15">
      <c r="A53" s="228">
        <v>52</v>
      </c>
      <c r="B53" s="228" t="s">
        <v>243</v>
      </c>
      <c r="C53" s="8">
        <v>1</v>
      </c>
      <c r="D53" s="9">
        <v>7.1999996900558472E-2</v>
      </c>
      <c r="E53" s="10"/>
      <c r="F53" s="10"/>
      <c r="G53" s="9">
        <v>0.40344595909118652</v>
      </c>
      <c r="H53" s="10"/>
      <c r="I53">
        <v>0</v>
      </c>
      <c r="J53"/>
    </row>
    <row r="54" spans="1:10" ht="15" customHeight="1" x14ac:dyDescent="0.15">
      <c r="A54" s="229">
        <v>53</v>
      </c>
      <c r="B54" s="229" t="s">
        <v>244</v>
      </c>
      <c r="C54" s="8">
        <v>1</v>
      </c>
      <c r="D54" s="9">
        <v>10</v>
      </c>
      <c r="E54" s="10"/>
      <c r="F54" s="10"/>
      <c r="G54" s="9">
        <v>0.44467112421989441</v>
      </c>
      <c r="H54" s="10"/>
      <c r="I54">
        <v>0</v>
      </c>
      <c r="J54"/>
    </row>
    <row r="55" spans="1:10" ht="15" customHeight="1" x14ac:dyDescent="0.15">
      <c r="A55" s="230">
        <v>54</v>
      </c>
      <c r="B55" s="230" t="s">
        <v>245</v>
      </c>
      <c r="C55" s="8">
        <v>1</v>
      </c>
      <c r="D55" s="9">
        <v>5</v>
      </c>
      <c r="E55" s="10"/>
      <c r="F55" s="10"/>
      <c r="G55" s="7">
        <v>0</v>
      </c>
      <c r="H55" s="10"/>
      <c r="I55">
        <v>0</v>
      </c>
      <c r="J55"/>
    </row>
    <row r="56" spans="1:10" ht="15" customHeight="1" x14ac:dyDescent="0.15">
      <c r="A56" s="231">
        <v>55</v>
      </c>
      <c r="B56" s="231" t="s">
        <v>246</v>
      </c>
      <c r="C56" s="8">
        <v>4.5472054481506348</v>
      </c>
      <c r="D56" s="10"/>
      <c r="E56" s="10"/>
      <c r="F56" s="10"/>
      <c r="G56" s="10"/>
      <c r="H56" s="10"/>
      <c r="I56">
        <v>0.42790299654006958</v>
      </c>
      <c r="J56"/>
    </row>
    <row r="57" spans="1:10" ht="15" customHeight="1" x14ac:dyDescent="0.15">
      <c r="A57" s="232">
        <v>56</v>
      </c>
      <c r="B57" s="232" t="s">
        <v>247</v>
      </c>
      <c r="C57" s="8">
        <v>4.6784210205078125</v>
      </c>
      <c r="D57" s="10"/>
      <c r="E57" s="10"/>
      <c r="F57" s="10"/>
      <c r="G57" s="10"/>
      <c r="H57" s="10"/>
      <c r="I57">
        <v>3.8300000131130219E-2</v>
      </c>
      <c r="J57"/>
    </row>
    <row r="58" spans="1:10" ht="15" customHeight="1" x14ac:dyDescent="0.15">
      <c r="A58" s="233">
        <v>57</v>
      </c>
      <c r="B58" s="233" t="s">
        <v>248</v>
      </c>
      <c r="C58" s="8">
        <v>4.179999828338623</v>
      </c>
      <c r="D58" s="10"/>
      <c r="E58" s="10"/>
      <c r="F58" s="10"/>
      <c r="G58" s="10"/>
      <c r="H58" s="10"/>
      <c r="I58">
        <v>0.15449999272823334</v>
      </c>
      <c r="J58"/>
    </row>
    <row r="59" spans="1:10" ht="15" customHeight="1" x14ac:dyDescent="0.15">
      <c r="A59" s="234">
        <v>58</v>
      </c>
      <c r="B59" s="234" t="s">
        <v>249</v>
      </c>
      <c r="C59" s="8">
        <v>4.5685667991638184</v>
      </c>
      <c r="D59" s="10"/>
      <c r="E59" s="10"/>
      <c r="F59" s="10"/>
      <c r="G59" s="10"/>
      <c r="H59" s="10"/>
      <c r="I59">
        <v>4.999999888241291E-3</v>
      </c>
      <c r="J59"/>
    </row>
    <row r="60" spans="1:10" ht="15" customHeight="1" x14ac:dyDescent="0.15">
      <c r="A60" s="235">
        <v>59</v>
      </c>
      <c r="B60" s="235" t="s">
        <v>250</v>
      </c>
      <c r="C60" s="8">
        <v>4.3369560241699219</v>
      </c>
      <c r="D60" s="10"/>
      <c r="E60" s="10"/>
      <c r="F60" s="10"/>
      <c r="G60" s="10"/>
      <c r="H60" s="10"/>
      <c r="I60">
        <v>0.24047081172466278</v>
      </c>
      <c r="J60"/>
    </row>
    <row r="61" spans="1:10" ht="15" customHeight="1" x14ac:dyDescent="0.15">
      <c r="A61" s="236">
        <v>60</v>
      </c>
      <c r="B61" s="236" t="s">
        <v>251</v>
      </c>
      <c r="C61" s="8">
        <v>3.8568940162658691</v>
      </c>
      <c r="D61" s="10"/>
      <c r="E61" s="10"/>
      <c r="F61" s="10"/>
      <c r="G61" s="10"/>
      <c r="H61" s="10"/>
      <c r="I61">
        <v>2.5599999353289604E-2</v>
      </c>
      <c r="J61"/>
    </row>
    <row r="62" spans="1:10" ht="15" customHeight="1" x14ac:dyDescent="0.15">
      <c r="A62" s="237">
        <v>61</v>
      </c>
      <c r="B62" s="237" t="s">
        <v>252</v>
      </c>
      <c r="C62" s="8">
        <v>3.6600000858306885</v>
      </c>
      <c r="D62" s="10"/>
      <c r="E62" s="10"/>
      <c r="F62" s="10"/>
      <c r="G62" s="10"/>
      <c r="H62" s="10"/>
      <c r="I62">
        <v>3.8000000640749931E-3</v>
      </c>
      <c r="J62"/>
    </row>
    <row r="63" spans="1:10" ht="15" customHeight="1" x14ac:dyDescent="0.15">
      <c r="A63" s="238">
        <v>62</v>
      </c>
      <c r="B63" s="238" t="s">
        <v>253</v>
      </c>
      <c r="C63" s="8">
        <v>3.059999942779541</v>
      </c>
      <c r="D63" s="10"/>
      <c r="E63" s="10"/>
      <c r="F63" s="10"/>
      <c r="G63" s="10"/>
      <c r="H63" s="10"/>
      <c r="I63">
        <v>7.7600002288818359E-2</v>
      </c>
      <c r="J63"/>
    </row>
    <row r="64" spans="1:10" ht="15" customHeight="1" x14ac:dyDescent="0.15">
      <c r="A64" s="239">
        <v>63</v>
      </c>
      <c r="B64" s="239" t="s">
        <v>254</v>
      </c>
      <c r="C64" s="8">
        <v>4.8919377326965332</v>
      </c>
      <c r="D64" s="10"/>
      <c r="E64" s="10"/>
      <c r="F64" s="10"/>
      <c r="G64" s="10"/>
      <c r="H64" s="10"/>
      <c r="I64">
        <v>6.889999657869339E-2</v>
      </c>
      <c r="J64"/>
    </row>
    <row r="65" spans="1:10" ht="15" customHeight="1" x14ac:dyDescent="0.15">
      <c r="A65" s="240">
        <v>64</v>
      </c>
      <c r="B65" s="240" t="s">
        <v>255</v>
      </c>
      <c r="C65" s="8">
        <v>4.291142463684082</v>
      </c>
      <c r="D65" s="10"/>
      <c r="E65" s="10"/>
      <c r="F65" s="10"/>
      <c r="G65" s="10"/>
      <c r="H65" s="10"/>
      <c r="I65">
        <v>3.499999875202775E-3</v>
      </c>
      <c r="J65"/>
    </row>
    <row r="66" spans="1:10" ht="15" customHeight="1" x14ac:dyDescent="0.15">
      <c r="A66" s="241">
        <v>65</v>
      </c>
      <c r="B66" s="241" t="s">
        <v>256</v>
      </c>
      <c r="C66" s="8">
        <v>4.1178703308105469</v>
      </c>
      <c r="D66" s="10"/>
      <c r="E66" s="10"/>
      <c r="F66" s="10"/>
      <c r="G66" s="10"/>
      <c r="H66" s="10"/>
      <c r="I66">
        <v>6.6899999976158142E-2</v>
      </c>
      <c r="J66"/>
    </row>
    <row r="67" spans="1:10" ht="15" customHeight="1" x14ac:dyDescent="0.15">
      <c r="A67" s="242">
        <v>66</v>
      </c>
      <c r="B67" s="242" t="s">
        <v>257</v>
      </c>
      <c r="C67" s="8">
        <v>4.216895580291748</v>
      </c>
      <c r="D67" s="10"/>
      <c r="E67" s="10"/>
      <c r="F67" s="10"/>
      <c r="G67" s="10"/>
      <c r="H67" s="10"/>
      <c r="I67">
        <v>1.1599999852478504E-2</v>
      </c>
      <c r="J67"/>
    </row>
    <row r="68" spans="1:10" ht="15" customHeight="1" x14ac:dyDescent="0.15">
      <c r="A68" s="243">
        <v>67</v>
      </c>
      <c r="B68" s="243" t="s">
        <v>258</v>
      </c>
      <c r="C68" s="8">
        <v>4.179999828338623</v>
      </c>
      <c r="D68" s="10"/>
      <c r="E68" s="10"/>
      <c r="F68" s="10"/>
      <c r="G68" s="10"/>
      <c r="H68" s="10"/>
      <c r="I68">
        <v>8.6900003254413605E-2</v>
      </c>
      <c r="J68"/>
    </row>
    <row r="69" spans="1:10" ht="15" customHeight="1" x14ac:dyDescent="0.15">
      <c r="A69" s="244">
        <v>68</v>
      </c>
      <c r="B69" s="244" t="s">
        <v>259</v>
      </c>
      <c r="C69" s="8">
        <v>3.783437967300415</v>
      </c>
      <c r="D69" s="10"/>
      <c r="E69" s="10"/>
      <c r="F69" s="10"/>
      <c r="G69" s="10"/>
      <c r="H69" s="10"/>
      <c r="I69">
        <v>4.142499715089798E-2</v>
      </c>
      <c r="J69"/>
    </row>
    <row r="70" spans="1:10" ht="15" customHeight="1" x14ac:dyDescent="0.15">
      <c r="A70" s="245">
        <v>69</v>
      </c>
      <c r="B70" s="245" t="s">
        <v>207</v>
      </c>
      <c r="C70" s="8">
        <v>4.0587706565856934</v>
      </c>
      <c r="D70" s="10"/>
      <c r="E70" s="10"/>
      <c r="F70" s="10"/>
      <c r="G70" s="10"/>
      <c r="H70" s="10"/>
      <c r="I70">
        <v>3.0000000260770321E-3</v>
      </c>
      <c r="J70"/>
    </row>
    <row r="71" spans="1:10" ht="15" customHeight="1" x14ac:dyDescent="0.15">
      <c r="A71" s="246">
        <v>70</v>
      </c>
      <c r="B71" s="246" t="s">
        <v>260</v>
      </c>
      <c r="C71" s="8">
        <v>4.6158895492553711</v>
      </c>
      <c r="D71" s="10"/>
      <c r="E71" s="10"/>
      <c r="F71" s="10"/>
      <c r="G71" s="10"/>
      <c r="H71" s="10"/>
      <c r="I71">
        <v>2.9999999329447746E-2</v>
      </c>
      <c r="J71"/>
    </row>
    <row r="72" spans="1:10" ht="15" customHeight="1" x14ac:dyDescent="0.15">
      <c r="A72" s="247">
        <v>71</v>
      </c>
      <c r="B72" s="247" t="s">
        <v>261</v>
      </c>
      <c r="C72" s="8">
        <v>4.7878408432006836</v>
      </c>
      <c r="D72" s="10"/>
      <c r="E72" s="10"/>
      <c r="F72" s="10"/>
      <c r="G72" s="10"/>
      <c r="H72" s="10"/>
      <c r="I72">
        <v>3.8399994373321533E-2</v>
      </c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266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  <c r="L1" t="s">
        <v>274</v>
      </c>
      <c r="M1" t="s">
        <v>275</v>
      </c>
      <c r="N1" t="s">
        <v>276</v>
      </c>
      <c r="O1" t="s">
        <v>277</v>
      </c>
      <c r="P1" t="s">
        <v>278</v>
      </c>
      <c r="Q1" t="s">
        <v>279</v>
      </c>
      <c r="R1" t="s">
        <v>280</v>
      </c>
      <c r="S1" t="s">
        <v>281</v>
      </c>
      <c r="T1" t="s">
        <v>282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 t="s">
        <v>239</v>
      </c>
      <c r="BQ1" t="s">
        <v>240</v>
      </c>
      <c r="BR1" t="s">
        <v>241</v>
      </c>
      <c r="BS1" t="s">
        <v>242</v>
      </c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0.12999999523162842</v>
      </c>
      <c r="C2">
        <v>0.12049622088670731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 s="269">
        <v>9.5037752762436867E-3</v>
      </c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1.9999999552965164E-2</v>
      </c>
      <c r="C3">
        <v>1.9999999552965164E-2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3.9999999105930328E-2</v>
      </c>
      <c r="C4">
        <v>3.9999999105930328E-2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5.9999998658895493E-2</v>
      </c>
      <c r="C5">
        <v>5.924520269036293E-2</v>
      </c>
      <c r="D5"/>
      <c r="E5"/>
      <c r="F5"/>
      <c r="G5"/>
      <c r="H5" s="23">
        <v>3.8700047298334539E-4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 s="23">
        <v>3.6779654328711331E-4</v>
      </c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0.10000000149011612</v>
      </c>
      <c r="C6">
        <v>0.10000000149011612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2.4800000190734863</v>
      </c>
      <c r="C7">
        <v>0.63090050220489502</v>
      </c>
      <c r="D7"/>
      <c r="E7"/>
      <c r="F7"/>
      <c r="G7"/>
      <c r="H7" s="107">
        <v>0.7211538553237915</v>
      </c>
      <c r="I7"/>
      <c r="J7"/>
      <c r="K7"/>
      <c r="L7"/>
      <c r="M7" s="12">
        <v>1.2019230052828789E-2</v>
      </c>
      <c r="N7" s="141">
        <v>0.32067304849624634</v>
      </c>
      <c r="O7" s="21">
        <v>4.663461446762085E-2</v>
      </c>
      <c r="P7"/>
      <c r="Q7"/>
      <c r="R7"/>
      <c r="S7"/>
      <c r="T7" s="14">
        <v>3.3653844147920609E-3</v>
      </c>
      <c r="U7"/>
      <c r="V7"/>
      <c r="W7" s="27">
        <v>0.18733403086662292</v>
      </c>
      <c r="X7" s="27">
        <v>0.19025024771690369</v>
      </c>
      <c r="Y7" s="301">
        <v>0.20131334662437439</v>
      </c>
      <c r="Z7"/>
      <c r="AA7"/>
      <c r="AB7"/>
      <c r="AC7"/>
      <c r="AD7"/>
      <c r="AE7"/>
      <c r="AF7" s="108">
        <v>0.16635572910308838</v>
      </c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2.7599999904632568</v>
      </c>
      <c r="C8">
        <v>6.1065346002578735E-2</v>
      </c>
      <c r="D8" s="11">
        <v>4.1666666220407933E-5</v>
      </c>
      <c r="E8"/>
      <c r="F8"/>
      <c r="G8"/>
      <c r="H8" s="263">
        <v>1.875</v>
      </c>
      <c r="I8"/>
      <c r="J8"/>
      <c r="K8"/>
      <c r="L8"/>
      <c r="M8" s="15">
        <v>2.9166664928197861E-2</v>
      </c>
      <c r="N8" s="12">
        <v>8.3333328366279602E-3</v>
      </c>
      <c r="O8" s="65">
        <v>5.8333329856395721E-2</v>
      </c>
      <c r="P8"/>
      <c r="Q8"/>
      <c r="R8"/>
      <c r="S8"/>
      <c r="T8" s="28">
        <v>9.5833331346511841E-2</v>
      </c>
      <c r="U8"/>
      <c r="V8"/>
      <c r="W8" s="278">
        <v>0.15839627385139465</v>
      </c>
      <c r="X8" s="67">
        <v>0.16488358378410339</v>
      </c>
      <c r="Y8"/>
      <c r="Z8"/>
      <c r="AA8"/>
      <c r="AB8"/>
      <c r="AC8"/>
      <c r="AD8"/>
      <c r="AE8"/>
      <c r="AF8" s="281">
        <v>0.30894634127616882</v>
      </c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2.1600000858306885</v>
      </c>
      <c r="C9">
        <v>6.3399314880371094E-2</v>
      </c>
      <c r="D9" s="11">
        <v>2.7777778450399637E-4</v>
      </c>
      <c r="E9"/>
      <c r="F9"/>
      <c r="G9"/>
      <c r="H9" s="110">
        <v>0.99586117267608643</v>
      </c>
      <c r="I9"/>
      <c r="J9"/>
      <c r="K9"/>
      <c r="L9"/>
      <c r="M9" s="12">
        <v>8.3333337679505348E-3</v>
      </c>
      <c r="N9"/>
      <c r="O9" s="23">
        <v>1.388888992369175E-2</v>
      </c>
      <c r="P9"/>
      <c r="Q9"/>
      <c r="R9"/>
      <c r="S9"/>
      <c r="T9" s="142">
        <v>0.25833335518836975</v>
      </c>
      <c r="U9"/>
      <c r="V9"/>
      <c r="W9" s="257">
        <v>0.10559751838445663</v>
      </c>
      <c r="X9" s="291">
        <v>0.43968957662582397</v>
      </c>
      <c r="Y9"/>
      <c r="Z9"/>
      <c r="AA9"/>
      <c r="AB9"/>
      <c r="AC9"/>
      <c r="AD9"/>
      <c r="AE9"/>
      <c r="AF9" s="284">
        <v>0.27461901307106018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6.0229997634887695</v>
      </c>
      <c r="C10">
        <v>0.32280451059341431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11">
        <v>4.1910589789040387E-4</v>
      </c>
      <c r="V10"/>
      <c r="W10" s="25">
        <v>0.18574663996696472</v>
      </c>
      <c r="X10" s="24">
        <v>0.16339784860610962</v>
      </c>
      <c r="Y10" s="12">
        <v>2.4547453969717026E-2</v>
      </c>
      <c r="Z10"/>
      <c r="AA10" s="15">
        <v>6.0780681669712067E-2</v>
      </c>
      <c r="AB10"/>
      <c r="AC10"/>
      <c r="AD10" s="321">
        <v>4.2241191864013672</v>
      </c>
      <c r="AE10"/>
      <c r="AF10" s="267">
        <v>0.14741159975528717</v>
      </c>
      <c r="AG10"/>
      <c r="AH10" s="14">
        <v>5.9636780060827732E-3</v>
      </c>
      <c r="AI10"/>
      <c r="AJ10"/>
      <c r="AK10"/>
      <c r="AL10"/>
      <c r="AM10"/>
      <c r="AN10" s="14">
        <v>1.32191376760602E-2</v>
      </c>
      <c r="AO10"/>
      <c r="AP10"/>
      <c r="AQ10" s="22">
        <v>5.2902288734912872E-2</v>
      </c>
      <c r="AR10"/>
      <c r="AS10" s="296">
        <v>0.23937989771366119</v>
      </c>
      <c r="AT10" s="23">
        <v>3.7799037992954254E-2</v>
      </c>
      <c r="AU10" s="265">
        <v>0.44681733846664429</v>
      </c>
      <c r="AV10"/>
      <c r="AW10"/>
      <c r="AX10" s="12">
        <v>2.65013687312603E-2</v>
      </c>
      <c r="AY10" s="23">
        <v>4.006754606962204E-2</v>
      </c>
      <c r="AZ10"/>
      <c r="BA10"/>
      <c r="BB10" s="14">
        <v>6.879117339849472E-3</v>
      </c>
      <c r="BC10" s="12">
        <v>2.3016875609755516E-2</v>
      </c>
      <c r="BD10"/>
      <c r="BE10"/>
      <c r="BF10" s="11">
        <v>1.2273940956220031E-3</v>
      </c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6.0229997634887695</v>
      </c>
      <c r="C11">
        <v>0.22233942151069641</v>
      </c>
      <c r="D11" s="11">
        <v>2.8750653655151837E-5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11">
        <v>5.9690279886126518E-4</v>
      </c>
      <c r="V11"/>
      <c r="W11" s="20">
        <v>0.264545738697052</v>
      </c>
      <c r="X11" s="274">
        <v>0.26891621947288513</v>
      </c>
      <c r="Y11" s="15">
        <v>5.5228553712368011E-2</v>
      </c>
      <c r="Z11"/>
      <c r="AA11" s="17">
        <v>8.2237318158149719E-2</v>
      </c>
      <c r="AB11"/>
      <c r="AC11"/>
      <c r="AD11" s="320">
        <v>3.4674999713897705</v>
      </c>
      <c r="AE11"/>
      <c r="AF11" s="68">
        <v>0.37790614366531372</v>
      </c>
      <c r="AG11"/>
      <c r="AH11" s="14">
        <v>8.4936432540416718E-3</v>
      </c>
      <c r="AI11"/>
      <c r="AJ11"/>
      <c r="AK11"/>
      <c r="AL11"/>
      <c r="AM11"/>
      <c r="AN11" s="12">
        <v>1.8827078863978386E-2</v>
      </c>
      <c r="AO11"/>
      <c r="AP11"/>
      <c r="AQ11" s="17">
        <v>8.6108535528182983E-2</v>
      </c>
      <c r="AR11"/>
      <c r="AS11" s="278">
        <v>0.34093177318572998</v>
      </c>
      <c r="AT11" s="15">
        <v>5.3834483027458191E-2</v>
      </c>
      <c r="AU11" s="295">
        <v>0.63637018203735352</v>
      </c>
      <c r="AV11"/>
      <c r="AW11"/>
      <c r="AX11" s="23">
        <v>3.774401918053627E-2</v>
      </c>
      <c r="AY11" s="15">
        <v>5.7065360248088837E-2</v>
      </c>
      <c r="AZ11"/>
      <c r="BA11"/>
      <c r="BB11" s="14">
        <v>9.7974380478262901E-3</v>
      </c>
      <c r="BC11" s="23">
        <v>3.2781299203634262E-2</v>
      </c>
      <c r="BD11"/>
      <c r="BE11"/>
      <c r="BF11" s="11">
        <v>1.7480902606621385E-3</v>
      </c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9.8999999463558197E-2</v>
      </c>
      <c r="C12">
        <v>2.200371673097834E-4</v>
      </c>
      <c r="D12" s="248">
        <v>1.9988393411040306E-2</v>
      </c>
      <c r="E12"/>
      <c r="F12"/>
      <c r="G12"/>
      <c r="H12"/>
      <c r="I12"/>
      <c r="J12"/>
      <c r="K12"/>
      <c r="L12"/>
      <c r="M12"/>
      <c r="N12"/>
      <c r="O12"/>
      <c r="P12"/>
      <c r="Q12" s="267">
        <v>2.3133461363613605E-3</v>
      </c>
      <c r="R12"/>
      <c r="S12"/>
      <c r="T12"/>
      <c r="U12"/>
      <c r="V12"/>
      <c r="W12" s="294">
        <v>4.7794613987207413E-2</v>
      </c>
      <c r="X12"/>
      <c r="Y12"/>
      <c r="Z12"/>
      <c r="AA12"/>
      <c r="AB12"/>
      <c r="AC12"/>
      <c r="AD12"/>
      <c r="AE12"/>
      <c r="AF12" s="107">
        <v>2.8683606535196304E-2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9.8999999463558197E-2</v>
      </c>
      <c r="C13">
        <v>1.4416237361729145E-2</v>
      </c>
      <c r="D13" s="249">
        <v>1.0761275887489319E-2</v>
      </c>
      <c r="E13"/>
      <c r="F13"/>
      <c r="G13"/>
      <c r="H13" s="75">
        <v>9.2627061530947685E-3</v>
      </c>
      <c r="I13"/>
      <c r="J13"/>
      <c r="K13"/>
      <c r="L13"/>
      <c r="M13"/>
      <c r="N13"/>
      <c r="O13"/>
      <c r="P13"/>
      <c r="Q13" s="23">
        <v>6.259626243263483E-4</v>
      </c>
      <c r="R13"/>
      <c r="S13" s="268">
        <v>3.3003300428390503E-2</v>
      </c>
      <c r="T13"/>
      <c r="U13"/>
      <c r="V13"/>
      <c r="W13"/>
      <c r="X13" s="297">
        <v>3.0473530292510986E-2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 s="12">
        <v>4.5698572648689151E-4</v>
      </c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1.0609999895095825</v>
      </c>
      <c r="C14">
        <v>0.19303855299949646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22">
        <v>7.6893945224583149E-3</v>
      </c>
      <c r="V14"/>
      <c r="W14"/>
      <c r="X14"/>
      <c r="Y14"/>
      <c r="Z14"/>
      <c r="AA14"/>
      <c r="AB14"/>
      <c r="AC14"/>
      <c r="AD14"/>
      <c r="AE14"/>
      <c r="AF14"/>
      <c r="AG14" s="293">
        <v>0.13262499868869781</v>
      </c>
      <c r="AH14" s="302">
        <v>0.31766059994697571</v>
      </c>
      <c r="AI14"/>
      <c r="AJ14"/>
      <c r="AK14"/>
      <c r="AL14"/>
      <c r="AM14"/>
      <c r="AN14"/>
      <c r="AO14"/>
      <c r="AP14"/>
      <c r="AQ14"/>
      <c r="AR14"/>
      <c r="AS14"/>
      <c r="AT14" s="289">
        <v>0.1076127216219902</v>
      </c>
      <c r="AU14" s="111">
        <v>0.20686087012290955</v>
      </c>
      <c r="AV14"/>
      <c r="AW14"/>
      <c r="AX14"/>
      <c r="AY14"/>
      <c r="AZ14"/>
      <c r="BA14"/>
      <c r="BB14"/>
      <c r="BC14" s="269">
        <v>7.6012879610061646E-2</v>
      </c>
      <c r="BD14"/>
      <c r="BE14" s="19">
        <v>1.9500000402331352E-2</v>
      </c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0.2630000114440918</v>
      </c>
      <c r="C15">
        <v>0.12506161630153656</v>
      </c>
      <c r="D15" s="250">
        <v>2.5481894612312317E-2</v>
      </c>
      <c r="E15"/>
      <c r="F15"/>
      <c r="G15"/>
      <c r="H15"/>
      <c r="I15"/>
      <c r="J15"/>
      <c r="K15"/>
      <c r="L15"/>
      <c r="M15"/>
      <c r="N15"/>
      <c r="O15"/>
      <c r="P15"/>
      <c r="Q15" s="14">
        <v>6.5738166449591517E-4</v>
      </c>
      <c r="R15"/>
      <c r="S15"/>
      <c r="T15"/>
      <c r="U15"/>
      <c r="V15"/>
      <c r="W15"/>
      <c r="X15" s="66">
        <v>1.1022857390344143E-2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 s="299">
        <v>9.2325128614902496E-2</v>
      </c>
      <c r="AU15" s="25">
        <v>8.4511404857039452E-3</v>
      </c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1.4320000410079956</v>
      </c>
      <c r="C16">
        <v>4.9034424126148224E-2</v>
      </c>
      <c r="D16" s="11">
        <v>4.7180938054225408E-6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7">
        <v>2.012132853269577E-2</v>
      </c>
      <c r="W16" s="18">
        <v>1.8160082399845123E-2</v>
      </c>
      <c r="X16" s="290">
        <v>4.6676170080900192E-2</v>
      </c>
      <c r="Y16" s="16">
        <v>2.2225677967071533E-2</v>
      </c>
      <c r="Z16"/>
      <c r="AA16" s="12">
        <v>6.5239914692938328E-3</v>
      </c>
      <c r="AB16" s="17">
        <v>1.9857324659824371E-2</v>
      </c>
      <c r="AC16" s="149">
        <v>0.36104628443717957</v>
      </c>
      <c r="AD16" s="322">
        <v>0.58524763584136963</v>
      </c>
      <c r="AE16" s="16">
        <v>2.3733951151371002E-2</v>
      </c>
      <c r="AF16" s="17">
        <v>2.0989987999200821E-2</v>
      </c>
      <c r="AG16" s="12">
        <v>5.9470059350132942E-3</v>
      </c>
      <c r="AH16" s="23">
        <v>9.7928494215011597E-3</v>
      </c>
      <c r="AI16"/>
      <c r="AJ16"/>
      <c r="AK16"/>
      <c r="AL16"/>
      <c r="AM16"/>
      <c r="AN16"/>
      <c r="AO16" s="14">
        <v>4.0254779160022736E-3</v>
      </c>
      <c r="AP16"/>
      <c r="AQ16" s="14">
        <v>2.623019739985466E-3</v>
      </c>
      <c r="AR16"/>
      <c r="AS16" s="23">
        <v>8.5307210683822632E-3</v>
      </c>
      <c r="AT16" s="12">
        <v>6.1993459239602089E-3</v>
      </c>
      <c r="AU16" s="24">
        <v>3.829130157828331E-2</v>
      </c>
      <c r="AV16" s="23">
        <v>9.2000300064682961E-3</v>
      </c>
      <c r="AW16" s="17">
        <v>1.8304891884326935E-2</v>
      </c>
      <c r="AX16" s="12">
        <v>5.9481486678123474E-3</v>
      </c>
      <c r="AY16" s="11">
        <v>1.1355556780472398E-3</v>
      </c>
      <c r="AZ16"/>
      <c r="BA16" s="65">
        <v>3.0223637819290161E-2</v>
      </c>
      <c r="BB16" s="14">
        <v>2.4563577026128769E-3</v>
      </c>
      <c r="BC16" s="26">
        <v>3.7043500691652298E-2</v>
      </c>
      <c r="BD16" s="14">
        <v>2.7391011826694012E-3</v>
      </c>
      <c r="BE16" s="14">
        <v>1.7761146882548928E-3</v>
      </c>
      <c r="BF16" s="20">
        <v>6.2479935586452484E-2</v>
      </c>
      <c r="BG16" s="22">
        <v>1.166138332337141E-2</v>
      </c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1.4320000410079956</v>
      </c>
      <c r="C17">
        <v>0.26365062594413757</v>
      </c>
      <c r="D17" s="11">
        <v>4.2168676372966729E-6</v>
      </c>
      <c r="E17"/>
      <c r="F17"/>
      <c r="G17"/>
      <c r="H17"/>
      <c r="I17"/>
      <c r="J17"/>
      <c r="K17"/>
      <c r="L17"/>
      <c r="M17"/>
      <c r="N17"/>
      <c r="O17"/>
      <c r="P17"/>
      <c r="Q17" s="11">
        <v>7.7469879761338234E-4</v>
      </c>
      <c r="R17" s="14">
        <v>1.8072290113195777E-3</v>
      </c>
      <c r="S17"/>
      <c r="T17"/>
      <c r="U17"/>
      <c r="V17"/>
      <c r="W17" s="17">
        <v>1.8320532515645027E-2</v>
      </c>
      <c r="X17"/>
      <c r="Y17" s="26">
        <v>3.6902956664562225E-2</v>
      </c>
      <c r="Z17"/>
      <c r="AA17" s="12">
        <v>6.5840966999530792E-3</v>
      </c>
      <c r="AB17" s="18">
        <v>1.5692530199885368E-2</v>
      </c>
      <c r="AC17" s="315">
        <v>0.31870672106742859</v>
      </c>
      <c r="AD17" s="316">
        <v>0.39959806203842163</v>
      </c>
      <c r="AE17" s="19">
        <v>2.4417353793978691E-2</v>
      </c>
      <c r="AF17" s="16">
        <v>2.2333472967147827E-2</v>
      </c>
      <c r="AG17" s="12">
        <v>5.9058070182800293E-3</v>
      </c>
      <c r="AH17" s="23">
        <v>7.0727323181927204E-3</v>
      </c>
      <c r="AI17"/>
      <c r="AJ17"/>
      <c r="AK17"/>
      <c r="AL17"/>
      <c r="AM17"/>
      <c r="AN17"/>
      <c r="AO17" s="14">
        <v>4.1118073277175426E-3</v>
      </c>
      <c r="AP17"/>
      <c r="AQ17" s="14">
        <v>2.480807714164257E-3</v>
      </c>
      <c r="AR17"/>
      <c r="AS17" s="23">
        <v>9.3360729515552521E-3</v>
      </c>
      <c r="AT17" s="12">
        <v>6.2752477824687958E-3</v>
      </c>
      <c r="AU17" s="77">
        <v>9.3212008476257324E-2</v>
      </c>
      <c r="AV17" s="23">
        <v>9.3973306939005852E-3</v>
      </c>
      <c r="AW17" s="17">
        <v>1.8818868324160576E-2</v>
      </c>
      <c r="AX17" s="12">
        <v>6.0757114551961422E-3</v>
      </c>
      <c r="AY17" s="11">
        <v>1.2427590554580092E-3</v>
      </c>
      <c r="AZ17"/>
      <c r="BA17" s="65">
        <v>3.102891705930233E-2</v>
      </c>
      <c r="BB17" s="14">
        <v>2.5090361014008522E-3</v>
      </c>
      <c r="BC17" s="24">
        <v>4.0497466921806335E-2</v>
      </c>
      <c r="BD17" s="14">
        <v>3.882469842210412E-3</v>
      </c>
      <c r="BE17" s="12">
        <v>4.8843976110219955E-3</v>
      </c>
      <c r="BF17" s="274">
        <v>6.4464516937732697E-2</v>
      </c>
      <c r="BG17" s="22">
        <v>1.2011567130684853E-2</v>
      </c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2.190000057220459</v>
      </c>
      <c r="C18">
        <v>0.40529701113700867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 s="15">
        <v>2.3497192189097404E-2</v>
      </c>
      <c r="X18" s="317">
        <v>0.36689317226409912</v>
      </c>
      <c r="Y18" s="16">
        <v>3.5947047173976898E-2</v>
      </c>
      <c r="Z18"/>
      <c r="AA18"/>
      <c r="AB18"/>
      <c r="AC18" s="319">
        <v>0.83420544862747192</v>
      </c>
      <c r="AD18"/>
      <c r="AE18"/>
      <c r="AF18" s="18">
        <v>2.5097629055380821E-2</v>
      </c>
      <c r="AG18"/>
      <c r="AH18"/>
      <c r="AI18"/>
      <c r="AJ18"/>
      <c r="AK18"/>
      <c r="AL18"/>
      <c r="AM18"/>
      <c r="AN18"/>
      <c r="AO18" s="13">
        <v>8.2871526479721069E-2</v>
      </c>
      <c r="AP18"/>
      <c r="AQ18"/>
      <c r="AR18"/>
      <c r="AS18" s="278">
        <v>0.12430234998464584</v>
      </c>
      <c r="AT18" s="19">
        <v>3.7628818303346634E-2</v>
      </c>
      <c r="AU18" s="148">
        <v>0.13261014223098755</v>
      </c>
      <c r="AV18"/>
      <c r="AW18"/>
      <c r="AX18" s="15">
        <v>2.0240176469087601E-2</v>
      </c>
      <c r="AY18"/>
      <c r="AZ18"/>
      <c r="BA18" s="12">
        <v>8.6357602849602699E-3</v>
      </c>
      <c r="BB18"/>
      <c r="BC18"/>
      <c r="BD18" s="12">
        <v>7.6781446114182472E-3</v>
      </c>
      <c r="BE18" s="14">
        <v>5.6252977810800076E-3</v>
      </c>
      <c r="BF18"/>
      <c r="BG18"/>
      <c r="BH18"/>
      <c r="BI18"/>
      <c r="BJ18"/>
      <c r="BK18"/>
      <c r="BL18"/>
      <c r="BM18"/>
      <c r="BN18" s="13">
        <v>7.9470194876194E-2</v>
      </c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0.68300002813339233</v>
      </c>
      <c r="C19">
        <v>2.6032114401459694E-2</v>
      </c>
      <c r="D19" s="11">
        <v>4.2249239049851894E-4</v>
      </c>
      <c r="E19"/>
      <c r="F19" s="259">
        <v>0.23480242490768433</v>
      </c>
      <c r="G19"/>
      <c r="H19"/>
      <c r="I19"/>
      <c r="J19"/>
      <c r="K19"/>
      <c r="L19"/>
      <c r="M19"/>
      <c r="N19"/>
      <c r="O19"/>
      <c r="P19" s="111">
        <v>0.13206687569618225</v>
      </c>
      <c r="Q19"/>
      <c r="R19"/>
      <c r="S19"/>
      <c r="T19"/>
      <c r="U19"/>
      <c r="V19" s="24">
        <v>1.8518086522817612E-2</v>
      </c>
      <c r="W19" s="65">
        <v>1.4443427324295044E-2</v>
      </c>
      <c r="X19" s="300">
        <v>6.0139898210763931E-2</v>
      </c>
      <c r="Y19" s="23">
        <v>3.5353915300220251E-3</v>
      </c>
      <c r="Z19"/>
      <c r="AA19" s="147">
        <v>2.0133739337325096E-2</v>
      </c>
      <c r="AB19" s="20">
        <v>2.9544072225689888E-2</v>
      </c>
      <c r="AC19"/>
      <c r="AD19"/>
      <c r="AE19"/>
      <c r="AF19" s="64">
        <v>3.7561871111392975E-2</v>
      </c>
      <c r="AG19"/>
      <c r="AH19"/>
      <c r="AI19"/>
      <c r="AJ19"/>
      <c r="AK19"/>
      <c r="AL19"/>
      <c r="AM19"/>
      <c r="AN19"/>
      <c r="AO19" s="26">
        <v>1.7288753762841225E-2</v>
      </c>
      <c r="AP19"/>
      <c r="AQ19"/>
      <c r="AR19"/>
      <c r="AS19"/>
      <c r="AT19" s="21">
        <v>1.2952776625752449E-2</v>
      </c>
      <c r="AU19" s="11">
        <v>4.6108805690892041E-5</v>
      </c>
      <c r="AV19"/>
      <c r="AW19"/>
      <c r="AX19"/>
      <c r="AY19" s="25">
        <v>2.0901521667838097E-2</v>
      </c>
      <c r="AZ19"/>
      <c r="BA19" s="290">
        <v>2.2790271788835526E-2</v>
      </c>
      <c r="BB19" s="19">
        <v>1.2659573927521706E-2</v>
      </c>
      <c r="BC19" s="65">
        <v>1.5248783864080906E-2</v>
      </c>
      <c r="BD19"/>
      <c r="BE19" s="23">
        <v>3.9118542335927486E-3</v>
      </c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0.67199999094009399</v>
      </c>
      <c r="C20">
        <v>0.1529141366481781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 s="277">
        <v>7.664334774017334E-2</v>
      </c>
      <c r="X20"/>
      <c r="Y20"/>
      <c r="Z20"/>
      <c r="AA20"/>
      <c r="AB20"/>
      <c r="AC20"/>
      <c r="AD20"/>
      <c r="AE20"/>
      <c r="AF20" s="67">
        <v>3.9864052087068558E-2</v>
      </c>
      <c r="AG20"/>
      <c r="AH20"/>
      <c r="AI20"/>
      <c r="AJ20"/>
      <c r="AK20"/>
      <c r="AL20"/>
      <c r="AM20"/>
      <c r="AN20"/>
      <c r="AO20"/>
      <c r="AP20"/>
      <c r="AQ20" s="292">
        <v>0.2656865119934082</v>
      </c>
      <c r="AR20"/>
      <c r="AS20"/>
      <c r="AT20"/>
      <c r="AU20" s="269">
        <v>4.8934828490018845E-2</v>
      </c>
      <c r="AV20"/>
      <c r="AW20"/>
      <c r="AX20" s="108">
        <v>4.4365167617797852E-2</v>
      </c>
      <c r="AY20"/>
      <c r="AZ20"/>
      <c r="BA20"/>
      <c r="BB20"/>
      <c r="BC20"/>
      <c r="BD20"/>
      <c r="BE20" s="77">
        <v>4.3591935187578201E-2</v>
      </c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0.14399999380111694</v>
      </c>
      <c r="C21">
        <v>4.0666578570380807E-5</v>
      </c>
      <c r="D21" s="251">
        <v>0.1106666699051857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 s="257">
        <v>7.0538432337343693E-3</v>
      </c>
      <c r="Y21"/>
      <c r="Z21"/>
      <c r="AA21"/>
      <c r="AB21"/>
      <c r="AC21"/>
      <c r="AD21"/>
      <c r="AE21"/>
      <c r="AF21" s="69">
        <v>1.321695651859045E-2</v>
      </c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 s="13">
        <v>5.4081273265182972E-3</v>
      </c>
      <c r="AV21"/>
      <c r="AW21"/>
      <c r="AX21"/>
      <c r="AY21" s="20">
        <v>6.1288774013519287E-3</v>
      </c>
      <c r="AZ21"/>
      <c r="BA21"/>
      <c r="BB21" s="15">
        <v>1.4848485589027405E-3</v>
      </c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0.18999999761581421</v>
      </c>
      <c r="C22">
        <v>1.9279241561889648E-2</v>
      </c>
      <c r="D22" s="26">
        <v>4.9200002104043961E-3</v>
      </c>
      <c r="E22"/>
      <c r="F22"/>
      <c r="G22" s="261">
        <v>2.9999999329447746E-2</v>
      </c>
      <c r="H22"/>
      <c r="I22"/>
      <c r="J22"/>
      <c r="K22"/>
      <c r="L22" s="264">
        <v>4.0000002831220627E-2</v>
      </c>
      <c r="M22"/>
      <c r="N22"/>
      <c r="O22"/>
      <c r="P22"/>
      <c r="Q22"/>
      <c r="R22"/>
      <c r="S22"/>
      <c r="T22" s="261">
        <v>2.9999999329447746E-2</v>
      </c>
      <c r="U22"/>
      <c r="V22"/>
      <c r="W22"/>
      <c r="X22" s="273">
        <v>1.9786030054092407E-2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 s="275">
        <v>3.3144716173410416E-2</v>
      </c>
      <c r="AU22"/>
      <c r="AV22"/>
      <c r="AW22"/>
      <c r="AX22"/>
      <c r="AY22"/>
      <c r="AZ22"/>
      <c r="BA22"/>
      <c r="BB22"/>
      <c r="BC22"/>
      <c r="BD22"/>
      <c r="BE22" s="271">
        <v>1.2869999743998051E-2</v>
      </c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0.26100000739097595</v>
      </c>
      <c r="C23">
        <v>5.9609927237033844E-2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 s="143">
        <v>5.6531503796577454E-2</v>
      </c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270">
        <v>5.8830581605434418E-2</v>
      </c>
      <c r="AR23"/>
      <c r="AS23"/>
      <c r="AT23" s="255">
        <v>6.7642286419868469E-2</v>
      </c>
      <c r="AU23"/>
      <c r="AV23"/>
      <c r="AW23"/>
      <c r="AX23"/>
      <c r="AY23"/>
      <c r="AZ23"/>
      <c r="BA23"/>
      <c r="BB23"/>
      <c r="BC23"/>
      <c r="BD23"/>
      <c r="BE23" s="72">
        <v>1.8385713919997215E-2</v>
      </c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3.7000000476837158E-2</v>
      </c>
      <c r="C24">
        <v>1.5107640065252781E-2</v>
      </c>
      <c r="D24" s="252">
        <v>1.2750765308737755E-2</v>
      </c>
      <c r="E24"/>
      <c r="F24"/>
      <c r="G24" s="262">
        <v>3.0581043101847172E-3</v>
      </c>
      <c r="H24"/>
      <c r="I24"/>
      <c r="J24"/>
      <c r="K24"/>
      <c r="L24"/>
      <c r="M24"/>
      <c r="N24"/>
      <c r="O24"/>
      <c r="P24"/>
      <c r="Q24"/>
      <c r="R24"/>
      <c r="S24"/>
      <c r="T24" s="262">
        <v>3.0581043101847172E-3</v>
      </c>
      <c r="U24"/>
      <c r="V24"/>
      <c r="W24"/>
      <c r="X24" s="262">
        <v>3.0253869481384754E-3</v>
      </c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0.26100000739097595</v>
      </c>
      <c r="C25">
        <v>5.0563249737024307E-2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 s="272">
        <v>1.3976140879094601E-2</v>
      </c>
      <c r="X25" s="18">
        <v>2.9097096994519234E-3</v>
      </c>
      <c r="Y25"/>
      <c r="Z25"/>
      <c r="AA25"/>
      <c r="AB25"/>
      <c r="AC25"/>
      <c r="AD25"/>
      <c r="AE25"/>
      <c r="AF25" s="264">
        <v>5.451994389295578E-2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 s="282">
        <v>5.9186998754739761E-2</v>
      </c>
      <c r="AU25"/>
      <c r="AV25"/>
      <c r="AW25"/>
      <c r="AX25"/>
      <c r="AY25" s="250">
        <v>2.5281617417931557E-2</v>
      </c>
      <c r="AZ25"/>
      <c r="BA25"/>
      <c r="BB25" s="267">
        <v>6.1250003054738045E-3</v>
      </c>
      <c r="BC25" s="277">
        <v>2.9510881751775742E-2</v>
      </c>
      <c r="BD25"/>
      <c r="BE25" s="269">
        <v>1.892646960914135E-2</v>
      </c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6.8000003695487976E-2</v>
      </c>
      <c r="C26">
        <v>1.66664132848382E-3</v>
      </c>
      <c r="D26" s="253">
        <v>4.5621376484632492E-2</v>
      </c>
      <c r="E26"/>
      <c r="F26"/>
      <c r="G26"/>
      <c r="H26" s="18">
        <v>8.2850042963400483E-4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 s="284">
        <v>8.6612701416015625E-3</v>
      </c>
      <c r="X26" s="250">
        <v>6.5570934675633907E-3</v>
      </c>
      <c r="Y26"/>
      <c r="Z26"/>
      <c r="AA26"/>
      <c r="AB26"/>
      <c r="AC26"/>
      <c r="AD26"/>
      <c r="AE26"/>
      <c r="AF26" s="148">
        <v>4.0953950956463814E-3</v>
      </c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 s="22">
        <v>5.6972663151100278E-4</v>
      </c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0.33000001311302185</v>
      </c>
      <c r="C27">
        <v>5.3348671644926071E-2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 s="288">
        <v>6.4952641725540161E-2</v>
      </c>
      <c r="X27"/>
      <c r="Y27"/>
      <c r="Z27"/>
      <c r="AA27"/>
      <c r="AB27"/>
      <c r="AC27"/>
      <c r="AD27"/>
      <c r="AE27"/>
      <c r="AF27" s="109">
        <v>5.6687410920858383E-2</v>
      </c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 s="20">
        <v>1.3917244970798492E-2</v>
      </c>
      <c r="AV27"/>
      <c r="AW27"/>
      <c r="AX27" s="284">
        <v>4.2058717459440231E-2</v>
      </c>
      <c r="AY27"/>
      <c r="AZ27"/>
      <c r="BA27" s="15">
        <v>2.9908258002251387E-3</v>
      </c>
      <c r="BB27" s="283">
        <v>3.8211006671190262E-2</v>
      </c>
      <c r="BC27" s="286">
        <v>4.6026147902011871E-2</v>
      </c>
      <c r="BD27"/>
      <c r="BE27" s="28">
        <v>1.1807340197265148E-2</v>
      </c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0.2199999988079071</v>
      </c>
      <c r="C28">
        <v>2.91870953515172E-3</v>
      </c>
      <c r="D28" s="254">
        <v>6.084248423576355E-2</v>
      </c>
      <c r="E28"/>
      <c r="F28"/>
      <c r="G28"/>
      <c r="H28"/>
      <c r="I28"/>
      <c r="J28"/>
      <c r="K28"/>
      <c r="L28" s="12">
        <v>9.8039221484214067E-4</v>
      </c>
      <c r="M28"/>
      <c r="N28"/>
      <c r="O28"/>
      <c r="P28"/>
      <c r="Q28" s="14">
        <v>4.5620917808264494E-4</v>
      </c>
      <c r="R28"/>
      <c r="S28"/>
      <c r="T28"/>
      <c r="U28"/>
      <c r="V28"/>
      <c r="W28"/>
      <c r="X28" s="255">
        <v>5.6900996714830399E-2</v>
      </c>
      <c r="Y28"/>
      <c r="Z28"/>
      <c r="AA28"/>
      <c r="AB28"/>
      <c r="AC28"/>
      <c r="AD28"/>
      <c r="AE28"/>
      <c r="AF28" s="304">
        <v>3.2308120280504227E-2</v>
      </c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 s="308">
        <v>4.0450591593980789E-2</v>
      </c>
      <c r="AZ28"/>
      <c r="BA28" s="277">
        <v>2.5142483413219452E-2</v>
      </c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1.934999942779541</v>
      </c>
      <c r="C29">
        <v>1.3448665142059326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 s="303">
        <v>0.19085490703582764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 s="25">
        <v>6.0329601168632507E-2</v>
      </c>
      <c r="AU29" s="147">
        <v>5.8570645749568939E-2</v>
      </c>
      <c r="AV29"/>
      <c r="AW29"/>
      <c r="AX29" s="13">
        <v>7.0801541209220886E-2</v>
      </c>
      <c r="AY29"/>
      <c r="AZ29"/>
      <c r="BA29"/>
      <c r="BB29"/>
      <c r="BC29" s="21">
        <v>3.8740154355764389E-2</v>
      </c>
      <c r="BD29" s="17">
        <v>2.7648644521832466E-2</v>
      </c>
      <c r="BE29" s="147">
        <v>5.5157143622636795E-2</v>
      </c>
      <c r="BF29"/>
      <c r="BG29"/>
      <c r="BH29" s="274">
        <v>8.8030889630317688E-2</v>
      </c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0.94900000095367432</v>
      </c>
      <c r="C30">
        <v>6.2495570629835129E-2</v>
      </c>
      <c r="D30" s="255">
        <v>0.24576270580291748</v>
      </c>
      <c r="E30"/>
      <c r="F30"/>
      <c r="G30"/>
      <c r="H30"/>
      <c r="I30"/>
      <c r="J30"/>
      <c r="K30"/>
      <c r="L30"/>
      <c r="M30"/>
      <c r="N30"/>
      <c r="O30"/>
      <c r="P30"/>
      <c r="Q30" s="15">
        <v>8.5550844669342041E-3</v>
      </c>
      <c r="R30"/>
      <c r="S30"/>
      <c r="T30"/>
      <c r="U30"/>
      <c r="V30"/>
      <c r="W30"/>
      <c r="X30" s="72">
        <v>6.7071288824081421E-2</v>
      </c>
      <c r="Y30"/>
      <c r="Z30"/>
      <c r="AA30"/>
      <c r="AB30"/>
      <c r="AC30"/>
      <c r="AD30"/>
      <c r="AE30"/>
      <c r="AF30" s="78">
        <v>0.20945517718791962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 s="271">
        <v>6.4278803765773773E-2</v>
      </c>
      <c r="AV30"/>
      <c r="AW30"/>
      <c r="AX30"/>
      <c r="AY30" s="297">
        <v>0.29138138890266418</v>
      </c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0.60000002384185791</v>
      </c>
      <c r="C31">
        <v>1.2147796340286732E-2</v>
      </c>
      <c r="D31" s="22">
        <v>4.3136943131685257E-3</v>
      </c>
      <c r="E31"/>
      <c r="F31"/>
      <c r="G31"/>
      <c r="H31"/>
      <c r="I31"/>
      <c r="J31"/>
      <c r="K31"/>
      <c r="L31" s="265">
        <v>4.4267512857913971E-2</v>
      </c>
      <c r="M31"/>
      <c r="N31"/>
      <c r="O31"/>
      <c r="P31"/>
      <c r="Q31"/>
      <c r="R31"/>
      <c r="S31"/>
      <c r="T31" s="12">
        <v>2.2292991634458303E-3</v>
      </c>
      <c r="U31"/>
      <c r="V31"/>
      <c r="W31"/>
      <c r="X31" s="313">
        <v>0.38437822461128235</v>
      </c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 s="305">
        <v>8.7600000202655792E-2</v>
      </c>
      <c r="AZ31"/>
      <c r="BA31" s="28">
        <v>2.076433040201664E-2</v>
      </c>
      <c r="BB31"/>
      <c r="BC31" s="17">
        <v>7.9886140301823616E-3</v>
      </c>
      <c r="BD31" s="20">
        <v>2.6063689962029457E-2</v>
      </c>
      <c r="BE31" s="19">
        <v>1.0246815159916878E-2</v>
      </c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0.40000000596046448</v>
      </c>
      <c r="C32">
        <v>0.14174456894397736</v>
      </c>
      <c r="D32" s="15">
        <v>4.3136943131685257E-3</v>
      </c>
      <c r="E32"/>
      <c r="F32"/>
      <c r="G32"/>
      <c r="H32"/>
      <c r="I32"/>
      <c r="J32"/>
      <c r="K32"/>
      <c r="L32" s="266">
        <v>4.8885349184274673E-2</v>
      </c>
      <c r="M32"/>
      <c r="N32"/>
      <c r="O32"/>
      <c r="P32"/>
      <c r="Q32"/>
      <c r="R32"/>
      <c r="S32"/>
      <c r="T32" s="148">
        <v>2.468152716755867E-2</v>
      </c>
      <c r="U32"/>
      <c r="V32"/>
      <c r="W32" s="295">
        <v>4.222218319773674E-2</v>
      </c>
      <c r="X32" s="306">
        <v>8.8217958807945251E-2</v>
      </c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 s="26">
        <v>1.0246815159916878E-2</v>
      </c>
      <c r="BF32"/>
      <c r="BG32" s="144">
        <v>3.9687898010015488E-2</v>
      </c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1.9800000190734863</v>
      </c>
      <c r="C33">
        <v>1.6658248901367188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 s="21">
        <v>3.7213481962680817E-2</v>
      </c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 s="66">
        <v>8.241618424654007E-2</v>
      </c>
      <c r="AY33"/>
      <c r="AZ33"/>
      <c r="BA33" s="12">
        <v>7.3258429765701294E-3</v>
      </c>
      <c r="BB33"/>
      <c r="BC33" s="147">
        <v>5.6369099766016006E-2</v>
      </c>
      <c r="BD33" s="67">
        <v>0.11494380980730057</v>
      </c>
      <c r="BE33" s="22">
        <v>1.5906739979982376E-2</v>
      </c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1.3200000524520874</v>
      </c>
      <c r="C34">
        <v>0.2569262683391571</v>
      </c>
      <c r="D34" s="256">
        <v>0.32227605581283569</v>
      </c>
      <c r="E34"/>
      <c r="F34"/>
      <c r="G34"/>
      <c r="H34"/>
      <c r="I34"/>
      <c r="J34"/>
      <c r="K34"/>
      <c r="L34" s="17">
        <v>1.7177913337945938E-2</v>
      </c>
      <c r="M34"/>
      <c r="N34"/>
      <c r="O34"/>
      <c r="P34"/>
      <c r="Q34"/>
      <c r="R34"/>
      <c r="S34"/>
      <c r="T34"/>
      <c r="U34"/>
      <c r="V34"/>
      <c r="W34"/>
      <c r="X34" s="141">
        <v>0.16994133591651917</v>
      </c>
      <c r="Y34"/>
      <c r="Z34"/>
      <c r="AA34"/>
      <c r="AB34"/>
      <c r="AC34"/>
      <c r="AD34"/>
      <c r="AE34"/>
      <c r="AF34" s="283">
        <v>0.15163011848926544</v>
      </c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 s="20">
        <v>5.5839739739894867E-2</v>
      </c>
      <c r="AV34"/>
      <c r="AW34"/>
      <c r="AX34"/>
      <c r="AY34" s="261">
        <v>0.21093866229057312</v>
      </c>
      <c r="AZ34"/>
      <c r="BA34" s="148">
        <v>7.9999998211860657E-2</v>
      </c>
      <c r="BB34"/>
      <c r="BC34"/>
      <c r="BD34"/>
      <c r="BE34" s="66">
        <v>5.5269937962293625E-2</v>
      </c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0.60000002384185791</v>
      </c>
      <c r="C35">
        <v>4.9538005143404007E-2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 s="254">
        <v>0.16626912355422974</v>
      </c>
      <c r="Y35"/>
      <c r="Z35"/>
      <c r="AA35"/>
      <c r="AB35"/>
      <c r="AC35"/>
      <c r="AD35"/>
      <c r="AE35"/>
      <c r="AF35" s="109">
        <v>0.10384751856327057</v>
      </c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 s="274">
        <v>2.7394955977797508E-2</v>
      </c>
      <c r="BB35"/>
      <c r="BC35" s="298">
        <v>0.25295040011405945</v>
      </c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0.27599999308586121</v>
      </c>
      <c r="C36">
        <v>3.1476195901632309E-2</v>
      </c>
      <c r="D36" s="257">
        <v>1.3453532010316849E-2</v>
      </c>
      <c r="E36" s="260">
        <v>0.14237917959690094</v>
      </c>
      <c r="F36"/>
      <c r="G36"/>
      <c r="H36"/>
      <c r="I36"/>
      <c r="J36"/>
      <c r="K36"/>
      <c r="L36" s="24">
        <v>7.8066913411021233E-3</v>
      </c>
      <c r="M36"/>
      <c r="N36"/>
      <c r="O36"/>
      <c r="P36"/>
      <c r="Q36"/>
      <c r="R36"/>
      <c r="S36"/>
      <c r="T36"/>
      <c r="U36"/>
      <c r="V36"/>
      <c r="W36"/>
      <c r="X36" s="287">
        <v>4.4132404029369354E-2</v>
      </c>
      <c r="Y36"/>
      <c r="Z36"/>
      <c r="AA36"/>
      <c r="AB36"/>
      <c r="AC36"/>
      <c r="AD36"/>
      <c r="AE36"/>
      <c r="AF36" s="285">
        <v>3.6751985549926758E-2</v>
      </c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1.2000000476837158</v>
      </c>
      <c r="C37">
        <v>0.30266076326370239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257">
        <v>5.8064516633749008E-2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 s="280">
        <v>0.19573931396007538</v>
      </c>
      <c r="AV37"/>
      <c r="AW37" s="279">
        <v>0.16253548860549927</v>
      </c>
      <c r="AX37"/>
      <c r="AY37"/>
      <c r="AZ37"/>
      <c r="BA37" s="282">
        <v>0.27341935038566589</v>
      </c>
      <c r="BB37"/>
      <c r="BC37"/>
      <c r="BD37"/>
      <c r="BE37" s="109">
        <v>0.20758065581321716</v>
      </c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0.80000001192092896</v>
      </c>
      <c r="C38">
        <v>2.4011898785829544E-2</v>
      </c>
      <c r="D38" s="258">
        <v>0.52046149969100952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 s="25">
        <v>2.5641025975346565E-2</v>
      </c>
      <c r="U38"/>
      <c r="V38"/>
      <c r="W38"/>
      <c r="X38" s="277">
        <v>9.1320119798183441E-2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 s="276">
        <v>8.8161543011665344E-2</v>
      </c>
      <c r="AZ38"/>
      <c r="BA38" s="65">
        <v>1.6717948019504547E-2</v>
      </c>
      <c r="BB38"/>
      <c r="BC38"/>
      <c r="BD38"/>
      <c r="BE38" s="66">
        <v>3.2999999821186066E-2</v>
      </c>
      <c r="BF38" s="11">
        <v>6.8596849450841546E-4</v>
      </c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1.5</v>
      </c>
      <c r="C39">
        <v>1.8445193767547607E-2</v>
      </c>
      <c r="D39" s="11">
        <v>7.8585457231383771E-5</v>
      </c>
      <c r="E39"/>
      <c r="F39"/>
      <c r="G39"/>
      <c r="H39"/>
      <c r="I39"/>
      <c r="J39"/>
      <c r="K39"/>
      <c r="L39"/>
      <c r="M39"/>
      <c r="N39"/>
      <c r="O39"/>
      <c r="P39"/>
      <c r="Q39" s="14">
        <v>2.3497054353356361E-3</v>
      </c>
      <c r="R39"/>
      <c r="S39"/>
      <c r="T39"/>
      <c r="U39" s="14">
        <v>1.9941062200814486E-3</v>
      </c>
      <c r="V39"/>
      <c r="W39"/>
      <c r="X39" s="310">
        <v>0.27832606434822083</v>
      </c>
      <c r="Y39"/>
      <c r="Z39"/>
      <c r="AA39"/>
      <c r="AB39"/>
      <c r="AC39"/>
      <c r="AD39"/>
      <c r="AE39"/>
      <c r="AF39" s="311">
        <v>0.30057021975517273</v>
      </c>
      <c r="AG39"/>
      <c r="AH39"/>
      <c r="AI39"/>
      <c r="AJ39"/>
      <c r="AK39"/>
      <c r="AL39"/>
      <c r="AM39"/>
      <c r="AN39"/>
      <c r="AO39" s="290">
        <v>5.028684064745903E-2</v>
      </c>
      <c r="AP39"/>
      <c r="AQ39"/>
      <c r="AR39"/>
      <c r="AS39"/>
      <c r="AT39"/>
      <c r="AU39" s="314">
        <v>0.52453523874282837</v>
      </c>
      <c r="AV39"/>
      <c r="AW39"/>
      <c r="AX39" s="108">
        <v>9.907347708940506E-2</v>
      </c>
      <c r="AY39"/>
      <c r="AZ39"/>
      <c r="BA39" s="273">
        <v>0.15627504885196686</v>
      </c>
      <c r="BB39"/>
      <c r="BC39"/>
      <c r="BD39"/>
      <c r="BE39"/>
      <c r="BF39" s="28">
        <v>5.2559476345777512E-2</v>
      </c>
      <c r="BG39" s="15">
        <v>1.5506090596318245E-2</v>
      </c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0.31000000238418579</v>
      </c>
      <c r="C40">
        <v>5.1982952281832695E-3</v>
      </c>
      <c r="D40" s="259">
        <v>0.10613731294870377</v>
      </c>
      <c r="E40"/>
      <c r="F40"/>
      <c r="G40"/>
      <c r="H40"/>
      <c r="I40"/>
      <c r="J40"/>
      <c r="K40"/>
      <c r="L40"/>
      <c r="M40"/>
      <c r="N40"/>
      <c r="O40"/>
      <c r="P40"/>
      <c r="Q40" s="23">
        <v>1.5671640867367387E-3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78">
        <v>6.8840563297271729E-2</v>
      </c>
      <c r="AR40"/>
      <c r="AS40"/>
      <c r="AT40"/>
      <c r="AU40"/>
      <c r="AV40"/>
      <c r="AW40"/>
      <c r="AX40"/>
      <c r="AY40" s="299">
        <v>0.10879397392272949</v>
      </c>
      <c r="AZ40"/>
      <c r="BA40" s="68">
        <v>1.9462686032056808E-2</v>
      </c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1.5</v>
      </c>
      <c r="C41">
        <v>0.23216423392295837</v>
      </c>
      <c r="D41" s="11">
        <v>4.9342104466632009E-4</v>
      </c>
      <c r="E41"/>
      <c r="F41"/>
      <c r="G41"/>
      <c r="H41"/>
      <c r="I41" s="13">
        <v>5.6140348315238953E-2</v>
      </c>
      <c r="J41"/>
      <c r="K41"/>
      <c r="L41"/>
      <c r="M41"/>
      <c r="N41"/>
      <c r="O41"/>
      <c r="P41"/>
      <c r="Q41"/>
      <c r="R41"/>
      <c r="S41"/>
      <c r="T41" s="14">
        <v>2.1929824724793434E-3</v>
      </c>
      <c r="U41" s="11">
        <v>2.2258771059568971E-4</v>
      </c>
      <c r="V41"/>
      <c r="W41" s="296">
        <v>5.8356516063213348E-2</v>
      </c>
      <c r="X41"/>
      <c r="Y41"/>
      <c r="Z41"/>
      <c r="AA41"/>
      <c r="AB41"/>
      <c r="AC41"/>
      <c r="AD41"/>
      <c r="AE41"/>
      <c r="AF41" s="285">
        <v>0.20054413378238678</v>
      </c>
      <c r="AG41"/>
      <c r="AH41"/>
      <c r="AI41"/>
      <c r="AJ41"/>
      <c r="AK41"/>
      <c r="AL41"/>
      <c r="AM41"/>
      <c r="AN41"/>
      <c r="AO41" s="12">
        <v>6.2368419021368027E-3</v>
      </c>
      <c r="AP41"/>
      <c r="AQ41"/>
      <c r="AR41"/>
      <c r="AS41"/>
      <c r="AT41"/>
      <c r="AU41" s="108">
        <v>9.9801294505596161E-2</v>
      </c>
      <c r="AV41"/>
      <c r="AW41"/>
      <c r="AX41" s="312">
        <v>0.48256844282150269</v>
      </c>
      <c r="AY41" s="309">
        <v>0.23374408483505249</v>
      </c>
      <c r="AZ41"/>
      <c r="BA41"/>
      <c r="BB41"/>
      <c r="BC41"/>
      <c r="BD41"/>
      <c r="BE41"/>
      <c r="BF41"/>
      <c r="BG41" s="307">
        <v>0.12753508985042572</v>
      </c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3.5</v>
      </c>
      <c r="C42">
        <v>0.39511606097221375</v>
      </c>
      <c r="D42" s="11">
        <v>5.6966899137478322E-5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 s="11">
        <v>3.1254813075065613E-3</v>
      </c>
      <c r="V42"/>
      <c r="W42"/>
      <c r="X42"/>
      <c r="Y42" s="17">
        <v>4.8949338495731354E-2</v>
      </c>
      <c r="Z42"/>
      <c r="AA42"/>
      <c r="AB42"/>
      <c r="AC42"/>
      <c r="AD42"/>
      <c r="AE42"/>
      <c r="AF42" s="24">
        <v>9.8938934504985809E-2</v>
      </c>
      <c r="AG42"/>
      <c r="AH42"/>
      <c r="AI42"/>
      <c r="AJ42"/>
      <c r="AK42"/>
      <c r="AL42"/>
      <c r="AM42"/>
      <c r="AN42"/>
      <c r="AO42" s="24">
        <v>9.3705311417579651E-2</v>
      </c>
      <c r="AP42" s="11">
        <v>2.03695148229599E-3</v>
      </c>
      <c r="AQ42" s="29">
        <v>0.16485242545604706</v>
      </c>
      <c r="AR42"/>
      <c r="AS42"/>
      <c r="AT42" s="65">
        <v>7.2901614010334015E-2</v>
      </c>
      <c r="AU42"/>
      <c r="AV42" s="29">
        <v>0.16332113742828369</v>
      </c>
      <c r="AW42" s="19">
        <v>5.8958210051059723E-2</v>
      </c>
      <c r="AX42" s="266">
        <v>0.42350119352340698</v>
      </c>
      <c r="AY42" s="13">
        <v>0.13234411180019379</v>
      </c>
      <c r="AZ42" s="22">
        <v>2.7748268097639084E-2</v>
      </c>
      <c r="BA42"/>
      <c r="BB42"/>
      <c r="BC42" s="12">
        <v>1.6993178054690361E-2</v>
      </c>
      <c r="BD42" s="23">
        <v>2.3625863716006279E-2</v>
      </c>
      <c r="BE42"/>
      <c r="BF42" s="318">
        <v>1.3716201782226562</v>
      </c>
      <c r="BG42" s="17">
        <v>5.1165509968996048E-2</v>
      </c>
      <c r="BH42" s="144">
        <v>0.35103926062583923</v>
      </c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11.475000381469727</v>
      </c>
      <c r="C43">
        <v>8.4872331619262695</v>
      </c>
      <c r="D43" s="11">
        <v>1.9999999494757503E-5</v>
      </c>
      <c r="E43"/>
      <c r="F43"/>
      <c r="G43"/>
      <c r="H43"/>
      <c r="I43"/>
      <c r="J43" s="14">
        <v>1.8999999389052391E-2</v>
      </c>
      <c r="K43"/>
      <c r="L43"/>
      <c r="M43"/>
      <c r="N43"/>
      <c r="O43"/>
      <c r="P43"/>
      <c r="Q43" s="17">
        <v>0.16349999606609344</v>
      </c>
      <c r="R43"/>
      <c r="S43"/>
      <c r="T43" s="11">
        <v>9.9999993108212948E-4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 s="267">
        <v>0.27018001675605774</v>
      </c>
      <c r="AP43" s="11">
        <v>6.6150003112852573E-3</v>
      </c>
      <c r="AQ43"/>
      <c r="AR43"/>
      <c r="AS43"/>
      <c r="AT43" s="65">
        <v>0.23674799501895905</v>
      </c>
      <c r="AU43" s="108">
        <v>0.75848990678787231</v>
      </c>
      <c r="AV43"/>
      <c r="AW43"/>
      <c r="AX43" s="267">
        <v>0.27506402134895325</v>
      </c>
      <c r="AY43"/>
      <c r="AZ43"/>
      <c r="BA43"/>
      <c r="BB43" s="19">
        <v>0.20825000107288361</v>
      </c>
      <c r="BC43" s="274">
        <v>0.52676928043365479</v>
      </c>
      <c r="BD43" s="14">
        <v>2.5574997067451477E-2</v>
      </c>
      <c r="BE43" s="23">
        <v>6.4350001513957977E-2</v>
      </c>
      <c r="BF43" s="12">
        <v>5.3505547344684601E-2</v>
      </c>
      <c r="BG43" s="19">
        <v>0.20769999921321869</v>
      </c>
      <c r="BH43" s="16">
        <v>0.17099998891353607</v>
      </c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1.4479999542236328</v>
      </c>
      <c r="C44">
        <v>0.15163704752922058</v>
      </c>
      <c r="D44" s="11">
        <v>1.8196014571003616E-4</v>
      </c>
      <c r="E44"/>
      <c r="F44"/>
      <c r="G44"/>
      <c r="H44"/>
      <c r="I44"/>
      <c r="J44"/>
      <c r="K44" s="12">
        <v>5.770375020802021E-3</v>
      </c>
      <c r="L44"/>
      <c r="M44"/>
      <c r="N44"/>
      <c r="O44"/>
      <c r="P44"/>
      <c r="Q44"/>
      <c r="R44"/>
      <c r="S44"/>
      <c r="T44" s="11">
        <v>1.4872099200147204E-5</v>
      </c>
      <c r="U44" s="11">
        <v>3.7737953243777156E-4</v>
      </c>
      <c r="V44" s="65">
        <v>3.171263262629509E-2</v>
      </c>
      <c r="W44"/>
      <c r="X44" s="296">
        <v>5.708640068769455E-2</v>
      </c>
      <c r="Y44" s="14">
        <v>2.3641132283955812E-3</v>
      </c>
      <c r="Z44"/>
      <c r="AA44"/>
      <c r="AB44"/>
      <c r="AC44"/>
      <c r="AD44"/>
      <c r="AE44" s="23">
        <v>9.8494505509734154E-3</v>
      </c>
      <c r="AF44" s="23">
        <v>9.5753157511353493E-3</v>
      </c>
      <c r="AG44" s="14">
        <v>3.6970893852412701E-3</v>
      </c>
      <c r="AH44" s="11">
        <v>6.8596546771004796E-4</v>
      </c>
      <c r="AI44" s="324">
        <v>0.52924460172653198</v>
      </c>
      <c r="AJ44" s="72">
        <v>0.1036265641450882</v>
      </c>
      <c r="AK44"/>
      <c r="AL44"/>
      <c r="AM44"/>
      <c r="AN44"/>
      <c r="AO44" s="14">
        <v>2.1148128435015678E-3</v>
      </c>
      <c r="AP44" s="11">
        <v>9.8378943221177906E-5</v>
      </c>
      <c r="AQ44" s="15">
        <v>1.5556332655251026E-2</v>
      </c>
      <c r="AR44"/>
      <c r="AS44"/>
      <c r="AT44" s="11">
        <v>1.1619101278483868E-3</v>
      </c>
      <c r="AU44" s="12">
        <v>6.3169887289404869E-3</v>
      </c>
      <c r="AV44" s="12">
        <v>5.3359619341790676E-3</v>
      </c>
      <c r="AW44" s="14">
        <v>3.8216626271605492E-3</v>
      </c>
      <c r="AX44" s="14">
        <v>3.4089831169694662E-3</v>
      </c>
      <c r="AY44" s="12">
        <v>4.6021272428333759E-3</v>
      </c>
      <c r="AZ44" s="22">
        <v>1.0423483327031136E-2</v>
      </c>
      <c r="BA44" s="14">
        <v>3.5877453628927469E-3</v>
      </c>
      <c r="BB44" s="11">
        <v>1.2388458708301187E-3</v>
      </c>
      <c r="BC44" s="11">
        <v>7.4611091986298561E-4</v>
      </c>
      <c r="BD44"/>
      <c r="BE44" s="11">
        <v>9.5701968530192971E-4</v>
      </c>
      <c r="BF44" s="23">
        <v>7.3605934157967567E-3</v>
      </c>
      <c r="BG44" s="14">
        <v>2.780041890218854E-3</v>
      </c>
      <c r="BH44" s="29">
        <v>6.6969066858291626E-2</v>
      </c>
      <c r="BI44" s="323">
        <v>0.40569606423377991</v>
      </c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</v>
      </c>
      <c r="C45">
        <v>1.5421087741851807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 s="65">
        <v>4.1398096829652786E-2</v>
      </c>
      <c r="W45"/>
      <c r="X45" s="147">
        <v>5.8289691805839539E-2</v>
      </c>
      <c r="Y45"/>
      <c r="Z45"/>
      <c r="AA45"/>
      <c r="AB45"/>
      <c r="AC45"/>
      <c r="AD45"/>
      <c r="AE45" s="23">
        <v>1.0929354466497898E-2</v>
      </c>
      <c r="AF45" s="14">
        <v>3.5454598255455494E-3</v>
      </c>
      <c r="AG45" s="11">
        <v>1.0573898907750845E-3</v>
      </c>
      <c r="AH45"/>
      <c r="AI45"/>
      <c r="AJ45"/>
      <c r="AK45"/>
      <c r="AL45"/>
      <c r="AM45"/>
      <c r="AN45"/>
      <c r="AO45" s="14">
        <v>5.3250929340720177E-3</v>
      </c>
      <c r="AP45"/>
      <c r="AQ45"/>
      <c r="AR45"/>
      <c r="AS45"/>
      <c r="AT45"/>
      <c r="AU45"/>
      <c r="AV45" s="65">
        <v>4.3930619955062866E-2</v>
      </c>
      <c r="AW45" s="15">
        <v>2.0694488659501076E-2</v>
      </c>
      <c r="AX45"/>
      <c r="AY45"/>
      <c r="AZ45" s="14">
        <v>3.981294110417366E-3</v>
      </c>
      <c r="BA45" s="14">
        <v>3.445817157626152E-3</v>
      </c>
      <c r="BB45"/>
      <c r="BC45"/>
      <c r="BD45"/>
      <c r="BE45"/>
      <c r="BF45" s="19">
        <v>3.6558911204338074E-2</v>
      </c>
      <c r="BG45" s="14">
        <v>4.7043934464454651E-3</v>
      </c>
      <c r="BH45" s="15">
        <v>1.8074655905365944E-2</v>
      </c>
      <c r="BI45" s="273">
        <v>0.20595596730709076</v>
      </c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1.3489999771118164</v>
      </c>
      <c r="C46">
        <v>0.10912510752677917</v>
      </c>
      <c r="D46" s="11">
        <v>8.7450473529315786E-8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09">
        <v>0.23371616005897522</v>
      </c>
      <c r="W46"/>
      <c r="X46"/>
      <c r="Y46"/>
      <c r="Z46"/>
      <c r="AA46"/>
      <c r="AB46"/>
      <c r="AC46"/>
      <c r="AD46"/>
      <c r="AE46" s="14">
        <v>1.6879107570275664E-3</v>
      </c>
      <c r="AF46" s="11">
        <v>5.7637348072603345E-4</v>
      </c>
      <c r="AG46"/>
      <c r="AH46"/>
      <c r="AI46"/>
      <c r="AJ46"/>
      <c r="AK46"/>
      <c r="AL46"/>
      <c r="AM46"/>
      <c r="AN46"/>
      <c r="AO46"/>
      <c r="AP46"/>
      <c r="AQ46" s="14">
        <v>3.6013333592563868E-3</v>
      </c>
      <c r="AR46"/>
      <c r="AS46"/>
      <c r="AT46"/>
      <c r="AU46"/>
      <c r="AV46" s="16">
        <v>2.0599264651536942E-2</v>
      </c>
      <c r="AW46" s="15">
        <v>1.307196170091629E-2</v>
      </c>
      <c r="AX46"/>
      <c r="AY46"/>
      <c r="AZ46" s="23">
        <v>7.0631559938192368E-3</v>
      </c>
      <c r="BA46"/>
      <c r="BB46"/>
      <c r="BC46"/>
      <c r="BD46"/>
      <c r="BE46"/>
      <c r="BF46" s="23">
        <v>7.4865357019007206E-3</v>
      </c>
      <c r="BG46" s="11">
        <v>6.0544873122125864E-4</v>
      </c>
      <c r="BH46" s="12">
        <v>4.9846768379211426E-3</v>
      </c>
      <c r="BI46" s="21">
        <v>2.6506237685680389E-2</v>
      </c>
      <c r="BJ46" s="21">
        <v>2.6759844273328781E-2</v>
      </c>
      <c r="BK46" s="323">
        <v>0.37842154502868652</v>
      </c>
      <c r="BL46" s="327">
        <v>0.51479423046112061</v>
      </c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18</v>
      </c>
      <c r="C47">
        <v>5.5558567047119141</v>
      </c>
      <c r="D47" s="11">
        <v>1.1333333532093093E-5</v>
      </c>
      <c r="E47"/>
      <c r="F47"/>
      <c r="G47"/>
      <c r="H47" s="11">
        <v>3.3333333703922108E-5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 s="11">
        <v>9.3051502481102943E-3</v>
      </c>
      <c r="Z47" s="12">
        <v>5.7754669338464737E-2</v>
      </c>
      <c r="AA47"/>
      <c r="AB47"/>
      <c r="AC47" s="66">
        <v>0.75579017400741577</v>
      </c>
      <c r="AD47" s="147">
        <v>0.53066617250442505</v>
      </c>
      <c r="AE47"/>
      <c r="AF47" s="14">
        <v>2.3891851305961609E-2</v>
      </c>
      <c r="AG47"/>
      <c r="AH47"/>
      <c r="AI47" s="328">
        <v>6.4055533409118652</v>
      </c>
      <c r="AJ47" s="70">
        <v>0.92904669046401978</v>
      </c>
      <c r="AK47"/>
      <c r="AL47"/>
      <c r="AM47"/>
      <c r="AN47"/>
      <c r="AO47"/>
      <c r="AP47"/>
      <c r="AQ47" s="11">
        <v>1.0432623326778412E-2</v>
      </c>
      <c r="AR47"/>
      <c r="AS47" s="11">
        <v>5.1659601740539074E-3</v>
      </c>
      <c r="AT47"/>
      <c r="AU47"/>
      <c r="AV47"/>
      <c r="AW47"/>
      <c r="AX47"/>
      <c r="AY47"/>
      <c r="AZ47"/>
      <c r="BA47"/>
      <c r="BB47" s="11">
        <v>2.7766665443778038E-3</v>
      </c>
      <c r="BC47" s="23">
        <v>0.11371529102325439</v>
      </c>
      <c r="BD47"/>
      <c r="BE47"/>
      <c r="BF47"/>
      <c r="BG47"/>
      <c r="BH47"/>
      <c r="BI47"/>
      <c r="BJ47"/>
      <c r="BK47"/>
      <c r="BL47"/>
      <c r="BM47"/>
      <c r="BN47" s="311">
        <v>3.6000001430511475</v>
      </c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6.0999999046325684</v>
      </c>
      <c r="C48">
        <v>0.15194937586784363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70">
        <v>0.31652730703353882</v>
      </c>
      <c r="W48" s="14">
        <v>1.5522834844887257E-2</v>
      </c>
      <c r="X48"/>
      <c r="Y48" s="14">
        <v>9.9825374782085419E-3</v>
      </c>
      <c r="Z48" s="12">
        <v>2.9873104766011238E-2</v>
      </c>
      <c r="AA48" s="14">
        <v>1.3704828917980194E-2</v>
      </c>
      <c r="AB48" s="12">
        <v>2.0110344514250755E-2</v>
      </c>
      <c r="AC48" s="326">
        <v>1.6505762338638306</v>
      </c>
      <c r="AD48" s="272">
        <v>0.32480433583259583</v>
      </c>
      <c r="AE48" s="14">
        <v>1.688866876065731E-2</v>
      </c>
      <c r="AF48" s="23">
        <v>3.9488319307565689E-2</v>
      </c>
      <c r="AG48" s="12">
        <v>2.4146897718310356E-2</v>
      </c>
      <c r="AH48" s="12">
        <v>2.2218715399503708E-2</v>
      </c>
      <c r="AI48" s="325">
        <v>1.6361566781997681</v>
      </c>
      <c r="AJ48" s="26">
        <v>0.16018046438694</v>
      </c>
      <c r="AK48" s="29">
        <v>0.28507760167121887</v>
      </c>
      <c r="AL48" s="77">
        <v>0.39752274751663208</v>
      </c>
      <c r="AM48" s="11">
        <v>4.5751724392175674E-3</v>
      </c>
      <c r="AN48" s="21">
        <v>0.12322784960269928</v>
      </c>
      <c r="AO48" s="14">
        <v>9.9376561120152473E-3</v>
      </c>
      <c r="AP48" s="11">
        <v>6.0827587731182575E-4</v>
      </c>
      <c r="AQ48" s="14">
        <v>8.1416117027401924E-3</v>
      </c>
      <c r="AR48" s="12">
        <v>2.5089656934142113E-2</v>
      </c>
      <c r="AS48" s="24">
        <v>0.17041730880737305</v>
      </c>
      <c r="AT48" s="11">
        <v>4.0274369530379772E-3</v>
      </c>
      <c r="AU48" s="14">
        <v>1.7436573281884193E-2</v>
      </c>
      <c r="AV48"/>
      <c r="AW48" s="11">
        <v>4.6331956400536001E-4</v>
      </c>
      <c r="AX48"/>
      <c r="AY48"/>
      <c r="AZ48" s="14">
        <v>8.8232764974236488E-3</v>
      </c>
      <c r="BA48"/>
      <c r="BB48" s="17">
        <v>8.1385061144828796E-2</v>
      </c>
      <c r="BC48"/>
      <c r="BD48"/>
      <c r="BE48"/>
      <c r="BF48" s="14">
        <v>7.6875784434378147E-3</v>
      </c>
      <c r="BG48"/>
      <c r="BH48"/>
      <c r="BI48"/>
      <c r="BJ48" s="70">
        <v>0.31655174493789673</v>
      </c>
      <c r="BK48"/>
      <c r="BL48"/>
      <c r="BM48"/>
      <c r="BN48" s="290">
        <v>0.20689654350280762</v>
      </c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27</v>
      </c>
      <c r="C49">
        <v>0.30832582712173462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4">
        <v>5.4828140884637833E-2</v>
      </c>
      <c r="W49"/>
      <c r="X49"/>
      <c r="Y49" s="11">
        <v>2.5919640436768532E-2</v>
      </c>
      <c r="Z49" s="14">
        <v>5.5688027292490005E-2</v>
      </c>
      <c r="AA49"/>
      <c r="AB49"/>
      <c r="AC49" s="147">
        <v>0.80162018537521362</v>
      </c>
      <c r="AD49" s="22">
        <v>0.23309743404388428</v>
      </c>
      <c r="AE49"/>
      <c r="AF49" s="14">
        <v>6.6727660596370697E-2</v>
      </c>
      <c r="AG49" s="14">
        <v>7.4722409248352051E-2</v>
      </c>
      <c r="AH49" s="11">
        <v>1.4375383965671062E-2</v>
      </c>
      <c r="AI49" s="330">
        <v>5.7950863838195801</v>
      </c>
      <c r="AJ49" s="108">
        <v>1.7916051149368286</v>
      </c>
      <c r="AK49" s="329">
        <v>4.7828531265258789</v>
      </c>
      <c r="AL49" s="12">
        <v>8.2338124513626099E-2</v>
      </c>
      <c r="AM49" s="14">
        <v>3.4115280956029892E-2</v>
      </c>
      <c r="AN49" s="11">
        <v>2.1350936964154243E-2</v>
      </c>
      <c r="AO49"/>
      <c r="AP49" s="11">
        <v>8.5043930448591709E-4</v>
      </c>
      <c r="AQ49"/>
      <c r="AR49" s="14">
        <v>4.677094891667366E-2</v>
      </c>
      <c r="AS49" s="14">
        <v>4.1509218513965607E-2</v>
      </c>
      <c r="AT49"/>
      <c r="AU49"/>
      <c r="AV49"/>
      <c r="AW49"/>
      <c r="AX49"/>
      <c r="AY49"/>
      <c r="AZ49" s="11">
        <v>8.1524541601538658E-3</v>
      </c>
      <c r="BA49"/>
      <c r="BB49"/>
      <c r="BC49"/>
      <c r="BD49"/>
      <c r="BE49"/>
      <c r="BF49" s="14">
        <v>2.7515172958374023E-2</v>
      </c>
      <c r="BG49"/>
      <c r="BH49"/>
      <c r="BI49"/>
      <c r="BJ49" s="17">
        <v>0.39340049028396606</v>
      </c>
      <c r="BK49"/>
      <c r="BL49"/>
      <c r="BM49"/>
      <c r="BN49" s="277">
        <v>3.0854940414428711</v>
      </c>
      <c r="BO49" s="259">
        <v>9.2536535263061523</v>
      </c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9.9999997764825821E-3</v>
      </c>
      <c r="C50">
        <v>8.9629627764225006E-3</v>
      </c>
      <c r="D50" s="70">
        <v>5.1851867465302348E-4</v>
      </c>
      <c r="E50"/>
      <c r="F50"/>
      <c r="G50"/>
      <c r="H50"/>
      <c r="I50"/>
      <c r="J50"/>
      <c r="K50"/>
      <c r="L50"/>
      <c r="M50"/>
      <c r="N50"/>
      <c r="O50"/>
      <c r="P50"/>
      <c r="Q50" s="70">
        <v>5.1851867465302348E-4</v>
      </c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5.2560000419616699</v>
      </c>
      <c r="C51">
        <v>5.215022087097168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 s="22">
        <v>4.0977910161018372E-2</v>
      </c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178.50199890136719</v>
      </c>
      <c r="C52">
        <v>140.02496337890625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 s="68">
        <v>11.212981224060059</v>
      </c>
      <c r="BP52" s="331">
        <v>27.26405143737793</v>
      </c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/>
      <c r="C53">
        <v>0.40344595909118652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 s="9">
        <v>7.6030208729207516E-3</v>
      </c>
      <c r="X53"/>
      <c r="Y53" s="9">
        <v>3.1792595982551575E-2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/>
      <c r="C54">
        <v>0.44467112421989441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9">
        <v>11.941485404968262</v>
      </c>
      <c r="AD54" s="9">
        <v>8.145726203918457</v>
      </c>
      <c r="AE54"/>
      <c r="AF54" s="9">
        <v>0.19772568345069885</v>
      </c>
      <c r="AG54"/>
      <c r="AH54"/>
      <c r="AI54" s="9">
        <v>3.558640718460083</v>
      </c>
      <c r="AJ54"/>
      <c r="AK54"/>
      <c r="AL54"/>
      <c r="AM54"/>
      <c r="AN54"/>
      <c r="AO54"/>
      <c r="AP54"/>
      <c r="AQ54" s="9">
        <v>9.2246353626251221E-2</v>
      </c>
      <c r="AR54"/>
      <c r="AS54"/>
      <c r="AT54" s="9">
        <v>1.420487929135561E-2</v>
      </c>
      <c r="AU54" s="9">
        <v>0.4945354163646698</v>
      </c>
      <c r="AV54"/>
      <c r="AW54"/>
      <c r="AX54" s="9">
        <v>6.8766005337238312E-2</v>
      </c>
      <c r="AY54" s="9">
        <v>5.2949823439121246E-2</v>
      </c>
      <c r="AZ54" s="9">
        <v>9.9457502365112305E-2</v>
      </c>
      <c r="BA54" s="9">
        <v>5.1508001983165741E-2</v>
      </c>
      <c r="BB54"/>
      <c r="BC54" s="9">
        <v>2.0067399367690086E-2</v>
      </c>
      <c r="BD54" s="9">
        <v>1.0230049956589937E-3</v>
      </c>
      <c r="BE54" s="9">
        <v>7.3358998633921146E-3</v>
      </c>
      <c r="BF54" s="9">
        <v>7.2232484817504883E-2</v>
      </c>
      <c r="BG54" s="9">
        <v>9.9696004763245583E-3</v>
      </c>
      <c r="BH54" s="9">
        <v>0.68400001525878906</v>
      </c>
      <c r="BI54"/>
      <c r="BJ54" s="9">
        <v>3.6720001697540283</v>
      </c>
      <c r="BK54" s="9">
        <v>203.16520690917969</v>
      </c>
      <c r="BL54" s="9">
        <v>276.6746826171875</v>
      </c>
      <c r="BM54" s="9">
        <v>514.19964599609375</v>
      </c>
      <c r="BN54" s="9">
        <v>152.81999206542969</v>
      </c>
      <c r="BO54"/>
      <c r="BP54"/>
      <c r="BQ54" s="9">
        <v>3.8571419715881348</v>
      </c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/>
      <c r="C55">
        <v>0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8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8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9" t="s">
        <v>192</v>
      </c>
      <c r="E5">
        <v>4</v>
      </c>
      <c r="F5">
        <v>3.13</v>
      </c>
      <c r="G5">
        <v>4</v>
      </c>
      <c r="H5" s="200" t="s">
        <v>192</v>
      </c>
      <c r="J5" s="57"/>
      <c r="K5" s="58"/>
    </row>
    <row r="6" spans="1:12" ht="14" thickBot="1" x14ac:dyDescent="0.2">
      <c r="A6" s="41" t="s">
        <v>121</v>
      </c>
      <c r="D6" s="199" t="s">
        <v>193</v>
      </c>
      <c r="E6">
        <v>5</v>
      </c>
      <c r="F6">
        <v>3.13</v>
      </c>
      <c r="G6">
        <v>5</v>
      </c>
      <c r="H6" s="200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9" t="s">
        <v>194</v>
      </c>
      <c r="E7">
        <v>6</v>
      </c>
      <c r="F7">
        <v>3.13</v>
      </c>
      <c r="G7">
        <v>6</v>
      </c>
      <c r="H7" s="200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9" t="s">
        <v>195</v>
      </c>
      <c r="E8">
        <v>7</v>
      </c>
      <c r="F8">
        <v>3.13</v>
      </c>
      <c r="G8">
        <v>7</v>
      </c>
      <c r="H8" s="200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9" t="s">
        <v>196</v>
      </c>
      <c r="E9">
        <v>8</v>
      </c>
      <c r="F9">
        <v>3.13</v>
      </c>
      <c r="G9">
        <v>8</v>
      </c>
      <c r="H9" s="200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9" t="s">
        <v>197</v>
      </c>
      <c r="E10">
        <v>9</v>
      </c>
      <c r="F10">
        <v>3.12</v>
      </c>
      <c r="G10">
        <v>9</v>
      </c>
      <c r="H10" s="200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9" t="s">
        <v>198</v>
      </c>
      <c r="E11">
        <v>10</v>
      </c>
      <c r="F11">
        <v>3.12</v>
      </c>
      <c r="G11">
        <v>10</v>
      </c>
      <c r="H11" s="200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9" t="s">
        <v>199</v>
      </c>
      <c r="E12">
        <v>11</v>
      </c>
      <c r="F12">
        <v>3.12</v>
      </c>
      <c r="G12">
        <v>11</v>
      </c>
      <c r="H12" s="200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9" t="s">
        <v>200</v>
      </c>
      <c r="E13">
        <v>12</v>
      </c>
      <c r="F13">
        <v>3.12</v>
      </c>
      <c r="G13">
        <v>12</v>
      </c>
      <c r="H13" s="200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9" t="s">
        <v>201</v>
      </c>
      <c r="E14">
        <v>13</v>
      </c>
      <c r="F14">
        <v>3.12</v>
      </c>
      <c r="G14">
        <v>13</v>
      </c>
      <c r="H14" s="200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9" t="s">
        <v>202</v>
      </c>
      <c r="E15">
        <v>14</v>
      </c>
      <c r="F15">
        <v>3.22</v>
      </c>
      <c r="G15">
        <v>14</v>
      </c>
      <c r="H15" s="200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9" t="s">
        <v>203</v>
      </c>
      <c r="E16">
        <v>15</v>
      </c>
      <c r="F16">
        <v>3.22</v>
      </c>
      <c r="G16">
        <v>15</v>
      </c>
      <c r="H16" s="200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9" t="s">
        <v>204</v>
      </c>
      <c r="E17">
        <v>16</v>
      </c>
      <c r="F17">
        <v>3.22</v>
      </c>
      <c r="G17">
        <v>16</v>
      </c>
      <c r="H17" s="200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9" t="s">
        <v>205</v>
      </c>
      <c r="E18">
        <v>17</v>
      </c>
      <c r="F18">
        <v>3.22</v>
      </c>
      <c r="G18">
        <v>17</v>
      </c>
      <c r="H18" s="200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9" t="s">
        <v>206</v>
      </c>
      <c r="E19">
        <v>18</v>
      </c>
      <c r="F19">
        <v>3.12</v>
      </c>
      <c r="G19">
        <v>18</v>
      </c>
      <c r="H19" s="200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9" t="s">
        <v>207</v>
      </c>
      <c r="E20">
        <v>19</v>
      </c>
      <c r="F20">
        <v>3.12</v>
      </c>
      <c r="G20">
        <v>19</v>
      </c>
      <c r="H20" s="200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9" t="s">
        <v>208</v>
      </c>
      <c r="E21">
        <v>20</v>
      </c>
      <c r="F21">
        <v>3.12</v>
      </c>
      <c r="G21">
        <v>20</v>
      </c>
      <c r="H21" s="200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9" t="s">
        <v>209</v>
      </c>
      <c r="E22">
        <v>21</v>
      </c>
      <c r="F22">
        <v>3.12</v>
      </c>
      <c r="G22">
        <v>21</v>
      </c>
      <c r="H22" s="200" t="s">
        <v>209</v>
      </c>
    </row>
    <row r="23" spans="1:12" x14ac:dyDescent="0.15">
      <c r="A23" s="36" t="s">
        <v>129</v>
      </c>
      <c r="B23" s="44">
        <v>4</v>
      </c>
      <c r="C23" s="38"/>
      <c r="D23" s="199" t="s">
        <v>210</v>
      </c>
      <c r="E23">
        <v>22</v>
      </c>
      <c r="F23">
        <v>3.12</v>
      </c>
      <c r="G23">
        <v>22</v>
      </c>
      <c r="H23" s="200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9" t="s">
        <v>211</v>
      </c>
      <c r="E24">
        <v>23</v>
      </c>
      <c r="F24">
        <v>3.12</v>
      </c>
      <c r="G24">
        <v>23</v>
      </c>
      <c r="H24" s="200" t="s">
        <v>211</v>
      </c>
    </row>
    <row r="25" spans="1:12" x14ac:dyDescent="0.15">
      <c r="A25" s="36" t="s">
        <v>70</v>
      </c>
      <c r="B25" s="44">
        <v>4.2</v>
      </c>
      <c r="C25" s="38"/>
      <c r="D25" s="199" t="s">
        <v>212</v>
      </c>
      <c r="E25">
        <v>24</v>
      </c>
      <c r="F25">
        <v>3.12</v>
      </c>
      <c r="G25">
        <v>24</v>
      </c>
      <c r="H25" s="200" t="s">
        <v>212</v>
      </c>
    </row>
    <row r="26" spans="1:12" x14ac:dyDescent="0.15">
      <c r="A26" s="36" t="s">
        <v>123</v>
      </c>
      <c r="B26" s="44">
        <v>4.3</v>
      </c>
      <c r="C26" s="38"/>
      <c r="D26" s="199" t="s">
        <v>213</v>
      </c>
      <c r="E26">
        <v>25</v>
      </c>
      <c r="F26">
        <v>3.12</v>
      </c>
      <c r="G26">
        <v>25</v>
      </c>
      <c r="H26" s="200" t="s">
        <v>213</v>
      </c>
    </row>
    <row r="27" spans="1:12" x14ac:dyDescent="0.15">
      <c r="A27" s="36" t="s">
        <v>125</v>
      </c>
      <c r="B27" s="44">
        <v>6.1</v>
      </c>
      <c r="D27" s="199" t="s">
        <v>214</v>
      </c>
      <c r="E27">
        <v>26</v>
      </c>
      <c r="F27">
        <v>3.12</v>
      </c>
      <c r="G27">
        <v>26</v>
      </c>
      <c r="H27" s="200" t="s">
        <v>214</v>
      </c>
    </row>
    <row r="28" spans="1:12" x14ac:dyDescent="0.15">
      <c r="A28" s="36" t="s">
        <v>124</v>
      </c>
      <c r="B28" s="44">
        <v>6.2</v>
      </c>
      <c r="D28" s="199" t="s">
        <v>215</v>
      </c>
      <c r="E28">
        <v>27</v>
      </c>
      <c r="F28">
        <v>3.12</v>
      </c>
      <c r="G28">
        <v>27</v>
      </c>
      <c r="H28" s="200" t="s">
        <v>215</v>
      </c>
    </row>
    <row r="29" spans="1:12" x14ac:dyDescent="0.15">
      <c r="A29" s="36" t="s">
        <v>44</v>
      </c>
      <c r="B29" s="44">
        <v>5</v>
      </c>
      <c r="D29" s="199" t="s">
        <v>216</v>
      </c>
      <c r="E29">
        <v>28</v>
      </c>
      <c r="F29">
        <v>3.12</v>
      </c>
      <c r="G29">
        <v>28</v>
      </c>
      <c r="H29" s="200" t="s">
        <v>216</v>
      </c>
    </row>
    <row r="30" spans="1:12" x14ac:dyDescent="0.15">
      <c r="A30" s="36" t="s">
        <v>73</v>
      </c>
      <c r="B30" s="44">
        <v>7</v>
      </c>
      <c r="D30" s="199" t="s">
        <v>217</v>
      </c>
      <c r="E30">
        <v>29</v>
      </c>
      <c r="F30">
        <v>3.22</v>
      </c>
      <c r="G30">
        <v>29</v>
      </c>
      <c r="H30" s="200" t="s">
        <v>217</v>
      </c>
    </row>
    <row r="31" spans="1:12" x14ac:dyDescent="0.15">
      <c r="A31" s="36" t="s">
        <v>169</v>
      </c>
      <c r="B31" s="44">
        <v>3.14</v>
      </c>
      <c r="D31" s="199" t="s">
        <v>218</v>
      </c>
      <c r="E31">
        <v>30</v>
      </c>
      <c r="F31">
        <v>3.22</v>
      </c>
      <c r="G31">
        <v>30</v>
      </c>
      <c r="H31" s="200" t="s">
        <v>218</v>
      </c>
    </row>
    <row r="32" spans="1:12" ht="12" customHeight="1" thickBot="1" x14ac:dyDescent="0.2">
      <c r="A32" s="42" t="s">
        <v>170</v>
      </c>
      <c r="B32" s="45">
        <v>9</v>
      </c>
      <c r="D32" s="199" t="s">
        <v>219</v>
      </c>
      <c r="E32">
        <v>31</v>
      </c>
      <c r="F32">
        <v>3.22</v>
      </c>
      <c r="G32">
        <v>31</v>
      </c>
      <c r="H32" s="200" t="s">
        <v>219</v>
      </c>
    </row>
    <row r="33" spans="4:8" customFormat="1" ht="12" customHeight="1" x14ac:dyDescent="0.15">
      <c r="D33" s="199" t="s">
        <v>220</v>
      </c>
      <c r="E33">
        <v>32</v>
      </c>
      <c r="F33">
        <v>3.22</v>
      </c>
      <c r="G33">
        <v>32</v>
      </c>
      <c r="H33" s="200" t="s">
        <v>220</v>
      </c>
    </row>
    <row r="34" spans="4:8" customFormat="1" ht="12" customHeight="1" x14ac:dyDescent="0.15">
      <c r="D34" s="199" t="s">
        <v>221</v>
      </c>
      <c r="E34">
        <v>33</v>
      </c>
      <c r="F34">
        <v>3.22</v>
      </c>
      <c r="G34">
        <v>33</v>
      </c>
      <c r="H34" s="200" t="s">
        <v>221</v>
      </c>
    </row>
    <row r="35" spans="4:8" customFormat="1" x14ac:dyDescent="0.15">
      <c r="D35" s="199" t="s">
        <v>222</v>
      </c>
      <c r="E35">
        <v>34</v>
      </c>
      <c r="F35">
        <v>3.22</v>
      </c>
      <c r="G35">
        <v>34</v>
      </c>
      <c r="H35" s="200" t="s">
        <v>222</v>
      </c>
    </row>
    <row r="36" spans="4:8" customFormat="1" x14ac:dyDescent="0.15">
      <c r="D36" s="199" t="s">
        <v>223</v>
      </c>
      <c r="E36">
        <v>35</v>
      </c>
      <c r="F36">
        <v>3.22</v>
      </c>
      <c r="G36">
        <v>35</v>
      </c>
      <c r="H36" s="200" t="s">
        <v>223</v>
      </c>
    </row>
    <row r="37" spans="4:8" customFormat="1" ht="12" customHeight="1" x14ac:dyDescent="0.15">
      <c r="D37" s="199" t="s">
        <v>224</v>
      </c>
      <c r="E37">
        <v>36</v>
      </c>
      <c r="F37">
        <v>3.22</v>
      </c>
      <c r="G37">
        <v>36</v>
      </c>
      <c r="H37" s="200" t="s">
        <v>224</v>
      </c>
    </row>
    <row r="38" spans="4:8" customFormat="1" x14ac:dyDescent="0.15">
      <c r="D38" s="199" t="s">
        <v>225</v>
      </c>
      <c r="E38">
        <v>37</v>
      </c>
      <c r="F38">
        <v>3.12</v>
      </c>
      <c r="G38">
        <v>37</v>
      </c>
      <c r="H38" s="200" t="s">
        <v>225</v>
      </c>
    </row>
    <row r="39" spans="4:8" customFormat="1" x14ac:dyDescent="0.15">
      <c r="D39" s="199" t="s">
        <v>226</v>
      </c>
      <c r="E39">
        <v>38</v>
      </c>
      <c r="F39">
        <v>3.12</v>
      </c>
      <c r="G39">
        <v>38</v>
      </c>
      <c r="H39" s="200" t="s">
        <v>226</v>
      </c>
    </row>
    <row r="40" spans="4:8" customFormat="1" x14ac:dyDescent="0.15">
      <c r="D40" s="199" t="s">
        <v>227</v>
      </c>
      <c r="E40">
        <v>39</v>
      </c>
      <c r="F40">
        <v>3.12</v>
      </c>
      <c r="G40">
        <v>39</v>
      </c>
      <c r="H40" s="200" t="s">
        <v>227</v>
      </c>
    </row>
    <row r="41" spans="4:8" customFormat="1" x14ac:dyDescent="0.15">
      <c r="D41" s="199" t="s">
        <v>228</v>
      </c>
      <c r="E41">
        <v>40</v>
      </c>
      <c r="F41">
        <v>3.12</v>
      </c>
      <c r="G41">
        <v>40</v>
      </c>
      <c r="H41" s="200" t="s">
        <v>228</v>
      </c>
    </row>
    <row r="42" spans="4:8" customFormat="1" x14ac:dyDescent="0.15">
      <c r="D42" s="199" t="s">
        <v>229</v>
      </c>
      <c r="E42">
        <v>41</v>
      </c>
      <c r="F42">
        <v>3.22</v>
      </c>
      <c r="G42">
        <v>41</v>
      </c>
      <c r="H42" s="200" t="s">
        <v>229</v>
      </c>
    </row>
    <row r="43" spans="4:8" customFormat="1" x14ac:dyDescent="0.15">
      <c r="D43" s="199" t="s">
        <v>230</v>
      </c>
      <c r="E43">
        <v>42</v>
      </c>
      <c r="F43">
        <v>3.22</v>
      </c>
      <c r="G43">
        <v>42</v>
      </c>
      <c r="H43" s="200" t="s">
        <v>230</v>
      </c>
    </row>
    <row r="44" spans="4:8" customFormat="1" x14ac:dyDescent="0.15">
      <c r="D44" s="199" t="s">
        <v>231</v>
      </c>
      <c r="E44">
        <v>43</v>
      </c>
      <c r="F44">
        <v>3.21</v>
      </c>
      <c r="G44">
        <v>43</v>
      </c>
      <c r="H44" s="200" t="s">
        <v>231</v>
      </c>
    </row>
    <row r="45" spans="4:8" customFormat="1" x14ac:dyDescent="0.15">
      <c r="D45" s="199" t="s">
        <v>232</v>
      </c>
      <c r="E45">
        <v>44</v>
      </c>
      <c r="F45">
        <v>3.21</v>
      </c>
      <c r="G45">
        <v>44</v>
      </c>
      <c r="H45" s="200" t="s">
        <v>232</v>
      </c>
    </row>
    <row r="46" spans="4:8" customFormat="1" x14ac:dyDescent="0.15">
      <c r="D46" s="199" t="s">
        <v>233</v>
      </c>
      <c r="E46">
        <v>45</v>
      </c>
      <c r="F46">
        <v>3</v>
      </c>
      <c r="G46">
        <v>45</v>
      </c>
      <c r="H46" s="200" t="s">
        <v>233</v>
      </c>
    </row>
    <row r="47" spans="4:8" customFormat="1" x14ac:dyDescent="0.15">
      <c r="D47" s="199" t="s">
        <v>234</v>
      </c>
      <c r="E47">
        <v>46</v>
      </c>
      <c r="F47">
        <v>3.21</v>
      </c>
      <c r="G47">
        <v>46</v>
      </c>
      <c r="H47" s="200" t="s">
        <v>234</v>
      </c>
    </row>
    <row r="48" spans="4:8" customFormat="1" x14ac:dyDescent="0.15">
      <c r="D48" s="199" t="s">
        <v>235</v>
      </c>
      <c r="E48">
        <v>47</v>
      </c>
      <c r="F48">
        <v>3.21</v>
      </c>
      <c r="G48">
        <v>47</v>
      </c>
      <c r="H48" s="200" t="s">
        <v>235</v>
      </c>
    </row>
    <row r="49" spans="4:8" customFormat="1" x14ac:dyDescent="0.15">
      <c r="D49" s="199" t="s">
        <v>236</v>
      </c>
      <c r="E49">
        <v>48</v>
      </c>
      <c r="F49">
        <v>3.21</v>
      </c>
      <c r="G49">
        <v>48</v>
      </c>
      <c r="H49" s="200" t="s">
        <v>236</v>
      </c>
    </row>
    <row r="50" spans="4:8" customFormat="1" ht="12" customHeight="1" x14ac:dyDescent="0.15">
      <c r="D50" s="199" t="s">
        <v>237</v>
      </c>
      <c r="E50">
        <v>49</v>
      </c>
      <c r="F50">
        <v>3.11</v>
      </c>
      <c r="G50">
        <v>49</v>
      </c>
      <c r="H50" s="200" t="s">
        <v>237</v>
      </c>
    </row>
    <row r="51" spans="4:8" customFormat="1" x14ac:dyDescent="0.15">
      <c r="D51" s="199" t="s">
        <v>238</v>
      </c>
      <c r="E51">
        <v>50</v>
      </c>
      <c r="F51">
        <v>3.12</v>
      </c>
      <c r="G51">
        <v>50</v>
      </c>
      <c r="H51" s="200" t="s">
        <v>238</v>
      </c>
    </row>
    <row r="52" spans="4:8" customFormat="1" ht="12" customHeight="1" x14ac:dyDescent="0.15">
      <c r="D52" s="199" t="s">
        <v>239</v>
      </c>
      <c r="E52">
        <v>51</v>
      </c>
      <c r="F52">
        <v>3.11</v>
      </c>
      <c r="G52">
        <v>51</v>
      </c>
      <c r="H52" s="200" t="s">
        <v>239</v>
      </c>
    </row>
    <row r="53" spans="4:8" customFormat="1" x14ac:dyDescent="0.15">
      <c r="D53" s="199" t="s">
        <v>240</v>
      </c>
      <c r="E53">
        <v>52</v>
      </c>
      <c r="F53">
        <v>3.21</v>
      </c>
      <c r="G53">
        <v>52</v>
      </c>
      <c r="H53" s="200" t="s">
        <v>240</v>
      </c>
    </row>
    <row r="54" spans="4:8" customFormat="1" ht="12" customHeight="1" x14ac:dyDescent="0.15">
      <c r="D54" s="199" t="s">
        <v>241</v>
      </c>
      <c r="E54">
        <v>53</v>
      </c>
      <c r="F54">
        <v>2.2999999999999998</v>
      </c>
      <c r="G54">
        <v>53</v>
      </c>
      <c r="H54" s="200" t="s">
        <v>241</v>
      </c>
    </row>
    <row r="55" spans="4:8" customFormat="1" ht="12" customHeight="1" x14ac:dyDescent="0.15">
      <c r="D55" s="199" t="s">
        <v>242</v>
      </c>
      <c r="E55">
        <v>54</v>
      </c>
      <c r="F55">
        <v>2</v>
      </c>
      <c r="G55">
        <v>54</v>
      </c>
      <c r="H55" s="200" t="s">
        <v>242</v>
      </c>
    </row>
    <row r="56" spans="4:8" customFormat="1" x14ac:dyDescent="0.15">
      <c r="D56" s="199" t="s">
        <v>243</v>
      </c>
      <c r="E56">
        <v>55</v>
      </c>
      <c r="F56">
        <v>4.2</v>
      </c>
      <c r="G56">
        <v>55</v>
      </c>
      <c r="H56" s="200" t="s">
        <v>243</v>
      </c>
    </row>
    <row r="57" spans="4:8" customFormat="1" x14ac:dyDescent="0.15">
      <c r="D57" s="199" t="s">
        <v>244</v>
      </c>
      <c r="E57">
        <v>56</v>
      </c>
      <c r="F57">
        <v>4.0999999999999996</v>
      </c>
      <c r="G57">
        <v>56</v>
      </c>
      <c r="H57" s="200" t="s">
        <v>244</v>
      </c>
    </row>
    <row r="58" spans="4:8" customFormat="1" x14ac:dyDescent="0.15">
      <c r="D58" s="199" t="s">
        <v>245</v>
      </c>
      <c r="E58">
        <v>57</v>
      </c>
      <c r="F58">
        <v>4.3</v>
      </c>
      <c r="G58">
        <v>57</v>
      </c>
      <c r="H58" s="200" t="s">
        <v>245</v>
      </c>
    </row>
    <row r="59" spans="4:8" customFormat="1" x14ac:dyDescent="0.15">
      <c r="D59" s="199" t="s">
        <v>246</v>
      </c>
      <c r="E59">
        <v>58</v>
      </c>
      <c r="F59">
        <v>5</v>
      </c>
      <c r="G59">
        <v>58</v>
      </c>
      <c r="H59" s="200" t="s">
        <v>246</v>
      </c>
    </row>
    <row r="60" spans="4:8" customFormat="1" x14ac:dyDescent="0.15">
      <c r="D60" s="199" t="s">
        <v>247</v>
      </c>
      <c r="E60">
        <v>59</v>
      </c>
      <c r="F60">
        <v>5</v>
      </c>
      <c r="G60">
        <v>59</v>
      </c>
      <c r="H60" s="200" t="s">
        <v>247</v>
      </c>
    </row>
    <row r="61" spans="4:8" customFormat="1" x14ac:dyDescent="0.15">
      <c r="D61" s="199" t="s">
        <v>248</v>
      </c>
      <c r="E61">
        <v>60</v>
      </c>
      <c r="F61">
        <v>5</v>
      </c>
      <c r="G61">
        <v>60</v>
      </c>
      <c r="H61" s="200" t="s">
        <v>248</v>
      </c>
    </row>
    <row r="62" spans="4:8" customFormat="1" x14ac:dyDescent="0.15">
      <c r="D62" s="199" t="s">
        <v>249</v>
      </c>
      <c r="E62">
        <v>61</v>
      </c>
      <c r="F62">
        <v>5</v>
      </c>
      <c r="G62">
        <v>61</v>
      </c>
      <c r="H62" s="200" t="s">
        <v>249</v>
      </c>
    </row>
    <row r="63" spans="4:8" customFormat="1" x14ac:dyDescent="0.15">
      <c r="D63" s="199" t="s">
        <v>250</v>
      </c>
      <c r="E63">
        <v>62</v>
      </c>
      <c r="F63">
        <v>5</v>
      </c>
      <c r="G63">
        <v>62</v>
      </c>
      <c r="H63" s="200" t="s">
        <v>250</v>
      </c>
    </row>
    <row r="64" spans="4:8" customFormat="1" x14ac:dyDescent="0.15">
      <c r="D64" s="199" t="s">
        <v>251</v>
      </c>
      <c r="E64">
        <v>63</v>
      </c>
      <c r="F64">
        <v>5</v>
      </c>
      <c r="G64">
        <v>63</v>
      </c>
      <c r="H64" s="200" t="s">
        <v>251</v>
      </c>
    </row>
    <row r="65" spans="4:8" customFormat="1" x14ac:dyDescent="0.15">
      <c r="D65" s="199" t="s">
        <v>252</v>
      </c>
      <c r="E65">
        <v>64</v>
      </c>
      <c r="F65">
        <v>5</v>
      </c>
      <c r="G65">
        <v>64</v>
      </c>
      <c r="H65" s="200" t="s">
        <v>252</v>
      </c>
    </row>
    <row r="66" spans="4:8" customFormat="1" x14ac:dyDescent="0.15">
      <c r="D66" s="199" t="s">
        <v>253</v>
      </c>
      <c r="E66">
        <v>65</v>
      </c>
      <c r="F66">
        <v>5</v>
      </c>
      <c r="G66">
        <v>65</v>
      </c>
      <c r="H66" s="200" t="s">
        <v>253</v>
      </c>
    </row>
    <row r="67" spans="4:8" customFormat="1" x14ac:dyDescent="0.15">
      <c r="D67" s="199" t="s">
        <v>254</v>
      </c>
      <c r="E67">
        <v>66</v>
      </c>
      <c r="F67">
        <v>5</v>
      </c>
      <c r="G67">
        <v>66</v>
      </c>
      <c r="H67" s="200" t="s">
        <v>254</v>
      </c>
    </row>
    <row r="68" spans="4:8" customFormat="1" x14ac:dyDescent="0.15">
      <c r="D68" s="199" t="s">
        <v>255</v>
      </c>
      <c r="E68">
        <v>67</v>
      </c>
      <c r="F68">
        <v>5</v>
      </c>
      <c r="G68">
        <v>67</v>
      </c>
      <c r="H68" s="200" t="s">
        <v>255</v>
      </c>
    </row>
    <row r="69" spans="4:8" customFormat="1" x14ac:dyDescent="0.15">
      <c r="D69" s="199" t="s">
        <v>256</v>
      </c>
      <c r="E69">
        <v>68</v>
      </c>
      <c r="F69">
        <v>5</v>
      </c>
      <c r="G69">
        <v>68</v>
      </c>
      <c r="H69" s="200" t="s">
        <v>256</v>
      </c>
    </row>
    <row r="70" spans="4:8" customFormat="1" x14ac:dyDescent="0.15">
      <c r="D70" s="199" t="s">
        <v>257</v>
      </c>
      <c r="E70">
        <v>69</v>
      </c>
      <c r="F70">
        <v>5</v>
      </c>
      <c r="G70">
        <v>69</v>
      </c>
      <c r="H70" s="200" t="s">
        <v>257</v>
      </c>
    </row>
    <row r="71" spans="4:8" customFormat="1" x14ac:dyDescent="0.15">
      <c r="D71" s="199" t="s">
        <v>258</v>
      </c>
      <c r="E71">
        <v>70</v>
      </c>
      <c r="F71">
        <v>5</v>
      </c>
      <c r="G71">
        <v>70</v>
      </c>
      <c r="H71" s="200" t="s">
        <v>258</v>
      </c>
    </row>
    <row r="72" spans="4:8" customFormat="1" x14ac:dyDescent="0.15">
      <c r="D72" s="199" t="s">
        <v>259</v>
      </c>
      <c r="E72">
        <v>71</v>
      </c>
      <c r="F72">
        <v>5</v>
      </c>
      <c r="G72">
        <v>71</v>
      </c>
      <c r="H72" s="200" t="s">
        <v>259</v>
      </c>
    </row>
    <row r="73" spans="4:8" customFormat="1" x14ac:dyDescent="0.15">
      <c r="D73" s="199" t="s">
        <v>207</v>
      </c>
      <c r="E73">
        <v>72</v>
      </c>
      <c r="F73">
        <v>5</v>
      </c>
      <c r="G73">
        <v>72</v>
      </c>
      <c r="H73" s="200" t="s">
        <v>207</v>
      </c>
    </row>
    <row r="74" spans="4:8" customFormat="1" x14ac:dyDescent="0.15">
      <c r="D74" s="199" t="s">
        <v>260</v>
      </c>
      <c r="E74">
        <v>73</v>
      </c>
      <c r="F74">
        <v>5</v>
      </c>
      <c r="G74">
        <v>73</v>
      </c>
      <c r="H74" s="200" t="s">
        <v>260</v>
      </c>
    </row>
    <row r="75" spans="4:8" customFormat="1" x14ac:dyDescent="0.15">
      <c r="D75" s="199" t="s">
        <v>261</v>
      </c>
      <c r="E75">
        <v>74</v>
      </c>
      <c r="F75">
        <v>5</v>
      </c>
      <c r="G75">
        <v>74</v>
      </c>
      <c r="H75" s="200" t="s">
        <v>261</v>
      </c>
    </row>
    <row r="76" spans="4:8" customFormat="1" x14ac:dyDescent="0.15">
      <c r="D76" s="199" t="s">
        <v>138</v>
      </c>
      <c r="E76">
        <v>75</v>
      </c>
      <c r="F76">
        <v>6.1</v>
      </c>
      <c r="G76">
        <v>75</v>
      </c>
      <c r="H76" s="200" t="s">
        <v>138</v>
      </c>
    </row>
    <row r="77" spans="4:8" customFormat="1" x14ac:dyDescent="0.15">
      <c r="D77" s="199" t="s">
        <v>45</v>
      </c>
      <c r="E77">
        <v>76</v>
      </c>
      <c r="F77">
        <v>6.2</v>
      </c>
      <c r="G77">
        <v>76</v>
      </c>
      <c r="H77" s="200" t="s">
        <v>45</v>
      </c>
    </row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" style="84" bestFit="1" customWidth="1"/>
    <col min="2" max="2" width="14.83203125" style="83" customWidth="1"/>
    <col min="3" max="3" width="12" style="83" customWidth="1"/>
    <col min="4" max="4" width="8.83203125" style="83" customWidth="1"/>
    <col min="5" max="5" width="14.83203125" style="83" customWidth="1"/>
    <col min="6" max="6" width="28.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3" customWidth="1"/>
    <col min="17" max="17" width="2.33203125" style="83" customWidth="1"/>
    <col min="18" max="18" width="2.33203125" style="74" customWidth="1"/>
    <col min="19" max="16384" width="11.5" style="83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5" t="s">
        <v>48</v>
      </c>
      <c r="L1" s="74"/>
      <c r="M1" s="85" t="s">
        <v>119</v>
      </c>
      <c r="N1" s="74"/>
      <c r="O1" s="85" t="s">
        <v>49</v>
      </c>
      <c r="P1" s="76"/>
      <c r="Q1" s="85" t="s">
        <v>50</v>
      </c>
      <c r="R1" s="71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3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3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201" t="s">
        <v>192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3">
        <v>0</v>
      </c>
      <c r="Q6" s="83">
        <v>0</v>
      </c>
      <c r="R6" s="74">
        <v>1</v>
      </c>
      <c r="S6"/>
      <c r="T6"/>
    </row>
    <row r="7" spans="1:23" ht="15" customHeight="1" thickBot="1" x14ac:dyDescent="0.2">
      <c r="F7" s="201" t="s">
        <v>193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3">
        <v>0</v>
      </c>
      <c r="Q7" s="83">
        <v>0</v>
      </c>
      <c r="R7" s="74">
        <v>1</v>
      </c>
      <c r="S7"/>
      <c r="T7"/>
    </row>
    <row r="8" spans="1:23" ht="15" customHeight="1" x14ac:dyDescent="0.15">
      <c r="A8" s="85" t="s">
        <v>56</v>
      </c>
      <c r="B8" s="92">
        <v>9.9906921474225627E-3</v>
      </c>
      <c r="C8" s="202" t="s">
        <v>241</v>
      </c>
      <c r="D8" s="87" t="s">
        <v>160</v>
      </c>
      <c r="F8" s="201" t="s">
        <v>194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3">
        <v>0</v>
      </c>
      <c r="Q8" s="83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4">
        <v>0.99000930785257746</v>
      </c>
      <c r="C9" s="202" t="s">
        <v>242</v>
      </c>
      <c r="D9" s="87" t="s">
        <v>160</v>
      </c>
      <c r="F9" s="201" t="s">
        <v>195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3">
        <v>0</v>
      </c>
      <c r="Q9" s="83">
        <v>0</v>
      </c>
      <c r="R9" s="74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201" t="s">
        <v>196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3">
        <v>0</v>
      </c>
      <c r="Q10" s="83">
        <v>0</v>
      </c>
      <c r="R10" s="74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201" t="s">
        <v>197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3">
        <v>0</v>
      </c>
      <c r="Q11" s="83">
        <v>0</v>
      </c>
      <c r="R11" s="74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201" t="s">
        <v>198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3">
        <v>0</v>
      </c>
      <c r="Q12" s="83">
        <v>0</v>
      </c>
      <c r="R12" s="74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201" t="s">
        <v>199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3">
        <v>0</v>
      </c>
      <c r="Q13" s="83">
        <v>0</v>
      </c>
      <c r="R13" s="74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201" t="s">
        <v>200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3">
        <v>0</v>
      </c>
      <c r="Q14" s="83">
        <v>0</v>
      </c>
      <c r="R14" s="74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201" t="s">
        <v>201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3">
        <v>0</v>
      </c>
      <c r="Q15" s="83">
        <v>0</v>
      </c>
      <c r="R15" s="74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201" t="s">
        <v>202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3">
        <v>0</v>
      </c>
      <c r="Q16" s="83">
        <v>0</v>
      </c>
      <c r="R16" s="74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201" t="s">
        <v>203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3">
        <v>0</v>
      </c>
      <c r="Q17" s="83">
        <v>0</v>
      </c>
      <c r="R17" s="74">
        <v>1</v>
      </c>
      <c r="S17"/>
      <c r="T17"/>
    </row>
    <row r="18" spans="1:20" ht="15" customHeight="1" thickBot="1" x14ac:dyDescent="0.2">
      <c r="B18" s="95"/>
      <c r="F18" s="201" t="s">
        <v>204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3">
        <v>0</v>
      </c>
      <c r="Q18" s="83">
        <v>0</v>
      </c>
      <c r="R18" s="74">
        <v>1</v>
      </c>
      <c r="S18"/>
      <c r="T18"/>
    </row>
    <row r="19" spans="1:20" ht="15" customHeight="1" x14ac:dyDescent="0.15">
      <c r="A19" s="85" t="s">
        <v>57</v>
      </c>
      <c r="B19" s="92">
        <v>9.9906921474225627E-3</v>
      </c>
      <c r="C19" s="203" t="s">
        <v>241</v>
      </c>
      <c r="D19" s="87" t="s">
        <v>160</v>
      </c>
      <c r="F19" s="201" t="s">
        <v>205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3">
        <v>0</v>
      </c>
      <c r="Q19" s="83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4">
        <v>0.99000930785257746</v>
      </c>
      <c r="C20" s="203" t="s">
        <v>242</v>
      </c>
      <c r="D20" s="87" t="s">
        <v>160</v>
      </c>
      <c r="F20" s="201" t="s">
        <v>206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3">
        <v>0</v>
      </c>
      <c r="Q20" s="83">
        <v>0</v>
      </c>
      <c r="R20" s="74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201" t="s">
        <v>207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3">
        <v>0</v>
      </c>
      <c r="Q21" s="83">
        <v>0</v>
      </c>
      <c r="R21" s="74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201" t="s">
        <v>208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3">
        <v>0</v>
      </c>
      <c r="Q22" s="83">
        <v>0</v>
      </c>
      <c r="R22" s="74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201" t="s">
        <v>209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3">
        <v>0</v>
      </c>
      <c r="Q23" s="83">
        <v>0</v>
      </c>
      <c r="R23" s="74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201" t="s">
        <v>210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3">
        <v>0</v>
      </c>
      <c r="Q24" s="83">
        <v>0</v>
      </c>
      <c r="R24" s="74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201" t="s">
        <v>211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3">
        <v>0</v>
      </c>
      <c r="Q25" s="83">
        <v>0</v>
      </c>
      <c r="R25" s="74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201" t="s">
        <v>212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3">
        <v>0</v>
      </c>
      <c r="Q26" s="83">
        <v>0</v>
      </c>
      <c r="R26" s="74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201" t="s">
        <v>213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3">
        <v>0</v>
      </c>
      <c r="Q27" s="83">
        <v>0</v>
      </c>
      <c r="R27" s="74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201" t="s">
        <v>214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3">
        <v>0</v>
      </c>
      <c r="Q28" s="83">
        <v>0</v>
      </c>
      <c r="R28" s="74">
        <v>1</v>
      </c>
      <c r="S28"/>
      <c r="T28"/>
    </row>
    <row r="29" spans="1:20" ht="15" customHeight="1" x14ac:dyDescent="0.15">
      <c r="F29" s="201" t="s">
        <v>215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3">
        <v>0</v>
      </c>
      <c r="Q29" s="83">
        <v>0</v>
      </c>
      <c r="R29" s="74">
        <v>1</v>
      </c>
      <c r="S29"/>
      <c r="T29"/>
    </row>
    <row r="30" spans="1:20" ht="15" customHeight="1" x14ac:dyDescent="0.15">
      <c r="F30" s="201" t="s">
        <v>216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3">
        <v>0</v>
      </c>
      <c r="Q30" s="83">
        <v>0</v>
      </c>
      <c r="R30" s="74">
        <v>1</v>
      </c>
      <c r="S30"/>
      <c r="T30"/>
    </row>
    <row r="31" spans="1:20" ht="15" customHeight="1" x14ac:dyDescent="0.15">
      <c r="A31" s="128"/>
      <c r="B31" s="138" t="s">
        <v>17</v>
      </c>
      <c r="C31" s="138" t="s">
        <v>1</v>
      </c>
      <c r="D31" s="138" t="s">
        <v>161</v>
      </c>
      <c r="E31" s="139" t="s">
        <v>163</v>
      </c>
      <c r="F31" s="201" t="s">
        <v>217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3">
        <v>0</v>
      </c>
      <c r="Q31" s="83">
        <v>0</v>
      </c>
      <c r="R31" s="74">
        <v>1</v>
      </c>
      <c r="S31"/>
      <c r="T31"/>
    </row>
    <row r="32" spans="1:20" ht="15" customHeight="1" x14ac:dyDescent="0.15">
      <c r="A32" s="204" t="s">
        <v>241</v>
      </c>
      <c r="B32" s="95">
        <v>5.28</v>
      </c>
      <c r="C32" s="95">
        <v>5.2560000000000002</v>
      </c>
      <c r="D32" s="95">
        <v>27.751680000000004</v>
      </c>
      <c r="E32" s="129">
        <v>9.9906921474225627E-3</v>
      </c>
      <c r="F32" s="201" t="s">
        <v>218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3">
        <v>0</v>
      </c>
      <c r="Q32" s="83">
        <v>0</v>
      </c>
      <c r="R32" s="74">
        <v>1</v>
      </c>
      <c r="S32"/>
      <c r="T32"/>
    </row>
    <row r="33" spans="1:20" ht="15" customHeight="1" x14ac:dyDescent="0.15">
      <c r="A33" s="204" t="s">
        <v>242</v>
      </c>
      <c r="B33" s="95">
        <v>15.406000000000001</v>
      </c>
      <c r="C33" s="95">
        <v>178.50200000000001</v>
      </c>
      <c r="D33" s="95">
        <v>2750.0018120000004</v>
      </c>
      <c r="E33" s="129">
        <v>0.99000930785257746</v>
      </c>
      <c r="F33" s="201" t="s">
        <v>219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3">
        <v>0</v>
      </c>
      <c r="Q33" s="83">
        <v>0</v>
      </c>
      <c r="R33" s="74">
        <v>1</v>
      </c>
      <c r="S33"/>
      <c r="T33"/>
    </row>
    <row r="34" spans="1:20" ht="15" customHeight="1" x14ac:dyDescent="0.15">
      <c r="A34" s="130"/>
      <c r="B34" s="95"/>
      <c r="C34" s="95"/>
      <c r="D34" s="95"/>
      <c r="E34" s="129"/>
      <c r="F34" s="201" t="s">
        <v>220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3">
        <v>0</v>
      </c>
      <c r="Q34" s="83">
        <v>0</v>
      </c>
      <c r="R34" s="74">
        <v>1</v>
      </c>
      <c r="S34"/>
      <c r="T34"/>
    </row>
    <row r="35" spans="1:20" ht="15" customHeight="1" x14ac:dyDescent="0.15">
      <c r="A35" s="131"/>
      <c r="B35" s="95"/>
      <c r="C35" s="95"/>
      <c r="D35" s="95"/>
      <c r="E35" s="129"/>
      <c r="F35" s="201" t="s">
        <v>221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3">
        <v>0</v>
      </c>
      <c r="Q35" s="83">
        <v>0</v>
      </c>
      <c r="R35" s="74">
        <v>1</v>
      </c>
      <c r="S35"/>
      <c r="T35"/>
    </row>
    <row r="36" spans="1:20" ht="15" customHeight="1" x14ac:dyDescent="0.15">
      <c r="A36" s="132"/>
      <c r="B36" s="95"/>
      <c r="C36" s="95"/>
      <c r="D36" s="95"/>
      <c r="E36" s="129"/>
      <c r="F36" s="201" t="s">
        <v>222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3">
        <v>0</v>
      </c>
      <c r="Q36" s="83">
        <v>0</v>
      </c>
      <c r="R36" s="74">
        <v>1</v>
      </c>
      <c r="S36"/>
      <c r="T36"/>
    </row>
    <row r="37" spans="1:20" ht="15" customHeight="1" x14ac:dyDescent="0.15">
      <c r="A37" s="132"/>
      <c r="B37" s="95"/>
      <c r="C37" s="95"/>
      <c r="D37" s="95"/>
      <c r="E37" s="129"/>
      <c r="F37" s="201" t="s">
        <v>223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3">
        <v>0</v>
      </c>
      <c r="Q37" s="83">
        <v>0</v>
      </c>
      <c r="R37" s="74">
        <v>1</v>
      </c>
      <c r="S37"/>
      <c r="T37"/>
    </row>
    <row r="38" spans="1:20" ht="15" customHeight="1" x14ac:dyDescent="0.15">
      <c r="A38" s="133"/>
      <c r="B38" s="95"/>
      <c r="C38" s="95"/>
      <c r="D38" s="95"/>
      <c r="E38" s="129"/>
      <c r="F38" s="201" t="s">
        <v>224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3">
        <v>0</v>
      </c>
      <c r="Q38" s="83">
        <v>0</v>
      </c>
      <c r="R38" s="74">
        <v>1</v>
      </c>
      <c r="S38"/>
      <c r="T38"/>
    </row>
    <row r="39" spans="1:20" ht="15" customHeight="1" x14ac:dyDescent="0.15">
      <c r="A39" s="133"/>
      <c r="B39" s="95"/>
      <c r="C39" s="95"/>
      <c r="D39" s="95"/>
      <c r="E39" s="129"/>
      <c r="F39" s="201" t="s">
        <v>225</v>
      </c>
      <c r="G39" s="83">
        <v>0</v>
      </c>
      <c r="H39" s="83">
        <v>0</v>
      </c>
      <c r="I39" s="83">
        <v>0</v>
      </c>
      <c r="J39" s="83">
        <v>0</v>
      </c>
      <c r="K39" s="83">
        <v>1</v>
      </c>
      <c r="L39" s="83">
        <v>0</v>
      </c>
      <c r="M39" s="83">
        <v>1</v>
      </c>
      <c r="N39" s="83">
        <v>0</v>
      </c>
      <c r="O39" s="83">
        <v>1</v>
      </c>
      <c r="P39" s="73">
        <v>0</v>
      </c>
      <c r="Q39" s="83">
        <v>0</v>
      </c>
      <c r="R39" s="74">
        <v>1</v>
      </c>
      <c r="S39"/>
      <c r="T39"/>
    </row>
    <row r="40" spans="1:20" ht="15" customHeight="1" x14ac:dyDescent="0.15">
      <c r="A40" s="133"/>
      <c r="B40" s="95"/>
      <c r="C40" s="95"/>
      <c r="D40" s="95"/>
      <c r="E40" s="129"/>
      <c r="F40" s="201" t="s">
        <v>226</v>
      </c>
      <c r="G40" s="83">
        <v>0</v>
      </c>
      <c r="H40" s="83">
        <v>0</v>
      </c>
      <c r="I40" s="83">
        <v>0</v>
      </c>
      <c r="J40" s="83">
        <v>0</v>
      </c>
      <c r="K40" s="83">
        <v>1</v>
      </c>
      <c r="L40" s="83">
        <v>0</v>
      </c>
      <c r="M40" s="83">
        <v>1</v>
      </c>
      <c r="N40" s="83">
        <v>0</v>
      </c>
      <c r="O40" s="83">
        <v>1</v>
      </c>
      <c r="P40" s="73">
        <v>0</v>
      </c>
      <c r="Q40" s="83">
        <v>0</v>
      </c>
      <c r="R40" s="74">
        <v>1</v>
      </c>
      <c r="S40"/>
      <c r="T40"/>
    </row>
    <row r="41" spans="1:20" ht="15" customHeight="1" thickBot="1" x14ac:dyDescent="0.2">
      <c r="A41" s="133"/>
      <c r="B41" s="95"/>
      <c r="C41" s="95"/>
      <c r="D41" s="96"/>
      <c r="E41" s="134"/>
      <c r="F41" s="201" t="s">
        <v>227</v>
      </c>
      <c r="G41" s="83">
        <v>0</v>
      </c>
      <c r="H41" s="83">
        <v>0</v>
      </c>
      <c r="I41" s="83">
        <v>0</v>
      </c>
      <c r="J41" s="83">
        <v>0</v>
      </c>
      <c r="K41" s="83">
        <v>1</v>
      </c>
      <c r="L41" s="83">
        <v>0</v>
      </c>
      <c r="M41" s="83">
        <v>1</v>
      </c>
      <c r="N41" s="83">
        <v>0</v>
      </c>
      <c r="O41" s="83">
        <v>1</v>
      </c>
      <c r="P41" s="73">
        <v>0</v>
      </c>
      <c r="Q41" s="83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2777.7534920000003</v>
      </c>
      <c r="E42" s="137">
        <f>SUM(E32:E41)</f>
        <v>1</v>
      </c>
      <c r="F42" s="201" t="s">
        <v>228</v>
      </c>
      <c r="G42" s="83">
        <v>0</v>
      </c>
      <c r="H42" s="83">
        <v>0</v>
      </c>
      <c r="I42" s="83">
        <v>0</v>
      </c>
      <c r="J42" s="83">
        <v>0</v>
      </c>
      <c r="K42" s="83">
        <v>1</v>
      </c>
      <c r="L42" s="83">
        <v>0</v>
      </c>
      <c r="M42" s="83">
        <v>1</v>
      </c>
      <c r="N42" s="83">
        <v>0</v>
      </c>
      <c r="O42" s="83">
        <v>1</v>
      </c>
      <c r="P42" s="73">
        <v>0</v>
      </c>
      <c r="Q42" s="83">
        <v>0</v>
      </c>
      <c r="R42" s="74">
        <v>1</v>
      </c>
      <c r="S42"/>
      <c r="T42"/>
    </row>
    <row r="43" spans="1:20" ht="15" customHeight="1" x14ac:dyDescent="0.15">
      <c r="A43" s="83"/>
      <c r="F43" s="201" t="s">
        <v>229</v>
      </c>
      <c r="G43" s="83">
        <v>0</v>
      </c>
      <c r="H43" s="83">
        <v>0</v>
      </c>
      <c r="I43" s="83">
        <v>0</v>
      </c>
      <c r="J43" s="83">
        <v>0</v>
      </c>
      <c r="K43" s="83">
        <v>1</v>
      </c>
      <c r="L43" s="83">
        <v>0</v>
      </c>
      <c r="M43" s="83">
        <v>1</v>
      </c>
      <c r="N43" s="83">
        <v>0</v>
      </c>
      <c r="O43" s="83">
        <v>1</v>
      </c>
      <c r="P43" s="73">
        <v>0</v>
      </c>
      <c r="Q43" s="83">
        <v>0</v>
      </c>
      <c r="R43" s="74">
        <v>1</v>
      </c>
      <c r="S43"/>
      <c r="T43"/>
    </row>
    <row r="44" spans="1:20" ht="15" customHeight="1" x14ac:dyDescent="0.15">
      <c r="A44" s="83"/>
      <c r="F44" s="201" t="s">
        <v>230</v>
      </c>
      <c r="G44" s="83">
        <v>0</v>
      </c>
      <c r="H44" s="83">
        <v>0</v>
      </c>
      <c r="I44" s="83">
        <v>0</v>
      </c>
      <c r="J44" s="83">
        <v>0</v>
      </c>
      <c r="K44" s="83">
        <v>1</v>
      </c>
      <c r="L44" s="83">
        <v>0</v>
      </c>
      <c r="M44" s="83">
        <v>1</v>
      </c>
      <c r="N44" s="83">
        <v>0</v>
      </c>
      <c r="O44" s="83">
        <v>1</v>
      </c>
      <c r="P44" s="73">
        <v>0</v>
      </c>
      <c r="Q44" s="83">
        <v>0</v>
      </c>
      <c r="R44" s="74">
        <v>1</v>
      </c>
    </row>
    <row r="45" spans="1:20" ht="15" customHeight="1" x14ac:dyDescent="0.15">
      <c r="A45" s="83"/>
      <c r="F45" s="201" t="s">
        <v>231</v>
      </c>
      <c r="G45" s="83">
        <v>0</v>
      </c>
      <c r="H45" s="83">
        <v>0</v>
      </c>
      <c r="I45" s="83">
        <v>0</v>
      </c>
      <c r="J45" s="83">
        <v>0</v>
      </c>
      <c r="K45" s="83">
        <v>1</v>
      </c>
      <c r="L45" s="83">
        <v>0</v>
      </c>
      <c r="M45" s="83">
        <v>1</v>
      </c>
      <c r="N45" s="83">
        <v>0</v>
      </c>
      <c r="O45" s="83">
        <v>1</v>
      </c>
      <c r="P45" s="73">
        <v>0</v>
      </c>
      <c r="Q45" s="83">
        <v>0</v>
      </c>
      <c r="R45" s="74">
        <v>1</v>
      </c>
    </row>
    <row r="46" spans="1:20" ht="15" customHeight="1" x14ac:dyDescent="0.15">
      <c r="A46" s="83"/>
      <c r="F46" s="201" t="s">
        <v>232</v>
      </c>
      <c r="G46" s="83">
        <v>0</v>
      </c>
      <c r="H46" s="83">
        <v>0</v>
      </c>
      <c r="I46" s="83">
        <v>0</v>
      </c>
      <c r="J46" s="83">
        <v>0</v>
      </c>
      <c r="K46" s="83">
        <v>1</v>
      </c>
      <c r="L46" s="83">
        <v>0</v>
      </c>
      <c r="M46" s="83">
        <v>1</v>
      </c>
      <c r="N46" s="83">
        <v>0</v>
      </c>
      <c r="O46" s="83">
        <v>1</v>
      </c>
      <c r="P46" s="73">
        <v>0</v>
      </c>
      <c r="Q46" s="83">
        <v>0</v>
      </c>
      <c r="R46" s="74">
        <v>1</v>
      </c>
    </row>
    <row r="47" spans="1:20" ht="15" customHeight="1" x14ac:dyDescent="0.15">
      <c r="A47" s="83"/>
      <c r="F47" s="201" t="s">
        <v>233</v>
      </c>
      <c r="G47" s="83">
        <v>0</v>
      </c>
      <c r="H47" s="83">
        <v>0</v>
      </c>
      <c r="I47" s="83">
        <v>0</v>
      </c>
      <c r="J47" s="83">
        <v>0</v>
      </c>
      <c r="K47" s="83">
        <v>1</v>
      </c>
      <c r="L47" s="83">
        <v>0</v>
      </c>
      <c r="M47" s="83">
        <v>1</v>
      </c>
      <c r="N47" s="83">
        <v>0</v>
      </c>
      <c r="O47" s="83">
        <v>1</v>
      </c>
      <c r="P47" s="73">
        <v>0</v>
      </c>
      <c r="Q47" s="83">
        <v>0</v>
      </c>
      <c r="R47" s="74">
        <v>1</v>
      </c>
    </row>
    <row r="48" spans="1:20" ht="15" customHeight="1" x14ac:dyDescent="0.15">
      <c r="A48" s="83"/>
      <c r="F48" s="201" t="s">
        <v>234</v>
      </c>
      <c r="G48" s="83">
        <v>0</v>
      </c>
      <c r="H48" s="83">
        <v>0</v>
      </c>
      <c r="I48" s="83">
        <v>0</v>
      </c>
      <c r="J48" s="83">
        <v>0</v>
      </c>
      <c r="K48" s="83">
        <v>1</v>
      </c>
      <c r="L48" s="83">
        <v>0</v>
      </c>
      <c r="M48" s="83">
        <v>1</v>
      </c>
      <c r="N48" s="83">
        <v>0</v>
      </c>
      <c r="O48" s="83">
        <v>1</v>
      </c>
      <c r="P48" s="73">
        <v>0</v>
      </c>
      <c r="Q48" s="83">
        <v>0</v>
      </c>
      <c r="R48" s="74">
        <v>1</v>
      </c>
    </row>
    <row r="49" spans="6:18" s="83" customFormat="1" ht="15" customHeight="1" x14ac:dyDescent="0.15">
      <c r="F49" s="201" t="s">
        <v>235</v>
      </c>
      <c r="G49" s="83">
        <v>0</v>
      </c>
      <c r="H49" s="83">
        <v>0</v>
      </c>
      <c r="I49" s="83">
        <v>0</v>
      </c>
      <c r="J49" s="83">
        <v>0</v>
      </c>
      <c r="K49" s="83">
        <v>1</v>
      </c>
      <c r="L49" s="83">
        <v>0</v>
      </c>
      <c r="M49" s="83">
        <v>1</v>
      </c>
      <c r="N49" s="83">
        <v>0</v>
      </c>
      <c r="O49" s="83">
        <v>1</v>
      </c>
      <c r="P49" s="73">
        <v>0</v>
      </c>
      <c r="Q49" s="83">
        <v>0</v>
      </c>
      <c r="R49" s="74">
        <v>1</v>
      </c>
    </row>
    <row r="50" spans="6:18" s="83" customFormat="1" ht="15" customHeight="1" x14ac:dyDescent="0.15">
      <c r="F50" s="201" t="s">
        <v>236</v>
      </c>
      <c r="G50" s="83">
        <v>0</v>
      </c>
      <c r="H50" s="83">
        <v>0</v>
      </c>
      <c r="I50" s="83">
        <v>0</v>
      </c>
      <c r="J50" s="83">
        <v>0</v>
      </c>
      <c r="K50" s="83">
        <v>1</v>
      </c>
      <c r="L50" s="83">
        <v>0</v>
      </c>
      <c r="M50" s="83">
        <v>1</v>
      </c>
      <c r="N50" s="83">
        <v>0</v>
      </c>
      <c r="O50" s="83">
        <v>1</v>
      </c>
      <c r="P50" s="73">
        <v>0</v>
      </c>
      <c r="Q50" s="83">
        <v>0</v>
      </c>
      <c r="R50" s="74">
        <v>1</v>
      </c>
    </row>
    <row r="51" spans="6:18" s="83" customFormat="1" ht="15" customHeight="1" x14ac:dyDescent="0.15">
      <c r="F51" s="201" t="s">
        <v>237</v>
      </c>
      <c r="G51" s="83">
        <v>0</v>
      </c>
      <c r="H51" s="83">
        <v>0</v>
      </c>
      <c r="I51" s="83">
        <v>0</v>
      </c>
      <c r="J51" s="83">
        <v>0</v>
      </c>
      <c r="K51" s="83">
        <v>1</v>
      </c>
      <c r="L51" s="83">
        <v>0</v>
      </c>
      <c r="M51" s="83">
        <v>1</v>
      </c>
      <c r="N51" s="83">
        <v>0</v>
      </c>
      <c r="O51" s="83">
        <v>1</v>
      </c>
      <c r="P51" s="73">
        <v>0</v>
      </c>
      <c r="Q51" s="83">
        <v>0</v>
      </c>
      <c r="R51" s="74">
        <v>1</v>
      </c>
    </row>
    <row r="52" spans="6:18" s="83" customFormat="1" ht="15" customHeight="1" x14ac:dyDescent="0.15">
      <c r="F52" s="201" t="s">
        <v>238</v>
      </c>
      <c r="G52" s="83">
        <v>0</v>
      </c>
      <c r="H52" s="83">
        <v>0</v>
      </c>
      <c r="I52" s="83">
        <v>0</v>
      </c>
      <c r="J52" s="83">
        <v>0</v>
      </c>
      <c r="K52" s="83">
        <v>1</v>
      </c>
      <c r="L52" s="83">
        <v>0</v>
      </c>
      <c r="M52" s="83">
        <v>1</v>
      </c>
      <c r="N52" s="83">
        <v>0</v>
      </c>
      <c r="O52" s="83">
        <v>1</v>
      </c>
      <c r="P52" s="73">
        <v>0</v>
      </c>
      <c r="Q52" s="83">
        <v>0</v>
      </c>
      <c r="R52" s="74">
        <v>1</v>
      </c>
    </row>
    <row r="53" spans="6:18" s="83" customFormat="1" ht="15" customHeight="1" x14ac:dyDescent="0.15">
      <c r="F53" s="201" t="s">
        <v>239</v>
      </c>
      <c r="G53" s="83">
        <v>0</v>
      </c>
      <c r="H53" s="83">
        <v>0</v>
      </c>
      <c r="I53" s="83">
        <v>0</v>
      </c>
      <c r="J53" s="83">
        <v>0</v>
      </c>
      <c r="K53" s="83">
        <v>1</v>
      </c>
      <c r="L53" s="83">
        <v>0</v>
      </c>
      <c r="M53" s="83">
        <v>1</v>
      </c>
      <c r="N53" s="83">
        <v>0</v>
      </c>
      <c r="O53" s="83">
        <v>1</v>
      </c>
      <c r="P53" s="73">
        <v>0</v>
      </c>
      <c r="Q53" s="83">
        <v>0</v>
      </c>
      <c r="R53" s="74">
        <v>1</v>
      </c>
    </row>
    <row r="54" spans="6:18" s="83" customFormat="1" ht="15" customHeight="1" x14ac:dyDescent="0.15">
      <c r="F54" s="201" t="s">
        <v>240</v>
      </c>
      <c r="G54" s="83">
        <v>0</v>
      </c>
      <c r="H54" s="83">
        <v>0</v>
      </c>
      <c r="I54" s="83">
        <v>0</v>
      </c>
      <c r="J54" s="83">
        <v>0</v>
      </c>
      <c r="K54" s="83">
        <v>1</v>
      </c>
      <c r="L54" s="83">
        <v>0</v>
      </c>
      <c r="M54" s="83">
        <v>1</v>
      </c>
      <c r="N54" s="83">
        <v>0</v>
      </c>
      <c r="O54" s="83">
        <v>1</v>
      </c>
      <c r="P54" s="73">
        <v>0</v>
      </c>
      <c r="Q54" s="83">
        <v>0</v>
      </c>
      <c r="R54" s="74">
        <v>1</v>
      </c>
    </row>
    <row r="55" spans="6:18" s="83" customFormat="1" ht="15" customHeight="1" x14ac:dyDescent="0.15">
      <c r="F55" s="201" t="s">
        <v>241</v>
      </c>
      <c r="G55" s="83">
        <v>0</v>
      </c>
      <c r="H55" s="83">
        <v>0</v>
      </c>
      <c r="I55" s="83">
        <v>0</v>
      </c>
      <c r="J55" s="83">
        <v>0</v>
      </c>
      <c r="K55" s="83">
        <v>0</v>
      </c>
      <c r="L55" s="83">
        <v>0</v>
      </c>
      <c r="M55" s="83">
        <v>1</v>
      </c>
      <c r="N55" s="83">
        <v>0</v>
      </c>
      <c r="O55" s="83">
        <v>0</v>
      </c>
      <c r="P55" s="73">
        <v>0</v>
      </c>
      <c r="Q55" s="83">
        <v>0</v>
      </c>
      <c r="R55" s="74">
        <v>1</v>
      </c>
    </row>
    <row r="56" spans="6:18" s="83" customFormat="1" ht="15" customHeight="1" x14ac:dyDescent="0.15">
      <c r="F56" s="201" t="s">
        <v>242</v>
      </c>
      <c r="G56" s="83">
        <v>0</v>
      </c>
      <c r="H56" s="83">
        <v>0</v>
      </c>
      <c r="I56" s="83">
        <v>0</v>
      </c>
      <c r="J56" s="83">
        <v>0</v>
      </c>
      <c r="K56" s="83">
        <v>0</v>
      </c>
      <c r="L56" s="83">
        <v>0</v>
      </c>
      <c r="M56" s="83">
        <v>1</v>
      </c>
      <c r="N56" s="83">
        <v>0</v>
      </c>
      <c r="O56" s="83">
        <v>0</v>
      </c>
      <c r="P56" s="73">
        <v>0</v>
      </c>
      <c r="Q56" s="83">
        <v>0</v>
      </c>
      <c r="R56" s="74">
        <v>1</v>
      </c>
    </row>
    <row r="57" spans="6:18" s="83" customFormat="1" ht="15" customHeight="1" x14ac:dyDescent="0.15">
      <c r="F57" s="201" t="s">
        <v>243</v>
      </c>
      <c r="G57" s="83">
        <v>0</v>
      </c>
      <c r="H57" s="83">
        <v>0</v>
      </c>
      <c r="I57" s="83">
        <v>0</v>
      </c>
      <c r="J57" s="83">
        <v>0</v>
      </c>
      <c r="K57" s="83">
        <v>1</v>
      </c>
      <c r="L57" s="83">
        <v>0</v>
      </c>
      <c r="M57" s="83">
        <v>1</v>
      </c>
      <c r="N57" s="83">
        <v>0</v>
      </c>
      <c r="O57" s="83">
        <v>1</v>
      </c>
      <c r="P57" s="73">
        <v>0</v>
      </c>
      <c r="Q57" s="83">
        <v>0</v>
      </c>
      <c r="R57" s="74">
        <v>1</v>
      </c>
    </row>
    <row r="58" spans="6:18" s="83" customFormat="1" ht="15" customHeight="1" x14ac:dyDescent="0.15">
      <c r="F58" s="201" t="s">
        <v>244</v>
      </c>
      <c r="G58" s="83">
        <v>0</v>
      </c>
      <c r="H58" s="83">
        <v>0</v>
      </c>
      <c r="I58" s="83">
        <v>0</v>
      </c>
      <c r="J58" s="83">
        <v>0</v>
      </c>
      <c r="K58" s="83">
        <v>0</v>
      </c>
      <c r="L58" s="83">
        <v>1</v>
      </c>
      <c r="M58" s="83">
        <v>0</v>
      </c>
      <c r="N58" s="83">
        <v>1</v>
      </c>
      <c r="O58" s="83">
        <v>0</v>
      </c>
      <c r="P58" s="73">
        <v>1</v>
      </c>
      <c r="Q58" s="83">
        <v>0</v>
      </c>
      <c r="R58" s="74">
        <v>1</v>
      </c>
    </row>
    <row r="59" spans="6:18" s="83" customFormat="1" ht="15" customHeight="1" x14ac:dyDescent="0.15">
      <c r="F59" s="201" t="s">
        <v>245</v>
      </c>
      <c r="G59" s="83">
        <v>0</v>
      </c>
      <c r="H59" s="83">
        <v>0</v>
      </c>
      <c r="I59" s="83">
        <v>0</v>
      </c>
      <c r="J59" s="83">
        <v>0</v>
      </c>
      <c r="K59" s="83">
        <v>0</v>
      </c>
      <c r="L59" s="83">
        <v>1</v>
      </c>
      <c r="M59" s="83">
        <v>0</v>
      </c>
      <c r="N59" s="83">
        <v>1</v>
      </c>
      <c r="O59" s="83">
        <v>0</v>
      </c>
      <c r="P59" s="73">
        <v>1</v>
      </c>
      <c r="Q59" s="83">
        <v>0</v>
      </c>
      <c r="R59" s="74">
        <v>1</v>
      </c>
    </row>
    <row r="60" spans="6:18" s="83" customFormat="1" ht="15" customHeight="1" x14ac:dyDescent="0.15">
      <c r="F60" s="201" t="s">
        <v>246</v>
      </c>
      <c r="G60" s="83">
        <v>0</v>
      </c>
      <c r="H60" s="83">
        <v>0</v>
      </c>
      <c r="I60" s="83">
        <v>0</v>
      </c>
      <c r="J60" s="83">
        <v>0</v>
      </c>
      <c r="K60" s="83">
        <v>0</v>
      </c>
      <c r="L60" s="83">
        <v>1</v>
      </c>
      <c r="M60" s="83">
        <v>0</v>
      </c>
      <c r="N60" s="83">
        <v>0</v>
      </c>
      <c r="O60" s="83">
        <v>0</v>
      </c>
      <c r="P60" s="73">
        <v>0</v>
      </c>
      <c r="Q60" s="83">
        <v>0</v>
      </c>
      <c r="R60" s="74">
        <v>1</v>
      </c>
    </row>
    <row r="61" spans="6:18" s="83" customFormat="1" ht="15" customHeight="1" x14ac:dyDescent="0.15">
      <c r="F61" s="201" t="s">
        <v>247</v>
      </c>
      <c r="G61" s="83">
        <v>0</v>
      </c>
      <c r="H61" s="83">
        <v>0</v>
      </c>
      <c r="I61" s="83">
        <v>0</v>
      </c>
      <c r="J61" s="83">
        <v>0</v>
      </c>
      <c r="K61" s="83">
        <v>0</v>
      </c>
      <c r="L61" s="83">
        <v>1</v>
      </c>
      <c r="M61" s="83">
        <v>0</v>
      </c>
      <c r="N61" s="83">
        <v>0</v>
      </c>
      <c r="O61" s="83">
        <v>0</v>
      </c>
      <c r="P61" s="73">
        <v>0</v>
      </c>
      <c r="Q61" s="83">
        <v>0</v>
      </c>
      <c r="R61" s="74">
        <v>1</v>
      </c>
    </row>
    <row r="62" spans="6:18" s="83" customFormat="1" ht="15" customHeight="1" x14ac:dyDescent="0.15">
      <c r="F62" s="201" t="s">
        <v>248</v>
      </c>
      <c r="G62" s="83">
        <v>0</v>
      </c>
      <c r="H62" s="83">
        <v>0</v>
      </c>
      <c r="I62" s="83">
        <v>0</v>
      </c>
      <c r="J62" s="83">
        <v>0</v>
      </c>
      <c r="K62" s="83">
        <v>0</v>
      </c>
      <c r="L62" s="83">
        <v>1</v>
      </c>
      <c r="M62" s="83">
        <v>0</v>
      </c>
      <c r="N62" s="83">
        <v>0</v>
      </c>
      <c r="O62" s="83">
        <v>0</v>
      </c>
      <c r="P62" s="73">
        <v>0</v>
      </c>
      <c r="Q62" s="83">
        <v>0</v>
      </c>
      <c r="R62" s="74">
        <v>1</v>
      </c>
    </row>
    <row r="63" spans="6:18" s="83" customFormat="1" ht="15" customHeight="1" x14ac:dyDescent="0.15">
      <c r="F63" s="201" t="s">
        <v>249</v>
      </c>
      <c r="G63" s="83">
        <v>0</v>
      </c>
      <c r="H63" s="83">
        <v>0</v>
      </c>
      <c r="I63" s="83">
        <v>0</v>
      </c>
      <c r="J63" s="83">
        <v>0</v>
      </c>
      <c r="K63" s="83">
        <v>0</v>
      </c>
      <c r="L63" s="83">
        <v>1</v>
      </c>
      <c r="M63" s="83">
        <v>0</v>
      </c>
      <c r="N63" s="83">
        <v>0</v>
      </c>
      <c r="O63" s="83">
        <v>0</v>
      </c>
      <c r="P63" s="73">
        <v>0</v>
      </c>
      <c r="Q63" s="83">
        <v>0</v>
      </c>
      <c r="R63" s="74">
        <v>1</v>
      </c>
    </row>
    <row r="64" spans="6:18" s="83" customFormat="1" ht="15" customHeight="1" x14ac:dyDescent="0.15">
      <c r="F64" s="201" t="s">
        <v>250</v>
      </c>
      <c r="G64" s="83">
        <v>0</v>
      </c>
      <c r="H64" s="83">
        <v>0</v>
      </c>
      <c r="I64" s="83">
        <v>0</v>
      </c>
      <c r="J64" s="83">
        <v>0</v>
      </c>
      <c r="K64" s="83">
        <v>0</v>
      </c>
      <c r="L64" s="83">
        <v>1</v>
      </c>
      <c r="M64" s="83">
        <v>0</v>
      </c>
      <c r="N64" s="83">
        <v>0</v>
      </c>
      <c r="O64" s="83">
        <v>0</v>
      </c>
      <c r="P64" s="73">
        <v>0</v>
      </c>
      <c r="Q64" s="83">
        <v>0</v>
      </c>
      <c r="R64" s="74">
        <v>1</v>
      </c>
    </row>
    <row r="65" spans="1:18" ht="15" customHeight="1" x14ac:dyDescent="0.15">
      <c r="F65" s="201" t="s">
        <v>251</v>
      </c>
      <c r="G65" s="83">
        <v>0</v>
      </c>
      <c r="H65" s="83">
        <v>0</v>
      </c>
      <c r="I65" s="83">
        <v>0</v>
      </c>
      <c r="J65" s="83">
        <v>0</v>
      </c>
      <c r="K65" s="83">
        <v>0</v>
      </c>
      <c r="L65" s="83">
        <v>1</v>
      </c>
      <c r="M65" s="83">
        <v>0</v>
      </c>
      <c r="N65" s="83">
        <v>0</v>
      </c>
      <c r="O65" s="83">
        <v>0</v>
      </c>
      <c r="P65" s="73">
        <v>0</v>
      </c>
      <c r="Q65" s="83">
        <v>0</v>
      </c>
      <c r="R65" s="74">
        <v>1</v>
      </c>
    </row>
    <row r="66" spans="1:18" ht="15" customHeight="1" x14ac:dyDescent="0.15">
      <c r="F66" s="201" t="s">
        <v>252</v>
      </c>
      <c r="G66" s="83">
        <v>0</v>
      </c>
      <c r="H66" s="83">
        <v>0</v>
      </c>
      <c r="I66" s="83">
        <v>0</v>
      </c>
      <c r="J66" s="83">
        <v>0</v>
      </c>
      <c r="K66" s="83">
        <v>0</v>
      </c>
      <c r="L66" s="83">
        <v>1</v>
      </c>
      <c r="M66" s="83">
        <v>0</v>
      </c>
      <c r="N66" s="83">
        <v>0</v>
      </c>
      <c r="O66" s="83">
        <v>0</v>
      </c>
      <c r="P66" s="73">
        <v>0</v>
      </c>
      <c r="Q66" s="83">
        <v>0</v>
      </c>
      <c r="R66" s="74">
        <v>1</v>
      </c>
    </row>
    <row r="67" spans="1:18" ht="15" customHeight="1" x14ac:dyDescent="0.15">
      <c r="F67" s="201" t="s">
        <v>253</v>
      </c>
      <c r="G67" s="83">
        <v>0</v>
      </c>
      <c r="H67" s="83">
        <v>0</v>
      </c>
      <c r="I67" s="83">
        <v>0</v>
      </c>
      <c r="J67" s="83">
        <v>0</v>
      </c>
      <c r="K67" s="83">
        <v>0</v>
      </c>
      <c r="L67" s="83">
        <v>1</v>
      </c>
      <c r="M67" s="83">
        <v>0</v>
      </c>
      <c r="N67" s="83">
        <v>0</v>
      </c>
      <c r="O67" s="83">
        <v>0</v>
      </c>
      <c r="P67" s="73">
        <v>0</v>
      </c>
      <c r="Q67" s="83">
        <v>0</v>
      </c>
      <c r="R67" s="74">
        <v>1</v>
      </c>
    </row>
    <row r="68" spans="1:18" ht="15" customHeight="1" x14ac:dyDescent="0.15">
      <c r="F68" s="201" t="s">
        <v>254</v>
      </c>
      <c r="G68" s="83">
        <v>0</v>
      </c>
      <c r="H68" s="83">
        <v>0</v>
      </c>
      <c r="I68" s="83">
        <v>0</v>
      </c>
      <c r="J68" s="83">
        <v>0</v>
      </c>
      <c r="K68" s="83">
        <v>0</v>
      </c>
      <c r="L68" s="83">
        <v>1</v>
      </c>
      <c r="M68" s="83">
        <v>0</v>
      </c>
      <c r="N68" s="83">
        <v>0</v>
      </c>
      <c r="O68" s="83">
        <v>0</v>
      </c>
      <c r="P68" s="73">
        <v>0</v>
      </c>
      <c r="Q68" s="83">
        <v>0</v>
      </c>
      <c r="R68" s="74">
        <v>1</v>
      </c>
    </row>
    <row r="69" spans="1:18" ht="15" customHeight="1" x14ac:dyDescent="0.15">
      <c r="F69" s="201" t="s">
        <v>255</v>
      </c>
      <c r="G69" s="83">
        <v>0</v>
      </c>
      <c r="H69" s="83">
        <v>0</v>
      </c>
      <c r="I69" s="83">
        <v>0</v>
      </c>
      <c r="J69" s="83">
        <v>0</v>
      </c>
      <c r="K69" s="83">
        <v>0</v>
      </c>
      <c r="L69" s="83">
        <v>1</v>
      </c>
      <c r="M69" s="83">
        <v>0</v>
      </c>
      <c r="N69" s="83">
        <v>0</v>
      </c>
      <c r="O69" s="83">
        <v>0</v>
      </c>
      <c r="P69" s="73">
        <v>0</v>
      </c>
      <c r="Q69" s="83">
        <v>0</v>
      </c>
      <c r="R69" s="74">
        <v>1</v>
      </c>
    </row>
    <row r="70" spans="1:18" ht="15" customHeight="1" x14ac:dyDescent="0.15">
      <c r="F70" s="201" t="s">
        <v>256</v>
      </c>
      <c r="G70" s="83">
        <v>0</v>
      </c>
      <c r="H70" s="83">
        <v>0</v>
      </c>
      <c r="I70" s="83">
        <v>0</v>
      </c>
      <c r="J70" s="83">
        <v>0</v>
      </c>
      <c r="K70" s="83">
        <v>0</v>
      </c>
      <c r="L70" s="83">
        <v>1</v>
      </c>
      <c r="M70" s="83">
        <v>0</v>
      </c>
      <c r="N70" s="83">
        <v>0</v>
      </c>
      <c r="O70" s="83">
        <v>0</v>
      </c>
      <c r="P70" s="73">
        <v>0</v>
      </c>
      <c r="Q70" s="83">
        <v>0</v>
      </c>
      <c r="R70" s="74">
        <v>1</v>
      </c>
    </row>
    <row r="71" spans="1:18" ht="15" customHeight="1" x14ac:dyDescent="0.15">
      <c r="F71" s="201" t="s">
        <v>257</v>
      </c>
      <c r="G71" s="83">
        <v>0</v>
      </c>
      <c r="H71" s="83">
        <v>0</v>
      </c>
      <c r="I71" s="83">
        <v>0</v>
      </c>
      <c r="J71" s="83">
        <v>0</v>
      </c>
      <c r="K71" s="83">
        <v>0</v>
      </c>
      <c r="L71" s="83">
        <v>1</v>
      </c>
      <c r="M71" s="83">
        <v>0</v>
      </c>
      <c r="N71" s="83">
        <v>0</v>
      </c>
      <c r="O71" s="83">
        <v>0</v>
      </c>
      <c r="P71" s="73">
        <v>0</v>
      </c>
      <c r="Q71" s="83">
        <v>0</v>
      </c>
      <c r="R71" s="74">
        <v>1</v>
      </c>
    </row>
    <row r="72" spans="1:18" ht="15" customHeight="1" x14ac:dyDescent="0.15">
      <c r="F72" s="201" t="s">
        <v>258</v>
      </c>
      <c r="G72" s="83">
        <v>0</v>
      </c>
      <c r="H72" s="83">
        <v>0</v>
      </c>
      <c r="I72" s="83">
        <v>0</v>
      </c>
      <c r="J72" s="83">
        <v>0</v>
      </c>
      <c r="K72" s="83">
        <v>0</v>
      </c>
      <c r="L72" s="83">
        <v>1</v>
      </c>
      <c r="M72" s="83">
        <v>0</v>
      </c>
      <c r="N72" s="83">
        <v>0</v>
      </c>
      <c r="O72" s="83">
        <v>0</v>
      </c>
      <c r="P72" s="73">
        <v>0</v>
      </c>
      <c r="Q72" s="83">
        <v>0</v>
      </c>
      <c r="R72" s="74">
        <v>1</v>
      </c>
    </row>
    <row r="73" spans="1:18" ht="15" customHeight="1" x14ac:dyDescent="0.15">
      <c r="F73" s="201" t="s">
        <v>259</v>
      </c>
      <c r="G73" s="83">
        <v>0</v>
      </c>
      <c r="H73" s="83">
        <v>0</v>
      </c>
      <c r="I73" s="83">
        <v>0</v>
      </c>
      <c r="J73" s="83">
        <v>0</v>
      </c>
      <c r="K73" s="83">
        <v>0</v>
      </c>
      <c r="L73" s="83">
        <v>1</v>
      </c>
      <c r="M73" s="83">
        <v>0</v>
      </c>
      <c r="N73" s="83">
        <v>0</v>
      </c>
      <c r="O73" s="83">
        <v>0</v>
      </c>
      <c r="P73" s="73">
        <v>0</v>
      </c>
      <c r="Q73" s="83">
        <v>0</v>
      </c>
      <c r="R73" s="74">
        <v>1</v>
      </c>
    </row>
    <row r="74" spans="1:18" ht="15" customHeight="1" x14ac:dyDescent="0.15">
      <c r="F74" s="201" t="s">
        <v>207</v>
      </c>
      <c r="G74" s="83">
        <v>0</v>
      </c>
      <c r="H74" s="83">
        <v>0</v>
      </c>
      <c r="I74" s="83">
        <v>0</v>
      </c>
      <c r="J74" s="83">
        <v>0</v>
      </c>
      <c r="K74" s="83">
        <v>0</v>
      </c>
      <c r="L74" s="83">
        <v>1</v>
      </c>
      <c r="M74" s="83">
        <v>0</v>
      </c>
      <c r="N74" s="83">
        <v>0</v>
      </c>
      <c r="O74" s="83">
        <v>0</v>
      </c>
      <c r="P74" s="73">
        <v>0</v>
      </c>
      <c r="Q74" s="83">
        <v>0</v>
      </c>
      <c r="R74" s="74">
        <v>1</v>
      </c>
    </row>
    <row r="75" spans="1:18" ht="15" customHeight="1" x14ac:dyDescent="0.15">
      <c r="F75" s="201" t="s">
        <v>260</v>
      </c>
      <c r="G75" s="83">
        <v>0</v>
      </c>
      <c r="H75" s="83">
        <v>0</v>
      </c>
      <c r="I75" s="83">
        <v>0</v>
      </c>
      <c r="J75" s="83">
        <v>0</v>
      </c>
      <c r="K75" s="83">
        <v>0</v>
      </c>
      <c r="L75" s="83">
        <v>1</v>
      </c>
      <c r="M75" s="83">
        <v>0</v>
      </c>
      <c r="N75" s="83">
        <v>0</v>
      </c>
      <c r="O75" s="83">
        <v>0</v>
      </c>
      <c r="P75" s="73">
        <v>0</v>
      </c>
      <c r="Q75" s="83">
        <v>0</v>
      </c>
      <c r="R75" s="74">
        <v>1</v>
      </c>
    </row>
    <row r="76" spans="1:18" ht="15" customHeight="1" x14ac:dyDescent="0.15">
      <c r="A76" s="83"/>
      <c r="F76" s="201" t="s">
        <v>261</v>
      </c>
      <c r="G76" s="83">
        <v>0</v>
      </c>
      <c r="H76" s="83">
        <v>0</v>
      </c>
      <c r="I76" s="83">
        <v>0</v>
      </c>
      <c r="J76" s="83">
        <v>0</v>
      </c>
      <c r="K76" s="83">
        <v>0</v>
      </c>
      <c r="L76" s="83">
        <v>1</v>
      </c>
      <c r="M76" s="83">
        <v>0</v>
      </c>
      <c r="N76" s="83">
        <v>0</v>
      </c>
      <c r="O76" s="83">
        <v>0</v>
      </c>
      <c r="P76" s="73">
        <v>0</v>
      </c>
      <c r="Q76" s="83">
        <v>0</v>
      </c>
      <c r="R76" s="74">
        <v>1</v>
      </c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A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8.5" bestFit="1" customWidth="1"/>
    <col min="2" max="2" width="2.33203125" style="113" customWidth="1"/>
    <col min="3" max="5" width="7.83203125" style="113" customWidth="1"/>
    <col min="6" max="8" width="8.83203125" style="6"/>
    <col min="9" max="9" width="10.33203125" style="6" customWidth="1"/>
    <col min="10" max="10" width="10.5" style="6" customWidth="1"/>
    <col min="11" max="11" width="11.83203125" style="6" customWidth="1"/>
    <col min="12" max="12" width="14.5" style="6" customWidth="1"/>
    <col min="13" max="13" width="8.5" style="6" customWidth="1"/>
    <col min="14" max="14" width="15.5" style="6" customWidth="1"/>
    <col min="15" max="15" width="12.1640625" style="6" customWidth="1"/>
    <col min="16" max="16" width="14.5" style="6" customWidth="1"/>
    <col min="17" max="17" width="11" style="6" customWidth="1"/>
    <col min="18" max="18" width="6" style="6" customWidth="1"/>
    <col min="19" max="19" width="7" style="6" customWidth="1"/>
    <col min="20" max="20" width="7.5" style="6" customWidth="1"/>
    <col min="21" max="21" width="14.1640625" style="6" customWidth="1"/>
    <col min="22" max="22" width="7.5" style="6" customWidth="1"/>
    <col min="23" max="23" width="10.5" style="6" customWidth="1"/>
    <col min="24" max="24" width="9" style="6" customWidth="1"/>
    <col min="25" max="25" width="13.83203125" style="6" customWidth="1"/>
    <col min="26" max="26" width="11.6640625" style="6" customWidth="1"/>
    <col min="27" max="27" width="12.33203125" style="6" customWidth="1"/>
    <col min="28" max="28" width="10.1640625" style="6" customWidth="1"/>
    <col min="29" max="29" width="14.33203125" style="6" customWidth="1"/>
    <col min="30" max="30" width="23.5" style="6" customWidth="1"/>
    <col min="31" max="31" width="21.33203125" style="6" customWidth="1"/>
    <col min="32" max="32" width="26" style="6" customWidth="1"/>
    <col min="33" max="33" width="23.83203125" style="6" customWidth="1"/>
    <col min="34" max="34" width="13" style="6" customWidth="1"/>
    <col min="35" max="35" width="10.83203125" style="6" customWidth="1"/>
    <col min="36" max="36" width="13.5" style="6" customWidth="1"/>
    <col min="37" max="37" width="11.5" style="6" customWidth="1"/>
    <col min="38" max="38" width="13.6640625" style="6" customWidth="1"/>
    <col min="39" max="39" width="11.5" customWidth="1"/>
    <col min="40" max="40" width="17.5" customWidth="1"/>
    <col min="41" max="41" width="15.33203125" customWidth="1"/>
    <col min="42" max="42" width="15.5" customWidth="1"/>
    <col min="43" max="43" width="13.5" customWidth="1"/>
    <col min="44" max="44" width="14.1640625" customWidth="1"/>
    <col min="45" max="45" width="12" customWidth="1"/>
    <col min="46" max="46" width="22.1640625" customWidth="1"/>
    <col min="47" max="47" width="7.1640625" customWidth="1"/>
    <col min="48" max="48" width="11" customWidth="1"/>
    <col min="49" max="49" width="11.1640625" customWidth="1"/>
    <col min="50" max="50" width="17.33203125" customWidth="1"/>
    <col min="51" max="51" width="19.83203125" customWidth="1"/>
    <col min="52" max="52" width="28.5" customWidth="1"/>
    <col min="53" max="53" width="27" customWidth="1"/>
    <col min="54" max="54" width="17.5" customWidth="1"/>
    <col min="55" max="55" width="11.5" customWidth="1"/>
    <col min="56" max="56" width="9.5" customWidth="1"/>
    <col min="57" max="57" width="17.6640625" customWidth="1"/>
    <col min="58" max="58" width="12" customWidth="1"/>
    <col min="59" max="59" width="13.1640625" customWidth="1"/>
    <col min="60" max="60" width="8.5" customWidth="1"/>
    <col min="61" max="61" width="7.6640625" customWidth="1"/>
    <col min="62" max="62" width="21.6640625" customWidth="1"/>
    <col min="63" max="63" width="14.5" customWidth="1"/>
    <col min="64" max="64" width="6" customWidth="1"/>
    <col min="65" max="65" width="12.5" customWidth="1"/>
    <col min="66" max="66" width="11.33203125" customWidth="1"/>
    <col min="67" max="67" width="13" customWidth="1"/>
    <col min="68" max="68" width="8.83203125" customWidth="1"/>
    <col min="69" max="69" width="17.5" customWidth="1"/>
    <col min="70" max="70" width="9.1640625" customWidth="1"/>
    <col min="71" max="71" width="11" customWidth="1"/>
    <col min="72" max="72" width="11.1640625" customWidth="1"/>
    <col min="73" max="73" width="12.5" customWidth="1"/>
    <col min="74" max="74" width="17.33203125" customWidth="1"/>
    <col min="75" max="75" width="12.1640625" customWidth="1"/>
    <col min="76" max="76" width="11.5" customWidth="1"/>
    <col min="77" max="77" width="9" customWidth="1"/>
    <col min="78" max="78" width="8.1640625" customWidth="1"/>
    <col min="79" max="79" width="11.5" customWidth="1"/>
    <col min="81" max="81" width="22.1640625" bestFit="1" customWidth="1"/>
  </cols>
  <sheetData>
    <row r="1" spans="1:79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6" t="s">
        <v>192</v>
      </c>
      <c r="J1" s="206" t="s">
        <v>193</v>
      </c>
      <c r="K1" s="206" t="s">
        <v>194</v>
      </c>
      <c r="L1" s="206" t="s">
        <v>195</v>
      </c>
      <c r="M1" s="206" t="s">
        <v>196</v>
      </c>
      <c r="N1" s="206" t="s">
        <v>197</v>
      </c>
      <c r="O1" s="206" t="s">
        <v>198</v>
      </c>
      <c r="P1" s="206" t="s">
        <v>199</v>
      </c>
      <c r="Q1" s="206" t="s">
        <v>200</v>
      </c>
      <c r="R1" s="206" t="s">
        <v>201</v>
      </c>
      <c r="S1" s="206" t="s">
        <v>202</v>
      </c>
      <c r="T1" s="206" t="s">
        <v>203</v>
      </c>
      <c r="U1" s="206" t="s">
        <v>204</v>
      </c>
      <c r="V1" s="206" t="s">
        <v>205</v>
      </c>
      <c r="W1" s="206" t="s">
        <v>206</v>
      </c>
      <c r="X1" s="206" t="s">
        <v>207</v>
      </c>
      <c r="Y1" s="206" t="s">
        <v>208</v>
      </c>
      <c r="Z1" s="206" t="s">
        <v>209</v>
      </c>
      <c r="AA1" s="206" t="s">
        <v>210</v>
      </c>
      <c r="AB1" s="206" t="s">
        <v>211</v>
      </c>
      <c r="AC1" s="206" t="s">
        <v>212</v>
      </c>
      <c r="AD1" s="206" t="s">
        <v>213</v>
      </c>
      <c r="AE1" s="206" t="s">
        <v>214</v>
      </c>
      <c r="AF1" s="206" t="s">
        <v>215</v>
      </c>
      <c r="AG1" s="206" t="s">
        <v>216</v>
      </c>
      <c r="AH1" s="206" t="s">
        <v>217</v>
      </c>
      <c r="AI1" s="206" t="s">
        <v>218</v>
      </c>
      <c r="AJ1" s="206" t="s">
        <v>219</v>
      </c>
      <c r="AK1" s="206" t="s">
        <v>220</v>
      </c>
      <c r="AL1" s="206" t="s">
        <v>221</v>
      </c>
      <c r="AM1" s="206" t="s">
        <v>222</v>
      </c>
      <c r="AN1" s="206" t="s">
        <v>223</v>
      </c>
      <c r="AO1" s="206" t="s">
        <v>224</v>
      </c>
      <c r="AP1" s="206" t="s">
        <v>225</v>
      </c>
      <c r="AQ1" s="206" t="s">
        <v>226</v>
      </c>
      <c r="AR1" s="206" t="s">
        <v>227</v>
      </c>
      <c r="AS1" s="206" t="s">
        <v>228</v>
      </c>
      <c r="AT1" s="206" t="s">
        <v>229</v>
      </c>
      <c r="AU1" s="206" t="s">
        <v>230</v>
      </c>
      <c r="AV1" s="206" t="s">
        <v>231</v>
      </c>
      <c r="AW1" s="206" t="s">
        <v>232</v>
      </c>
      <c r="AX1" s="206" t="s">
        <v>233</v>
      </c>
      <c r="AY1" s="206" t="s">
        <v>234</v>
      </c>
      <c r="AZ1" s="206" t="s">
        <v>235</v>
      </c>
      <c r="BA1" s="206" t="s">
        <v>236</v>
      </c>
      <c r="BB1" s="206" t="s">
        <v>237</v>
      </c>
      <c r="BC1" s="206" t="s">
        <v>238</v>
      </c>
      <c r="BD1" s="206" t="s">
        <v>239</v>
      </c>
      <c r="BE1" s="206" t="s">
        <v>240</v>
      </c>
      <c r="BF1" s="206" t="s">
        <v>241</v>
      </c>
      <c r="BG1" s="206" t="s">
        <v>242</v>
      </c>
      <c r="BH1" s="206" t="s">
        <v>243</v>
      </c>
      <c r="BI1" s="206" t="s">
        <v>244</v>
      </c>
      <c r="BJ1" s="206" t="s">
        <v>245</v>
      </c>
      <c r="BK1" s="206" t="s">
        <v>246</v>
      </c>
      <c r="BL1" s="206" t="s">
        <v>247</v>
      </c>
      <c r="BM1" s="206" t="s">
        <v>248</v>
      </c>
      <c r="BN1" s="206" t="s">
        <v>249</v>
      </c>
      <c r="BO1" s="206" t="s">
        <v>250</v>
      </c>
      <c r="BP1" s="206" t="s">
        <v>251</v>
      </c>
      <c r="BQ1" s="206" t="s">
        <v>252</v>
      </c>
      <c r="BR1" s="206" t="s">
        <v>253</v>
      </c>
      <c r="BS1" s="206" t="s">
        <v>254</v>
      </c>
      <c r="BT1" s="206" t="s">
        <v>255</v>
      </c>
      <c r="BU1" s="206" t="s">
        <v>256</v>
      </c>
      <c r="BV1" s="206" t="s">
        <v>257</v>
      </c>
      <c r="BW1" s="206" t="s">
        <v>258</v>
      </c>
      <c r="BX1" s="206" t="s">
        <v>259</v>
      </c>
      <c r="BY1" s="206" t="s">
        <v>207</v>
      </c>
      <c r="BZ1" s="206" t="s">
        <v>260</v>
      </c>
      <c r="CA1" s="206" t="s">
        <v>261</v>
      </c>
    </row>
    <row r="2" spans="1:79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9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9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9" x14ac:dyDescent="0.15">
      <c r="A5" s="205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9" x14ac:dyDescent="0.15">
      <c r="A6" s="205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9" x14ac:dyDescent="0.15">
      <c r="A7" s="205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9" x14ac:dyDescent="0.15">
      <c r="A8" s="205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9" x14ac:dyDescent="0.15">
      <c r="A9" s="205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9" x14ac:dyDescent="0.15">
      <c r="A10" s="205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9" x14ac:dyDescent="0.15">
      <c r="A11" s="205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9" x14ac:dyDescent="0.15">
      <c r="A12" s="205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9" x14ac:dyDescent="0.15">
      <c r="A13" s="205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9" x14ac:dyDescent="0.15">
      <c r="A14" s="205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9" x14ac:dyDescent="0.15">
      <c r="A15" s="205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9" x14ac:dyDescent="0.15">
      <c r="A16" s="205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223</v>
      </c>
      <c r="B36" s="113">
        <v>0</v>
      </c>
      <c r="C36"/>
      <c r="D36"/>
    </row>
    <row r="37" spans="1:38" ht="15" customHeight="1" x14ac:dyDescent="0.15">
      <c r="A37" s="205" t="s">
        <v>224</v>
      </c>
      <c r="B37" s="113">
        <v>0</v>
      </c>
      <c r="C37"/>
      <c r="D37"/>
    </row>
    <row r="38" spans="1:38" ht="15" customHeight="1" x14ac:dyDescent="0.15">
      <c r="A38" s="205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226</v>
      </c>
      <c r="B39" s="113">
        <v>0</v>
      </c>
      <c r="C39"/>
      <c r="D39"/>
    </row>
    <row r="40" spans="1:38" ht="15" customHeight="1" x14ac:dyDescent="0.15">
      <c r="A40" s="205" t="s">
        <v>227</v>
      </c>
      <c r="B40" s="113">
        <v>0</v>
      </c>
      <c r="C40"/>
      <c r="D40"/>
    </row>
    <row r="41" spans="1:38" ht="15" customHeight="1" x14ac:dyDescent="0.15">
      <c r="A41" s="205" t="s">
        <v>228</v>
      </c>
      <c r="B41" s="113">
        <v>0</v>
      </c>
      <c r="C41"/>
      <c r="D41"/>
    </row>
    <row r="42" spans="1:38" ht="15" customHeight="1" x14ac:dyDescent="0.15">
      <c r="A42" s="205" t="s">
        <v>229</v>
      </c>
      <c r="B42" s="113">
        <v>0</v>
      </c>
    </row>
    <row r="43" spans="1:38" ht="15" customHeight="1" x14ac:dyDescent="0.15">
      <c r="A43" s="205" t="s">
        <v>230</v>
      </c>
      <c r="B43" s="113">
        <v>0</v>
      </c>
    </row>
    <row r="44" spans="1:38" ht="15" customHeight="1" x14ac:dyDescent="0.15">
      <c r="A44" s="205" t="s">
        <v>231</v>
      </c>
      <c r="B44" s="113">
        <v>0</v>
      </c>
    </row>
    <row r="45" spans="1:38" ht="15" customHeight="1" x14ac:dyDescent="0.15">
      <c r="A45" s="205" t="s">
        <v>232</v>
      </c>
      <c r="B45" s="113">
        <v>0</v>
      </c>
    </row>
    <row r="46" spans="1:38" ht="15" customHeight="1" x14ac:dyDescent="0.15">
      <c r="A46" s="205" t="s">
        <v>233</v>
      </c>
      <c r="B46" s="113">
        <v>0</v>
      </c>
    </row>
    <row r="47" spans="1:38" ht="15" customHeight="1" x14ac:dyDescent="0.15">
      <c r="A47" s="205" t="s">
        <v>234</v>
      </c>
      <c r="B47" s="113">
        <v>0</v>
      </c>
    </row>
    <row r="48" spans="1:38" ht="15" customHeight="1" x14ac:dyDescent="0.15">
      <c r="A48" s="205" t="s">
        <v>235</v>
      </c>
      <c r="B48" s="113">
        <v>0</v>
      </c>
    </row>
    <row r="49" spans="1:38" ht="15" customHeight="1" x14ac:dyDescent="0.15">
      <c r="A49" s="205" t="s">
        <v>236</v>
      </c>
      <c r="B49" s="113">
        <v>0</v>
      </c>
    </row>
    <row r="50" spans="1:38" ht="15" customHeight="1" x14ac:dyDescent="0.15">
      <c r="A50" s="205" t="s">
        <v>237</v>
      </c>
      <c r="B50" s="113">
        <v>0</v>
      </c>
    </row>
    <row r="51" spans="1:38" ht="15" customHeight="1" x14ac:dyDescent="0.15">
      <c r="A51" s="205" t="s">
        <v>238</v>
      </c>
      <c r="B51" s="113">
        <v>0</v>
      </c>
    </row>
    <row r="52" spans="1:38" ht="15" customHeight="1" x14ac:dyDescent="0.15">
      <c r="A52" s="205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5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5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5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5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5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5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5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5" t="s">
        <v>247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5" t="s">
        <v>248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5" t="s">
        <v>249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5" t="s">
        <v>250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5" t="s">
        <v>251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5" t="s">
        <v>252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5" t="s">
        <v>253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5" t="s">
        <v>254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5" t="s">
        <v>255</v>
      </c>
      <c r="B68" s="113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5" t="s">
        <v>256</v>
      </c>
      <c r="B69" s="113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5" t="s">
        <v>257</v>
      </c>
      <c r="B70" s="113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5" t="s">
        <v>258</v>
      </c>
      <c r="B71" s="113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5" t="s">
        <v>259</v>
      </c>
      <c r="B72" s="113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5" t="s">
        <v>207</v>
      </c>
      <c r="B73" s="113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5" t="s">
        <v>260</v>
      </c>
      <c r="B74" s="113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5" t="s">
        <v>261</v>
      </c>
      <c r="B75" s="113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2022-10-23T22:52:39Z</dcterms:modified>
</cp:coreProperties>
</file>