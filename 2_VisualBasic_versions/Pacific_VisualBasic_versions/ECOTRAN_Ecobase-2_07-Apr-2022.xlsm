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4A3F50BA-4855-5044-8150-3F5258CDE352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<sst xmlns="http://schemas.openxmlformats.org/spreadsheetml/2006/main" count="725" uniqueCount="218">
  <si>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</si>
  <si>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</si>
  <si>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</si>
  <si>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</si>
  <si>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</si>
  <si>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</si>
  <si>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</si>
  <si>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</si>
  <si>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</si>
  <si>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</si>
  <si>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</si>
  <si>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</si>
  <si>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</si>
  <si>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</si>
  <si>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</si>
  <si>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</si>
  <si>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</si>
  <si>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</si>
  <si>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</si>
  <si>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</si>
  <si>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</si>
  <si>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</si>
  <si>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</si>
  <si>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</si>
  <si>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</si>
  <si>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</si>
  <si>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</si>
  <si>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</si>
  <si>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</si>
  <si>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</si>
  <si>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</si>
  <si>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</si>
  <si>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</si>
  <si>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</si>
  <si>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</si>
  <si>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</si>
  <si>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</si>
  <si>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</si>
  <si>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</si>
  <si>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</si>
  <si>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</si>
  <si>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</si>
  <si>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</si>
  <si>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</si>
  <si>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</si>
  <si>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</si>
  <si>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</si>
  <si>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</si>
  <si>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</si>
  <si>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</si>
  <si>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</si>
  <si>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</si>
  <si>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</si>
  <si>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</si>
  <si>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</si>
  <si>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</si>
  <si>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</si>
  <si>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</si>
  <si>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</si>
  <si>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</si>
  <si>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</si>
  <si>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</si>
  <si>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</si>
  <si>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</si>
  <si>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</si>
  <si>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</si>
  <si>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</si>
  <si>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</si>
  <si>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</si>
  <si>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</si>
  <si>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</si>
  <si>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</si>
  <si>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</si>
  <si>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</si>
  <si>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</si>
  <si>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</si>
  <si>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</si>
  <si>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</si>
  <si>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</si>
  <si>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</si>
  <si>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</si>
  <si>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</si>
  <si>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</si>
  <si>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</si>
  <si>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</si>
  <si>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</si>
  <si>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</si>
  <si>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</si>
  <si>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</si>
  <si>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</si>
  <si>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</si>
  <si>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</si>
  <si>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</si>
  <si>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</si>
  <si>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</si>
  <si>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</si>
  <si>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</si>
  <si>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</si>
  <si>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</si>
  <si>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</si>
  <si>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</si>
  <si>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</si>
  <si>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</si>
  <si>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</si>
  <si>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</si>
  <si>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</si>
  <si>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</si>
  <si>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</si>
  <si>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</si>
  <si>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</si>
  <si>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</si>
  <si>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</si>
  <si>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</si>
  <si>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</si>
  <si>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</si>
  <si>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</si>
  <si>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</si>
  <si>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</si>
  <si>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</si>
  <si>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</si>
  <si>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</si>
  <si>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</si>
  <si>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</si>
  <si>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</si>
  <si>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</si>
  <si>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</si>
  <si>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</si>
  <si>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</si>
  <si>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</si>
  <si>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</si>
  <si>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</si>
  <si>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</si>
  <si>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</si>
  <si>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</si>
  <si>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</si>
  <si>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</si>
  <si>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</si>
  <si>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</si>
  <si>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</si>
  <si>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</si>
  <si>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</si>
  <si>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</si>
  <si>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</si>
  <si>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</si>
  <si>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</si>
  <si>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</si>
  <si>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</si>
  <si>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</si>
  <si>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</si>
  <si>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</si>
  <si>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</si>
  <si>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</si>
  <si>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</si>
  <si>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</si>
  <si>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</si>
  <si>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</si>
  <si>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</si>
  <si>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</si>
  <si>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</si>
  <si>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</si>
  <si>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</si>
  <si>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</si>
  <si>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</si>
  <si>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</si>
  <si>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</si>
  <si>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</si>
  <si>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</si>
  <si>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</si>
  <si>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</si>
  <si>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</si>
  <si>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</si>
  <si>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</si>
  <si>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</si>
  <si>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</si>
  <si>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</si>
  <si>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</si>
  <si>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</si>
  <si>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</si>
  <si>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</si>
  <si>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</si>
  <si>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</si>
  <si>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</si>
  <si>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</si>
  <si>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</si>
  <si>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</si>
  <si>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Alaska, Prince William Sound</t>
  </si>
  <si>
    <t>United States of America</t>
  </si>
  <si>
    <t>BOX(-148.917602345144 59.8326977714434,-145.354763425498 61.3886291588734)</t>
  </si>
  <si>
    <t>bay/fjord</t>
  </si>
  <si>
    <t>WetWeight</t>
  </si>
  <si>
    <t>Created: 02-10-18 18:17:45; 02-10-18 18:18:08; 02-10-18 18:24:42; 02-10-18 19:16:55; 02-10-20 13:24:13; 06/06/2009 22:57:30</t>
  </si>
  <si>
    <t>Dalsgaard J.,Pauly D.,Okey T.A.(1997). Preliminary mass-balance model of Prince William Sound, Alaska, for the pre-spill period, 1980-1989 Fisheries Centre Research Reports</t>
  </si>
  <si>
    <t>Phytoplankton</t>
  </si>
  <si>
    <t>Macroalgae</t>
  </si>
  <si>
    <t>Mesozooplankton</t>
  </si>
  <si>
    <t>Inf. zoobenthos</t>
  </si>
  <si>
    <t>Intertidal inv.</t>
  </si>
  <si>
    <t>Macrozooplankton</t>
  </si>
  <si>
    <t>Epi. zoobenthos</t>
  </si>
  <si>
    <t>Wild salmon fry</t>
  </si>
  <si>
    <t>Hatch. salmon fry</t>
  </si>
  <si>
    <t>Herring</t>
  </si>
  <si>
    <t>Small pelagics</t>
  </si>
  <si>
    <t>Sea otters</t>
  </si>
  <si>
    <t>Demersal fish</t>
  </si>
  <si>
    <t>Birds</t>
  </si>
  <si>
    <t>Salmon</t>
  </si>
  <si>
    <t>Trans. mammals</t>
  </si>
  <si>
    <t>Res. mammals</t>
  </si>
  <si>
    <t>Pinnipeds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</si>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</sst>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7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44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7" borderId="2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7" borderId="9" xfId="0" applyFill="1" applyBorder="1"/>
    <xf numFmtId="0" fontId="0" fillId="17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4" borderId="3" xfId="0" applyNumberFormat="1" applyFont="1" applyFill="1" applyBorder="1"/>
    <xf numFmtId="0" fontId="0" fillId="24" borderId="2" xfId="0" applyFont="1" applyFill="1" applyBorder="1"/>
    <xf numFmtId="0" fontId="0" fillId="24" borderId="3" xfId="0" applyFont="1" applyFill="1" applyBorder="1"/>
    <xf numFmtId="0" fontId="0" fillId="2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5" borderId="0" xfId="0" applyFill="1"/>
    <xf numFmtId="0" fontId="0" fillId="2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7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4" t="s">
        <v>164</v>
      </c>
    </row>
    <row r="6" spans="2:4" ht="14" thickBot="1" x14ac:dyDescent="0.2">
      <c r="B6" s="38" t="s">
        <v>141</v>
      </c>
    </row>
    <row r="7" spans="2:4" x14ac:dyDescent="0.15">
      <c r="B7" s="54" t="s">
        <v>143</v>
      </c>
    </row>
    <row r="8" spans="2:4" x14ac:dyDescent="0.15">
      <c r="B8" s="54" t="s">
        <v>142</v>
      </c>
    </row>
    <row r="9" spans="2:4" x14ac:dyDescent="0.15">
      <c r="B9" s="54" t="s">
        <v>144</v>
      </c>
    </row>
    <row r="10" spans="2:4" x14ac:dyDescent="0.15">
      <c r="B10" s="54" t="s">
        <v>147</v>
      </c>
    </row>
    <row r="11" spans="2:4" x14ac:dyDescent="0.15">
      <c r="B11" s="54" t="s">
        <v>151</v>
      </c>
    </row>
    <row r="12" spans="2:4" x14ac:dyDescent="0.15">
      <c r="B12" s="54" t="s">
        <v>153</v>
      </c>
    </row>
    <row r="13" spans="2:4" x14ac:dyDescent="0.15">
      <c r="B13" s="54" t="s">
        <v>165</v>
      </c>
    </row>
    <row r="15" spans="2:4" ht="14" thickBot="1" x14ac:dyDescent="0.2"/>
    <row r="16" spans="2:4" ht="14" thickBot="1" x14ac:dyDescent="0.2">
      <c r="B16" s="39" t="s">
        <v>137</v>
      </c>
      <c r="C16" s="40"/>
      <c r="D16" s="22">
        <v>41373</v>
      </c>
    </row>
    <row r="17" spans="2:4" x14ac:dyDescent="0.15">
      <c r="B17" s="41" t="s">
        <v>58</v>
      </c>
      <c r="C17" s="25">
        <v>0</v>
      </c>
    </row>
    <row r="18" spans="2:4" x14ac:dyDescent="0.15">
      <c r="B18" s="41" t="s">
        <v>59</v>
      </c>
      <c r="C18" s="25">
        <v>1</v>
      </c>
    </row>
    <row r="19" spans="2:4" x14ac:dyDescent="0.15">
      <c r="B19" s="41" t="s">
        <v>60</v>
      </c>
      <c r="C19" s="25">
        <v>2</v>
      </c>
    </row>
    <row r="20" spans="2:4" ht="14" thickBot="1" x14ac:dyDescent="0.2">
      <c r="B20" s="42" t="s">
        <v>44</v>
      </c>
      <c r="C20" s="26">
        <v>3</v>
      </c>
    </row>
    <row r="21" spans="2:4" x14ac:dyDescent="0.15">
      <c r="B21" s="43" t="s">
        <v>140</v>
      </c>
    </row>
    <row r="22" spans="2:4" ht="14" thickBot="1" x14ac:dyDescent="0.2"/>
    <row r="23" spans="2:4" ht="14" thickBot="1" x14ac:dyDescent="0.2">
      <c r="B23" s="39" t="s">
        <v>65</v>
      </c>
      <c r="C23" s="40"/>
      <c r="D23" s="22" t="s">
        <v>148</v>
      </c>
    </row>
    <row r="24" spans="2:4" x14ac:dyDescent="0.15">
      <c r="B24" s="45" t="s">
        <v>38</v>
      </c>
      <c r="C24" s="23">
        <v>1</v>
      </c>
    </row>
    <row r="25" spans="2:4" x14ac:dyDescent="0.15">
      <c r="B25" s="41" t="s">
        <v>40</v>
      </c>
      <c r="C25" s="25">
        <v>1.1000000000000001</v>
      </c>
    </row>
    <row r="26" spans="2:4" x14ac:dyDescent="0.15">
      <c r="B26" s="41" t="s">
        <v>41</v>
      </c>
      <c r="C26" s="25">
        <v>1.2</v>
      </c>
    </row>
    <row r="27" spans="2:4" x14ac:dyDescent="0.15">
      <c r="B27" s="41"/>
      <c r="C27" s="25"/>
    </row>
    <row r="28" spans="2:4" x14ac:dyDescent="0.15">
      <c r="B28" s="41" t="s">
        <v>42</v>
      </c>
      <c r="C28" s="25">
        <v>2.1</v>
      </c>
    </row>
    <row r="29" spans="2:4" x14ac:dyDescent="0.15">
      <c r="B29" s="41" t="s">
        <v>43</v>
      </c>
      <c r="C29" s="25">
        <v>2.2000000000000002</v>
      </c>
    </row>
    <row r="30" spans="2:4" x14ac:dyDescent="0.15">
      <c r="B30" s="41" t="s">
        <v>67</v>
      </c>
      <c r="C30" s="25">
        <v>2.2999999999999998</v>
      </c>
    </row>
    <row r="31" spans="2:4" x14ac:dyDescent="0.15">
      <c r="B31" s="41"/>
      <c r="C31" s="25"/>
    </row>
    <row r="32" spans="2:4" x14ac:dyDescent="0.15">
      <c r="B32" s="41" t="s">
        <v>62</v>
      </c>
      <c r="C32" s="25">
        <v>3.11</v>
      </c>
    </row>
    <row r="33" spans="2:3" x14ac:dyDescent="0.15">
      <c r="B33" s="41" t="s">
        <v>61</v>
      </c>
      <c r="C33" s="25">
        <v>3.12</v>
      </c>
    </row>
    <row r="34" spans="2:3" x14ac:dyDescent="0.15">
      <c r="B34" s="41" t="s">
        <v>68</v>
      </c>
      <c r="C34" s="25">
        <v>3.13</v>
      </c>
    </row>
    <row r="35" spans="2:3" x14ac:dyDescent="0.15">
      <c r="B35" s="41"/>
      <c r="C35" s="25"/>
    </row>
    <row r="36" spans="2:3" x14ac:dyDescent="0.15">
      <c r="B36" s="41" t="s">
        <v>66</v>
      </c>
      <c r="C36" s="25">
        <v>3.21</v>
      </c>
    </row>
    <row r="37" spans="2:3" x14ac:dyDescent="0.15">
      <c r="B37" s="41" t="s">
        <v>63</v>
      </c>
      <c r="C37" s="25">
        <v>3.22</v>
      </c>
    </row>
    <row r="38" spans="2:3" x14ac:dyDescent="0.15">
      <c r="B38" s="41" t="s">
        <v>69</v>
      </c>
      <c r="C38" s="25">
        <v>3.23</v>
      </c>
    </row>
    <row r="39" spans="2:3" x14ac:dyDescent="0.15">
      <c r="B39" s="41"/>
      <c r="C39" s="25"/>
    </row>
    <row r="40" spans="2:3" x14ac:dyDescent="0.15">
      <c r="B40" s="41" t="s">
        <v>64</v>
      </c>
      <c r="C40" s="25">
        <v>8</v>
      </c>
    </row>
    <row r="41" spans="2:3" x14ac:dyDescent="0.15">
      <c r="B41" s="41"/>
      <c r="C41" s="25"/>
    </row>
    <row r="42" spans="2:3" x14ac:dyDescent="0.15">
      <c r="B42" s="41" t="s">
        <v>71</v>
      </c>
      <c r="C42" s="25">
        <v>4.0999999999999996</v>
      </c>
    </row>
    <row r="43" spans="2:3" x14ac:dyDescent="0.15">
      <c r="B43" s="41" t="s">
        <v>70</v>
      </c>
      <c r="C43" s="25">
        <v>4.2</v>
      </c>
    </row>
    <row r="44" spans="2:3" x14ac:dyDescent="0.15">
      <c r="B44" s="41" t="s">
        <v>72</v>
      </c>
      <c r="C44" s="25">
        <v>4.3</v>
      </c>
    </row>
    <row r="45" spans="2:3" x14ac:dyDescent="0.15">
      <c r="B45" s="24"/>
      <c r="C45" s="25"/>
    </row>
    <row r="46" spans="2:3" x14ac:dyDescent="0.15">
      <c r="B46" s="41" t="s">
        <v>138</v>
      </c>
      <c r="C46" s="25">
        <v>6.1</v>
      </c>
    </row>
    <row r="47" spans="2:3" x14ac:dyDescent="0.15">
      <c r="B47" s="41" t="s">
        <v>45</v>
      </c>
      <c r="C47" s="25">
        <v>6.2</v>
      </c>
    </row>
    <row r="48" spans="2:3" x14ac:dyDescent="0.15">
      <c r="B48" s="41"/>
      <c r="C48" s="25"/>
    </row>
    <row r="49" spans="2:4" x14ac:dyDescent="0.15">
      <c r="B49" s="41" t="s">
        <v>44</v>
      </c>
      <c r="C49" s="25">
        <v>5</v>
      </c>
    </row>
    <row r="50" spans="2:4" x14ac:dyDescent="0.15">
      <c r="B50" s="41"/>
      <c r="C50" s="25"/>
    </row>
    <row r="51" spans="2:4" ht="14" thickBot="1" x14ac:dyDescent="0.2">
      <c r="B51" s="42" t="s">
        <v>73</v>
      </c>
      <c r="C51" s="26">
        <v>7</v>
      </c>
    </row>
    <row r="53" spans="2:4" x14ac:dyDescent="0.15">
      <c r="B53" s="144" t="s">
        <v>171</v>
      </c>
      <c r="C53" s="91">
        <v>2</v>
      </c>
      <c r="D53" s="91"/>
    </row>
    <row r="54" spans="2:4" x14ac:dyDescent="0.15">
      <c r="B54" s="144" t="s">
        <v>172</v>
      </c>
      <c r="C54" s="144" t="s">
        <v>185</v>
      </c>
      <c r="D54" s="91"/>
    </row>
    <row r="55" spans="2:4" x14ac:dyDescent="0.15">
      <c r="B55" s="144" t="s">
        <v>173</v>
      </c>
      <c r="C55" s="144" t="s">
        <v>186</v>
      </c>
      <c r="D55" s="91"/>
    </row>
    <row r="56" spans="2:4" x14ac:dyDescent="0.15">
      <c r="B56" s="144" t="s">
        <v>174</v>
      </c>
      <c r="C56" s="91">
        <v>8800</v>
      </c>
      <c r="D56" s="91"/>
    </row>
    <row r="57" spans="2:4" x14ac:dyDescent="0.15">
      <c r="B57" s="144" t="s">
        <v>175</v>
      </c>
      <c r="C57" s="144" t="s">
        <v>187</v>
      </c>
      <c r="D57" s="91"/>
    </row>
    <row r="58" spans="2:4" x14ac:dyDescent="0.15">
      <c r="B58" s="144" t="s">
        <v>176</v>
      </c>
      <c r="C58" s="144" t="s">
        <v>188</v>
      </c>
      <c r="D58" s="91"/>
    </row>
    <row r="59" spans="2:4" x14ac:dyDescent="0.15">
      <c r="B59" s="144" t="s">
        <v>177</v>
      </c>
      <c r="C59" s="144" t="s">
        <v>189</v>
      </c>
      <c r="D59" s="91"/>
    </row>
    <row r="60" spans="2:4" x14ac:dyDescent="0.15">
      <c r="B60" s="144" t="s">
        <v>178</v>
      </c>
      <c r="C60" s="144" t="s">
        <v>190</v>
      </c>
      <c r="D60" s="91"/>
    </row>
    <row r="61" spans="2:4" x14ac:dyDescent="0.15">
      <c r="B61" s="144" t="s">
        <v>179</v>
      </c>
      <c r="C61" s="91">
        <v>19</v>
      </c>
      <c r="D61" s="91"/>
    </row>
    <row r="62" spans="2:4" x14ac:dyDescent="0.15">
      <c r="B62" s="144" t="s">
        <v>180</v>
      </c>
      <c r="C62" s="91">
        <v>1</v>
      </c>
      <c r="D62" s="91"/>
    </row>
    <row r="63" spans="2:4" x14ac:dyDescent="0.15">
      <c r="B63" s="144" t="s">
        <v>181</v>
      </c>
      <c r="C63" s="91">
        <v>1980</v>
      </c>
      <c r="D63" s="91"/>
    </row>
    <row r="64" spans="2:4" x14ac:dyDescent="0.15">
      <c r="B64" s="144" t="s">
        <v>182</v>
      </c>
      <c r="C64" s="91">
        <v>9</v>
      </c>
      <c r="D64" s="91"/>
    </row>
    <row r="65" spans="2:4" x14ac:dyDescent="0.15">
      <c r="B65" s="144" t="s">
        <v>183</v>
      </c>
      <c r="C65" s="144" t="s">
        <v>191</v>
      </c>
      <c r="D65" s="91"/>
    </row>
    <row r="66" spans="2:4" x14ac:dyDescent="0.15">
      <c r="B66" s="144" t="s">
        <v>184</v>
      </c>
      <c r="D66" s="91"/>
    </row>
    <row r="67" spans="2:4" x14ac:dyDescent="0.15">
      <c r="B67" s="91"/>
      <c r="C67" s="91"/>
      <c r="D67" s="91"/>
    </row>
    <row r="68" spans="2:4" x14ac:dyDescent="0.15">
      <c r="B68" s="91"/>
      <c r="C68" s="91"/>
      <c r="D68" s="9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C1"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65" customWidth="1"/>
    <col min="2" max="3" width="3.33203125" style="65" customWidth="1"/>
    <col min="4" max="4" width="14.33203125" style="65" customWidth="1"/>
    <col min="5" max="5" width="21.6640625" style="65" bestFit="1" customWidth="1"/>
    <col min="6" max="6" width="2.33203125" style="65" bestFit="1" customWidth="1"/>
    <col min="7" max="7" width="10.83203125" style="65" bestFit="1" customWidth="1"/>
    <col min="8" max="9" width="5.83203125" style="65" customWidth="1"/>
    <col min="10" max="11" width="13.83203125" style="65" customWidth="1"/>
    <col min="12" max="12" width="2.33203125" style="65" customWidth="1"/>
    <col min="13" max="13" width="3.83203125" style="65" customWidth="1"/>
    <col min="14" max="14" width="2.33203125" style="65" customWidth="1"/>
    <col min="16" max="25" width="8.83203125" style="6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5"/>
  </cols>
  <sheetData>
    <row r="1" spans="1:46" s="82" customFormat="1" ht="15" customHeight="1" x14ac:dyDescent="0.15">
      <c r="A1" s="61" t="s">
        <v>18</v>
      </c>
      <c r="C1" s="62" t="s">
        <v>8</v>
      </c>
      <c r="D1" s="61" t="s">
        <v>23</v>
      </c>
      <c r="E1" s="61" t="s">
        <v>0</v>
      </c>
      <c r="F1" s="61" t="s">
        <v>7</v>
      </c>
      <c r="G1" s="63" t="s">
        <v>13</v>
      </c>
      <c r="H1" s="61" t="s">
        <v>1</v>
      </c>
      <c r="I1" s="61" t="s">
        <v>2</v>
      </c>
      <c r="J1" s="61" t="s">
        <v>14</v>
      </c>
      <c r="K1" s="61" t="s">
        <v>3</v>
      </c>
      <c r="L1" s="61" t="s">
        <v>4</v>
      </c>
      <c r="M1" s="61" t="s">
        <v>5</v>
      </c>
      <c r="N1" s="6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2">
        <v>1</v>
      </c>
      <c r="D2"/>
      <c r="E2" s="145" t="s">
        <v>192</v>
      </c>
      <c r="F2" s="65">
        <v>1</v>
      </c>
      <c r="G2" s="65">
        <v>41.511369999999999</v>
      </c>
      <c r="H2" s="65">
        <v>190</v>
      </c>
      <c r="I2" s="6">
        <v>0</v>
      </c>
      <c r="J2" s="6">
        <v>0.9</v>
      </c>
      <c r="K2" s="6">
        <v>0</v>
      </c>
      <c r="L2" s="6">
        <v>0</v>
      </c>
      <c r="M2" s="65">
        <v>0</v>
      </c>
      <c r="N2" s="65">
        <v>0</v>
      </c>
    </row>
    <row r="3" spans="1:46" ht="15" customHeight="1" x14ac:dyDescent="0.15">
      <c r="A3" s="1" t="s">
        <v>9</v>
      </c>
      <c r="B3" s="4">
        <v>18</v>
      </c>
      <c r="C3" s="65">
        <v>2</v>
      </c>
      <c r="D3"/>
      <c r="E3" s="145" t="s">
        <v>193</v>
      </c>
      <c r="F3" s="65">
        <v>1</v>
      </c>
      <c r="G3" s="65">
        <v>400</v>
      </c>
      <c r="H3" s="65">
        <v>4.4000000000000004</v>
      </c>
      <c r="I3" s="65">
        <v>0</v>
      </c>
      <c r="J3" s="65">
        <v>1.47234427E-3</v>
      </c>
      <c r="K3" s="65">
        <v>0</v>
      </c>
      <c r="L3" s="65">
        <v>0</v>
      </c>
      <c r="M3" s="65">
        <v>0</v>
      </c>
      <c r="N3" s="65">
        <v>0</v>
      </c>
    </row>
    <row r="4" spans="1:46" ht="15" customHeight="1" x14ac:dyDescent="0.15">
      <c r="A4" s="1" t="s">
        <v>10</v>
      </c>
      <c r="B4" s="4">
        <v>2</v>
      </c>
      <c r="C4" s="65">
        <v>3</v>
      </c>
      <c r="D4"/>
      <c r="E4" s="145" t="s">
        <v>194</v>
      </c>
      <c r="F4" s="65">
        <v>0</v>
      </c>
      <c r="G4" s="65">
        <v>276</v>
      </c>
      <c r="H4" s="65">
        <v>9.3000000000000007</v>
      </c>
      <c r="I4" s="65">
        <v>30.99</v>
      </c>
      <c r="J4" s="65">
        <v>0.94993079999999996</v>
      </c>
      <c r="K4" s="65">
        <v>0.3000968</v>
      </c>
      <c r="L4" s="65">
        <v>0</v>
      </c>
      <c r="M4" s="65">
        <v>0.2</v>
      </c>
      <c r="N4" s="6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5">
        <v>4</v>
      </c>
      <c r="D5"/>
      <c r="E5" s="145" t="s">
        <v>195</v>
      </c>
      <c r="F5" s="65">
        <v>0</v>
      </c>
      <c r="G5" s="65">
        <v>225</v>
      </c>
      <c r="H5" s="65">
        <v>0.6</v>
      </c>
      <c r="I5" s="65">
        <v>23</v>
      </c>
      <c r="J5" s="65">
        <v>0.60215419999999997</v>
      </c>
      <c r="K5" s="65">
        <v>2.6086958100000002E-2</v>
      </c>
      <c r="L5" s="65">
        <v>0</v>
      </c>
      <c r="M5" s="65">
        <v>0.2</v>
      </c>
      <c r="N5" s="65">
        <v>0</v>
      </c>
      <c r="P5" s="58"/>
      <c r="Q5" s="58"/>
      <c r="R5" s="58"/>
    </row>
    <row r="6" spans="1:46" ht="15" customHeight="1" thickBot="1" x14ac:dyDescent="0.2">
      <c r="B6" s="1"/>
      <c r="C6" s="65">
        <v>5</v>
      </c>
      <c r="D6"/>
      <c r="E6" s="145" t="s">
        <v>196</v>
      </c>
      <c r="F6" s="65">
        <v>0</v>
      </c>
      <c r="G6" s="65">
        <v>6.24</v>
      </c>
      <c r="H6" s="65">
        <v>2</v>
      </c>
      <c r="I6" s="65">
        <v>10</v>
      </c>
      <c r="J6" s="65">
        <v>0.66624265900000001</v>
      </c>
      <c r="K6" s="65">
        <v>0.2</v>
      </c>
      <c r="L6" s="65">
        <v>0</v>
      </c>
      <c r="M6" s="65">
        <v>0.2</v>
      </c>
      <c r="N6" s="65">
        <v>0</v>
      </c>
      <c r="P6" s="58"/>
      <c r="Q6" s="58"/>
      <c r="R6" s="58"/>
      <c r="W6" s="28" t="s">
        <v>31</v>
      </c>
      <c r="X6" s="44">
        <f>MAX(MainOutputs!G:G)</f>
        <v>0.96009182929992676</v>
      </c>
    </row>
    <row r="7" spans="1:46" ht="15" customHeight="1" x14ac:dyDescent="0.15">
      <c r="A7" s="2" t="s">
        <v>27</v>
      </c>
      <c r="B7" s="65">
        <f ca="1">COUNTIF(OFFSET(cornerDiets,1,1,NumLiving+NumDead+1,NumLiving+NumDead),"&gt;0")+NumLiving+NumDead+1</f>
        <v>83</v>
      </c>
      <c r="C7" s="65">
        <v>6</v>
      </c>
      <c r="D7"/>
      <c r="E7" s="145" t="s">
        <v>197</v>
      </c>
      <c r="F7" s="65">
        <v>0</v>
      </c>
      <c r="G7" s="65">
        <v>92</v>
      </c>
      <c r="H7" s="65">
        <v>1.35</v>
      </c>
      <c r="I7" s="65">
        <v>10.5</v>
      </c>
      <c r="J7" s="65">
        <v>0.95459579999999999</v>
      </c>
      <c r="K7" s="65">
        <v>0.12857143600000001</v>
      </c>
      <c r="L7" s="65">
        <v>0</v>
      </c>
      <c r="M7" s="65">
        <v>0.2</v>
      </c>
      <c r="N7" s="65">
        <v>0</v>
      </c>
      <c r="P7" s="58"/>
      <c r="Q7" s="58"/>
      <c r="R7" s="58"/>
    </row>
    <row r="8" spans="1:46" ht="15" customHeight="1" x14ac:dyDescent="0.15">
      <c r="A8" s="2" t="s">
        <v>28</v>
      </c>
      <c r="B8" s="65">
        <f ca="1">COUNTIF(OFFSET(cornerFishing,1,2,NumLiving+NumDead,NumGears),"&gt;0")+NumDead*COUNTIF(OFFSET(cornerDiscards,1,2,NumLiving+NumDead,NumGears),"&gt;0")+NumLiving+NumDead+1</f>
        <v>26</v>
      </c>
      <c r="C8" s="65">
        <v>7</v>
      </c>
      <c r="D8"/>
      <c r="E8" s="145" t="s">
        <v>198</v>
      </c>
      <c r="F8" s="65">
        <v>0</v>
      </c>
      <c r="G8" s="65">
        <v>1.3</v>
      </c>
      <c r="H8" s="65">
        <v>2</v>
      </c>
      <c r="I8" s="65">
        <v>10</v>
      </c>
      <c r="J8" s="65">
        <v>0.91487689999999999</v>
      </c>
      <c r="K8" s="65">
        <v>0.2</v>
      </c>
      <c r="L8" s="65">
        <v>0</v>
      </c>
      <c r="M8" s="65">
        <v>0.2</v>
      </c>
      <c r="N8" s="65">
        <v>0</v>
      </c>
      <c r="P8" s="58"/>
      <c r="Q8" s="58"/>
      <c r="R8" s="58"/>
    </row>
    <row r="9" spans="1:46" ht="15" customHeight="1" x14ac:dyDescent="0.15">
      <c r="B9" s="1"/>
      <c r="C9" s="65">
        <v>8</v>
      </c>
      <c r="D9"/>
      <c r="E9" s="145" t="s">
        <v>199</v>
      </c>
      <c r="F9" s="65">
        <v>0</v>
      </c>
      <c r="G9" s="65">
        <v>1.4E-2</v>
      </c>
      <c r="H9" s="65">
        <v>18.25</v>
      </c>
      <c r="I9" s="65">
        <v>40</v>
      </c>
      <c r="J9" s="65">
        <v>0.77996075200000003</v>
      </c>
      <c r="K9" s="65">
        <v>0.45624999999999999</v>
      </c>
      <c r="L9" s="65">
        <v>0</v>
      </c>
      <c r="M9" s="65">
        <v>0.2</v>
      </c>
      <c r="N9" s="65">
        <v>0</v>
      </c>
      <c r="P9" s="58"/>
      <c r="Q9" s="58"/>
      <c r="R9" s="58"/>
    </row>
    <row r="10" spans="1:46" ht="15" customHeight="1" x14ac:dyDescent="0.15">
      <c r="B10" s="1"/>
      <c r="C10" s="65">
        <v>9</v>
      </c>
      <c r="D10"/>
      <c r="E10" s="145" t="s">
        <v>200</v>
      </c>
      <c r="F10" s="65">
        <v>0</v>
      </c>
      <c r="G10" s="65">
        <v>8.9999999999999993E-3</v>
      </c>
      <c r="H10" s="65">
        <v>35.15</v>
      </c>
      <c r="I10" s="65">
        <v>60</v>
      </c>
      <c r="J10" s="65">
        <v>0.62993514500000003</v>
      </c>
      <c r="K10" s="65">
        <v>0.58583339999999995</v>
      </c>
      <c r="L10" s="65">
        <v>0</v>
      </c>
      <c r="M10" s="65">
        <v>0.2</v>
      </c>
      <c r="N10" s="65">
        <v>0</v>
      </c>
    </row>
    <row r="11" spans="1:46" ht="15" customHeight="1" x14ac:dyDescent="0.15">
      <c r="C11" s="65">
        <v>10</v>
      </c>
      <c r="D11"/>
      <c r="E11" s="145" t="s">
        <v>201</v>
      </c>
      <c r="F11" s="65">
        <v>0</v>
      </c>
      <c r="G11" s="65">
        <v>8.1069999999999993</v>
      </c>
      <c r="H11" s="65">
        <v>0.67</v>
      </c>
      <c r="I11" s="65">
        <v>18</v>
      </c>
      <c r="J11" s="65">
        <v>0.95423590000000003</v>
      </c>
      <c r="K11" s="65">
        <v>3.722222E-2</v>
      </c>
      <c r="L11" s="65">
        <v>0</v>
      </c>
      <c r="M11" s="65">
        <v>0.2</v>
      </c>
      <c r="N11" s="65">
        <v>0</v>
      </c>
    </row>
    <row r="12" spans="1:46" ht="15" customHeight="1" x14ac:dyDescent="0.15">
      <c r="C12" s="65">
        <v>11</v>
      </c>
      <c r="D12"/>
      <c r="E12" s="145" t="s">
        <v>202</v>
      </c>
      <c r="F12" s="65">
        <v>0</v>
      </c>
      <c r="G12" s="65">
        <v>8.9617889999999996</v>
      </c>
      <c r="H12" s="65">
        <v>2</v>
      </c>
      <c r="I12" s="65">
        <v>18</v>
      </c>
      <c r="J12" s="65">
        <v>0.95</v>
      </c>
      <c r="K12" s="65">
        <v>0.111111112</v>
      </c>
      <c r="L12" s="65">
        <v>0</v>
      </c>
      <c r="M12" s="65">
        <v>0.2</v>
      </c>
      <c r="N12" s="65">
        <v>0</v>
      </c>
    </row>
    <row r="13" spans="1:46" ht="15" customHeight="1" x14ac:dyDescent="0.15">
      <c r="C13" s="65">
        <v>12</v>
      </c>
      <c r="D13"/>
      <c r="E13" s="145" t="s">
        <v>203</v>
      </c>
      <c r="F13" s="65">
        <v>0</v>
      </c>
      <c r="G13" s="65">
        <v>1.7000000000000001E-2</v>
      </c>
      <c r="H13" s="65">
        <v>0.71</v>
      </c>
      <c r="I13" s="65">
        <v>92</v>
      </c>
      <c r="J13" s="65">
        <v>9.9958569999999997E-2</v>
      </c>
      <c r="K13" s="65">
        <v>7.7173909999999997E-3</v>
      </c>
      <c r="L13" s="65">
        <v>0</v>
      </c>
      <c r="M13" s="65">
        <v>0.2</v>
      </c>
      <c r="N13" s="65">
        <v>0</v>
      </c>
    </row>
    <row r="14" spans="1:46" ht="15" customHeight="1" x14ac:dyDescent="0.15">
      <c r="C14" s="65">
        <v>13</v>
      </c>
      <c r="D14"/>
      <c r="E14" s="145" t="s">
        <v>204</v>
      </c>
      <c r="F14" s="65">
        <v>0</v>
      </c>
      <c r="G14" s="65">
        <v>9.4</v>
      </c>
      <c r="H14" s="65">
        <v>1</v>
      </c>
      <c r="I14" s="65">
        <v>4.24</v>
      </c>
      <c r="J14" s="65">
        <v>0.96009180000000005</v>
      </c>
      <c r="K14" s="65">
        <v>0.235849068</v>
      </c>
      <c r="L14" s="65">
        <v>0</v>
      </c>
      <c r="M14" s="65">
        <v>0.2</v>
      </c>
      <c r="N14" s="65">
        <v>0</v>
      </c>
    </row>
    <row r="15" spans="1:46" ht="15" customHeight="1" x14ac:dyDescent="0.15">
      <c r="C15" s="65">
        <v>14</v>
      </c>
      <c r="D15"/>
      <c r="E15" s="145" t="s">
        <v>205</v>
      </c>
      <c r="F15" s="65">
        <v>0</v>
      </c>
      <c r="G15" s="65">
        <v>2.1000000000000001E-2</v>
      </c>
      <c r="H15" s="65">
        <v>0.1</v>
      </c>
      <c r="I15" s="65">
        <v>103</v>
      </c>
      <c r="J15" s="65">
        <v>0</v>
      </c>
      <c r="K15" s="65">
        <v>9.7087379999999997E-4</v>
      </c>
      <c r="L15" s="65">
        <v>0</v>
      </c>
      <c r="M15" s="65">
        <v>0.2</v>
      </c>
      <c r="N15" s="65">
        <v>0</v>
      </c>
    </row>
    <row r="16" spans="1:46" ht="15" customHeight="1" x14ac:dyDescent="0.15">
      <c r="C16" s="65">
        <v>15</v>
      </c>
      <c r="D16"/>
      <c r="E16" s="145" t="s">
        <v>206</v>
      </c>
      <c r="F16" s="65">
        <v>0</v>
      </c>
      <c r="G16" s="65">
        <v>2.12738681</v>
      </c>
      <c r="H16" s="65">
        <v>0.8</v>
      </c>
      <c r="I16" s="65">
        <v>1</v>
      </c>
      <c r="J16" s="65">
        <v>0.95</v>
      </c>
      <c r="K16" s="65">
        <v>0.8</v>
      </c>
      <c r="L16" s="65">
        <v>0</v>
      </c>
      <c r="M16" s="65">
        <v>0.2</v>
      </c>
      <c r="N16" s="65">
        <v>0</v>
      </c>
    </row>
    <row r="17" spans="1:22" ht="15" customHeight="1" x14ac:dyDescent="0.15">
      <c r="C17" s="65">
        <v>16</v>
      </c>
      <c r="D17"/>
      <c r="E17" s="145" t="s">
        <v>207</v>
      </c>
      <c r="F17" s="65">
        <v>0</v>
      </c>
      <c r="G17" s="65">
        <v>0.28000000000000003</v>
      </c>
      <c r="H17" s="65">
        <v>0.02</v>
      </c>
      <c r="I17" s="65">
        <v>3</v>
      </c>
      <c r="J17" s="65">
        <v>0</v>
      </c>
      <c r="K17" s="65">
        <v>6.6666663600000002E-3</v>
      </c>
      <c r="L17" s="65">
        <v>0</v>
      </c>
      <c r="M17" s="65">
        <v>0.2</v>
      </c>
      <c r="N17" s="65">
        <v>0</v>
      </c>
      <c r="V17" s="1" t="s">
        <v>30</v>
      </c>
    </row>
    <row r="18" spans="1:22" ht="15" customHeight="1" x14ac:dyDescent="0.15">
      <c r="C18" s="65">
        <v>17</v>
      </c>
      <c r="D18"/>
      <c r="E18" s="145" t="s">
        <v>208</v>
      </c>
      <c r="F18" s="65">
        <v>0</v>
      </c>
      <c r="G18" s="65">
        <v>9.5000000000000001E-2</v>
      </c>
      <c r="H18" s="65">
        <v>0.02</v>
      </c>
      <c r="I18" s="65">
        <v>12.7</v>
      </c>
      <c r="J18" s="65">
        <v>0.44210529999999998</v>
      </c>
      <c r="K18" s="65">
        <v>1.5748031399999999E-3</v>
      </c>
      <c r="L18" s="65">
        <v>0</v>
      </c>
      <c r="M18" s="65">
        <v>0.2</v>
      </c>
      <c r="N18" s="65">
        <v>0</v>
      </c>
      <c r="V18" s="1"/>
    </row>
    <row r="19" spans="1:22" ht="15" customHeight="1" x14ac:dyDescent="0.15">
      <c r="C19" s="65">
        <v>18</v>
      </c>
      <c r="D19"/>
      <c r="E19" s="145" t="s">
        <v>209</v>
      </c>
      <c r="F19" s="65">
        <v>0</v>
      </c>
      <c r="G19" s="65">
        <v>0.3</v>
      </c>
      <c r="H19" s="65">
        <v>0.06</v>
      </c>
      <c r="I19" s="65">
        <v>29.1</v>
      </c>
      <c r="J19" s="65">
        <v>0.18666666700000001</v>
      </c>
      <c r="K19" s="65">
        <v>2.0618555100000002E-3</v>
      </c>
      <c r="L19" s="65">
        <v>0</v>
      </c>
      <c r="M19" s="65">
        <v>0.2</v>
      </c>
      <c r="N19" s="65">
        <v>0</v>
      </c>
    </row>
    <row r="20" spans="1:22" ht="15" customHeight="1" thickBot="1" x14ac:dyDescent="0.2">
      <c r="C20" s="65">
        <v>19</v>
      </c>
      <c r="D20"/>
      <c r="E20" s="145" t="s">
        <v>210</v>
      </c>
      <c r="F20" s="65">
        <v>2</v>
      </c>
      <c r="G20" s="65">
        <v>7</v>
      </c>
      <c r="H20" s="65">
        <v>0</v>
      </c>
      <c r="I20" s="65">
        <v>0</v>
      </c>
      <c r="J20" s="65">
        <v>0</v>
      </c>
      <c r="K20" s="65">
        <v>0</v>
      </c>
      <c r="L20" s="65">
        <v>0</v>
      </c>
      <c r="M20" s="65">
        <v>0</v>
      </c>
      <c r="N20" s="65">
        <v>0</v>
      </c>
    </row>
    <row r="21" spans="1:22" ht="15" customHeight="1" thickBot="1" x14ac:dyDescent="0.2">
      <c r="A21" s="39" t="s">
        <v>137</v>
      </c>
      <c r="B21" s="83"/>
      <c r="C21" s="65">
        <v>20</v>
      </c>
      <c r="D21"/>
      <c r="E21" s="145" t="s">
        <v>211</v>
      </c>
      <c r="F21" s="65">
        <v>2</v>
      </c>
      <c r="G21" s="65">
        <v>5</v>
      </c>
      <c r="H21" s="65">
        <v>0</v>
      </c>
      <c r="I21" s="65">
        <v>0</v>
      </c>
      <c r="J21" s="65">
        <v>0</v>
      </c>
      <c r="K21" s="65">
        <v>0</v>
      </c>
      <c r="L21" s="65">
        <v>0</v>
      </c>
      <c r="M21" s="65">
        <v>0</v>
      </c>
      <c r="N21" s="65">
        <v>0</v>
      </c>
    </row>
    <row r="22" spans="1:22" ht="15" customHeight="1" x14ac:dyDescent="0.15">
      <c r="A22" s="84" t="s">
        <v>58</v>
      </c>
      <c r="B22" s="85">
        <v>0</v>
      </c>
      <c r="C22" s="65">
        <v>21</v>
      </c>
      <c r="D22"/>
      <c r="E22" s="145" t="s">
        <v>212</v>
      </c>
      <c r="F22" s="65">
        <v>3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>
        <v>0</v>
      </c>
      <c r="N22" s="65">
        <v>0</v>
      </c>
    </row>
    <row r="23" spans="1:22" ht="15" customHeight="1" x14ac:dyDescent="0.15">
      <c r="A23" s="84" t="s">
        <v>59</v>
      </c>
      <c r="B23" s="85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4" t="s">
        <v>60</v>
      </c>
      <c r="B24" s="85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6" t="s">
        <v>44</v>
      </c>
      <c r="B25" s="87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8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2" bestFit="1" customWidth="1"/>
    <col min="2" max="3" width="2.33203125" style="122" bestFit="1" customWidth="1"/>
    <col min="4" max="4" width="3.83203125" style="122" bestFit="1" customWidth="1"/>
    <col min="5" max="7" width="4.83203125" style="122" bestFit="1" customWidth="1"/>
    <col min="8" max="8" width="5.83203125" style="122" bestFit="1" customWidth="1"/>
    <col min="9" max="10" width="4.83203125" style="122" bestFit="1" customWidth="1"/>
    <col min="11" max="11" width="3.83203125" style="122" bestFit="1" customWidth="1"/>
    <col min="12" max="12" width="5.83203125" style="122" bestFit="1" customWidth="1"/>
    <col min="13" max="13" width="2.33203125" style="122" bestFit="1" customWidth="1"/>
    <col min="14" max="15" width="5.83203125" style="122" bestFit="1" customWidth="1"/>
    <col min="16" max="16" width="4.83203125" style="122" bestFit="1" customWidth="1"/>
    <col min="17" max="19" width="5.83203125" style="122" bestFit="1" customWidth="1"/>
    <col min="20" max="21" width="2.33203125" style="122" bestFit="1" customWidth="1"/>
    <col min="22" max="29" width="9" style="122" bestFit="1" customWidth="1"/>
    <col min="30" max="16384" width="8.83203125" style="122"/>
  </cols>
  <sheetData>
    <row r="1" spans="1:34" x14ac:dyDescent="0.15">
      <c r="A1" s="121" t="s">
        <v>19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 s="147" t="s">
        <v>205</v>
      </c>
      <c r="P1" s="147" t="s">
        <v>206</v>
      </c>
      <c r="Q1" s="147" t="s">
        <v>207</v>
      </c>
      <c r="R1" s="147" t="s">
        <v>208</v>
      </c>
      <c r="S1" s="147" t="s">
        <v>209</v>
      </c>
      <c r="T1" s="147" t="s">
        <v>210</v>
      </c>
      <c r="U1" s="147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6" t="s">
        <v>192</v>
      </c>
      <c r="B2" s="122">
        <v>0</v>
      </c>
      <c r="C2" s="122">
        <v>0</v>
      </c>
      <c r="D2" s="122">
        <v>0.8</v>
      </c>
      <c r="E2" s="122">
        <v>0</v>
      </c>
      <c r="F2" s="122">
        <v>0.23</v>
      </c>
      <c r="G2" s="122">
        <v>0.25</v>
      </c>
      <c r="H2" s="122">
        <v>0</v>
      </c>
      <c r="I2" s="122">
        <v>0</v>
      </c>
      <c r="J2" s="122">
        <v>0</v>
      </c>
      <c r="K2" s="122">
        <v>0</v>
      </c>
      <c r="L2" s="122">
        <v>0</v>
      </c>
      <c r="M2" s="122">
        <v>0</v>
      </c>
      <c r="N2" s="122">
        <v>0</v>
      </c>
      <c r="O2" s="122">
        <v>0</v>
      </c>
      <c r="P2" s="122">
        <v>0</v>
      </c>
      <c r="Q2" s="122">
        <v>0</v>
      </c>
      <c r="R2" s="122">
        <v>0</v>
      </c>
      <c r="S2" s="122">
        <v>0</v>
      </c>
      <c r="T2" s="122">
        <v>0</v>
      </c>
      <c r="U2" s="122">
        <v>0</v>
      </c>
    </row>
    <row r="3" spans="1:34" customFormat="1" x14ac:dyDescent="0.15">
      <c r="A3" s="146" t="s">
        <v>193</v>
      </c>
      <c r="B3" s="122">
        <v>0</v>
      </c>
      <c r="C3" s="122">
        <v>0</v>
      </c>
      <c r="D3" s="122">
        <v>0</v>
      </c>
      <c r="E3" s="122">
        <v>0</v>
      </c>
      <c r="F3" s="122">
        <v>0</v>
      </c>
      <c r="G3" s="122">
        <v>0</v>
      </c>
      <c r="H3" s="122">
        <v>0.19900000000000001</v>
      </c>
      <c r="I3" s="122">
        <v>0</v>
      </c>
      <c r="J3" s="122">
        <v>0</v>
      </c>
      <c r="K3" s="122">
        <v>0</v>
      </c>
      <c r="L3" s="122">
        <v>0</v>
      </c>
      <c r="M3" s="122">
        <v>0</v>
      </c>
      <c r="N3" s="122">
        <v>0</v>
      </c>
      <c r="O3" s="122">
        <v>2E-3</v>
      </c>
      <c r="P3" s="122">
        <v>0</v>
      </c>
      <c r="Q3" s="122">
        <v>0</v>
      </c>
      <c r="R3" s="122">
        <v>0</v>
      </c>
      <c r="S3" s="122">
        <v>0</v>
      </c>
      <c r="T3" s="122">
        <v>0</v>
      </c>
      <c r="U3" s="122">
        <v>0</v>
      </c>
    </row>
    <row r="4" spans="1:34" customFormat="1" x14ac:dyDescent="0.15">
      <c r="A4" s="146" t="s">
        <v>194</v>
      </c>
      <c r="B4" s="122">
        <v>0</v>
      </c>
      <c r="C4" s="122">
        <v>0</v>
      </c>
      <c r="D4" s="122">
        <v>0</v>
      </c>
      <c r="E4" s="122">
        <v>0.28999999999999998</v>
      </c>
      <c r="F4" s="122">
        <v>0.36</v>
      </c>
      <c r="G4" s="122">
        <v>0.75</v>
      </c>
      <c r="H4" s="122">
        <v>0.1</v>
      </c>
      <c r="I4" s="122">
        <v>0.75</v>
      </c>
      <c r="J4" s="122">
        <v>0.75</v>
      </c>
      <c r="K4" s="122">
        <v>0.6</v>
      </c>
      <c r="L4" s="122">
        <v>0.6</v>
      </c>
      <c r="M4" s="122">
        <v>0</v>
      </c>
      <c r="N4" s="122">
        <v>0.1</v>
      </c>
      <c r="O4" s="122">
        <v>0</v>
      </c>
      <c r="P4" s="122">
        <v>0</v>
      </c>
      <c r="Q4" s="122">
        <v>0.13700000000000001</v>
      </c>
      <c r="R4" s="122">
        <v>0</v>
      </c>
      <c r="S4" s="122">
        <v>0</v>
      </c>
      <c r="T4" s="122">
        <v>0</v>
      </c>
      <c r="U4" s="122">
        <v>0</v>
      </c>
    </row>
    <row r="5" spans="1:34" customFormat="1" x14ac:dyDescent="0.15">
      <c r="A5" s="146" t="s">
        <v>195</v>
      </c>
      <c r="B5" s="122">
        <v>0</v>
      </c>
      <c r="C5" s="122">
        <v>0</v>
      </c>
      <c r="D5" s="122">
        <v>0</v>
      </c>
      <c r="E5" s="122">
        <v>0.01</v>
      </c>
      <c r="F5" s="122">
        <v>0</v>
      </c>
      <c r="G5" s="122">
        <v>0</v>
      </c>
      <c r="H5" s="122">
        <v>0.5</v>
      </c>
      <c r="I5" s="122">
        <v>0</v>
      </c>
      <c r="J5" s="122">
        <v>0</v>
      </c>
      <c r="K5" s="122">
        <v>0</v>
      </c>
      <c r="L5" s="122">
        <v>0.10100000000000001</v>
      </c>
      <c r="M5" s="122">
        <v>1</v>
      </c>
      <c r="N5" s="122">
        <v>0.13</v>
      </c>
      <c r="O5" s="122">
        <v>0</v>
      </c>
      <c r="P5" s="122">
        <v>0</v>
      </c>
      <c r="Q5" s="122">
        <v>0</v>
      </c>
      <c r="R5" s="122">
        <v>0</v>
      </c>
      <c r="S5" s="122">
        <v>0</v>
      </c>
      <c r="T5" s="122">
        <v>0</v>
      </c>
      <c r="U5" s="122">
        <v>0</v>
      </c>
    </row>
    <row r="6" spans="1:34" customFormat="1" x14ac:dyDescent="0.15">
      <c r="A6" s="146" t="s">
        <v>196</v>
      </c>
      <c r="B6" s="122">
        <v>0</v>
      </c>
      <c r="C6" s="122">
        <v>0</v>
      </c>
      <c r="D6" s="122">
        <v>0</v>
      </c>
      <c r="E6" s="122">
        <v>0</v>
      </c>
      <c r="F6" s="122">
        <v>0.1</v>
      </c>
      <c r="G6" s="122">
        <v>0</v>
      </c>
      <c r="H6" s="122">
        <v>0</v>
      </c>
      <c r="I6" s="122">
        <v>0</v>
      </c>
      <c r="J6" s="122">
        <v>0</v>
      </c>
      <c r="K6" s="122">
        <v>0</v>
      </c>
      <c r="L6" s="122">
        <v>0</v>
      </c>
      <c r="M6" s="122">
        <v>0</v>
      </c>
      <c r="N6" s="122">
        <v>2.5000000000000001E-2</v>
      </c>
      <c r="O6" s="122">
        <v>0.216</v>
      </c>
      <c r="P6" s="122">
        <v>0</v>
      </c>
      <c r="Q6" s="122">
        <v>0</v>
      </c>
      <c r="R6" s="122">
        <v>0</v>
      </c>
      <c r="S6" s="122">
        <v>7.0000000000000007E-2</v>
      </c>
      <c r="T6" s="122">
        <v>0</v>
      </c>
      <c r="U6" s="122">
        <v>0</v>
      </c>
    </row>
    <row r="7" spans="1:34" customFormat="1" x14ac:dyDescent="0.15">
      <c r="A7" s="146" t="s">
        <v>197</v>
      </c>
      <c r="B7" s="122">
        <v>0</v>
      </c>
      <c r="C7" s="122">
        <v>0</v>
      </c>
      <c r="D7" s="122">
        <v>0</v>
      </c>
      <c r="E7" s="122">
        <v>0</v>
      </c>
      <c r="F7" s="122">
        <v>0</v>
      </c>
      <c r="G7" s="122">
        <v>0</v>
      </c>
      <c r="H7" s="122">
        <v>0</v>
      </c>
      <c r="I7" s="122">
        <v>0.25</v>
      </c>
      <c r="J7" s="122">
        <v>0.25</v>
      </c>
      <c r="K7" s="122">
        <v>0.4</v>
      </c>
      <c r="L7" s="122">
        <v>0.29899999999999999</v>
      </c>
      <c r="M7" s="122">
        <v>0</v>
      </c>
      <c r="N7" s="122">
        <v>0.26500000000000001</v>
      </c>
      <c r="O7" s="122">
        <v>0.187</v>
      </c>
      <c r="P7" s="122">
        <v>0.15</v>
      </c>
      <c r="Q7" s="122">
        <v>0.45900000000000002</v>
      </c>
      <c r="R7" s="122">
        <v>0.01</v>
      </c>
      <c r="S7" s="122">
        <v>0</v>
      </c>
      <c r="T7" s="122">
        <v>0</v>
      </c>
      <c r="U7" s="122">
        <v>0</v>
      </c>
    </row>
    <row r="8" spans="1:34" customFormat="1" x14ac:dyDescent="0.15">
      <c r="A8" s="146" t="s">
        <v>198</v>
      </c>
      <c r="B8" s="122">
        <v>0</v>
      </c>
      <c r="C8" s="122">
        <v>0</v>
      </c>
      <c r="D8" s="122">
        <v>0</v>
      </c>
      <c r="E8" s="122">
        <v>0</v>
      </c>
      <c r="F8" s="122">
        <v>0</v>
      </c>
      <c r="G8" s="122">
        <v>0</v>
      </c>
      <c r="H8" s="122">
        <v>0.08</v>
      </c>
      <c r="I8" s="122">
        <v>0</v>
      </c>
      <c r="J8" s="122">
        <v>0</v>
      </c>
      <c r="K8" s="122">
        <v>0</v>
      </c>
      <c r="L8" s="122">
        <v>0</v>
      </c>
      <c r="M8" s="122">
        <v>0</v>
      </c>
      <c r="N8" s="122">
        <v>0.03</v>
      </c>
      <c r="O8" s="122">
        <v>0</v>
      </c>
      <c r="P8" s="122">
        <v>0</v>
      </c>
      <c r="Q8" s="122">
        <v>0</v>
      </c>
      <c r="R8" s="122">
        <v>0</v>
      </c>
      <c r="S8" s="122">
        <v>0</v>
      </c>
      <c r="T8" s="122">
        <v>0</v>
      </c>
      <c r="U8" s="122">
        <v>0</v>
      </c>
    </row>
    <row r="9" spans="1:34" customFormat="1" x14ac:dyDescent="0.15">
      <c r="A9" s="146" t="s">
        <v>199</v>
      </c>
      <c r="B9" s="122">
        <v>0</v>
      </c>
      <c r="C9" s="122">
        <v>0</v>
      </c>
      <c r="D9" s="122">
        <v>0</v>
      </c>
      <c r="E9" s="122">
        <v>0</v>
      </c>
      <c r="F9" s="122">
        <v>0</v>
      </c>
      <c r="G9" s="122">
        <v>0</v>
      </c>
      <c r="H9" s="122">
        <v>0</v>
      </c>
      <c r="I9" s="122">
        <v>0</v>
      </c>
      <c r="J9" s="122">
        <v>0</v>
      </c>
      <c r="K9" s="122">
        <v>0</v>
      </c>
      <c r="L9" s="122">
        <v>0</v>
      </c>
      <c r="M9" s="122">
        <v>0</v>
      </c>
      <c r="N9" s="122">
        <v>5.0000000000000001E-3</v>
      </c>
      <c r="O9" s="122">
        <v>0</v>
      </c>
      <c r="P9" s="122">
        <v>0</v>
      </c>
      <c r="Q9" s="122">
        <v>0</v>
      </c>
      <c r="R9" s="122">
        <v>0</v>
      </c>
      <c r="S9" s="122">
        <v>0</v>
      </c>
      <c r="T9" s="122">
        <v>0</v>
      </c>
      <c r="U9" s="122">
        <v>0</v>
      </c>
    </row>
    <row r="10" spans="1:34" customFormat="1" x14ac:dyDescent="0.15">
      <c r="A10" s="146" t="s">
        <v>200</v>
      </c>
      <c r="B10" s="122">
        <v>0</v>
      </c>
      <c r="C10" s="122">
        <v>0</v>
      </c>
      <c r="D10" s="122">
        <v>0</v>
      </c>
      <c r="E10" s="122">
        <v>0</v>
      </c>
      <c r="F10" s="122">
        <v>0</v>
      </c>
      <c r="G10" s="122">
        <v>0</v>
      </c>
      <c r="H10" s="122">
        <v>0</v>
      </c>
      <c r="I10" s="122">
        <v>0</v>
      </c>
      <c r="J10" s="122">
        <v>0</v>
      </c>
      <c r="K10" s="122">
        <v>0</v>
      </c>
      <c r="L10" s="122">
        <v>0</v>
      </c>
      <c r="M10" s="122">
        <v>0</v>
      </c>
      <c r="N10" s="122">
        <v>5.0000000000000001E-3</v>
      </c>
      <c r="O10" s="122">
        <v>0</v>
      </c>
      <c r="P10" s="122">
        <v>0</v>
      </c>
      <c r="Q10" s="122">
        <v>0</v>
      </c>
      <c r="R10" s="122">
        <v>0</v>
      </c>
      <c r="S10" s="122">
        <v>0</v>
      </c>
      <c r="T10" s="122">
        <v>0</v>
      </c>
      <c r="U10" s="122">
        <v>0</v>
      </c>
    </row>
    <row r="11" spans="1:34" customFormat="1" x14ac:dyDescent="0.15">
      <c r="A11" s="146" t="s">
        <v>201</v>
      </c>
      <c r="B11" s="122">
        <v>0</v>
      </c>
      <c r="C11" s="122">
        <v>0</v>
      </c>
      <c r="D11" s="122">
        <v>0</v>
      </c>
      <c r="E11" s="122">
        <v>0</v>
      </c>
      <c r="F11" s="122">
        <v>0</v>
      </c>
      <c r="G11" s="122">
        <v>0</v>
      </c>
      <c r="H11" s="122">
        <v>0</v>
      </c>
      <c r="I11" s="122">
        <v>0</v>
      </c>
      <c r="J11" s="122">
        <v>0</v>
      </c>
      <c r="K11" s="122">
        <v>0</v>
      </c>
      <c r="L11" s="122">
        <v>0</v>
      </c>
      <c r="M11" s="122">
        <v>0</v>
      </c>
      <c r="N11" s="122">
        <v>0.08</v>
      </c>
      <c r="O11" s="122">
        <v>0</v>
      </c>
      <c r="P11" s="122">
        <v>0</v>
      </c>
      <c r="Q11" s="122">
        <v>6.7000000000000004E-2</v>
      </c>
      <c r="R11" s="122">
        <v>0.29599999999999999</v>
      </c>
      <c r="S11" s="122">
        <v>5.0999999999999997E-2</v>
      </c>
      <c r="T11" s="122">
        <v>0</v>
      </c>
      <c r="U11" s="122">
        <v>0</v>
      </c>
    </row>
    <row r="12" spans="1:34" customFormat="1" x14ac:dyDescent="0.15">
      <c r="A12" s="146" t="s">
        <v>202</v>
      </c>
      <c r="B12" s="122">
        <v>0</v>
      </c>
      <c r="C12" s="122">
        <v>0</v>
      </c>
      <c r="D12" s="122">
        <v>0</v>
      </c>
      <c r="E12" s="122">
        <v>0</v>
      </c>
      <c r="F12" s="122">
        <v>0</v>
      </c>
      <c r="G12" s="122">
        <v>0</v>
      </c>
      <c r="H12" s="122">
        <v>0</v>
      </c>
      <c r="I12" s="122">
        <v>0</v>
      </c>
      <c r="J12" s="122">
        <v>0</v>
      </c>
      <c r="K12" s="122">
        <v>0</v>
      </c>
      <c r="L12" s="122">
        <v>0</v>
      </c>
      <c r="M12" s="122">
        <v>0</v>
      </c>
      <c r="N12" s="122">
        <v>0.26</v>
      </c>
      <c r="O12" s="122">
        <v>0.45900000000000002</v>
      </c>
      <c r="P12" s="122">
        <v>0.85</v>
      </c>
      <c r="Q12" s="122">
        <v>0.13800000000000001</v>
      </c>
      <c r="R12" s="122">
        <v>0.48699999999999999</v>
      </c>
      <c r="S12" s="122">
        <v>0.36199999999999999</v>
      </c>
      <c r="T12" s="122">
        <v>0</v>
      </c>
      <c r="U12" s="122">
        <v>0</v>
      </c>
    </row>
    <row r="13" spans="1:34" customFormat="1" x14ac:dyDescent="0.15">
      <c r="A13" s="146" t="s">
        <v>203</v>
      </c>
      <c r="B13" s="122">
        <v>0</v>
      </c>
      <c r="C13" s="122">
        <v>0</v>
      </c>
      <c r="D13" s="122">
        <v>0</v>
      </c>
      <c r="E13" s="122">
        <v>0</v>
      </c>
      <c r="F13" s="122">
        <v>0</v>
      </c>
      <c r="G13" s="122">
        <v>0</v>
      </c>
      <c r="H13" s="122">
        <v>0</v>
      </c>
      <c r="I13" s="122">
        <v>0</v>
      </c>
      <c r="J13" s="122">
        <v>0</v>
      </c>
      <c r="K13" s="122">
        <v>0</v>
      </c>
      <c r="L13" s="122">
        <v>0</v>
      </c>
      <c r="M13" s="122">
        <v>0</v>
      </c>
      <c r="N13" s="122">
        <v>0</v>
      </c>
      <c r="O13" s="122">
        <v>0</v>
      </c>
      <c r="P13" s="122">
        <v>0</v>
      </c>
      <c r="Q13" s="122">
        <v>0</v>
      </c>
      <c r="R13" s="122">
        <v>1E-3</v>
      </c>
      <c r="S13" s="122">
        <v>0</v>
      </c>
      <c r="T13" s="122">
        <v>0</v>
      </c>
      <c r="U13" s="122">
        <v>0</v>
      </c>
    </row>
    <row r="14" spans="1:34" customFormat="1" x14ac:dyDescent="0.15">
      <c r="A14" s="146" t="s">
        <v>204</v>
      </c>
      <c r="B14" s="122">
        <v>0</v>
      </c>
      <c r="C14" s="122">
        <v>0</v>
      </c>
      <c r="D14" s="122">
        <v>0</v>
      </c>
      <c r="E14" s="122">
        <v>0</v>
      </c>
      <c r="F14" s="122">
        <v>0</v>
      </c>
      <c r="G14" s="122">
        <v>0</v>
      </c>
      <c r="H14" s="122">
        <v>0</v>
      </c>
      <c r="I14" s="122">
        <v>0</v>
      </c>
      <c r="J14" s="122">
        <v>0</v>
      </c>
      <c r="K14" s="122">
        <v>0</v>
      </c>
      <c r="L14" s="122">
        <v>0</v>
      </c>
      <c r="M14" s="122">
        <v>0</v>
      </c>
      <c r="N14" s="122">
        <v>0.1</v>
      </c>
      <c r="O14" s="122">
        <v>0.13600000000000001</v>
      </c>
      <c r="P14" s="122">
        <v>0</v>
      </c>
      <c r="Q14" s="122">
        <v>0.193</v>
      </c>
      <c r="R14" s="122">
        <v>0.15</v>
      </c>
      <c r="S14" s="122">
        <v>0.5</v>
      </c>
      <c r="T14" s="122">
        <v>0</v>
      </c>
      <c r="U14" s="122">
        <v>0</v>
      </c>
    </row>
    <row r="15" spans="1:34" customFormat="1" x14ac:dyDescent="0.15">
      <c r="A15" s="146" t="s">
        <v>205</v>
      </c>
      <c r="B15" s="122">
        <v>0</v>
      </c>
      <c r="C15" s="122">
        <v>0</v>
      </c>
      <c r="D15" s="122">
        <v>0</v>
      </c>
      <c r="E15" s="122">
        <v>0</v>
      </c>
      <c r="F15" s="122">
        <v>0</v>
      </c>
      <c r="G15" s="122">
        <v>0</v>
      </c>
      <c r="H15" s="122">
        <v>0</v>
      </c>
      <c r="I15" s="122">
        <v>0</v>
      </c>
      <c r="J15" s="122">
        <v>0</v>
      </c>
      <c r="K15" s="122">
        <v>0</v>
      </c>
      <c r="L15" s="122">
        <v>0</v>
      </c>
      <c r="M15" s="122">
        <v>0</v>
      </c>
      <c r="N15" s="122">
        <v>0</v>
      </c>
      <c r="O15" s="122">
        <v>0</v>
      </c>
      <c r="P15" s="122">
        <v>0</v>
      </c>
      <c r="Q15" s="122">
        <v>0</v>
      </c>
      <c r="R15" s="122">
        <v>0</v>
      </c>
      <c r="S15" s="122">
        <v>0</v>
      </c>
      <c r="T15" s="122">
        <v>0</v>
      </c>
      <c r="U15" s="122">
        <v>0</v>
      </c>
    </row>
    <row r="16" spans="1:34" customFormat="1" x14ac:dyDescent="0.15">
      <c r="A16" s="146" t="s">
        <v>206</v>
      </c>
      <c r="B16" s="122">
        <v>0</v>
      </c>
      <c r="C16" s="122">
        <v>0</v>
      </c>
      <c r="D16" s="122">
        <v>0</v>
      </c>
      <c r="E16" s="122">
        <v>0</v>
      </c>
      <c r="F16" s="122">
        <v>0</v>
      </c>
      <c r="G16" s="122">
        <v>0</v>
      </c>
      <c r="H16" s="122">
        <v>0</v>
      </c>
      <c r="I16" s="122">
        <v>0</v>
      </c>
      <c r="J16" s="122">
        <v>0</v>
      </c>
      <c r="K16" s="122">
        <v>0</v>
      </c>
      <c r="L16" s="122">
        <v>0</v>
      </c>
      <c r="M16" s="122">
        <v>0</v>
      </c>
      <c r="N16" s="122">
        <v>0</v>
      </c>
      <c r="O16" s="122">
        <v>0</v>
      </c>
      <c r="P16" s="122">
        <v>0</v>
      </c>
      <c r="Q16" s="122">
        <v>1E-3</v>
      </c>
      <c r="R16" s="122">
        <v>5.6000000000000001E-2</v>
      </c>
      <c r="S16" s="122">
        <v>1.7000000000000001E-2</v>
      </c>
      <c r="T16" s="122">
        <v>0</v>
      </c>
      <c r="U16" s="122">
        <v>0</v>
      </c>
    </row>
    <row r="17" spans="1:21" customFormat="1" x14ac:dyDescent="0.15">
      <c r="A17" s="146" t="s">
        <v>207</v>
      </c>
      <c r="B17" s="122">
        <v>0</v>
      </c>
      <c r="C17" s="122">
        <v>0</v>
      </c>
      <c r="D17" s="122">
        <v>0</v>
      </c>
      <c r="E17" s="122">
        <v>0</v>
      </c>
      <c r="F17" s="122">
        <v>0</v>
      </c>
      <c r="G17" s="122">
        <v>0</v>
      </c>
      <c r="H17" s="122">
        <v>0</v>
      </c>
      <c r="I17" s="122">
        <v>0</v>
      </c>
      <c r="J17" s="122">
        <v>0</v>
      </c>
      <c r="K17" s="122">
        <v>0</v>
      </c>
      <c r="L17" s="122">
        <v>0</v>
      </c>
      <c r="M17" s="122">
        <v>0</v>
      </c>
      <c r="N17" s="122">
        <v>0</v>
      </c>
      <c r="O17" s="122">
        <v>0</v>
      </c>
      <c r="P17" s="122">
        <v>0</v>
      </c>
      <c r="Q17" s="122">
        <v>0</v>
      </c>
      <c r="R17" s="122">
        <v>0</v>
      </c>
      <c r="S17" s="122">
        <v>0</v>
      </c>
      <c r="T17" s="122">
        <v>0</v>
      </c>
      <c r="U17" s="122">
        <v>0</v>
      </c>
    </row>
    <row r="18" spans="1:21" customFormat="1" x14ac:dyDescent="0.15">
      <c r="A18" s="146" t="s">
        <v>208</v>
      </c>
      <c r="B18" s="122">
        <v>0</v>
      </c>
      <c r="C18" s="122">
        <v>0</v>
      </c>
      <c r="D18" s="122">
        <v>0</v>
      </c>
      <c r="E18" s="122">
        <v>0</v>
      </c>
      <c r="F18" s="122">
        <v>0</v>
      </c>
      <c r="G18" s="122">
        <v>0</v>
      </c>
      <c r="H18" s="122">
        <v>0</v>
      </c>
      <c r="I18" s="122">
        <v>0</v>
      </c>
      <c r="J18" s="122">
        <v>0</v>
      </c>
      <c r="K18" s="122">
        <v>0</v>
      </c>
      <c r="L18" s="122">
        <v>0</v>
      </c>
      <c r="M18" s="122">
        <v>0</v>
      </c>
      <c r="N18" s="122">
        <v>0</v>
      </c>
      <c r="O18" s="122">
        <v>0</v>
      </c>
      <c r="P18" s="122">
        <v>0</v>
      </c>
      <c r="Q18" s="122">
        <v>1E-3</v>
      </c>
      <c r="R18" s="122">
        <v>0</v>
      </c>
      <c r="S18" s="122">
        <v>0</v>
      </c>
      <c r="T18" s="122">
        <v>0</v>
      </c>
      <c r="U18" s="122">
        <v>0</v>
      </c>
    </row>
    <row r="19" spans="1:21" customFormat="1" x14ac:dyDescent="0.15">
      <c r="A19" s="146" t="s">
        <v>209</v>
      </c>
      <c r="B19" s="122">
        <v>0</v>
      </c>
      <c r="C19" s="122">
        <v>0</v>
      </c>
      <c r="D19" s="122">
        <v>0</v>
      </c>
      <c r="E19" s="122">
        <v>0</v>
      </c>
      <c r="F19" s="122">
        <v>0</v>
      </c>
      <c r="G19" s="122">
        <v>0</v>
      </c>
      <c r="H19" s="122">
        <v>0</v>
      </c>
      <c r="I19" s="122">
        <v>0</v>
      </c>
      <c r="J19" s="122">
        <v>0</v>
      </c>
      <c r="K19" s="122">
        <v>0</v>
      </c>
      <c r="L19" s="122">
        <v>0</v>
      </c>
      <c r="M19" s="122">
        <v>0</v>
      </c>
      <c r="N19" s="122">
        <v>0</v>
      </c>
      <c r="O19" s="122">
        <v>0</v>
      </c>
      <c r="P19" s="122">
        <v>0</v>
      </c>
      <c r="Q19" s="122">
        <v>4.0000000000000001E-3</v>
      </c>
      <c r="R19" s="122">
        <v>0</v>
      </c>
      <c r="S19" s="122">
        <v>0</v>
      </c>
      <c r="T19" s="122">
        <v>0</v>
      </c>
      <c r="U19" s="122">
        <v>0</v>
      </c>
    </row>
    <row r="20" spans="1:21" customFormat="1" x14ac:dyDescent="0.15">
      <c r="A20" s="146" t="s">
        <v>210</v>
      </c>
      <c r="B20" s="122">
        <v>0</v>
      </c>
      <c r="C20" s="122">
        <v>0</v>
      </c>
      <c r="D20" s="122">
        <v>0.2</v>
      </c>
      <c r="E20" s="122">
        <v>0.7</v>
      </c>
      <c r="F20" s="122">
        <v>0.31</v>
      </c>
      <c r="G20" s="122">
        <v>0</v>
      </c>
      <c r="H20" s="122">
        <v>0.121</v>
      </c>
      <c r="I20" s="122">
        <v>0</v>
      </c>
      <c r="J20" s="122">
        <v>0</v>
      </c>
      <c r="K20" s="122">
        <v>0</v>
      </c>
      <c r="L20" s="122">
        <v>0</v>
      </c>
      <c r="M20" s="122">
        <v>0</v>
      </c>
      <c r="N20" s="122">
        <v>0</v>
      </c>
      <c r="O20" s="122">
        <v>0</v>
      </c>
      <c r="P20" s="122">
        <v>0</v>
      </c>
      <c r="Q20" s="122">
        <v>0</v>
      </c>
      <c r="R20" s="122">
        <v>0</v>
      </c>
      <c r="S20" s="122">
        <v>0</v>
      </c>
      <c r="T20" s="122">
        <v>0</v>
      </c>
      <c r="U20" s="122">
        <v>0</v>
      </c>
    </row>
    <row r="21" spans="1:21" customFormat="1" x14ac:dyDescent="0.15">
      <c r="A21" s="146" t="s">
        <v>211</v>
      </c>
      <c r="B21" s="122">
        <v>0</v>
      </c>
      <c r="C21" s="122">
        <v>0</v>
      </c>
      <c r="D21" s="122">
        <v>0</v>
      </c>
      <c r="E21" s="122">
        <v>0</v>
      </c>
      <c r="F21" s="122">
        <v>0</v>
      </c>
      <c r="G21" s="122">
        <v>0</v>
      </c>
      <c r="H21" s="122">
        <v>0</v>
      </c>
      <c r="I21" s="122">
        <v>0</v>
      </c>
      <c r="J21" s="122">
        <v>0</v>
      </c>
      <c r="K21" s="122">
        <v>0</v>
      </c>
      <c r="L21" s="122">
        <v>0</v>
      </c>
      <c r="M21" s="122">
        <v>0</v>
      </c>
      <c r="N21" s="122">
        <v>0</v>
      </c>
      <c r="O21" s="122">
        <v>0</v>
      </c>
      <c r="P21" s="122">
        <v>0</v>
      </c>
      <c r="Q21" s="122">
        <v>0</v>
      </c>
      <c r="R21" s="122">
        <v>0</v>
      </c>
      <c r="S21" s="122">
        <v>0</v>
      </c>
      <c r="T21" s="122">
        <v>0</v>
      </c>
      <c r="U21" s="122">
        <v>0</v>
      </c>
    </row>
    <row r="22" spans="1:21" customFormat="1" x14ac:dyDescent="0.15">
      <c r="A22" s="146" t="s">
        <v>213</v>
      </c>
      <c r="B22" s="122">
        <v>0</v>
      </c>
      <c r="C22" s="122">
        <v>0</v>
      </c>
      <c r="D22" s="122">
        <v>0</v>
      </c>
      <c r="E22" s="122">
        <v>0</v>
      </c>
      <c r="F22" s="122">
        <v>0</v>
      </c>
      <c r="G22" s="122">
        <v>0</v>
      </c>
      <c r="H22" s="122">
        <v>0</v>
      </c>
      <c r="I22" s="122">
        <v>0</v>
      </c>
      <c r="J22" s="122">
        <v>0</v>
      </c>
      <c r="K22" s="122">
        <v>0</v>
      </c>
      <c r="L22" s="122">
        <v>0</v>
      </c>
      <c r="M22" s="122">
        <v>0</v>
      </c>
      <c r="N22" s="122">
        <v>0</v>
      </c>
      <c r="O22" s="122">
        <v>0</v>
      </c>
      <c r="P22" s="122">
        <v>0</v>
      </c>
      <c r="Q22" s="122">
        <v>0</v>
      </c>
      <c r="R22" s="122">
        <v>0</v>
      </c>
      <c r="S22" s="122">
        <v>0</v>
      </c>
      <c r="T22" s="122">
        <v>0</v>
      </c>
      <c r="U22" s="122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3" customWidth="1"/>
    <col min="5" max="6" width="2.33203125" style="92" bestFit="1" customWidth="1"/>
    <col min="7" max="8" width="8.83203125" style="93"/>
  </cols>
  <sheetData>
    <row r="1" spans="1:8" ht="70" x14ac:dyDescent="0.15">
      <c r="A1" s="5" t="s">
        <v>20</v>
      </c>
      <c r="B1" s="1" t="s">
        <v>0</v>
      </c>
      <c r="C1" s="149" t="s">
        <v>210</v>
      </c>
      <c r="D1" s="149" t="s">
        <v>211</v>
      </c>
      <c r="E1" s="149" t="s">
        <v>214</v>
      </c>
      <c r="F1" s="149" t="s">
        <v>215</v>
      </c>
      <c r="G1"/>
      <c r="H1"/>
    </row>
    <row r="2" spans="1:8" x14ac:dyDescent="0.15">
      <c r="A2">
        <v>1</v>
      </c>
      <c r="B2" s="148" t="s">
        <v>192</v>
      </c>
      <c r="C2" s="93">
        <v>1</v>
      </c>
      <c r="D2" s="93">
        <v>0</v>
      </c>
      <c r="E2" s="92">
        <v>0</v>
      </c>
      <c r="F2" s="92">
        <v>1</v>
      </c>
      <c r="G2"/>
      <c r="H2"/>
    </row>
    <row r="3" spans="1:8" x14ac:dyDescent="0.15">
      <c r="A3">
        <v>2</v>
      </c>
      <c r="B3" s="148" t="s">
        <v>193</v>
      </c>
      <c r="C3" s="93">
        <v>1</v>
      </c>
      <c r="D3" s="93">
        <v>0</v>
      </c>
      <c r="E3" s="92">
        <v>0</v>
      </c>
      <c r="F3" s="92">
        <v>1</v>
      </c>
      <c r="G3"/>
      <c r="H3"/>
    </row>
    <row r="4" spans="1:8" x14ac:dyDescent="0.15">
      <c r="A4">
        <v>3</v>
      </c>
      <c r="B4" s="148" t="s">
        <v>194</v>
      </c>
      <c r="C4" s="93">
        <v>1</v>
      </c>
      <c r="D4" s="93">
        <v>0</v>
      </c>
      <c r="E4" s="92">
        <v>0</v>
      </c>
      <c r="F4" s="92">
        <v>1</v>
      </c>
      <c r="G4"/>
      <c r="H4"/>
    </row>
    <row r="5" spans="1:8" x14ac:dyDescent="0.15">
      <c r="A5">
        <v>4</v>
      </c>
      <c r="B5" s="148" t="s">
        <v>195</v>
      </c>
      <c r="C5" s="93">
        <v>1</v>
      </c>
      <c r="D5" s="93">
        <v>0</v>
      </c>
      <c r="E5" s="92">
        <v>0</v>
      </c>
      <c r="F5" s="92">
        <v>1</v>
      </c>
      <c r="G5"/>
      <c r="H5"/>
    </row>
    <row r="6" spans="1:8" x14ac:dyDescent="0.15">
      <c r="A6">
        <v>5</v>
      </c>
      <c r="B6" s="148" t="s">
        <v>196</v>
      </c>
      <c r="C6" s="93">
        <v>1</v>
      </c>
      <c r="D6" s="93">
        <v>0</v>
      </c>
      <c r="E6" s="92">
        <v>0</v>
      </c>
      <c r="F6" s="92">
        <v>1</v>
      </c>
      <c r="G6"/>
      <c r="H6"/>
    </row>
    <row r="7" spans="1:8" x14ac:dyDescent="0.15">
      <c r="A7">
        <v>6</v>
      </c>
      <c r="B7" s="148" t="s">
        <v>197</v>
      </c>
      <c r="C7" s="93">
        <v>1</v>
      </c>
      <c r="D7" s="93">
        <v>0</v>
      </c>
      <c r="E7" s="92">
        <v>0</v>
      </c>
      <c r="F7" s="92">
        <v>1</v>
      </c>
      <c r="G7"/>
      <c r="H7"/>
    </row>
    <row r="8" spans="1:8" x14ac:dyDescent="0.15">
      <c r="A8">
        <v>7</v>
      </c>
      <c r="B8" s="148" t="s">
        <v>198</v>
      </c>
      <c r="C8" s="93">
        <v>1</v>
      </c>
      <c r="D8" s="93">
        <v>0</v>
      </c>
      <c r="E8" s="92">
        <v>0</v>
      </c>
      <c r="F8" s="92">
        <v>1</v>
      </c>
      <c r="G8"/>
      <c r="H8"/>
    </row>
    <row r="9" spans="1:8" x14ac:dyDescent="0.15">
      <c r="A9">
        <v>8</v>
      </c>
      <c r="B9" s="148" t="s">
        <v>199</v>
      </c>
      <c r="C9" s="93">
        <v>1</v>
      </c>
      <c r="D9" s="93">
        <v>0</v>
      </c>
      <c r="E9" s="92">
        <v>0</v>
      </c>
      <c r="F9" s="92">
        <v>1</v>
      </c>
      <c r="G9"/>
      <c r="H9"/>
    </row>
    <row r="10" spans="1:8" x14ac:dyDescent="0.15">
      <c r="A10">
        <v>9</v>
      </c>
      <c r="B10" s="148" t="s">
        <v>200</v>
      </c>
      <c r="C10" s="93">
        <v>1</v>
      </c>
      <c r="D10" s="93">
        <v>0</v>
      </c>
      <c r="E10" s="92">
        <v>0</v>
      </c>
      <c r="F10" s="92">
        <v>1</v>
      </c>
      <c r="G10"/>
      <c r="H10"/>
    </row>
    <row r="11" spans="1:8" x14ac:dyDescent="0.15">
      <c r="A11">
        <v>10</v>
      </c>
      <c r="B11" s="148" t="s">
        <v>201</v>
      </c>
      <c r="C11" s="93">
        <v>1</v>
      </c>
      <c r="D11" s="93">
        <v>0</v>
      </c>
      <c r="E11" s="92">
        <v>0</v>
      </c>
      <c r="F11" s="92">
        <v>1</v>
      </c>
      <c r="G11"/>
      <c r="H11"/>
    </row>
    <row r="12" spans="1:8" x14ac:dyDescent="0.15">
      <c r="A12">
        <v>11</v>
      </c>
      <c r="B12" s="148" t="s">
        <v>202</v>
      </c>
      <c r="C12" s="93">
        <v>1</v>
      </c>
      <c r="D12" s="93">
        <v>0</v>
      </c>
      <c r="E12" s="92">
        <v>0</v>
      </c>
      <c r="F12" s="92">
        <v>1</v>
      </c>
      <c r="G12"/>
      <c r="H12"/>
    </row>
    <row r="13" spans="1:8" x14ac:dyDescent="0.15">
      <c r="A13">
        <v>12</v>
      </c>
      <c r="B13" s="148" t="s">
        <v>203</v>
      </c>
      <c r="C13" s="93">
        <v>1</v>
      </c>
      <c r="D13" s="93">
        <v>0</v>
      </c>
      <c r="E13" s="92">
        <v>0</v>
      </c>
      <c r="F13" s="92">
        <v>1</v>
      </c>
      <c r="G13"/>
      <c r="H13"/>
    </row>
    <row r="14" spans="1:8" x14ac:dyDescent="0.15">
      <c r="A14">
        <v>13</v>
      </c>
      <c r="B14" s="148" t="s">
        <v>204</v>
      </c>
      <c r="C14" s="93">
        <v>1</v>
      </c>
      <c r="D14" s="93">
        <v>0</v>
      </c>
      <c r="E14" s="92">
        <v>0</v>
      </c>
      <c r="F14" s="92">
        <v>1</v>
      </c>
      <c r="G14"/>
      <c r="H14"/>
    </row>
    <row r="15" spans="1:8" x14ac:dyDescent="0.15">
      <c r="A15">
        <v>14</v>
      </c>
      <c r="B15" s="148" t="s">
        <v>205</v>
      </c>
      <c r="C15" s="93">
        <v>1</v>
      </c>
      <c r="D15" s="93">
        <v>0</v>
      </c>
      <c r="E15" s="92">
        <v>0</v>
      </c>
      <c r="F15" s="92">
        <v>1</v>
      </c>
      <c r="G15"/>
      <c r="H15"/>
    </row>
    <row r="16" spans="1:8" x14ac:dyDescent="0.15">
      <c r="A16">
        <v>15</v>
      </c>
      <c r="B16" s="148" t="s">
        <v>206</v>
      </c>
      <c r="C16" s="93">
        <v>1</v>
      </c>
      <c r="D16" s="93">
        <v>0</v>
      </c>
      <c r="E16" s="92">
        <v>0</v>
      </c>
      <c r="F16" s="92">
        <v>1</v>
      </c>
      <c r="G16"/>
      <c r="H16"/>
    </row>
    <row r="17" spans="1:8" ht="15" customHeight="1" x14ac:dyDescent="0.15">
      <c r="A17">
        <v>16</v>
      </c>
      <c r="B17" s="148" t="s">
        <v>207</v>
      </c>
      <c r="C17" s="93">
        <v>1</v>
      </c>
      <c r="D17" s="93">
        <v>0</v>
      </c>
      <c r="E17" s="92">
        <v>0</v>
      </c>
      <c r="F17" s="92">
        <v>1</v>
      </c>
      <c r="G17"/>
      <c r="H17"/>
    </row>
    <row r="18" spans="1:8" ht="15" customHeight="1" x14ac:dyDescent="0.15">
      <c r="A18">
        <v>17</v>
      </c>
      <c r="B18" s="148" t="s">
        <v>208</v>
      </c>
      <c r="C18" s="93">
        <v>1</v>
      </c>
      <c r="D18" s="93">
        <v>0</v>
      </c>
      <c r="E18" s="92">
        <v>0</v>
      </c>
      <c r="F18" s="92">
        <v>1</v>
      </c>
      <c r="G18"/>
      <c r="H18"/>
    </row>
    <row r="19" spans="1:8" ht="15" customHeight="1" x14ac:dyDescent="0.15">
      <c r="A19">
        <v>18</v>
      </c>
      <c r="B19" s="148" t="s">
        <v>209</v>
      </c>
      <c r="C19" s="93">
        <v>1</v>
      </c>
      <c r="D19" s="93">
        <v>0</v>
      </c>
      <c r="E19" s="92">
        <v>0</v>
      </c>
      <c r="F19" s="92">
        <v>1</v>
      </c>
      <c r="G19"/>
      <c r="H19"/>
    </row>
    <row r="20" spans="1:8" ht="15" customHeight="1" x14ac:dyDescent="0.15">
      <c r="A20">
        <v>19</v>
      </c>
      <c r="B20" s="148" t="s">
        <v>210</v>
      </c>
      <c r="C20" s="93">
        <v>0</v>
      </c>
      <c r="D20" s="93">
        <v>1</v>
      </c>
      <c r="E20" s="92">
        <v>0</v>
      </c>
      <c r="F20" s="92">
        <v>1</v>
      </c>
      <c r="G20"/>
      <c r="H20"/>
    </row>
    <row r="21" spans="1:8" ht="15" customHeight="1" x14ac:dyDescent="0.15">
      <c r="A21">
        <v>20</v>
      </c>
      <c r="B21" s="148" t="s">
        <v>211</v>
      </c>
      <c r="C21" s="93">
        <v>0</v>
      </c>
      <c r="D21" s="93">
        <v>0</v>
      </c>
      <c r="E21" s="92">
        <v>1</v>
      </c>
      <c r="F21" s="92">
        <v>1</v>
      </c>
      <c r="G21"/>
      <c r="H21"/>
    </row>
    <row r="22" spans="1:8" ht="15" customHeight="1" x14ac:dyDescent="0.15">
      <c r="A22">
        <v>21</v>
      </c>
      <c r="B22" s="148" t="s">
        <v>212</v>
      </c>
      <c r="C22" s="93">
        <v>0</v>
      </c>
      <c r="D22" s="93">
        <v>1</v>
      </c>
      <c r="E22" s="92">
        <v>0</v>
      </c>
      <c r="F22" s="92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3"/>
      <c r="F36" s="93"/>
      <c r="G36"/>
      <c r="H36"/>
    </row>
    <row r="37" spans="3:8" ht="15" customHeight="1" x14ac:dyDescent="0.15">
      <c r="C37"/>
      <c r="D37"/>
      <c r="E37" s="93"/>
      <c r="F37" s="93"/>
      <c r="G37"/>
      <c r="H37"/>
    </row>
    <row r="38" spans="3:8" ht="15" customHeight="1" x14ac:dyDescent="0.15">
      <c r="C38"/>
      <c r="D38"/>
      <c r="E38" s="93"/>
      <c r="F38" s="93"/>
      <c r="G38"/>
      <c r="H38"/>
    </row>
    <row r="39" spans="3:8" ht="15" customHeight="1" x14ac:dyDescent="0.15">
      <c r="C39"/>
      <c r="D39"/>
      <c r="E39" s="93"/>
      <c r="F39" s="93"/>
      <c r="G39"/>
      <c r="H39"/>
    </row>
    <row r="40" spans="3:8" ht="15" customHeight="1" x14ac:dyDescent="0.15">
      <c r="C40"/>
      <c r="D40"/>
      <c r="E40" s="93"/>
      <c r="F40" s="93"/>
      <c r="G40"/>
      <c r="H40"/>
    </row>
    <row r="41" spans="3:8" ht="15" customHeight="1" x14ac:dyDescent="0.15">
      <c r="C41"/>
      <c r="D41"/>
      <c r="E41" s="93"/>
      <c r="F41" s="93"/>
      <c r="G41"/>
      <c r="H41"/>
    </row>
    <row r="42" spans="3:8" ht="15" customHeight="1" x14ac:dyDescent="0.15">
      <c r="C42"/>
      <c r="D42"/>
      <c r="E42" s="93"/>
      <c r="F42" s="93"/>
      <c r="G42"/>
      <c r="H42"/>
    </row>
    <row r="43" spans="3:8" ht="15" customHeight="1" x14ac:dyDescent="0.15">
      <c r="C43"/>
      <c r="D43"/>
      <c r="E43" s="93"/>
      <c r="F43" s="9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3"/>
      <c r="F46" s="9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4" width="5.83203125" bestFit="1" customWidth="1"/>
    <col min="5" max="5" width="12.1640625" bestFit="1" customWidth="1"/>
  </cols>
  <sheetData>
    <row r="1" spans="1:5" s="94" customFormat="1" ht="112" x14ac:dyDescent="0.15">
      <c r="A1" s="5" t="s">
        <v>21</v>
      </c>
      <c r="B1" s="3" t="s">
        <v>0</v>
      </c>
      <c r="C1" s="151" t="s">
        <v>212</v>
      </c>
      <c r="D1" s="151" t="s">
        <v>216</v>
      </c>
      <c r="E1"/>
    </row>
    <row r="2" spans="1:5" ht="15" customHeight="1" x14ac:dyDescent="0.15">
      <c r="A2">
        <v>1</v>
      </c>
      <c r="B2" s="150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5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5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50" t="s">
        <v>195</v>
      </c>
      <c r="C5">
        <v>3.0000000000000001E-3</v>
      </c>
      <c r="D5">
        <v>3.0000000000000001E-3</v>
      </c>
    </row>
    <row r="6" spans="1:5" ht="15" customHeight="1" x14ac:dyDescent="0.15">
      <c r="A6">
        <v>5</v>
      </c>
      <c r="B6" s="150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50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50" t="s">
        <v>198</v>
      </c>
      <c r="C8">
        <v>0.14299999999999999</v>
      </c>
      <c r="D8">
        <v>0.14299999999999999</v>
      </c>
    </row>
    <row r="9" spans="1:5" ht="15" customHeight="1" x14ac:dyDescent="0.15">
      <c r="A9">
        <v>8</v>
      </c>
      <c r="B9" s="15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0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50" t="s">
        <v>201</v>
      </c>
      <c r="C11">
        <v>1.1359999999999999</v>
      </c>
      <c r="D11">
        <v>1.1359999999999999</v>
      </c>
    </row>
    <row r="12" spans="1:5" ht="15" customHeight="1" x14ac:dyDescent="0.15">
      <c r="A12">
        <v>11</v>
      </c>
      <c r="B12" s="150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50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0" t="s">
        <v>204</v>
      </c>
      <c r="C14">
        <v>3.6999999999999998E-2</v>
      </c>
      <c r="D14">
        <v>3.6999999999999998E-2</v>
      </c>
    </row>
    <row r="15" spans="1:5" ht="15" customHeight="1" x14ac:dyDescent="0.15">
      <c r="A15">
        <v>14</v>
      </c>
      <c r="B15" s="15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0" t="s">
        <v>206</v>
      </c>
      <c r="C16">
        <v>1.4</v>
      </c>
      <c r="D16">
        <v>1.4</v>
      </c>
    </row>
    <row r="17" spans="1:4" ht="15" customHeight="1" x14ac:dyDescent="0.15">
      <c r="A17">
        <v>16</v>
      </c>
      <c r="B17" s="150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0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50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50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50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4" width="2.33203125" bestFit="1" customWidth="1"/>
    <col min="5" max="5" width="12.1640625" bestFit="1" customWidth="1"/>
  </cols>
  <sheetData>
    <row r="1" spans="1:4" s="94" customFormat="1" ht="112" x14ac:dyDescent="0.15">
      <c r="A1" s="5" t="s">
        <v>22</v>
      </c>
      <c r="B1" s="3" t="s">
        <v>0</v>
      </c>
      <c r="C1" s="153" t="s">
        <v>212</v>
      </c>
      <c r="D1" s="153" t="s">
        <v>216</v>
      </c>
    </row>
    <row r="2" spans="1:4" x14ac:dyDescent="0.15">
      <c r="A2">
        <v>1</v>
      </c>
      <c r="B2" s="152" t="s">
        <v>192</v>
      </c>
      <c r="C2">
        <v>0</v>
      </c>
      <c r="D2">
        <v>0</v>
      </c>
    </row>
    <row r="3" spans="1:4" x14ac:dyDescent="0.15">
      <c r="A3">
        <v>2</v>
      </c>
      <c r="B3" s="152" t="s">
        <v>193</v>
      </c>
      <c r="C3">
        <v>0</v>
      </c>
      <c r="D3">
        <v>0</v>
      </c>
    </row>
    <row r="4" spans="1:4" x14ac:dyDescent="0.15">
      <c r="A4">
        <v>3</v>
      </c>
      <c r="B4" s="152" t="s">
        <v>194</v>
      </c>
      <c r="C4">
        <v>0</v>
      </c>
      <c r="D4">
        <v>0</v>
      </c>
    </row>
    <row r="5" spans="1:4" x14ac:dyDescent="0.15">
      <c r="A5">
        <v>4</v>
      </c>
      <c r="B5" s="152" t="s">
        <v>195</v>
      </c>
      <c r="C5">
        <v>0</v>
      </c>
      <c r="D5">
        <v>0</v>
      </c>
    </row>
    <row r="6" spans="1:4" x14ac:dyDescent="0.15">
      <c r="A6">
        <v>5</v>
      </c>
      <c r="B6" s="152" t="s">
        <v>196</v>
      </c>
      <c r="C6">
        <v>0</v>
      </c>
      <c r="D6">
        <v>0</v>
      </c>
    </row>
    <row r="7" spans="1:4" x14ac:dyDescent="0.15">
      <c r="A7">
        <v>6</v>
      </c>
      <c r="B7" s="152" t="s">
        <v>197</v>
      </c>
      <c r="C7">
        <v>0</v>
      </c>
      <c r="D7">
        <v>0</v>
      </c>
    </row>
    <row r="8" spans="1:4" x14ac:dyDescent="0.15">
      <c r="A8">
        <v>7</v>
      </c>
      <c r="B8" s="152" t="s">
        <v>198</v>
      </c>
      <c r="C8">
        <v>0</v>
      </c>
      <c r="D8">
        <v>0</v>
      </c>
    </row>
    <row r="9" spans="1:4" x14ac:dyDescent="0.15">
      <c r="A9">
        <v>8</v>
      </c>
      <c r="B9" s="152" t="s">
        <v>199</v>
      </c>
      <c r="C9">
        <v>0</v>
      </c>
      <c r="D9">
        <v>0</v>
      </c>
    </row>
    <row r="10" spans="1:4" x14ac:dyDescent="0.15">
      <c r="A10">
        <v>9</v>
      </c>
      <c r="B10" s="152" t="s">
        <v>200</v>
      </c>
      <c r="C10">
        <v>0</v>
      </c>
      <c r="D10">
        <v>0</v>
      </c>
    </row>
    <row r="11" spans="1:4" x14ac:dyDescent="0.15">
      <c r="A11">
        <v>10</v>
      </c>
      <c r="B11" s="152" t="s">
        <v>201</v>
      </c>
      <c r="C11">
        <v>0</v>
      </c>
      <c r="D11">
        <v>0</v>
      </c>
    </row>
    <row r="12" spans="1:4" x14ac:dyDescent="0.15">
      <c r="A12">
        <v>11</v>
      </c>
      <c r="B12" s="152" t="s">
        <v>202</v>
      </c>
      <c r="C12">
        <v>0</v>
      </c>
      <c r="D12">
        <v>0</v>
      </c>
    </row>
    <row r="13" spans="1:4" x14ac:dyDescent="0.15">
      <c r="A13">
        <v>12</v>
      </c>
      <c r="B13" s="152" t="s">
        <v>203</v>
      </c>
      <c r="C13">
        <v>0</v>
      </c>
      <c r="D13">
        <v>0</v>
      </c>
    </row>
    <row r="14" spans="1:4" x14ac:dyDescent="0.15">
      <c r="A14">
        <v>13</v>
      </c>
      <c r="B14" s="152" t="s">
        <v>204</v>
      </c>
      <c r="C14">
        <v>0</v>
      </c>
      <c r="D14">
        <v>0</v>
      </c>
    </row>
    <row r="15" spans="1:4" x14ac:dyDescent="0.15">
      <c r="A15">
        <v>14</v>
      </c>
      <c r="B15" s="152" t="s">
        <v>205</v>
      </c>
      <c r="C15">
        <v>0</v>
      </c>
      <c r="D15">
        <v>0</v>
      </c>
    </row>
    <row r="16" spans="1:4" x14ac:dyDescent="0.15">
      <c r="A16">
        <v>15</v>
      </c>
      <c r="B16" s="152" t="s">
        <v>206</v>
      </c>
      <c r="C16">
        <v>0</v>
      </c>
      <c r="D16">
        <v>0</v>
      </c>
    </row>
    <row r="17" spans="1:4" x14ac:dyDescent="0.15">
      <c r="A17">
        <v>16</v>
      </c>
      <c r="B17" s="152" t="s">
        <v>207</v>
      </c>
      <c r="C17">
        <v>0</v>
      </c>
      <c r="D17">
        <v>0</v>
      </c>
    </row>
    <row r="18" spans="1:4" x14ac:dyDescent="0.15">
      <c r="A18">
        <v>17</v>
      </c>
      <c r="B18" s="152" t="s">
        <v>208</v>
      </c>
      <c r="C18">
        <v>0</v>
      </c>
      <c r="D18">
        <v>0</v>
      </c>
    </row>
    <row r="19" spans="1:4" x14ac:dyDescent="0.15">
      <c r="A19">
        <v>18</v>
      </c>
      <c r="B19" s="152" t="s">
        <v>209</v>
      </c>
      <c r="C19">
        <v>0</v>
      </c>
      <c r="D19">
        <v>0</v>
      </c>
    </row>
    <row r="20" spans="1:4" x14ac:dyDescent="0.15">
      <c r="A20">
        <v>19</v>
      </c>
      <c r="B20" s="152" t="s">
        <v>210</v>
      </c>
      <c r="C20">
        <v>0</v>
      </c>
      <c r="D20">
        <v>0</v>
      </c>
    </row>
    <row r="21" spans="1:4" x14ac:dyDescent="0.15">
      <c r="A21">
        <v>20</v>
      </c>
      <c r="B21" s="152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5" bestFit="1" customWidth="1"/>
    <col min="6" max="6" width="4.83203125" bestFit="1" customWidth="1"/>
    <col min="7" max="9" width="3.83203125" bestFit="1" customWidth="1"/>
    <col min="10" max="11" width="4.83203125" style="9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5" customFormat="1" ht="14" thickBot="1" x14ac:dyDescent="0.2">
      <c r="D1" s="96" t="s">
        <v>8</v>
      </c>
      <c r="E1" s="96" t="s">
        <v>0</v>
      </c>
      <c r="F1" s="97" t="s">
        <v>99</v>
      </c>
      <c r="G1" s="98" t="s">
        <v>84</v>
      </c>
      <c r="H1" s="98" t="s">
        <v>85</v>
      </c>
      <c r="I1" s="98" t="s">
        <v>86</v>
      </c>
      <c r="J1" s="98" t="s">
        <v>87</v>
      </c>
      <c r="K1" s="98" t="s">
        <v>88</v>
      </c>
      <c r="L1" s="99" t="s">
        <v>89</v>
      </c>
      <c r="M1" s="99" t="s">
        <v>93</v>
      </c>
      <c r="N1" s="99" t="s">
        <v>92</v>
      </c>
      <c r="O1" s="99" t="s">
        <v>90</v>
      </c>
      <c r="P1" s="99" t="s">
        <v>91</v>
      </c>
      <c r="Q1" s="100" t="s">
        <v>94</v>
      </c>
      <c r="R1" s="100" t="s">
        <v>95</v>
      </c>
      <c r="S1" s="100" t="s">
        <v>96</v>
      </c>
      <c r="T1" s="100" t="s">
        <v>97</v>
      </c>
      <c r="U1" s="100" t="s">
        <v>98</v>
      </c>
      <c r="V1" s="98" t="s">
        <v>100</v>
      </c>
      <c r="W1" s="98" t="s">
        <v>101</v>
      </c>
      <c r="X1" s="98" t="s">
        <v>102</v>
      </c>
      <c r="Y1" s="98" t="s">
        <v>134</v>
      </c>
      <c r="Z1" s="99" t="s">
        <v>103</v>
      </c>
      <c r="AA1" s="99" t="s">
        <v>104</v>
      </c>
      <c r="AB1" s="99" t="s">
        <v>105</v>
      </c>
      <c r="AC1" s="101" t="s">
        <v>135</v>
      </c>
      <c r="AD1" s="100" t="s">
        <v>106</v>
      </c>
      <c r="AE1" s="100" t="s">
        <v>107</v>
      </c>
      <c r="AF1" s="100" t="s">
        <v>108</v>
      </c>
      <c r="AG1" s="100" t="s">
        <v>136</v>
      </c>
      <c r="AH1" s="98" t="s">
        <v>109</v>
      </c>
      <c r="AI1" s="98" t="s">
        <v>111</v>
      </c>
      <c r="AJ1" s="98" t="s">
        <v>110</v>
      </c>
      <c r="AK1" s="99" t="s">
        <v>115</v>
      </c>
      <c r="AL1" s="99" t="s">
        <v>116</v>
      </c>
      <c r="AM1" s="99" t="s">
        <v>117</v>
      </c>
      <c r="AN1" s="100" t="s">
        <v>112</v>
      </c>
      <c r="AO1" s="100" t="s">
        <v>113</v>
      </c>
      <c r="AP1" s="100" t="s">
        <v>114</v>
      </c>
    </row>
    <row r="2" spans="1:42" x14ac:dyDescent="0.15">
      <c r="A2" s="102" t="s">
        <v>74</v>
      </c>
      <c r="B2" s="103">
        <v>1</v>
      </c>
      <c r="D2">
        <v>1</v>
      </c>
      <c r="E2" s="154" t="s">
        <v>192</v>
      </c>
      <c r="F2">
        <v>0.98</v>
      </c>
      <c r="G2">
        <v>0.8</v>
      </c>
      <c r="H2">
        <v>0.8</v>
      </c>
      <c r="I2">
        <v>0</v>
      </c>
      <c r="J2" s="93">
        <v>0</v>
      </c>
      <c r="K2" s="93">
        <v>0</v>
      </c>
    </row>
    <row r="3" spans="1:42" x14ac:dyDescent="0.15">
      <c r="A3" s="102" t="s">
        <v>75</v>
      </c>
      <c r="B3" s="104">
        <v>1</v>
      </c>
      <c r="D3">
        <v>2</v>
      </c>
      <c r="E3" s="154" t="s">
        <v>193</v>
      </c>
      <c r="F3">
        <v>0.98</v>
      </c>
      <c r="G3">
        <v>0.8</v>
      </c>
      <c r="H3">
        <v>0.8</v>
      </c>
      <c r="I3">
        <v>0</v>
      </c>
      <c r="J3" s="93">
        <v>0</v>
      </c>
      <c r="K3" s="93">
        <v>0</v>
      </c>
    </row>
    <row r="4" spans="1:42" x14ac:dyDescent="0.15">
      <c r="A4" s="102" t="s">
        <v>76</v>
      </c>
      <c r="B4" s="104">
        <v>1</v>
      </c>
      <c r="D4">
        <v>3</v>
      </c>
      <c r="E4" s="154" t="s">
        <v>194</v>
      </c>
      <c r="F4">
        <v>0.98</v>
      </c>
      <c r="G4">
        <v>0.8</v>
      </c>
      <c r="H4">
        <v>0.8</v>
      </c>
      <c r="I4">
        <v>0.8</v>
      </c>
      <c r="J4" s="93">
        <v>0.25</v>
      </c>
      <c r="K4" s="93">
        <v>0.05</v>
      </c>
    </row>
    <row r="5" spans="1:42" x14ac:dyDescent="0.15">
      <c r="A5" s="102" t="s">
        <v>77</v>
      </c>
      <c r="B5" s="104">
        <v>1</v>
      </c>
      <c r="D5">
        <v>4</v>
      </c>
      <c r="E5" s="154" t="s">
        <v>195</v>
      </c>
      <c r="F5">
        <v>0.98</v>
      </c>
      <c r="G5">
        <v>0.8</v>
      </c>
      <c r="H5">
        <v>0.8</v>
      </c>
      <c r="I5">
        <v>0.8</v>
      </c>
      <c r="J5" s="93">
        <v>0.25</v>
      </c>
      <c r="K5" s="93">
        <v>0.05</v>
      </c>
    </row>
    <row r="6" spans="1:42" x14ac:dyDescent="0.15">
      <c r="A6" s="102" t="s">
        <v>78</v>
      </c>
      <c r="B6" s="104">
        <v>1</v>
      </c>
      <c r="D6">
        <v>5</v>
      </c>
      <c r="E6" s="154" t="s">
        <v>196</v>
      </c>
      <c r="F6">
        <v>0.98</v>
      </c>
      <c r="G6">
        <v>0.8</v>
      </c>
      <c r="H6">
        <v>0.8</v>
      </c>
      <c r="I6">
        <v>0.8</v>
      </c>
      <c r="J6" s="93">
        <v>0.25</v>
      </c>
      <c r="K6" s="93">
        <v>0.05</v>
      </c>
    </row>
    <row r="7" spans="1:42" x14ac:dyDescent="0.15">
      <c r="A7" s="102" t="s">
        <v>79</v>
      </c>
      <c r="B7" s="104">
        <v>1</v>
      </c>
      <c r="D7">
        <v>6</v>
      </c>
      <c r="E7" s="154" t="s">
        <v>197</v>
      </c>
      <c r="F7">
        <v>0.98</v>
      </c>
      <c r="G7">
        <v>0.8</v>
      </c>
      <c r="H7">
        <v>0.8</v>
      </c>
      <c r="I7">
        <v>0.8</v>
      </c>
      <c r="J7" s="93">
        <v>0.25</v>
      </c>
      <c r="K7" s="93">
        <v>0.05</v>
      </c>
    </row>
    <row r="8" spans="1:42" x14ac:dyDescent="0.15">
      <c r="A8" s="102" t="s">
        <v>80</v>
      </c>
      <c r="B8" s="104">
        <v>1</v>
      </c>
      <c r="D8">
        <v>7</v>
      </c>
      <c r="E8" s="154" t="s">
        <v>198</v>
      </c>
      <c r="F8">
        <v>0.98</v>
      </c>
      <c r="G8">
        <v>0.8</v>
      </c>
      <c r="H8">
        <v>0.8</v>
      </c>
      <c r="I8">
        <v>0.8</v>
      </c>
      <c r="J8" s="93">
        <v>0.25</v>
      </c>
      <c r="K8" s="93">
        <v>0.05</v>
      </c>
    </row>
    <row r="9" spans="1:42" x14ac:dyDescent="0.15">
      <c r="A9" s="102" t="s">
        <v>81</v>
      </c>
      <c r="B9" s="104">
        <v>0.1</v>
      </c>
      <c r="C9" s="53" t="s">
        <v>150</v>
      </c>
      <c r="D9">
        <v>8</v>
      </c>
      <c r="E9" s="154" t="s">
        <v>199</v>
      </c>
      <c r="F9">
        <v>0.98</v>
      </c>
      <c r="G9">
        <v>0.8</v>
      </c>
      <c r="H9">
        <v>0.8</v>
      </c>
      <c r="I9">
        <v>0.8</v>
      </c>
      <c r="J9" s="93">
        <v>0.25</v>
      </c>
      <c r="K9" s="93">
        <v>0.05</v>
      </c>
    </row>
    <row r="10" spans="1:42" ht="14" thickBot="1" x14ac:dyDescent="0.2">
      <c r="A10" s="102" t="s">
        <v>149</v>
      </c>
      <c r="B10" s="105">
        <f>1/3</f>
        <v>0.33333333333333331</v>
      </c>
      <c r="C10" s="53" t="s">
        <v>150</v>
      </c>
      <c r="D10">
        <v>9</v>
      </c>
      <c r="E10" s="154" t="s">
        <v>200</v>
      </c>
      <c r="F10">
        <v>0.98</v>
      </c>
      <c r="G10">
        <v>0.8</v>
      </c>
      <c r="H10">
        <v>0.8</v>
      </c>
      <c r="I10">
        <v>0.8</v>
      </c>
      <c r="J10" s="93">
        <v>0.25</v>
      </c>
      <c r="K10" s="93">
        <v>0.05</v>
      </c>
    </row>
    <row r="11" spans="1:42" x14ac:dyDescent="0.15">
      <c r="D11">
        <v>10</v>
      </c>
      <c r="E11" s="154" t="s">
        <v>201</v>
      </c>
      <c r="F11">
        <v>0.98</v>
      </c>
      <c r="G11">
        <v>0.8</v>
      </c>
      <c r="H11">
        <v>0.8</v>
      </c>
      <c r="I11">
        <v>0.8</v>
      </c>
      <c r="J11" s="93">
        <v>0.25</v>
      </c>
      <c r="K11" s="93">
        <v>0.05</v>
      </c>
    </row>
    <row r="12" spans="1:42" x14ac:dyDescent="0.15">
      <c r="D12">
        <v>11</v>
      </c>
      <c r="E12" s="154" t="s">
        <v>202</v>
      </c>
      <c r="F12">
        <v>0.98</v>
      </c>
      <c r="G12">
        <v>0.8</v>
      </c>
      <c r="H12">
        <v>0.8</v>
      </c>
      <c r="I12">
        <v>0.8</v>
      </c>
      <c r="J12" s="93">
        <v>0.25</v>
      </c>
      <c r="K12" s="93">
        <v>0.05</v>
      </c>
    </row>
    <row r="13" spans="1:42" x14ac:dyDescent="0.15">
      <c r="D13">
        <v>12</v>
      </c>
      <c r="E13" s="154" t="s">
        <v>203</v>
      </c>
      <c r="F13">
        <v>0.98</v>
      </c>
      <c r="G13">
        <v>0.8</v>
      </c>
      <c r="H13">
        <v>0.8</v>
      </c>
      <c r="I13">
        <v>0.8</v>
      </c>
      <c r="J13" s="93">
        <v>0.25</v>
      </c>
      <c r="K13" s="93">
        <v>0.05</v>
      </c>
    </row>
    <row r="14" spans="1:42" x14ac:dyDescent="0.15">
      <c r="D14">
        <v>13</v>
      </c>
      <c r="E14" s="154" t="s">
        <v>204</v>
      </c>
      <c r="F14">
        <v>0.98</v>
      </c>
      <c r="G14">
        <v>0.8</v>
      </c>
      <c r="H14">
        <v>0.8</v>
      </c>
      <c r="I14">
        <v>0.8</v>
      </c>
      <c r="J14" s="93">
        <v>0.25</v>
      </c>
      <c r="K14" s="93">
        <v>0.05</v>
      </c>
    </row>
    <row r="15" spans="1:42" x14ac:dyDescent="0.15">
      <c r="D15">
        <v>14</v>
      </c>
      <c r="E15" s="154" t="s">
        <v>205</v>
      </c>
      <c r="F15">
        <v>0.98</v>
      </c>
      <c r="G15">
        <v>0.8</v>
      </c>
      <c r="H15">
        <v>0.8</v>
      </c>
      <c r="I15">
        <v>0.8</v>
      </c>
      <c r="J15" s="93">
        <v>0.25</v>
      </c>
      <c r="K15" s="93">
        <v>0.05</v>
      </c>
    </row>
    <row r="16" spans="1:42" x14ac:dyDescent="0.15">
      <c r="D16">
        <v>15</v>
      </c>
      <c r="E16" s="154" t="s">
        <v>206</v>
      </c>
      <c r="F16">
        <v>0.98</v>
      </c>
      <c r="G16">
        <v>0.8</v>
      </c>
      <c r="H16">
        <v>0.8</v>
      </c>
      <c r="I16">
        <v>0.8</v>
      </c>
      <c r="J16" s="93">
        <v>0.25</v>
      </c>
      <c r="K16" s="93">
        <v>0.05</v>
      </c>
    </row>
    <row r="17" spans="4:33" ht="15" customHeight="1" x14ac:dyDescent="0.15">
      <c r="D17">
        <v>16</v>
      </c>
      <c r="E17" s="154" t="s">
        <v>207</v>
      </c>
      <c r="F17">
        <v>0.98</v>
      </c>
      <c r="G17">
        <v>0.8</v>
      </c>
      <c r="H17">
        <v>0.8</v>
      </c>
      <c r="I17">
        <v>0.8</v>
      </c>
      <c r="J17" s="93">
        <v>0.25</v>
      </c>
      <c r="K17" s="93">
        <v>0.05</v>
      </c>
    </row>
    <row r="18" spans="4:33" ht="15" customHeight="1" x14ac:dyDescent="0.15">
      <c r="D18">
        <v>17</v>
      </c>
      <c r="E18" s="154" t="s">
        <v>208</v>
      </c>
      <c r="F18">
        <v>0.98</v>
      </c>
      <c r="G18">
        <v>0.8</v>
      </c>
      <c r="H18">
        <v>0.8</v>
      </c>
      <c r="I18">
        <v>0.8</v>
      </c>
      <c r="J18" s="93">
        <v>0.25</v>
      </c>
      <c r="K18" s="93">
        <v>0.05</v>
      </c>
    </row>
    <row r="19" spans="4:33" ht="15" customHeight="1" x14ac:dyDescent="0.15">
      <c r="D19">
        <v>18</v>
      </c>
      <c r="E19" s="154" t="s">
        <v>209</v>
      </c>
      <c r="F19">
        <v>0.98</v>
      </c>
      <c r="G19">
        <v>0.8</v>
      </c>
      <c r="H19">
        <v>0.8</v>
      </c>
      <c r="I19">
        <v>0.8</v>
      </c>
      <c r="J19" s="93">
        <v>0.25</v>
      </c>
      <c r="K19" s="93">
        <v>0.05</v>
      </c>
    </row>
    <row r="20" spans="4:33" ht="15" customHeight="1" x14ac:dyDescent="0.15">
      <c r="D20">
        <v>19</v>
      </c>
      <c r="E20" s="154" t="s">
        <v>210</v>
      </c>
      <c r="F20">
        <v>0.98</v>
      </c>
      <c r="G20">
        <v>0.8</v>
      </c>
      <c r="H20">
        <v>0</v>
      </c>
      <c r="I20">
        <v>0</v>
      </c>
      <c r="J20" s="93">
        <v>0</v>
      </c>
      <c r="K20" s="93">
        <v>0</v>
      </c>
    </row>
    <row r="21" spans="4:33" ht="15" customHeight="1" x14ac:dyDescent="0.15">
      <c r="D21">
        <v>20</v>
      </c>
      <c r="E21" s="154" t="s">
        <v>211</v>
      </c>
      <c r="F21">
        <v>0.98</v>
      </c>
      <c r="G21">
        <v>0.8</v>
      </c>
      <c r="H21">
        <v>0</v>
      </c>
      <c r="I21">
        <v>0</v>
      </c>
      <c r="J21" s="93">
        <v>0</v>
      </c>
      <c r="K21" s="93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3" width="2.33203125" style="91" customWidth="1"/>
    <col min="4" max="19" width="3.83203125" style="91" customWidth="1"/>
    <col min="20" max="21" width="2.33203125" style="91" customWidth="1"/>
    <col min="22" max="16384" width="10.83203125" style="91"/>
  </cols>
  <sheetData>
    <row r="1" spans="1:30" x14ac:dyDescent="0.15">
      <c r="A1" s="55" t="s">
        <v>118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 s="156" t="s">
        <v>209</v>
      </c>
      <c r="T1" s="156" t="s">
        <v>210</v>
      </c>
      <c r="U1" s="156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55" t="s">
        <v>192</v>
      </c>
      <c r="B2" s="91">
        <v>0</v>
      </c>
      <c r="C2" s="91">
        <v>0</v>
      </c>
      <c r="D2" s="91">
        <v>0.8</v>
      </c>
      <c r="E2" s="91">
        <v>0</v>
      </c>
      <c r="F2" s="91">
        <v>0.8</v>
      </c>
      <c r="G2" s="91">
        <v>0.8</v>
      </c>
      <c r="H2" s="91">
        <v>0</v>
      </c>
      <c r="I2" s="91">
        <v>0</v>
      </c>
      <c r="J2" s="91">
        <v>0</v>
      </c>
      <c r="K2" s="91">
        <v>0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</row>
    <row r="3" spans="1:30" customFormat="1" x14ac:dyDescent="0.15">
      <c r="A3" s="155" t="s">
        <v>193</v>
      </c>
      <c r="B3" s="91">
        <v>0</v>
      </c>
      <c r="C3" s="91">
        <v>0</v>
      </c>
      <c r="D3" s="91">
        <v>0</v>
      </c>
      <c r="E3" s="91">
        <v>0</v>
      </c>
      <c r="F3" s="91">
        <v>0</v>
      </c>
      <c r="G3" s="91">
        <v>0</v>
      </c>
      <c r="H3" s="91">
        <v>0.8</v>
      </c>
      <c r="I3" s="91">
        <v>0</v>
      </c>
      <c r="J3" s="91">
        <v>0</v>
      </c>
      <c r="K3" s="91">
        <v>0</v>
      </c>
      <c r="L3" s="91">
        <v>0</v>
      </c>
      <c r="M3" s="91">
        <v>0</v>
      </c>
      <c r="N3" s="91">
        <v>0</v>
      </c>
      <c r="O3" s="91">
        <v>0.8</v>
      </c>
      <c r="P3" s="91">
        <v>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</row>
    <row r="4" spans="1:30" customFormat="1" x14ac:dyDescent="0.15">
      <c r="A4" s="155" t="s">
        <v>194</v>
      </c>
      <c r="B4" s="91">
        <v>0</v>
      </c>
      <c r="C4" s="91">
        <v>0</v>
      </c>
      <c r="D4" s="91">
        <v>0</v>
      </c>
      <c r="E4" s="91">
        <v>0.8</v>
      </c>
      <c r="F4" s="91">
        <v>0.8</v>
      </c>
      <c r="G4" s="91">
        <v>0.8</v>
      </c>
      <c r="H4" s="91">
        <v>0.8</v>
      </c>
      <c r="I4" s="91">
        <v>0.8</v>
      </c>
      <c r="J4" s="91">
        <v>0.8</v>
      </c>
      <c r="K4" s="91">
        <v>0.8</v>
      </c>
      <c r="L4" s="91">
        <v>0.8</v>
      </c>
      <c r="M4" s="91">
        <v>0</v>
      </c>
      <c r="N4" s="91">
        <v>0.8</v>
      </c>
      <c r="O4" s="91">
        <v>0</v>
      </c>
      <c r="P4" s="91">
        <v>0</v>
      </c>
      <c r="Q4" s="91">
        <v>0.8</v>
      </c>
      <c r="R4" s="91">
        <v>0</v>
      </c>
      <c r="S4" s="91">
        <v>0</v>
      </c>
      <c r="T4" s="91">
        <v>0</v>
      </c>
      <c r="U4" s="91">
        <v>0</v>
      </c>
    </row>
    <row r="5" spans="1:30" customFormat="1" x14ac:dyDescent="0.15">
      <c r="A5" s="155" t="s">
        <v>195</v>
      </c>
      <c r="B5" s="91">
        <v>0</v>
      </c>
      <c r="C5" s="91">
        <v>0</v>
      </c>
      <c r="D5" s="91">
        <v>0</v>
      </c>
      <c r="E5" s="91">
        <v>0.8</v>
      </c>
      <c r="F5" s="91">
        <v>0</v>
      </c>
      <c r="G5" s="91">
        <v>0</v>
      </c>
      <c r="H5" s="91">
        <v>0.8</v>
      </c>
      <c r="I5" s="91">
        <v>0</v>
      </c>
      <c r="J5" s="91">
        <v>0</v>
      </c>
      <c r="K5" s="91">
        <v>0</v>
      </c>
      <c r="L5" s="91">
        <v>0.8</v>
      </c>
      <c r="M5" s="91">
        <v>0.8</v>
      </c>
      <c r="N5" s="91">
        <v>0.8</v>
      </c>
      <c r="O5" s="91">
        <v>0</v>
      </c>
      <c r="P5" s="91">
        <v>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</row>
    <row r="6" spans="1:30" customFormat="1" x14ac:dyDescent="0.15">
      <c r="A6" s="155" t="s">
        <v>196</v>
      </c>
      <c r="B6" s="91">
        <v>0</v>
      </c>
      <c r="C6" s="91">
        <v>0</v>
      </c>
      <c r="D6" s="91">
        <v>0</v>
      </c>
      <c r="E6" s="91">
        <v>0</v>
      </c>
      <c r="F6" s="91">
        <v>0.8</v>
      </c>
      <c r="G6" s="91">
        <v>0</v>
      </c>
      <c r="H6" s="91">
        <v>0</v>
      </c>
      <c r="I6" s="91">
        <v>0</v>
      </c>
      <c r="J6" s="91">
        <v>0</v>
      </c>
      <c r="K6" s="91">
        <v>0</v>
      </c>
      <c r="L6" s="91">
        <v>0</v>
      </c>
      <c r="M6" s="91">
        <v>0</v>
      </c>
      <c r="N6" s="91">
        <v>0.8</v>
      </c>
      <c r="O6" s="91">
        <v>0.8</v>
      </c>
      <c r="P6" s="91">
        <v>0</v>
      </c>
      <c r="Q6" s="91">
        <v>0</v>
      </c>
      <c r="R6" s="91">
        <v>0</v>
      </c>
      <c r="S6" s="91">
        <v>0.8</v>
      </c>
      <c r="T6" s="91">
        <v>0</v>
      </c>
      <c r="U6" s="91">
        <v>0</v>
      </c>
    </row>
    <row r="7" spans="1:30" customFormat="1" x14ac:dyDescent="0.15">
      <c r="A7" s="155" t="s">
        <v>197</v>
      </c>
      <c r="B7" s="91">
        <v>0</v>
      </c>
      <c r="C7" s="91">
        <v>0</v>
      </c>
      <c r="D7" s="91">
        <v>0</v>
      </c>
      <c r="E7" s="91">
        <v>0</v>
      </c>
      <c r="F7" s="91">
        <v>0</v>
      </c>
      <c r="G7" s="91">
        <v>0</v>
      </c>
      <c r="H7" s="91">
        <v>0</v>
      </c>
      <c r="I7" s="91">
        <v>0.8</v>
      </c>
      <c r="J7" s="91">
        <v>0.8</v>
      </c>
      <c r="K7" s="91">
        <v>0.8</v>
      </c>
      <c r="L7" s="91">
        <v>0.8</v>
      </c>
      <c r="M7" s="91">
        <v>0</v>
      </c>
      <c r="N7" s="91">
        <v>0.8</v>
      </c>
      <c r="O7" s="91">
        <v>0.8</v>
      </c>
      <c r="P7" s="91">
        <v>0.8</v>
      </c>
      <c r="Q7" s="91">
        <v>0.8</v>
      </c>
      <c r="R7" s="91">
        <v>0.8</v>
      </c>
      <c r="S7" s="91">
        <v>0</v>
      </c>
      <c r="T7" s="91">
        <v>0</v>
      </c>
      <c r="U7" s="91">
        <v>0</v>
      </c>
    </row>
    <row r="8" spans="1:30" customFormat="1" x14ac:dyDescent="0.15">
      <c r="A8" s="155" t="s">
        <v>198</v>
      </c>
      <c r="B8" s="91">
        <v>0</v>
      </c>
      <c r="C8" s="91">
        <v>0</v>
      </c>
      <c r="D8" s="91">
        <v>0</v>
      </c>
      <c r="E8" s="91">
        <v>0</v>
      </c>
      <c r="F8" s="91">
        <v>0</v>
      </c>
      <c r="G8" s="91">
        <v>0</v>
      </c>
      <c r="H8" s="91">
        <v>0.8</v>
      </c>
      <c r="I8" s="91">
        <v>0</v>
      </c>
      <c r="J8" s="91">
        <v>0</v>
      </c>
      <c r="K8" s="91">
        <v>0</v>
      </c>
      <c r="L8" s="91">
        <v>0</v>
      </c>
      <c r="M8" s="91">
        <v>0</v>
      </c>
      <c r="N8" s="91">
        <v>0.8</v>
      </c>
      <c r="O8" s="91">
        <v>0</v>
      </c>
      <c r="P8" s="91">
        <v>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</row>
    <row r="9" spans="1:30" customFormat="1" x14ac:dyDescent="0.15">
      <c r="A9" s="155" t="s">
        <v>199</v>
      </c>
      <c r="B9" s="91">
        <v>0</v>
      </c>
      <c r="C9" s="91">
        <v>0</v>
      </c>
      <c r="D9" s="91">
        <v>0</v>
      </c>
      <c r="E9" s="91">
        <v>0</v>
      </c>
      <c r="F9" s="91">
        <v>0</v>
      </c>
      <c r="G9" s="91">
        <v>0</v>
      </c>
      <c r="H9" s="91">
        <v>0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0.8</v>
      </c>
      <c r="O9" s="91">
        <v>0</v>
      </c>
      <c r="P9" s="91">
        <v>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</row>
    <row r="10" spans="1:30" customFormat="1" x14ac:dyDescent="0.15">
      <c r="A10" s="155" t="s">
        <v>200</v>
      </c>
      <c r="B10" s="91">
        <v>0</v>
      </c>
      <c r="C10" s="91">
        <v>0</v>
      </c>
      <c r="D10" s="91">
        <v>0</v>
      </c>
      <c r="E10" s="91">
        <v>0</v>
      </c>
      <c r="F10" s="91">
        <v>0</v>
      </c>
      <c r="G10" s="91">
        <v>0</v>
      </c>
      <c r="H10" s="91">
        <v>0</v>
      </c>
      <c r="I10" s="91">
        <v>0</v>
      </c>
      <c r="J10" s="91">
        <v>0</v>
      </c>
      <c r="K10" s="91">
        <v>0</v>
      </c>
      <c r="L10" s="91">
        <v>0</v>
      </c>
      <c r="M10" s="91">
        <v>0</v>
      </c>
      <c r="N10" s="91">
        <v>0.8</v>
      </c>
      <c r="O10" s="91">
        <v>0</v>
      </c>
      <c r="P10" s="91">
        <v>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</row>
    <row r="11" spans="1:30" customFormat="1" x14ac:dyDescent="0.15">
      <c r="A11" s="155" t="s">
        <v>201</v>
      </c>
      <c r="B11" s="91">
        <v>0</v>
      </c>
      <c r="C11" s="91">
        <v>0</v>
      </c>
      <c r="D11" s="91">
        <v>0</v>
      </c>
      <c r="E11" s="91">
        <v>0</v>
      </c>
      <c r="F11" s="91">
        <v>0</v>
      </c>
      <c r="G11" s="91">
        <v>0</v>
      </c>
      <c r="H11" s="91">
        <v>0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0.8</v>
      </c>
      <c r="O11" s="91">
        <v>0</v>
      </c>
      <c r="P11" s="91">
        <v>0</v>
      </c>
      <c r="Q11" s="91">
        <v>0.8</v>
      </c>
      <c r="R11" s="91">
        <v>0.8</v>
      </c>
      <c r="S11" s="91">
        <v>0.8</v>
      </c>
      <c r="T11" s="91">
        <v>0</v>
      </c>
      <c r="U11" s="91">
        <v>0</v>
      </c>
    </row>
    <row r="12" spans="1:30" customFormat="1" x14ac:dyDescent="0.15">
      <c r="A12" s="155" t="s">
        <v>202</v>
      </c>
      <c r="B12" s="91">
        <v>0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0.8</v>
      </c>
      <c r="O12" s="91">
        <v>0.8</v>
      </c>
      <c r="P12" s="91">
        <v>0.8</v>
      </c>
      <c r="Q12" s="91">
        <v>0.8</v>
      </c>
      <c r="R12" s="91">
        <v>0.8</v>
      </c>
      <c r="S12" s="91">
        <v>0.8</v>
      </c>
      <c r="T12" s="91">
        <v>0</v>
      </c>
      <c r="U12" s="91">
        <v>0</v>
      </c>
    </row>
    <row r="13" spans="1:30" customFormat="1" x14ac:dyDescent="0.15">
      <c r="A13" s="155" t="s">
        <v>203</v>
      </c>
      <c r="B13" s="91">
        <v>0</v>
      </c>
      <c r="C13" s="91">
        <v>0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91">
        <v>0</v>
      </c>
      <c r="P13" s="91">
        <v>0</v>
      </c>
      <c r="Q13" s="91">
        <v>0</v>
      </c>
      <c r="R13" s="91">
        <v>0.8</v>
      </c>
      <c r="S13" s="91">
        <v>0</v>
      </c>
      <c r="T13" s="91">
        <v>0</v>
      </c>
      <c r="U13" s="91">
        <v>0</v>
      </c>
    </row>
    <row r="14" spans="1:30" customFormat="1" x14ac:dyDescent="0.15">
      <c r="A14" s="155" t="s">
        <v>204</v>
      </c>
      <c r="B14" s="91">
        <v>0</v>
      </c>
      <c r="C14" s="91">
        <v>0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0.8</v>
      </c>
      <c r="O14" s="91">
        <v>0.8</v>
      </c>
      <c r="P14" s="91">
        <v>0</v>
      </c>
      <c r="Q14" s="91">
        <v>0.8</v>
      </c>
      <c r="R14" s="91">
        <v>0.8</v>
      </c>
      <c r="S14" s="91">
        <v>0.8</v>
      </c>
      <c r="T14" s="91">
        <v>0</v>
      </c>
      <c r="U14" s="91">
        <v>0</v>
      </c>
    </row>
    <row r="15" spans="1:30" customFormat="1" x14ac:dyDescent="0.15">
      <c r="A15" s="155" t="s">
        <v>205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91">
        <v>0</v>
      </c>
      <c r="P15" s="91">
        <v>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</row>
    <row r="16" spans="1:30" customFormat="1" x14ac:dyDescent="0.15">
      <c r="A16" s="155" t="s">
        <v>206</v>
      </c>
      <c r="B16" s="91">
        <v>0</v>
      </c>
      <c r="C16" s="91">
        <v>0</v>
      </c>
      <c r="D16" s="91">
        <v>0</v>
      </c>
      <c r="E16" s="91">
        <v>0</v>
      </c>
      <c r="F16" s="91">
        <v>0</v>
      </c>
      <c r="G16" s="91">
        <v>0</v>
      </c>
      <c r="H16" s="91">
        <v>0</v>
      </c>
      <c r="I16" s="91">
        <v>0</v>
      </c>
      <c r="J16" s="91">
        <v>0</v>
      </c>
      <c r="K16" s="91">
        <v>0</v>
      </c>
      <c r="L16" s="91">
        <v>0</v>
      </c>
      <c r="M16" s="91">
        <v>0</v>
      </c>
      <c r="N16" s="91">
        <v>0</v>
      </c>
      <c r="O16" s="91">
        <v>0</v>
      </c>
      <c r="P16" s="91">
        <v>0</v>
      </c>
      <c r="Q16" s="91">
        <v>0.8</v>
      </c>
      <c r="R16" s="91">
        <v>0.8</v>
      </c>
      <c r="S16" s="91">
        <v>0.8</v>
      </c>
      <c r="T16" s="91">
        <v>0</v>
      </c>
      <c r="U16" s="91">
        <v>0</v>
      </c>
    </row>
    <row r="17" spans="1:21" customFormat="1" x14ac:dyDescent="0.15">
      <c r="A17" s="155" t="s">
        <v>207</v>
      </c>
      <c r="B17" s="91">
        <v>0</v>
      </c>
      <c r="C17" s="91">
        <v>0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91">
        <v>0</v>
      </c>
      <c r="P17" s="91">
        <v>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</row>
    <row r="18" spans="1:21" customFormat="1" x14ac:dyDescent="0.15">
      <c r="A18" s="155" t="s">
        <v>208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0.8</v>
      </c>
      <c r="R18" s="91">
        <v>0</v>
      </c>
      <c r="S18" s="91">
        <v>0</v>
      </c>
      <c r="T18" s="91">
        <v>0</v>
      </c>
      <c r="U18" s="91">
        <v>0</v>
      </c>
    </row>
    <row r="19" spans="1:21" customFormat="1" x14ac:dyDescent="0.15">
      <c r="A19" s="155" t="s">
        <v>209</v>
      </c>
      <c r="B19" s="91">
        <v>0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91">
        <v>0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0.8</v>
      </c>
      <c r="R19" s="91">
        <v>0</v>
      </c>
      <c r="S19" s="91">
        <v>0</v>
      </c>
      <c r="T19" s="91">
        <v>0</v>
      </c>
      <c r="U19" s="91">
        <v>0</v>
      </c>
    </row>
    <row r="20" spans="1:21" customFormat="1" x14ac:dyDescent="0.15">
      <c r="A20" s="155" t="s">
        <v>210</v>
      </c>
      <c r="B20" s="91">
        <v>0</v>
      </c>
      <c r="C20" s="91">
        <v>0</v>
      </c>
      <c r="D20" s="91">
        <v>0.8</v>
      </c>
      <c r="E20" s="91">
        <v>0.8</v>
      </c>
      <c r="F20" s="91">
        <v>0.8</v>
      </c>
      <c r="G20" s="91">
        <v>0</v>
      </c>
      <c r="H20" s="91">
        <v>0.8</v>
      </c>
      <c r="I20" s="91">
        <v>0</v>
      </c>
      <c r="J20" s="91">
        <v>0</v>
      </c>
      <c r="K20" s="91">
        <v>0</v>
      </c>
      <c r="L20" s="91">
        <v>0</v>
      </c>
      <c r="M20" s="91">
        <v>0</v>
      </c>
      <c r="N20" s="91">
        <v>0</v>
      </c>
      <c r="O20" s="91">
        <v>0</v>
      </c>
      <c r="P20" s="91">
        <v>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</row>
    <row r="21" spans="1:21" customFormat="1" x14ac:dyDescent="0.15">
      <c r="A21" s="155" t="s">
        <v>211</v>
      </c>
      <c r="B21" s="91">
        <v>0</v>
      </c>
      <c r="C21" s="91">
        <v>0</v>
      </c>
      <c r="D21" s="91">
        <v>0</v>
      </c>
      <c r="E21" s="91">
        <v>0</v>
      </c>
      <c r="F21" s="91">
        <v>0</v>
      </c>
      <c r="G21" s="91">
        <v>0</v>
      </c>
      <c r="H21" s="91">
        <v>0</v>
      </c>
      <c r="I21" s="91">
        <v>0</v>
      </c>
      <c r="J21" s="91">
        <v>0</v>
      </c>
      <c r="K21" s="91">
        <v>0</v>
      </c>
      <c r="L21" s="91">
        <v>0</v>
      </c>
      <c r="M21" s="91">
        <v>0</v>
      </c>
      <c r="N21" s="91">
        <v>0</v>
      </c>
      <c r="O21" s="91">
        <v>0</v>
      </c>
      <c r="P21" s="91">
        <v>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</row>
    <row r="22" spans="1:21" customFormat="1" x14ac:dyDescent="0.15">
      <c r="A22" s="155" t="s">
        <v>213</v>
      </c>
      <c r="B22" s="91">
        <v>0</v>
      </c>
      <c r="C22" s="91">
        <v>0</v>
      </c>
      <c r="D22" s="91">
        <v>0</v>
      </c>
      <c r="E22" s="91">
        <v>0</v>
      </c>
      <c r="F22" s="91">
        <v>0</v>
      </c>
      <c r="G22" s="91">
        <v>0</v>
      </c>
      <c r="H22" s="91">
        <v>0</v>
      </c>
      <c r="I22" s="91">
        <v>0</v>
      </c>
      <c r="J22" s="91">
        <v>0</v>
      </c>
      <c r="K22" s="91">
        <v>0</v>
      </c>
      <c r="L22" s="91">
        <v>0</v>
      </c>
      <c r="M22" s="91">
        <v>0</v>
      </c>
      <c r="N22" s="91">
        <v>0</v>
      </c>
      <c r="O22" s="91">
        <v>0</v>
      </c>
      <c r="P22" s="91">
        <v>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21" width="2.33203125" style="91" customWidth="1"/>
    <col min="22" max="16384" width="10.83203125" style="91"/>
  </cols>
  <sheetData>
    <row r="1" spans="1:31" x14ac:dyDescent="0.15">
      <c r="A1" s="55" t="s">
        <v>139</v>
      </c>
      <c r="B1" s="158" t="s">
        <v>192</v>
      </c>
      <c r="C1" s="158" t="s">
        <v>193</v>
      </c>
      <c r="D1" s="158" t="s">
        <v>194</v>
      </c>
      <c r="E1" s="158" t="s">
        <v>195</v>
      </c>
      <c r="F1" s="158" t="s">
        <v>196</v>
      </c>
      <c r="G1" s="158" t="s">
        <v>197</v>
      </c>
      <c r="H1" s="158" t="s">
        <v>198</v>
      </c>
      <c r="I1" s="158" t="s">
        <v>199</v>
      </c>
      <c r="J1" s="158" t="s">
        <v>200</v>
      </c>
      <c r="K1" s="158" t="s">
        <v>201</v>
      </c>
      <c r="L1" s="158" t="s">
        <v>202</v>
      </c>
      <c r="M1" s="158" t="s">
        <v>203</v>
      </c>
      <c r="N1" s="158" t="s">
        <v>204</v>
      </c>
      <c r="O1" s="158" t="s">
        <v>205</v>
      </c>
      <c r="P1" s="158" t="s">
        <v>206</v>
      </c>
      <c r="Q1" s="158" t="s">
        <v>207</v>
      </c>
      <c r="R1" s="158" t="s">
        <v>208</v>
      </c>
      <c r="S1" s="158" t="s">
        <v>209</v>
      </c>
      <c r="T1" s="158" t="s">
        <v>210</v>
      </c>
      <c r="U1" s="158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7" t="s">
        <v>192</v>
      </c>
      <c r="B2" s="91">
        <v>0</v>
      </c>
      <c r="C2" s="91">
        <v>0</v>
      </c>
      <c r="D2" s="91">
        <v>1</v>
      </c>
      <c r="E2" s="91">
        <v>0</v>
      </c>
      <c r="F2" s="91">
        <v>1</v>
      </c>
      <c r="G2" s="91">
        <v>1</v>
      </c>
      <c r="H2" s="91">
        <v>0</v>
      </c>
      <c r="I2" s="91">
        <v>0</v>
      </c>
      <c r="J2" s="91">
        <v>0</v>
      </c>
      <c r="K2" s="91">
        <v>0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</row>
    <row r="3" spans="1:31" customFormat="1" x14ac:dyDescent="0.15">
      <c r="A3" s="157" t="s">
        <v>193</v>
      </c>
      <c r="B3" s="91">
        <v>0</v>
      </c>
      <c r="C3" s="91">
        <v>0</v>
      </c>
      <c r="D3" s="91">
        <v>0</v>
      </c>
      <c r="E3" s="91">
        <v>0</v>
      </c>
      <c r="F3" s="91">
        <v>0</v>
      </c>
      <c r="G3" s="91">
        <v>0</v>
      </c>
      <c r="H3" s="91">
        <v>1</v>
      </c>
      <c r="I3" s="91">
        <v>0</v>
      </c>
      <c r="J3" s="91">
        <v>0</v>
      </c>
      <c r="K3" s="91">
        <v>0</v>
      </c>
      <c r="L3" s="91">
        <v>0</v>
      </c>
      <c r="M3" s="91">
        <v>0</v>
      </c>
      <c r="N3" s="91">
        <v>0</v>
      </c>
      <c r="O3" s="91">
        <v>1</v>
      </c>
      <c r="P3" s="91">
        <v>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</row>
    <row r="4" spans="1:31" customFormat="1" x14ac:dyDescent="0.15">
      <c r="A4" s="157" t="s">
        <v>194</v>
      </c>
      <c r="B4" s="91">
        <v>0</v>
      </c>
      <c r="C4" s="91">
        <v>0</v>
      </c>
      <c r="D4" s="91">
        <v>0</v>
      </c>
      <c r="E4" s="91">
        <v>1</v>
      </c>
      <c r="F4" s="91">
        <v>1</v>
      </c>
      <c r="G4" s="91">
        <v>1</v>
      </c>
      <c r="H4" s="91">
        <v>1</v>
      </c>
      <c r="I4" s="91">
        <v>1</v>
      </c>
      <c r="J4" s="91">
        <v>1</v>
      </c>
      <c r="K4" s="91">
        <v>1</v>
      </c>
      <c r="L4" s="91">
        <v>1</v>
      </c>
      <c r="M4" s="91">
        <v>0</v>
      </c>
      <c r="N4" s="91">
        <v>1</v>
      </c>
      <c r="O4" s="91">
        <v>0</v>
      </c>
      <c r="P4" s="91">
        <v>0</v>
      </c>
      <c r="Q4" s="91">
        <v>1</v>
      </c>
      <c r="R4" s="91">
        <v>0</v>
      </c>
      <c r="S4" s="91">
        <v>0</v>
      </c>
      <c r="T4" s="91">
        <v>0</v>
      </c>
      <c r="U4" s="91">
        <v>0</v>
      </c>
    </row>
    <row r="5" spans="1:31" customFormat="1" x14ac:dyDescent="0.15">
      <c r="A5" s="157" t="s">
        <v>195</v>
      </c>
      <c r="B5" s="91">
        <v>0</v>
      </c>
      <c r="C5" s="91">
        <v>0</v>
      </c>
      <c r="D5" s="91">
        <v>0</v>
      </c>
      <c r="E5" s="91">
        <v>1</v>
      </c>
      <c r="F5" s="91">
        <v>0</v>
      </c>
      <c r="G5" s="91">
        <v>0</v>
      </c>
      <c r="H5" s="91">
        <v>1</v>
      </c>
      <c r="I5" s="91">
        <v>0</v>
      </c>
      <c r="J5" s="91">
        <v>0</v>
      </c>
      <c r="K5" s="91">
        <v>0</v>
      </c>
      <c r="L5" s="91">
        <v>1</v>
      </c>
      <c r="M5" s="91">
        <v>1</v>
      </c>
      <c r="N5" s="91">
        <v>1</v>
      </c>
      <c r="O5" s="91">
        <v>0</v>
      </c>
      <c r="P5" s="91">
        <v>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</row>
    <row r="6" spans="1:31" customFormat="1" x14ac:dyDescent="0.15">
      <c r="A6" s="157" t="s">
        <v>196</v>
      </c>
      <c r="B6" s="91">
        <v>0</v>
      </c>
      <c r="C6" s="91">
        <v>0</v>
      </c>
      <c r="D6" s="91">
        <v>0</v>
      </c>
      <c r="E6" s="91">
        <v>0</v>
      </c>
      <c r="F6" s="91">
        <v>1</v>
      </c>
      <c r="G6" s="91">
        <v>0</v>
      </c>
      <c r="H6" s="91">
        <v>0</v>
      </c>
      <c r="I6" s="91">
        <v>0</v>
      </c>
      <c r="J6" s="91">
        <v>0</v>
      </c>
      <c r="K6" s="91">
        <v>0</v>
      </c>
      <c r="L6" s="91">
        <v>0</v>
      </c>
      <c r="M6" s="91">
        <v>0</v>
      </c>
      <c r="N6" s="91">
        <v>1</v>
      </c>
      <c r="O6" s="91">
        <v>1</v>
      </c>
      <c r="P6" s="91">
        <v>0</v>
      </c>
      <c r="Q6" s="91">
        <v>0</v>
      </c>
      <c r="R6" s="91">
        <v>0</v>
      </c>
      <c r="S6" s="91">
        <v>1</v>
      </c>
      <c r="T6" s="91">
        <v>0</v>
      </c>
      <c r="U6" s="91">
        <v>0</v>
      </c>
    </row>
    <row r="7" spans="1:31" customFormat="1" x14ac:dyDescent="0.15">
      <c r="A7" s="157" t="s">
        <v>197</v>
      </c>
      <c r="B7" s="91">
        <v>0</v>
      </c>
      <c r="C7" s="91">
        <v>0</v>
      </c>
      <c r="D7" s="91">
        <v>0</v>
      </c>
      <c r="E7" s="91">
        <v>0</v>
      </c>
      <c r="F7" s="91">
        <v>0</v>
      </c>
      <c r="G7" s="91">
        <v>0</v>
      </c>
      <c r="H7" s="91">
        <v>0</v>
      </c>
      <c r="I7" s="91">
        <v>1</v>
      </c>
      <c r="J7" s="91">
        <v>1</v>
      </c>
      <c r="K7" s="91">
        <v>1</v>
      </c>
      <c r="L7" s="91">
        <v>1</v>
      </c>
      <c r="M7" s="91">
        <v>0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0</v>
      </c>
      <c r="T7" s="91">
        <v>0</v>
      </c>
      <c r="U7" s="91">
        <v>0</v>
      </c>
    </row>
    <row r="8" spans="1:31" customFormat="1" x14ac:dyDescent="0.15">
      <c r="A8" s="157" t="s">
        <v>198</v>
      </c>
      <c r="B8" s="91">
        <v>0</v>
      </c>
      <c r="C8" s="91">
        <v>0</v>
      </c>
      <c r="D8" s="91">
        <v>0</v>
      </c>
      <c r="E8" s="91">
        <v>0</v>
      </c>
      <c r="F8" s="91">
        <v>0</v>
      </c>
      <c r="G8" s="91">
        <v>0</v>
      </c>
      <c r="H8" s="91">
        <v>1</v>
      </c>
      <c r="I8" s="91">
        <v>0</v>
      </c>
      <c r="J8" s="91">
        <v>0</v>
      </c>
      <c r="K8" s="91">
        <v>0</v>
      </c>
      <c r="L8" s="91">
        <v>0</v>
      </c>
      <c r="M8" s="91">
        <v>0</v>
      </c>
      <c r="N8" s="91">
        <v>1</v>
      </c>
      <c r="O8" s="91">
        <v>0</v>
      </c>
      <c r="P8" s="91">
        <v>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</row>
    <row r="9" spans="1:31" customFormat="1" x14ac:dyDescent="0.15">
      <c r="A9" s="157" t="s">
        <v>199</v>
      </c>
      <c r="B9" s="91">
        <v>0</v>
      </c>
      <c r="C9" s="91">
        <v>0</v>
      </c>
      <c r="D9" s="91">
        <v>0</v>
      </c>
      <c r="E9" s="91">
        <v>0</v>
      </c>
      <c r="F9" s="91">
        <v>0</v>
      </c>
      <c r="G9" s="91">
        <v>0</v>
      </c>
      <c r="H9" s="91">
        <v>0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1</v>
      </c>
      <c r="O9" s="91">
        <v>0</v>
      </c>
      <c r="P9" s="91">
        <v>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</row>
    <row r="10" spans="1:31" customFormat="1" x14ac:dyDescent="0.15">
      <c r="A10" s="157" t="s">
        <v>200</v>
      </c>
      <c r="B10" s="91">
        <v>0</v>
      </c>
      <c r="C10" s="91">
        <v>0</v>
      </c>
      <c r="D10" s="91">
        <v>0</v>
      </c>
      <c r="E10" s="91">
        <v>0</v>
      </c>
      <c r="F10" s="91">
        <v>0</v>
      </c>
      <c r="G10" s="91">
        <v>0</v>
      </c>
      <c r="H10" s="91">
        <v>0</v>
      </c>
      <c r="I10" s="91">
        <v>0</v>
      </c>
      <c r="J10" s="91">
        <v>0</v>
      </c>
      <c r="K10" s="91">
        <v>0</v>
      </c>
      <c r="L10" s="91">
        <v>0</v>
      </c>
      <c r="M10" s="91">
        <v>0</v>
      </c>
      <c r="N10" s="91">
        <v>1</v>
      </c>
      <c r="O10" s="91">
        <v>0</v>
      </c>
      <c r="P10" s="91">
        <v>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</row>
    <row r="11" spans="1:31" customFormat="1" x14ac:dyDescent="0.15">
      <c r="A11" s="157" t="s">
        <v>201</v>
      </c>
      <c r="B11" s="91">
        <v>0</v>
      </c>
      <c r="C11" s="91">
        <v>0</v>
      </c>
      <c r="D11" s="91">
        <v>0</v>
      </c>
      <c r="E11" s="91">
        <v>0</v>
      </c>
      <c r="F11" s="91">
        <v>0</v>
      </c>
      <c r="G11" s="91">
        <v>0</v>
      </c>
      <c r="H11" s="91">
        <v>0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1</v>
      </c>
      <c r="O11" s="91">
        <v>0</v>
      </c>
      <c r="P11" s="91">
        <v>0</v>
      </c>
      <c r="Q11" s="91">
        <v>1</v>
      </c>
      <c r="R11" s="91">
        <v>1</v>
      </c>
      <c r="S11" s="91">
        <v>1</v>
      </c>
      <c r="T11" s="91">
        <v>0</v>
      </c>
      <c r="U11" s="91">
        <v>0</v>
      </c>
    </row>
    <row r="12" spans="1:31" customFormat="1" x14ac:dyDescent="0.15">
      <c r="A12" s="157" t="s">
        <v>202</v>
      </c>
      <c r="B12" s="91">
        <v>0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0</v>
      </c>
      <c r="U12" s="91">
        <v>0</v>
      </c>
    </row>
    <row r="13" spans="1:31" customFormat="1" x14ac:dyDescent="0.15">
      <c r="A13" s="157" t="s">
        <v>203</v>
      </c>
      <c r="B13" s="91">
        <v>0</v>
      </c>
      <c r="C13" s="91">
        <v>0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91">
        <v>0</v>
      </c>
      <c r="P13" s="91">
        <v>0</v>
      </c>
      <c r="Q13" s="91">
        <v>0</v>
      </c>
      <c r="R13" s="91">
        <v>1</v>
      </c>
      <c r="S13" s="91">
        <v>0</v>
      </c>
      <c r="T13" s="91">
        <v>0</v>
      </c>
      <c r="U13" s="91">
        <v>0</v>
      </c>
    </row>
    <row r="14" spans="1:31" customFormat="1" x14ac:dyDescent="0.15">
      <c r="A14" s="157" t="s">
        <v>204</v>
      </c>
      <c r="B14" s="91">
        <v>0</v>
      </c>
      <c r="C14" s="91">
        <v>0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1</v>
      </c>
      <c r="O14" s="91">
        <v>1</v>
      </c>
      <c r="P14" s="91">
        <v>0</v>
      </c>
      <c r="Q14" s="91">
        <v>1</v>
      </c>
      <c r="R14" s="91">
        <v>1</v>
      </c>
      <c r="S14" s="91">
        <v>1</v>
      </c>
      <c r="T14" s="91">
        <v>0</v>
      </c>
      <c r="U14" s="91">
        <v>0</v>
      </c>
    </row>
    <row r="15" spans="1:31" customFormat="1" x14ac:dyDescent="0.15">
      <c r="A15" s="157" t="s">
        <v>205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91">
        <v>0</v>
      </c>
      <c r="P15" s="91">
        <v>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</row>
    <row r="16" spans="1:31" customFormat="1" x14ac:dyDescent="0.15">
      <c r="A16" s="157" t="s">
        <v>206</v>
      </c>
      <c r="B16" s="91">
        <v>0</v>
      </c>
      <c r="C16" s="91">
        <v>0</v>
      </c>
      <c r="D16" s="91">
        <v>0</v>
      </c>
      <c r="E16" s="91">
        <v>0</v>
      </c>
      <c r="F16" s="91">
        <v>0</v>
      </c>
      <c r="G16" s="91">
        <v>0</v>
      </c>
      <c r="H16" s="91">
        <v>0</v>
      </c>
      <c r="I16" s="91">
        <v>0</v>
      </c>
      <c r="J16" s="91">
        <v>0</v>
      </c>
      <c r="K16" s="91">
        <v>0</v>
      </c>
      <c r="L16" s="91">
        <v>0</v>
      </c>
      <c r="M16" s="91">
        <v>0</v>
      </c>
      <c r="N16" s="91">
        <v>0</v>
      </c>
      <c r="O16" s="91">
        <v>0</v>
      </c>
      <c r="P16" s="91">
        <v>0</v>
      </c>
      <c r="Q16" s="91">
        <v>1</v>
      </c>
      <c r="R16" s="91">
        <v>1</v>
      </c>
      <c r="S16" s="91">
        <v>1</v>
      </c>
      <c r="T16" s="91">
        <v>0</v>
      </c>
      <c r="U16" s="91">
        <v>0</v>
      </c>
    </row>
    <row r="17" spans="1:21" customFormat="1" x14ac:dyDescent="0.15">
      <c r="A17" s="157" t="s">
        <v>207</v>
      </c>
      <c r="B17" s="91">
        <v>0</v>
      </c>
      <c r="C17" s="91">
        <v>0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91">
        <v>0</v>
      </c>
      <c r="P17" s="91">
        <v>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</row>
    <row r="18" spans="1:21" customFormat="1" x14ac:dyDescent="0.15">
      <c r="A18" s="157" t="s">
        <v>208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1</v>
      </c>
      <c r="R18" s="91">
        <v>0</v>
      </c>
      <c r="S18" s="91">
        <v>0</v>
      </c>
      <c r="T18" s="91">
        <v>0</v>
      </c>
      <c r="U18" s="91">
        <v>0</v>
      </c>
    </row>
    <row r="19" spans="1:21" customFormat="1" x14ac:dyDescent="0.15">
      <c r="A19" s="157" t="s">
        <v>209</v>
      </c>
      <c r="B19" s="91">
        <v>0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91">
        <v>0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1</v>
      </c>
      <c r="R19" s="91">
        <v>0</v>
      </c>
      <c r="S19" s="91">
        <v>0</v>
      </c>
      <c r="T19" s="91">
        <v>0</v>
      </c>
      <c r="U19" s="91">
        <v>0</v>
      </c>
    </row>
    <row r="20" spans="1:21" customFormat="1" x14ac:dyDescent="0.15">
      <c r="A20" s="157" t="s">
        <v>210</v>
      </c>
      <c r="B20" s="91">
        <v>0</v>
      </c>
      <c r="C20" s="91">
        <v>0</v>
      </c>
      <c r="D20" s="91">
        <v>1</v>
      </c>
      <c r="E20" s="91">
        <v>1</v>
      </c>
      <c r="F20" s="91">
        <v>1</v>
      </c>
      <c r="G20" s="91">
        <v>0</v>
      </c>
      <c r="H20" s="91">
        <v>1</v>
      </c>
      <c r="I20" s="91">
        <v>0</v>
      </c>
      <c r="J20" s="91">
        <v>0</v>
      </c>
      <c r="K20" s="91">
        <v>0</v>
      </c>
      <c r="L20" s="91">
        <v>0</v>
      </c>
      <c r="M20" s="91">
        <v>0</v>
      </c>
      <c r="N20" s="91">
        <v>0</v>
      </c>
      <c r="O20" s="91">
        <v>0</v>
      </c>
      <c r="P20" s="91">
        <v>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</row>
    <row r="21" spans="1:21" customFormat="1" x14ac:dyDescent="0.15">
      <c r="A21" s="157" t="s">
        <v>211</v>
      </c>
      <c r="B21" s="91">
        <v>0</v>
      </c>
      <c r="C21" s="91">
        <v>0</v>
      </c>
      <c r="D21" s="91">
        <v>0</v>
      </c>
      <c r="E21" s="91">
        <v>0</v>
      </c>
      <c r="F21" s="91">
        <v>0</v>
      </c>
      <c r="G21" s="91">
        <v>0</v>
      </c>
      <c r="H21" s="91">
        <v>0</v>
      </c>
      <c r="I21" s="91">
        <v>0</v>
      </c>
      <c r="J21" s="91">
        <v>0</v>
      </c>
      <c r="K21" s="91">
        <v>0</v>
      </c>
      <c r="L21" s="91">
        <v>0</v>
      </c>
      <c r="M21" s="91">
        <v>0</v>
      </c>
      <c r="N21" s="91">
        <v>0</v>
      </c>
      <c r="O21" s="91">
        <v>0</v>
      </c>
      <c r="P21" s="91">
        <v>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</row>
    <row r="22" spans="1:21" customFormat="1" x14ac:dyDescent="0.15">
      <c r="A22" s="157" t="s">
        <v>213</v>
      </c>
      <c r="B22" s="91">
        <v>0</v>
      </c>
      <c r="C22" s="91">
        <v>0</v>
      </c>
      <c r="D22" s="91">
        <v>0</v>
      </c>
      <c r="E22" s="91">
        <v>0</v>
      </c>
      <c r="F22" s="91">
        <v>0</v>
      </c>
      <c r="G22" s="91">
        <v>0</v>
      </c>
      <c r="H22" s="91">
        <v>0</v>
      </c>
      <c r="I22" s="91">
        <v>0</v>
      </c>
      <c r="J22" s="91">
        <v>0</v>
      </c>
      <c r="K22" s="91">
        <v>0</v>
      </c>
      <c r="L22" s="91">
        <v>0</v>
      </c>
      <c r="M22" s="91">
        <v>0</v>
      </c>
      <c r="N22" s="91">
        <v>0</v>
      </c>
      <c r="O22" s="91">
        <v>0</v>
      </c>
      <c r="P22" s="91">
        <v>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0" t="s">
        <v>212</v>
      </c>
    </row>
    <row r="2" spans="1:3" x14ac:dyDescent="0.15">
      <c r="A2">
        <v>1</v>
      </c>
      <c r="B2" s="159" t="s">
        <v>192</v>
      </c>
      <c r="C2">
        <v>0</v>
      </c>
    </row>
    <row r="3" spans="1:3" x14ac:dyDescent="0.15">
      <c r="A3">
        <v>2</v>
      </c>
      <c r="B3" s="159" t="s">
        <v>193</v>
      </c>
      <c r="C3">
        <v>0</v>
      </c>
    </row>
    <row r="4" spans="1:3" x14ac:dyDescent="0.15">
      <c r="A4">
        <v>3</v>
      </c>
      <c r="B4" s="159" t="s">
        <v>194</v>
      </c>
      <c r="C4">
        <v>0</v>
      </c>
    </row>
    <row r="5" spans="1:3" x14ac:dyDescent="0.15">
      <c r="A5">
        <v>4</v>
      </c>
      <c r="B5" s="159" t="s">
        <v>195</v>
      </c>
      <c r="C5">
        <v>0.8</v>
      </c>
    </row>
    <row r="6" spans="1:3" x14ac:dyDescent="0.15">
      <c r="A6">
        <v>5</v>
      </c>
      <c r="B6" s="159" t="s">
        <v>196</v>
      </c>
      <c r="C6">
        <v>0</v>
      </c>
    </row>
    <row r="7" spans="1:3" x14ac:dyDescent="0.15">
      <c r="A7">
        <v>6</v>
      </c>
      <c r="B7" s="159" t="s">
        <v>197</v>
      </c>
      <c r="C7">
        <v>0</v>
      </c>
    </row>
    <row r="8" spans="1:3" x14ac:dyDescent="0.15">
      <c r="A8">
        <v>7</v>
      </c>
      <c r="B8" s="159" t="s">
        <v>198</v>
      </c>
      <c r="C8">
        <v>0.8</v>
      </c>
    </row>
    <row r="9" spans="1:3" x14ac:dyDescent="0.15">
      <c r="A9">
        <v>8</v>
      </c>
      <c r="B9" s="159" t="s">
        <v>199</v>
      </c>
      <c r="C9">
        <v>0</v>
      </c>
    </row>
    <row r="10" spans="1:3" x14ac:dyDescent="0.15">
      <c r="A10">
        <v>9</v>
      </c>
      <c r="B10" s="159" t="s">
        <v>200</v>
      </c>
      <c r="C10">
        <v>0</v>
      </c>
    </row>
    <row r="11" spans="1:3" x14ac:dyDescent="0.15">
      <c r="A11">
        <v>10</v>
      </c>
      <c r="B11" s="159" t="s">
        <v>201</v>
      </c>
      <c r="C11">
        <v>0.8</v>
      </c>
    </row>
    <row r="12" spans="1:3" x14ac:dyDescent="0.15">
      <c r="A12">
        <v>11</v>
      </c>
      <c r="B12" s="159" t="s">
        <v>202</v>
      </c>
      <c r="C12">
        <v>0</v>
      </c>
    </row>
    <row r="13" spans="1:3" x14ac:dyDescent="0.15">
      <c r="A13">
        <v>12</v>
      </c>
      <c r="B13" s="159" t="s">
        <v>203</v>
      </c>
      <c r="C13">
        <v>0</v>
      </c>
    </row>
    <row r="14" spans="1:3" x14ac:dyDescent="0.15">
      <c r="A14">
        <v>13</v>
      </c>
      <c r="B14" s="159" t="s">
        <v>204</v>
      </c>
      <c r="C14">
        <v>0.8</v>
      </c>
    </row>
    <row r="15" spans="1:3" x14ac:dyDescent="0.15">
      <c r="A15">
        <v>14</v>
      </c>
      <c r="B15" s="159" t="s">
        <v>205</v>
      </c>
      <c r="C15">
        <v>0</v>
      </c>
    </row>
    <row r="16" spans="1:3" x14ac:dyDescent="0.15">
      <c r="A16">
        <v>15</v>
      </c>
      <c r="B16" s="159" t="s">
        <v>206</v>
      </c>
      <c r="C16">
        <v>0.8</v>
      </c>
    </row>
    <row r="17" spans="1:3" x14ac:dyDescent="0.15">
      <c r="A17">
        <v>16</v>
      </c>
      <c r="B17" s="159" t="s">
        <v>207</v>
      </c>
      <c r="C17">
        <v>0</v>
      </c>
    </row>
    <row r="18" spans="1:3" x14ac:dyDescent="0.15">
      <c r="A18">
        <v>17</v>
      </c>
      <c r="B18" s="159" t="s">
        <v>208</v>
      </c>
      <c r="C18">
        <v>0</v>
      </c>
    </row>
    <row r="19" spans="1:3" x14ac:dyDescent="0.15">
      <c r="A19">
        <v>18</v>
      </c>
      <c r="B19" s="159" t="s">
        <v>209</v>
      </c>
      <c r="C19">
        <v>0</v>
      </c>
    </row>
    <row r="20" spans="1:3" x14ac:dyDescent="0.15">
      <c r="A20">
        <v>19</v>
      </c>
      <c r="B20" s="159" t="s">
        <v>210</v>
      </c>
      <c r="C20">
        <v>0</v>
      </c>
    </row>
    <row r="21" spans="1:3" x14ac:dyDescent="0.15">
      <c r="A21">
        <v>20</v>
      </c>
      <c r="B21" s="159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2" t="s">
        <v>212</v>
      </c>
    </row>
    <row r="2" spans="1:3" x14ac:dyDescent="0.15">
      <c r="A2">
        <v>1</v>
      </c>
      <c r="B2" s="161" t="s">
        <v>192</v>
      </c>
      <c r="C2">
        <v>0</v>
      </c>
    </row>
    <row r="3" spans="1:3" x14ac:dyDescent="0.15">
      <c r="A3">
        <v>2</v>
      </c>
      <c r="B3" s="161" t="s">
        <v>193</v>
      </c>
      <c r="C3">
        <v>0</v>
      </c>
    </row>
    <row r="4" spans="1:3" x14ac:dyDescent="0.15">
      <c r="A4">
        <v>3</v>
      </c>
      <c r="B4" s="161" t="s">
        <v>194</v>
      </c>
      <c r="C4">
        <v>0</v>
      </c>
    </row>
    <row r="5" spans="1:3" x14ac:dyDescent="0.15">
      <c r="A5">
        <v>4</v>
      </c>
      <c r="B5" s="161" t="s">
        <v>195</v>
      </c>
      <c r="C5">
        <v>0.8</v>
      </c>
    </row>
    <row r="6" spans="1:3" x14ac:dyDescent="0.15">
      <c r="A6">
        <v>5</v>
      </c>
      <c r="B6" s="161" t="s">
        <v>196</v>
      </c>
      <c r="C6">
        <v>0</v>
      </c>
    </row>
    <row r="7" spans="1:3" x14ac:dyDescent="0.15">
      <c r="A7">
        <v>6</v>
      </c>
      <c r="B7" s="161" t="s">
        <v>197</v>
      </c>
      <c r="C7">
        <v>0</v>
      </c>
    </row>
    <row r="8" spans="1:3" x14ac:dyDescent="0.15">
      <c r="A8">
        <v>7</v>
      </c>
      <c r="B8" s="161" t="s">
        <v>198</v>
      </c>
      <c r="C8">
        <v>0.8</v>
      </c>
    </row>
    <row r="9" spans="1:3" x14ac:dyDescent="0.15">
      <c r="A9">
        <v>8</v>
      </c>
      <c r="B9" s="161" t="s">
        <v>199</v>
      </c>
      <c r="C9">
        <v>0</v>
      </c>
    </row>
    <row r="10" spans="1:3" x14ac:dyDescent="0.15">
      <c r="A10">
        <v>9</v>
      </c>
      <c r="B10" s="161" t="s">
        <v>200</v>
      </c>
      <c r="C10">
        <v>0</v>
      </c>
    </row>
    <row r="11" spans="1:3" x14ac:dyDescent="0.15">
      <c r="A11">
        <v>10</v>
      </c>
      <c r="B11" s="161" t="s">
        <v>201</v>
      </c>
      <c r="C11">
        <v>0.8</v>
      </c>
    </row>
    <row r="12" spans="1:3" x14ac:dyDescent="0.15">
      <c r="A12">
        <v>11</v>
      </c>
      <c r="B12" s="161" t="s">
        <v>202</v>
      </c>
      <c r="C12">
        <v>0</v>
      </c>
    </row>
    <row r="13" spans="1:3" x14ac:dyDescent="0.15">
      <c r="A13">
        <v>12</v>
      </c>
      <c r="B13" s="161" t="s">
        <v>203</v>
      </c>
      <c r="C13">
        <v>0</v>
      </c>
    </row>
    <row r="14" spans="1:3" x14ac:dyDescent="0.15">
      <c r="A14">
        <v>13</v>
      </c>
      <c r="B14" s="161" t="s">
        <v>204</v>
      </c>
      <c r="C14">
        <v>0.8</v>
      </c>
    </row>
    <row r="15" spans="1:3" x14ac:dyDescent="0.15">
      <c r="A15">
        <v>14</v>
      </c>
      <c r="B15" s="161" t="s">
        <v>205</v>
      </c>
      <c r="C15">
        <v>0</v>
      </c>
    </row>
    <row r="16" spans="1:3" x14ac:dyDescent="0.15">
      <c r="A16">
        <v>15</v>
      </c>
      <c r="B16" s="161" t="s">
        <v>206</v>
      </c>
      <c r="C16">
        <v>0.8</v>
      </c>
    </row>
    <row r="17" spans="1:3" x14ac:dyDescent="0.15">
      <c r="A17">
        <v>16</v>
      </c>
      <c r="B17" s="161" t="s">
        <v>207</v>
      </c>
      <c r="C17">
        <v>0</v>
      </c>
    </row>
    <row r="18" spans="1:3" x14ac:dyDescent="0.15">
      <c r="A18">
        <v>17</v>
      </c>
      <c r="B18" s="161" t="s">
        <v>208</v>
      </c>
      <c r="C18">
        <v>0</v>
      </c>
    </row>
    <row r="19" spans="1:3" x14ac:dyDescent="0.15">
      <c r="A19">
        <v>18</v>
      </c>
      <c r="B19" s="161" t="s">
        <v>209</v>
      </c>
      <c r="C19">
        <v>0</v>
      </c>
    </row>
    <row r="20" spans="1:3" x14ac:dyDescent="0.15">
      <c r="A20">
        <v>19</v>
      </c>
      <c r="B20" s="161" t="s">
        <v>210</v>
      </c>
      <c r="C20">
        <v>0</v>
      </c>
    </row>
    <row r="21" spans="1:3" x14ac:dyDescent="0.15">
      <c r="A21">
        <v>20</v>
      </c>
      <c r="B21" s="161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65"/>
    <col min="2" max="2" width="41.83203125" style="65" bestFit="1" customWidth="1"/>
    <col min="3" max="3" width="9.33203125" style="65" bestFit="1" customWidth="1"/>
    <col min="4" max="4" width="13" style="65" bestFit="1" customWidth="1"/>
    <col min="5" max="6" width="9.33203125" style="65" bestFit="1" customWidth="1"/>
    <col min="7" max="7" width="9.33203125" style="81" bestFit="1" customWidth="1"/>
    <col min="8" max="8" width="9.33203125" style="65" bestFit="1" customWidth="1"/>
    <col min="9" max="9" width="11" style="65" customWidth="1"/>
    <col min="10" max="10" width="8.83203125" style="65"/>
    <col min="15" max="16384" width="8.83203125" style="6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7" t="s">
        <v>14</v>
      </c>
      <c r="H1" s="1" t="s">
        <v>26</v>
      </c>
      <c r="I1" s="1" t="s">
        <v>24</v>
      </c>
    </row>
    <row r="2" spans="1:10" ht="15" customHeight="1" x14ac:dyDescent="0.15">
      <c r="A2" s="123">
        <v>1</v>
      </c>
      <c r="B2" s="123" t="s">
        <v>192</v>
      </c>
      <c r="C2" s="8">
        <v>1</v>
      </c>
      <c r="D2" s="9">
        <v>41.511371612548828</v>
      </c>
      <c r="E2" s="9">
        <v>190</v>
      </c>
      <c r="F2" s="10"/>
      <c r="G2" s="9">
        <v>0.89999997615814209</v>
      </c>
      <c r="H2" s="10"/>
      <c r="I2">
        <v>0</v>
      </c>
      <c r="J2"/>
    </row>
    <row r="3" spans="1:10" ht="15" customHeight="1" x14ac:dyDescent="0.15">
      <c r="A3" s="124">
        <v>2</v>
      </c>
      <c r="B3" s="124" t="s">
        <v>193</v>
      </c>
      <c r="C3" s="8">
        <v>1</v>
      </c>
      <c r="D3" s="9">
        <v>400</v>
      </c>
      <c r="E3" s="9">
        <v>4.4000000953674316</v>
      </c>
      <c r="F3" s="10"/>
      <c r="G3" s="9">
        <v>1.4723442727699876E-3</v>
      </c>
      <c r="H3" s="10"/>
      <c r="I3">
        <v>0</v>
      </c>
      <c r="J3"/>
    </row>
    <row r="4" spans="1:10" ht="15" customHeight="1" x14ac:dyDescent="0.15">
      <c r="A4" s="125">
        <v>3</v>
      </c>
      <c r="B4" s="125" t="s">
        <v>194</v>
      </c>
      <c r="C4" s="8">
        <v>2</v>
      </c>
      <c r="D4" s="9">
        <v>276</v>
      </c>
      <c r="E4" s="9">
        <v>9.3000001907348633</v>
      </c>
      <c r="F4" s="9">
        <v>30.989999771118164</v>
      </c>
      <c r="G4" s="9">
        <v>0.94993078708648682</v>
      </c>
      <c r="H4" s="9">
        <v>0.30009680986404419</v>
      </c>
      <c r="I4">
        <v>0</v>
      </c>
      <c r="J4"/>
    </row>
    <row r="5" spans="1:10" ht="15" customHeight="1" x14ac:dyDescent="0.15">
      <c r="A5" s="126">
        <v>4</v>
      </c>
      <c r="B5" s="126" t="s">
        <v>195</v>
      </c>
      <c r="C5" s="8">
        <v>2.303030252456665</v>
      </c>
      <c r="D5" s="9">
        <v>225</v>
      </c>
      <c r="E5" s="9">
        <v>0.60000002384185791</v>
      </c>
      <c r="F5" s="9">
        <v>23</v>
      </c>
      <c r="G5" s="9">
        <v>0.6021541953086853</v>
      </c>
      <c r="H5" s="9">
        <v>2.608695812523365E-2</v>
      </c>
      <c r="I5">
        <v>3.0000000260770321E-3</v>
      </c>
      <c r="J5"/>
    </row>
    <row r="6" spans="1:10" ht="15" customHeight="1" x14ac:dyDescent="0.15">
      <c r="A6" s="127">
        <v>5</v>
      </c>
      <c r="B6" s="127" t="s">
        <v>196</v>
      </c>
      <c r="C6" s="8">
        <v>2.5111112594604492</v>
      </c>
      <c r="D6" s="9">
        <v>6.2399997711181641</v>
      </c>
      <c r="E6" s="9">
        <v>2</v>
      </c>
      <c r="F6" s="9">
        <v>10</v>
      </c>
      <c r="G6" s="9">
        <v>0.66624265909194946</v>
      </c>
      <c r="H6" s="9">
        <v>0.20000000298023224</v>
      </c>
      <c r="I6">
        <v>0</v>
      </c>
      <c r="J6"/>
    </row>
    <row r="7" spans="1:10" ht="15" customHeight="1" x14ac:dyDescent="0.15">
      <c r="A7" s="128">
        <v>6</v>
      </c>
      <c r="B7" s="128" t="s">
        <v>197</v>
      </c>
      <c r="C7" s="8">
        <v>2.75</v>
      </c>
      <c r="D7" s="9">
        <v>92</v>
      </c>
      <c r="E7" s="9">
        <v>1.3500000238418579</v>
      </c>
      <c r="F7" s="9">
        <v>10.5</v>
      </c>
      <c r="G7" s="9">
        <v>0.95459580421447754</v>
      </c>
      <c r="H7" s="9">
        <v>0.12857143580913544</v>
      </c>
      <c r="I7">
        <v>0</v>
      </c>
      <c r="J7"/>
    </row>
    <row r="8" spans="1:10" ht="15" customHeight="1" x14ac:dyDescent="0.15">
      <c r="A8" s="129">
        <v>7</v>
      </c>
      <c r="B8" s="129" t="s">
        <v>198</v>
      </c>
      <c r="C8" s="8">
        <v>2.9038207530975342</v>
      </c>
      <c r="D8" s="9">
        <v>1.2999999523162842</v>
      </c>
      <c r="E8" s="9">
        <v>2</v>
      </c>
      <c r="F8" s="9">
        <v>10</v>
      </c>
      <c r="G8" s="9">
        <v>0.91487687826156616</v>
      </c>
      <c r="H8" s="9">
        <v>0.20000000298023224</v>
      </c>
      <c r="I8">
        <v>0.14300000667572021</v>
      </c>
      <c r="J8"/>
    </row>
    <row r="9" spans="1:10" ht="15" customHeight="1" x14ac:dyDescent="0.15">
      <c r="A9" s="130">
        <v>8</v>
      </c>
      <c r="B9" s="130" t="s">
        <v>199</v>
      </c>
      <c r="C9" s="8">
        <v>3.1875</v>
      </c>
      <c r="D9" s="9">
        <v>1.4000000432133675E-2</v>
      </c>
      <c r="E9" s="9">
        <v>18.25</v>
      </c>
      <c r="F9" s="9">
        <v>40</v>
      </c>
      <c r="G9" s="9">
        <v>0.7799607515335083</v>
      </c>
      <c r="H9" s="9">
        <v>0.45625001192092896</v>
      </c>
      <c r="I9">
        <v>0</v>
      </c>
      <c r="J9"/>
    </row>
    <row r="10" spans="1:10" ht="15" customHeight="1" x14ac:dyDescent="0.15">
      <c r="A10" s="131">
        <v>9</v>
      </c>
      <c r="B10" s="131" t="s">
        <v>200</v>
      </c>
      <c r="C10" s="8">
        <v>3.1875</v>
      </c>
      <c r="D10" s="9">
        <v>8.999999612569809E-3</v>
      </c>
      <c r="E10" s="9">
        <v>35.150001525878906</v>
      </c>
      <c r="F10" s="9">
        <v>60</v>
      </c>
      <c r="G10" s="9">
        <v>0.62993514537811279</v>
      </c>
      <c r="H10" s="9">
        <v>0.58583337068557739</v>
      </c>
      <c r="I10">
        <v>0</v>
      </c>
      <c r="J10"/>
    </row>
    <row r="11" spans="1:10" ht="15" customHeight="1" x14ac:dyDescent="0.15">
      <c r="A11" s="132">
        <v>10</v>
      </c>
      <c r="B11" s="132" t="s">
        <v>201</v>
      </c>
      <c r="C11" s="8">
        <v>3.3000001907348633</v>
      </c>
      <c r="D11" s="9">
        <v>8.1070003509521484</v>
      </c>
      <c r="E11" s="9">
        <v>0.67000001668930054</v>
      </c>
      <c r="F11" s="9">
        <v>18</v>
      </c>
      <c r="G11" s="9">
        <v>0.95423591136932373</v>
      </c>
      <c r="H11" s="9">
        <v>3.7222221493721008E-2</v>
      </c>
      <c r="I11">
        <v>1.1360000371932983</v>
      </c>
      <c r="J11"/>
    </row>
    <row r="12" spans="1:10" ht="15" customHeight="1" x14ac:dyDescent="0.15">
      <c r="A12" s="133">
        <v>11</v>
      </c>
      <c r="B12" s="133" t="s">
        <v>202</v>
      </c>
      <c r="C12" s="8">
        <v>3.2548563480377197</v>
      </c>
      <c r="D12" s="9">
        <v>8.9617891311645508</v>
      </c>
      <c r="E12" s="9">
        <v>2</v>
      </c>
      <c r="F12" s="9">
        <v>18</v>
      </c>
      <c r="G12" s="9">
        <v>0.94999998807907104</v>
      </c>
      <c r="H12" s="9">
        <v>0.1111111119389534</v>
      </c>
      <c r="I12">
        <v>0</v>
      </c>
      <c r="J12"/>
    </row>
    <row r="13" spans="1:10" ht="15" customHeight="1" x14ac:dyDescent="0.15">
      <c r="A13" s="134">
        <v>12</v>
      </c>
      <c r="B13" s="134" t="s">
        <v>203</v>
      </c>
      <c r="C13" s="8">
        <v>3.303030252456665</v>
      </c>
      <c r="D13" s="9">
        <v>1.7000000923871994E-2</v>
      </c>
      <c r="E13" s="9">
        <v>0.70999997854232788</v>
      </c>
      <c r="F13" s="9">
        <v>92</v>
      </c>
      <c r="G13" s="9">
        <v>9.9958568811416626E-2</v>
      </c>
      <c r="H13" s="9">
        <v>7.7173910103738308E-3</v>
      </c>
      <c r="I13">
        <v>0</v>
      </c>
      <c r="J13"/>
    </row>
    <row r="14" spans="1:10" ht="15" customHeight="1" x14ac:dyDescent="0.15">
      <c r="A14" s="135">
        <v>13</v>
      </c>
      <c r="B14" s="135" t="s">
        <v>204</v>
      </c>
      <c r="C14" s="8">
        <v>3.9113044738769531</v>
      </c>
      <c r="D14" s="9">
        <v>9.3999996185302734</v>
      </c>
      <c r="E14" s="9">
        <v>1</v>
      </c>
      <c r="F14" s="9">
        <v>4.2399997711181641</v>
      </c>
      <c r="G14" s="9">
        <v>0.96009182929992676</v>
      </c>
      <c r="H14" s="9">
        <v>0.23584906756877899</v>
      </c>
      <c r="I14">
        <v>3.7000000476837158E-2</v>
      </c>
      <c r="J14"/>
    </row>
    <row r="15" spans="1:10" ht="15" customHeight="1" x14ac:dyDescent="0.15">
      <c r="A15" s="136">
        <v>14</v>
      </c>
      <c r="B15" s="136" t="s">
        <v>205</v>
      </c>
      <c r="C15" s="8">
        <v>4.084566593170166</v>
      </c>
      <c r="D15" s="9">
        <v>2.0999999716877937E-2</v>
      </c>
      <c r="E15" s="9">
        <v>0.10000000149011612</v>
      </c>
      <c r="F15" s="9">
        <v>103</v>
      </c>
      <c r="G15" s="7">
        <v>0</v>
      </c>
      <c r="H15" s="9">
        <v>9.7087380709126592E-4</v>
      </c>
      <c r="I15">
        <v>0</v>
      </c>
      <c r="J15"/>
    </row>
    <row r="16" spans="1:10" ht="15" customHeight="1" x14ac:dyDescent="0.15">
      <c r="A16" s="137">
        <v>15</v>
      </c>
      <c r="B16" s="137" t="s">
        <v>206</v>
      </c>
      <c r="C16" s="8">
        <v>4.1791276931762695</v>
      </c>
      <c r="D16" s="9">
        <v>2.1273868083953857</v>
      </c>
      <c r="E16" s="9">
        <v>0.80000001192092896</v>
      </c>
      <c r="F16" s="9">
        <v>1</v>
      </c>
      <c r="G16" s="9">
        <v>0.94999998807907104</v>
      </c>
      <c r="H16" s="9">
        <v>0.80000001192092896</v>
      </c>
      <c r="I16">
        <v>1.3999999761581421</v>
      </c>
      <c r="J16"/>
    </row>
    <row r="17" spans="1:10" ht="15" customHeight="1" x14ac:dyDescent="0.15">
      <c r="A17" s="138">
        <v>16</v>
      </c>
      <c r="B17" s="138" t="s">
        <v>207</v>
      </c>
      <c r="C17" s="8">
        <v>3.9881908893585205</v>
      </c>
      <c r="D17" s="9">
        <v>0.2800000011920929</v>
      </c>
      <c r="E17" s="9">
        <v>1.9999999552965164E-2</v>
      </c>
      <c r="F17" s="9">
        <v>3</v>
      </c>
      <c r="G17" s="7">
        <v>0</v>
      </c>
      <c r="H17" s="9">
        <v>6.6666663624346256E-3</v>
      </c>
      <c r="I17">
        <v>0</v>
      </c>
      <c r="J17"/>
    </row>
    <row r="18" spans="1:10" ht="15" customHeight="1" x14ac:dyDescent="0.15">
      <c r="A18" s="139">
        <v>17</v>
      </c>
      <c r="B18" s="139" t="s">
        <v>208</v>
      </c>
      <c r="C18" s="8">
        <v>4.4134445190429688</v>
      </c>
      <c r="D18" s="9">
        <v>9.4999998807907104E-2</v>
      </c>
      <c r="E18" s="9">
        <v>1.9999999552965164E-2</v>
      </c>
      <c r="F18" s="9">
        <v>12.699999809265137</v>
      </c>
      <c r="G18" s="9">
        <v>0.44210529327392578</v>
      </c>
      <c r="H18" s="9">
        <v>1.5748031437397003E-3</v>
      </c>
      <c r="I18">
        <v>0</v>
      </c>
      <c r="J18"/>
    </row>
    <row r="19" spans="1:10" ht="15" customHeight="1" x14ac:dyDescent="0.15">
      <c r="A19" s="140">
        <v>18</v>
      </c>
      <c r="B19" s="140" t="s">
        <v>209</v>
      </c>
      <c r="C19" s="8">
        <v>4.5490331649780273</v>
      </c>
      <c r="D19" s="9">
        <v>0.30000001192092896</v>
      </c>
      <c r="E19" s="9">
        <v>5.9999998658895493E-2</v>
      </c>
      <c r="F19" s="9">
        <v>29.100000381469727</v>
      </c>
      <c r="G19" s="9">
        <v>0.18666666746139526</v>
      </c>
      <c r="H19" s="9">
        <v>2.0618555136024952E-3</v>
      </c>
      <c r="I19">
        <v>0</v>
      </c>
      <c r="J19"/>
    </row>
    <row r="20" spans="1:10" ht="15" customHeight="1" x14ac:dyDescent="0.15">
      <c r="A20" s="141">
        <v>19</v>
      </c>
      <c r="B20" s="141" t="s">
        <v>210</v>
      </c>
      <c r="C20" s="8">
        <v>1</v>
      </c>
      <c r="D20" s="9">
        <v>7</v>
      </c>
      <c r="E20" s="10"/>
      <c r="F20" s="10"/>
      <c r="G20" s="7">
        <v>0.928383469581604</v>
      </c>
      <c r="H20" s="10"/>
      <c r="I20">
        <v>0</v>
      </c>
      <c r="J20"/>
    </row>
    <row r="21" spans="1:10" ht="15" customHeight="1" x14ac:dyDescent="0.15">
      <c r="A21" s="142">
        <v>20</v>
      </c>
      <c r="B21" s="142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43">
        <v>21</v>
      </c>
      <c r="B22" s="143" t="s">
        <v>212</v>
      </c>
      <c r="C22" s="8">
        <v>4.7390413284301758</v>
      </c>
      <c r="D22" s="10"/>
      <c r="E22" s="10"/>
      <c r="F22" s="10"/>
      <c r="G22" s="10"/>
      <c r="H22" s="10"/>
      <c r="I22">
        <v>2.7189998626708984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5" bestFit="1" customWidth="1"/>
    <col min="2" max="4" width="9.5" style="65" bestFit="1" customWidth="1"/>
    <col min="5" max="7" width="9" style="65" bestFit="1" customWidth="1"/>
    <col min="8" max="16" width="12.6640625" style="65" bestFit="1" customWidth="1"/>
    <col min="17" max="17" width="12.33203125" style="65" bestFit="1" customWidth="1"/>
    <col min="18" max="18" width="8.83203125" style="65"/>
    <col min="19" max="21" width="9.33203125" style="65" bestFit="1" customWidth="1"/>
    <col min="22" max="23" width="8.83203125" style="65"/>
    <col min="24" max="24" width="9.33203125" style="65" bestFit="1" customWidth="1"/>
    <col min="25" max="27" width="8.83203125" style="65"/>
    <col min="28" max="58" width="9" style="65" bestFit="1" customWidth="1"/>
    <col min="59" max="59" width="12.33203125" style="65" bestFit="1" customWidth="1"/>
    <col min="60" max="60" width="9" style="65" bestFit="1" customWidth="1"/>
    <col min="61" max="61" width="11.33203125" style="65" bestFit="1" customWidth="1"/>
    <col min="62" max="77" width="9" style="65" bestFit="1" customWidth="1"/>
    <col min="78" max="78" width="12.33203125" style="65" bestFit="1" customWidth="1"/>
    <col min="79" max="79" width="9" style="65" bestFit="1" customWidth="1"/>
    <col min="80" max="80" width="12.33203125" style="65" bestFit="1" customWidth="1"/>
    <col min="81" max="107" width="9" style="65" bestFit="1" customWidth="1"/>
    <col min="108" max="108" width="11.33203125" style="65" bestFit="1" customWidth="1"/>
    <col min="109" max="124" width="9" style="65" bestFit="1" customWidth="1"/>
    <col min="125" max="125" width="10.33203125" style="65" bestFit="1" customWidth="1"/>
    <col min="126" max="129" width="9.33203125" style="65" bestFit="1" customWidth="1"/>
    <col min="130" max="130" width="9" style="65" bestFit="1" customWidth="1"/>
    <col min="131" max="134" width="9.33203125" style="65" bestFit="1" customWidth="1"/>
    <col min="135" max="165" width="9" style="65" bestFit="1" customWidth="1"/>
    <col min="166" max="166" width="12.33203125" style="65" bestFit="1" customWidth="1"/>
    <col min="167" max="170" width="9" style="65" bestFit="1" customWidth="1"/>
    <col min="171" max="176" width="8.83203125" style="65"/>
    <col min="177" max="177" width="13.83203125" style="65" bestFit="1" customWidth="1"/>
    <col min="178" max="16384" width="8.83203125" style="6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190</v>
      </c>
      <c r="C2">
        <v>19.000003814697266</v>
      </c>
      <c r="D2"/>
      <c r="E2"/>
      <c r="F2"/>
      <c r="G2" s="197">
        <v>164.83657836914062</v>
      </c>
      <c r="H2"/>
      <c r="I2" s="14">
        <v>0.34573656320571899</v>
      </c>
      <c r="J2" s="21">
        <v>5.8176827430725098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4.4000000953674316</v>
      </c>
      <c r="C3">
        <v>4.393521785736084</v>
      </c>
      <c r="D3"/>
      <c r="E3"/>
      <c r="F3"/>
      <c r="G3"/>
      <c r="H3"/>
      <c r="I3"/>
      <c r="J3"/>
      <c r="K3" s="14">
        <v>6.4674997702240944E-3</v>
      </c>
      <c r="L3"/>
      <c r="M3"/>
      <c r="N3"/>
      <c r="O3"/>
      <c r="P3"/>
      <c r="Q3"/>
      <c r="R3" s="11">
        <v>1.0815000678121578E-5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9.3000001907348633</v>
      </c>
      <c r="C4">
        <v>0.46564370393753052</v>
      </c>
      <c r="D4"/>
      <c r="E4"/>
      <c r="F4"/>
      <c r="G4"/>
      <c r="H4" s="196">
        <v>5.4375</v>
      </c>
      <c r="I4" s="19">
        <v>8.1391304731369019E-2</v>
      </c>
      <c r="J4" s="195">
        <v>2.625</v>
      </c>
      <c r="K4" s="11">
        <v>4.710144829005003E-3</v>
      </c>
      <c r="L4" s="11">
        <v>1.5217391774058342E-3</v>
      </c>
      <c r="M4" s="11">
        <v>1.467391150072217E-3</v>
      </c>
      <c r="N4" s="180">
        <v>0.3172304630279541</v>
      </c>
      <c r="O4" s="13">
        <v>0.3506787121295929</v>
      </c>
      <c r="P4"/>
      <c r="Q4" s="14">
        <v>1.4440577477216721E-2</v>
      </c>
      <c r="R4"/>
      <c r="S4"/>
      <c r="T4" s="11">
        <v>4.1695652180351317E-4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0.23870749771595001</v>
      </c>
      <c r="D5" s="11">
        <v>1.3333333299669903E-5</v>
      </c>
      <c r="E5"/>
      <c r="F5"/>
      <c r="G5"/>
      <c r="H5" s="193">
        <v>0.23000000417232513</v>
      </c>
      <c r="I5"/>
      <c r="J5"/>
      <c r="K5" s="181">
        <v>2.8888888657093048E-2</v>
      </c>
      <c r="L5"/>
      <c r="M5"/>
      <c r="N5"/>
      <c r="O5" s="191">
        <v>7.241126149892807E-2</v>
      </c>
      <c r="P5" s="16">
        <v>6.9511118344962597E-3</v>
      </c>
      <c r="Q5" s="175">
        <v>2.3027908056974411E-2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</v>
      </c>
      <c r="C6">
        <v>0.66751468181610107</v>
      </c>
      <c r="D6"/>
      <c r="E6"/>
      <c r="F6"/>
      <c r="G6"/>
      <c r="H6"/>
      <c r="I6" s="188">
        <v>1</v>
      </c>
      <c r="J6"/>
      <c r="K6"/>
      <c r="L6"/>
      <c r="M6"/>
      <c r="N6"/>
      <c r="O6"/>
      <c r="P6"/>
      <c r="Q6" s="182">
        <v>0.15967945754528046</v>
      </c>
      <c r="R6" s="13">
        <v>7.4873082339763641E-2</v>
      </c>
      <c r="S6"/>
      <c r="T6"/>
      <c r="U6"/>
      <c r="V6" s="181">
        <v>9.7932696342468262E-2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1.3500000238418579</v>
      </c>
      <c r="C7">
        <v>6.1295665800571442E-2</v>
      </c>
      <c r="D7"/>
      <c r="E7"/>
      <c r="F7"/>
      <c r="G7"/>
      <c r="H7"/>
      <c r="I7"/>
      <c r="J7"/>
      <c r="K7"/>
      <c r="L7" s="14">
        <v>1.5217391774058342E-3</v>
      </c>
      <c r="M7" s="14">
        <v>1.467391150072217E-3</v>
      </c>
      <c r="N7" s="194">
        <v>0.6344609260559082</v>
      </c>
      <c r="O7" s="192">
        <v>0.52426469326019287</v>
      </c>
      <c r="P7"/>
      <c r="Q7" s="190">
        <v>0.11480259150266647</v>
      </c>
      <c r="R7" s="12">
        <v>4.3965326622128487E-3</v>
      </c>
      <c r="S7" s="14">
        <v>3.4685656428337097E-3</v>
      </c>
      <c r="T7" s="12">
        <v>4.1908696293830872E-3</v>
      </c>
      <c r="U7" s="11">
        <v>1.3114129251334816E-4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</v>
      </c>
      <c r="C8">
        <v>0.17024624347686768</v>
      </c>
      <c r="D8" s="56">
        <v>0.11000000685453415</v>
      </c>
      <c r="E8"/>
      <c r="F8"/>
      <c r="G8"/>
      <c r="H8"/>
      <c r="I8"/>
      <c r="J8"/>
      <c r="K8" s="183">
        <v>0.80000001192092896</v>
      </c>
      <c r="L8"/>
      <c r="M8"/>
      <c r="N8"/>
      <c r="O8"/>
      <c r="P8"/>
      <c r="Q8" s="90">
        <v>0.91975373029708862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18.25</v>
      </c>
      <c r="C9">
        <v>4.0157160758972168</v>
      </c>
      <c r="D9"/>
      <c r="E9"/>
      <c r="F9"/>
      <c r="G9"/>
      <c r="H9"/>
      <c r="I9"/>
      <c r="J9"/>
      <c r="K9"/>
      <c r="L9"/>
      <c r="M9"/>
      <c r="N9"/>
      <c r="O9"/>
      <c r="P9"/>
      <c r="Q9" s="177">
        <v>14.234283447265625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35.150001525878906</v>
      </c>
      <c r="C10">
        <v>13.007780075073242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 s="178">
        <v>22.142221450805664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0.67000001668930054</v>
      </c>
      <c r="C11">
        <v>3.0661940574645996E-2</v>
      </c>
      <c r="D11" s="171">
        <v>0.1401258111000061</v>
      </c>
      <c r="E11"/>
      <c r="F11"/>
      <c r="G11"/>
      <c r="H11"/>
      <c r="I11"/>
      <c r="J11"/>
      <c r="K11"/>
      <c r="L11"/>
      <c r="M11"/>
      <c r="N11"/>
      <c r="O11"/>
      <c r="P11"/>
      <c r="Q11" s="185">
        <v>0.39329954981803894</v>
      </c>
      <c r="R11"/>
      <c r="S11"/>
      <c r="T11" s="15">
        <v>6.9421487860381603E-3</v>
      </c>
      <c r="U11" s="89">
        <v>4.4051311910152435E-2</v>
      </c>
      <c r="V11" s="179">
        <v>5.4919205605983734E-2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</v>
      </c>
      <c r="C12">
        <v>0.10000002384185791</v>
      </c>
      <c r="D12"/>
      <c r="E12"/>
      <c r="F12"/>
      <c r="G12"/>
      <c r="H12"/>
      <c r="I12"/>
      <c r="J12"/>
      <c r="K12"/>
      <c r="L12"/>
      <c r="M12"/>
      <c r="N12"/>
      <c r="O12"/>
      <c r="P12"/>
      <c r="Q12" s="189">
        <v>1.1563045978546143</v>
      </c>
      <c r="R12" s="56">
        <v>0.11078334599733353</v>
      </c>
      <c r="S12" s="120">
        <v>0.20177653431892395</v>
      </c>
      <c r="T12" s="20">
        <v>1.2934917584061623E-2</v>
      </c>
      <c r="U12" s="180">
        <v>6.5563410520553589E-2</v>
      </c>
      <c r="V12" s="184">
        <v>0.35263717174530029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0.70999997854232788</v>
      </c>
      <c r="C13">
        <v>0.63902938365936279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 s="120">
        <v>7.0970587432384491E-2</v>
      </c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</v>
      </c>
      <c r="C14">
        <v>3.9908170700073242E-2</v>
      </c>
      <c r="D14" s="12">
        <v>3.9361706003546715E-3</v>
      </c>
      <c r="E14"/>
      <c r="F14"/>
      <c r="G14"/>
      <c r="H14"/>
      <c r="I14"/>
      <c r="J14"/>
      <c r="K14"/>
      <c r="L14"/>
      <c r="M14"/>
      <c r="N14"/>
      <c r="O14"/>
      <c r="P14"/>
      <c r="Q14" s="186">
        <v>0.42399993538856506</v>
      </c>
      <c r="R14" s="21">
        <v>3.1294472515583038E-2</v>
      </c>
      <c r="S14"/>
      <c r="T14" s="17">
        <v>1.7246808856725693E-2</v>
      </c>
      <c r="U14" s="18">
        <v>1.9252661615610123E-2</v>
      </c>
      <c r="V14" s="187">
        <v>0.4643617570400238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0.10000000149011612</v>
      </c>
      <c r="C15">
        <v>0.10000000149011612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4.0000010281801224E-2</v>
      </c>
      <c r="D16" s="172">
        <v>0.65808433294296265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11">
        <v>3.9485064917244017E-4</v>
      </c>
      <c r="U16" s="175">
        <v>3.1759154051542282E-2</v>
      </c>
      <c r="V16" s="176">
        <v>6.9761656224727631E-2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1.9999999552965164E-2</v>
      </c>
      <c r="C17">
        <v>1.9999999552965164E-2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1.9999999552965164E-2</v>
      </c>
      <c r="C18">
        <v>1.115789357572794E-2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73">
        <v>8.8421059772372246E-3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5.9999998658895493E-2</v>
      </c>
      <c r="C19">
        <v>4.8799999058246613E-2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74">
        <v>1.1200000531971455E-2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0.928383469581604</v>
      </c>
      <c r="D20"/>
      <c r="E20"/>
      <c r="F20"/>
      <c r="G20" s="9">
        <v>1710.6480712890625</v>
      </c>
      <c r="H20" s="9">
        <v>3622.5</v>
      </c>
      <c r="I20" s="9">
        <v>19.343999862670898</v>
      </c>
      <c r="J20"/>
      <c r="K20" s="9">
        <v>1.5729999542236328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6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4" t="s">
        <v>166</v>
      </c>
    </row>
    <row r="2" spans="1:12" x14ac:dyDescent="0.15">
      <c r="A2" s="1" t="s">
        <v>37</v>
      </c>
      <c r="B2" s="31">
        <v>3</v>
      </c>
      <c r="C2" s="29"/>
      <c r="D2" t="s">
        <v>38</v>
      </c>
      <c r="E2">
        <v>1</v>
      </c>
      <c r="F2">
        <v>1</v>
      </c>
      <c r="G2">
        <v>1</v>
      </c>
      <c r="H2" t="s">
        <v>38</v>
      </c>
      <c r="J2" s="47"/>
      <c r="K2" s="48"/>
      <c r="L2" s="54" t="s">
        <v>167</v>
      </c>
    </row>
    <row r="3" spans="1:12" ht="14" thickBot="1" x14ac:dyDescent="0.2">
      <c r="A3" s="1" t="s">
        <v>39</v>
      </c>
      <c r="B3" s="32">
        <v>0</v>
      </c>
      <c r="C3" s="29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9"/>
      <c r="K3" s="50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9"/>
      <c r="K4" s="50"/>
    </row>
    <row r="5" spans="1:12" x14ac:dyDescent="0.15">
      <c r="D5" s="163" t="s">
        <v>192</v>
      </c>
      <c r="E5">
        <v>4</v>
      </c>
      <c r="F5">
        <v>2</v>
      </c>
      <c r="G5">
        <v>4</v>
      </c>
      <c r="H5" s="164" t="s">
        <v>192</v>
      </c>
      <c r="J5" s="49"/>
      <c r="K5" s="50"/>
    </row>
    <row r="6" spans="1:12" ht="14" thickBot="1" x14ac:dyDescent="0.2">
      <c r="A6" s="33" t="s">
        <v>121</v>
      </c>
      <c r="D6" s="163" t="s">
        <v>193</v>
      </c>
      <c r="E6">
        <v>5</v>
      </c>
      <c r="F6">
        <v>2.2999999999999998</v>
      </c>
      <c r="G6">
        <v>5</v>
      </c>
      <c r="H6" s="164" t="s">
        <v>193</v>
      </c>
      <c r="J6" s="49"/>
      <c r="K6" s="50"/>
    </row>
    <row r="7" spans="1:12" x14ac:dyDescent="0.15">
      <c r="A7" s="28" t="s">
        <v>126</v>
      </c>
      <c r="B7" s="35">
        <v>1</v>
      </c>
      <c r="C7" s="30"/>
      <c r="D7" s="163" t="s">
        <v>194</v>
      </c>
      <c r="E7">
        <v>6</v>
      </c>
      <c r="F7">
        <v>3.11</v>
      </c>
      <c r="G7">
        <v>6</v>
      </c>
      <c r="H7" s="164" t="s">
        <v>194</v>
      </c>
      <c r="J7" s="49"/>
      <c r="K7" s="50"/>
    </row>
    <row r="8" spans="1:12" x14ac:dyDescent="0.15">
      <c r="A8" s="28" t="s">
        <v>38</v>
      </c>
      <c r="B8" s="36">
        <v>1</v>
      </c>
      <c r="C8" s="30"/>
      <c r="D8" s="163" t="s">
        <v>195</v>
      </c>
      <c r="E8">
        <v>7</v>
      </c>
      <c r="F8">
        <v>3.21</v>
      </c>
      <c r="G8">
        <v>7</v>
      </c>
      <c r="H8" s="164" t="s">
        <v>195</v>
      </c>
      <c r="J8" s="49"/>
      <c r="K8" s="50"/>
    </row>
    <row r="9" spans="1:12" x14ac:dyDescent="0.15">
      <c r="A9" s="28" t="s">
        <v>40</v>
      </c>
      <c r="B9" s="36">
        <v>1.1000000000000001</v>
      </c>
      <c r="C9" s="30"/>
      <c r="D9" s="163" t="s">
        <v>196</v>
      </c>
      <c r="E9">
        <v>8</v>
      </c>
      <c r="F9">
        <v>3</v>
      </c>
      <c r="G9">
        <v>8</v>
      </c>
      <c r="H9" s="164" t="s">
        <v>196</v>
      </c>
      <c r="J9" s="49"/>
      <c r="K9" s="50"/>
    </row>
    <row r="10" spans="1:12" x14ac:dyDescent="0.15">
      <c r="A10" s="28" t="s">
        <v>41</v>
      </c>
      <c r="B10" s="36">
        <v>1.2</v>
      </c>
      <c r="C10" s="30"/>
      <c r="D10" s="163" t="s">
        <v>197</v>
      </c>
      <c r="E10">
        <v>9</v>
      </c>
      <c r="F10">
        <v>3.11</v>
      </c>
      <c r="G10">
        <v>9</v>
      </c>
      <c r="H10" s="164" t="s">
        <v>197</v>
      </c>
      <c r="J10" s="49"/>
      <c r="K10" s="50"/>
    </row>
    <row r="11" spans="1:12" ht="12" customHeight="1" x14ac:dyDescent="0.15">
      <c r="A11" s="34" t="s">
        <v>127</v>
      </c>
      <c r="B11" s="36">
        <v>2</v>
      </c>
      <c r="C11" s="30"/>
      <c r="D11" s="163" t="s">
        <v>198</v>
      </c>
      <c r="E11">
        <v>10</v>
      </c>
      <c r="F11">
        <v>3.21</v>
      </c>
      <c r="G11">
        <v>10</v>
      </c>
      <c r="H11" s="164" t="s">
        <v>198</v>
      </c>
      <c r="J11" s="49"/>
      <c r="K11" s="50"/>
    </row>
    <row r="12" spans="1:12" x14ac:dyDescent="0.15">
      <c r="A12" s="28" t="s">
        <v>42</v>
      </c>
      <c r="B12" s="36">
        <v>2.1</v>
      </c>
      <c r="C12" s="30"/>
      <c r="D12" s="163" t="s">
        <v>199</v>
      </c>
      <c r="E12">
        <v>11</v>
      </c>
      <c r="F12">
        <v>3.12</v>
      </c>
      <c r="G12">
        <v>11</v>
      </c>
      <c r="H12" s="164" t="s">
        <v>199</v>
      </c>
      <c r="J12" s="49"/>
      <c r="K12" s="50"/>
    </row>
    <row r="13" spans="1:12" x14ac:dyDescent="0.15">
      <c r="A13" s="28" t="s">
        <v>43</v>
      </c>
      <c r="B13" s="36">
        <v>2.2000000000000002</v>
      </c>
      <c r="C13" s="30"/>
      <c r="D13" s="163" t="s">
        <v>200</v>
      </c>
      <c r="E13">
        <v>12</v>
      </c>
      <c r="F13">
        <v>3.12</v>
      </c>
      <c r="G13">
        <v>12</v>
      </c>
      <c r="H13" s="164" t="s">
        <v>200</v>
      </c>
      <c r="J13" s="49"/>
      <c r="K13" s="50"/>
    </row>
    <row r="14" spans="1:12" x14ac:dyDescent="0.15">
      <c r="A14" s="28" t="s">
        <v>67</v>
      </c>
      <c r="B14" s="36">
        <v>2.2999999999999998</v>
      </c>
      <c r="C14" s="30"/>
      <c r="D14" s="163" t="s">
        <v>201</v>
      </c>
      <c r="E14">
        <v>13</v>
      </c>
      <c r="F14">
        <v>3.12</v>
      </c>
      <c r="G14">
        <v>13</v>
      </c>
      <c r="H14" s="164" t="s">
        <v>201</v>
      </c>
      <c r="J14" s="49"/>
      <c r="K14" s="50"/>
    </row>
    <row r="15" spans="1:12" x14ac:dyDescent="0.15">
      <c r="A15" s="34" t="s">
        <v>128</v>
      </c>
      <c r="B15" s="36">
        <v>3</v>
      </c>
      <c r="C15" s="30"/>
      <c r="D15" s="163" t="s">
        <v>202</v>
      </c>
      <c r="E15">
        <v>14</v>
      </c>
      <c r="F15">
        <v>3.12</v>
      </c>
      <c r="G15">
        <v>14</v>
      </c>
      <c r="H15" s="164" t="s">
        <v>202</v>
      </c>
      <c r="J15" s="49"/>
      <c r="K15" s="50"/>
    </row>
    <row r="16" spans="1:12" x14ac:dyDescent="0.15">
      <c r="A16" s="28" t="s">
        <v>62</v>
      </c>
      <c r="B16" s="36">
        <v>3.11</v>
      </c>
      <c r="C16" s="30"/>
      <c r="D16" s="163" t="s">
        <v>203</v>
      </c>
      <c r="E16">
        <v>15</v>
      </c>
      <c r="F16">
        <v>3.13</v>
      </c>
      <c r="G16">
        <v>15</v>
      </c>
      <c r="H16" s="164" t="s">
        <v>203</v>
      </c>
      <c r="J16" s="49"/>
      <c r="K16" s="50"/>
    </row>
    <row r="17" spans="1:12" x14ac:dyDescent="0.15">
      <c r="A17" s="28" t="s">
        <v>61</v>
      </c>
      <c r="B17" s="36">
        <v>3.12</v>
      </c>
      <c r="C17" s="30"/>
      <c r="D17" s="163" t="s">
        <v>204</v>
      </c>
      <c r="E17">
        <v>16</v>
      </c>
      <c r="F17">
        <v>3.22</v>
      </c>
      <c r="G17">
        <v>16</v>
      </c>
      <c r="H17" s="164" t="s">
        <v>204</v>
      </c>
      <c r="J17" s="49"/>
      <c r="K17" s="50"/>
    </row>
    <row r="18" spans="1:12" x14ac:dyDescent="0.15">
      <c r="A18" s="28" t="s">
        <v>68</v>
      </c>
      <c r="B18" s="36">
        <v>3.13</v>
      </c>
      <c r="C18" s="30"/>
      <c r="D18" s="163" t="s">
        <v>205</v>
      </c>
      <c r="E18">
        <v>17</v>
      </c>
      <c r="F18">
        <v>3.13</v>
      </c>
      <c r="G18">
        <v>17</v>
      </c>
      <c r="H18" s="164" t="s">
        <v>205</v>
      </c>
      <c r="J18" s="49"/>
      <c r="K18" s="50"/>
    </row>
    <row r="19" spans="1:12" x14ac:dyDescent="0.15">
      <c r="A19" s="28" t="s">
        <v>66</v>
      </c>
      <c r="B19" s="36">
        <v>3.21</v>
      </c>
      <c r="C19" s="30"/>
      <c r="D19" s="163" t="s">
        <v>206</v>
      </c>
      <c r="E19">
        <v>18</v>
      </c>
      <c r="F19">
        <v>3.12</v>
      </c>
      <c r="G19">
        <v>18</v>
      </c>
      <c r="H19" s="164" t="s">
        <v>206</v>
      </c>
      <c r="J19" s="49"/>
      <c r="K19" s="50"/>
    </row>
    <row r="20" spans="1:12" x14ac:dyDescent="0.15">
      <c r="A20" s="28" t="s">
        <v>63</v>
      </c>
      <c r="B20" s="36">
        <v>3.22</v>
      </c>
      <c r="C20" s="30"/>
      <c r="D20" s="163" t="s">
        <v>207</v>
      </c>
      <c r="E20">
        <v>19</v>
      </c>
      <c r="F20">
        <v>3.13</v>
      </c>
      <c r="G20">
        <v>19</v>
      </c>
      <c r="H20" s="164" t="s">
        <v>207</v>
      </c>
      <c r="J20" s="49"/>
      <c r="K20" s="50"/>
    </row>
    <row r="21" spans="1:12" ht="14" thickBot="1" x14ac:dyDescent="0.2">
      <c r="A21" s="28" t="s">
        <v>69</v>
      </c>
      <c r="B21" s="36">
        <v>3.23</v>
      </c>
      <c r="C21" s="30"/>
      <c r="D21" s="163" t="s">
        <v>208</v>
      </c>
      <c r="E21">
        <v>20</v>
      </c>
      <c r="F21">
        <v>3.13</v>
      </c>
      <c r="G21">
        <v>20</v>
      </c>
      <c r="H21" s="164" t="s">
        <v>208</v>
      </c>
      <c r="J21" s="51"/>
      <c r="K21" s="52"/>
      <c r="L21" s="54" t="s">
        <v>152</v>
      </c>
    </row>
    <row r="22" spans="1:12" x14ac:dyDescent="0.15">
      <c r="A22" s="28" t="s">
        <v>64</v>
      </c>
      <c r="B22" s="36">
        <v>8</v>
      </c>
      <c r="C22" s="30"/>
      <c r="D22" s="163" t="s">
        <v>209</v>
      </c>
      <c r="E22">
        <v>21</v>
      </c>
      <c r="F22">
        <v>3.13</v>
      </c>
      <c r="G22">
        <v>21</v>
      </c>
      <c r="H22" s="164" t="s">
        <v>209</v>
      </c>
    </row>
    <row r="23" spans="1:12" x14ac:dyDescent="0.15">
      <c r="A23" s="28" t="s">
        <v>129</v>
      </c>
      <c r="B23" s="36">
        <v>4</v>
      </c>
      <c r="C23" s="30"/>
      <c r="D23" s="163" t="s">
        <v>210</v>
      </c>
      <c r="E23">
        <v>22</v>
      </c>
      <c r="F23">
        <v>4.0999999999999996</v>
      </c>
      <c r="G23">
        <v>22</v>
      </c>
      <c r="H23" s="164" t="s">
        <v>210</v>
      </c>
    </row>
    <row r="24" spans="1:12" x14ac:dyDescent="0.15">
      <c r="A24" s="28" t="s">
        <v>122</v>
      </c>
      <c r="B24" s="36">
        <v>4.0999999999999996</v>
      </c>
      <c r="C24" s="30"/>
      <c r="D24" s="163" t="s">
        <v>211</v>
      </c>
      <c r="E24">
        <v>23</v>
      </c>
      <c r="F24">
        <v>4.3</v>
      </c>
      <c r="G24">
        <v>23</v>
      </c>
      <c r="H24" s="164" t="s">
        <v>211</v>
      </c>
    </row>
    <row r="25" spans="1:12" x14ac:dyDescent="0.15">
      <c r="A25" s="28" t="s">
        <v>70</v>
      </c>
      <c r="B25" s="36">
        <v>4.2</v>
      </c>
      <c r="C25" s="30"/>
      <c r="D25" s="163" t="s">
        <v>212</v>
      </c>
      <c r="E25">
        <v>24</v>
      </c>
      <c r="F25">
        <v>5</v>
      </c>
      <c r="G25">
        <v>24</v>
      </c>
      <c r="H25" s="164" t="s">
        <v>212</v>
      </c>
    </row>
    <row r="26" spans="1:12" x14ac:dyDescent="0.15">
      <c r="A26" s="28" t="s">
        <v>123</v>
      </c>
      <c r="B26" s="36">
        <v>4.3</v>
      </c>
      <c r="C26" s="30"/>
      <c r="D26" s="163" t="s">
        <v>138</v>
      </c>
      <c r="E26">
        <v>25</v>
      </c>
      <c r="F26">
        <v>6.1</v>
      </c>
      <c r="G26">
        <v>25</v>
      </c>
      <c r="H26" s="164" t="s">
        <v>138</v>
      </c>
    </row>
    <row r="27" spans="1:12" x14ac:dyDescent="0.15">
      <c r="A27" s="28" t="s">
        <v>125</v>
      </c>
      <c r="B27" s="36">
        <v>6.1</v>
      </c>
      <c r="D27" s="163" t="s">
        <v>45</v>
      </c>
      <c r="E27">
        <v>26</v>
      </c>
      <c r="F27">
        <v>6.2</v>
      </c>
      <c r="G27">
        <v>26</v>
      </c>
      <c r="H27" s="164" t="s">
        <v>45</v>
      </c>
    </row>
    <row r="28" spans="1:12" x14ac:dyDescent="0.15">
      <c r="A28" s="28" t="s">
        <v>124</v>
      </c>
      <c r="B28" s="36">
        <v>6.2</v>
      </c>
    </row>
    <row r="29" spans="1:12" x14ac:dyDescent="0.15">
      <c r="A29" s="28" t="s">
        <v>44</v>
      </c>
      <c r="B29" s="36">
        <v>5</v>
      </c>
    </row>
    <row r="30" spans="1:12" x14ac:dyDescent="0.15">
      <c r="A30" s="28" t="s">
        <v>73</v>
      </c>
      <c r="B30" s="36">
        <v>7</v>
      </c>
    </row>
    <row r="31" spans="1:12" x14ac:dyDescent="0.15">
      <c r="A31" s="28" t="s">
        <v>169</v>
      </c>
      <c r="B31" s="36">
        <v>3.14</v>
      </c>
    </row>
    <row r="32" spans="1:12" ht="12" customHeight="1" thickBot="1" x14ac:dyDescent="0.2">
      <c r="A32" s="34" t="s">
        <v>170</v>
      </c>
      <c r="B32" s="37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6" bestFit="1" customWidth="1"/>
    <col min="2" max="2" width="12.83203125" style="65" customWidth="1"/>
    <col min="3" max="3" width="13.1640625" style="65" customWidth="1"/>
    <col min="4" max="4" width="9.83203125" style="65" customWidth="1"/>
    <col min="5" max="5" width="12.83203125" style="65" customWidth="1"/>
    <col min="6" max="6" width="21.6640625" style="65" bestFit="1" customWidth="1"/>
    <col min="7" max="9" width="2.33203125" style="65" customWidth="1"/>
    <col min="10" max="10" width="2.33203125" style="65" bestFit="1" customWidth="1"/>
    <col min="11" max="15" width="2.33203125" style="65" customWidth="1"/>
    <col min="16" max="16" width="2.33203125" style="58" customWidth="1"/>
    <col min="17" max="17" width="2.33203125" style="65" customWidth="1"/>
    <col min="18" max="18" width="2.33203125" style="59" customWidth="1"/>
    <col min="19" max="16384" width="11.5" style="65"/>
  </cols>
  <sheetData>
    <row r="1" spans="1:23" ht="15" customHeight="1" thickBot="1" x14ac:dyDescent="0.2">
      <c r="F1" s="1"/>
      <c r="G1" s="57" t="s">
        <v>46</v>
      </c>
      <c r="H1" s="57" t="s">
        <v>47</v>
      </c>
      <c r="I1" s="57" t="s">
        <v>120</v>
      </c>
      <c r="J1" s="57" t="s">
        <v>132</v>
      </c>
      <c r="K1" s="67" t="s">
        <v>48</v>
      </c>
      <c r="L1" s="59"/>
      <c r="M1" s="67" t="s">
        <v>119</v>
      </c>
      <c r="N1" s="59"/>
      <c r="O1" s="67" t="s">
        <v>49</v>
      </c>
      <c r="P1" s="60"/>
      <c r="Q1" s="67" t="s">
        <v>50</v>
      </c>
      <c r="R1" s="57" t="s">
        <v>154</v>
      </c>
    </row>
    <row r="2" spans="1:23" ht="15" customHeight="1" x14ac:dyDescent="0.15">
      <c r="A2" s="67" t="s">
        <v>51</v>
      </c>
      <c r="B2" s="68">
        <v>0.5</v>
      </c>
      <c r="C2" s="66" t="s">
        <v>52</v>
      </c>
      <c r="D2" s="69"/>
      <c r="F2" s="1"/>
      <c r="G2" s="70"/>
      <c r="H2" s="70"/>
      <c r="I2" s="70" t="s">
        <v>133</v>
      </c>
      <c r="J2" s="70" t="s">
        <v>133</v>
      </c>
      <c r="K2" s="70" t="s">
        <v>52</v>
      </c>
      <c r="L2" s="70" t="s">
        <v>53</v>
      </c>
      <c r="M2" s="70" t="s">
        <v>52</v>
      </c>
      <c r="N2" s="70" t="s">
        <v>53</v>
      </c>
      <c r="O2" s="70" t="s">
        <v>52</v>
      </c>
      <c r="P2" s="71" t="s">
        <v>53</v>
      </c>
      <c r="Q2" s="70"/>
      <c r="R2" s="72" t="s">
        <v>155</v>
      </c>
    </row>
    <row r="3" spans="1:23" ht="15" customHeight="1" thickBot="1" x14ac:dyDescent="0.2">
      <c r="A3" s="67" t="s">
        <v>54</v>
      </c>
      <c r="B3" s="73">
        <v>0.5</v>
      </c>
      <c r="C3" s="66" t="s">
        <v>53</v>
      </c>
      <c r="D3" s="6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9">
        <v>0</v>
      </c>
      <c r="R3" s="30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9">
        <v>0</v>
      </c>
      <c r="R4" s="92">
        <v>0</v>
      </c>
    </row>
    <row r="5" spans="1:23" ht="15" customHeight="1" x14ac:dyDescent="0.15">
      <c r="A5" s="67" t="s">
        <v>55</v>
      </c>
      <c r="B5" s="74">
        <v>0.5</v>
      </c>
      <c r="C5" s="66" t="s">
        <v>52</v>
      </c>
      <c r="D5" s="6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9">
        <v>0</v>
      </c>
      <c r="R5" s="92">
        <v>0</v>
      </c>
    </row>
    <row r="6" spans="1:23" ht="15" customHeight="1" thickBot="1" x14ac:dyDescent="0.2">
      <c r="A6" s="67"/>
      <c r="B6" s="75">
        <v>0.5</v>
      </c>
      <c r="C6" s="66" t="s">
        <v>53</v>
      </c>
      <c r="D6" s="69"/>
      <c r="F6" s="165" t="s">
        <v>192</v>
      </c>
      <c r="G6" s="65">
        <v>0</v>
      </c>
      <c r="H6" s="65">
        <v>0</v>
      </c>
      <c r="I6" s="65">
        <v>0</v>
      </c>
      <c r="J6" s="65">
        <v>0</v>
      </c>
      <c r="K6" s="65">
        <v>0</v>
      </c>
      <c r="L6" s="65">
        <v>0</v>
      </c>
      <c r="M6" s="65">
        <v>1</v>
      </c>
      <c r="N6" s="65">
        <v>0</v>
      </c>
      <c r="O6" s="65">
        <v>0</v>
      </c>
      <c r="P6" s="58">
        <v>0</v>
      </c>
      <c r="Q6" s="65">
        <v>0</v>
      </c>
      <c r="R6" s="59">
        <v>1</v>
      </c>
      <c r="S6"/>
      <c r="T6"/>
    </row>
    <row r="7" spans="1:23" ht="15" customHeight="1" thickBot="1" x14ac:dyDescent="0.2">
      <c r="F7" s="165" t="s">
        <v>193</v>
      </c>
      <c r="G7" s="65">
        <v>0</v>
      </c>
      <c r="H7" s="65">
        <v>0</v>
      </c>
      <c r="I7" s="65">
        <v>0</v>
      </c>
      <c r="J7" s="65">
        <v>0</v>
      </c>
      <c r="K7" s="65">
        <v>0</v>
      </c>
      <c r="L7" s="65">
        <v>0</v>
      </c>
      <c r="M7" s="65">
        <v>1</v>
      </c>
      <c r="N7" s="65">
        <v>0</v>
      </c>
      <c r="O7" s="65">
        <v>0</v>
      </c>
      <c r="P7" s="58">
        <v>0</v>
      </c>
      <c r="Q7" s="65">
        <v>0</v>
      </c>
      <c r="R7" s="59">
        <v>1</v>
      </c>
      <c r="S7"/>
      <c r="T7"/>
    </row>
    <row r="8" spans="1:23" ht="15" customHeight="1" x14ac:dyDescent="0.15">
      <c r="A8" s="67" t="s">
        <v>56</v>
      </c>
      <c r="B8" s="74">
        <v>0.81756289464786858</v>
      </c>
      <c r="C8" s="166" t="s">
        <v>192</v>
      </c>
      <c r="D8" s="69" t="s">
        <v>160</v>
      </c>
      <c r="F8" s="165" t="s">
        <v>194</v>
      </c>
      <c r="G8" s="65">
        <v>0</v>
      </c>
      <c r="H8" s="65">
        <v>0</v>
      </c>
      <c r="I8" s="65">
        <v>0</v>
      </c>
      <c r="J8" s="65">
        <v>0</v>
      </c>
      <c r="K8" s="65">
        <v>1</v>
      </c>
      <c r="L8" s="65">
        <v>0</v>
      </c>
      <c r="M8" s="65">
        <v>1</v>
      </c>
      <c r="N8" s="65">
        <v>0</v>
      </c>
      <c r="O8" s="65">
        <v>1</v>
      </c>
      <c r="P8" s="58">
        <v>0</v>
      </c>
      <c r="Q8" s="65">
        <v>0</v>
      </c>
      <c r="R8" s="59">
        <v>1</v>
      </c>
      <c r="S8"/>
      <c r="T8"/>
      <c r="W8"/>
    </row>
    <row r="9" spans="1:23" ht="15" customHeight="1" x14ac:dyDescent="0.15">
      <c r="A9" s="106" t="s">
        <v>168</v>
      </c>
      <c r="B9" s="76">
        <v>0.18243710535213148</v>
      </c>
      <c r="C9" s="166" t="s">
        <v>193</v>
      </c>
      <c r="D9" s="69" t="s">
        <v>160</v>
      </c>
      <c r="F9" s="165" t="s">
        <v>195</v>
      </c>
      <c r="G9" s="65">
        <v>0</v>
      </c>
      <c r="H9" s="65">
        <v>0</v>
      </c>
      <c r="I9" s="65">
        <v>0</v>
      </c>
      <c r="J9" s="65">
        <v>0</v>
      </c>
      <c r="K9" s="65">
        <v>1</v>
      </c>
      <c r="L9" s="65">
        <v>0</v>
      </c>
      <c r="M9" s="65">
        <v>1</v>
      </c>
      <c r="N9" s="65">
        <v>0</v>
      </c>
      <c r="O9" s="65">
        <v>1</v>
      </c>
      <c r="P9" s="58">
        <v>0</v>
      </c>
      <c r="Q9" s="65">
        <v>0</v>
      </c>
      <c r="R9" s="59">
        <v>1</v>
      </c>
      <c r="S9"/>
      <c r="T9"/>
      <c r="W9"/>
    </row>
    <row r="10" spans="1:23" ht="15" customHeight="1" x14ac:dyDescent="0.15">
      <c r="B10" s="76"/>
      <c r="C10" s="64"/>
      <c r="D10" s="69" t="s">
        <v>160</v>
      </c>
      <c r="F10" s="165" t="s">
        <v>196</v>
      </c>
      <c r="G10" s="65">
        <v>0</v>
      </c>
      <c r="H10" s="65">
        <v>0</v>
      </c>
      <c r="I10" s="65">
        <v>0</v>
      </c>
      <c r="J10" s="65">
        <v>0</v>
      </c>
      <c r="K10" s="65">
        <v>1</v>
      </c>
      <c r="L10" s="65">
        <v>0</v>
      </c>
      <c r="M10" s="65">
        <v>1</v>
      </c>
      <c r="N10" s="65">
        <v>0</v>
      </c>
      <c r="O10" s="65">
        <v>1</v>
      </c>
      <c r="P10" s="58">
        <v>0</v>
      </c>
      <c r="Q10" s="65">
        <v>0</v>
      </c>
      <c r="R10" s="59">
        <v>1</v>
      </c>
      <c r="S10"/>
      <c r="T10"/>
      <c r="W10"/>
    </row>
    <row r="11" spans="1:23" ht="15" customHeight="1" x14ac:dyDescent="0.15">
      <c r="A11" s="67"/>
      <c r="B11" s="76"/>
      <c r="C11" s="79"/>
      <c r="D11" s="69" t="s">
        <v>160</v>
      </c>
      <c r="F11" s="165" t="s">
        <v>197</v>
      </c>
      <c r="G11" s="65">
        <v>0</v>
      </c>
      <c r="H11" s="65">
        <v>0</v>
      </c>
      <c r="I11" s="65">
        <v>0</v>
      </c>
      <c r="J11" s="65">
        <v>0</v>
      </c>
      <c r="K11" s="65">
        <v>1</v>
      </c>
      <c r="L11" s="65">
        <v>0</v>
      </c>
      <c r="M11" s="65">
        <v>1</v>
      </c>
      <c r="N11" s="65">
        <v>0</v>
      </c>
      <c r="O11" s="65">
        <v>1</v>
      </c>
      <c r="P11" s="58">
        <v>0</v>
      </c>
      <c r="Q11" s="65">
        <v>0</v>
      </c>
      <c r="R11" s="59">
        <v>1</v>
      </c>
      <c r="S11"/>
      <c r="T11"/>
      <c r="W11"/>
    </row>
    <row r="12" spans="1:23" ht="15" customHeight="1" x14ac:dyDescent="0.15">
      <c r="B12" s="76"/>
      <c r="C12" s="80"/>
      <c r="D12" s="69" t="s">
        <v>160</v>
      </c>
      <c r="F12" s="165" t="s">
        <v>198</v>
      </c>
      <c r="G12" s="65">
        <v>0</v>
      </c>
      <c r="H12" s="65">
        <v>0</v>
      </c>
      <c r="I12" s="65">
        <v>0</v>
      </c>
      <c r="J12" s="65">
        <v>0</v>
      </c>
      <c r="K12" s="65">
        <v>1</v>
      </c>
      <c r="L12" s="65">
        <v>0</v>
      </c>
      <c r="M12" s="65">
        <v>1</v>
      </c>
      <c r="N12" s="65">
        <v>0</v>
      </c>
      <c r="O12" s="65">
        <v>1</v>
      </c>
      <c r="P12" s="58">
        <v>0</v>
      </c>
      <c r="Q12" s="65">
        <v>0</v>
      </c>
      <c r="R12" s="59">
        <v>1</v>
      </c>
      <c r="S12"/>
      <c r="T12"/>
      <c r="W12"/>
    </row>
    <row r="13" spans="1:23" ht="15" customHeight="1" x14ac:dyDescent="0.15">
      <c r="B13" s="76"/>
      <c r="C13" s="80"/>
      <c r="D13" s="69" t="s">
        <v>160</v>
      </c>
      <c r="F13" s="165" t="s">
        <v>199</v>
      </c>
      <c r="G13" s="65">
        <v>0</v>
      </c>
      <c r="H13" s="65">
        <v>0</v>
      </c>
      <c r="I13" s="65">
        <v>0</v>
      </c>
      <c r="J13" s="65">
        <v>0</v>
      </c>
      <c r="K13" s="65">
        <v>1</v>
      </c>
      <c r="L13" s="65">
        <v>0</v>
      </c>
      <c r="M13" s="65">
        <v>1</v>
      </c>
      <c r="N13" s="65">
        <v>0</v>
      </c>
      <c r="O13" s="65">
        <v>1</v>
      </c>
      <c r="P13" s="58">
        <v>0</v>
      </c>
      <c r="Q13" s="65">
        <v>0</v>
      </c>
      <c r="R13" s="59">
        <v>1</v>
      </c>
      <c r="S13"/>
      <c r="T13"/>
      <c r="W13"/>
    </row>
    <row r="14" spans="1:23" ht="15" customHeight="1" x14ac:dyDescent="0.15">
      <c r="B14" s="76"/>
      <c r="C14" s="64"/>
      <c r="D14" s="69" t="s">
        <v>160</v>
      </c>
      <c r="F14" s="165" t="s">
        <v>200</v>
      </c>
      <c r="G14" s="65">
        <v>0</v>
      </c>
      <c r="H14" s="65">
        <v>0</v>
      </c>
      <c r="I14" s="65">
        <v>0</v>
      </c>
      <c r="J14" s="65">
        <v>0</v>
      </c>
      <c r="K14" s="65">
        <v>1</v>
      </c>
      <c r="L14" s="65">
        <v>0</v>
      </c>
      <c r="M14" s="65">
        <v>1</v>
      </c>
      <c r="N14" s="65">
        <v>0</v>
      </c>
      <c r="O14" s="65">
        <v>1</v>
      </c>
      <c r="P14" s="58">
        <v>0</v>
      </c>
      <c r="Q14" s="65">
        <v>0</v>
      </c>
      <c r="R14" s="59">
        <v>1</v>
      </c>
      <c r="S14"/>
      <c r="T14"/>
      <c r="W14"/>
    </row>
    <row r="15" spans="1:23" ht="15" customHeight="1" x14ac:dyDescent="0.15">
      <c r="B15" s="76"/>
      <c r="C15" s="64"/>
      <c r="D15" s="69" t="s">
        <v>160</v>
      </c>
      <c r="F15" s="165" t="s">
        <v>201</v>
      </c>
      <c r="G15" s="65">
        <v>0</v>
      </c>
      <c r="H15" s="65">
        <v>0</v>
      </c>
      <c r="I15" s="65">
        <v>0</v>
      </c>
      <c r="J15" s="65">
        <v>0</v>
      </c>
      <c r="K15" s="65">
        <v>1</v>
      </c>
      <c r="L15" s="65">
        <v>0</v>
      </c>
      <c r="M15" s="65">
        <v>1</v>
      </c>
      <c r="N15" s="65">
        <v>0</v>
      </c>
      <c r="O15" s="65">
        <v>1</v>
      </c>
      <c r="P15" s="58">
        <v>0</v>
      </c>
      <c r="Q15" s="65">
        <v>0</v>
      </c>
      <c r="R15" s="59">
        <v>1</v>
      </c>
      <c r="S15"/>
      <c r="T15"/>
      <c r="W15"/>
    </row>
    <row r="16" spans="1:23" ht="15" customHeight="1" x14ac:dyDescent="0.15">
      <c r="B16" s="76"/>
      <c r="C16" s="64"/>
      <c r="D16" s="69" t="s">
        <v>160</v>
      </c>
      <c r="F16" s="165" t="s">
        <v>202</v>
      </c>
      <c r="G16" s="65">
        <v>0</v>
      </c>
      <c r="H16" s="65">
        <v>0</v>
      </c>
      <c r="I16" s="65">
        <v>0</v>
      </c>
      <c r="J16" s="65">
        <v>0</v>
      </c>
      <c r="K16" s="65">
        <v>1</v>
      </c>
      <c r="L16" s="65">
        <v>0</v>
      </c>
      <c r="M16" s="65">
        <v>1</v>
      </c>
      <c r="N16" s="65">
        <v>0</v>
      </c>
      <c r="O16" s="65">
        <v>1</v>
      </c>
      <c r="P16" s="58">
        <v>0</v>
      </c>
      <c r="Q16" s="65">
        <v>0</v>
      </c>
      <c r="R16" s="59">
        <v>1</v>
      </c>
      <c r="S16"/>
      <c r="T16"/>
    </row>
    <row r="17" spans="1:20" ht="15" customHeight="1" thickBot="1" x14ac:dyDescent="0.2">
      <c r="B17" s="75"/>
      <c r="C17" s="64"/>
      <c r="D17" s="69" t="s">
        <v>160</v>
      </c>
      <c r="F17" s="165" t="s">
        <v>203</v>
      </c>
      <c r="G17" s="65">
        <v>0</v>
      </c>
      <c r="H17" s="65">
        <v>0</v>
      </c>
      <c r="I17" s="65">
        <v>0</v>
      </c>
      <c r="J17" s="65">
        <v>0</v>
      </c>
      <c r="K17" s="65">
        <v>1</v>
      </c>
      <c r="L17" s="65">
        <v>0</v>
      </c>
      <c r="M17" s="65">
        <v>1</v>
      </c>
      <c r="N17" s="65">
        <v>0</v>
      </c>
      <c r="O17" s="65">
        <v>1</v>
      </c>
      <c r="P17" s="58">
        <v>0</v>
      </c>
      <c r="Q17" s="65">
        <v>0</v>
      </c>
      <c r="R17" s="59">
        <v>1</v>
      </c>
      <c r="S17"/>
      <c r="T17"/>
    </row>
    <row r="18" spans="1:20" ht="15" customHeight="1" thickBot="1" x14ac:dyDescent="0.2">
      <c r="B18" s="77"/>
      <c r="F18" s="165" t="s">
        <v>204</v>
      </c>
      <c r="G18" s="65">
        <v>0</v>
      </c>
      <c r="H18" s="65">
        <v>0</v>
      </c>
      <c r="I18" s="65">
        <v>0</v>
      </c>
      <c r="J18" s="65">
        <v>0</v>
      </c>
      <c r="K18" s="65">
        <v>1</v>
      </c>
      <c r="L18" s="65">
        <v>0</v>
      </c>
      <c r="M18" s="65">
        <v>1</v>
      </c>
      <c r="N18" s="65">
        <v>0</v>
      </c>
      <c r="O18" s="65">
        <v>1</v>
      </c>
      <c r="P18" s="58">
        <v>0</v>
      </c>
      <c r="Q18" s="65">
        <v>0</v>
      </c>
      <c r="R18" s="59">
        <v>1</v>
      </c>
      <c r="S18"/>
      <c r="T18"/>
    </row>
    <row r="19" spans="1:20" ht="15" customHeight="1" x14ac:dyDescent="0.15">
      <c r="A19" s="67" t="s">
        <v>57</v>
      </c>
      <c r="B19" s="74">
        <v>0.81756289464786858</v>
      </c>
      <c r="C19" s="167" t="s">
        <v>192</v>
      </c>
      <c r="D19" s="69" t="s">
        <v>160</v>
      </c>
      <c r="F19" s="165" t="s">
        <v>205</v>
      </c>
      <c r="G19" s="65">
        <v>0</v>
      </c>
      <c r="H19" s="65">
        <v>0</v>
      </c>
      <c r="I19" s="65">
        <v>0</v>
      </c>
      <c r="J19" s="65">
        <v>0</v>
      </c>
      <c r="K19" s="65">
        <v>1</v>
      </c>
      <c r="L19" s="65">
        <v>0</v>
      </c>
      <c r="M19" s="65">
        <v>1</v>
      </c>
      <c r="N19" s="65">
        <v>0</v>
      </c>
      <c r="O19" s="65">
        <v>1</v>
      </c>
      <c r="P19" s="58">
        <v>0</v>
      </c>
      <c r="Q19" s="65">
        <v>0</v>
      </c>
      <c r="R19" s="59">
        <v>1</v>
      </c>
      <c r="S19"/>
      <c r="T19"/>
    </row>
    <row r="20" spans="1:20" ht="15" customHeight="1" x14ac:dyDescent="0.15">
      <c r="A20" s="106" t="s">
        <v>168</v>
      </c>
      <c r="B20" s="76">
        <v>0.18243710535213148</v>
      </c>
      <c r="C20" s="167" t="s">
        <v>193</v>
      </c>
      <c r="D20" s="69" t="s">
        <v>160</v>
      </c>
      <c r="F20" s="165" t="s">
        <v>206</v>
      </c>
      <c r="G20" s="65">
        <v>0</v>
      </c>
      <c r="H20" s="65">
        <v>0</v>
      </c>
      <c r="I20" s="65">
        <v>0</v>
      </c>
      <c r="J20" s="65">
        <v>0</v>
      </c>
      <c r="K20" s="65">
        <v>1</v>
      </c>
      <c r="L20" s="65">
        <v>0</v>
      </c>
      <c r="M20" s="65">
        <v>1</v>
      </c>
      <c r="N20" s="65">
        <v>0</v>
      </c>
      <c r="O20" s="65">
        <v>1</v>
      </c>
      <c r="P20" s="58">
        <v>0</v>
      </c>
      <c r="Q20" s="65">
        <v>0</v>
      </c>
      <c r="R20" s="59">
        <v>1</v>
      </c>
      <c r="S20"/>
      <c r="T20"/>
    </row>
    <row r="21" spans="1:20" ht="15" customHeight="1" x14ac:dyDescent="0.15">
      <c r="B21" s="76"/>
      <c r="C21" s="64"/>
      <c r="D21" s="69" t="s">
        <v>160</v>
      </c>
      <c r="F21" s="165" t="s">
        <v>207</v>
      </c>
      <c r="G21" s="65">
        <v>0</v>
      </c>
      <c r="H21" s="65">
        <v>0</v>
      </c>
      <c r="I21" s="65">
        <v>0</v>
      </c>
      <c r="J21" s="65">
        <v>0</v>
      </c>
      <c r="K21" s="65">
        <v>1</v>
      </c>
      <c r="L21" s="65">
        <v>0</v>
      </c>
      <c r="M21" s="65">
        <v>1</v>
      </c>
      <c r="N21" s="65">
        <v>0</v>
      </c>
      <c r="O21" s="65">
        <v>1</v>
      </c>
      <c r="P21" s="58">
        <v>0</v>
      </c>
      <c r="Q21" s="65">
        <v>0</v>
      </c>
      <c r="R21" s="59">
        <v>1</v>
      </c>
      <c r="S21"/>
      <c r="T21"/>
    </row>
    <row r="22" spans="1:20" ht="15" customHeight="1" x14ac:dyDescent="0.15">
      <c r="A22" s="65"/>
      <c r="B22" s="76"/>
      <c r="C22" s="79"/>
      <c r="D22" s="69" t="s">
        <v>160</v>
      </c>
      <c r="F22" s="165" t="s">
        <v>208</v>
      </c>
      <c r="G22" s="65">
        <v>0</v>
      </c>
      <c r="H22" s="65">
        <v>0</v>
      </c>
      <c r="I22" s="65">
        <v>0</v>
      </c>
      <c r="J22" s="65">
        <v>0</v>
      </c>
      <c r="K22" s="65">
        <v>1</v>
      </c>
      <c r="L22" s="65">
        <v>0</v>
      </c>
      <c r="M22" s="65">
        <v>1</v>
      </c>
      <c r="N22" s="65">
        <v>0</v>
      </c>
      <c r="O22" s="65">
        <v>1</v>
      </c>
      <c r="P22" s="58">
        <v>0</v>
      </c>
      <c r="Q22" s="65">
        <v>0</v>
      </c>
      <c r="R22" s="59">
        <v>1</v>
      </c>
      <c r="S22"/>
      <c r="T22"/>
    </row>
    <row r="23" spans="1:20" ht="15" customHeight="1" x14ac:dyDescent="0.15">
      <c r="A23" s="65"/>
      <c r="B23" s="76"/>
      <c r="C23" s="80"/>
      <c r="D23" s="69" t="s">
        <v>160</v>
      </c>
      <c r="F23" s="165" t="s">
        <v>209</v>
      </c>
      <c r="G23" s="65">
        <v>0</v>
      </c>
      <c r="H23" s="65">
        <v>0</v>
      </c>
      <c r="I23" s="65">
        <v>0</v>
      </c>
      <c r="J23" s="65">
        <v>0</v>
      </c>
      <c r="K23" s="65">
        <v>1</v>
      </c>
      <c r="L23" s="65">
        <v>0</v>
      </c>
      <c r="M23" s="65">
        <v>1</v>
      </c>
      <c r="N23" s="65">
        <v>0</v>
      </c>
      <c r="O23" s="65">
        <v>1</v>
      </c>
      <c r="P23" s="58">
        <v>0</v>
      </c>
      <c r="Q23" s="65">
        <v>0</v>
      </c>
      <c r="R23" s="59">
        <v>1</v>
      </c>
      <c r="S23"/>
      <c r="T23"/>
    </row>
    <row r="24" spans="1:20" ht="15" customHeight="1" x14ac:dyDescent="0.15">
      <c r="A24" s="65"/>
      <c r="B24" s="76"/>
      <c r="C24" s="80"/>
      <c r="D24" s="69" t="s">
        <v>160</v>
      </c>
      <c r="F24" s="165" t="s">
        <v>210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1</v>
      </c>
      <c r="M24" s="65">
        <v>0</v>
      </c>
      <c r="N24" s="65">
        <v>1</v>
      </c>
      <c r="O24" s="65">
        <v>0</v>
      </c>
      <c r="P24" s="58">
        <v>1</v>
      </c>
      <c r="Q24" s="65">
        <v>0</v>
      </c>
      <c r="R24" s="59">
        <v>1</v>
      </c>
      <c r="S24"/>
      <c r="T24"/>
    </row>
    <row r="25" spans="1:20" ht="15" customHeight="1" x14ac:dyDescent="0.15">
      <c r="A25" s="65"/>
      <c r="B25" s="76"/>
      <c r="C25" s="64"/>
      <c r="D25" s="69" t="s">
        <v>160</v>
      </c>
      <c r="F25" s="165" t="s">
        <v>211</v>
      </c>
      <c r="G25" s="65">
        <v>0</v>
      </c>
      <c r="H25" s="65">
        <v>0</v>
      </c>
      <c r="I25" s="65">
        <v>0</v>
      </c>
      <c r="J25" s="65">
        <v>0</v>
      </c>
      <c r="K25" s="65">
        <v>0</v>
      </c>
      <c r="L25" s="65">
        <v>1</v>
      </c>
      <c r="M25" s="65">
        <v>0</v>
      </c>
      <c r="N25" s="65">
        <v>1</v>
      </c>
      <c r="O25" s="65">
        <v>0</v>
      </c>
      <c r="P25" s="58">
        <v>1</v>
      </c>
      <c r="Q25" s="65">
        <v>0</v>
      </c>
      <c r="R25" s="59">
        <v>1</v>
      </c>
      <c r="S25"/>
      <c r="T25"/>
    </row>
    <row r="26" spans="1:20" ht="15" customHeight="1" x14ac:dyDescent="0.15">
      <c r="B26" s="76"/>
      <c r="C26" s="64"/>
      <c r="D26" s="69" t="s">
        <v>160</v>
      </c>
      <c r="F26" s="165" t="s">
        <v>212</v>
      </c>
      <c r="G26" s="65">
        <v>0</v>
      </c>
      <c r="H26" s="65">
        <v>0</v>
      </c>
      <c r="I26" s="65">
        <v>0</v>
      </c>
      <c r="J26" s="65">
        <v>0</v>
      </c>
      <c r="K26" s="65">
        <v>0</v>
      </c>
      <c r="L26" s="65">
        <v>1</v>
      </c>
      <c r="M26" s="65">
        <v>0</v>
      </c>
      <c r="N26" s="65">
        <v>0</v>
      </c>
      <c r="O26" s="65">
        <v>0</v>
      </c>
      <c r="P26" s="58">
        <v>0</v>
      </c>
      <c r="Q26" s="65">
        <v>0</v>
      </c>
      <c r="R26" s="59">
        <v>1</v>
      </c>
      <c r="S26"/>
      <c r="T26"/>
    </row>
    <row r="27" spans="1:20" ht="15" customHeight="1" x14ac:dyDescent="0.15">
      <c r="B27" s="76"/>
      <c r="C27" s="64"/>
      <c r="D27" s="69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5"/>
      <c r="C28" s="64"/>
      <c r="D28" s="69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7"/>
      <c r="B31" s="117" t="s">
        <v>17</v>
      </c>
      <c r="C31" s="117" t="s">
        <v>1</v>
      </c>
      <c r="D31" s="117" t="s">
        <v>161</v>
      </c>
      <c r="E31" s="118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8" t="s">
        <v>192</v>
      </c>
      <c r="B32" s="77">
        <v>41.511369999999999</v>
      </c>
      <c r="C32" s="77">
        <v>190</v>
      </c>
      <c r="D32" s="77">
        <v>7887.1602999999996</v>
      </c>
      <c r="E32" s="108">
        <v>0.81756289464786858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68" t="s">
        <v>193</v>
      </c>
      <c r="B33" s="77">
        <v>400</v>
      </c>
      <c r="C33" s="77">
        <v>4.4000000000000004</v>
      </c>
      <c r="D33" s="77">
        <v>1760.0000000000002</v>
      </c>
      <c r="E33" s="108">
        <v>0.18243710535213148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9"/>
      <c r="B34" s="77"/>
      <c r="C34" s="77"/>
      <c r="D34" s="77"/>
      <c r="E34" s="10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0"/>
      <c r="B35" s="77"/>
      <c r="C35" s="77"/>
      <c r="D35" s="77"/>
      <c r="E35" s="10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1"/>
      <c r="B36" s="77"/>
      <c r="C36" s="77"/>
      <c r="D36" s="77"/>
      <c r="E36" s="10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1"/>
      <c r="B37" s="77"/>
      <c r="C37" s="77"/>
      <c r="D37" s="77"/>
      <c r="E37" s="10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2"/>
      <c r="B38" s="77"/>
      <c r="C38" s="77"/>
      <c r="D38" s="77"/>
      <c r="E38" s="10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2"/>
      <c r="B39" s="77"/>
      <c r="C39" s="77"/>
      <c r="D39" s="77"/>
      <c r="E39" s="10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2"/>
      <c r="B40" s="77"/>
      <c r="C40" s="77"/>
      <c r="D40" s="77"/>
      <c r="E40" s="10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2"/>
      <c r="B41" s="77"/>
      <c r="C41" s="77"/>
      <c r="D41" s="78"/>
      <c r="E41" s="11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4"/>
      <c r="B42" s="115"/>
      <c r="C42" s="115" t="s">
        <v>162</v>
      </c>
      <c r="D42" s="115">
        <f>SUM(D32:D41)</f>
        <v>9647.1602999999996</v>
      </c>
      <c r="E42" s="11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2" customWidth="1"/>
    <col min="3" max="5" width="7.83203125" style="92" customWidth="1"/>
    <col min="6" max="8" width="8.83203125" style="6"/>
    <col min="9" max="9" width="13.1640625" style="6" customWidth="1"/>
    <col min="10" max="10" width="10.83203125" style="6" customWidth="1"/>
    <col min="11" max="11" width="15.83203125" style="6" customWidth="1"/>
    <col min="12" max="12" width="13.83203125" style="6" customWidth="1"/>
    <col min="13" max="13" width="11.5" style="6" customWidth="1"/>
    <col min="14" max="14" width="16.5" style="6" customWidth="1"/>
    <col min="15" max="15" width="14.6640625" style="6" customWidth="1"/>
    <col min="16" max="16" width="14.1640625" style="6" customWidth="1"/>
    <col min="17" max="17" width="15.83203125" style="6" customWidth="1"/>
    <col min="18" max="18" width="7.1640625" style="6" customWidth="1"/>
    <col min="19" max="19" width="13.5" style="6" customWidth="1"/>
    <col min="20" max="20" width="9.83203125" style="6" customWidth="1"/>
    <col min="21" max="21" width="12.5" style="6" customWidth="1"/>
    <col min="22" max="22" width="5.5" style="6" customWidth="1"/>
    <col min="23" max="23" width="7.5" style="6" customWidth="1"/>
    <col min="24" max="24" width="15.1640625" style="6" customWidth="1"/>
    <col min="25" max="25" width="13.83203125" style="6" customWidth="1"/>
    <col min="26" max="26" width="9.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29" t="s">
        <v>157</v>
      </c>
      <c r="C1" s="29" t="s">
        <v>17</v>
      </c>
      <c r="D1" s="29" t="s">
        <v>158</v>
      </c>
      <c r="E1" s="29" t="s">
        <v>159</v>
      </c>
      <c r="F1" t="s">
        <v>38</v>
      </c>
      <c r="G1" t="s">
        <v>40</v>
      </c>
      <c r="H1" t="s">
        <v>41</v>
      </c>
      <c r="I1" s="170" t="s">
        <v>192</v>
      </c>
      <c r="J1" s="170" t="s">
        <v>193</v>
      </c>
      <c r="K1" s="170" t="s">
        <v>194</v>
      </c>
      <c r="L1" s="170" t="s">
        <v>195</v>
      </c>
      <c r="M1" s="170" t="s">
        <v>196</v>
      </c>
      <c r="N1" s="170" t="s">
        <v>197</v>
      </c>
      <c r="O1" s="170" t="s">
        <v>198</v>
      </c>
      <c r="P1" s="170" t="s">
        <v>199</v>
      </c>
      <c r="Q1" s="170" t="s">
        <v>200</v>
      </c>
      <c r="R1" s="170" t="s">
        <v>201</v>
      </c>
      <c r="S1" s="170" t="s">
        <v>202</v>
      </c>
      <c r="T1" s="170" t="s">
        <v>203</v>
      </c>
      <c r="U1" s="170" t="s">
        <v>204</v>
      </c>
      <c r="V1" s="170" t="s">
        <v>205</v>
      </c>
      <c r="W1" s="170" t="s">
        <v>206</v>
      </c>
      <c r="X1" s="170" t="s">
        <v>207</v>
      </c>
      <c r="Y1" s="170" t="s">
        <v>208</v>
      </c>
      <c r="Z1" s="170" t="s">
        <v>209</v>
      </c>
      <c r="AA1" s="170" t="s">
        <v>210</v>
      </c>
      <c r="AB1" s="170" t="s">
        <v>211</v>
      </c>
      <c r="AC1" s="170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9" t="s">
        <v>192</v>
      </c>
      <c r="B5" s="9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9" t="s">
        <v>193</v>
      </c>
      <c r="B6" s="9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9" t="s">
        <v>194</v>
      </c>
      <c r="B7" s="9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9" t="s">
        <v>195</v>
      </c>
      <c r="B8" s="9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9" t="s">
        <v>196</v>
      </c>
      <c r="B9" s="9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9" t="s">
        <v>197</v>
      </c>
      <c r="B10" s="9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9" t="s">
        <v>198</v>
      </c>
      <c r="B11" s="9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9" t="s">
        <v>199</v>
      </c>
      <c r="B12" s="9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9" t="s">
        <v>200</v>
      </c>
      <c r="B13" s="9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9" t="s">
        <v>201</v>
      </c>
      <c r="B14" s="9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9" t="s">
        <v>202</v>
      </c>
      <c r="B15" s="9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9" t="s">
        <v>203</v>
      </c>
      <c r="B16" s="9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9" t="s">
        <v>204</v>
      </c>
      <c r="B17" s="9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9" t="s">
        <v>205</v>
      </c>
      <c r="B18" s="9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9" t="s">
        <v>206</v>
      </c>
      <c r="B19" s="9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9" t="s">
        <v>207</v>
      </c>
      <c r="B20" s="9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9" t="s">
        <v>208</v>
      </c>
      <c r="B21" s="9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9" t="s">
        <v>209</v>
      </c>
      <c r="B22" s="9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9" t="s">
        <v>210</v>
      </c>
      <c r="B23" s="9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9" t="s">
        <v>211</v>
      </c>
      <c r="B24" s="9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9" t="s">
        <v>212</v>
      </c>
      <c r="B25" s="9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2022-10-23T22:35:25Z</dcterms:modified>
</cp:coreProperties>
</file>