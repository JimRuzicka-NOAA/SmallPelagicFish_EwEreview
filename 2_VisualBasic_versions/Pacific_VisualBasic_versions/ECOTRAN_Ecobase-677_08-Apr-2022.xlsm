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0496EF41-6AED-904B-9F2C-25D7CFE331FA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Main!$C$2:$N$24</definedName>
    <definedName name="matDetritus">Detritus!$C$2:$E$24</definedName>
    <definedName name="matDiet">Diets!$B$2:$U$24</definedName>
    <definedName name="matDiscards">Discards!$C$2:$C$23</definedName>
    <definedName name="matFishery">Fishing!$C$2:$C$23</definedName>
    <definedName name="matFishing">Fishing!#REF!</definedName>
    <definedName name="matMort">Mortalities!$A$1:$Z$23</definedName>
    <definedName name="matOut">MainOutputs!$A$2:$I$24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<sst xmlns="http://schemas.openxmlformats.org/spreadsheetml/2006/main" count="770" uniqueCount="220">
  <si>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</si>
  <si>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</si>
  <si>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</si>
  <si>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</si>
  <si>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</si>
  <si>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</si>
  <si>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</si>
  <si>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</si>
  <si>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</si>
  <si>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</si>
  <si>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</si>
  <si>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</si>
  <si>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</si>
  <si>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</si>
  <si>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</si>
  <si>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</si>
  <si>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</si>
  <si>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</si>
  <si>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</si>
  <si>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</si>
  <si>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</si>
  <si>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</si>
  <si>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</si>
  <si>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</si>
  <si>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</si>
  <si>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</si>
  <si>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</si>
  <si>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</si>
  <si>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</si>
  <si>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</si>
  <si>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</si>
  <si>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</si>
  <si>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</si>
  <si>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</si>
  <si>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</si>
  <si>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</si>
  <si>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</si>
  <si>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</si>
  <si>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</si>
  <si>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</si>
  <si>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</si>
  <si>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</si>
  <si>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</si>
  <si>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</si>
  <si>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</si>
  <si>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</si>
  <si>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</si>
  <si>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</si>
  <si>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</si>
  <si>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</si>
  <si>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</si>
  <si>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</si>
  <si>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</si>
  <si>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</si>
  <si>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</si>
  <si>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</si>
  <si>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</si>
  <si>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</si>
  <si>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</si>
  <si>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</si>
  <si>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</si>
  <si>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</si>
  <si>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</si>
  <si>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</si>
  <si>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</si>
  <si>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</si>
  <si>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</si>
  <si>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</si>
  <si>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</si>
  <si>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</si>
  <si>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</si>
  <si>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</si>
  <si>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</si>
  <si>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</si>
  <si>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</si>
  <si>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</si>
  <si>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</si>
  <si>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</si>
  <si>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</si>
  <si>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</si>
  <si>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</si>
  <si>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</si>
  <si>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</si>
  <si>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</si>
  <si>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</si>
  <si>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</si>
  <si>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</si>
  <si>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</si>
  <si>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</si>
  <si>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</si>
  <si>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</si>
  <si>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</si>
  <si>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</si>
  <si>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</si>
  <si>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</si>
  <si>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</si>
  <si>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</si>
  <si>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</si>
  <si>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</si>
  <si>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</si>
  <si>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</si>
  <si>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</si>
  <si>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</si>
  <si>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</si>
  <si>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</si>
  <si>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</si>
  <si>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</si>
  <si>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</si>
  <si>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</si>
  <si>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</si>
  <si>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</si>
  <si>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</si>
  <si>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</si>
  <si>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</si>
  <si>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</si>
  <si>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</si>
  <si>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</si>
  <si>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</si>
  <si>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</si>
  <si>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</si>
  <si>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</si>
  <si>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</si>
  <si>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</si>
  <si>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</si>
  <si>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</si>
  <si>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</si>
  <si>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</si>
  <si>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</si>
  <si>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</si>
  <si>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</si>
  <si>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</si>
  <si>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</si>
  <si>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</si>
  <si>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</si>
  <si>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</si>
  <si>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</si>
  <si>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</si>
  <si>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</si>
  <si>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</si>
  <si>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</si>
  <si>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</si>
  <si>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</si>
  <si>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</si>
  <si>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</si>
  <si>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</si>
  <si>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</si>
  <si>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</si>
  <si>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</si>
  <si>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</si>
  <si>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</si>
  <si>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</si>
  <si>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</si>
  <si>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</si>
  <si>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</si>
  <si>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</si>
  <si>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</si>
  <si>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</si>
  <si>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</si>
  <si>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</si>
  <si>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</si>
  <si>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</si>
  <si>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</si>
  <si>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</si>
  <si>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</si>
  <si>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</si>
  <si>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</si>
  <si>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</si>
  <si>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</si>
  <si>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</si>
  <si>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</si>
  <si>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</si>
  <si>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</si>
  <si>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</si>
  <si>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</si>
  <si>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</si>
  <si>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</si>
  <si>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</si>
  <si>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</si>
  <si>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</si>
  <si>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</si>
  <si>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</si>
  <si>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</si>
  <si>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</si>
  <si>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</si>
  <si>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</si>
  <si>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Gulf of Nicoya</t>
  </si>
  <si>
    <t>Costa Rica</t>
  </si>
  <si>
    <t>BOX(-85.2532829274119 9.52048693525627,-84.5403185866471 10.2307709589506)</t>
  </si>
  <si>
    <t>estuary</t>
  </si>
  <si>
    <t>WetWeight</t>
  </si>
  <si>
    <t>Created: 22/04/2006 01:27:39 a.m.; 22/04/2006 01:28:08 a.m.; 22/04/2006 01:31:28 a.m.; 19/07/2006 01:10:28 a.m.</t>
  </si>
  <si>
    <t>Wolff M.,Chavarria J.B.,Koch V.,Vargas J.A.(1998). A trophic flow model of the Golfo de Nicoya, Costa Rica Revista de Biologia Tropical. pp 63-79</t>
  </si>
  <si>
    <t>Phytoplankton</t>
  </si>
  <si>
    <t>Microphytobenthos</t>
  </si>
  <si>
    <t>Mangroves</t>
  </si>
  <si>
    <t>Zooplankton</t>
  </si>
  <si>
    <t>Shrimp</t>
  </si>
  <si>
    <t>Squids</t>
  </si>
  <si>
    <t>Small pelagics</t>
  </si>
  <si>
    <t>Carangids &amp;amp; others</t>
  </si>
  <si>
    <t>Small demersal fish</t>
  </si>
  <si>
    <t>Flatfish</t>
  </si>
  <si>
    <t>Catfish</t>
  </si>
  <si>
    <t>Snappers &amp;amp; Grunts</t>
  </si>
  <si>
    <t>Lizardfish</t>
  </si>
  <si>
    <t>Large Scianids</t>
  </si>
  <si>
    <t>Rays &amp;amp; Sharks</t>
  </si>
  <si>
    <t>Morays &amp;amp; eels</t>
  </si>
  <si>
    <t>Endobenthos</t>
  </si>
  <si>
    <t>Epibenthos</t>
  </si>
  <si>
    <t>Predatory crabs</t>
  </si>
  <si>
    <t>Sea/shore birds</t>
  </si>
  <si>
    <t>Detritus &amp;amp; Bacteria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</si>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</sst>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E3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5" borderId="0" xfId="0" applyFill="1"/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3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21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61" t="s">
        <v>171</v>
      </c>
      <c r="C53" s="103">
        <v>677</v>
      </c>
      <c r="D53" s="103"/>
    </row>
    <row r="54" spans="2:4" x14ac:dyDescent="0.15">
      <c r="B54" s="161" t="s">
        <v>172</v>
      </c>
      <c r="C54" s="161" t="s">
        <v>185</v>
      </c>
      <c r="D54" s="103"/>
    </row>
    <row r="55" spans="2:4" x14ac:dyDescent="0.15">
      <c r="B55" s="161" t="s">
        <v>173</v>
      </c>
      <c r="C55" s="161" t="s">
        <v>186</v>
      </c>
      <c r="D55" s="103"/>
    </row>
    <row r="56" spans="2:4" x14ac:dyDescent="0.15">
      <c r="B56" s="161" t="s">
        <v>174</v>
      </c>
      <c r="C56" s="103">
        <v>1530</v>
      </c>
      <c r="D56" s="103"/>
    </row>
    <row r="57" spans="2:4" x14ac:dyDescent="0.15">
      <c r="B57" s="161" t="s">
        <v>175</v>
      </c>
      <c r="C57" s="161" t="s">
        <v>187</v>
      </c>
      <c r="D57" s="103"/>
    </row>
    <row r="58" spans="2:4" x14ac:dyDescent="0.15">
      <c r="B58" s="161" t="s">
        <v>176</v>
      </c>
      <c r="C58" s="161" t="s">
        <v>188</v>
      </c>
      <c r="D58" s="103"/>
    </row>
    <row r="59" spans="2:4" x14ac:dyDescent="0.15">
      <c r="B59" s="161" t="s">
        <v>177</v>
      </c>
      <c r="C59" s="161" t="s">
        <v>189</v>
      </c>
      <c r="D59" s="103"/>
    </row>
    <row r="60" spans="2:4" x14ac:dyDescent="0.15">
      <c r="B60" s="161" t="s">
        <v>178</v>
      </c>
      <c r="C60" s="161" t="s">
        <v>190</v>
      </c>
      <c r="D60" s="103"/>
    </row>
    <row r="61" spans="2:4" x14ac:dyDescent="0.15">
      <c r="B61" s="161" t="s">
        <v>179</v>
      </c>
      <c r="C61" s="103">
        <v>21</v>
      </c>
      <c r="D61" s="103"/>
    </row>
    <row r="62" spans="2:4" x14ac:dyDescent="0.15">
      <c r="B62" s="161" t="s">
        <v>180</v>
      </c>
      <c r="C62" s="103">
        <v>1</v>
      </c>
      <c r="D62" s="103"/>
    </row>
    <row r="63" spans="2:4" x14ac:dyDescent="0.15">
      <c r="B63" s="161" t="s">
        <v>181</v>
      </c>
      <c r="C63" s="103">
        <v>1993</v>
      </c>
      <c r="D63" s="103"/>
    </row>
    <row r="64" spans="2:4" x14ac:dyDescent="0.15">
      <c r="B64" s="161" t="s">
        <v>182</v>
      </c>
      <c r="C64" s="103">
        <v>2</v>
      </c>
      <c r="D64" s="103"/>
    </row>
    <row r="65" spans="2:4" x14ac:dyDescent="0.15">
      <c r="B65" s="161" t="s">
        <v>183</v>
      </c>
      <c r="C65" s="161" t="s">
        <v>191</v>
      </c>
      <c r="D65" s="103"/>
    </row>
    <row r="66" spans="2:4" x14ac:dyDescent="0.15">
      <c r="B66" s="161" t="s">
        <v>184</v>
      </c>
      <c r="D66" s="103"/>
    </row>
    <row r="67" spans="2:4" x14ac:dyDescent="0.15">
      <c r="B67" s="103"/>
      <c r="C67" s="103"/>
      <c r="D67" s="103"/>
    </row>
    <row r="68" spans="2:4" x14ac:dyDescent="0.15">
      <c r="B68" s="103"/>
      <c r="C68" s="103"/>
      <c r="D68" s="10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1.6640625" style="77" bestFit="1" customWidth="1"/>
    <col min="6" max="6" width="2.33203125" style="77" bestFit="1" customWidth="1"/>
    <col min="7" max="7" width="4.83203125" style="77" bestFit="1" customWidth="1"/>
    <col min="8" max="8" width="4.83203125" style="77" customWidth="1"/>
    <col min="9" max="9" width="4.33203125" style="77" customWidth="1"/>
    <col min="10" max="10" width="11.83203125" style="77" customWidth="1"/>
    <col min="11" max="11" width="13.83203125" style="77" customWidth="1"/>
    <col min="12" max="12" width="2.33203125" style="77" customWidth="1"/>
    <col min="13" max="13" width="3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62" t="s">
        <v>192</v>
      </c>
      <c r="F2" s="77">
        <v>1</v>
      </c>
      <c r="G2" s="77">
        <v>6</v>
      </c>
      <c r="H2" s="77">
        <v>180</v>
      </c>
      <c r="I2" s="6">
        <v>0</v>
      </c>
      <c r="J2" s="6">
        <v>0.65836110000000003</v>
      </c>
      <c r="K2" s="6">
        <v>0</v>
      </c>
      <c r="L2" s="6">
        <v>0</v>
      </c>
      <c r="M2" s="77">
        <v>0</v>
      </c>
      <c r="N2" s="77">
        <v>0</v>
      </c>
    </row>
    <row r="3" spans="1:46" ht="15" customHeight="1" x14ac:dyDescent="0.15">
      <c r="A3" s="1" t="s">
        <v>9</v>
      </c>
      <c r="B3" s="4">
        <v>20</v>
      </c>
      <c r="C3" s="77">
        <v>2</v>
      </c>
      <c r="D3"/>
      <c r="E3" s="162" t="s">
        <v>193</v>
      </c>
      <c r="F3" s="77">
        <v>1</v>
      </c>
      <c r="G3" s="77">
        <v>0.5</v>
      </c>
      <c r="H3" s="77">
        <v>120</v>
      </c>
      <c r="I3" s="77">
        <v>0</v>
      </c>
      <c r="J3" s="77">
        <v>0.933500051</v>
      </c>
      <c r="K3" s="77">
        <v>0</v>
      </c>
      <c r="L3" s="77">
        <v>0</v>
      </c>
      <c r="M3" s="77">
        <v>0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62" t="s">
        <v>194</v>
      </c>
      <c r="F4" s="77">
        <v>1</v>
      </c>
      <c r="G4" s="77">
        <v>100</v>
      </c>
      <c r="H4" s="77">
        <v>0.22</v>
      </c>
      <c r="I4" s="77">
        <v>0</v>
      </c>
      <c r="J4" s="77">
        <v>0.44659090000000001</v>
      </c>
      <c r="K4" s="77">
        <v>0</v>
      </c>
      <c r="L4" s="77">
        <v>0</v>
      </c>
      <c r="M4" s="77">
        <v>0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62" t="s">
        <v>195</v>
      </c>
      <c r="F5" s="77">
        <v>0</v>
      </c>
      <c r="G5" s="77">
        <v>4</v>
      </c>
      <c r="H5" s="77">
        <v>40</v>
      </c>
      <c r="I5" s="77">
        <v>160</v>
      </c>
      <c r="J5" s="77">
        <v>0.50033130000000003</v>
      </c>
      <c r="K5" s="77">
        <v>0.25</v>
      </c>
      <c r="L5" s="77">
        <v>0</v>
      </c>
      <c r="M5" s="77">
        <v>0.2</v>
      </c>
      <c r="N5" s="77">
        <v>0</v>
      </c>
      <c r="P5" s="68"/>
      <c r="Q5" s="68"/>
      <c r="R5" s="68"/>
    </row>
    <row r="6" spans="1:46" ht="15" customHeight="1" thickBot="1" x14ac:dyDescent="0.2">
      <c r="B6" s="1"/>
      <c r="C6" s="77">
        <v>5</v>
      </c>
      <c r="D6"/>
      <c r="E6" s="162" t="s">
        <v>196</v>
      </c>
      <c r="F6" s="77">
        <v>0</v>
      </c>
      <c r="G6" s="77">
        <v>1.5</v>
      </c>
      <c r="H6" s="77">
        <v>6</v>
      </c>
      <c r="I6" s="77">
        <v>28</v>
      </c>
      <c r="J6" s="77">
        <v>0.91226660000000004</v>
      </c>
      <c r="K6" s="77">
        <v>0.21428571599999999</v>
      </c>
      <c r="L6" s="77">
        <v>0</v>
      </c>
      <c r="M6" s="77">
        <v>0.2</v>
      </c>
      <c r="N6" s="77">
        <v>0</v>
      </c>
      <c r="P6" s="68"/>
      <c r="Q6" s="68"/>
      <c r="R6" s="68"/>
      <c r="W6" s="34" t="s">
        <v>31</v>
      </c>
      <c r="X6" s="50">
        <f>MAX(MainOutputs!G:G)</f>
        <v>0.99233335256576538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141</v>
      </c>
      <c r="C7" s="77">
        <v>6</v>
      </c>
      <c r="D7"/>
      <c r="E7" s="162" t="s">
        <v>197</v>
      </c>
      <c r="F7" s="77">
        <v>0</v>
      </c>
      <c r="G7" s="77">
        <v>0.4</v>
      </c>
      <c r="H7" s="77">
        <v>8.3000000000000007</v>
      </c>
      <c r="I7" s="77">
        <v>32</v>
      </c>
      <c r="J7" s="77">
        <v>0.91424700000000003</v>
      </c>
      <c r="K7" s="77">
        <v>0.25937500000000002</v>
      </c>
      <c r="L7" s="77">
        <v>0</v>
      </c>
      <c r="M7" s="77">
        <v>0.2</v>
      </c>
      <c r="N7" s="77">
        <v>0</v>
      </c>
      <c r="P7" s="68"/>
      <c r="Q7" s="68"/>
      <c r="R7" s="68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37</v>
      </c>
      <c r="C8" s="77">
        <v>7</v>
      </c>
      <c r="D8"/>
      <c r="E8" s="162" t="s">
        <v>198</v>
      </c>
      <c r="F8" s="77">
        <v>0</v>
      </c>
      <c r="G8" s="77">
        <v>2.6</v>
      </c>
      <c r="H8" s="77">
        <v>5.5</v>
      </c>
      <c r="I8" s="77">
        <v>28</v>
      </c>
      <c r="J8" s="77">
        <v>0.92007684700000003</v>
      </c>
      <c r="K8" s="77">
        <v>0.196428567</v>
      </c>
      <c r="L8" s="77">
        <v>0</v>
      </c>
      <c r="M8" s="77">
        <v>0.2</v>
      </c>
      <c r="N8" s="77">
        <v>0</v>
      </c>
      <c r="P8" s="68"/>
      <c r="Q8" s="68"/>
      <c r="R8" s="68"/>
    </row>
    <row r="9" spans="1:46" ht="15" customHeight="1" x14ac:dyDescent="0.15">
      <c r="B9" s="1"/>
      <c r="C9" s="77">
        <v>8</v>
      </c>
      <c r="D9"/>
      <c r="E9" s="162" t="s">
        <v>199</v>
      </c>
      <c r="F9" s="77">
        <v>0</v>
      </c>
      <c r="G9" s="77">
        <v>0.5</v>
      </c>
      <c r="H9" s="77">
        <v>0.8</v>
      </c>
      <c r="I9" s="77">
        <v>7.3</v>
      </c>
      <c r="J9" s="77">
        <v>0.94259999999999999</v>
      </c>
      <c r="K9" s="77">
        <v>0.10958904</v>
      </c>
      <c r="L9" s="77">
        <v>0</v>
      </c>
      <c r="M9" s="77">
        <v>0.2</v>
      </c>
      <c r="N9" s="77">
        <v>0</v>
      </c>
      <c r="P9" s="68"/>
      <c r="Q9" s="68"/>
      <c r="R9" s="68"/>
    </row>
    <row r="10" spans="1:46" ht="15" customHeight="1" x14ac:dyDescent="0.15">
      <c r="B10" s="1"/>
      <c r="C10" s="77">
        <v>9</v>
      </c>
      <c r="D10"/>
      <c r="E10" s="162" t="s">
        <v>200</v>
      </c>
      <c r="F10" s="77">
        <v>0</v>
      </c>
      <c r="G10" s="77">
        <v>1.3</v>
      </c>
      <c r="H10" s="77">
        <v>2.2999999999999998</v>
      </c>
      <c r="I10" s="77">
        <v>12</v>
      </c>
      <c r="J10" s="77">
        <v>0.93242809999999998</v>
      </c>
      <c r="K10" s="77">
        <v>0.19166666299999999</v>
      </c>
      <c r="L10" s="77">
        <v>0</v>
      </c>
      <c r="M10" s="77">
        <v>0.2</v>
      </c>
      <c r="N10" s="77">
        <v>0</v>
      </c>
    </row>
    <row r="11" spans="1:46" ht="15" customHeight="1" x14ac:dyDescent="0.15">
      <c r="C11" s="77">
        <v>10</v>
      </c>
      <c r="D11"/>
      <c r="E11" s="162" t="s">
        <v>201</v>
      </c>
      <c r="F11" s="77">
        <v>0</v>
      </c>
      <c r="G11" s="77">
        <v>0.78</v>
      </c>
      <c r="H11" s="77">
        <v>1.8</v>
      </c>
      <c r="I11" s="77">
        <v>7.5</v>
      </c>
      <c r="J11" s="77">
        <v>0.93927353599999996</v>
      </c>
      <c r="K11" s="77">
        <v>0.24</v>
      </c>
      <c r="L11" s="77">
        <v>0</v>
      </c>
      <c r="M11" s="77">
        <v>0.2</v>
      </c>
      <c r="N11" s="77">
        <v>0</v>
      </c>
    </row>
    <row r="12" spans="1:46" ht="15" customHeight="1" x14ac:dyDescent="0.15">
      <c r="C12" s="77">
        <v>11</v>
      </c>
      <c r="D12"/>
      <c r="E12" s="162" t="s">
        <v>202</v>
      </c>
      <c r="F12" s="77">
        <v>0</v>
      </c>
      <c r="G12" s="77">
        <v>0.5</v>
      </c>
      <c r="H12" s="77">
        <v>0.9</v>
      </c>
      <c r="I12" s="77">
        <v>4</v>
      </c>
      <c r="J12" s="77">
        <v>0.92000009999999999</v>
      </c>
      <c r="K12" s="77">
        <v>0.22500000000000001</v>
      </c>
      <c r="L12" s="77">
        <v>0</v>
      </c>
      <c r="M12" s="77">
        <v>0.2</v>
      </c>
      <c r="N12" s="77">
        <v>0</v>
      </c>
    </row>
    <row r="13" spans="1:46" ht="15" customHeight="1" x14ac:dyDescent="0.15">
      <c r="C13" s="77">
        <v>12</v>
      </c>
      <c r="D13"/>
      <c r="E13" s="162" t="s">
        <v>203</v>
      </c>
      <c r="F13" s="77">
        <v>0</v>
      </c>
      <c r="G13" s="77">
        <v>0.4</v>
      </c>
      <c r="H13" s="77">
        <v>0.95</v>
      </c>
      <c r="I13" s="77">
        <v>4.3</v>
      </c>
      <c r="J13" s="77">
        <v>0.96152633399999998</v>
      </c>
      <c r="K13" s="77">
        <v>0.22093021900000001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62" t="s">
        <v>204</v>
      </c>
      <c r="F14" s="77">
        <v>0</v>
      </c>
      <c r="G14" s="77">
        <v>0.19</v>
      </c>
      <c r="H14" s="77">
        <v>1</v>
      </c>
      <c r="I14" s="77">
        <v>7</v>
      </c>
      <c r="J14" s="77">
        <v>0.9814737</v>
      </c>
      <c r="K14" s="77">
        <v>0.14285714899999999</v>
      </c>
      <c r="L14" s="77">
        <v>0</v>
      </c>
      <c r="M14" s="77">
        <v>0.2</v>
      </c>
      <c r="N14" s="77">
        <v>0</v>
      </c>
    </row>
    <row r="15" spans="1:46" ht="15" customHeight="1" x14ac:dyDescent="0.15">
      <c r="C15" s="77">
        <v>14</v>
      </c>
      <c r="D15"/>
      <c r="E15" s="162" t="s">
        <v>205</v>
      </c>
      <c r="F15" s="77">
        <v>0</v>
      </c>
      <c r="G15" s="77">
        <v>0.3</v>
      </c>
      <c r="H15" s="77">
        <v>0.6</v>
      </c>
      <c r="I15" s="77">
        <v>4</v>
      </c>
      <c r="J15" s="77">
        <v>0.96333324899999995</v>
      </c>
      <c r="K15" s="77">
        <v>0.15</v>
      </c>
      <c r="L15" s="77">
        <v>0</v>
      </c>
      <c r="M15" s="77">
        <v>0.2</v>
      </c>
      <c r="N15" s="77">
        <v>0</v>
      </c>
    </row>
    <row r="16" spans="1:46" ht="15" customHeight="1" x14ac:dyDescent="0.15">
      <c r="C16" s="77">
        <v>15</v>
      </c>
      <c r="D16"/>
      <c r="E16" s="162" t="s">
        <v>206</v>
      </c>
      <c r="F16" s="77">
        <v>0</v>
      </c>
      <c r="G16" s="77">
        <v>0.09</v>
      </c>
      <c r="H16" s="77">
        <v>0.6</v>
      </c>
      <c r="I16" s="77">
        <v>2.8</v>
      </c>
      <c r="J16" s="77">
        <v>0.95407396600000005</v>
      </c>
      <c r="K16" s="77">
        <v>0.21428573100000001</v>
      </c>
      <c r="L16" s="77">
        <v>0</v>
      </c>
      <c r="M16" s="77">
        <v>0.2</v>
      </c>
      <c r="N16" s="77">
        <v>0</v>
      </c>
    </row>
    <row r="17" spans="1:22" ht="15" customHeight="1" x14ac:dyDescent="0.15">
      <c r="C17" s="77">
        <v>16</v>
      </c>
      <c r="D17"/>
      <c r="E17" s="162" t="s">
        <v>207</v>
      </c>
      <c r="F17" s="77">
        <v>0</v>
      </c>
      <c r="G17" s="77">
        <v>0.16</v>
      </c>
      <c r="H17" s="77">
        <v>0.75</v>
      </c>
      <c r="I17" s="77">
        <v>3.6</v>
      </c>
      <c r="J17" s="77">
        <v>0.99233335300000003</v>
      </c>
      <c r="K17" s="77">
        <v>0.208333343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62" t="s">
        <v>208</v>
      </c>
      <c r="F18" s="77">
        <v>0</v>
      </c>
      <c r="G18" s="77">
        <v>0.35</v>
      </c>
      <c r="H18" s="77">
        <v>30</v>
      </c>
      <c r="I18" s="77">
        <v>150</v>
      </c>
      <c r="J18" s="77">
        <v>0.98961913599999995</v>
      </c>
      <c r="K18" s="77">
        <v>0.2</v>
      </c>
      <c r="L18" s="77">
        <v>0</v>
      </c>
      <c r="M18" s="77">
        <v>0.2</v>
      </c>
      <c r="N18" s="77">
        <v>0</v>
      </c>
      <c r="V18" s="1"/>
    </row>
    <row r="19" spans="1:22" ht="15" customHeight="1" x14ac:dyDescent="0.15">
      <c r="C19" s="77">
        <v>18</v>
      </c>
      <c r="D19"/>
      <c r="E19" s="162" t="s">
        <v>209</v>
      </c>
      <c r="F19" s="77">
        <v>0</v>
      </c>
      <c r="G19" s="77">
        <v>12</v>
      </c>
      <c r="H19" s="77">
        <v>4</v>
      </c>
      <c r="I19" s="77">
        <v>25</v>
      </c>
      <c r="J19" s="77">
        <v>0.45855623499999998</v>
      </c>
      <c r="K19" s="77">
        <v>0.16</v>
      </c>
      <c r="L19" s="77">
        <v>0</v>
      </c>
      <c r="M19" s="77">
        <v>0.2</v>
      </c>
      <c r="N19" s="77">
        <v>0</v>
      </c>
    </row>
    <row r="20" spans="1:22" ht="15" customHeight="1" thickBot="1" x14ac:dyDescent="0.2">
      <c r="C20" s="77">
        <v>19</v>
      </c>
      <c r="D20"/>
      <c r="E20" s="162" t="s">
        <v>210</v>
      </c>
      <c r="F20" s="77">
        <v>0</v>
      </c>
      <c r="G20" s="77">
        <v>0.5</v>
      </c>
      <c r="H20" s="77">
        <v>2</v>
      </c>
      <c r="I20" s="77">
        <v>11</v>
      </c>
      <c r="J20" s="77">
        <v>0.88690006700000001</v>
      </c>
      <c r="K20" s="77">
        <v>0.18181818699999999</v>
      </c>
      <c r="L20" s="77">
        <v>0</v>
      </c>
      <c r="M20" s="77">
        <v>0.2</v>
      </c>
      <c r="N20" s="77">
        <v>0</v>
      </c>
    </row>
    <row r="21" spans="1:22" ht="15" customHeight="1" thickBot="1" x14ac:dyDescent="0.2">
      <c r="A21" s="45" t="s">
        <v>137</v>
      </c>
      <c r="B21" s="95"/>
      <c r="C21" s="77">
        <v>20</v>
      </c>
      <c r="D21"/>
      <c r="E21" s="162" t="s">
        <v>211</v>
      </c>
      <c r="F21" s="77">
        <v>0</v>
      </c>
      <c r="G21" s="77">
        <v>0.05</v>
      </c>
      <c r="H21" s="77">
        <v>0.15</v>
      </c>
      <c r="I21" s="77">
        <v>65</v>
      </c>
      <c r="J21" s="77">
        <v>0</v>
      </c>
      <c r="K21" s="77">
        <v>2.3076923100000001E-3</v>
      </c>
      <c r="L21" s="77">
        <v>0</v>
      </c>
      <c r="M21" s="77">
        <v>0.2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62" t="s">
        <v>212</v>
      </c>
      <c r="F22" s="77">
        <v>2</v>
      </c>
      <c r="G22" s="77">
        <v>1</v>
      </c>
      <c r="H22" s="77">
        <v>0</v>
      </c>
      <c r="I22" s="77">
        <v>0</v>
      </c>
      <c r="J22" s="77">
        <v>0</v>
      </c>
      <c r="K22" s="77">
        <v>0</v>
      </c>
      <c r="L22" s="77">
        <v>0</v>
      </c>
      <c r="M22" s="77">
        <v>0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62" t="s">
        <v>213</v>
      </c>
      <c r="F23" s="77">
        <v>2</v>
      </c>
      <c r="G23" s="77">
        <v>5</v>
      </c>
      <c r="H23" s="77">
        <v>0</v>
      </c>
      <c r="I23" s="77">
        <v>0</v>
      </c>
      <c r="J23" s="77">
        <v>0</v>
      </c>
      <c r="K23" s="77">
        <v>0</v>
      </c>
      <c r="L23" s="77">
        <v>0</v>
      </c>
      <c r="M23" s="77">
        <v>0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62" t="s">
        <v>214</v>
      </c>
      <c r="F24" s="77">
        <v>3</v>
      </c>
      <c r="G24" s="77">
        <v>0</v>
      </c>
      <c r="H24" s="77">
        <v>0</v>
      </c>
      <c r="I24" s="77">
        <v>0</v>
      </c>
      <c r="J24" s="77">
        <v>0</v>
      </c>
      <c r="K24" s="77">
        <v>0</v>
      </c>
      <c r="L24" s="77">
        <v>0</v>
      </c>
      <c r="M24" s="77">
        <v>0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10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5" bestFit="1" customWidth="1"/>
    <col min="2" max="4" width="2.33203125" style="135" bestFit="1" customWidth="1"/>
    <col min="5" max="7" width="4.83203125" style="135" bestFit="1" customWidth="1"/>
    <col min="8" max="8" width="3.83203125" style="135" bestFit="1" customWidth="1"/>
    <col min="9" max="10" width="4.83203125" style="135" bestFit="1" customWidth="1"/>
    <col min="11" max="11" width="13.83203125" style="135" bestFit="1" customWidth="1"/>
    <col min="12" max="12" width="3.83203125" style="135" bestFit="1" customWidth="1"/>
    <col min="13" max="14" width="4.83203125" style="135" bestFit="1" customWidth="1"/>
    <col min="15" max="15" width="14.83203125" style="135" bestFit="1" customWidth="1"/>
    <col min="16" max="21" width="4.83203125" style="135" bestFit="1" customWidth="1"/>
    <col min="22" max="23" width="2.33203125" style="135" bestFit="1" customWidth="1"/>
    <col min="24" max="29" width="9" style="135" bestFit="1" customWidth="1"/>
    <col min="30" max="16384" width="8.83203125" style="135"/>
  </cols>
  <sheetData>
    <row r="1" spans="1:34" x14ac:dyDescent="0.15">
      <c r="A1" s="134" t="s">
        <v>19</v>
      </c>
      <c r="B1" s="164" t="s">
        <v>192</v>
      </c>
      <c r="C1" s="164" t="s">
        <v>193</v>
      </c>
      <c r="D1" s="164" t="s">
        <v>194</v>
      </c>
      <c r="E1" s="164" t="s">
        <v>195</v>
      </c>
      <c r="F1" s="164" t="s">
        <v>196</v>
      </c>
      <c r="G1" s="164" t="s">
        <v>197</v>
      </c>
      <c r="H1" s="164" t="s">
        <v>198</v>
      </c>
      <c r="I1" s="164" t="s">
        <v>199</v>
      </c>
      <c r="J1" s="164" t="s">
        <v>200</v>
      </c>
      <c r="K1" s="164" t="s">
        <v>201</v>
      </c>
      <c r="L1" s="164" t="s">
        <v>202</v>
      </c>
      <c r="M1" s="164" t="s">
        <v>203</v>
      </c>
      <c r="N1" s="164" t="s">
        <v>204</v>
      </c>
      <c r="O1" s="164" t="s">
        <v>205</v>
      </c>
      <c r="P1" s="164" t="s">
        <v>206</v>
      </c>
      <c r="Q1" s="164" t="s">
        <v>207</v>
      </c>
      <c r="R1" s="164" t="s">
        <v>208</v>
      </c>
      <c r="S1" s="164" t="s">
        <v>209</v>
      </c>
      <c r="T1" s="164" t="s">
        <v>210</v>
      </c>
      <c r="U1" s="164" t="s">
        <v>211</v>
      </c>
      <c r="V1" s="164" t="s">
        <v>212</v>
      </c>
      <c r="W1" s="164" t="s">
        <v>213</v>
      </c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63" t="s">
        <v>192</v>
      </c>
      <c r="B2" s="135">
        <v>0</v>
      </c>
      <c r="C2" s="135">
        <v>0</v>
      </c>
      <c r="D2" s="135">
        <v>0</v>
      </c>
      <c r="E2" s="135">
        <v>0.75</v>
      </c>
      <c r="F2" s="135">
        <v>0</v>
      </c>
      <c r="G2" s="135">
        <v>0</v>
      </c>
      <c r="H2" s="135">
        <v>0.6</v>
      </c>
      <c r="I2" s="135">
        <v>0</v>
      </c>
      <c r="J2" s="135">
        <v>0</v>
      </c>
      <c r="K2" s="135">
        <v>0</v>
      </c>
      <c r="L2" s="135">
        <v>0</v>
      </c>
      <c r="M2" s="135">
        <v>0</v>
      </c>
      <c r="N2" s="135">
        <v>0</v>
      </c>
      <c r="O2" s="135">
        <v>0</v>
      </c>
      <c r="P2" s="135">
        <v>0</v>
      </c>
      <c r="Q2" s="135">
        <v>0</v>
      </c>
      <c r="R2" s="135">
        <v>0.14000000000000001</v>
      </c>
      <c r="S2" s="135">
        <v>0.6</v>
      </c>
      <c r="T2" s="135">
        <v>0</v>
      </c>
      <c r="U2" s="135">
        <v>0</v>
      </c>
      <c r="V2" s="135">
        <v>0</v>
      </c>
      <c r="W2" s="135">
        <v>0</v>
      </c>
    </row>
    <row r="3" spans="1:34" customFormat="1" x14ac:dyDescent="0.15">
      <c r="A3" s="163" t="s">
        <v>193</v>
      </c>
      <c r="B3" s="135">
        <v>0</v>
      </c>
      <c r="C3" s="135">
        <v>0</v>
      </c>
      <c r="D3" s="135">
        <v>0</v>
      </c>
      <c r="E3" s="135">
        <v>0</v>
      </c>
      <c r="F3" s="135">
        <v>0.1</v>
      </c>
      <c r="G3" s="135">
        <v>0</v>
      </c>
      <c r="H3" s="135">
        <v>0</v>
      </c>
      <c r="I3" s="135">
        <v>0</v>
      </c>
      <c r="J3" s="135">
        <v>0.1</v>
      </c>
      <c r="K3" s="135">
        <v>0</v>
      </c>
      <c r="L3" s="135">
        <v>0</v>
      </c>
      <c r="M3" s="135">
        <v>0</v>
      </c>
      <c r="N3" s="135">
        <v>0</v>
      </c>
      <c r="O3" s="135">
        <v>0</v>
      </c>
      <c r="P3" s="135">
        <v>0</v>
      </c>
      <c r="Q3" s="135">
        <v>0</v>
      </c>
      <c r="R3" s="135">
        <v>0.1</v>
      </c>
      <c r="S3" s="135">
        <v>0.15</v>
      </c>
      <c r="T3" s="135">
        <v>0</v>
      </c>
      <c r="U3" s="135">
        <v>0</v>
      </c>
      <c r="V3" s="135">
        <v>0</v>
      </c>
      <c r="W3" s="135">
        <v>0</v>
      </c>
    </row>
    <row r="4" spans="1:34" customFormat="1" x14ac:dyDescent="0.15">
      <c r="A4" s="163" t="s">
        <v>194</v>
      </c>
      <c r="B4" s="135">
        <v>0</v>
      </c>
      <c r="C4" s="135">
        <v>0</v>
      </c>
      <c r="D4" s="135">
        <v>0</v>
      </c>
      <c r="E4" s="135">
        <v>0</v>
      </c>
      <c r="F4" s="135">
        <v>0.1</v>
      </c>
      <c r="G4" s="135">
        <v>0</v>
      </c>
      <c r="H4" s="135">
        <v>0</v>
      </c>
      <c r="I4" s="135">
        <v>0</v>
      </c>
      <c r="J4" s="135">
        <v>0</v>
      </c>
      <c r="K4" s="135">
        <v>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0.05</v>
      </c>
      <c r="S4" s="135">
        <v>0.01</v>
      </c>
      <c r="T4" s="135">
        <v>0</v>
      </c>
      <c r="U4" s="135">
        <v>0</v>
      </c>
      <c r="V4" s="135">
        <v>0</v>
      </c>
      <c r="W4" s="135">
        <v>0</v>
      </c>
    </row>
    <row r="5" spans="1:34" customFormat="1" x14ac:dyDescent="0.15">
      <c r="A5" s="163" t="s">
        <v>195</v>
      </c>
      <c r="B5" s="135">
        <v>0</v>
      </c>
      <c r="C5" s="135">
        <v>0</v>
      </c>
      <c r="D5" s="135">
        <v>0</v>
      </c>
      <c r="E5" s="135">
        <v>0.05</v>
      </c>
      <c r="F5" s="135">
        <v>0.25</v>
      </c>
      <c r="G5" s="135">
        <v>0.05</v>
      </c>
      <c r="H5" s="135">
        <v>0.4</v>
      </c>
      <c r="I5" s="135">
        <v>0.12</v>
      </c>
      <c r="J5" s="135">
        <v>0.1</v>
      </c>
      <c r="K5" s="135">
        <v>0</v>
      </c>
      <c r="L5" s="135">
        <v>0</v>
      </c>
      <c r="M5" s="135">
        <v>4.9999999999999989E-2</v>
      </c>
      <c r="N5" s="135">
        <v>0</v>
      </c>
      <c r="O5" s="135">
        <v>7.0000004007999661E-2</v>
      </c>
      <c r="P5" s="135">
        <v>0</v>
      </c>
      <c r="Q5" s="135">
        <v>0</v>
      </c>
      <c r="R5" s="135">
        <v>0.05</v>
      </c>
      <c r="S5" s="135">
        <v>0.01</v>
      </c>
      <c r="T5" s="135">
        <v>0</v>
      </c>
      <c r="U5" s="135">
        <v>0</v>
      </c>
      <c r="V5" s="135">
        <v>0</v>
      </c>
      <c r="W5" s="135">
        <v>0</v>
      </c>
    </row>
    <row r="6" spans="1:34" customFormat="1" x14ac:dyDescent="0.15">
      <c r="A6" s="163" t="s">
        <v>196</v>
      </c>
      <c r="B6" s="135">
        <v>0</v>
      </c>
      <c r="C6" s="135">
        <v>0</v>
      </c>
      <c r="D6" s="135">
        <v>0</v>
      </c>
      <c r="E6" s="135">
        <v>0</v>
      </c>
      <c r="F6" s="135">
        <v>0</v>
      </c>
      <c r="G6" s="135">
        <v>0.2</v>
      </c>
      <c r="H6" s="135">
        <v>0</v>
      </c>
      <c r="I6" s="135">
        <v>0.06</v>
      </c>
      <c r="J6" s="135">
        <v>0.12</v>
      </c>
      <c r="K6" s="135">
        <v>0.17094017162393163</v>
      </c>
      <c r="L6" s="135">
        <v>0.1</v>
      </c>
      <c r="M6" s="135">
        <v>9.9999999999999978E-2</v>
      </c>
      <c r="N6" s="135">
        <v>0.19999999999999996</v>
      </c>
      <c r="O6" s="135">
        <v>5.0000000219999979E-2</v>
      </c>
      <c r="P6" s="135">
        <v>0.05</v>
      </c>
      <c r="Q6" s="135">
        <v>4.9999999999999989E-2</v>
      </c>
      <c r="R6" s="135">
        <v>0</v>
      </c>
      <c r="S6" s="135">
        <v>0</v>
      </c>
      <c r="T6" s="135">
        <v>0.15</v>
      </c>
      <c r="U6" s="135">
        <v>0.06</v>
      </c>
      <c r="V6" s="135">
        <v>0</v>
      </c>
      <c r="W6" s="135">
        <v>0</v>
      </c>
    </row>
    <row r="7" spans="1:34" customFormat="1" x14ac:dyDescent="0.15">
      <c r="A7" s="163" t="s">
        <v>197</v>
      </c>
      <c r="B7" s="135">
        <v>0</v>
      </c>
      <c r="C7" s="135">
        <v>0</v>
      </c>
      <c r="D7" s="135">
        <v>0</v>
      </c>
      <c r="E7" s="135">
        <v>0</v>
      </c>
      <c r="F7" s="135">
        <v>0</v>
      </c>
      <c r="G7" s="135">
        <v>0.1</v>
      </c>
      <c r="H7" s="135">
        <v>0</v>
      </c>
      <c r="I7" s="135">
        <v>0.2</v>
      </c>
      <c r="J7" s="135">
        <v>0.03</v>
      </c>
      <c r="K7" s="135">
        <v>0</v>
      </c>
      <c r="L7" s="135">
        <v>0.1</v>
      </c>
      <c r="M7" s="135">
        <v>4.9999999999999989E-2</v>
      </c>
      <c r="N7" s="135">
        <v>0</v>
      </c>
      <c r="O7" s="135">
        <v>5.0000000219999979E-2</v>
      </c>
      <c r="P7" s="135">
        <v>0</v>
      </c>
      <c r="Q7" s="135">
        <v>4.9999999999999989E-2</v>
      </c>
      <c r="R7" s="135">
        <v>0</v>
      </c>
      <c r="S7" s="135">
        <v>0</v>
      </c>
      <c r="T7" s="135">
        <v>0</v>
      </c>
      <c r="U7" s="135">
        <v>0.05</v>
      </c>
      <c r="V7" s="135">
        <v>0</v>
      </c>
      <c r="W7" s="135">
        <v>0</v>
      </c>
    </row>
    <row r="8" spans="1:34" customFormat="1" x14ac:dyDescent="0.15">
      <c r="A8" s="163" t="s">
        <v>198</v>
      </c>
      <c r="B8" s="135">
        <v>0</v>
      </c>
      <c r="C8" s="135">
        <v>0</v>
      </c>
      <c r="D8" s="135">
        <v>0</v>
      </c>
      <c r="E8" s="135">
        <v>0</v>
      </c>
      <c r="F8" s="135">
        <v>0</v>
      </c>
      <c r="G8" s="135">
        <v>0.65</v>
      </c>
      <c r="H8" s="135">
        <v>0</v>
      </c>
      <c r="I8" s="135">
        <v>0.5</v>
      </c>
      <c r="J8" s="135">
        <v>0</v>
      </c>
      <c r="K8" s="135">
        <v>4.2735042805982906E-2</v>
      </c>
      <c r="L8" s="135">
        <v>0.2</v>
      </c>
      <c r="M8" s="135">
        <v>0.17999999999999997</v>
      </c>
      <c r="N8" s="135">
        <v>0.19999999999999996</v>
      </c>
      <c r="O8" s="135">
        <v>0.10000000043999996</v>
      </c>
      <c r="P8" s="135">
        <v>0.1</v>
      </c>
      <c r="Q8" s="135">
        <v>4.9999999999999989E-2</v>
      </c>
      <c r="R8" s="135">
        <v>0</v>
      </c>
      <c r="S8" s="135">
        <v>0</v>
      </c>
      <c r="T8" s="135">
        <v>0</v>
      </c>
      <c r="U8" s="135">
        <v>0.45</v>
      </c>
      <c r="V8" s="135">
        <v>0</v>
      </c>
      <c r="W8" s="135">
        <v>0</v>
      </c>
    </row>
    <row r="9" spans="1:34" customFormat="1" x14ac:dyDescent="0.15">
      <c r="A9" s="163" t="s">
        <v>199</v>
      </c>
      <c r="B9" s="135">
        <v>0</v>
      </c>
      <c r="C9" s="135">
        <v>0</v>
      </c>
      <c r="D9" s="135">
        <v>0</v>
      </c>
      <c r="E9" s="135">
        <v>0</v>
      </c>
      <c r="F9" s="135">
        <v>0</v>
      </c>
      <c r="G9" s="135">
        <v>0</v>
      </c>
      <c r="H9" s="135">
        <v>0</v>
      </c>
      <c r="I9" s="135">
        <v>0</v>
      </c>
      <c r="J9" s="135">
        <v>0</v>
      </c>
      <c r="K9" s="135">
        <v>0</v>
      </c>
      <c r="L9" s="135">
        <v>0</v>
      </c>
      <c r="M9" s="135">
        <v>9.9999999999999978E-2</v>
      </c>
      <c r="N9" s="135">
        <v>0</v>
      </c>
      <c r="O9" s="135">
        <v>0</v>
      </c>
      <c r="P9" s="135">
        <v>0.02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</row>
    <row r="10" spans="1:34" customFormat="1" x14ac:dyDescent="0.15">
      <c r="A10" s="163" t="s">
        <v>200</v>
      </c>
      <c r="B10" s="135">
        <v>0</v>
      </c>
      <c r="C10" s="135">
        <v>0</v>
      </c>
      <c r="D10" s="135">
        <v>0</v>
      </c>
      <c r="E10" s="135">
        <v>0</v>
      </c>
      <c r="F10" s="135">
        <v>0</v>
      </c>
      <c r="G10" s="135">
        <v>0</v>
      </c>
      <c r="H10" s="135">
        <v>0</v>
      </c>
      <c r="I10" s="135">
        <v>0.02</v>
      </c>
      <c r="J10" s="135">
        <v>0</v>
      </c>
      <c r="K10" s="135">
        <v>0</v>
      </c>
      <c r="L10" s="135">
        <v>0.2</v>
      </c>
      <c r="M10" s="135">
        <v>0.14999999999999997</v>
      </c>
      <c r="N10" s="135">
        <v>0.19999999999999996</v>
      </c>
      <c r="O10" s="135">
        <v>0.10000000043999996</v>
      </c>
      <c r="P10" s="135">
        <v>0.16</v>
      </c>
      <c r="Q10" s="135">
        <v>0.13999999999999999</v>
      </c>
      <c r="R10" s="135">
        <v>0</v>
      </c>
      <c r="S10" s="135">
        <v>0</v>
      </c>
      <c r="T10" s="135">
        <v>0.1</v>
      </c>
      <c r="U10" s="135">
        <v>0</v>
      </c>
      <c r="V10" s="135">
        <v>0</v>
      </c>
      <c r="W10" s="135">
        <v>0</v>
      </c>
    </row>
    <row r="11" spans="1:34" customFormat="1" x14ac:dyDescent="0.15">
      <c r="A11" s="163" t="s">
        <v>201</v>
      </c>
      <c r="B11" s="135">
        <v>0</v>
      </c>
      <c r="C11" s="135">
        <v>0</v>
      </c>
      <c r="D11" s="135">
        <v>0</v>
      </c>
      <c r="E11" s="135">
        <v>0</v>
      </c>
      <c r="F11" s="135">
        <v>0</v>
      </c>
      <c r="G11" s="135">
        <v>0</v>
      </c>
      <c r="H11" s="135">
        <v>0</v>
      </c>
      <c r="I11" s="135">
        <v>0</v>
      </c>
      <c r="J11" s="135">
        <v>0.05</v>
      </c>
      <c r="K11" s="135">
        <v>0</v>
      </c>
      <c r="L11" s="135">
        <v>0</v>
      </c>
      <c r="M11" s="135">
        <v>4.9999999999999989E-2</v>
      </c>
      <c r="N11" s="135">
        <v>4.9999999999999989E-2</v>
      </c>
      <c r="O11" s="135">
        <v>0.10000000043999996</v>
      </c>
      <c r="P11" s="135">
        <v>0.08</v>
      </c>
      <c r="Q11" s="135">
        <v>7.9999999999999988E-2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</row>
    <row r="12" spans="1:34" customFormat="1" x14ac:dyDescent="0.15">
      <c r="A12" s="163" t="s">
        <v>202</v>
      </c>
      <c r="B12" s="135">
        <v>0</v>
      </c>
      <c r="C12" s="135">
        <v>0</v>
      </c>
      <c r="D12" s="135">
        <v>0</v>
      </c>
      <c r="E12" s="135">
        <v>0</v>
      </c>
      <c r="F12" s="135">
        <v>0</v>
      </c>
      <c r="G12" s="135">
        <v>0</v>
      </c>
      <c r="H12" s="135">
        <v>0</v>
      </c>
      <c r="I12" s="135">
        <v>0</v>
      </c>
      <c r="J12" s="135">
        <v>0</v>
      </c>
      <c r="K12" s="135">
        <v>0</v>
      </c>
      <c r="L12" s="135">
        <v>0</v>
      </c>
      <c r="M12" s="135">
        <v>0</v>
      </c>
      <c r="N12" s="135">
        <v>0</v>
      </c>
      <c r="O12" s="135">
        <v>5.0000000219999979E-2</v>
      </c>
      <c r="P12" s="135">
        <v>0.1</v>
      </c>
      <c r="Q12" s="135">
        <v>4.9999999999999989E-2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</row>
    <row r="13" spans="1:34" customFormat="1" x14ac:dyDescent="0.15">
      <c r="A13" s="163" t="s">
        <v>203</v>
      </c>
      <c r="B13" s="135">
        <v>0</v>
      </c>
      <c r="C13" s="135">
        <v>0</v>
      </c>
      <c r="D13" s="135">
        <v>0</v>
      </c>
      <c r="E13" s="135">
        <v>0</v>
      </c>
      <c r="F13" s="135">
        <v>0</v>
      </c>
      <c r="G13" s="135">
        <v>0</v>
      </c>
      <c r="H13" s="135">
        <v>0</v>
      </c>
      <c r="I13" s="135">
        <v>0</v>
      </c>
      <c r="J13" s="135">
        <v>0</v>
      </c>
      <c r="K13" s="135">
        <v>0</v>
      </c>
      <c r="L13" s="135">
        <v>0</v>
      </c>
      <c r="M13" s="135">
        <v>0</v>
      </c>
      <c r="N13" s="135">
        <v>4.9999999999999989E-2</v>
      </c>
      <c r="O13" s="135">
        <v>5.0000000219999979E-2</v>
      </c>
      <c r="P13" s="135">
        <v>0.04</v>
      </c>
      <c r="Q13" s="135">
        <v>4.9999999999999989E-2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</row>
    <row r="14" spans="1:34" customFormat="1" x14ac:dyDescent="0.15">
      <c r="A14" s="163" t="s">
        <v>204</v>
      </c>
      <c r="B14" s="135">
        <v>0</v>
      </c>
      <c r="C14" s="135">
        <v>0</v>
      </c>
      <c r="D14" s="135">
        <v>0</v>
      </c>
      <c r="E14" s="135">
        <v>0</v>
      </c>
      <c r="F14" s="135">
        <v>0</v>
      </c>
      <c r="G14" s="135">
        <v>0</v>
      </c>
      <c r="H14" s="135">
        <v>0</v>
      </c>
      <c r="I14" s="135">
        <v>0</v>
      </c>
      <c r="J14" s="135">
        <v>0</v>
      </c>
      <c r="K14" s="135">
        <v>0</v>
      </c>
      <c r="L14" s="135">
        <v>0</v>
      </c>
      <c r="M14" s="135">
        <v>1.9999999999999997E-2</v>
      </c>
      <c r="N14" s="135">
        <v>0</v>
      </c>
      <c r="O14" s="135">
        <v>1.9999999688000026E-2</v>
      </c>
      <c r="P14" s="135">
        <v>0.02</v>
      </c>
      <c r="Q14" s="135">
        <v>3.9999999999999994E-2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</row>
    <row r="15" spans="1:34" customFormat="1" x14ac:dyDescent="0.15">
      <c r="A15" s="163" t="s">
        <v>205</v>
      </c>
      <c r="B15" s="135">
        <v>0</v>
      </c>
      <c r="C15" s="135">
        <v>0</v>
      </c>
      <c r="D15" s="135">
        <v>0</v>
      </c>
      <c r="E15" s="135">
        <v>0</v>
      </c>
      <c r="F15" s="135">
        <v>0</v>
      </c>
      <c r="G15" s="135">
        <v>0</v>
      </c>
      <c r="H15" s="135">
        <v>0</v>
      </c>
      <c r="I15" s="135">
        <v>0</v>
      </c>
      <c r="J15" s="135">
        <v>0</v>
      </c>
      <c r="K15" s="135">
        <v>0</v>
      </c>
      <c r="L15" s="135">
        <v>0</v>
      </c>
      <c r="M15" s="135">
        <v>0</v>
      </c>
      <c r="N15" s="135">
        <v>0</v>
      </c>
      <c r="O15" s="135">
        <v>9.999999844000013E-3</v>
      </c>
      <c r="P15" s="135">
        <v>0.05</v>
      </c>
      <c r="Q15" s="135">
        <v>4.9999999999999989E-2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</row>
    <row r="16" spans="1:34" customFormat="1" x14ac:dyDescent="0.15">
      <c r="A16" s="163" t="s">
        <v>206</v>
      </c>
      <c r="B16" s="135">
        <v>0</v>
      </c>
      <c r="C16" s="135">
        <v>0</v>
      </c>
      <c r="D16" s="135">
        <v>0</v>
      </c>
      <c r="E16" s="135">
        <v>0</v>
      </c>
      <c r="F16" s="135">
        <v>0</v>
      </c>
      <c r="G16" s="135">
        <v>0</v>
      </c>
      <c r="H16" s="135">
        <v>0</v>
      </c>
      <c r="I16" s="135">
        <v>0</v>
      </c>
      <c r="J16" s="135">
        <v>0</v>
      </c>
      <c r="K16" s="135">
        <v>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1.9999999999999997E-2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</row>
    <row r="17" spans="1:23" customFormat="1" x14ac:dyDescent="0.15">
      <c r="A17" s="163" t="s">
        <v>207</v>
      </c>
      <c r="B17" s="135">
        <v>0</v>
      </c>
      <c r="C17" s="135">
        <v>0</v>
      </c>
      <c r="D17" s="135">
        <v>0</v>
      </c>
      <c r="E17" s="135">
        <v>0</v>
      </c>
      <c r="F17" s="135">
        <v>0</v>
      </c>
      <c r="G17" s="135">
        <v>0</v>
      </c>
      <c r="H17" s="135">
        <v>0</v>
      </c>
      <c r="I17" s="135">
        <v>0</v>
      </c>
      <c r="J17" s="135">
        <v>0</v>
      </c>
      <c r="K17" s="135">
        <v>0</v>
      </c>
      <c r="L17" s="135">
        <v>0</v>
      </c>
      <c r="M17" s="135">
        <v>0</v>
      </c>
      <c r="N17" s="135">
        <v>0</v>
      </c>
      <c r="O17" s="135">
        <v>0</v>
      </c>
      <c r="P17" s="135">
        <v>0.03</v>
      </c>
      <c r="Q17" s="135">
        <v>1.9999999999999997E-2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</row>
    <row r="18" spans="1:23" customFormat="1" x14ac:dyDescent="0.15">
      <c r="A18" s="163" t="s">
        <v>208</v>
      </c>
      <c r="B18" s="135">
        <v>0</v>
      </c>
      <c r="C18" s="135">
        <v>0</v>
      </c>
      <c r="D18" s="135">
        <v>0</v>
      </c>
      <c r="E18" s="135">
        <v>0</v>
      </c>
      <c r="F18" s="135">
        <v>0.15</v>
      </c>
      <c r="G18" s="135">
        <v>0</v>
      </c>
      <c r="H18" s="135">
        <v>0</v>
      </c>
      <c r="I18" s="135">
        <v>0</v>
      </c>
      <c r="J18" s="135">
        <v>0.05</v>
      </c>
      <c r="K18" s="135">
        <v>4.2735042805982906E-2</v>
      </c>
      <c r="L18" s="135">
        <v>0</v>
      </c>
      <c r="M18" s="135">
        <v>4.9999999999999989E-2</v>
      </c>
      <c r="N18" s="135">
        <v>0</v>
      </c>
      <c r="O18" s="135">
        <v>0</v>
      </c>
      <c r="P18" s="135">
        <v>0</v>
      </c>
      <c r="Q18" s="135">
        <v>0</v>
      </c>
      <c r="R18" s="135">
        <v>0.04</v>
      </c>
      <c r="S18" s="135">
        <v>0</v>
      </c>
      <c r="T18" s="135">
        <v>0.1</v>
      </c>
      <c r="U18" s="135">
        <v>0.1</v>
      </c>
      <c r="V18" s="135">
        <v>0</v>
      </c>
      <c r="W18" s="135">
        <v>0</v>
      </c>
    </row>
    <row r="19" spans="1:23" customFormat="1" x14ac:dyDescent="0.15">
      <c r="A19" s="163" t="s">
        <v>209</v>
      </c>
      <c r="B19" s="135">
        <v>0</v>
      </c>
      <c r="C19" s="135">
        <v>0</v>
      </c>
      <c r="D19" s="135">
        <v>0</v>
      </c>
      <c r="E19" s="135">
        <v>0</v>
      </c>
      <c r="F19" s="135">
        <v>0.1</v>
      </c>
      <c r="G19" s="135">
        <v>0</v>
      </c>
      <c r="H19" s="135">
        <v>0</v>
      </c>
      <c r="I19" s="135">
        <v>0.05</v>
      </c>
      <c r="J19" s="135">
        <v>0.5</v>
      </c>
      <c r="K19" s="135">
        <v>0.68376068249572663</v>
      </c>
      <c r="L19" s="135">
        <v>0.4</v>
      </c>
      <c r="M19" s="135">
        <v>0.19999999999999996</v>
      </c>
      <c r="N19" s="135">
        <v>0.19999999999999996</v>
      </c>
      <c r="O19" s="135">
        <v>0.34999999404000054</v>
      </c>
      <c r="P19" s="135">
        <v>0.2</v>
      </c>
      <c r="Q19" s="135">
        <v>0.29999999999999993</v>
      </c>
      <c r="R19" s="135">
        <v>0</v>
      </c>
      <c r="S19" s="135">
        <v>0</v>
      </c>
      <c r="T19" s="135">
        <v>0.5</v>
      </c>
      <c r="U19" s="135">
        <v>0.3</v>
      </c>
      <c r="V19" s="135">
        <v>0</v>
      </c>
      <c r="W19" s="135">
        <v>0</v>
      </c>
    </row>
    <row r="20" spans="1:23" customFormat="1" x14ac:dyDescent="0.15">
      <c r="A20" s="163" t="s">
        <v>210</v>
      </c>
      <c r="B20" s="135">
        <v>0</v>
      </c>
      <c r="C20" s="135">
        <v>0</v>
      </c>
      <c r="D20" s="135">
        <v>0</v>
      </c>
      <c r="E20" s="135">
        <v>0</v>
      </c>
      <c r="F20" s="135">
        <v>0</v>
      </c>
      <c r="G20" s="135">
        <v>0</v>
      </c>
      <c r="H20" s="135">
        <v>0</v>
      </c>
      <c r="I20" s="135">
        <v>0.05</v>
      </c>
      <c r="J20" s="135">
        <v>0</v>
      </c>
      <c r="K20" s="135">
        <v>1.7094017462393155E-2</v>
      </c>
      <c r="L20" s="135">
        <v>0</v>
      </c>
      <c r="M20" s="135">
        <v>4.9999999999999989E-2</v>
      </c>
      <c r="N20" s="135">
        <v>9.9999999999999978E-2</v>
      </c>
      <c r="O20" s="135">
        <v>5.0000000219999979E-2</v>
      </c>
      <c r="P20" s="135">
        <v>0.15</v>
      </c>
      <c r="Q20" s="135">
        <v>9.9999999999999978E-2</v>
      </c>
      <c r="R20" s="135">
        <v>0</v>
      </c>
      <c r="S20" s="135">
        <v>0</v>
      </c>
      <c r="T20" s="135">
        <v>0</v>
      </c>
      <c r="U20" s="135">
        <v>0.04</v>
      </c>
      <c r="V20" s="135">
        <v>0</v>
      </c>
      <c r="W20" s="135">
        <v>0</v>
      </c>
    </row>
    <row r="21" spans="1:23" customFormat="1" x14ac:dyDescent="0.15">
      <c r="A21" s="163" t="s">
        <v>211</v>
      </c>
      <c r="B21" s="135">
        <v>0</v>
      </c>
      <c r="C21" s="135">
        <v>0</v>
      </c>
      <c r="D21" s="135">
        <v>0</v>
      </c>
      <c r="E21" s="135">
        <v>0</v>
      </c>
      <c r="F21" s="135">
        <v>0</v>
      </c>
      <c r="G21" s="135">
        <v>0</v>
      </c>
      <c r="H21" s="135">
        <v>0</v>
      </c>
      <c r="I21" s="135">
        <v>0</v>
      </c>
      <c r="J21" s="135">
        <v>0</v>
      </c>
      <c r="K21" s="135">
        <v>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</row>
    <row r="22" spans="1:23" customFormat="1" x14ac:dyDescent="0.15">
      <c r="A22" s="163" t="s">
        <v>212</v>
      </c>
      <c r="B22" s="135">
        <v>0</v>
      </c>
      <c r="C22" s="135">
        <v>0</v>
      </c>
      <c r="D22" s="135">
        <v>0</v>
      </c>
      <c r="E22" s="135">
        <v>0.2</v>
      </c>
      <c r="F22" s="135">
        <v>0.3</v>
      </c>
      <c r="G22" s="135">
        <v>0</v>
      </c>
      <c r="H22" s="135">
        <v>0</v>
      </c>
      <c r="I22" s="135">
        <v>0</v>
      </c>
      <c r="J22" s="135">
        <v>0.05</v>
      </c>
      <c r="K22" s="135">
        <v>4.2735042805982906E-2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0.62</v>
      </c>
      <c r="S22" s="135">
        <v>0.23</v>
      </c>
      <c r="T22" s="135">
        <v>0.15</v>
      </c>
      <c r="U22" s="135">
        <v>0</v>
      </c>
      <c r="V22" s="135">
        <v>0</v>
      </c>
      <c r="W22" s="135">
        <v>0</v>
      </c>
    </row>
    <row r="23" spans="1:23" customFormat="1" x14ac:dyDescent="0.15">
      <c r="A23" s="163" t="s">
        <v>213</v>
      </c>
      <c r="B23" s="135">
        <v>0</v>
      </c>
      <c r="C23" s="135">
        <v>0</v>
      </c>
      <c r="D23" s="135">
        <v>0</v>
      </c>
      <c r="E23" s="135">
        <v>0</v>
      </c>
      <c r="F23" s="135">
        <v>0</v>
      </c>
      <c r="G23" s="135">
        <v>0</v>
      </c>
      <c r="H23" s="135">
        <v>0</v>
      </c>
      <c r="I23" s="135">
        <v>0</v>
      </c>
      <c r="J23" s="135">
        <v>0</v>
      </c>
      <c r="K23" s="135">
        <v>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</row>
    <row r="24" spans="1:23" customFormat="1" x14ac:dyDescent="0.15">
      <c r="A24" s="163" t="s">
        <v>215</v>
      </c>
      <c r="B24" s="135">
        <v>0</v>
      </c>
      <c r="C24" s="135">
        <v>0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5" customWidth="1"/>
    <col min="5" max="6" width="2.33203125" style="104" bestFit="1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66" t="s">
        <v>212</v>
      </c>
      <c r="D1" s="166" t="s">
        <v>213</v>
      </c>
      <c r="E1" s="166" t="s">
        <v>216</v>
      </c>
      <c r="F1" s="166" t="s">
        <v>217</v>
      </c>
      <c r="G1"/>
      <c r="H1"/>
    </row>
    <row r="2" spans="1:8" x14ac:dyDescent="0.15">
      <c r="A2">
        <v>1</v>
      </c>
      <c r="B2" s="165" t="s">
        <v>192</v>
      </c>
      <c r="C2" s="105">
        <v>1</v>
      </c>
      <c r="D2" s="105">
        <v>0</v>
      </c>
      <c r="E2" s="104">
        <v>0</v>
      </c>
      <c r="F2" s="104">
        <v>1</v>
      </c>
      <c r="G2"/>
      <c r="H2"/>
    </row>
    <row r="3" spans="1:8" x14ac:dyDescent="0.15">
      <c r="A3">
        <v>2</v>
      </c>
      <c r="B3" s="165" t="s">
        <v>193</v>
      </c>
      <c r="C3" s="105">
        <v>1</v>
      </c>
      <c r="D3" s="105">
        <v>0</v>
      </c>
      <c r="E3" s="104">
        <v>0</v>
      </c>
      <c r="F3" s="104">
        <v>1</v>
      </c>
      <c r="G3"/>
      <c r="H3"/>
    </row>
    <row r="4" spans="1:8" x14ac:dyDescent="0.15">
      <c r="A4">
        <v>3</v>
      </c>
      <c r="B4" s="165" t="s">
        <v>194</v>
      </c>
      <c r="C4" s="105">
        <v>1</v>
      </c>
      <c r="D4" s="105">
        <v>0</v>
      </c>
      <c r="E4" s="104">
        <v>0</v>
      </c>
      <c r="F4" s="104">
        <v>1</v>
      </c>
      <c r="G4"/>
      <c r="H4"/>
    </row>
    <row r="5" spans="1:8" x14ac:dyDescent="0.15">
      <c r="A5">
        <v>4</v>
      </c>
      <c r="B5" s="165" t="s">
        <v>195</v>
      </c>
      <c r="C5" s="105">
        <v>1</v>
      </c>
      <c r="D5" s="105">
        <v>0</v>
      </c>
      <c r="E5" s="104">
        <v>0</v>
      </c>
      <c r="F5" s="104">
        <v>1</v>
      </c>
      <c r="G5"/>
      <c r="H5"/>
    </row>
    <row r="6" spans="1:8" x14ac:dyDescent="0.15">
      <c r="A6">
        <v>5</v>
      </c>
      <c r="B6" s="165" t="s">
        <v>196</v>
      </c>
      <c r="C6" s="105">
        <v>1</v>
      </c>
      <c r="D6" s="105">
        <v>0</v>
      </c>
      <c r="E6" s="104">
        <v>0</v>
      </c>
      <c r="F6" s="104">
        <v>1</v>
      </c>
      <c r="G6"/>
      <c r="H6"/>
    </row>
    <row r="7" spans="1:8" x14ac:dyDescent="0.15">
      <c r="A7">
        <v>6</v>
      </c>
      <c r="B7" s="165" t="s">
        <v>197</v>
      </c>
      <c r="C7" s="105">
        <v>1</v>
      </c>
      <c r="D7" s="105">
        <v>0</v>
      </c>
      <c r="E7" s="104">
        <v>0</v>
      </c>
      <c r="F7" s="104">
        <v>1</v>
      </c>
      <c r="G7"/>
      <c r="H7"/>
    </row>
    <row r="8" spans="1:8" x14ac:dyDescent="0.15">
      <c r="A8">
        <v>7</v>
      </c>
      <c r="B8" s="165" t="s">
        <v>198</v>
      </c>
      <c r="C8" s="105">
        <v>1</v>
      </c>
      <c r="D8" s="105">
        <v>0</v>
      </c>
      <c r="E8" s="104">
        <v>0</v>
      </c>
      <c r="F8" s="104">
        <v>1</v>
      </c>
      <c r="G8"/>
      <c r="H8"/>
    </row>
    <row r="9" spans="1:8" x14ac:dyDescent="0.15">
      <c r="A9">
        <v>8</v>
      </c>
      <c r="B9" s="165" t="s">
        <v>199</v>
      </c>
      <c r="C9" s="105">
        <v>1</v>
      </c>
      <c r="D9" s="105">
        <v>0</v>
      </c>
      <c r="E9" s="104">
        <v>0</v>
      </c>
      <c r="F9" s="104">
        <v>1</v>
      </c>
      <c r="G9"/>
      <c r="H9"/>
    </row>
    <row r="10" spans="1:8" x14ac:dyDescent="0.15">
      <c r="A10">
        <v>9</v>
      </c>
      <c r="B10" s="165" t="s">
        <v>200</v>
      </c>
      <c r="C10" s="105">
        <v>1</v>
      </c>
      <c r="D10" s="105">
        <v>0</v>
      </c>
      <c r="E10" s="104">
        <v>0</v>
      </c>
      <c r="F10" s="104">
        <v>1</v>
      </c>
      <c r="G10"/>
      <c r="H10"/>
    </row>
    <row r="11" spans="1:8" x14ac:dyDescent="0.15">
      <c r="A11">
        <v>10</v>
      </c>
      <c r="B11" s="165" t="s">
        <v>201</v>
      </c>
      <c r="C11" s="105">
        <v>1</v>
      </c>
      <c r="D11" s="105">
        <v>0</v>
      </c>
      <c r="E11" s="104">
        <v>0</v>
      </c>
      <c r="F11" s="104">
        <v>1</v>
      </c>
      <c r="G11"/>
      <c r="H11"/>
    </row>
    <row r="12" spans="1:8" x14ac:dyDescent="0.15">
      <c r="A12">
        <v>11</v>
      </c>
      <c r="B12" s="165" t="s">
        <v>202</v>
      </c>
      <c r="C12" s="105">
        <v>1</v>
      </c>
      <c r="D12" s="105">
        <v>0</v>
      </c>
      <c r="E12" s="104">
        <v>0</v>
      </c>
      <c r="F12" s="104">
        <v>1</v>
      </c>
      <c r="G12"/>
      <c r="H12"/>
    </row>
    <row r="13" spans="1:8" x14ac:dyDescent="0.15">
      <c r="A13">
        <v>12</v>
      </c>
      <c r="B13" s="165" t="s">
        <v>203</v>
      </c>
      <c r="C13" s="105">
        <v>1</v>
      </c>
      <c r="D13" s="105">
        <v>0</v>
      </c>
      <c r="E13" s="104">
        <v>0</v>
      </c>
      <c r="F13" s="104">
        <v>1</v>
      </c>
      <c r="G13"/>
      <c r="H13"/>
    </row>
    <row r="14" spans="1:8" x14ac:dyDescent="0.15">
      <c r="A14">
        <v>13</v>
      </c>
      <c r="B14" s="165" t="s">
        <v>204</v>
      </c>
      <c r="C14" s="105">
        <v>1</v>
      </c>
      <c r="D14" s="105">
        <v>0</v>
      </c>
      <c r="E14" s="104">
        <v>0</v>
      </c>
      <c r="F14" s="104">
        <v>1</v>
      </c>
      <c r="G14"/>
      <c r="H14"/>
    </row>
    <row r="15" spans="1:8" x14ac:dyDescent="0.15">
      <c r="A15">
        <v>14</v>
      </c>
      <c r="B15" s="165" t="s">
        <v>205</v>
      </c>
      <c r="C15" s="105">
        <v>1</v>
      </c>
      <c r="D15" s="105">
        <v>0</v>
      </c>
      <c r="E15" s="104">
        <v>0</v>
      </c>
      <c r="F15" s="104">
        <v>1</v>
      </c>
      <c r="G15"/>
      <c r="H15"/>
    </row>
    <row r="16" spans="1:8" x14ac:dyDescent="0.15">
      <c r="A16">
        <v>15</v>
      </c>
      <c r="B16" s="165" t="s">
        <v>206</v>
      </c>
      <c r="C16" s="105">
        <v>1</v>
      </c>
      <c r="D16" s="105">
        <v>0</v>
      </c>
      <c r="E16" s="104">
        <v>0</v>
      </c>
      <c r="F16" s="104">
        <v>1</v>
      </c>
      <c r="G16"/>
      <c r="H16"/>
    </row>
    <row r="17" spans="1:8" ht="15" customHeight="1" x14ac:dyDescent="0.15">
      <c r="A17">
        <v>16</v>
      </c>
      <c r="B17" s="165" t="s">
        <v>207</v>
      </c>
      <c r="C17" s="105">
        <v>1</v>
      </c>
      <c r="D17" s="105">
        <v>0</v>
      </c>
      <c r="E17" s="104">
        <v>0</v>
      </c>
      <c r="F17" s="104">
        <v>1</v>
      </c>
      <c r="G17"/>
      <c r="H17"/>
    </row>
    <row r="18" spans="1:8" ht="15" customHeight="1" x14ac:dyDescent="0.15">
      <c r="A18">
        <v>17</v>
      </c>
      <c r="B18" s="165" t="s">
        <v>208</v>
      </c>
      <c r="C18" s="105">
        <v>1</v>
      </c>
      <c r="D18" s="105">
        <v>0</v>
      </c>
      <c r="E18" s="104">
        <v>0</v>
      </c>
      <c r="F18" s="104">
        <v>1</v>
      </c>
      <c r="G18"/>
      <c r="H18"/>
    </row>
    <row r="19" spans="1:8" ht="15" customHeight="1" x14ac:dyDescent="0.15">
      <c r="A19">
        <v>18</v>
      </c>
      <c r="B19" s="165" t="s">
        <v>209</v>
      </c>
      <c r="C19" s="105">
        <v>1</v>
      </c>
      <c r="D19" s="105">
        <v>0</v>
      </c>
      <c r="E19" s="104">
        <v>0</v>
      </c>
      <c r="F19" s="104">
        <v>1</v>
      </c>
      <c r="G19"/>
      <c r="H19"/>
    </row>
    <row r="20" spans="1:8" ht="15" customHeight="1" x14ac:dyDescent="0.15">
      <c r="A20">
        <v>19</v>
      </c>
      <c r="B20" s="165" t="s">
        <v>210</v>
      </c>
      <c r="C20" s="105">
        <v>1</v>
      </c>
      <c r="D20" s="105">
        <v>0</v>
      </c>
      <c r="E20" s="104">
        <v>0</v>
      </c>
      <c r="F20" s="104">
        <v>1</v>
      </c>
      <c r="G20"/>
      <c r="H20"/>
    </row>
    <row r="21" spans="1:8" ht="15" customHeight="1" x14ac:dyDescent="0.15">
      <c r="A21">
        <v>20</v>
      </c>
      <c r="B21" s="165" t="s">
        <v>211</v>
      </c>
      <c r="C21" s="105">
        <v>1</v>
      </c>
      <c r="D21" s="105">
        <v>0</v>
      </c>
      <c r="E21" s="104">
        <v>0</v>
      </c>
      <c r="F21" s="104">
        <v>1</v>
      </c>
      <c r="G21"/>
      <c r="H21"/>
    </row>
    <row r="22" spans="1:8" ht="15" customHeight="1" x14ac:dyDescent="0.15">
      <c r="A22">
        <v>21</v>
      </c>
      <c r="B22" s="165" t="s">
        <v>212</v>
      </c>
      <c r="C22" s="105">
        <v>0</v>
      </c>
      <c r="D22" s="105">
        <v>1</v>
      </c>
      <c r="E22" s="104">
        <v>0</v>
      </c>
      <c r="F22" s="104">
        <v>1</v>
      </c>
      <c r="G22"/>
      <c r="H22"/>
    </row>
    <row r="23" spans="1:8" ht="15" customHeight="1" x14ac:dyDescent="0.15">
      <c r="A23">
        <v>22</v>
      </c>
      <c r="B23" s="165" t="s">
        <v>213</v>
      </c>
      <c r="C23" s="105">
        <v>0</v>
      </c>
      <c r="D23" s="105">
        <v>0</v>
      </c>
      <c r="E23" s="104">
        <v>1</v>
      </c>
      <c r="F23" s="104">
        <v>1</v>
      </c>
      <c r="G23"/>
      <c r="H23"/>
    </row>
    <row r="24" spans="1:8" ht="15" customHeight="1" x14ac:dyDescent="0.15">
      <c r="A24">
        <v>23</v>
      </c>
      <c r="B24" s="165" t="s">
        <v>214</v>
      </c>
      <c r="C24" s="105">
        <v>0</v>
      </c>
      <c r="D24" s="105">
        <v>1</v>
      </c>
      <c r="E24" s="104">
        <v>0</v>
      </c>
      <c r="F24" s="104">
        <v>1</v>
      </c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5"/>
      <c r="F36" s="105"/>
      <c r="G36"/>
      <c r="H36"/>
    </row>
    <row r="37" spans="3:8" ht="15" customHeight="1" x14ac:dyDescent="0.15">
      <c r="C37"/>
      <c r="D37"/>
      <c r="E37" s="105"/>
      <c r="F37" s="105"/>
      <c r="G37"/>
      <c r="H37"/>
    </row>
    <row r="38" spans="3:8" ht="15" customHeight="1" x14ac:dyDescent="0.15">
      <c r="C38"/>
      <c r="D38"/>
      <c r="E38" s="105"/>
      <c r="F38" s="105"/>
      <c r="G38"/>
      <c r="H38"/>
    </row>
    <row r="39" spans="3:8" ht="15" customHeight="1" x14ac:dyDescent="0.15">
      <c r="C39"/>
      <c r="D39"/>
      <c r="E39" s="105"/>
      <c r="F39" s="105"/>
      <c r="G39"/>
      <c r="H39"/>
    </row>
    <row r="40" spans="3:8" ht="15" customHeight="1" x14ac:dyDescent="0.15">
      <c r="C40"/>
      <c r="D40"/>
      <c r="E40" s="105"/>
      <c r="F40" s="105"/>
      <c r="G40"/>
      <c r="H40"/>
    </row>
    <row r="41" spans="3:8" ht="15" customHeight="1" x14ac:dyDescent="0.15">
      <c r="C41"/>
      <c r="D41"/>
      <c r="E41" s="105"/>
      <c r="F41" s="105"/>
      <c r="G41"/>
      <c r="H41"/>
    </row>
    <row r="42" spans="3:8" ht="15" customHeight="1" x14ac:dyDescent="0.15">
      <c r="C42"/>
      <c r="D42"/>
      <c r="E42" s="105"/>
      <c r="F42" s="105"/>
      <c r="G42"/>
      <c r="H42"/>
    </row>
    <row r="43" spans="3:8" ht="15" customHeight="1" x14ac:dyDescent="0.15">
      <c r="C43"/>
      <c r="D43"/>
      <c r="E43" s="105"/>
      <c r="F43" s="105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5"/>
      <c r="F46" s="105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33203125" bestFit="1" customWidth="1"/>
    <col min="3" max="4" width="4.83203125" bestFit="1" customWidth="1"/>
    <col min="5" max="5" width="12.1640625" bestFit="1" customWidth="1"/>
  </cols>
  <sheetData>
    <row r="1" spans="1:5" s="106" customFormat="1" ht="112" x14ac:dyDescent="0.15">
      <c r="A1" s="5" t="s">
        <v>21</v>
      </c>
      <c r="B1" s="3" t="s">
        <v>0</v>
      </c>
      <c r="C1" s="168" t="s">
        <v>214</v>
      </c>
      <c r="D1" s="168" t="s">
        <v>218</v>
      </c>
      <c r="E1"/>
    </row>
    <row r="2" spans="1:5" ht="15" customHeight="1" x14ac:dyDescent="0.15">
      <c r="A2">
        <v>1</v>
      </c>
      <c r="B2" s="167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67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67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67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67" t="s">
        <v>196</v>
      </c>
      <c r="C6">
        <v>0.8</v>
      </c>
      <c r="D6">
        <v>0.8</v>
      </c>
    </row>
    <row r="7" spans="1:5" ht="15" customHeight="1" x14ac:dyDescent="0.15">
      <c r="A7">
        <v>6</v>
      </c>
      <c r="B7" s="167" t="s">
        <v>197</v>
      </c>
      <c r="C7">
        <v>0.02</v>
      </c>
      <c r="D7">
        <v>0.02</v>
      </c>
    </row>
    <row r="8" spans="1:5" ht="15" customHeight="1" x14ac:dyDescent="0.15">
      <c r="A8">
        <v>7</v>
      </c>
      <c r="B8" s="167" t="s">
        <v>198</v>
      </c>
      <c r="C8">
        <v>0.15</v>
      </c>
      <c r="D8">
        <v>0.15</v>
      </c>
    </row>
    <row r="9" spans="1:5" ht="15" customHeight="1" x14ac:dyDescent="0.15">
      <c r="A9">
        <v>8</v>
      </c>
      <c r="B9" s="167" t="s">
        <v>199</v>
      </c>
      <c r="C9">
        <v>0.2</v>
      </c>
      <c r="D9">
        <v>0.2</v>
      </c>
    </row>
    <row r="10" spans="1:5" ht="15" customHeight="1" x14ac:dyDescent="0.15">
      <c r="A10">
        <v>9</v>
      </c>
      <c r="B10" s="167" t="s">
        <v>200</v>
      </c>
      <c r="C10">
        <v>1</v>
      </c>
      <c r="D10">
        <v>1</v>
      </c>
    </row>
    <row r="11" spans="1:5" ht="15" customHeight="1" x14ac:dyDescent="0.15">
      <c r="A11">
        <v>10</v>
      </c>
      <c r="B11" s="167" t="s">
        <v>201</v>
      </c>
      <c r="C11">
        <v>0.2</v>
      </c>
      <c r="D11">
        <v>0.2</v>
      </c>
    </row>
    <row r="12" spans="1:5" ht="15" customHeight="1" x14ac:dyDescent="0.15">
      <c r="A12">
        <v>11</v>
      </c>
      <c r="B12" s="167" t="s">
        <v>202</v>
      </c>
      <c r="C12">
        <v>0.3</v>
      </c>
      <c r="D12">
        <v>0.3</v>
      </c>
    </row>
    <row r="13" spans="1:5" ht="15" customHeight="1" x14ac:dyDescent="0.15">
      <c r="A13">
        <v>12</v>
      </c>
      <c r="B13" s="167" t="s">
        <v>203</v>
      </c>
      <c r="C13">
        <v>0.2</v>
      </c>
      <c r="D13">
        <v>0.2</v>
      </c>
    </row>
    <row r="14" spans="1:5" ht="15" customHeight="1" x14ac:dyDescent="0.15">
      <c r="A14">
        <v>13</v>
      </c>
      <c r="B14" s="167" t="s">
        <v>204</v>
      </c>
      <c r="C14">
        <v>0.1</v>
      </c>
      <c r="D14">
        <v>0.1</v>
      </c>
    </row>
    <row r="15" spans="1:5" ht="15" customHeight="1" x14ac:dyDescent="0.15">
      <c r="A15">
        <v>14</v>
      </c>
      <c r="B15" s="167" t="s">
        <v>205</v>
      </c>
      <c r="C15">
        <v>0.12</v>
      </c>
      <c r="D15">
        <v>0.12</v>
      </c>
    </row>
    <row r="16" spans="1:5" ht="15" customHeight="1" x14ac:dyDescent="0.15">
      <c r="A16">
        <v>15</v>
      </c>
      <c r="B16" s="167" t="s">
        <v>206</v>
      </c>
      <c r="C16">
        <v>0.04</v>
      </c>
      <c r="D16">
        <v>0.04</v>
      </c>
    </row>
    <row r="17" spans="1:4" ht="15" customHeight="1" x14ac:dyDescent="0.15">
      <c r="A17">
        <v>16</v>
      </c>
      <c r="B17" s="167" t="s">
        <v>207</v>
      </c>
      <c r="C17">
        <v>0.1</v>
      </c>
      <c r="D17">
        <v>0.1</v>
      </c>
    </row>
    <row r="18" spans="1:4" ht="15" customHeight="1" x14ac:dyDescent="0.15">
      <c r="A18">
        <v>17</v>
      </c>
      <c r="B18" s="167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7" t="s">
        <v>209</v>
      </c>
      <c r="C19">
        <v>0.05</v>
      </c>
      <c r="D19">
        <v>0.05</v>
      </c>
    </row>
    <row r="20" spans="1:4" ht="15" customHeight="1" x14ac:dyDescent="0.15">
      <c r="A20">
        <v>19</v>
      </c>
      <c r="B20" s="167" t="s">
        <v>210</v>
      </c>
      <c r="C20">
        <v>0.1</v>
      </c>
      <c r="D20">
        <v>0.1</v>
      </c>
    </row>
    <row r="21" spans="1:4" ht="15" customHeight="1" x14ac:dyDescent="0.15">
      <c r="A21">
        <v>20</v>
      </c>
      <c r="B21" s="167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67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67" t="s">
        <v>213</v>
      </c>
      <c r="C23">
        <v>0</v>
      </c>
      <c r="D23">
        <v>0</v>
      </c>
    </row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33203125" bestFit="1" customWidth="1"/>
    <col min="3" max="4" width="2.33203125" bestFit="1" customWidth="1"/>
    <col min="5" max="5" width="12.1640625" bestFit="1" customWidth="1"/>
  </cols>
  <sheetData>
    <row r="1" spans="1:4" s="106" customFormat="1" ht="112" x14ac:dyDescent="0.15">
      <c r="A1" s="5" t="s">
        <v>22</v>
      </c>
      <c r="B1" s="3" t="s">
        <v>0</v>
      </c>
      <c r="C1" s="170" t="s">
        <v>214</v>
      </c>
      <c r="D1" s="170" t="s">
        <v>218</v>
      </c>
    </row>
    <row r="2" spans="1:4" x14ac:dyDescent="0.15">
      <c r="A2">
        <v>1</v>
      </c>
      <c r="B2" s="169" t="s">
        <v>192</v>
      </c>
      <c r="C2">
        <v>0</v>
      </c>
      <c r="D2">
        <v>0</v>
      </c>
    </row>
    <row r="3" spans="1:4" x14ac:dyDescent="0.15">
      <c r="A3">
        <v>2</v>
      </c>
      <c r="B3" s="169" t="s">
        <v>193</v>
      </c>
      <c r="C3">
        <v>0</v>
      </c>
      <c r="D3">
        <v>0</v>
      </c>
    </row>
    <row r="4" spans="1:4" x14ac:dyDescent="0.15">
      <c r="A4">
        <v>3</v>
      </c>
      <c r="B4" s="169" t="s">
        <v>194</v>
      </c>
      <c r="C4">
        <v>0</v>
      </c>
      <c r="D4">
        <v>0</v>
      </c>
    </row>
    <row r="5" spans="1:4" x14ac:dyDescent="0.15">
      <c r="A5">
        <v>4</v>
      </c>
      <c r="B5" s="169" t="s">
        <v>195</v>
      </c>
      <c r="C5">
        <v>0</v>
      </c>
      <c r="D5">
        <v>0</v>
      </c>
    </row>
    <row r="6" spans="1:4" x14ac:dyDescent="0.15">
      <c r="A6">
        <v>5</v>
      </c>
      <c r="B6" s="169" t="s">
        <v>196</v>
      </c>
      <c r="C6">
        <v>0</v>
      </c>
      <c r="D6">
        <v>0</v>
      </c>
    </row>
    <row r="7" spans="1:4" x14ac:dyDescent="0.15">
      <c r="A7">
        <v>6</v>
      </c>
      <c r="B7" s="169" t="s">
        <v>197</v>
      </c>
      <c r="C7">
        <v>0</v>
      </c>
      <c r="D7">
        <v>0</v>
      </c>
    </row>
    <row r="8" spans="1:4" x14ac:dyDescent="0.15">
      <c r="A8">
        <v>7</v>
      </c>
      <c r="B8" s="169" t="s">
        <v>198</v>
      </c>
      <c r="C8">
        <v>0</v>
      </c>
      <c r="D8">
        <v>0</v>
      </c>
    </row>
    <row r="9" spans="1:4" x14ac:dyDescent="0.15">
      <c r="A9">
        <v>8</v>
      </c>
      <c r="B9" s="169" t="s">
        <v>199</v>
      </c>
      <c r="C9">
        <v>0</v>
      </c>
      <c r="D9">
        <v>0</v>
      </c>
    </row>
    <row r="10" spans="1:4" x14ac:dyDescent="0.15">
      <c r="A10">
        <v>9</v>
      </c>
      <c r="B10" s="169" t="s">
        <v>200</v>
      </c>
      <c r="C10">
        <v>0</v>
      </c>
      <c r="D10">
        <v>0</v>
      </c>
    </row>
    <row r="11" spans="1:4" x14ac:dyDescent="0.15">
      <c r="A11">
        <v>10</v>
      </c>
      <c r="B11" s="169" t="s">
        <v>201</v>
      </c>
      <c r="C11">
        <v>0</v>
      </c>
      <c r="D11">
        <v>0</v>
      </c>
    </row>
    <row r="12" spans="1:4" x14ac:dyDescent="0.15">
      <c r="A12">
        <v>11</v>
      </c>
      <c r="B12" s="169" t="s">
        <v>202</v>
      </c>
      <c r="C12">
        <v>0</v>
      </c>
      <c r="D12">
        <v>0</v>
      </c>
    </row>
    <row r="13" spans="1:4" x14ac:dyDescent="0.15">
      <c r="A13">
        <v>12</v>
      </c>
      <c r="B13" s="169" t="s">
        <v>203</v>
      </c>
      <c r="C13">
        <v>0</v>
      </c>
      <c r="D13">
        <v>0</v>
      </c>
    </row>
    <row r="14" spans="1:4" x14ac:dyDescent="0.15">
      <c r="A14">
        <v>13</v>
      </c>
      <c r="B14" s="169" t="s">
        <v>204</v>
      </c>
      <c r="C14">
        <v>0</v>
      </c>
      <c r="D14">
        <v>0</v>
      </c>
    </row>
    <row r="15" spans="1:4" x14ac:dyDescent="0.15">
      <c r="A15">
        <v>14</v>
      </c>
      <c r="B15" s="169" t="s">
        <v>205</v>
      </c>
      <c r="C15">
        <v>0</v>
      </c>
      <c r="D15">
        <v>0</v>
      </c>
    </row>
    <row r="16" spans="1:4" x14ac:dyDescent="0.15">
      <c r="A16">
        <v>15</v>
      </c>
      <c r="B16" s="169" t="s">
        <v>206</v>
      </c>
      <c r="C16">
        <v>0</v>
      </c>
      <c r="D16">
        <v>0</v>
      </c>
    </row>
    <row r="17" spans="1:4" x14ac:dyDescent="0.15">
      <c r="A17">
        <v>16</v>
      </c>
      <c r="B17" s="169" t="s">
        <v>207</v>
      </c>
      <c r="C17">
        <v>0</v>
      </c>
      <c r="D17">
        <v>0</v>
      </c>
    </row>
    <row r="18" spans="1:4" x14ac:dyDescent="0.15">
      <c r="A18">
        <v>17</v>
      </c>
      <c r="B18" s="169" t="s">
        <v>208</v>
      </c>
      <c r="C18">
        <v>0</v>
      </c>
      <c r="D18">
        <v>0</v>
      </c>
    </row>
    <row r="19" spans="1:4" x14ac:dyDescent="0.15">
      <c r="A19">
        <v>18</v>
      </c>
      <c r="B19" s="169" t="s">
        <v>209</v>
      </c>
      <c r="C19">
        <v>0</v>
      </c>
      <c r="D19">
        <v>0</v>
      </c>
    </row>
    <row r="20" spans="1:4" x14ac:dyDescent="0.15">
      <c r="A20">
        <v>19</v>
      </c>
      <c r="B20" s="169" t="s">
        <v>210</v>
      </c>
      <c r="C20">
        <v>0</v>
      </c>
      <c r="D20">
        <v>0</v>
      </c>
    </row>
    <row r="21" spans="1:4" x14ac:dyDescent="0.15">
      <c r="A21">
        <v>20</v>
      </c>
      <c r="B21" s="169" t="s">
        <v>211</v>
      </c>
      <c r="C21">
        <v>0</v>
      </c>
      <c r="D21">
        <v>0</v>
      </c>
    </row>
    <row r="22" spans="1:4" x14ac:dyDescent="0.15">
      <c r="A22">
        <v>21</v>
      </c>
      <c r="B22" s="169" t="s">
        <v>212</v>
      </c>
      <c r="C22">
        <v>0</v>
      </c>
      <c r="D22">
        <v>0</v>
      </c>
    </row>
    <row r="23" spans="1:4" x14ac:dyDescent="0.15">
      <c r="A23">
        <v>22</v>
      </c>
      <c r="B23" s="169" t="s">
        <v>213</v>
      </c>
      <c r="C23">
        <v>0</v>
      </c>
      <c r="D2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3320312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71" t="s">
        <v>192</v>
      </c>
      <c r="F2">
        <v>0.98</v>
      </c>
      <c r="G2">
        <v>0.8</v>
      </c>
      <c r="H2">
        <v>0.8</v>
      </c>
      <c r="I2">
        <v>0</v>
      </c>
      <c r="J2" s="105">
        <v>0</v>
      </c>
      <c r="K2" s="105">
        <v>0</v>
      </c>
    </row>
    <row r="3" spans="1:42" x14ac:dyDescent="0.15">
      <c r="A3" s="114" t="s">
        <v>75</v>
      </c>
      <c r="B3" s="116">
        <v>1</v>
      </c>
      <c r="D3">
        <v>2</v>
      </c>
      <c r="E3" s="171" t="s">
        <v>193</v>
      </c>
      <c r="F3">
        <v>0.98</v>
      </c>
      <c r="G3">
        <v>0.8</v>
      </c>
      <c r="H3">
        <v>0.8</v>
      </c>
      <c r="I3">
        <v>0</v>
      </c>
      <c r="J3" s="105">
        <v>0</v>
      </c>
      <c r="K3" s="105">
        <v>0</v>
      </c>
    </row>
    <row r="4" spans="1:42" x14ac:dyDescent="0.15">
      <c r="A4" s="114" t="s">
        <v>76</v>
      </c>
      <c r="B4" s="116">
        <v>1</v>
      </c>
      <c r="D4">
        <v>3</v>
      </c>
      <c r="E4" s="171" t="s">
        <v>194</v>
      </c>
      <c r="F4">
        <v>0.98</v>
      </c>
      <c r="G4">
        <v>0.8</v>
      </c>
      <c r="H4">
        <v>0.8</v>
      </c>
      <c r="I4">
        <v>0</v>
      </c>
      <c r="J4" s="105">
        <v>0</v>
      </c>
      <c r="K4" s="105">
        <v>0</v>
      </c>
    </row>
    <row r="5" spans="1:42" x14ac:dyDescent="0.15">
      <c r="A5" s="114" t="s">
        <v>77</v>
      </c>
      <c r="B5" s="116">
        <v>1</v>
      </c>
      <c r="D5">
        <v>4</v>
      </c>
      <c r="E5" s="171" t="s">
        <v>195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71" t="s">
        <v>196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71" t="s">
        <v>197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71" t="s">
        <v>198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59" t="s">
        <v>150</v>
      </c>
      <c r="D9">
        <v>8</v>
      </c>
      <c r="E9" s="171" t="s">
        <v>199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59" t="s">
        <v>150</v>
      </c>
      <c r="D10">
        <v>9</v>
      </c>
      <c r="E10" s="171" t="s">
        <v>200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71" t="s">
        <v>201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71" t="s">
        <v>202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71" t="s">
        <v>203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71" t="s">
        <v>204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71" t="s">
        <v>205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71" t="s">
        <v>206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71" t="s">
        <v>207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71" t="s">
        <v>208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71" t="s">
        <v>209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71" t="s">
        <v>210</v>
      </c>
      <c r="F20">
        <v>0.98</v>
      </c>
      <c r="G20">
        <v>0.8</v>
      </c>
      <c r="H20">
        <v>0.8</v>
      </c>
      <c r="I20">
        <v>0.8</v>
      </c>
      <c r="J20" s="105">
        <v>0.25</v>
      </c>
      <c r="K20" s="105">
        <v>0.05</v>
      </c>
    </row>
    <row r="21" spans="4:33" ht="15" customHeight="1" x14ac:dyDescent="0.15">
      <c r="D21">
        <v>20</v>
      </c>
      <c r="E21" s="171" t="s">
        <v>211</v>
      </c>
      <c r="F21">
        <v>0.98</v>
      </c>
      <c r="G21">
        <v>0.8</v>
      </c>
      <c r="H21">
        <v>0.8</v>
      </c>
      <c r="I21">
        <v>0.8</v>
      </c>
      <c r="J21" s="105">
        <v>0.25</v>
      </c>
      <c r="K21" s="105">
        <v>0.05</v>
      </c>
    </row>
    <row r="22" spans="4:33" ht="15" customHeight="1" x14ac:dyDescent="0.15">
      <c r="D22">
        <v>21</v>
      </c>
      <c r="E22" s="171" t="s">
        <v>212</v>
      </c>
      <c r="F22">
        <v>0.98</v>
      </c>
      <c r="G22">
        <v>0.8</v>
      </c>
      <c r="H22">
        <v>0</v>
      </c>
      <c r="I22">
        <v>0</v>
      </c>
      <c r="J22" s="105">
        <v>0</v>
      </c>
      <c r="K22" s="105">
        <v>0</v>
      </c>
    </row>
    <row r="23" spans="4:33" ht="15" customHeight="1" x14ac:dyDescent="0.15">
      <c r="D23">
        <v>22</v>
      </c>
      <c r="E23" s="171" t="s">
        <v>213</v>
      </c>
      <c r="F23">
        <v>0.98</v>
      </c>
      <c r="G23">
        <v>0.8</v>
      </c>
      <c r="H23">
        <v>0</v>
      </c>
      <c r="I23">
        <v>0</v>
      </c>
      <c r="J23" s="105">
        <v>0</v>
      </c>
      <c r="K23" s="105">
        <v>0</v>
      </c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4" width="2.33203125" style="103" customWidth="1"/>
    <col min="5" max="21" width="3.83203125" style="103" customWidth="1"/>
    <col min="22" max="23" width="2.33203125" style="103" customWidth="1"/>
    <col min="24" max="16384" width="10.83203125" style="103"/>
  </cols>
  <sheetData>
    <row r="1" spans="1:30" x14ac:dyDescent="0.15">
      <c r="A1" s="61" t="s">
        <v>118</v>
      </c>
      <c r="B1" s="173" t="s">
        <v>192</v>
      </c>
      <c r="C1" s="173" t="s">
        <v>193</v>
      </c>
      <c r="D1" s="173" t="s">
        <v>194</v>
      </c>
      <c r="E1" s="173" t="s">
        <v>195</v>
      </c>
      <c r="F1" s="173" t="s">
        <v>196</v>
      </c>
      <c r="G1" s="173" t="s">
        <v>197</v>
      </c>
      <c r="H1" s="173" t="s">
        <v>198</v>
      </c>
      <c r="I1" s="173" t="s">
        <v>199</v>
      </c>
      <c r="J1" s="173" t="s">
        <v>200</v>
      </c>
      <c r="K1" s="173" t="s">
        <v>201</v>
      </c>
      <c r="L1" s="173" t="s">
        <v>202</v>
      </c>
      <c r="M1" s="173" t="s">
        <v>203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 s="173" t="s">
        <v>211</v>
      </c>
      <c r="V1" s="173" t="s">
        <v>212</v>
      </c>
      <c r="W1" s="173" t="s">
        <v>213</v>
      </c>
      <c r="X1"/>
      <c r="Y1"/>
      <c r="Z1"/>
      <c r="AA1"/>
      <c r="AB1"/>
      <c r="AC1"/>
      <c r="AD1"/>
    </row>
    <row r="2" spans="1:30" customFormat="1" x14ac:dyDescent="0.15">
      <c r="A2" s="172" t="s">
        <v>192</v>
      </c>
      <c r="B2" s="103">
        <v>0</v>
      </c>
      <c r="C2" s="103">
        <v>0</v>
      </c>
      <c r="D2" s="103">
        <v>0</v>
      </c>
      <c r="E2" s="103">
        <v>0.8</v>
      </c>
      <c r="F2" s="103">
        <v>0</v>
      </c>
      <c r="G2" s="103">
        <v>0</v>
      </c>
      <c r="H2" s="103">
        <v>0.8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0.8</v>
      </c>
      <c r="S2" s="103">
        <v>0.8</v>
      </c>
      <c r="T2" s="103">
        <v>0</v>
      </c>
      <c r="U2" s="103">
        <v>0</v>
      </c>
      <c r="V2" s="103">
        <v>0</v>
      </c>
      <c r="W2" s="103">
        <v>0</v>
      </c>
    </row>
    <row r="3" spans="1:30" customFormat="1" x14ac:dyDescent="0.15">
      <c r="A3" s="172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0.8</v>
      </c>
      <c r="G3" s="103">
        <v>0</v>
      </c>
      <c r="H3" s="103">
        <v>0</v>
      </c>
      <c r="I3" s="103">
        <v>0</v>
      </c>
      <c r="J3" s="103">
        <v>0.8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0.8</v>
      </c>
      <c r="S3" s="103">
        <v>0.8</v>
      </c>
      <c r="T3" s="103">
        <v>0</v>
      </c>
      <c r="U3" s="103">
        <v>0</v>
      </c>
      <c r="V3" s="103">
        <v>0</v>
      </c>
      <c r="W3" s="103">
        <v>0</v>
      </c>
    </row>
    <row r="4" spans="1:30" customFormat="1" x14ac:dyDescent="0.15">
      <c r="A4" s="172" t="s">
        <v>194</v>
      </c>
      <c r="B4" s="103">
        <v>0</v>
      </c>
      <c r="C4" s="103">
        <v>0</v>
      </c>
      <c r="D4" s="103">
        <v>0</v>
      </c>
      <c r="E4" s="103">
        <v>0</v>
      </c>
      <c r="F4" s="103">
        <v>0.8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0.8</v>
      </c>
      <c r="S4" s="103">
        <v>0.8</v>
      </c>
      <c r="T4" s="103">
        <v>0</v>
      </c>
      <c r="U4" s="103">
        <v>0</v>
      </c>
      <c r="V4" s="103">
        <v>0</v>
      </c>
      <c r="W4" s="103">
        <v>0</v>
      </c>
    </row>
    <row r="5" spans="1:30" customFormat="1" x14ac:dyDescent="0.15">
      <c r="A5" s="172" t="s">
        <v>195</v>
      </c>
      <c r="B5" s="103">
        <v>0</v>
      </c>
      <c r="C5" s="103">
        <v>0</v>
      </c>
      <c r="D5" s="103">
        <v>0</v>
      </c>
      <c r="E5" s="103">
        <v>0.8</v>
      </c>
      <c r="F5" s="103">
        <v>0.8</v>
      </c>
      <c r="G5" s="103">
        <v>0.8</v>
      </c>
      <c r="H5" s="103">
        <v>0.8</v>
      </c>
      <c r="I5" s="103">
        <v>0.8</v>
      </c>
      <c r="J5" s="103">
        <v>0.8</v>
      </c>
      <c r="K5" s="103">
        <v>0</v>
      </c>
      <c r="L5" s="103">
        <v>0</v>
      </c>
      <c r="M5" s="103">
        <v>0.8</v>
      </c>
      <c r="N5" s="103">
        <v>0</v>
      </c>
      <c r="O5" s="103">
        <v>0.8</v>
      </c>
      <c r="P5" s="103">
        <v>0</v>
      </c>
      <c r="Q5" s="103">
        <v>0</v>
      </c>
      <c r="R5" s="103">
        <v>0.8</v>
      </c>
      <c r="S5" s="103">
        <v>0.8</v>
      </c>
      <c r="T5" s="103">
        <v>0</v>
      </c>
      <c r="U5" s="103">
        <v>0</v>
      </c>
      <c r="V5" s="103">
        <v>0</v>
      </c>
      <c r="W5" s="103">
        <v>0</v>
      </c>
    </row>
    <row r="6" spans="1:30" customFormat="1" x14ac:dyDescent="0.15">
      <c r="A6" s="172" t="s">
        <v>196</v>
      </c>
      <c r="B6" s="103">
        <v>0</v>
      </c>
      <c r="C6" s="103">
        <v>0</v>
      </c>
      <c r="D6" s="103">
        <v>0</v>
      </c>
      <c r="E6" s="103">
        <v>0</v>
      </c>
      <c r="F6" s="103">
        <v>0</v>
      </c>
      <c r="G6" s="103">
        <v>0.8</v>
      </c>
      <c r="H6" s="103">
        <v>0</v>
      </c>
      <c r="I6" s="103">
        <v>0.8</v>
      </c>
      <c r="J6" s="103">
        <v>0.8</v>
      </c>
      <c r="K6" s="103">
        <v>0.8</v>
      </c>
      <c r="L6" s="103">
        <v>0.8</v>
      </c>
      <c r="M6" s="103">
        <v>0.8</v>
      </c>
      <c r="N6" s="103">
        <v>0.8</v>
      </c>
      <c r="O6" s="103">
        <v>0.8</v>
      </c>
      <c r="P6" s="103">
        <v>0.8</v>
      </c>
      <c r="Q6" s="103">
        <v>0.8</v>
      </c>
      <c r="R6" s="103">
        <v>0</v>
      </c>
      <c r="S6" s="103">
        <v>0</v>
      </c>
      <c r="T6" s="103">
        <v>0.8</v>
      </c>
      <c r="U6" s="103">
        <v>0.8</v>
      </c>
      <c r="V6" s="103">
        <v>0</v>
      </c>
      <c r="W6" s="103">
        <v>0</v>
      </c>
    </row>
    <row r="7" spans="1:30" customFormat="1" x14ac:dyDescent="0.15">
      <c r="A7" s="172" t="s">
        <v>197</v>
      </c>
      <c r="B7" s="103">
        <v>0</v>
      </c>
      <c r="C7" s="103">
        <v>0</v>
      </c>
      <c r="D7" s="103">
        <v>0</v>
      </c>
      <c r="E7" s="103">
        <v>0</v>
      </c>
      <c r="F7" s="103">
        <v>0</v>
      </c>
      <c r="G7" s="103">
        <v>0.8</v>
      </c>
      <c r="H7" s="103">
        <v>0</v>
      </c>
      <c r="I7" s="103">
        <v>0.8</v>
      </c>
      <c r="J7" s="103">
        <v>0.8</v>
      </c>
      <c r="K7" s="103">
        <v>0</v>
      </c>
      <c r="L7" s="103">
        <v>0.8</v>
      </c>
      <c r="M7" s="103">
        <v>0.8</v>
      </c>
      <c r="N7" s="103">
        <v>0</v>
      </c>
      <c r="O7" s="103">
        <v>0.8</v>
      </c>
      <c r="P7" s="103">
        <v>0</v>
      </c>
      <c r="Q7" s="103">
        <v>0.8</v>
      </c>
      <c r="R7" s="103">
        <v>0</v>
      </c>
      <c r="S7" s="103">
        <v>0</v>
      </c>
      <c r="T7" s="103">
        <v>0</v>
      </c>
      <c r="U7" s="103">
        <v>0.8</v>
      </c>
      <c r="V7" s="103">
        <v>0</v>
      </c>
      <c r="W7" s="103">
        <v>0</v>
      </c>
    </row>
    <row r="8" spans="1:30" customFormat="1" x14ac:dyDescent="0.15">
      <c r="A8" s="172" t="s">
        <v>198</v>
      </c>
      <c r="B8" s="103">
        <v>0</v>
      </c>
      <c r="C8" s="103">
        <v>0</v>
      </c>
      <c r="D8" s="103">
        <v>0</v>
      </c>
      <c r="E8" s="103">
        <v>0</v>
      </c>
      <c r="F8" s="103">
        <v>0</v>
      </c>
      <c r="G8" s="103">
        <v>0.8</v>
      </c>
      <c r="H8" s="103">
        <v>0</v>
      </c>
      <c r="I8" s="103">
        <v>0.8</v>
      </c>
      <c r="J8" s="103">
        <v>0</v>
      </c>
      <c r="K8" s="103">
        <v>0.8</v>
      </c>
      <c r="L8" s="103">
        <v>0.8</v>
      </c>
      <c r="M8" s="103">
        <v>0.8</v>
      </c>
      <c r="N8" s="103">
        <v>0.8</v>
      </c>
      <c r="O8" s="103">
        <v>0.8</v>
      </c>
      <c r="P8" s="103">
        <v>0.8</v>
      </c>
      <c r="Q8" s="103">
        <v>0.8</v>
      </c>
      <c r="R8" s="103">
        <v>0</v>
      </c>
      <c r="S8" s="103">
        <v>0</v>
      </c>
      <c r="T8" s="103">
        <v>0</v>
      </c>
      <c r="U8" s="103">
        <v>0.8</v>
      </c>
      <c r="V8" s="103">
        <v>0</v>
      </c>
      <c r="W8" s="103">
        <v>0</v>
      </c>
    </row>
    <row r="9" spans="1:30" customFormat="1" x14ac:dyDescent="0.15">
      <c r="A9" s="172" t="s">
        <v>199</v>
      </c>
      <c r="B9" s="103">
        <v>0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0.8</v>
      </c>
      <c r="N9" s="103">
        <v>0</v>
      </c>
      <c r="O9" s="103">
        <v>0</v>
      </c>
      <c r="P9" s="103">
        <v>0.8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</row>
    <row r="10" spans="1:30" customFormat="1" x14ac:dyDescent="0.15">
      <c r="A10" s="172" t="s">
        <v>200</v>
      </c>
      <c r="B10" s="103">
        <v>0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0.8</v>
      </c>
      <c r="J10" s="103">
        <v>0</v>
      </c>
      <c r="K10" s="103">
        <v>0</v>
      </c>
      <c r="L10" s="103">
        <v>0.8</v>
      </c>
      <c r="M10" s="103">
        <v>0.8</v>
      </c>
      <c r="N10" s="103">
        <v>0.8</v>
      </c>
      <c r="O10" s="103">
        <v>0.8</v>
      </c>
      <c r="P10" s="103">
        <v>0.8</v>
      </c>
      <c r="Q10" s="103">
        <v>0.8</v>
      </c>
      <c r="R10" s="103">
        <v>0</v>
      </c>
      <c r="S10" s="103">
        <v>0</v>
      </c>
      <c r="T10" s="103">
        <v>0.8</v>
      </c>
      <c r="U10" s="103">
        <v>0</v>
      </c>
      <c r="V10" s="103">
        <v>0</v>
      </c>
      <c r="W10" s="103">
        <v>0</v>
      </c>
    </row>
    <row r="11" spans="1:30" customFormat="1" x14ac:dyDescent="0.15">
      <c r="A11" s="172" t="s">
        <v>201</v>
      </c>
      <c r="B11" s="103">
        <v>0</v>
      </c>
      <c r="C11" s="103">
        <v>0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0.8</v>
      </c>
      <c r="K11" s="103">
        <v>0</v>
      </c>
      <c r="L11" s="103">
        <v>0</v>
      </c>
      <c r="M11" s="103">
        <v>0.8</v>
      </c>
      <c r="N11" s="103">
        <v>0.8</v>
      </c>
      <c r="O11" s="103">
        <v>0.8</v>
      </c>
      <c r="P11" s="103">
        <v>0.8</v>
      </c>
      <c r="Q11" s="103">
        <v>0.8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</row>
    <row r="12" spans="1:30" customFormat="1" x14ac:dyDescent="0.15">
      <c r="A12" s="172" t="s">
        <v>202</v>
      </c>
      <c r="B12" s="103">
        <v>0</v>
      </c>
      <c r="C12" s="103">
        <v>0</v>
      </c>
      <c r="D12" s="103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0.8</v>
      </c>
      <c r="P12" s="103">
        <v>0.8</v>
      </c>
      <c r="Q12" s="103">
        <v>0.8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</row>
    <row r="13" spans="1:30" customFormat="1" x14ac:dyDescent="0.15">
      <c r="A13" s="172" t="s">
        <v>203</v>
      </c>
      <c r="B13" s="103">
        <v>0</v>
      </c>
      <c r="C13" s="103">
        <v>0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0.8</v>
      </c>
      <c r="O13" s="103">
        <v>0.8</v>
      </c>
      <c r="P13" s="103">
        <v>0.8</v>
      </c>
      <c r="Q13" s="103">
        <v>0.8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</row>
    <row r="14" spans="1:30" customFormat="1" x14ac:dyDescent="0.15">
      <c r="A14" s="172" t="s">
        <v>204</v>
      </c>
      <c r="B14" s="103">
        <v>0</v>
      </c>
      <c r="C14" s="103">
        <v>0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</v>
      </c>
      <c r="J14" s="103">
        <v>0</v>
      </c>
      <c r="K14" s="103">
        <v>0</v>
      </c>
      <c r="L14" s="103">
        <v>0</v>
      </c>
      <c r="M14" s="103">
        <v>0.8</v>
      </c>
      <c r="N14" s="103">
        <v>0</v>
      </c>
      <c r="O14" s="103">
        <v>0.8</v>
      </c>
      <c r="P14" s="103">
        <v>0.8</v>
      </c>
      <c r="Q14" s="103">
        <v>0.8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</row>
    <row r="15" spans="1:30" customFormat="1" x14ac:dyDescent="0.15">
      <c r="A15" s="172" t="s">
        <v>205</v>
      </c>
      <c r="B15" s="103">
        <v>0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0</v>
      </c>
      <c r="N15" s="103">
        <v>0</v>
      </c>
      <c r="O15" s="103">
        <v>0.8</v>
      </c>
      <c r="P15" s="103">
        <v>0.8</v>
      </c>
      <c r="Q15" s="103">
        <v>0.8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</row>
    <row r="16" spans="1:30" customFormat="1" x14ac:dyDescent="0.15">
      <c r="A16" s="172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0.8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</row>
    <row r="17" spans="1:23" customFormat="1" x14ac:dyDescent="0.15">
      <c r="A17" s="172" t="s">
        <v>207</v>
      </c>
      <c r="B17" s="103">
        <v>0</v>
      </c>
      <c r="C17" s="103">
        <v>0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0.8</v>
      </c>
      <c r="Q17" s="103">
        <v>0.8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</row>
    <row r="18" spans="1:23" customFormat="1" x14ac:dyDescent="0.15">
      <c r="A18" s="172" t="s">
        <v>208</v>
      </c>
      <c r="B18" s="103">
        <v>0</v>
      </c>
      <c r="C18" s="103">
        <v>0</v>
      </c>
      <c r="D18" s="103">
        <v>0</v>
      </c>
      <c r="E18" s="103">
        <v>0</v>
      </c>
      <c r="F18" s="103">
        <v>0.8</v>
      </c>
      <c r="G18" s="103">
        <v>0</v>
      </c>
      <c r="H18" s="103">
        <v>0</v>
      </c>
      <c r="I18" s="103">
        <v>0</v>
      </c>
      <c r="J18" s="103">
        <v>0.8</v>
      </c>
      <c r="K18" s="103">
        <v>0.8</v>
      </c>
      <c r="L18" s="103">
        <v>0</v>
      </c>
      <c r="M18" s="103">
        <v>0.8</v>
      </c>
      <c r="N18" s="103">
        <v>0</v>
      </c>
      <c r="O18" s="103">
        <v>0</v>
      </c>
      <c r="P18" s="103">
        <v>0</v>
      </c>
      <c r="Q18" s="103">
        <v>0</v>
      </c>
      <c r="R18" s="103">
        <v>0.8</v>
      </c>
      <c r="S18" s="103">
        <v>0</v>
      </c>
      <c r="T18" s="103">
        <v>0.8</v>
      </c>
      <c r="U18" s="103">
        <v>0.8</v>
      </c>
      <c r="V18" s="103">
        <v>0</v>
      </c>
      <c r="W18" s="103">
        <v>0</v>
      </c>
    </row>
    <row r="19" spans="1:23" customFormat="1" x14ac:dyDescent="0.15">
      <c r="A19" s="172" t="s">
        <v>209</v>
      </c>
      <c r="B19" s="103">
        <v>0</v>
      </c>
      <c r="C19" s="103">
        <v>0</v>
      </c>
      <c r="D19" s="103">
        <v>0</v>
      </c>
      <c r="E19" s="103">
        <v>0</v>
      </c>
      <c r="F19" s="103">
        <v>0.8</v>
      </c>
      <c r="G19" s="103">
        <v>0</v>
      </c>
      <c r="H19" s="103">
        <v>0</v>
      </c>
      <c r="I19" s="103">
        <v>0.8</v>
      </c>
      <c r="J19" s="103">
        <v>0.8</v>
      </c>
      <c r="K19" s="103">
        <v>0.8</v>
      </c>
      <c r="L19" s="103">
        <v>0.8</v>
      </c>
      <c r="M19" s="103">
        <v>0.8</v>
      </c>
      <c r="N19" s="103">
        <v>0.8</v>
      </c>
      <c r="O19" s="103">
        <v>0.8</v>
      </c>
      <c r="P19" s="103">
        <v>0.8</v>
      </c>
      <c r="Q19" s="103">
        <v>0.8</v>
      </c>
      <c r="R19" s="103">
        <v>0</v>
      </c>
      <c r="S19" s="103">
        <v>0</v>
      </c>
      <c r="T19" s="103">
        <v>0.8</v>
      </c>
      <c r="U19" s="103">
        <v>0.8</v>
      </c>
      <c r="V19" s="103">
        <v>0</v>
      </c>
      <c r="W19" s="103">
        <v>0</v>
      </c>
    </row>
    <row r="20" spans="1:23" customFormat="1" x14ac:dyDescent="0.15">
      <c r="A20" s="172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0.8</v>
      </c>
      <c r="J20" s="103">
        <v>0</v>
      </c>
      <c r="K20" s="103">
        <v>0.8</v>
      </c>
      <c r="L20" s="103">
        <v>0</v>
      </c>
      <c r="M20" s="103">
        <v>0.8</v>
      </c>
      <c r="N20" s="103">
        <v>0.8</v>
      </c>
      <c r="O20" s="103">
        <v>0.8</v>
      </c>
      <c r="P20" s="103">
        <v>0.8</v>
      </c>
      <c r="Q20" s="103">
        <v>0.8</v>
      </c>
      <c r="R20" s="103">
        <v>0</v>
      </c>
      <c r="S20" s="103">
        <v>0</v>
      </c>
      <c r="T20" s="103">
        <v>0</v>
      </c>
      <c r="U20" s="103">
        <v>0.8</v>
      </c>
      <c r="V20" s="103">
        <v>0</v>
      </c>
      <c r="W20" s="103">
        <v>0</v>
      </c>
    </row>
    <row r="21" spans="1:23" customFormat="1" x14ac:dyDescent="0.15">
      <c r="A21" s="172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</v>
      </c>
      <c r="T21" s="103">
        <v>0</v>
      </c>
      <c r="U21" s="103">
        <v>0</v>
      </c>
      <c r="V21" s="103">
        <v>0</v>
      </c>
      <c r="W21" s="103">
        <v>0</v>
      </c>
    </row>
    <row r="22" spans="1:23" customFormat="1" x14ac:dyDescent="0.15">
      <c r="A22" s="172" t="s">
        <v>212</v>
      </c>
      <c r="B22" s="103">
        <v>0</v>
      </c>
      <c r="C22" s="103">
        <v>0</v>
      </c>
      <c r="D22" s="103">
        <v>0</v>
      </c>
      <c r="E22" s="103">
        <v>0.8</v>
      </c>
      <c r="F22" s="103">
        <v>0.8</v>
      </c>
      <c r="G22" s="103">
        <v>0</v>
      </c>
      <c r="H22" s="103">
        <v>0</v>
      </c>
      <c r="I22" s="103">
        <v>0</v>
      </c>
      <c r="J22" s="103">
        <v>0.8</v>
      </c>
      <c r="K22" s="103">
        <v>0.8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0.8</v>
      </c>
      <c r="S22" s="103">
        <v>0.8</v>
      </c>
      <c r="T22" s="103">
        <v>0.8</v>
      </c>
      <c r="U22" s="103">
        <v>0</v>
      </c>
      <c r="V22" s="103">
        <v>0</v>
      </c>
      <c r="W22" s="103">
        <v>0</v>
      </c>
    </row>
    <row r="23" spans="1:23" customFormat="1" x14ac:dyDescent="0.15">
      <c r="A23" s="172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</row>
    <row r="24" spans="1:23" customFormat="1" x14ac:dyDescent="0.15">
      <c r="A24" s="172" t="s">
        <v>215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3" width="2.33203125" style="103" customWidth="1"/>
    <col min="24" max="16384" width="10.83203125" style="103"/>
  </cols>
  <sheetData>
    <row r="1" spans="1:31" x14ac:dyDescent="0.15">
      <c r="A1" s="61" t="s">
        <v>139</v>
      </c>
      <c r="B1" s="175" t="s">
        <v>192</v>
      </c>
      <c r="C1" s="175" t="s">
        <v>193</v>
      </c>
      <c r="D1" s="175" t="s">
        <v>194</v>
      </c>
      <c r="E1" s="175" t="s">
        <v>195</v>
      </c>
      <c r="F1" s="175" t="s">
        <v>196</v>
      </c>
      <c r="G1" s="175" t="s">
        <v>197</v>
      </c>
      <c r="H1" s="175" t="s">
        <v>198</v>
      </c>
      <c r="I1" s="175" t="s">
        <v>199</v>
      </c>
      <c r="J1" s="175" t="s">
        <v>200</v>
      </c>
      <c r="K1" s="175" t="s">
        <v>201</v>
      </c>
      <c r="L1" s="175" t="s">
        <v>202</v>
      </c>
      <c r="M1" s="175" t="s">
        <v>203</v>
      </c>
      <c r="N1" s="175" t="s">
        <v>204</v>
      </c>
      <c r="O1" s="175" t="s">
        <v>205</v>
      </c>
      <c r="P1" s="175" t="s">
        <v>206</v>
      </c>
      <c r="Q1" s="175" t="s">
        <v>207</v>
      </c>
      <c r="R1" s="175" t="s">
        <v>208</v>
      </c>
      <c r="S1" s="175" t="s">
        <v>209</v>
      </c>
      <c r="T1" s="175" t="s">
        <v>210</v>
      </c>
      <c r="U1" s="175" t="s">
        <v>211</v>
      </c>
      <c r="V1" s="175" t="s">
        <v>212</v>
      </c>
      <c r="W1" s="175" t="s">
        <v>213</v>
      </c>
      <c r="X1"/>
      <c r="Y1"/>
      <c r="Z1"/>
      <c r="AA1"/>
      <c r="AB1"/>
      <c r="AC1"/>
      <c r="AD1"/>
      <c r="AE1"/>
    </row>
    <row r="2" spans="1:31" customFormat="1" x14ac:dyDescent="0.15">
      <c r="A2" s="174" t="s">
        <v>192</v>
      </c>
      <c r="B2" s="103">
        <v>0</v>
      </c>
      <c r="C2" s="103">
        <v>0</v>
      </c>
      <c r="D2" s="103">
        <v>0</v>
      </c>
      <c r="E2" s="103">
        <v>1</v>
      </c>
      <c r="F2" s="103">
        <v>0</v>
      </c>
      <c r="G2" s="103">
        <v>0</v>
      </c>
      <c r="H2" s="103">
        <v>1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1</v>
      </c>
      <c r="S2" s="103">
        <v>1</v>
      </c>
      <c r="T2" s="103">
        <v>0</v>
      </c>
      <c r="U2" s="103">
        <v>0</v>
      </c>
      <c r="V2" s="103">
        <v>0</v>
      </c>
      <c r="W2" s="103">
        <v>0</v>
      </c>
    </row>
    <row r="3" spans="1:31" customFormat="1" x14ac:dyDescent="0.15">
      <c r="A3" s="174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1</v>
      </c>
      <c r="G3" s="103">
        <v>0</v>
      </c>
      <c r="H3" s="103">
        <v>0</v>
      </c>
      <c r="I3" s="103">
        <v>0</v>
      </c>
      <c r="J3" s="103">
        <v>1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1</v>
      </c>
      <c r="S3" s="103">
        <v>1</v>
      </c>
      <c r="T3" s="103">
        <v>0</v>
      </c>
      <c r="U3" s="103">
        <v>0</v>
      </c>
      <c r="V3" s="103">
        <v>0</v>
      </c>
      <c r="W3" s="103">
        <v>0</v>
      </c>
    </row>
    <row r="4" spans="1:31" customFormat="1" x14ac:dyDescent="0.15">
      <c r="A4" s="174" t="s">
        <v>194</v>
      </c>
      <c r="B4" s="103">
        <v>0</v>
      </c>
      <c r="C4" s="103">
        <v>0</v>
      </c>
      <c r="D4" s="103">
        <v>0</v>
      </c>
      <c r="E4" s="103">
        <v>0</v>
      </c>
      <c r="F4" s="103">
        <v>1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1</v>
      </c>
      <c r="S4" s="103">
        <v>1</v>
      </c>
      <c r="T4" s="103">
        <v>0</v>
      </c>
      <c r="U4" s="103">
        <v>0</v>
      </c>
      <c r="V4" s="103">
        <v>0</v>
      </c>
      <c r="W4" s="103">
        <v>0</v>
      </c>
    </row>
    <row r="5" spans="1:31" customFormat="1" x14ac:dyDescent="0.15">
      <c r="A5" s="174" t="s">
        <v>195</v>
      </c>
      <c r="B5" s="103">
        <v>0</v>
      </c>
      <c r="C5" s="103">
        <v>0</v>
      </c>
      <c r="D5" s="103">
        <v>0</v>
      </c>
      <c r="E5" s="103">
        <v>1</v>
      </c>
      <c r="F5" s="103">
        <v>1</v>
      </c>
      <c r="G5" s="103">
        <v>1</v>
      </c>
      <c r="H5" s="103">
        <v>1</v>
      </c>
      <c r="I5" s="103">
        <v>1</v>
      </c>
      <c r="J5" s="103">
        <v>1</v>
      </c>
      <c r="K5" s="103">
        <v>0</v>
      </c>
      <c r="L5" s="103">
        <v>0</v>
      </c>
      <c r="M5" s="103">
        <v>1</v>
      </c>
      <c r="N5" s="103">
        <v>0</v>
      </c>
      <c r="O5" s="103">
        <v>1</v>
      </c>
      <c r="P5" s="103">
        <v>0</v>
      </c>
      <c r="Q5" s="103">
        <v>0</v>
      </c>
      <c r="R5" s="103">
        <v>1</v>
      </c>
      <c r="S5" s="103">
        <v>1</v>
      </c>
      <c r="T5" s="103">
        <v>0</v>
      </c>
      <c r="U5" s="103">
        <v>0</v>
      </c>
      <c r="V5" s="103">
        <v>0</v>
      </c>
      <c r="W5" s="103">
        <v>0</v>
      </c>
    </row>
    <row r="6" spans="1:31" customFormat="1" x14ac:dyDescent="0.15">
      <c r="A6" s="174" t="s">
        <v>196</v>
      </c>
      <c r="B6" s="103">
        <v>0</v>
      </c>
      <c r="C6" s="103">
        <v>0</v>
      </c>
      <c r="D6" s="103">
        <v>0</v>
      </c>
      <c r="E6" s="103">
        <v>0</v>
      </c>
      <c r="F6" s="103">
        <v>0</v>
      </c>
      <c r="G6" s="103">
        <v>1</v>
      </c>
      <c r="H6" s="103">
        <v>0</v>
      </c>
      <c r="I6" s="103">
        <v>1</v>
      </c>
      <c r="J6" s="103">
        <v>1</v>
      </c>
      <c r="K6" s="103">
        <v>1</v>
      </c>
      <c r="L6" s="103">
        <v>1</v>
      </c>
      <c r="M6" s="103">
        <v>1</v>
      </c>
      <c r="N6" s="103">
        <v>1</v>
      </c>
      <c r="O6" s="103">
        <v>1</v>
      </c>
      <c r="P6" s="103">
        <v>1</v>
      </c>
      <c r="Q6" s="103">
        <v>1</v>
      </c>
      <c r="R6" s="103">
        <v>0</v>
      </c>
      <c r="S6" s="103">
        <v>0</v>
      </c>
      <c r="T6" s="103">
        <v>1</v>
      </c>
      <c r="U6" s="103">
        <v>1</v>
      </c>
      <c r="V6" s="103">
        <v>0</v>
      </c>
      <c r="W6" s="103">
        <v>0</v>
      </c>
    </row>
    <row r="7" spans="1:31" customFormat="1" x14ac:dyDescent="0.15">
      <c r="A7" s="174" t="s">
        <v>197</v>
      </c>
      <c r="B7" s="103">
        <v>0</v>
      </c>
      <c r="C7" s="103">
        <v>0</v>
      </c>
      <c r="D7" s="103">
        <v>0</v>
      </c>
      <c r="E7" s="103">
        <v>0</v>
      </c>
      <c r="F7" s="103">
        <v>0</v>
      </c>
      <c r="G7" s="103">
        <v>1</v>
      </c>
      <c r="H7" s="103">
        <v>0</v>
      </c>
      <c r="I7" s="103">
        <v>1</v>
      </c>
      <c r="J7" s="103">
        <v>1</v>
      </c>
      <c r="K7" s="103">
        <v>0</v>
      </c>
      <c r="L7" s="103">
        <v>1</v>
      </c>
      <c r="M7" s="103">
        <v>1</v>
      </c>
      <c r="N7" s="103">
        <v>0</v>
      </c>
      <c r="O7" s="103">
        <v>1</v>
      </c>
      <c r="P7" s="103">
        <v>0</v>
      </c>
      <c r="Q7" s="103">
        <v>1</v>
      </c>
      <c r="R7" s="103">
        <v>0</v>
      </c>
      <c r="S7" s="103">
        <v>0</v>
      </c>
      <c r="T7" s="103">
        <v>0</v>
      </c>
      <c r="U7" s="103">
        <v>1</v>
      </c>
      <c r="V7" s="103">
        <v>0</v>
      </c>
      <c r="W7" s="103">
        <v>0</v>
      </c>
    </row>
    <row r="8" spans="1:31" customFormat="1" x14ac:dyDescent="0.15">
      <c r="A8" s="174" t="s">
        <v>198</v>
      </c>
      <c r="B8" s="103">
        <v>0</v>
      </c>
      <c r="C8" s="103">
        <v>0</v>
      </c>
      <c r="D8" s="103">
        <v>0</v>
      </c>
      <c r="E8" s="103">
        <v>0</v>
      </c>
      <c r="F8" s="103">
        <v>0</v>
      </c>
      <c r="G8" s="103">
        <v>1</v>
      </c>
      <c r="H8" s="103">
        <v>0</v>
      </c>
      <c r="I8" s="103">
        <v>1</v>
      </c>
      <c r="J8" s="103">
        <v>0</v>
      </c>
      <c r="K8" s="103">
        <v>1</v>
      </c>
      <c r="L8" s="103">
        <v>1</v>
      </c>
      <c r="M8" s="103">
        <v>1</v>
      </c>
      <c r="N8" s="103">
        <v>1</v>
      </c>
      <c r="O8" s="103">
        <v>1</v>
      </c>
      <c r="P8" s="103">
        <v>1</v>
      </c>
      <c r="Q8" s="103">
        <v>1</v>
      </c>
      <c r="R8" s="103">
        <v>0</v>
      </c>
      <c r="S8" s="103">
        <v>0</v>
      </c>
      <c r="T8" s="103">
        <v>0</v>
      </c>
      <c r="U8" s="103">
        <v>1</v>
      </c>
      <c r="V8" s="103">
        <v>0</v>
      </c>
      <c r="W8" s="103">
        <v>0</v>
      </c>
    </row>
    <row r="9" spans="1:31" customFormat="1" x14ac:dyDescent="0.15">
      <c r="A9" s="174" t="s">
        <v>199</v>
      </c>
      <c r="B9" s="103">
        <v>0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1</v>
      </c>
      <c r="N9" s="103">
        <v>0</v>
      </c>
      <c r="O9" s="103">
        <v>0</v>
      </c>
      <c r="P9" s="103">
        <v>1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</row>
    <row r="10" spans="1:31" customFormat="1" x14ac:dyDescent="0.15">
      <c r="A10" s="174" t="s">
        <v>200</v>
      </c>
      <c r="B10" s="103">
        <v>0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1</v>
      </c>
      <c r="J10" s="103">
        <v>0</v>
      </c>
      <c r="K10" s="103">
        <v>0</v>
      </c>
      <c r="L10" s="103">
        <v>1</v>
      </c>
      <c r="M10" s="103">
        <v>1</v>
      </c>
      <c r="N10" s="103">
        <v>1</v>
      </c>
      <c r="O10" s="103">
        <v>1</v>
      </c>
      <c r="P10" s="103">
        <v>1</v>
      </c>
      <c r="Q10" s="103">
        <v>1</v>
      </c>
      <c r="R10" s="103">
        <v>0</v>
      </c>
      <c r="S10" s="103">
        <v>0</v>
      </c>
      <c r="T10" s="103">
        <v>1</v>
      </c>
      <c r="U10" s="103">
        <v>0</v>
      </c>
      <c r="V10" s="103">
        <v>0</v>
      </c>
      <c r="W10" s="103">
        <v>0</v>
      </c>
    </row>
    <row r="11" spans="1:31" customFormat="1" x14ac:dyDescent="0.15">
      <c r="A11" s="174" t="s">
        <v>201</v>
      </c>
      <c r="B11" s="103">
        <v>0</v>
      </c>
      <c r="C11" s="103">
        <v>0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1</v>
      </c>
      <c r="K11" s="103">
        <v>0</v>
      </c>
      <c r="L11" s="103">
        <v>0</v>
      </c>
      <c r="M11" s="103">
        <v>1</v>
      </c>
      <c r="N11" s="103">
        <v>1</v>
      </c>
      <c r="O11" s="103">
        <v>1</v>
      </c>
      <c r="P11" s="103">
        <v>1</v>
      </c>
      <c r="Q11" s="103">
        <v>1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</row>
    <row r="12" spans="1:31" customFormat="1" x14ac:dyDescent="0.15">
      <c r="A12" s="174" t="s">
        <v>202</v>
      </c>
      <c r="B12" s="103">
        <v>0</v>
      </c>
      <c r="C12" s="103">
        <v>0</v>
      </c>
      <c r="D12" s="103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1</v>
      </c>
      <c r="P12" s="103">
        <v>1</v>
      </c>
      <c r="Q12" s="103">
        <v>1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</row>
    <row r="13" spans="1:31" customFormat="1" x14ac:dyDescent="0.15">
      <c r="A13" s="174" t="s">
        <v>203</v>
      </c>
      <c r="B13" s="103">
        <v>0</v>
      </c>
      <c r="C13" s="103">
        <v>0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1</v>
      </c>
      <c r="O13" s="103">
        <v>1</v>
      </c>
      <c r="P13" s="103">
        <v>1</v>
      </c>
      <c r="Q13" s="103">
        <v>1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</row>
    <row r="14" spans="1:31" customFormat="1" x14ac:dyDescent="0.15">
      <c r="A14" s="174" t="s">
        <v>204</v>
      </c>
      <c r="B14" s="103">
        <v>0</v>
      </c>
      <c r="C14" s="103">
        <v>0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</v>
      </c>
      <c r="J14" s="103">
        <v>0</v>
      </c>
      <c r="K14" s="103">
        <v>0</v>
      </c>
      <c r="L14" s="103">
        <v>0</v>
      </c>
      <c r="M14" s="103">
        <v>1</v>
      </c>
      <c r="N14" s="103">
        <v>0</v>
      </c>
      <c r="O14" s="103">
        <v>1</v>
      </c>
      <c r="P14" s="103">
        <v>1</v>
      </c>
      <c r="Q14" s="103">
        <v>1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</row>
    <row r="15" spans="1:31" customFormat="1" x14ac:dyDescent="0.15">
      <c r="A15" s="174" t="s">
        <v>205</v>
      </c>
      <c r="B15" s="103">
        <v>0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0</v>
      </c>
      <c r="N15" s="103">
        <v>0</v>
      </c>
      <c r="O15" s="103">
        <v>1</v>
      </c>
      <c r="P15" s="103">
        <v>1</v>
      </c>
      <c r="Q15" s="103">
        <v>1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</row>
    <row r="16" spans="1:31" customFormat="1" x14ac:dyDescent="0.15">
      <c r="A16" s="174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1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</row>
    <row r="17" spans="1:23" customFormat="1" x14ac:dyDescent="0.15">
      <c r="A17" s="174" t="s">
        <v>207</v>
      </c>
      <c r="B17" s="103">
        <v>0</v>
      </c>
      <c r="C17" s="103">
        <v>0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1</v>
      </c>
      <c r="Q17" s="103">
        <v>1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</row>
    <row r="18" spans="1:23" customFormat="1" x14ac:dyDescent="0.15">
      <c r="A18" s="174" t="s">
        <v>208</v>
      </c>
      <c r="B18" s="103">
        <v>0</v>
      </c>
      <c r="C18" s="103">
        <v>0</v>
      </c>
      <c r="D18" s="103">
        <v>0</v>
      </c>
      <c r="E18" s="103">
        <v>0</v>
      </c>
      <c r="F18" s="103">
        <v>1</v>
      </c>
      <c r="G18" s="103">
        <v>0</v>
      </c>
      <c r="H18" s="103">
        <v>0</v>
      </c>
      <c r="I18" s="103">
        <v>0</v>
      </c>
      <c r="J18" s="103">
        <v>1</v>
      </c>
      <c r="K18" s="103">
        <v>1</v>
      </c>
      <c r="L18" s="103">
        <v>0</v>
      </c>
      <c r="M18" s="103">
        <v>1</v>
      </c>
      <c r="N18" s="103">
        <v>0</v>
      </c>
      <c r="O18" s="103">
        <v>0</v>
      </c>
      <c r="P18" s="103">
        <v>0</v>
      </c>
      <c r="Q18" s="103">
        <v>0</v>
      </c>
      <c r="R18" s="103">
        <v>1</v>
      </c>
      <c r="S18" s="103">
        <v>0</v>
      </c>
      <c r="T18" s="103">
        <v>1</v>
      </c>
      <c r="U18" s="103">
        <v>1</v>
      </c>
      <c r="V18" s="103">
        <v>0</v>
      </c>
      <c r="W18" s="103">
        <v>0</v>
      </c>
    </row>
    <row r="19" spans="1:23" customFormat="1" x14ac:dyDescent="0.15">
      <c r="A19" s="174" t="s">
        <v>209</v>
      </c>
      <c r="B19" s="103">
        <v>0</v>
      </c>
      <c r="C19" s="103">
        <v>0</v>
      </c>
      <c r="D19" s="103">
        <v>0</v>
      </c>
      <c r="E19" s="103">
        <v>0</v>
      </c>
      <c r="F19" s="103">
        <v>1</v>
      </c>
      <c r="G19" s="103">
        <v>0</v>
      </c>
      <c r="H19" s="103">
        <v>0</v>
      </c>
      <c r="I19" s="103">
        <v>1</v>
      </c>
      <c r="J19" s="103">
        <v>1</v>
      </c>
      <c r="K19" s="103">
        <v>1</v>
      </c>
      <c r="L19" s="103">
        <v>1</v>
      </c>
      <c r="M19" s="103">
        <v>1</v>
      </c>
      <c r="N19" s="103">
        <v>1</v>
      </c>
      <c r="O19" s="103">
        <v>1</v>
      </c>
      <c r="P19" s="103">
        <v>1</v>
      </c>
      <c r="Q19" s="103">
        <v>1</v>
      </c>
      <c r="R19" s="103">
        <v>0</v>
      </c>
      <c r="S19" s="103">
        <v>0</v>
      </c>
      <c r="T19" s="103">
        <v>1</v>
      </c>
      <c r="U19" s="103">
        <v>1</v>
      </c>
      <c r="V19" s="103">
        <v>0</v>
      </c>
      <c r="W19" s="103">
        <v>0</v>
      </c>
    </row>
    <row r="20" spans="1:23" customFormat="1" x14ac:dyDescent="0.15">
      <c r="A20" s="174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1</v>
      </c>
      <c r="J20" s="103">
        <v>0</v>
      </c>
      <c r="K20" s="103">
        <v>1</v>
      </c>
      <c r="L20" s="103">
        <v>0</v>
      </c>
      <c r="M20" s="103">
        <v>1</v>
      </c>
      <c r="N20" s="103">
        <v>1</v>
      </c>
      <c r="O20" s="103">
        <v>1</v>
      </c>
      <c r="P20" s="103">
        <v>1</v>
      </c>
      <c r="Q20" s="103">
        <v>1</v>
      </c>
      <c r="R20" s="103">
        <v>0</v>
      </c>
      <c r="S20" s="103">
        <v>0</v>
      </c>
      <c r="T20" s="103">
        <v>0</v>
      </c>
      <c r="U20" s="103">
        <v>1</v>
      </c>
      <c r="V20" s="103">
        <v>0</v>
      </c>
      <c r="W20" s="103">
        <v>0</v>
      </c>
    </row>
    <row r="21" spans="1:23" customFormat="1" x14ac:dyDescent="0.15">
      <c r="A21" s="174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</v>
      </c>
      <c r="T21" s="103">
        <v>0</v>
      </c>
      <c r="U21" s="103">
        <v>0</v>
      </c>
      <c r="V21" s="103">
        <v>0</v>
      </c>
      <c r="W21" s="103">
        <v>0</v>
      </c>
    </row>
    <row r="22" spans="1:23" customFormat="1" x14ac:dyDescent="0.15">
      <c r="A22" s="174" t="s">
        <v>212</v>
      </c>
      <c r="B22" s="103">
        <v>0</v>
      </c>
      <c r="C22" s="103">
        <v>0</v>
      </c>
      <c r="D22" s="103">
        <v>0</v>
      </c>
      <c r="E22" s="103">
        <v>1</v>
      </c>
      <c r="F22" s="103">
        <v>1</v>
      </c>
      <c r="G22" s="103">
        <v>0</v>
      </c>
      <c r="H22" s="103">
        <v>0</v>
      </c>
      <c r="I22" s="103">
        <v>0</v>
      </c>
      <c r="J22" s="103">
        <v>1</v>
      </c>
      <c r="K22" s="103">
        <v>1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1</v>
      </c>
      <c r="S22" s="103">
        <v>1</v>
      </c>
      <c r="T22" s="103">
        <v>1</v>
      </c>
      <c r="U22" s="103">
        <v>0</v>
      </c>
      <c r="V22" s="103">
        <v>0</v>
      </c>
      <c r="W22" s="103">
        <v>0</v>
      </c>
    </row>
    <row r="23" spans="1:23" customFormat="1" x14ac:dyDescent="0.15">
      <c r="A23" s="174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</row>
    <row r="24" spans="1:23" customFormat="1" x14ac:dyDescent="0.15">
      <c r="A24" s="174" t="s">
        <v>215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7" t="s">
        <v>214</v>
      </c>
    </row>
    <row r="2" spans="1:3" x14ac:dyDescent="0.15">
      <c r="A2">
        <v>1</v>
      </c>
      <c r="B2" s="176" t="s">
        <v>192</v>
      </c>
      <c r="C2">
        <v>0</v>
      </c>
    </row>
    <row r="3" spans="1:3" x14ac:dyDescent="0.15">
      <c r="A3">
        <v>2</v>
      </c>
      <c r="B3" s="176" t="s">
        <v>193</v>
      </c>
      <c r="C3">
        <v>0</v>
      </c>
    </row>
    <row r="4" spans="1:3" x14ac:dyDescent="0.15">
      <c r="A4">
        <v>3</v>
      </c>
      <c r="B4" s="176" t="s">
        <v>194</v>
      </c>
      <c r="C4">
        <v>0</v>
      </c>
    </row>
    <row r="5" spans="1:3" x14ac:dyDescent="0.15">
      <c r="A5">
        <v>4</v>
      </c>
      <c r="B5" s="176" t="s">
        <v>195</v>
      </c>
      <c r="C5">
        <v>0</v>
      </c>
    </row>
    <row r="6" spans="1:3" x14ac:dyDescent="0.15">
      <c r="A6">
        <v>5</v>
      </c>
      <c r="B6" s="176" t="s">
        <v>196</v>
      </c>
      <c r="C6">
        <v>0.8</v>
      </c>
    </row>
    <row r="7" spans="1:3" x14ac:dyDescent="0.15">
      <c r="A7">
        <v>6</v>
      </c>
      <c r="B7" s="176" t="s">
        <v>197</v>
      </c>
      <c r="C7">
        <v>0.8</v>
      </c>
    </row>
    <row r="8" spans="1:3" x14ac:dyDescent="0.15">
      <c r="A8">
        <v>7</v>
      </c>
      <c r="B8" s="176" t="s">
        <v>198</v>
      </c>
      <c r="C8">
        <v>0.8</v>
      </c>
    </row>
    <row r="9" spans="1:3" x14ac:dyDescent="0.15">
      <c r="A9">
        <v>8</v>
      </c>
      <c r="B9" s="176" t="s">
        <v>199</v>
      </c>
      <c r="C9">
        <v>0.8</v>
      </c>
    </row>
    <row r="10" spans="1:3" x14ac:dyDescent="0.15">
      <c r="A10">
        <v>9</v>
      </c>
      <c r="B10" s="176" t="s">
        <v>200</v>
      </c>
      <c r="C10">
        <v>0.8</v>
      </c>
    </row>
    <row r="11" spans="1:3" x14ac:dyDescent="0.15">
      <c r="A11">
        <v>10</v>
      </c>
      <c r="B11" s="176" t="s">
        <v>201</v>
      </c>
      <c r="C11">
        <v>0.8</v>
      </c>
    </row>
    <row r="12" spans="1:3" x14ac:dyDescent="0.15">
      <c r="A12">
        <v>11</v>
      </c>
      <c r="B12" s="176" t="s">
        <v>202</v>
      </c>
      <c r="C12">
        <v>0.8</v>
      </c>
    </row>
    <row r="13" spans="1:3" x14ac:dyDescent="0.15">
      <c r="A13">
        <v>12</v>
      </c>
      <c r="B13" s="176" t="s">
        <v>203</v>
      </c>
      <c r="C13">
        <v>0.8</v>
      </c>
    </row>
    <row r="14" spans="1:3" x14ac:dyDescent="0.15">
      <c r="A14">
        <v>13</v>
      </c>
      <c r="B14" s="176" t="s">
        <v>204</v>
      </c>
      <c r="C14">
        <v>0.8</v>
      </c>
    </row>
    <row r="15" spans="1:3" x14ac:dyDescent="0.15">
      <c r="A15">
        <v>14</v>
      </c>
      <c r="B15" s="176" t="s">
        <v>205</v>
      </c>
      <c r="C15">
        <v>0.8</v>
      </c>
    </row>
    <row r="16" spans="1:3" x14ac:dyDescent="0.15">
      <c r="A16">
        <v>15</v>
      </c>
      <c r="B16" s="176" t="s">
        <v>206</v>
      </c>
      <c r="C16">
        <v>0.8</v>
      </c>
    </row>
    <row r="17" spans="1:3" x14ac:dyDescent="0.15">
      <c r="A17">
        <v>16</v>
      </c>
      <c r="B17" s="176" t="s">
        <v>207</v>
      </c>
      <c r="C17">
        <v>0.8</v>
      </c>
    </row>
    <row r="18" spans="1:3" x14ac:dyDescent="0.15">
      <c r="A18">
        <v>17</v>
      </c>
      <c r="B18" s="176" t="s">
        <v>208</v>
      </c>
      <c r="C18">
        <v>0</v>
      </c>
    </row>
    <row r="19" spans="1:3" x14ac:dyDescent="0.15">
      <c r="A19">
        <v>18</v>
      </c>
      <c r="B19" s="176" t="s">
        <v>209</v>
      </c>
      <c r="C19">
        <v>0.8</v>
      </c>
    </row>
    <row r="20" spans="1:3" x14ac:dyDescent="0.15">
      <c r="A20">
        <v>19</v>
      </c>
      <c r="B20" s="176" t="s">
        <v>210</v>
      </c>
      <c r="C20">
        <v>0.8</v>
      </c>
    </row>
    <row r="21" spans="1:3" x14ac:dyDescent="0.15">
      <c r="A21">
        <v>20</v>
      </c>
      <c r="B21" s="176" t="s">
        <v>211</v>
      </c>
      <c r="C21">
        <v>0</v>
      </c>
    </row>
    <row r="22" spans="1:3" x14ac:dyDescent="0.15">
      <c r="A22">
        <v>21</v>
      </c>
      <c r="B22" s="176" t="s">
        <v>212</v>
      </c>
      <c r="C22">
        <v>0</v>
      </c>
    </row>
    <row r="23" spans="1:3" x14ac:dyDescent="0.15">
      <c r="A23">
        <v>22</v>
      </c>
      <c r="B23" s="176" t="s">
        <v>213</v>
      </c>
      <c r="C2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9" t="s">
        <v>214</v>
      </c>
    </row>
    <row r="2" spans="1:3" x14ac:dyDescent="0.15">
      <c r="A2">
        <v>1</v>
      </c>
      <c r="B2" s="178" t="s">
        <v>192</v>
      </c>
      <c r="C2">
        <v>0</v>
      </c>
    </row>
    <row r="3" spans="1:3" x14ac:dyDescent="0.15">
      <c r="A3">
        <v>2</v>
      </c>
      <c r="B3" s="178" t="s">
        <v>193</v>
      </c>
      <c r="C3">
        <v>0</v>
      </c>
    </row>
    <row r="4" spans="1:3" x14ac:dyDescent="0.15">
      <c r="A4">
        <v>3</v>
      </c>
      <c r="B4" s="178" t="s">
        <v>194</v>
      </c>
      <c r="C4">
        <v>0</v>
      </c>
    </row>
    <row r="5" spans="1:3" x14ac:dyDescent="0.15">
      <c r="A5">
        <v>4</v>
      </c>
      <c r="B5" s="178" t="s">
        <v>195</v>
      </c>
      <c r="C5">
        <v>0</v>
      </c>
    </row>
    <row r="6" spans="1:3" x14ac:dyDescent="0.15">
      <c r="A6">
        <v>5</v>
      </c>
      <c r="B6" s="178" t="s">
        <v>196</v>
      </c>
      <c r="C6">
        <v>0.8</v>
      </c>
    </row>
    <row r="7" spans="1:3" x14ac:dyDescent="0.15">
      <c r="A7">
        <v>6</v>
      </c>
      <c r="B7" s="178" t="s">
        <v>197</v>
      </c>
      <c r="C7">
        <v>0.8</v>
      </c>
    </row>
    <row r="8" spans="1:3" x14ac:dyDescent="0.15">
      <c r="A8">
        <v>7</v>
      </c>
      <c r="B8" s="178" t="s">
        <v>198</v>
      </c>
      <c r="C8">
        <v>0.8</v>
      </c>
    </row>
    <row r="9" spans="1:3" x14ac:dyDescent="0.15">
      <c r="A9">
        <v>8</v>
      </c>
      <c r="B9" s="178" t="s">
        <v>199</v>
      </c>
      <c r="C9">
        <v>0.8</v>
      </c>
    </row>
    <row r="10" spans="1:3" x14ac:dyDescent="0.15">
      <c r="A10">
        <v>9</v>
      </c>
      <c r="B10" s="178" t="s">
        <v>200</v>
      </c>
      <c r="C10">
        <v>0.8</v>
      </c>
    </row>
    <row r="11" spans="1:3" x14ac:dyDescent="0.15">
      <c r="A11">
        <v>10</v>
      </c>
      <c r="B11" s="178" t="s">
        <v>201</v>
      </c>
      <c r="C11">
        <v>0.8</v>
      </c>
    </row>
    <row r="12" spans="1:3" x14ac:dyDescent="0.15">
      <c r="A12">
        <v>11</v>
      </c>
      <c r="B12" s="178" t="s">
        <v>202</v>
      </c>
      <c r="C12">
        <v>0.8</v>
      </c>
    </row>
    <row r="13" spans="1:3" x14ac:dyDescent="0.15">
      <c r="A13">
        <v>12</v>
      </c>
      <c r="B13" s="178" t="s">
        <v>203</v>
      </c>
      <c r="C13">
        <v>0.8</v>
      </c>
    </row>
    <row r="14" spans="1:3" x14ac:dyDescent="0.15">
      <c r="A14">
        <v>13</v>
      </c>
      <c r="B14" s="178" t="s">
        <v>204</v>
      </c>
      <c r="C14">
        <v>0.8</v>
      </c>
    </row>
    <row r="15" spans="1:3" x14ac:dyDescent="0.15">
      <c r="A15">
        <v>14</v>
      </c>
      <c r="B15" s="178" t="s">
        <v>205</v>
      </c>
      <c r="C15">
        <v>0.8</v>
      </c>
    </row>
    <row r="16" spans="1:3" x14ac:dyDescent="0.15">
      <c r="A16">
        <v>15</v>
      </c>
      <c r="B16" s="178" t="s">
        <v>206</v>
      </c>
      <c r="C16">
        <v>0.8</v>
      </c>
    </row>
    <row r="17" spans="1:3" x14ac:dyDescent="0.15">
      <c r="A17">
        <v>16</v>
      </c>
      <c r="B17" s="178" t="s">
        <v>207</v>
      </c>
      <c r="C17">
        <v>0.8</v>
      </c>
    </row>
    <row r="18" spans="1:3" x14ac:dyDescent="0.15">
      <c r="A18">
        <v>17</v>
      </c>
      <c r="B18" s="178" t="s">
        <v>208</v>
      </c>
      <c r="C18">
        <v>0</v>
      </c>
    </row>
    <row r="19" spans="1:3" x14ac:dyDescent="0.15">
      <c r="A19">
        <v>18</v>
      </c>
      <c r="B19" s="178" t="s">
        <v>209</v>
      </c>
      <c r="C19">
        <v>0.8</v>
      </c>
    </row>
    <row r="20" spans="1:3" x14ac:dyDescent="0.15">
      <c r="A20">
        <v>19</v>
      </c>
      <c r="B20" s="178" t="s">
        <v>210</v>
      </c>
      <c r="C20">
        <v>0.8</v>
      </c>
    </row>
    <row r="21" spans="1:3" x14ac:dyDescent="0.15">
      <c r="A21">
        <v>20</v>
      </c>
      <c r="B21" s="178" t="s">
        <v>211</v>
      </c>
      <c r="C21">
        <v>0</v>
      </c>
    </row>
    <row r="22" spans="1:3" x14ac:dyDescent="0.15">
      <c r="A22">
        <v>21</v>
      </c>
      <c r="B22" s="178" t="s">
        <v>212</v>
      </c>
      <c r="C22">
        <v>0</v>
      </c>
    </row>
    <row r="23" spans="1:3" x14ac:dyDescent="0.15">
      <c r="A23">
        <v>22</v>
      </c>
      <c r="B23" s="178" t="s">
        <v>213</v>
      </c>
      <c r="C2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8">
        <v>1</v>
      </c>
      <c r="B2" s="138" t="s">
        <v>192</v>
      </c>
      <c r="C2" s="8">
        <v>1</v>
      </c>
      <c r="D2" s="9">
        <v>6</v>
      </c>
      <c r="E2" s="9">
        <v>180</v>
      </c>
      <c r="F2" s="10"/>
      <c r="G2" s="9">
        <v>0.65836107730865479</v>
      </c>
      <c r="H2" s="10"/>
      <c r="I2">
        <v>0</v>
      </c>
      <c r="J2"/>
    </row>
    <row r="3" spans="1:10" ht="15" customHeight="1" x14ac:dyDescent="0.15">
      <c r="A3" s="139">
        <v>2</v>
      </c>
      <c r="B3" s="139" t="s">
        <v>193</v>
      </c>
      <c r="C3" s="8">
        <v>1</v>
      </c>
      <c r="D3" s="9">
        <v>0.5</v>
      </c>
      <c r="E3" s="9">
        <v>120</v>
      </c>
      <c r="F3" s="10"/>
      <c r="G3" s="9">
        <v>0.93350005149841309</v>
      </c>
      <c r="H3" s="10"/>
      <c r="I3">
        <v>0</v>
      </c>
      <c r="J3"/>
    </row>
    <row r="4" spans="1:10" ht="15" customHeight="1" x14ac:dyDescent="0.15">
      <c r="A4" s="140">
        <v>3</v>
      </c>
      <c r="B4" s="140" t="s">
        <v>194</v>
      </c>
      <c r="C4" s="8">
        <v>1</v>
      </c>
      <c r="D4" s="9">
        <v>100</v>
      </c>
      <c r="E4" s="9">
        <v>0.2199999988079071</v>
      </c>
      <c r="F4" s="10"/>
      <c r="G4" s="9">
        <v>0.44659090042114258</v>
      </c>
      <c r="H4" s="10"/>
      <c r="I4">
        <v>0</v>
      </c>
      <c r="J4"/>
    </row>
    <row r="5" spans="1:10" ht="15" customHeight="1" x14ac:dyDescent="0.15">
      <c r="A5" s="141">
        <v>4</v>
      </c>
      <c r="B5" s="141" t="s">
        <v>195</v>
      </c>
      <c r="C5" s="8">
        <v>2.0526316165924072</v>
      </c>
      <c r="D5" s="9">
        <v>4</v>
      </c>
      <c r="E5" s="9">
        <v>40</v>
      </c>
      <c r="F5" s="9">
        <v>160</v>
      </c>
      <c r="G5" s="9">
        <v>0.50033128261566162</v>
      </c>
      <c r="H5" s="9">
        <v>0.25</v>
      </c>
      <c r="I5">
        <v>0</v>
      </c>
      <c r="J5"/>
    </row>
    <row r="6" spans="1:10" ht="15" customHeight="1" x14ac:dyDescent="0.15">
      <c r="A6" s="142">
        <v>5</v>
      </c>
      <c r="B6" s="142" t="s">
        <v>196</v>
      </c>
      <c r="C6" s="8">
        <v>2.528684139251709</v>
      </c>
      <c r="D6" s="9">
        <v>1.5</v>
      </c>
      <c r="E6" s="9">
        <v>6</v>
      </c>
      <c r="F6" s="9">
        <v>28</v>
      </c>
      <c r="G6" s="9">
        <v>0.91226661205291748</v>
      </c>
      <c r="H6" s="9">
        <v>0.2142857164144516</v>
      </c>
      <c r="I6">
        <v>0.80000001192092896</v>
      </c>
      <c r="J6"/>
    </row>
    <row r="7" spans="1:10" ht="15" customHeight="1" x14ac:dyDescent="0.15">
      <c r="A7" s="143">
        <v>6</v>
      </c>
      <c r="B7" s="143" t="s">
        <v>197</v>
      </c>
      <c r="C7" s="8">
        <v>3.535614013671875</v>
      </c>
      <c r="D7" s="9">
        <v>0.40000000596046448</v>
      </c>
      <c r="E7" s="9">
        <v>8.3000001907348633</v>
      </c>
      <c r="F7" s="9">
        <v>32</v>
      </c>
      <c r="G7" s="9">
        <v>0.91424697637557983</v>
      </c>
      <c r="H7" s="9">
        <v>0.25937500596046448</v>
      </c>
      <c r="I7">
        <v>1.9999999552965164E-2</v>
      </c>
      <c r="J7"/>
    </row>
    <row r="8" spans="1:10" ht="15" customHeight="1" x14ac:dyDescent="0.15">
      <c r="A8" s="144">
        <v>7</v>
      </c>
      <c r="B8" s="144" t="s">
        <v>198</v>
      </c>
      <c r="C8" s="8">
        <v>2.4210526943206787</v>
      </c>
      <c r="D8" s="9">
        <v>2.5999999046325684</v>
      </c>
      <c r="E8" s="9">
        <v>5.5</v>
      </c>
      <c r="F8" s="9">
        <v>28</v>
      </c>
      <c r="G8" s="9">
        <v>0.92007684707641602</v>
      </c>
      <c r="H8" s="9">
        <v>0.1964285671710968</v>
      </c>
      <c r="I8">
        <v>0.15000000596046448</v>
      </c>
      <c r="J8"/>
    </row>
    <row r="9" spans="1:10" ht="15" customHeight="1" x14ac:dyDescent="0.15">
      <c r="A9" s="145">
        <v>8</v>
      </c>
      <c r="B9" s="145" t="s">
        <v>199</v>
      </c>
      <c r="C9" s="8">
        <v>3.6291630268096924</v>
      </c>
      <c r="D9" s="9">
        <v>0.5</v>
      </c>
      <c r="E9" s="9">
        <v>0.80000001192092896</v>
      </c>
      <c r="F9" s="9">
        <v>7.3000001907348633</v>
      </c>
      <c r="G9" s="9">
        <v>0.94260001182556152</v>
      </c>
      <c r="H9" s="9">
        <v>0.10958904027938843</v>
      </c>
      <c r="I9">
        <v>0.20000000298023224</v>
      </c>
      <c r="J9"/>
    </row>
    <row r="10" spans="1:10" ht="15" customHeight="1" x14ac:dyDescent="0.15">
      <c r="A10" s="146">
        <v>9</v>
      </c>
      <c r="B10" s="146" t="s">
        <v>200</v>
      </c>
      <c r="C10" s="8">
        <v>3.0296039581298828</v>
      </c>
      <c r="D10" s="9">
        <v>1.2999999523162842</v>
      </c>
      <c r="E10" s="9">
        <v>2.2999999523162842</v>
      </c>
      <c r="F10" s="9">
        <v>12</v>
      </c>
      <c r="G10" s="9">
        <v>0.93242812156677246</v>
      </c>
      <c r="H10" s="9">
        <v>0.19166666269302368</v>
      </c>
      <c r="I10">
        <v>1</v>
      </c>
      <c r="J10"/>
    </row>
    <row r="11" spans="1:10" ht="15" customHeight="1" x14ac:dyDescent="0.15">
      <c r="A11" s="147">
        <v>10</v>
      </c>
      <c r="B11" s="147" t="s">
        <v>201</v>
      </c>
      <c r="C11" s="8">
        <v>3.0948536396026611</v>
      </c>
      <c r="D11" s="9">
        <v>0.77999997138977051</v>
      </c>
      <c r="E11" s="9">
        <v>1.7999999523162842</v>
      </c>
      <c r="F11" s="9">
        <v>7.5</v>
      </c>
      <c r="G11" s="9">
        <v>0.93927353620529175</v>
      </c>
      <c r="H11" s="9">
        <v>0.23999999463558197</v>
      </c>
      <c r="I11">
        <v>0.20000000298023224</v>
      </c>
      <c r="J11"/>
    </row>
    <row r="12" spans="1:10" ht="15" customHeight="1" x14ac:dyDescent="0.15">
      <c r="A12" s="148">
        <v>11</v>
      </c>
      <c r="B12" s="148" t="s">
        <v>202</v>
      </c>
      <c r="C12" s="8">
        <v>3.5007719993591309</v>
      </c>
      <c r="D12" s="9">
        <v>0.5</v>
      </c>
      <c r="E12" s="9">
        <v>0.89999997615814209</v>
      </c>
      <c r="F12" s="9">
        <v>4</v>
      </c>
      <c r="G12" s="9">
        <v>0.92000001668930054</v>
      </c>
      <c r="H12" s="9">
        <v>0.22499999403953552</v>
      </c>
      <c r="I12">
        <v>0.30000001192092896</v>
      </c>
      <c r="J12"/>
    </row>
    <row r="13" spans="1:10" ht="15" customHeight="1" x14ac:dyDescent="0.15">
      <c r="A13" s="149">
        <v>12</v>
      </c>
      <c r="B13" s="149" t="s">
        <v>203</v>
      </c>
      <c r="C13" s="8">
        <v>3.6722793579101562</v>
      </c>
      <c r="D13" s="9">
        <v>0.40000000596046448</v>
      </c>
      <c r="E13" s="9">
        <v>0.94999998807907104</v>
      </c>
      <c r="F13" s="9">
        <v>4.3000001907348633</v>
      </c>
      <c r="G13" s="9">
        <v>0.96152627468109131</v>
      </c>
      <c r="H13" s="9">
        <v>0.22093021869659424</v>
      </c>
      <c r="I13">
        <v>0.20000000298023224</v>
      </c>
      <c r="J13"/>
    </row>
    <row r="14" spans="1:10" ht="15" customHeight="1" x14ac:dyDescent="0.15">
      <c r="A14" s="150">
        <v>13</v>
      </c>
      <c r="B14" s="150" t="s">
        <v>204</v>
      </c>
      <c r="C14" s="8">
        <v>3.6410477161407471</v>
      </c>
      <c r="D14" s="9">
        <v>0.18999999761581421</v>
      </c>
      <c r="E14" s="9">
        <v>1</v>
      </c>
      <c r="F14" s="9">
        <v>7</v>
      </c>
      <c r="G14" s="9">
        <v>0.98147368431091309</v>
      </c>
      <c r="H14" s="9">
        <v>0.1428571492433548</v>
      </c>
      <c r="I14">
        <v>0.10000000149011612</v>
      </c>
      <c r="J14"/>
    </row>
    <row r="15" spans="1:10" ht="15" customHeight="1" x14ac:dyDescent="0.15">
      <c r="A15" s="151">
        <v>14</v>
      </c>
      <c r="B15" s="151" t="s">
        <v>205</v>
      </c>
      <c r="C15" s="8">
        <v>3.6252188682556152</v>
      </c>
      <c r="D15" s="9">
        <v>0.30000001192092896</v>
      </c>
      <c r="E15" s="9">
        <v>0.60000002384185791</v>
      </c>
      <c r="F15" s="9">
        <v>4</v>
      </c>
      <c r="G15" s="9">
        <v>0.96333324909210205</v>
      </c>
      <c r="H15" s="9">
        <v>0.15000000596046448</v>
      </c>
      <c r="I15">
        <v>0.11999999731779099</v>
      </c>
      <c r="J15"/>
    </row>
    <row r="16" spans="1:10" ht="15" customHeight="1" x14ac:dyDescent="0.15">
      <c r="A16" s="152">
        <v>15</v>
      </c>
      <c r="B16" s="152" t="s">
        <v>206</v>
      </c>
      <c r="C16" s="8">
        <v>3.8990087509155273</v>
      </c>
      <c r="D16" s="9">
        <v>9.0000003576278687E-2</v>
      </c>
      <c r="E16" s="9">
        <v>0.60000002384185791</v>
      </c>
      <c r="F16" s="9">
        <v>2.7999999523162842</v>
      </c>
      <c r="G16" s="9">
        <v>0.95407396554946899</v>
      </c>
      <c r="H16" s="9">
        <v>0.21428573131561279</v>
      </c>
      <c r="I16">
        <v>3.9999999105930328E-2</v>
      </c>
      <c r="J16"/>
    </row>
    <row r="17" spans="1:10" ht="15" customHeight="1" x14ac:dyDescent="0.15">
      <c r="A17" s="153">
        <v>16</v>
      </c>
      <c r="B17" s="153" t="s">
        <v>207</v>
      </c>
      <c r="C17" s="8">
        <v>3.8442971706390381</v>
      </c>
      <c r="D17" s="9">
        <v>0.15999999642372131</v>
      </c>
      <c r="E17" s="9">
        <v>0.75</v>
      </c>
      <c r="F17" s="9">
        <v>3.5999999046325684</v>
      </c>
      <c r="G17" s="9">
        <v>0.99233335256576538</v>
      </c>
      <c r="H17" s="9">
        <v>0.2083333432674408</v>
      </c>
      <c r="I17">
        <v>0.10000000149011612</v>
      </c>
      <c r="J17"/>
    </row>
    <row r="18" spans="1:10" ht="15" customHeight="1" x14ac:dyDescent="0.15">
      <c r="A18" s="154">
        <v>17</v>
      </c>
      <c r="B18" s="154" t="s">
        <v>208</v>
      </c>
      <c r="C18" s="8">
        <v>2.0964913368225098</v>
      </c>
      <c r="D18" s="9">
        <v>0.34999999403953552</v>
      </c>
      <c r="E18" s="9">
        <v>30</v>
      </c>
      <c r="F18" s="9">
        <v>150</v>
      </c>
      <c r="G18" s="9">
        <v>0.98961913585662842</v>
      </c>
      <c r="H18" s="9">
        <v>0.20000000298023224</v>
      </c>
      <c r="I18">
        <v>0</v>
      </c>
      <c r="J18"/>
    </row>
    <row r="19" spans="1:10" ht="15" customHeight="1" x14ac:dyDescent="0.15">
      <c r="A19" s="155">
        <v>18</v>
      </c>
      <c r="B19" s="155" t="s">
        <v>209</v>
      </c>
      <c r="C19" s="8">
        <v>2.0105264186859131</v>
      </c>
      <c r="D19" s="9">
        <v>12</v>
      </c>
      <c r="E19" s="9">
        <v>4</v>
      </c>
      <c r="F19" s="9">
        <v>25</v>
      </c>
      <c r="G19" s="9">
        <v>0.45855623483657837</v>
      </c>
      <c r="H19" s="9">
        <v>0.15999999642372131</v>
      </c>
      <c r="I19">
        <v>5.000000074505806E-2</v>
      </c>
      <c r="J19"/>
    </row>
    <row r="20" spans="1:10" ht="15" customHeight="1" x14ac:dyDescent="0.15">
      <c r="A20" s="156">
        <v>19</v>
      </c>
      <c r="B20" s="156" t="s">
        <v>210</v>
      </c>
      <c r="C20" s="8">
        <v>3.0471751689910889</v>
      </c>
      <c r="D20" s="9">
        <v>0.5</v>
      </c>
      <c r="E20" s="9">
        <v>2</v>
      </c>
      <c r="F20" s="9">
        <v>11</v>
      </c>
      <c r="G20" s="9">
        <v>0.88690006732940674</v>
      </c>
      <c r="H20" s="9">
        <v>0.18181818723678589</v>
      </c>
      <c r="I20">
        <v>0.10000000149011612</v>
      </c>
      <c r="J20"/>
    </row>
    <row r="21" spans="1:10" ht="15" customHeight="1" x14ac:dyDescent="0.15">
      <c r="A21" s="157">
        <v>20</v>
      </c>
      <c r="B21" s="157" t="s">
        <v>211</v>
      </c>
      <c r="C21" s="8">
        <v>3.3526694774627686</v>
      </c>
      <c r="D21" s="9">
        <v>5.000000074505806E-2</v>
      </c>
      <c r="E21" s="9">
        <v>0.15000000596046448</v>
      </c>
      <c r="F21" s="9">
        <v>65</v>
      </c>
      <c r="G21" s="7">
        <v>0</v>
      </c>
      <c r="H21" s="9">
        <v>2.3076923098415136E-3</v>
      </c>
      <c r="I21">
        <v>0</v>
      </c>
      <c r="J21"/>
    </row>
    <row r="22" spans="1:10" ht="15" customHeight="1" x14ac:dyDescent="0.15">
      <c r="A22" s="158">
        <v>21</v>
      </c>
      <c r="B22" s="158" t="s">
        <v>212</v>
      </c>
      <c r="C22" s="8">
        <v>1</v>
      </c>
      <c r="D22" s="9">
        <v>1</v>
      </c>
      <c r="E22" s="10"/>
      <c r="F22" s="10"/>
      <c r="G22" s="7">
        <v>0.33604967594146729</v>
      </c>
      <c r="H22" s="10"/>
      <c r="I22">
        <v>0</v>
      </c>
      <c r="J22"/>
    </row>
    <row r="23" spans="1:10" ht="15" customHeight="1" x14ac:dyDescent="0.15">
      <c r="A23" s="159">
        <v>22</v>
      </c>
      <c r="B23" s="159" t="s">
        <v>213</v>
      </c>
      <c r="C23" s="8">
        <v>1</v>
      </c>
      <c r="D23" s="9">
        <v>5</v>
      </c>
      <c r="E23" s="10"/>
      <c r="F23" s="10"/>
      <c r="G23" s="7">
        <v>0</v>
      </c>
      <c r="H23" s="10"/>
      <c r="I23">
        <v>0</v>
      </c>
      <c r="J23"/>
    </row>
    <row r="24" spans="1:10" ht="15" customHeight="1" x14ac:dyDescent="0.15">
      <c r="A24" s="160">
        <v>23</v>
      </c>
      <c r="B24" s="160" t="s">
        <v>214</v>
      </c>
      <c r="C24" s="8">
        <v>4.0652894973754883</v>
      </c>
      <c r="D24" s="10"/>
      <c r="E24" s="10"/>
      <c r="F24" s="10"/>
      <c r="G24" s="10"/>
      <c r="H24" s="10"/>
      <c r="I24">
        <v>3.3799996376037598</v>
      </c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180</v>
      </c>
      <c r="C2">
        <v>61.495006561279297</v>
      </c>
      <c r="D2"/>
      <c r="E2"/>
      <c r="F2"/>
      <c r="G2"/>
      <c r="H2" s="232">
        <v>80</v>
      </c>
      <c r="I2"/>
      <c r="J2"/>
      <c r="K2" s="63">
        <v>7.2800002098083496</v>
      </c>
      <c r="L2"/>
      <c r="M2"/>
      <c r="N2"/>
      <c r="O2"/>
      <c r="P2"/>
      <c r="Q2"/>
      <c r="R2"/>
      <c r="S2"/>
      <c r="T2"/>
      <c r="U2" s="22">
        <v>1.2250000238418579</v>
      </c>
      <c r="V2" s="231">
        <v>30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120</v>
      </c>
      <c r="C3">
        <v>7.9799938201904297</v>
      </c>
      <c r="D3"/>
      <c r="E3"/>
      <c r="F3"/>
      <c r="G3"/>
      <c r="H3"/>
      <c r="I3" s="67">
        <v>8.4000005722045898</v>
      </c>
      <c r="J3"/>
      <c r="K3"/>
      <c r="L3"/>
      <c r="M3" s="25">
        <v>3.119999885559082</v>
      </c>
      <c r="N3"/>
      <c r="O3"/>
      <c r="P3"/>
      <c r="Q3"/>
      <c r="R3"/>
      <c r="S3"/>
      <c r="T3"/>
      <c r="U3" s="188">
        <v>10.5</v>
      </c>
      <c r="V3" s="230">
        <v>90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0.2199999988079071</v>
      </c>
      <c r="C4">
        <v>0.12175000458955765</v>
      </c>
      <c r="D4"/>
      <c r="E4"/>
      <c r="F4"/>
      <c r="G4"/>
      <c r="H4"/>
      <c r="I4" s="226">
        <v>4.2000003159046173E-2</v>
      </c>
      <c r="J4"/>
      <c r="K4"/>
      <c r="L4"/>
      <c r="M4"/>
      <c r="N4"/>
      <c r="O4"/>
      <c r="P4"/>
      <c r="Q4"/>
      <c r="R4"/>
      <c r="S4"/>
      <c r="T4"/>
      <c r="U4" s="132">
        <v>2.6249999180436134E-2</v>
      </c>
      <c r="V4" s="224">
        <v>2.9999999329447746E-2</v>
      </c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40</v>
      </c>
      <c r="C5">
        <v>19.986747741699219</v>
      </c>
      <c r="D5"/>
      <c r="E5"/>
      <c r="F5"/>
      <c r="G5"/>
      <c r="H5" s="222">
        <v>8</v>
      </c>
      <c r="I5" s="71">
        <v>2.625</v>
      </c>
      <c r="J5" s="12">
        <v>0.16000001132488251</v>
      </c>
      <c r="K5" s="102">
        <v>7.2799997329711914</v>
      </c>
      <c r="L5" s="14">
        <v>0.10949999839067459</v>
      </c>
      <c r="M5" s="15">
        <v>0.38999998569488525</v>
      </c>
      <c r="N5"/>
      <c r="O5"/>
      <c r="P5" s="11">
        <v>2.1500000730156898E-2</v>
      </c>
      <c r="Q5"/>
      <c r="R5" s="11">
        <v>2.1000001579523087E-2</v>
      </c>
      <c r="S5"/>
      <c r="T5"/>
      <c r="U5" s="16">
        <v>0.65625</v>
      </c>
      <c r="V5" s="20">
        <v>0.75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6</v>
      </c>
      <c r="C6">
        <v>0.52640032768249512</v>
      </c>
      <c r="D6" s="188">
        <v>0.53333336114883423</v>
      </c>
      <c r="E6"/>
      <c r="F6"/>
      <c r="G6"/>
      <c r="H6"/>
      <c r="I6"/>
      <c r="J6" s="223">
        <v>1.7066668272018433</v>
      </c>
      <c r="K6"/>
      <c r="L6" s="207">
        <v>0.14599999785423279</v>
      </c>
      <c r="M6" s="221">
        <v>1.247999906539917</v>
      </c>
      <c r="N6" s="217">
        <v>0.66666668653488159</v>
      </c>
      <c r="O6" s="62">
        <v>0.13333334028720856</v>
      </c>
      <c r="P6" s="20">
        <v>0.11466667056083679</v>
      </c>
      <c r="Q6" s="136">
        <v>0.17733334004878998</v>
      </c>
      <c r="R6" s="22">
        <v>3.9999999105930328E-2</v>
      </c>
      <c r="S6" s="14">
        <v>8.39999970048666E-3</v>
      </c>
      <c r="T6" s="12">
        <v>1.9199999049305916E-2</v>
      </c>
      <c r="U6"/>
      <c r="V6"/>
      <c r="W6" s="65">
        <v>0.55000001192092896</v>
      </c>
      <c r="X6" s="62">
        <v>0.12999999523162842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8.3000001907348633</v>
      </c>
      <c r="C7">
        <v>0.7117500901222229</v>
      </c>
      <c r="D7" s="22">
        <v>4.9999997019767761E-2</v>
      </c>
      <c r="E7"/>
      <c r="F7"/>
      <c r="G7"/>
      <c r="H7"/>
      <c r="I7"/>
      <c r="J7" s="218">
        <v>3.2000002861022949</v>
      </c>
      <c r="K7"/>
      <c r="L7" s="214">
        <v>1.8250000476837158</v>
      </c>
      <c r="M7" s="72">
        <v>1.1699998378753662</v>
      </c>
      <c r="N7"/>
      <c r="O7" s="137">
        <v>0.5</v>
      </c>
      <c r="P7" s="25">
        <v>0.21500000357627869</v>
      </c>
      <c r="Q7"/>
      <c r="R7" s="19">
        <v>0.14999999105930328</v>
      </c>
      <c r="S7"/>
      <c r="T7" s="21">
        <v>7.1999996900558472E-2</v>
      </c>
      <c r="U7"/>
      <c r="V7"/>
      <c r="W7"/>
      <c r="X7" s="210">
        <v>0.40625002980232239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5.5</v>
      </c>
      <c r="C8">
        <v>0.43957734107971191</v>
      </c>
      <c r="D8" s="15">
        <v>5.7692311704158783E-2</v>
      </c>
      <c r="E8"/>
      <c r="F8"/>
      <c r="G8"/>
      <c r="H8"/>
      <c r="I8"/>
      <c r="J8" s="229">
        <v>3.2000000476837158</v>
      </c>
      <c r="K8"/>
      <c r="L8" s="220">
        <v>0.70192313194274902</v>
      </c>
      <c r="M8"/>
      <c r="N8" s="19">
        <v>9.6153847873210907E-2</v>
      </c>
      <c r="O8" s="23">
        <v>0.15384615957736969</v>
      </c>
      <c r="P8" s="62">
        <v>0.1190769374370575</v>
      </c>
      <c r="Q8" s="19">
        <v>0.10230769962072372</v>
      </c>
      <c r="R8" s="21">
        <v>4.6153847128152847E-2</v>
      </c>
      <c r="S8" s="14">
        <v>9.6923084929585457E-3</v>
      </c>
      <c r="T8" s="14">
        <v>1.1076923459768295E-2</v>
      </c>
      <c r="U8"/>
      <c r="V8"/>
      <c r="W8"/>
      <c r="X8" s="219">
        <v>0.5625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0.80000001192092896</v>
      </c>
      <c r="C9">
        <v>4.5919992029666901E-2</v>
      </c>
      <c r="D9" s="189">
        <v>0.40000000596046448</v>
      </c>
      <c r="E9"/>
      <c r="F9"/>
      <c r="G9"/>
      <c r="H9"/>
      <c r="I9"/>
      <c r="J9"/>
      <c r="K9"/>
      <c r="L9"/>
      <c r="M9"/>
      <c r="N9"/>
      <c r="O9"/>
      <c r="P9" s="211">
        <v>0.34400001168251038</v>
      </c>
      <c r="Q9"/>
      <c r="R9"/>
      <c r="S9" s="18">
        <v>1.0080000385642052E-2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2.2999999523162842</v>
      </c>
      <c r="C10">
        <v>0.15541531145572662</v>
      </c>
      <c r="D10" s="190">
        <v>0.76923078298568726</v>
      </c>
      <c r="E10"/>
      <c r="F10"/>
      <c r="G10"/>
      <c r="H10"/>
      <c r="I10"/>
      <c r="J10"/>
      <c r="K10"/>
      <c r="L10" s="207">
        <v>5.6153848767280579E-2</v>
      </c>
      <c r="M10"/>
      <c r="N10"/>
      <c r="O10" s="205">
        <v>0.30769231915473938</v>
      </c>
      <c r="P10" s="208">
        <v>0.19846156239509583</v>
      </c>
      <c r="Q10" s="188">
        <v>0.20461539924144745</v>
      </c>
      <c r="R10" s="209">
        <v>9.2307694256305695E-2</v>
      </c>
      <c r="S10" s="17">
        <v>3.1015386804938316E-2</v>
      </c>
      <c r="T10" s="23">
        <v>6.2030769884586334E-2</v>
      </c>
      <c r="U10"/>
      <c r="V10"/>
      <c r="W10" s="212">
        <v>0.42307695746421814</v>
      </c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1.7999999523162842</v>
      </c>
      <c r="C11">
        <v>0.10930763185024261</v>
      </c>
      <c r="D11" s="191">
        <v>0.25641027092933655</v>
      </c>
      <c r="E11"/>
      <c r="F11"/>
      <c r="G11"/>
      <c r="H11"/>
      <c r="I11"/>
      <c r="J11"/>
      <c r="K11"/>
      <c r="L11"/>
      <c r="M11" s="216">
        <v>1</v>
      </c>
      <c r="N11"/>
      <c r="O11"/>
      <c r="P11" s="137">
        <v>0.11025641858577728</v>
      </c>
      <c r="Q11" s="27">
        <v>8.5256412625312805E-2</v>
      </c>
      <c r="R11" s="208">
        <v>0.15384615957736969</v>
      </c>
      <c r="S11" s="17">
        <v>2.5846155360341072E-2</v>
      </c>
      <c r="T11" s="203">
        <v>5.907692015171051E-2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0.89999997615814209</v>
      </c>
      <c r="C12">
        <v>7.1999981999397278E-2</v>
      </c>
      <c r="D12" s="192">
        <v>0.60000002384185791</v>
      </c>
      <c r="E12"/>
      <c r="F12"/>
      <c r="G12"/>
      <c r="H12"/>
      <c r="I12"/>
      <c r="J12"/>
      <c r="K12"/>
      <c r="L12"/>
      <c r="M12"/>
      <c r="N12"/>
      <c r="O12"/>
      <c r="P12"/>
      <c r="Q12"/>
      <c r="R12" s="205">
        <v>0.11999999731779099</v>
      </c>
      <c r="S12" s="200">
        <v>5.0400000065565109E-2</v>
      </c>
      <c r="T12" s="71">
        <v>5.7599999010562897E-2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0.94999998807907104</v>
      </c>
      <c r="C13">
        <v>3.6550037562847137E-2</v>
      </c>
      <c r="D13" s="193">
        <v>0.5</v>
      </c>
      <c r="E13"/>
      <c r="F13"/>
      <c r="G13"/>
      <c r="H13"/>
      <c r="I13"/>
      <c r="J13"/>
      <c r="K13"/>
      <c r="L13"/>
      <c r="M13"/>
      <c r="N13"/>
      <c r="O13"/>
      <c r="P13"/>
      <c r="Q13" s="206">
        <v>0.16625000536441803</v>
      </c>
      <c r="R13" s="204">
        <v>0.14999999105930328</v>
      </c>
      <c r="S13" s="23">
        <v>2.5200000032782555E-2</v>
      </c>
      <c r="T13" s="26">
        <v>7.1999996900558472E-2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</v>
      </c>
      <c r="C14">
        <v>1.8526315689086914E-2</v>
      </c>
      <c r="D14" s="193">
        <v>0.52631580829620361</v>
      </c>
      <c r="E14"/>
      <c r="F14"/>
      <c r="G14"/>
      <c r="H14"/>
      <c r="I14"/>
      <c r="J14"/>
      <c r="K14"/>
      <c r="L14"/>
      <c r="M14"/>
      <c r="N14"/>
      <c r="O14"/>
      <c r="P14" s="202">
        <v>0.18105264008045197</v>
      </c>
      <c r="Q14"/>
      <c r="R14" s="199">
        <v>0.12631578743457794</v>
      </c>
      <c r="S14" s="23">
        <v>2.6526317000389099E-2</v>
      </c>
      <c r="T14" s="198">
        <v>0.12126315385103226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0.60000002384185791</v>
      </c>
      <c r="C15">
        <v>2.2000052034854889E-2</v>
      </c>
      <c r="D15" s="192">
        <v>0.39999997615814209</v>
      </c>
      <c r="E15"/>
      <c r="F15"/>
      <c r="G15"/>
      <c r="H15"/>
      <c r="I15"/>
      <c r="J15"/>
      <c r="K15"/>
      <c r="L15"/>
      <c r="M15"/>
      <c r="N15"/>
      <c r="O15"/>
      <c r="P15"/>
      <c r="Q15"/>
      <c r="R15" s="101">
        <v>3.9999999105930328E-2</v>
      </c>
      <c r="S15" s="67">
        <v>4.1999999433755875E-2</v>
      </c>
      <c r="T15" s="201">
        <v>9.599999338388443E-2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0.60000002384185791</v>
      </c>
      <c r="C16">
        <v>2.7555622160434723E-2</v>
      </c>
      <c r="D16" s="194">
        <v>0.44444441795349121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196">
        <v>0.12799999117851257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0.75</v>
      </c>
      <c r="C17">
        <v>5.7499855756759644E-3</v>
      </c>
      <c r="D17" s="195">
        <v>0.625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s="64">
        <v>4.7249998897314072E-2</v>
      </c>
      <c r="T17" s="197">
        <v>7.1999996900558472E-2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30</v>
      </c>
      <c r="C18">
        <v>0.31142592430114746</v>
      </c>
      <c r="D18"/>
      <c r="E18"/>
      <c r="F18"/>
      <c r="G18"/>
      <c r="H18"/>
      <c r="I18" s="227">
        <v>18</v>
      </c>
      <c r="J18"/>
      <c r="K18"/>
      <c r="L18"/>
      <c r="M18" s="215">
        <v>2.2285714149475098</v>
      </c>
      <c r="N18" s="207">
        <v>0.71428573131561279</v>
      </c>
      <c r="O18"/>
      <c r="P18" s="21">
        <v>0.24571429193019867</v>
      </c>
      <c r="Q18"/>
      <c r="R18"/>
      <c r="S18"/>
      <c r="T18"/>
      <c r="U18" s="222">
        <v>6</v>
      </c>
      <c r="V18"/>
      <c r="W18" s="213">
        <v>1.571428656578064</v>
      </c>
      <c r="X18" s="24">
        <v>0.92857152223587036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4</v>
      </c>
      <c r="C19">
        <v>2.1657750606536865</v>
      </c>
      <c r="D19" s="14">
        <v>4.1666668839752674E-3</v>
      </c>
      <c r="E19"/>
      <c r="F19"/>
      <c r="G19"/>
      <c r="H19"/>
      <c r="I19" s="188">
        <v>0.35000002384185791</v>
      </c>
      <c r="J19"/>
      <c r="K19"/>
      <c r="L19" s="12">
        <v>1.5208333730697632E-2</v>
      </c>
      <c r="M19" s="228">
        <v>0.64999997615814209</v>
      </c>
      <c r="N19" s="225">
        <v>0.3333333432674408</v>
      </c>
      <c r="O19" s="19">
        <v>6.6666670143604279E-2</v>
      </c>
      <c r="P19" s="21">
        <v>2.8666667640209198E-2</v>
      </c>
      <c r="Q19" s="22">
        <v>2.2166667506098747E-2</v>
      </c>
      <c r="R19" s="21">
        <v>3.5000000149011612E-2</v>
      </c>
      <c r="S19" s="14">
        <v>4.19999985024333E-3</v>
      </c>
      <c r="T19" s="12">
        <v>1.4400000683963299E-2</v>
      </c>
      <c r="U19"/>
      <c r="V19"/>
      <c r="W19" s="200">
        <v>0.2291666716337204</v>
      </c>
      <c r="X19" s="20">
        <v>8.1250004470348358E-2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</v>
      </c>
      <c r="C20">
        <v>0.22619986534118652</v>
      </c>
      <c r="D20" s="133">
        <v>0.20000000298023224</v>
      </c>
      <c r="E20"/>
      <c r="F20"/>
      <c r="G20"/>
      <c r="H20"/>
      <c r="I20"/>
      <c r="J20"/>
      <c r="K20"/>
      <c r="L20" s="102">
        <v>0.36500000953674316</v>
      </c>
      <c r="M20"/>
      <c r="N20" s="133">
        <v>0.20000000298023224</v>
      </c>
      <c r="O20"/>
      <c r="P20" s="208">
        <v>0.17200000584125519</v>
      </c>
      <c r="Q20" s="205">
        <v>0.26600000262260437</v>
      </c>
      <c r="R20" s="137">
        <v>0.11999999731779099</v>
      </c>
      <c r="S20" s="13">
        <v>7.5600005686283112E-2</v>
      </c>
      <c r="T20" s="200">
        <v>0.11519999802112579</v>
      </c>
      <c r="U20"/>
      <c r="V20"/>
      <c r="W20"/>
      <c r="X20" s="131">
        <v>0.25999999046325684</v>
      </c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0.15000000596046448</v>
      </c>
      <c r="C21">
        <v>0.15000000596046448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0.33604967594146729</v>
      </c>
      <c r="D22"/>
      <c r="E22"/>
      <c r="F22"/>
      <c r="G22"/>
      <c r="H22" s="9">
        <v>128</v>
      </c>
      <c r="I22" s="9">
        <v>12.600000381469727</v>
      </c>
      <c r="J22"/>
      <c r="K22"/>
      <c r="L22"/>
      <c r="M22" s="9">
        <v>0.77999997138977051</v>
      </c>
      <c r="N22" s="9">
        <v>0.25</v>
      </c>
      <c r="O22"/>
      <c r="P22"/>
      <c r="Q22"/>
      <c r="R22"/>
      <c r="S22"/>
      <c r="T22"/>
      <c r="U22" s="9">
        <v>32.549999237060547</v>
      </c>
      <c r="V22" s="9">
        <v>69</v>
      </c>
      <c r="W22" s="9">
        <v>0.82500004768371582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80" t="s">
        <v>192</v>
      </c>
      <c r="E5">
        <v>4</v>
      </c>
      <c r="F5">
        <v>2</v>
      </c>
      <c r="G5">
        <v>4</v>
      </c>
      <c r="H5" s="181" t="s">
        <v>192</v>
      </c>
      <c r="J5" s="55"/>
      <c r="K5" s="56"/>
    </row>
    <row r="6" spans="1:12" ht="14" thickBot="1" x14ac:dyDescent="0.2">
      <c r="A6" s="39" t="s">
        <v>121</v>
      </c>
      <c r="D6" s="180" t="s">
        <v>193</v>
      </c>
      <c r="E6">
        <v>5</v>
      </c>
      <c r="F6">
        <v>2</v>
      </c>
      <c r="G6">
        <v>5</v>
      </c>
      <c r="H6" s="181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80" t="s">
        <v>194</v>
      </c>
      <c r="E7">
        <v>6</v>
      </c>
      <c r="F7">
        <v>2</v>
      </c>
      <c r="G7">
        <v>6</v>
      </c>
      <c r="H7" s="181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80" t="s">
        <v>195</v>
      </c>
      <c r="E8">
        <v>7</v>
      </c>
      <c r="F8">
        <v>3.11</v>
      </c>
      <c r="G8">
        <v>7</v>
      </c>
      <c r="H8" s="181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80" t="s">
        <v>196</v>
      </c>
      <c r="E9">
        <v>8</v>
      </c>
      <c r="F9">
        <v>3</v>
      </c>
      <c r="G9">
        <v>8</v>
      </c>
      <c r="H9" s="181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80" t="s">
        <v>197</v>
      </c>
      <c r="E10">
        <v>9</v>
      </c>
      <c r="F10">
        <v>3.12</v>
      </c>
      <c r="G10">
        <v>9</v>
      </c>
      <c r="H10" s="181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80" t="s">
        <v>198</v>
      </c>
      <c r="E11">
        <v>10</v>
      </c>
      <c r="F11">
        <v>3.12</v>
      </c>
      <c r="G11">
        <v>10</v>
      </c>
      <c r="H11" s="181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80" t="s">
        <v>199</v>
      </c>
      <c r="E12">
        <v>11</v>
      </c>
      <c r="F12">
        <v>3.12</v>
      </c>
      <c r="G12">
        <v>11</v>
      </c>
      <c r="H12" s="181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80" t="s">
        <v>200</v>
      </c>
      <c r="E13">
        <v>12</v>
      </c>
      <c r="F13">
        <v>3.22</v>
      </c>
      <c r="G13">
        <v>12</v>
      </c>
      <c r="H13" s="181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80" t="s">
        <v>201</v>
      </c>
      <c r="E14">
        <v>13</v>
      </c>
      <c r="F14">
        <v>3.22</v>
      </c>
      <c r="G14">
        <v>13</v>
      </c>
      <c r="H14" s="181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80" t="s">
        <v>202</v>
      </c>
      <c r="E15">
        <v>14</v>
      </c>
      <c r="F15">
        <v>3.22</v>
      </c>
      <c r="G15">
        <v>14</v>
      </c>
      <c r="H15" s="181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80" t="s">
        <v>203</v>
      </c>
      <c r="E16">
        <v>15</v>
      </c>
      <c r="F16">
        <v>3.22</v>
      </c>
      <c r="G16">
        <v>15</v>
      </c>
      <c r="H16" s="181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80" t="s">
        <v>204</v>
      </c>
      <c r="E17">
        <v>16</v>
      </c>
      <c r="F17">
        <v>3.22</v>
      </c>
      <c r="G17">
        <v>16</v>
      </c>
      <c r="H17" s="181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80" t="s">
        <v>205</v>
      </c>
      <c r="E18">
        <v>17</v>
      </c>
      <c r="F18">
        <v>3.22</v>
      </c>
      <c r="G18">
        <v>17</v>
      </c>
      <c r="H18" s="181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80" t="s">
        <v>206</v>
      </c>
      <c r="E19">
        <v>18</v>
      </c>
      <c r="F19">
        <v>3.12</v>
      </c>
      <c r="G19">
        <v>18</v>
      </c>
      <c r="H19" s="181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80" t="s">
        <v>207</v>
      </c>
      <c r="E20">
        <v>19</v>
      </c>
      <c r="F20">
        <v>3.22</v>
      </c>
      <c r="G20">
        <v>19</v>
      </c>
      <c r="H20" s="181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80" t="s">
        <v>208</v>
      </c>
      <c r="E21">
        <v>20</v>
      </c>
      <c r="F21">
        <v>3.2</v>
      </c>
      <c r="G21">
        <v>20</v>
      </c>
      <c r="H21" s="181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80" t="s">
        <v>209</v>
      </c>
      <c r="E22">
        <v>21</v>
      </c>
      <c r="F22">
        <v>3.2</v>
      </c>
      <c r="G22">
        <v>21</v>
      </c>
      <c r="H22" s="181" t="s">
        <v>209</v>
      </c>
    </row>
    <row r="23" spans="1:12" x14ac:dyDescent="0.15">
      <c r="A23" s="34" t="s">
        <v>129</v>
      </c>
      <c r="B23" s="42">
        <v>4</v>
      </c>
      <c r="C23" s="36"/>
      <c r="D23" s="180" t="s">
        <v>210</v>
      </c>
      <c r="E23">
        <v>22</v>
      </c>
      <c r="F23">
        <v>3.21</v>
      </c>
      <c r="G23">
        <v>22</v>
      </c>
      <c r="H23" s="181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80" t="s">
        <v>211</v>
      </c>
      <c r="E24">
        <v>23</v>
      </c>
      <c r="F24">
        <v>3.13</v>
      </c>
      <c r="G24">
        <v>23</v>
      </c>
      <c r="H24" s="181" t="s">
        <v>211</v>
      </c>
    </row>
    <row r="25" spans="1:12" x14ac:dyDescent="0.15">
      <c r="A25" s="34" t="s">
        <v>70</v>
      </c>
      <c r="B25" s="42">
        <v>4.2</v>
      </c>
      <c r="C25" s="36"/>
      <c r="D25" s="180" t="s">
        <v>212</v>
      </c>
      <c r="E25">
        <v>24</v>
      </c>
      <c r="F25">
        <v>4.0999999999999996</v>
      </c>
      <c r="G25">
        <v>24</v>
      </c>
      <c r="H25" s="181" t="s">
        <v>212</v>
      </c>
    </row>
    <row r="26" spans="1:12" x14ac:dyDescent="0.15">
      <c r="A26" s="34" t="s">
        <v>123</v>
      </c>
      <c r="B26" s="42">
        <v>4.3</v>
      </c>
      <c r="C26" s="36"/>
      <c r="D26" s="180" t="s">
        <v>213</v>
      </c>
      <c r="E26">
        <v>25</v>
      </c>
      <c r="F26">
        <v>4.3</v>
      </c>
      <c r="G26">
        <v>25</v>
      </c>
      <c r="H26" s="181" t="s">
        <v>213</v>
      </c>
    </row>
    <row r="27" spans="1:12" x14ac:dyDescent="0.15">
      <c r="A27" s="34" t="s">
        <v>125</v>
      </c>
      <c r="B27" s="42">
        <v>6.1</v>
      </c>
      <c r="D27" s="180" t="s">
        <v>214</v>
      </c>
      <c r="E27">
        <v>26</v>
      </c>
      <c r="F27">
        <v>5</v>
      </c>
      <c r="G27">
        <v>26</v>
      </c>
      <c r="H27" s="181" t="s">
        <v>214</v>
      </c>
    </row>
    <row r="28" spans="1:12" x14ac:dyDescent="0.15">
      <c r="A28" s="34" t="s">
        <v>124</v>
      </c>
      <c r="B28" s="42">
        <v>6.2</v>
      </c>
      <c r="D28" s="180" t="s">
        <v>138</v>
      </c>
      <c r="E28">
        <v>27</v>
      </c>
      <c r="F28">
        <v>6.1</v>
      </c>
      <c r="G28">
        <v>27</v>
      </c>
      <c r="H28" s="181" t="s">
        <v>138</v>
      </c>
    </row>
    <row r="29" spans="1:12" x14ac:dyDescent="0.15">
      <c r="A29" s="34" t="s">
        <v>44</v>
      </c>
      <c r="B29" s="42">
        <v>5</v>
      </c>
      <c r="D29" s="180" t="s">
        <v>45</v>
      </c>
      <c r="E29">
        <v>28</v>
      </c>
      <c r="F29">
        <v>6.2</v>
      </c>
      <c r="G29">
        <v>28</v>
      </c>
      <c r="H29" s="181" t="s">
        <v>45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169</v>
      </c>
      <c r="B31" s="42">
        <v>3.14</v>
      </c>
    </row>
    <row r="32" spans="1:12" ht="12" customHeight="1" thickBot="1" x14ac:dyDescent="0.2">
      <c r="A32" s="40" t="s">
        <v>170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7" style="78" bestFit="1" customWidth="1"/>
    <col min="2" max="2" width="13.83203125" style="77" customWidth="1"/>
    <col min="3" max="3" width="17" style="77" customWidth="1"/>
    <col min="4" max="4" width="5.33203125" style="77" customWidth="1"/>
    <col min="5" max="5" width="13.83203125" style="77" customWidth="1"/>
    <col min="6" max="6" width="21.66406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8" customWidth="1"/>
    <col min="17" max="17" width="2.33203125" style="77" customWidth="1"/>
    <col min="18" max="18" width="2.33203125" style="69" customWidth="1"/>
    <col min="19" max="16384" width="11.5" style="77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79" t="s">
        <v>48</v>
      </c>
      <c r="L1" s="69"/>
      <c r="M1" s="79" t="s">
        <v>119</v>
      </c>
      <c r="N1" s="69"/>
      <c r="O1" s="79" t="s">
        <v>49</v>
      </c>
      <c r="P1" s="70"/>
      <c r="Q1" s="79" t="s">
        <v>50</v>
      </c>
      <c r="R1" s="66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4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4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82" t="s">
        <v>192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1</v>
      </c>
      <c r="N6" s="77">
        <v>0</v>
      </c>
      <c r="O6" s="77">
        <v>0</v>
      </c>
      <c r="P6" s="68">
        <v>0</v>
      </c>
      <c r="Q6" s="77">
        <v>0</v>
      </c>
      <c r="R6" s="69">
        <v>1</v>
      </c>
      <c r="S6"/>
      <c r="T6"/>
    </row>
    <row r="7" spans="1:23" ht="15" customHeight="1" thickBot="1" x14ac:dyDescent="0.2">
      <c r="F7" s="182" t="s">
        <v>193</v>
      </c>
      <c r="G7" s="77">
        <v>0</v>
      </c>
      <c r="H7" s="77">
        <v>0</v>
      </c>
      <c r="I7" s="77">
        <v>0</v>
      </c>
      <c r="J7" s="77">
        <v>0</v>
      </c>
      <c r="K7" s="77">
        <v>0</v>
      </c>
      <c r="L7" s="77">
        <v>0</v>
      </c>
      <c r="M7" s="77">
        <v>1</v>
      </c>
      <c r="N7" s="77">
        <v>0</v>
      </c>
      <c r="O7" s="77">
        <v>0</v>
      </c>
      <c r="P7" s="68">
        <v>0</v>
      </c>
      <c r="Q7" s="77">
        <v>0</v>
      </c>
      <c r="R7" s="69">
        <v>1</v>
      </c>
      <c r="S7"/>
      <c r="T7"/>
    </row>
    <row r="8" spans="1:23" ht="15" customHeight="1" x14ac:dyDescent="0.15">
      <c r="A8" s="79" t="s">
        <v>56</v>
      </c>
      <c r="B8" s="86">
        <v>0.92943201376936313</v>
      </c>
      <c r="C8" s="183" t="s">
        <v>192</v>
      </c>
      <c r="D8" s="81" t="s">
        <v>160</v>
      </c>
      <c r="F8" s="182" t="s">
        <v>194</v>
      </c>
      <c r="G8" s="77">
        <v>0</v>
      </c>
      <c r="H8" s="77">
        <v>0</v>
      </c>
      <c r="I8" s="77">
        <v>0</v>
      </c>
      <c r="J8" s="77">
        <v>0</v>
      </c>
      <c r="K8" s="77">
        <v>0</v>
      </c>
      <c r="L8" s="77">
        <v>0</v>
      </c>
      <c r="M8" s="77">
        <v>1</v>
      </c>
      <c r="N8" s="77">
        <v>0</v>
      </c>
      <c r="O8" s="77">
        <v>0</v>
      </c>
      <c r="P8" s="68">
        <v>0</v>
      </c>
      <c r="Q8" s="77">
        <v>0</v>
      </c>
      <c r="R8" s="69">
        <v>1</v>
      </c>
      <c r="S8"/>
      <c r="T8"/>
      <c r="W8"/>
    </row>
    <row r="9" spans="1:23" ht="15" customHeight="1" x14ac:dyDescent="0.15">
      <c r="A9" s="118" t="s">
        <v>168</v>
      </c>
      <c r="B9" s="88">
        <v>5.163511187607573E-2</v>
      </c>
      <c r="C9" s="183" t="s">
        <v>193</v>
      </c>
      <c r="D9" s="81" t="s">
        <v>160</v>
      </c>
      <c r="F9" s="182" t="s">
        <v>195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8">
        <v>0</v>
      </c>
      <c r="Q9" s="77">
        <v>0</v>
      </c>
      <c r="R9" s="69">
        <v>1</v>
      </c>
      <c r="S9"/>
      <c r="T9"/>
      <c r="W9"/>
    </row>
    <row r="10" spans="1:23" ht="15" customHeight="1" x14ac:dyDescent="0.15">
      <c r="B10" s="88">
        <v>1.8932874354561102E-2</v>
      </c>
      <c r="C10" s="183" t="s">
        <v>194</v>
      </c>
      <c r="D10" s="81" t="s">
        <v>160</v>
      </c>
      <c r="F10" s="182" t="s">
        <v>196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8">
        <v>0</v>
      </c>
      <c r="Q10" s="77">
        <v>0</v>
      </c>
      <c r="R10" s="69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82" t="s">
        <v>197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8">
        <v>0</v>
      </c>
      <c r="Q11" s="77">
        <v>0</v>
      </c>
      <c r="R11" s="69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82" t="s">
        <v>198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8">
        <v>0</v>
      </c>
      <c r="Q12" s="77">
        <v>0</v>
      </c>
      <c r="R12" s="69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82" t="s">
        <v>199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8">
        <v>0</v>
      </c>
      <c r="Q13" s="77">
        <v>0</v>
      </c>
      <c r="R13" s="69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82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8">
        <v>0</v>
      </c>
      <c r="Q14" s="77">
        <v>0</v>
      </c>
      <c r="R14" s="69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82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8">
        <v>0</v>
      </c>
      <c r="Q15" s="77">
        <v>0</v>
      </c>
      <c r="R15" s="69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82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8">
        <v>0</v>
      </c>
      <c r="Q16" s="77">
        <v>0</v>
      </c>
      <c r="R16" s="69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82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8">
        <v>0</v>
      </c>
      <c r="Q17" s="77">
        <v>0</v>
      </c>
      <c r="R17" s="69">
        <v>1</v>
      </c>
      <c r="S17"/>
      <c r="T17"/>
    </row>
    <row r="18" spans="1:20" ht="15" customHeight="1" thickBot="1" x14ac:dyDescent="0.2">
      <c r="B18" s="89"/>
      <c r="F18" s="182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8">
        <v>0</v>
      </c>
      <c r="Q18" s="77">
        <v>0</v>
      </c>
      <c r="R18" s="69">
        <v>1</v>
      </c>
      <c r="S18"/>
      <c r="T18"/>
    </row>
    <row r="19" spans="1:20" ht="15" customHeight="1" x14ac:dyDescent="0.15">
      <c r="A19" s="79" t="s">
        <v>57</v>
      </c>
      <c r="B19" s="86">
        <v>0.92943201376936313</v>
      </c>
      <c r="C19" s="184" t="s">
        <v>192</v>
      </c>
      <c r="D19" s="81" t="s">
        <v>160</v>
      </c>
      <c r="F19" s="182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8">
        <v>0</v>
      </c>
      <c r="Q19" s="77">
        <v>0</v>
      </c>
      <c r="R19" s="69">
        <v>1</v>
      </c>
      <c r="S19"/>
      <c r="T19"/>
    </row>
    <row r="20" spans="1:20" ht="15" customHeight="1" x14ac:dyDescent="0.15">
      <c r="A20" s="118" t="s">
        <v>168</v>
      </c>
      <c r="B20" s="88">
        <v>5.163511187607573E-2</v>
      </c>
      <c r="C20" s="184" t="s">
        <v>193</v>
      </c>
      <c r="D20" s="81" t="s">
        <v>160</v>
      </c>
      <c r="F20" s="182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8">
        <v>0</v>
      </c>
      <c r="Q20" s="77">
        <v>0</v>
      </c>
      <c r="R20" s="69">
        <v>1</v>
      </c>
      <c r="S20"/>
      <c r="T20"/>
    </row>
    <row r="21" spans="1:20" ht="15" customHeight="1" x14ac:dyDescent="0.15">
      <c r="B21" s="88">
        <v>1.8932874354561102E-2</v>
      </c>
      <c r="C21" s="184" t="s">
        <v>194</v>
      </c>
      <c r="D21" s="81" t="s">
        <v>160</v>
      </c>
      <c r="F21" s="182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8">
        <v>0</v>
      </c>
      <c r="Q21" s="77">
        <v>0</v>
      </c>
      <c r="R21" s="69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82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8">
        <v>0</v>
      </c>
      <c r="Q22" s="77">
        <v>0</v>
      </c>
      <c r="R22" s="69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82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1</v>
      </c>
      <c r="L23" s="77">
        <v>0</v>
      </c>
      <c r="M23" s="77">
        <v>1</v>
      </c>
      <c r="N23" s="77">
        <v>0</v>
      </c>
      <c r="O23" s="77">
        <v>1</v>
      </c>
      <c r="P23" s="68">
        <v>0</v>
      </c>
      <c r="Q23" s="77">
        <v>0</v>
      </c>
      <c r="R23" s="69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82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1</v>
      </c>
      <c r="L24" s="77">
        <v>0</v>
      </c>
      <c r="M24" s="77">
        <v>1</v>
      </c>
      <c r="N24" s="77">
        <v>0</v>
      </c>
      <c r="O24" s="77">
        <v>1</v>
      </c>
      <c r="P24" s="68">
        <v>0</v>
      </c>
      <c r="Q24" s="77">
        <v>0</v>
      </c>
      <c r="R24" s="69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82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1</v>
      </c>
      <c r="L25" s="77">
        <v>0</v>
      </c>
      <c r="M25" s="77">
        <v>1</v>
      </c>
      <c r="N25" s="77">
        <v>0</v>
      </c>
      <c r="O25" s="77">
        <v>1</v>
      </c>
      <c r="P25" s="68">
        <v>0</v>
      </c>
      <c r="Q25" s="77">
        <v>0</v>
      </c>
      <c r="R25" s="69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82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0</v>
      </c>
      <c r="L26" s="77">
        <v>1</v>
      </c>
      <c r="M26" s="77">
        <v>0</v>
      </c>
      <c r="N26" s="77">
        <v>1</v>
      </c>
      <c r="O26" s="77">
        <v>0</v>
      </c>
      <c r="P26" s="68">
        <v>1</v>
      </c>
      <c r="Q26" s="77">
        <v>0</v>
      </c>
      <c r="R26" s="69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82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0</v>
      </c>
      <c r="L27" s="77">
        <v>1</v>
      </c>
      <c r="M27" s="77">
        <v>0</v>
      </c>
      <c r="N27" s="77">
        <v>1</v>
      </c>
      <c r="O27" s="77">
        <v>0</v>
      </c>
      <c r="P27" s="68">
        <v>1</v>
      </c>
      <c r="Q27" s="77">
        <v>0</v>
      </c>
      <c r="R27" s="69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82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0</v>
      </c>
      <c r="L28" s="77">
        <v>1</v>
      </c>
      <c r="M28" s="77">
        <v>0</v>
      </c>
      <c r="N28" s="77">
        <v>0</v>
      </c>
      <c r="O28" s="77">
        <v>0</v>
      </c>
      <c r="P28" s="68">
        <v>0</v>
      </c>
      <c r="Q28" s="77">
        <v>0</v>
      </c>
      <c r="R28" s="69">
        <v>1</v>
      </c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9"/>
      <c r="B31" s="128" t="s">
        <v>17</v>
      </c>
      <c r="C31" s="128" t="s">
        <v>1</v>
      </c>
      <c r="D31" s="128" t="s">
        <v>161</v>
      </c>
      <c r="E31" s="12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5" t="s">
        <v>192</v>
      </c>
      <c r="B32" s="89">
        <v>6</v>
      </c>
      <c r="C32" s="89">
        <v>180</v>
      </c>
      <c r="D32" s="89">
        <v>1080</v>
      </c>
      <c r="E32" s="120">
        <v>0.92943201376936313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5" t="s">
        <v>193</v>
      </c>
      <c r="B33" s="89">
        <v>0.5</v>
      </c>
      <c r="C33" s="89">
        <v>120</v>
      </c>
      <c r="D33" s="89">
        <v>60</v>
      </c>
      <c r="E33" s="120">
        <v>5.163511187607573E-2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85" t="s">
        <v>194</v>
      </c>
      <c r="B34" s="89">
        <v>100</v>
      </c>
      <c r="C34" s="89">
        <v>0.22</v>
      </c>
      <c r="D34" s="89">
        <v>22</v>
      </c>
      <c r="E34" s="120">
        <v>1.8932874354561102E-2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1"/>
      <c r="B35" s="89"/>
      <c r="C35" s="89"/>
      <c r="D35" s="89"/>
      <c r="E35" s="12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2"/>
      <c r="B36" s="89"/>
      <c r="C36" s="89"/>
      <c r="D36" s="89"/>
      <c r="E36" s="12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2"/>
      <c r="B37" s="89"/>
      <c r="C37" s="89"/>
      <c r="D37" s="89"/>
      <c r="E37" s="12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3"/>
      <c r="B38" s="89"/>
      <c r="C38" s="89"/>
      <c r="D38" s="89"/>
      <c r="E38" s="12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3"/>
      <c r="B39" s="89"/>
      <c r="C39" s="89"/>
      <c r="D39" s="89"/>
      <c r="E39" s="12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3"/>
      <c r="B40" s="89"/>
      <c r="C40" s="89"/>
      <c r="D40" s="89"/>
      <c r="E40" s="12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3"/>
      <c r="B41" s="89"/>
      <c r="C41" s="89"/>
      <c r="D41" s="90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162</v>
      </c>
      <c r="D42" s="126">
        <f>SUM(D32:D41)</f>
        <v>1162</v>
      </c>
      <c r="E42" s="12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4" customWidth="1"/>
    <col min="3" max="5" width="7.83203125" style="104" customWidth="1"/>
    <col min="6" max="8" width="8.83203125" style="6"/>
    <col min="9" max="9" width="13.1640625" style="6" customWidth="1"/>
    <col min="10" max="10" width="17" style="6" customWidth="1"/>
    <col min="11" max="11" width="10.1640625" style="6" customWidth="1"/>
    <col min="12" max="12" width="11.33203125" style="6" customWidth="1"/>
    <col min="13" max="13" width="7.1640625" style="6" customWidth="1"/>
    <col min="14" max="14" width="7" style="6" customWidth="1"/>
    <col min="15" max="15" width="13.5" style="6" customWidth="1"/>
    <col min="16" max="16" width="21.33203125" style="6" customWidth="1"/>
    <col min="17" max="17" width="17.5" style="6" customWidth="1"/>
    <col min="18" max="18" width="7.33203125" style="6" customWidth="1"/>
    <col min="19" max="19" width="7" style="6" customWidth="1"/>
    <col min="20" max="20" width="21.33203125" style="6" customWidth="1"/>
    <col min="21" max="21" width="9.1640625" style="6" customWidth="1"/>
    <col min="22" max="22" width="13.5" style="6" customWidth="1"/>
    <col min="23" max="23" width="18" style="6" customWidth="1"/>
    <col min="24" max="24" width="17.5" style="6" customWidth="1"/>
    <col min="25" max="25" width="12.1640625" style="6" customWidth="1"/>
    <col min="26" max="26" width="10.5" style="6" customWidth="1"/>
    <col min="27" max="27" width="14.5" style="6" customWidth="1"/>
    <col min="28" max="28" width="14.33203125" style="6" customWidth="1"/>
    <col min="29" max="29" width="21.1640625" style="6" customWidth="1"/>
    <col min="30" max="30" width="21.6640625" style="6" customWidth="1"/>
    <col min="31" max="31" width="6.5" style="6" customWidth="1"/>
    <col min="32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7" t="s">
        <v>192</v>
      </c>
      <c r="J1" s="187" t="s">
        <v>193</v>
      </c>
      <c r="K1" s="187" t="s">
        <v>194</v>
      </c>
      <c r="L1" s="187" t="s">
        <v>195</v>
      </c>
      <c r="M1" s="187" t="s">
        <v>196</v>
      </c>
      <c r="N1" s="187" t="s">
        <v>197</v>
      </c>
      <c r="O1" s="187" t="s">
        <v>198</v>
      </c>
      <c r="P1" s="187" t="s">
        <v>199</v>
      </c>
      <c r="Q1" s="187" t="s">
        <v>200</v>
      </c>
      <c r="R1" s="187" t="s">
        <v>201</v>
      </c>
      <c r="S1" s="187" t="s">
        <v>202</v>
      </c>
      <c r="T1" s="187" t="s">
        <v>203</v>
      </c>
      <c r="U1" s="187" t="s">
        <v>204</v>
      </c>
      <c r="V1" s="187" t="s">
        <v>205</v>
      </c>
      <c r="W1" s="187" t="s">
        <v>206</v>
      </c>
      <c r="X1" s="187" t="s">
        <v>207</v>
      </c>
      <c r="Y1" s="187" t="s">
        <v>208</v>
      </c>
      <c r="Z1" s="187" t="s">
        <v>209</v>
      </c>
      <c r="AA1" s="187" t="s">
        <v>210</v>
      </c>
      <c r="AB1" s="187" t="s">
        <v>211</v>
      </c>
      <c r="AC1" s="187" t="s">
        <v>212</v>
      </c>
      <c r="AD1" s="187" t="s">
        <v>213</v>
      </c>
      <c r="AE1" s="187" t="s">
        <v>214</v>
      </c>
      <c r="AF1"/>
      <c r="AG1"/>
      <c r="AH1"/>
      <c r="AI1"/>
      <c r="AJ1"/>
      <c r="AK1"/>
      <c r="AL1"/>
    </row>
    <row r="2" spans="1:38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6" t="s">
        <v>192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6" t="s">
        <v>193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6" t="s">
        <v>194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6" t="s">
        <v>195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6" t="s">
        <v>196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6" t="s">
        <v>197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6" t="s">
        <v>198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6" t="s">
        <v>199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6" t="s">
        <v>200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6" t="s">
        <v>201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6" t="s">
        <v>202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6" t="s">
        <v>203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6" t="s">
        <v>204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6" t="s">
        <v>205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6" t="s">
        <v>206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6" t="s">
        <v>207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6" t="s">
        <v>208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6" t="s">
        <v>209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6" t="s">
        <v>210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6" t="s">
        <v>211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6" t="s">
        <v>212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6" t="s">
        <v>213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6" t="s">
        <v>214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2022-10-23T22:53:53Z</dcterms:modified>
</cp:coreProperties>
</file>