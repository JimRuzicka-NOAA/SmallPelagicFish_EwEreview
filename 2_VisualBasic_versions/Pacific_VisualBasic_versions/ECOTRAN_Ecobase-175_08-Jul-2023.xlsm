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Pacific/Pacific_ECOTRAN_K-path_versions/"/>
    </mc:Choice>
  </mc:AlternateContent>
  <xr:revisionPtr revIDLastSave="0" documentId="13_ncr:1_{B2EB37E1-037A-EB47-BF73-A69019235ED0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Main!$C$2:$N$38</definedName>
    <definedName name="matDetritus">Detritus!$C$2:$F$38</definedName>
    <definedName name="matDiet">Diets!$B$2:$AH$38</definedName>
    <definedName name="matDiscards">Discards!$C$2:$C$37</definedName>
    <definedName name="matFishery">Fishing!$C$2:$C$37</definedName>
    <definedName name="matFishing">Fishing!#REF!</definedName>
    <definedName name="matMort">Mortalities!$A$1:$AN$37</definedName>
    <definedName name="matOut">MainOutputs!$A$2:$I$38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2" i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" i="3"/>
  <c r="H30" i="3"/>
  <c r="H16" i="3"/>
  <c r="H17" i="3"/>
  <c r="H18" i="3"/>
  <c r="H19" i="3"/>
  <c r="H15" i="3"/>
  <c r="H32" i="3"/>
  <c r="H33" i="3"/>
  <c r="H34" i="3"/>
  <c r="H35" i="3"/>
  <c r="H36" i="3"/>
  <c r="H37" i="3"/>
  <c r="H31" i="3"/>
  <c r="H21" i="3"/>
  <c r="H22" i="3"/>
  <c r="H23" i="3"/>
  <c r="H24" i="3"/>
  <c r="H25" i="3"/>
  <c r="H26" i="3"/>
  <c r="H27" i="3"/>
  <c r="H28" i="3"/>
  <c r="H29" i="3"/>
  <c r="H20" i="3"/>
  <c r="H3" i="3"/>
  <c r="H4" i="3"/>
  <c r="H5" i="3"/>
  <c r="H6" i="3"/>
  <c r="H7" i="3"/>
  <c r="H8" i="3"/>
  <c r="H9" i="3"/>
  <c r="H10" i="3"/>
  <c r="H11" i="3"/>
  <c r="H12" i="3"/>
  <c r="H13" i="3"/>
  <c r="H14" i="3"/>
  <c r="H2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2" i="2"/>
  <c r="D2" i="2" s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H19" i="2"/>
  <c r="H18" i="2"/>
  <c r="C42" i="78" l="1"/>
  <c r="D42" i="78"/>
  <c r="E42" i="78"/>
  <c r="F42" i="78"/>
  <c r="G42" i="78"/>
  <c r="H42" i="78"/>
  <c r="I42" i="78"/>
  <c r="J42" i="78"/>
  <c r="K42" i="78"/>
  <c r="L42" i="78"/>
  <c r="M42" i="78"/>
  <c r="N42" i="78"/>
  <c r="O42" i="78"/>
  <c r="P42" i="78"/>
  <c r="Q42" i="78"/>
  <c r="R42" i="78"/>
  <c r="S42" i="78"/>
  <c r="T42" i="78"/>
  <c r="U42" i="78"/>
  <c r="V42" i="78"/>
  <c r="W42" i="78"/>
  <c r="X42" i="78"/>
  <c r="Y42" i="78"/>
  <c r="Z42" i="78"/>
  <c r="AA42" i="78"/>
  <c r="AB42" i="78"/>
  <c r="AC42" i="78"/>
  <c r="AD42" i="78"/>
  <c r="AE42" i="78"/>
  <c r="AF42" i="78"/>
  <c r="AG42" i="78"/>
  <c r="AH42" i="78"/>
  <c r="AI42" i="78"/>
  <c r="AJ42" i="78"/>
  <c r="AK42" i="78"/>
  <c r="B42" i="78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<sst xmlns="http://schemas.openxmlformats.org/spreadsheetml/2006/main" count="1068" uniqueCount="240">
  <si>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</si>
  <si>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</si>
  <si>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</si>
  <si>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</si>
  <si>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</si>
  <si>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</si>
  <si>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</si>
  <si>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</si>
  <si>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</si>
  <si>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</si>
  <si>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</si>
  <si>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</si>
  <si>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</si>
  <si>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</si>
  <si>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</si>
  <si>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</si>
  <si>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</si>
  <si>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</si>
  <si>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</si>
  <si>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</si>
  <si>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</si>
  <si>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</si>
  <si>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</si>
  <si>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</si>
  <si>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</si>
  <si>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</si>
  <si>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</si>
  <si>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</si>
  <si>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</si>
  <si>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</si>
  <si>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</si>
  <si>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</si>
  <si>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</si>
  <si>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</si>
  <si>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</si>
  <si>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</si>
  <si>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</si>
  <si>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</si>
  <si>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</si>
  <si>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</si>
  <si>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</si>
  <si>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</si>
  <si>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</si>
  <si>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</si>
  <si>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</si>
  <si>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</si>
  <si>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</si>
  <si>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</si>
  <si>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</si>
  <si>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</si>
  <si>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</si>
  <si>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</si>
  <si>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</si>
  <si>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</si>
  <si>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</si>
  <si>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</si>
  <si>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</si>
  <si>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</si>
  <si>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</si>
  <si>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</si>
  <si>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</si>
  <si>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</si>
  <si>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</si>
  <si>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</si>
  <si>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</si>
  <si>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</si>
  <si>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</si>
  <si>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</si>
  <si>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</si>
  <si>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</si>
  <si>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</si>
  <si>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</si>
  <si>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</si>
  <si>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</si>
  <si>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</si>
  <si>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</si>
  <si>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</si>
  <si>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</si>
  <si>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</si>
  <si>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</si>
  <si>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</si>
  <si>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</si>
  <si>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</si>
  <si>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</si>
  <si>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</si>
  <si>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</si>
  <si>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</si>
  <si>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</si>
  <si>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</si>
  <si>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</si>
  <si>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</si>
  <si>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</si>
  <si>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</si>
  <si>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</si>
  <si>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</si>
  <si>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</si>
  <si>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</si>
  <si>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</si>
  <si>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</si>
  <si>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</si>
  <si>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</si>
  <si>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</si>
  <si>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</si>
  <si>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</si>
  <si>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</si>
  <si>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</si>
  <si>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</si>
  <si>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</si>
  <si>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</si>
  <si>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</si>
  <si>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</si>
  <si>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</si>
  <si>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</si>
  <si>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</si>
  <si>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</si>
  <si>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</si>
  <si>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</si>
  <si>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</si>
  <si>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</si>
  <si>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</si>
  <si>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</si>
  <si>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</si>
  <si>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</si>
  <si>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</si>
  <si>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</si>
  <si>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</si>
  <si>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</si>
  <si>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</si>
  <si>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</si>
  <si>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</si>
  <si>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</si>
  <si>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</si>
  <si>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</si>
  <si>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</si>
  <si>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</si>
  <si>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</si>
  <si>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</si>
  <si>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</si>
  <si>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</si>
  <si>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</si>
  <si>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</si>
  <si>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</si>
  <si>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</si>
  <si>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</si>
  <si>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</si>
  <si>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</si>
  <si>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</si>
  <si>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</si>
  <si>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</si>
  <si>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</si>
  <si>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</si>
  <si>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</si>
  <si>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</si>
  <si>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</si>
  <si>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</si>
  <si>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</si>
  <si>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</si>
  <si>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</si>
  <si>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</si>
  <si>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</si>
  <si>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</si>
  <si>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</si>
  <si>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</si>
  <si>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</si>
  <si>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</si>
  <si>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</si>
  <si>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</si>
  <si>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</si>
  <si>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</si>
  <si>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</si>
  <si>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</si>
  <si>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</si>
  <si>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</si>
  <si>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</si>
  <si>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</si>
  <si>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</si>
  <si>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</si>
  <si>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</si>
  <si>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</si>
  <si>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</si>
  <si>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</si>
  <si>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</si>
  <si>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</si>
  <si>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</si>
  <si>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</si>
  <si>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Western Bering Sea</t>
  </si>
  <si>
    <t>Russian federation</t>
  </si>
  <si>
    <t>BOX(161.543769078866 56.0741807616871,191.152175099448 66.6682241520987)</t>
  </si>
  <si>
    <t>continental shelf</t>
  </si>
  <si>
    <t>WetWeight</t>
  </si>
  <si>
    <t>Created: 18/04/2006 10:01:15 a.m.; 18/04/2006 10:01:35 a.m.; 18/04/2006 10:06:22 a.m.; 18/04/2006 10:06:50 a.m.; 19/04/2006 09:17:49 p.m.; 17/07/2006 08:01:23 p.m.; 17/07/2006 08:04:07 p.m.; 17/07/2006 08:20:59 p.m.; 17/07/2006 08:27:02 p.m.</t>
  </si>
  <si>
    <t>Aydin K.Y.,Lapko V.V.,Radchenko V.I.,Livingston P.A.(2002). A comparison of the eastern Bering and western Bering Sea shelf and slope ecosystems through the use of mass-balance food web models NOAA Technical Memorandum</t>
  </si>
  <si>
    <t>Baleen whales</t>
  </si>
  <si>
    <t>Toothed whales</t>
  </si>
  <si>
    <t>Sperm whales</t>
  </si>
  <si>
    <t>Walrus&amp;amp; bearded seals</t>
  </si>
  <si>
    <t>Seals</t>
  </si>
  <si>
    <t>Steller sea lions</t>
  </si>
  <si>
    <t>Seabirds</t>
  </si>
  <si>
    <t>Adult pollock</t>
  </si>
  <si>
    <t>Juvenile pollock</t>
  </si>
  <si>
    <t>Pacific cod</t>
  </si>
  <si>
    <t>P.halibut</t>
  </si>
  <si>
    <t>Greenland turbot</t>
  </si>
  <si>
    <t>Arrowtooth flounder</t>
  </si>
  <si>
    <t>Small flatfish</t>
  </si>
  <si>
    <t>Skates</t>
  </si>
  <si>
    <t>Sculpins&amp;amp; Rockfish</t>
  </si>
  <si>
    <t>Macrouridae</t>
  </si>
  <si>
    <t>Zoarcidae</t>
  </si>
  <si>
    <t>Tanner crab</t>
  </si>
  <si>
    <t>Snow crab</t>
  </si>
  <si>
    <t>King crab</t>
  </si>
  <si>
    <t>Shrimp</t>
  </si>
  <si>
    <t>Epifauna</t>
  </si>
  <si>
    <t>Infauna</t>
  </si>
  <si>
    <t>Benthic amphipods</t>
  </si>
  <si>
    <t>Pacific herring</t>
  </si>
  <si>
    <t>Pacific salmon</t>
  </si>
  <si>
    <t>Cephalopods</t>
  </si>
  <si>
    <t>Forage fish</t>
  </si>
  <si>
    <t>Jellyfish</t>
  </si>
  <si>
    <t>Large Zooplankton</t>
  </si>
  <si>
    <t>Copepods</t>
  </si>
  <si>
    <t>Phytoplankton</t>
  </si>
  <si>
    <t>Pelagic detritus</t>
  </si>
  <si>
    <t>Benthic detritus</t>
  </si>
  <si>
    <t>Detrital pool</t>
  </si>
  <si>
    <t>Fleet1</t>
  </si>
  <si>
    <t>Import</t>
  </si>
  <si>
    <t>export</t>
  </si>
  <si>
    <t>sum</t>
  </si>
  <si>
    <t>TOTAL</t>
  </si>
  <si>
    <t>sum---&gt;&gt;&gt;</t>
  </si>
  <si>
    <t>F Fleet1</t>
  </si>
  <si>
    <t>original catch entries--&gt;&gt;</t>
  </si>
  <si>
    <t>landings fraction--&gt;&gt;</t>
  </si>
  <si>
    <t>&lt;&lt;--includes caepelin &amp; myctophids</t>
  </si>
  <si>
    <t>values in black are specified in paper</t>
  </si>
  <si>
    <t>values in red are assumed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</si>
</sst>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4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13" fillId="0" borderId="0" xfId="0" applyNumberFormat="1" applyFo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8" fillId="93" borderId="0" xfId="0" applyFont="1" applyFill="1"/>
    <xf numFmtId="0" fontId="8" fillId="0" borderId="0" xfId="0" applyFont="1" applyAlignment="1">
      <alignment horizontal="right"/>
    </xf>
    <xf numFmtId="0" fontId="0" fillId="94" borderId="0" xfId="0" applyFill="1"/>
    <xf numFmtId="0" fontId="8" fillId="94" borderId="0" xfId="0" applyFont="1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8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44" t="s">
        <v>171</v>
      </c>
      <c r="C53" s="105">
        <v>175</v>
      </c>
      <c r="D53" s="105"/>
    </row>
    <row r="54" spans="2:4" x14ac:dyDescent="0.15">
      <c r="B54" s="144" t="s">
        <v>172</v>
      </c>
      <c r="C54" s="144" t="s">
        <v>185</v>
      </c>
      <c r="D54" s="105"/>
    </row>
    <row r="55" spans="2:4" x14ac:dyDescent="0.15">
      <c r="B55" s="144" t="s">
        <v>173</v>
      </c>
      <c r="C55" s="144" t="s">
        <v>186</v>
      </c>
      <c r="D55" s="105"/>
    </row>
    <row r="56" spans="2:4" x14ac:dyDescent="0.15">
      <c r="B56" s="144" t="s">
        <v>174</v>
      </c>
      <c r="C56" s="105">
        <v>254200</v>
      </c>
      <c r="D56" s="105"/>
    </row>
    <row r="57" spans="2:4" x14ac:dyDescent="0.15">
      <c r="B57" s="144" t="s">
        <v>175</v>
      </c>
      <c r="C57" s="144" t="s">
        <v>187</v>
      </c>
      <c r="D57" s="105"/>
    </row>
    <row r="58" spans="2:4" x14ac:dyDescent="0.15">
      <c r="B58" s="144" t="s">
        <v>176</v>
      </c>
      <c r="C58" s="144" t="s">
        <v>188</v>
      </c>
      <c r="D58" s="105"/>
    </row>
    <row r="59" spans="2:4" x14ac:dyDescent="0.15">
      <c r="B59" s="144" t="s">
        <v>177</v>
      </c>
      <c r="C59" s="144" t="s">
        <v>189</v>
      </c>
      <c r="D59" s="105"/>
    </row>
    <row r="60" spans="2:4" x14ac:dyDescent="0.15">
      <c r="B60" s="144" t="s">
        <v>178</v>
      </c>
      <c r="C60" s="144" t="s">
        <v>190</v>
      </c>
      <c r="D60" s="105"/>
    </row>
    <row r="61" spans="2:4" x14ac:dyDescent="0.15">
      <c r="B61" s="144" t="s">
        <v>179</v>
      </c>
      <c r="C61" s="105">
        <v>36</v>
      </c>
      <c r="D61" s="105"/>
    </row>
    <row r="62" spans="2:4" x14ac:dyDescent="0.15">
      <c r="B62" s="144" t="s">
        <v>180</v>
      </c>
      <c r="C62" s="105">
        <v>1</v>
      </c>
      <c r="D62" s="105"/>
    </row>
    <row r="63" spans="2:4" x14ac:dyDescent="0.15">
      <c r="B63" s="144" t="s">
        <v>181</v>
      </c>
      <c r="C63" s="105">
        <v>1981</v>
      </c>
      <c r="D63" s="105"/>
    </row>
    <row r="64" spans="2:4" x14ac:dyDescent="0.15">
      <c r="B64" s="144" t="s">
        <v>182</v>
      </c>
      <c r="C64" s="105">
        <v>9</v>
      </c>
      <c r="D64" s="105"/>
    </row>
    <row r="65" spans="2:4" x14ac:dyDescent="0.15">
      <c r="B65" s="144" t="s">
        <v>183</v>
      </c>
      <c r="C65" s="144" t="s">
        <v>191</v>
      </c>
      <c r="D65" s="105"/>
    </row>
    <row r="66" spans="2:4" x14ac:dyDescent="0.15">
      <c r="B66" s="144" t="s">
        <v>184</v>
      </c>
      <c r="D66" s="105"/>
    </row>
    <row r="67" spans="2:4" x14ac:dyDescent="0.15">
      <c r="B67" s="105"/>
      <c r="C67" s="105"/>
      <c r="D67" s="105"/>
    </row>
    <row r="68" spans="2:4" x14ac:dyDescent="0.15">
      <c r="B68" s="105"/>
      <c r="C68" s="105"/>
      <c r="D68" s="10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0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4.6640625" style="80" bestFit="1" customWidth="1"/>
    <col min="6" max="6" width="2.33203125" style="80" bestFit="1" customWidth="1"/>
    <col min="7" max="7" width="10.83203125" style="80" bestFit="1" customWidth="1"/>
    <col min="8" max="8" width="5.83203125" style="80" customWidth="1"/>
    <col min="9" max="9" width="6.83203125" style="80" customWidth="1"/>
    <col min="10" max="10" width="12.83203125" style="80" customWidth="1"/>
    <col min="11" max="11" width="13.83203125" style="80" customWidth="1"/>
    <col min="12" max="14" width="8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45" t="s">
        <v>192</v>
      </c>
      <c r="F2" s="80">
        <v>0</v>
      </c>
      <c r="G2" s="80">
        <v>0.39100000000000001</v>
      </c>
      <c r="H2" s="80">
        <v>0.02</v>
      </c>
      <c r="I2" s="6">
        <v>8.3119999999999994</v>
      </c>
      <c r="J2" s="6">
        <v>0.98913050000000002</v>
      </c>
      <c r="K2" s="6">
        <v>2.4061596500000002E-3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33</v>
      </c>
      <c r="C3" s="80">
        <v>2</v>
      </c>
      <c r="D3"/>
      <c r="E3" s="145" t="s">
        <v>193</v>
      </c>
      <c r="F3" s="80">
        <v>0</v>
      </c>
      <c r="G3" s="80">
        <v>4.2000000000000003E-2</v>
      </c>
      <c r="H3" s="80">
        <v>0.02</v>
      </c>
      <c r="I3" s="80">
        <v>17.5</v>
      </c>
      <c r="J3" s="80">
        <v>0</v>
      </c>
      <c r="K3" s="80">
        <v>1.1428571300000001E-3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3</v>
      </c>
      <c r="C4" s="80">
        <v>3</v>
      </c>
      <c r="D4"/>
      <c r="E4" s="145" t="s">
        <v>194</v>
      </c>
      <c r="F4" s="80">
        <v>0</v>
      </c>
      <c r="G4" s="80">
        <v>0.02</v>
      </c>
      <c r="H4" s="80">
        <v>0.02</v>
      </c>
      <c r="I4" s="80">
        <v>9.8000000000000007</v>
      </c>
      <c r="J4" s="80">
        <v>0</v>
      </c>
      <c r="K4" s="80">
        <v>2.0408162399999999E-3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0">
        <v>4</v>
      </c>
      <c r="D5"/>
      <c r="E5" s="145" t="s">
        <v>195</v>
      </c>
      <c r="F5" s="80">
        <v>0</v>
      </c>
      <c r="G5" s="80">
        <v>0.26200000000000001</v>
      </c>
      <c r="H5" s="80">
        <v>0.06</v>
      </c>
      <c r="I5" s="80">
        <v>13.9</v>
      </c>
      <c r="J5" s="80">
        <v>0.42843514700000002</v>
      </c>
      <c r="K5" s="80">
        <v>4.3165469999999996E-3</v>
      </c>
      <c r="L5" s="80">
        <v>0</v>
      </c>
      <c r="M5" s="80">
        <v>0.2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45" t="s">
        <v>196</v>
      </c>
      <c r="F6" s="80">
        <v>0</v>
      </c>
      <c r="G6" s="80">
        <v>9.7000000000000003E-2</v>
      </c>
      <c r="H6" s="80">
        <v>0.06</v>
      </c>
      <c r="I6" s="80">
        <v>13.34</v>
      </c>
      <c r="J6" s="80">
        <v>0.59621995699999997</v>
      </c>
      <c r="K6" s="80">
        <v>4.4977510000000004E-3</v>
      </c>
      <c r="L6" s="80">
        <v>0</v>
      </c>
      <c r="M6" s="80">
        <v>0.2</v>
      </c>
      <c r="N6" s="80">
        <v>0</v>
      </c>
      <c r="P6" s="70"/>
      <c r="Q6" s="70"/>
      <c r="R6" s="70"/>
      <c r="W6" s="34" t="s">
        <v>31</v>
      </c>
      <c r="X6" s="50">
        <f>MAX(MainOutputs!G:G)</f>
        <v>0.99448990821838379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275</v>
      </c>
      <c r="C7" s="80">
        <v>6</v>
      </c>
      <c r="D7"/>
      <c r="E7" s="145" t="s">
        <v>197</v>
      </c>
      <c r="F7" s="80">
        <v>0</v>
      </c>
      <c r="G7" s="80">
        <v>3.5000000000000003E-2</v>
      </c>
      <c r="H7" s="80">
        <v>0.06</v>
      </c>
      <c r="I7" s="80">
        <v>18</v>
      </c>
      <c r="J7" s="80">
        <v>0.350000054</v>
      </c>
      <c r="K7" s="80">
        <v>3.3333331800000001E-3</v>
      </c>
      <c r="L7" s="80">
        <v>0</v>
      </c>
      <c r="M7" s="80">
        <v>0.2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74</v>
      </c>
      <c r="C8" s="80">
        <v>7</v>
      </c>
      <c r="D8"/>
      <c r="E8" s="145" t="s">
        <v>198</v>
      </c>
      <c r="F8" s="80">
        <v>0</v>
      </c>
      <c r="G8" s="80">
        <v>0.01</v>
      </c>
      <c r="H8" s="80">
        <v>0.8</v>
      </c>
      <c r="I8" s="80">
        <v>87</v>
      </c>
      <c r="J8" s="80">
        <v>0</v>
      </c>
      <c r="K8" s="80">
        <v>9.1954020000000001E-3</v>
      </c>
      <c r="L8" s="80">
        <v>0</v>
      </c>
      <c r="M8" s="80">
        <v>0.2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45" t="s">
        <v>199</v>
      </c>
      <c r="F9" s="80">
        <v>0</v>
      </c>
      <c r="G9" s="80">
        <v>15</v>
      </c>
      <c r="H9" s="80">
        <v>0.5</v>
      </c>
      <c r="I9" s="80">
        <v>10</v>
      </c>
      <c r="J9" s="80">
        <v>0.9497487</v>
      </c>
      <c r="K9" s="80">
        <v>0.05</v>
      </c>
      <c r="L9" s="80">
        <v>0</v>
      </c>
      <c r="M9" s="80">
        <v>0.2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45" t="s">
        <v>200</v>
      </c>
      <c r="F10" s="80">
        <v>0</v>
      </c>
      <c r="G10" s="80">
        <v>3.7570000000000001</v>
      </c>
      <c r="H10" s="80">
        <v>2.5</v>
      </c>
      <c r="I10" s="80">
        <v>13</v>
      </c>
      <c r="J10" s="80">
        <v>0.48001527799999999</v>
      </c>
      <c r="K10" s="80">
        <v>0.1923077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45" t="s">
        <v>201</v>
      </c>
      <c r="F11" s="80">
        <v>0</v>
      </c>
      <c r="G11" s="80">
        <v>3.1869999999999998</v>
      </c>
      <c r="H11" s="80">
        <v>0.52100000000000002</v>
      </c>
      <c r="I11" s="80">
        <v>3.3</v>
      </c>
      <c r="J11" s="80">
        <v>0.35416138200000002</v>
      </c>
      <c r="K11" s="80">
        <v>0.15787880000000001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45" t="s">
        <v>202</v>
      </c>
      <c r="F12" s="80">
        <v>0</v>
      </c>
      <c r="G12" s="80">
        <v>8.3000000000000004E-2</v>
      </c>
      <c r="H12" s="80">
        <v>0.25</v>
      </c>
      <c r="I12" s="80">
        <v>3.5</v>
      </c>
      <c r="J12" s="80">
        <v>0.98781383</v>
      </c>
      <c r="K12" s="80">
        <v>7.1428574600000003E-2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45" t="s">
        <v>203</v>
      </c>
      <c r="F13" s="80">
        <v>0</v>
      </c>
      <c r="G13" s="80">
        <v>5.8000000000000003E-2</v>
      </c>
      <c r="H13" s="80">
        <v>0.2</v>
      </c>
      <c r="I13" s="80">
        <v>3.6</v>
      </c>
      <c r="J13" s="80">
        <v>0.94655173999999997</v>
      </c>
      <c r="K13" s="80">
        <v>5.5555559999999997E-2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45" t="s">
        <v>204</v>
      </c>
      <c r="F14" s="80">
        <v>0</v>
      </c>
      <c r="G14" s="80">
        <v>5.1999999999999998E-2</v>
      </c>
      <c r="H14" s="80">
        <v>0.32</v>
      </c>
      <c r="I14" s="80">
        <v>4.5</v>
      </c>
      <c r="J14" s="80">
        <v>0.88955146100000004</v>
      </c>
      <c r="K14" s="80">
        <v>7.1111110000000005E-2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45" t="s">
        <v>205</v>
      </c>
      <c r="F15" s="80">
        <v>0</v>
      </c>
      <c r="G15" s="80">
        <v>0.99199999999999999</v>
      </c>
      <c r="H15" s="80">
        <v>0.28799999999999998</v>
      </c>
      <c r="I15" s="80">
        <v>6.8490000000000002</v>
      </c>
      <c r="J15" s="80">
        <v>0.73974615300000002</v>
      </c>
      <c r="K15" s="80">
        <v>4.20499332E-2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45" t="s">
        <v>206</v>
      </c>
      <c r="F16" s="80">
        <v>0</v>
      </c>
      <c r="G16" s="80">
        <v>0.27100000000000002</v>
      </c>
      <c r="H16" s="80">
        <v>0.4</v>
      </c>
      <c r="I16" s="80">
        <v>4</v>
      </c>
      <c r="J16" s="80">
        <v>0.37822878399999998</v>
      </c>
      <c r="K16" s="80">
        <v>0.1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45" t="s">
        <v>207</v>
      </c>
      <c r="F17" s="80">
        <v>0</v>
      </c>
      <c r="G17" s="80">
        <v>0.67700000000000005</v>
      </c>
      <c r="H17" s="80">
        <v>0.4</v>
      </c>
      <c r="I17" s="80">
        <v>3.5</v>
      </c>
      <c r="J17" s="80">
        <v>0.944474339</v>
      </c>
      <c r="K17" s="80">
        <v>0.114285715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45" t="s">
        <v>208</v>
      </c>
      <c r="F18" s="80">
        <v>0</v>
      </c>
      <c r="G18" s="80">
        <v>1.1559999999999999</v>
      </c>
      <c r="H18" s="80">
        <v>0.3</v>
      </c>
      <c r="I18" s="80">
        <v>3.7</v>
      </c>
      <c r="J18" s="80">
        <v>0.67480099999999998</v>
      </c>
      <c r="K18" s="80">
        <v>8.1081084900000003E-2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45" t="s">
        <v>209</v>
      </c>
      <c r="F19" s="80">
        <v>0</v>
      </c>
      <c r="G19" s="80">
        <v>0.9</v>
      </c>
      <c r="H19" s="80">
        <v>0.3</v>
      </c>
      <c r="I19" s="80">
        <v>2.52</v>
      </c>
      <c r="J19" s="80">
        <v>0.98806510000000003</v>
      </c>
      <c r="K19" s="80">
        <v>0.119047627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45" t="s">
        <v>210</v>
      </c>
      <c r="F20" s="80">
        <v>0</v>
      </c>
      <c r="G20" s="80">
        <v>8.3000000000000004E-2</v>
      </c>
      <c r="H20" s="80">
        <v>0.8</v>
      </c>
      <c r="I20" s="80">
        <v>5</v>
      </c>
      <c r="J20" s="80">
        <v>0.39797690000000002</v>
      </c>
      <c r="K20" s="80">
        <v>0.16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45" t="s">
        <v>211</v>
      </c>
      <c r="F21" s="80">
        <v>0</v>
      </c>
      <c r="G21" s="80">
        <v>0.249</v>
      </c>
      <c r="H21" s="80">
        <v>0.8</v>
      </c>
      <c r="I21" s="80">
        <v>5</v>
      </c>
      <c r="J21" s="80">
        <v>0.87123329999999999</v>
      </c>
      <c r="K21" s="80">
        <v>0.16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45" t="s">
        <v>212</v>
      </c>
      <c r="F22" s="80">
        <v>0</v>
      </c>
      <c r="G22" s="80">
        <v>0.11899999999999999</v>
      </c>
      <c r="H22" s="80">
        <v>0.6</v>
      </c>
      <c r="I22" s="80">
        <v>2.7</v>
      </c>
      <c r="J22" s="80">
        <v>0.82682794299999995</v>
      </c>
      <c r="K22" s="80">
        <v>0.222222224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45" t="s">
        <v>213</v>
      </c>
      <c r="F23" s="80">
        <v>0</v>
      </c>
      <c r="G23" s="80">
        <v>2.1057531799999998</v>
      </c>
      <c r="H23" s="80">
        <v>2.04</v>
      </c>
      <c r="I23" s="80">
        <v>10.199999999999999</v>
      </c>
      <c r="J23" s="80">
        <v>0.9</v>
      </c>
      <c r="K23" s="80">
        <v>0.2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45" t="s">
        <v>214</v>
      </c>
      <c r="F24" s="80">
        <v>0</v>
      </c>
      <c r="G24" s="80">
        <v>114.962</v>
      </c>
      <c r="H24" s="80">
        <v>1.159</v>
      </c>
      <c r="I24" s="80">
        <v>5.0869999999999997</v>
      </c>
      <c r="J24" s="80">
        <v>0.24500685899999999</v>
      </c>
      <c r="K24" s="80">
        <v>0.22783566999999999</v>
      </c>
      <c r="L24" s="80">
        <v>0</v>
      </c>
      <c r="M24" s="80">
        <v>0.4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45" t="s">
        <v>215</v>
      </c>
      <c r="F25" s="80">
        <v>0</v>
      </c>
      <c r="G25" s="80">
        <v>125.687</v>
      </c>
      <c r="H25" s="80">
        <v>1.97</v>
      </c>
      <c r="I25" s="80">
        <v>12</v>
      </c>
      <c r="J25" s="80">
        <v>0.27408450000000001</v>
      </c>
      <c r="K25" s="80">
        <v>0.16416667400000001</v>
      </c>
      <c r="L25" s="80">
        <v>0</v>
      </c>
      <c r="M25" s="80">
        <v>0.4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45" t="s">
        <v>216</v>
      </c>
      <c r="F26" s="80">
        <v>0</v>
      </c>
      <c r="G26" s="80">
        <v>13.811999999999999</v>
      </c>
      <c r="H26" s="80">
        <v>2.5</v>
      </c>
      <c r="I26" s="80">
        <v>14</v>
      </c>
      <c r="J26" s="80">
        <v>0.99448990000000004</v>
      </c>
      <c r="K26" s="80">
        <v>0.178571433</v>
      </c>
      <c r="L26" s="80">
        <v>0</v>
      </c>
      <c r="M26" s="80">
        <v>0.4</v>
      </c>
      <c r="N26" s="80">
        <v>0</v>
      </c>
    </row>
    <row r="27" spans="1:22" ht="15" customHeight="1" x14ac:dyDescent="0.15">
      <c r="C27" s="80">
        <v>26</v>
      </c>
      <c r="D27"/>
      <c r="E27" s="145" t="s">
        <v>217</v>
      </c>
      <c r="F27" s="80">
        <v>0</v>
      </c>
      <c r="G27" s="80">
        <v>0.78700000000000003</v>
      </c>
      <c r="H27" s="80">
        <v>0.7</v>
      </c>
      <c r="I27" s="80">
        <v>14.6</v>
      </c>
      <c r="J27" s="80">
        <v>0.82282233199999999</v>
      </c>
      <c r="K27" s="80">
        <v>4.7945205099999999E-2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45" t="s">
        <v>218</v>
      </c>
      <c r="F28" s="80">
        <v>0</v>
      </c>
      <c r="G28" s="80">
        <v>3.9E-2</v>
      </c>
      <c r="H28" s="80">
        <v>4</v>
      </c>
      <c r="I28" s="80">
        <v>16</v>
      </c>
      <c r="J28" s="80">
        <v>0.39076328300000002</v>
      </c>
      <c r="K28" s="80">
        <v>0.25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45" t="s">
        <v>219</v>
      </c>
      <c r="F29" s="80">
        <v>0</v>
      </c>
      <c r="G29" s="80">
        <v>4.83</v>
      </c>
      <c r="H29" s="80">
        <v>3.2</v>
      </c>
      <c r="I29" s="80">
        <v>10.67</v>
      </c>
      <c r="J29" s="80">
        <v>0.91090470000000001</v>
      </c>
      <c r="K29" s="80">
        <v>0.29990628400000002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45" t="s">
        <v>220</v>
      </c>
      <c r="F30" s="80">
        <v>0</v>
      </c>
      <c r="G30" s="80">
        <v>19.419372599999999</v>
      </c>
      <c r="H30" s="80">
        <v>0.95</v>
      </c>
      <c r="I30" s="80">
        <v>3.5</v>
      </c>
      <c r="J30" s="80">
        <v>0.9</v>
      </c>
      <c r="K30" s="80">
        <v>0.27142855500000002</v>
      </c>
      <c r="L30" s="80">
        <v>0</v>
      </c>
      <c r="M30" s="80">
        <v>0.2</v>
      </c>
      <c r="N30" s="80">
        <v>0</v>
      </c>
      <c r="P30" s="59" t="s">
        <v>237</v>
      </c>
    </row>
    <row r="31" spans="1:22" customFormat="1" ht="15" customHeight="1" x14ac:dyDescent="0.15">
      <c r="C31" s="80">
        <v>30</v>
      </c>
      <c r="E31" s="145" t="s">
        <v>221</v>
      </c>
      <c r="F31" s="80">
        <v>0</v>
      </c>
      <c r="G31" s="80">
        <v>1.4</v>
      </c>
      <c r="H31" s="80">
        <v>1.5</v>
      </c>
      <c r="I31" s="80">
        <v>3</v>
      </c>
      <c r="J31" s="80">
        <v>1.6466477899999998E-2</v>
      </c>
      <c r="K31" s="80">
        <v>0.5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45" t="s">
        <v>222</v>
      </c>
      <c r="F32" s="80">
        <v>0</v>
      </c>
      <c r="G32" s="80">
        <v>120.74</v>
      </c>
      <c r="H32" s="80">
        <v>4.399</v>
      </c>
      <c r="I32" s="80">
        <v>14.457000000000001</v>
      </c>
      <c r="J32" s="80">
        <v>0.55201435099999996</v>
      </c>
      <c r="K32" s="80">
        <v>0.304281682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45" t="s">
        <v>223</v>
      </c>
      <c r="F33" s="80">
        <v>0</v>
      </c>
      <c r="G33" s="80">
        <v>122.62</v>
      </c>
      <c r="H33" s="80">
        <v>9.5</v>
      </c>
      <c r="I33" s="80">
        <v>26.2</v>
      </c>
      <c r="J33" s="80">
        <v>0.97425569999999995</v>
      </c>
      <c r="K33" s="80">
        <v>0.36259540000000001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45" t="s">
        <v>224</v>
      </c>
      <c r="F34" s="80">
        <v>1</v>
      </c>
      <c r="G34" s="80">
        <v>15</v>
      </c>
      <c r="H34" s="80">
        <v>234</v>
      </c>
      <c r="I34" s="80">
        <v>0</v>
      </c>
      <c r="J34" s="80">
        <v>0.73821780000000004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>
      <c r="C35" s="80">
        <v>34</v>
      </c>
      <c r="E35" s="145" t="s">
        <v>225</v>
      </c>
      <c r="F35" s="80">
        <v>2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45" t="s">
        <v>226</v>
      </c>
      <c r="F36" s="80">
        <v>2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45" t="s">
        <v>227</v>
      </c>
      <c r="F37" s="80">
        <v>2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0</v>
      </c>
      <c r="M37" s="80">
        <v>0</v>
      </c>
      <c r="N37" s="80">
        <v>0</v>
      </c>
    </row>
    <row r="38" spans="3:14" customFormat="1" ht="15" customHeight="1" x14ac:dyDescent="0.15">
      <c r="C38" s="80">
        <v>37</v>
      </c>
      <c r="E38" s="145" t="s">
        <v>228</v>
      </c>
      <c r="F38" s="80">
        <v>3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</row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>
      <c r="D47" s="59"/>
    </row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K373"/>
  <sheetViews>
    <sheetView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A35" sqref="A35:XFD37"/>
    </sheetView>
  </sheetViews>
  <sheetFormatPr baseColWidth="10" defaultColWidth="8.83203125" defaultRowHeight="13" x14ac:dyDescent="0.15"/>
  <cols>
    <col min="1" max="1" width="24.6640625" style="137" bestFit="1" customWidth="1"/>
    <col min="2" max="2" width="5.83203125" style="137" bestFit="1" customWidth="1"/>
    <col min="3" max="3" width="14.83203125" style="137" bestFit="1" customWidth="1"/>
    <col min="4" max="5" width="5.83203125" style="137" bestFit="1" customWidth="1"/>
    <col min="6" max="7" width="14.83203125" style="137" bestFit="1" customWidth="1"/>
    <col min="8" max="8" width="4.83203125" style="137" bestFit="1" customWidth="1"/>
    <col min="9" max="9" width="5.83203125" style="137" bestFit="1" customWidth="1"/>
    <col min="10" max="10" width="13.83203125" style="137" bestFit="1" customWidth="1"/>
    <col min="11" max="11" width="14.83203125" style="137" bestFit="1" customWidth="1"/>
    <col min="12" max="12" width="5.83203125" style="137" bestFit="1" customWidth="1"/>
    <col min="13" max="14" width="4.83203125" style="137" bestFit="1" customWidth="1"/>
    <col min="15" max="17" width="14.83203125" style="137" bestFit="1" customWidth="1"/>
    <col min="18" max="18" width="4.83203125" style="137" bestFit="1" customWidth="1"/>
    <col min="19" max="19" width="13.83203125" style="137" bestFit="1" customWidth="1"/>
    <col min="20" max="22" width="4.83203125" style="137" bestFit="1" customWidth="1"/>
    <col min="23" max="23" width="3.83203125" style="137" bestFit="1" customWidth="1"/>
    <col min="24" max="24" width="14.83203125" style="137" bestFit="1" customWidth="1"/>
    <col min="25" max="25" width="2.33203125" style="137" bestFit="1" customWidth="1"/>
    <col min="26" max="26" width="5.83203125" style="137" bestFit="1" customWidth="1"/>
    <col min="27" max="27" width="4.83203125" style="137" bestFit="1" customWidth="1"/>
    <col min="28" max="28" width="5.83203125" style="137" bestFit="1" customWidth="1"/>
    <col min="29" max="29" width="12.83203125" style="137" bestFit="1" customWidth="1"/>
    <col min="30" max="30" width="13.83203125" style="137" customWidth="1"/>
    <col min="31" max="31" width="4.83203125" style="137" customWidth="1"/>
    <col min="32" max="32" width="5.83203125" style="137" customWidth="1"/>
    <col min="33" max="33" width="4.83203125" style="137" customWidth="1"/>
    <col min="34" max="37" width="2.33203125" style="137" customWidth="1"/>
    <col min="38" max="16384" width="8.83203125" style="137"/>
  </cols>
  <sheetData>
    <row r="1" spans="1:37" x14ac:dyDescent="0.15">
      <c r="A1" s="136" t="s">
        <v>19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 s="147" t="s">
        <v>205</v>
      </c>
      <c r="P1" s="147" t="s">
        <v>206</v>
      </c>
      <c r="Q1" s="147" t="s">
        <v>207</v>
      </c>
      <c r="R1" s="147" t="s">
        <v>208</v>
      </c>
      <c r="S1" s="147" t="s">
        <v>209</v>
      </c>
      <c r="T1" s="147" t="s">
        <v>210</v>
      </c>
      <c r="U1" s="147" t="s">
        <v>211</v>
      </c>
      <c r="V1" s="147" t="s">
        <v>212</v>
      </c>
      <c r="W1" s="147" t="s">
        <v>213</v>
      </c>
      <c r="X1" s="147" t="s">
        <v>214</v>
      </c>
      <c r="Y1" s="147" t="s">
        <v>215</v>
      </c>
      <c r="Z1" s="147" t="s">
        <v>216</v>
      </c>
      <c r="AA1" s="147" t="s">
        <v>217</v>
      </c>
      <c r="AB1" s="147" t="s">
        <v>218</v>
      </c>
      <c r="AC1" s="147" t="s">
        <v>219</v>
      </c>
      <c r="AD1" s="147" t="s">
        <v>220</v>
      </c>
      <c r="AE1" s="147" t="s">
        <v>221</v>
      </c>
      <c r="AF1" s="147" t="s">
        <v>222</v>
      </c>
      <c r="AG1" s="147" t="s">
        <v>223</v>
      </c>
      <c r="AH1" s="147" t="s">
        <v>224</v>
      </c>
      <c r="AI1" s="147" t="s">
        <v>225</v>
      </c>
      <c r="AJ1" s="147" t="s">
        <v>226</v>
      </c>
      <c r="AK1" s="147" t="s">
        <v>227</v>
      </c>
    </row>
    <row r="2" spans="1:37" customFormat="1" x14ac:dyDescent="0.15">
      <c r="A2" s="146" t="s">
        <v>192</v>
      </c>
      <c r="B2" s="137">
        <v>0</v>
      </c>
      <c r="C2" s="137">
        <v>1.0000000754799938E-3</v>
      </c>
      <c r="D2" s="137">
        <v>0</v>
      </c>
      <c r="E2" s="137">
        <v>0</v>
      </c>
      <c r="F2" s="137">
        <v>0</v>
      </c>
      <c r="G2" s="137">
        <v>0</v>
      </c>
      <c r="H2" s="137">
        <v>0</v>
      </c>
      <c r="I2" s="137">
        <v>0</v>
      </c>
      <c r="J2" s="137">
        <v>0</v>
      </c>
      <c r="K2" s="137">
        <v>0</v>
      </c>
      <c r="L2" s="137">
        <v>0</v>
      </c>
      <c r="M2" s="137">
        <v>0</v>
      </c>
      <c r="N2" s="137">
        <v>0</v>
      </c>
      <c r="O2" s="137">
        <v>0</v>
      </c>
      <c r="P2" s="137">
        <v>0</v>
      </c>
      <c r="Q2" s="137">
        <v>0</v>
      </c>
      <c r="R2" s="137">
        <v>0</v>
      </c>
      <c r="S2" s="137">
        <v>0</v>
      </c>
      <c r="T2" s="137">
        <v>0</v>
      </c>
      <c r="U2" s="137">
        <v>0</v>
      </c>
      <c r="V2" s="137">
        <v>0</v>
      </c>
      <c r="W2" s="137">
        <v>0</v>
      </c>
      <c r="X2" s="137">
        <v>0</v>
      </c>
      <c r="Y2" s="137">
        <v>0</v>
      </c>
      <c r="Z2" s="137">
        <v>0</v>
      </c>
      <c r="AA2" s="137">
        <v>0</v>
      </c>
      <c r="AB2" s="137">
        <v>0</v>
      </c>
      <c r="AC2" s="137">
        <v>0</v>
      </c>
      <c r="AD2" s="137">
        <v>0</v>
      </c>
      <c r="AE2" s="137">
        <v>0</v>
      </c>
      <c r="AF2" s="137">
        <v>0</v>
      </c>
      <c r="AG2" s="137">
        <v>0</v>
      </c>
      <c r="AH2" s="137">
        <v>0</v>
      </c>
      <c r="AI2" s="137">
        <v>0</v>
      </c>
      <c r="AJ2" s="137">
        <v>0</v>
      </c>
      <c r="AK2" s="137">
        <v>0</v>
      </c>
    </row>
    <row r="3" spans="1:37" customFormat="1" x14ac:dyDescent="0.15">
      <c r="A3" s="146" t="s">
        <v>193</v>
      </c>
      <c r="B3" s="137">
        <v>0</v>
      </c>
      <c r="C3" s="137">
        <v>0</v>
      </c>
      <c r="D3" s="137">
        <v>0</v>
      </c>
      <c r="E3" s="137">
        <v>0</v>
      </c>
      <c r="F3" s="137">
        <v>0</v>
      </c>
      <c r="G3" s="137">
        <v>0</v>
      </c>
      <c r="H3" s="137">
        <v>0</v>
      </c>
      <c r="I3" s="137">
        <v>0</v>
      </c>
      <c r="J3" s="137">
        <v>0</v>
      </c>
      <c r="K3" s="137">
        <v>0</v>
      </c>
      <c r="L3" s="137">
        <v>0</v>
      </c>
      <c r="M3" s="137">
        <v>0</v>
      </c>
      <c r="N3" s="137">
        <v>0</v>
      </c>
      <c r="O3" s="137">
        <v>0</v>
      </c>
      <c r="P3" s="137">
        <v>0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  <c r="X3" s="137">
        <v>0</v>
      </c>
      <c r="Y3" s="137">
        <v>0</v>
      </c>
      <c r="Z3" s="137">
        <v>0</v>
      </c>
      <c r="AA3" s="137">
        <v>0</v>
      </c>
      <c r="AB3" s="137">
        <v>0</v>
      </c>
      <c r="AC3" s="137">
        <v>0</v>
      </c>
      <c r="AD3" s="137">
        <v>0</v>
      </c>
      <c r="AE3" s="137">
        <v>0</v>
      </c>
      <c r="AF3" s="137">
        <v>0</v>
      </c>
      <c r="AG3" s="137">
        <v>0</v>
      </c>
      <c r="AH3" s="137">
        <v>0</v>
      </c>
      <c r="AI3" s="137">
        <v>0</v>
      </c>
      <c r="AJ3" s="137">
        <v>0</v>
      </c>
      <c r="AK3" s="137">
        <v>0</v>
      </c>
    </row>
    <row r="4" spans="1:37" customFormat="1" x14ac:dyDescent="0.15">
      <c r="A4" s="146" t="s">
        <v>194</v>
      </c>
      <c r="B4" s="137">
        <v>0</v>
      </c>
      <c r="C4" s="137">
        <v>0</v>
      </c>
      <c r="D4" s="137">
        <v>0</v>
      </c>
      <c r="E4" s="137">
        <v>0</v>
      </c>
      <c r="F4" s="137">
        <v>0</v>
      </c>
      <c r="G4" s="137">
        <v>0</v>
      </c>
      <c r="H4" s="137">
        <v>0</v>
      </c>
      <c r="I4" s="137">
        <v>0</v>
      </c>
      <c r="J4" s="137">
        <v>0</v>
      </c>
      <c r="K4" s="137">
        <v>0</v>
      </c>
      <c r="L4" s="137">
        <v>0</v>
      </c>
      <c r="M4" s="137">
        <v>0</v>
      </c>
      <c r="N4" s="137">
        <v>0</v>
      </c>
      <c r="O4" s="137">
        <v>0</v>
      </c>
      <c r="P4" s="137">
        <v>0</v>
      </c>
      <c r="Q4" s="137">
        <v>0</v>
      </c>
      <c r="R4" s="137">
        <v>0</v>
      </c>
      <c r="S4" s="137">
        <v>0</v>
      </c>
      <c r="T4" s="137">
        <v>0</v>
      </c>
      <c r="U4" s="137">
        <v>0</v>
      </c>
      <c r="V4" s="137">
        <v>0</v>
      </c>
      <c r="W4" s="137">
        <v>0</v>
      </c>
      <c r="X4" s="137">
        <v>0</v>
      </c>
      <c r="Y4" s="137">
        <v>0</v>
      </c>
      <c r="Z4" s="137">
        <v>0</v>
      </c>
      <c r="AA4" s="137">
        <v>0</v>
      </c>
      <c r="AB4" s="137">
        <v>0</v>
      </c>
      <c r="AC4" s="137">
        <v>0</v>
      </c>
      <c r="AD4" s="137">
        <v>0</v>
      </c>
      <c r="AE4" s="137">
        <v>0</v>
      </c>
      <c r="AF4" s="137">
        <v>0</v>
      </c>
      <c r="AG4" s="137">
        <v>0</v>
      </c>
      <c r="AH4" s="137">
        <v>0</v>
      </c>
      <c r="AI4" s="137">
        <v>0</v>
      </c>
      <c r="AJ4" s="137">
        <v>0</v>
      </c>
      <c r="AK4" s="137">
        <v>0</v>
      </c>
    </row>
    <row r="5" spans="1:37" customFormat="1" x14ac:dyDescent="0.15">
      <c r="A5" s="146" t="s">
        <v>195</v>
      </c>
      <c r="B5" s="137">
        <v>0</v>
      </c>
      <c r="C5" s="137">
        <v>1.0000000754799938E-3</v>
      </c>
      <c r="D5" s="137">
        <v>0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137">
        <v>0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</v>
      </c>
      <c r="R5" s="137">
        <v>0</v>
      </c>
      <c r="S5" s="137">
        <v>0</v>
      </c>
      <c r="T5" s="137">
        <v>0</v>
      </c>
      <c r="U5" s="137">
        <v>0</v>
      </c>
      <c r="V5" s="137">
        <v>0</v>
      </c>
      <c r="W5" s="137">
        <v>0</v>
      </c>
      <c r="X5" s="137">
        <v>0</v>
      </c>
      <c r="Y5" s="137">
        <v>0</v>
      </c>
      <c r="Z5" s="137">
        <v>0</v>
      </c>
      <c r="AA5" s="137">
        <v>0</v>
      </c>
      <c r="AB5" s="137">
        <v>0</v>
      </c>
      <c r="AC5" s="137">
        <v>0</v>
      </c>
      <c r="AD5" s="137">
        <v>0</v>
      </c>
      <c r="AE5" s="137">
        <v>0</v>
      </c>
      <c r="AF5" s="137">
        <v>0</v>
      </c>
      <c r="AG5" s="137">
        <v>0</v>
      </c>
      <c r="AH5" s="137">
        <v>0</v>
      </c>
      <c r="AI5" s="137">
        <v>0</v>
      </c>
      <c r="AJ5" s="137">
        <v>0</v>
      </c>
      <c r="AK5" s="137">
        <v>0</v>
      </c>
    </row>
    <row r="6" spans="1:37" customFormat="1" x14ac:dyDescent="0.15">
      <c r="A6" s="146" t="s">
        <v>196</v>
      </c>
      <c r="B6" s="137">
        <v>0</v>
      </c>
      <c r="C6" s="137">
        <v>2.0000001609599867E-3</v>
      </c>
      <c r="D6" s="137">
        <v>0</v>
      </c>
      <c r="E6" s="137">
        <v>0</v>
      </c>
      <c r="F6" s="137">
        <v>0</v>
      </c>
      <c r="G6" s="137">
        <v>0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0</v>
      </c>
      <c r="O6" s="137">
        <v>0</v>
      </c>
      <c r="P6" s="137">
        <v>0</v>
      </c>
      <c r="Q6" s="137">
        <v>0</v>
      </c>
      <c r="R6" s="137">
        <v>0</v>
      </c>
      <c r="S6" s="137">
        <v>0</v>
      </c>
      <c r="T6" s="137">
        <v>0</v>
      </c>
      <c r="U6" s="137">
        <v>0</v>
      </c>
      <c r="V6" s="137">
        <v>0</v>
      </c>
      <c r="W6" s="137">
        <v>0</v>
      </c>
      <c r="X6" s="137">
        <v>0</v>
      </c>
      <c r="Y6" s="137">
        <v>0</v>
      </c>
      <c r="Z6" s="137">
        <v>0</v>
      </c>
      <c r="AA6" s="137">
        <v>0</v>
      </c>
      <c r="AB6" s="137">
        <v>0</v>
      </c>
      <c r="AC6" s="137">
        <v>0</v>
      </c>
      <c r="AD6" s="137">
        <v>0</v>
      </c>
      <c r="AE6" s="137">
        <v>0</v>
      </c>
      <c r="AF6" s="137">
        <v>0</v>
      </c>
      <c r="AG6" s="137">
        <v>0</v>
      </c>
      <c r="AH6" s="137">
        <v>0</v>
      </c>
      <c r="AI6" s="137">
        <v>0</v>
      </c>
      <c r="AJ6" s="137">
        <v>0</v>
      </c>
      <c r="AK6" s="137">
        <v>0</v>
      </c>
    </row>
    <row r="7" spans="1:37" customFormat="1" x14ac:dyDescent="0.15">
      <c r="A7" s="146" t="s">
        <v>197</v>
      </c>
      <c r="B7" s="137">
        <v>0</v>
      </c>
      <c r="C7" s="137">
        <v>1.0000000754799938E-3</v>
      </c>
      <c r="D7" s="137">
        <v>0</v>
      </c>
      <c r="E7" s="137">
        <v>0</v>
      </c>
      <c r="F7" s="137">
        <v>0</v>
      </c>
      <c r="G7" s="137">
        <v>0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0</v>
      </c>
      <c r="O7" s="137">
        <v>0</v>
      </c>
      <c r="P7" s="137">
        <v>0</v>
      </c>
      <c r="Q7" s="137">
        <v>0</v>
      </c>
      <c r="R7" s="137">
        <v>0</v>
      </c>
      <c r="S7" s="137">
        <v>0</v>
      </c>
      <c r="T7" s="137">
        <v>0</v>
      </c>
      <c r="U7" s="137">
        <v>0</v>
      </c>
      <c r="V7" s="137">
        <v>0</v>
      </c>
      <c r="W7" s="137">
        <v>0</v>
      </c>
      <c r="X7" s="137">
        <v>0</v>
      </c>
      <c r="Y7" s="137">
        <v>0</v>
      </c>
      <c r="Z7" s="137">
        <v>0</v>
      </c>
      <c r="AA7" s="137">
        <v>0</v>
      </c>
      <c r="AB7" s="137">
        <v>0</v>
      </c>
      <c r="AC7" s="137">
        <v>0</v>
      </c>
      <c r="AD7" s="137">
        <v>0</v>
      </c>
      <c r="AE7" s="137">
        <v>0</v>
      </c>
      <c r="AF7" s="137">
        <v>0</v>
      </c>
      <c r="AG7" s="137">
        <v>0</v>
      </c>
      <c r="AH7" s="137">
        <v>0</v>
      </c>
      <c r="AI7" s="137">
        <v>0</v>
      </c>
      <c r="AJ7" s="137">
        <v>0</v>
      </c>
      <c r="AK7" s="137">
        <v>0</v>
      </c>
    </row>
    <row r="8" spans="1:37" customFormat="1" x14ac:dyDescent="0.15">
      <c r="A8" s="146" t="s">
        <v>198</v>
      </c>
      <c r="B8" s="137">
        <v>0</v>
      </c>
      <c r="C8" s="137">
        <v>0</v>
      </c>
      <c r="D8" s="137">
        <v>0</v>
      </c>
      <c r="E8" s="137">
        <v>0</v>
      </c>
      <c r="F8" s="137">
        <v>0</v>
      </c>
      <c r="G8" s="137">
        <v>0</v>
      </c>
      <c r="H8" s="137">
        <v>0</v>
      </c>
      <c r="I8" s="137">
        <v>0</v>
      </c>
      <c r="J8" s="137">
        <v>0</v>
      </c>
      <c r="K8" s="137">
        <v>0</v>
      </c>
      <c r="L8" s="137">
        <v>0</v>
      </c>
      <c r="M8" s="137">
        <v>0</v>
      </c>
      <c r="N8" s="137">
        <v>0</v>
      </c>
      <c r="O8" s="137">
        <v>0</v>
      </c>
      <c r="P8" s="137">
        <v>0</v>
      </c>
      <c r="Q8" s="137">
        <v>0</v>
      </c>
      <c r="R8" s="137">
        <v>0</v>
      </c>
      <c r="S8" s="137">
        <v>0</v>
      </c>
      <c r="T8" s="137">
        <v>0</v>
      </c>
      <c r="U8" s="137">
        <v>0</v>
      </c>
      <c r="V8" s="137">
        <v>0</v>
      </c>
      <c r="W8" s="137">
        <v>0</v>
      </c>
      <c r="X8" s="137">
        <v>0</v>
      </c>
      <c r="Y8" s="137">
        <v>0</v>
      </c>
      <c r="Z8" s="137">
        <v>0</v>
      </c>
      <c r="AA8" s="137">
        <v>0</v>
      </c>
      <c r="AB8" s="137">
        <v>0</v>
      </c>
      <c r="AC8" s="137">
        <v>0</v>
      </c>
      <c r="AD8" s="137">
        <v>0</v>
      </c>
      <c r="AE8" s="137">
        <v>0</v>
      </c>
      <c r="AF8" s="137">
        <v>0</v>
      </c>
      <c r="AG8" s="137">
        <v>0</v>
      </c>
      <c r="AH8" s="137">
        <v>0</v>
      </c>
      <c r="AI8" s="137">
        <v>0</v>
      </c>
      <c r="AJ8" s="137">
        <v>0</v>
      </c>
      <c r="AK8" s="137">
        <v>0</v>
      </c>
    </row>
    <row r="9" spans="1:37" customFormat="1" x14ac:dyDescent="0.15">
      <c r="A9" s="146" t="s">
        <v>199</v>
      </c>
      <c r="B9" s="137">
        <v>0.04</v>
      </c>
      <c r="C9" s="137">
        <v>0.15600000481487961</v>
      </c>
      <c r="D9" s="137">
        <v>0</v>
      </c>
      <c r="E9" s="137">
        <v>0.01</v>
      </c>
      <c r="F9" s="137">
        <v>0.18000000302799968</v>
      </c>
      <c r="G9" s="137">
        <v>0.16984543718368275</v>
      </c>
      <c r="H9" s="137">
        <v>0</v>
      </c>
      <c r="I9" s="137">
        <v>0</v>
      </c>
      <c r="J9" s="137">
        <v>0</v>
      </c>
      <c r="K9" s="137">
        <v>0.38599999960818016</v>
      </c>
      <c r="L9" s="137">
        <v>0.19</v>
      </c>
      <c r="M9" s="137">
        <v>0.4499999999999999</v>
      </c>
      <c r="N9" s="137">
        <v>0.5</v>
      </c>
      <c r="O9" s="137">
        <v>0</v>
      </c>
      <c r="P9" s="137">
        <v>0.37000000218839979</v>
      </c>
      <c r="Q9" s="137">
        <v>0.25314680880380735</v>
      </c>
      <c r="R9" s="137">
        <v>0</v>
      </c>
      <c r="S9" s="137">
        <v>5.487256524581724E-2</v>
      </c>
      <c r="T9" s="137">
        <v>0</v>
      </c>
      <c r="U9" s="137">
        <v>0</v>
      </c>
      <c r="V9" s="137">
        <v>0</v>
      </c>
      <c r="W9" s="137">
        <v>0</v>
      </c>
      <c r="X9" s="137">
        <v>0</v>
      </c>
      <c r="Y9" s="137">
        <v>0</v>
      </c>
      <c r="Z9" s="137">
        <v>0</v>
      </c>
      <c r="AA9" s="137">
        <v>0</v>
      </c>
      <c r="AB9" s="137">
        <v>0</v>
      </c>
      <c r="AC9" s="137">
        <v>0</v>
      </c>
      <c r="AD9" s="137">
        <v>0</v>
      </c>
      <c r="AE9" s="137">
        <v>0</v>
      </c>
      <c r="AF9" s="137">
        <v>0</v>
      </c>
      <c r="AG9" s="137">
        <v>0</v>
      </c>
      <c r="AH9" s="137">
        <v>0</v>
      </c>
      <c r="AI9" s="137">
        <v>0</v>
      </c>
      <c r="AJ9" s="137">
        <v>0</v>
      </c>
      <c r="AK9" s="137">
        <v>0</v>
      </c>
    </row>
    <row r="10" spans="1:37" customFormat="1" x14ac:dyDescent="0.15">
      <c r="A10" s="146" t="s">
        <v>200</v>
      </c>
      <c r="B10" s="137">
        <v>0.06</v>
      </c>
      <c r="C10" s="137">
        <v>0.10400000120991991</v>
      </c>
      <c r="D10" s="137">
        <v>0</v>
      </c>
      <c r="E10" s="137">
        <v>0.01</v>
      </c>
      <c r="F10" s="137">
        <v>0.15000000518999945</v>
      </c>
      <c r="G10" s="137">
        <v>0.19981817009845057</v>
      </c>
      <c r="H10" s="137">
        <v>0.24999999999999994</v>
      </c>
      <c r="I10" s="137">
        <v>5.0000000000000001E-3</v>
      </c>
      <c r="J10" s="137">
        <v>0</v>
      </c>
      <c r="K10" s="137">
        <v>0.19999999862600018</v>
      </c>
      <c r="L10" s="137">
        <v>0.17</v>
      </c>
      <c r="M10" s="137">
        <v>0</v>
      </c>
      <c r="N10" s="137">
        <v>0.1</v>
      </c>
      <c r="O10" s="137">
        <v>2.1000000034449993E-2</v>
      </c>
      <c r="P10" s="137">
        <v>0.20000000026399997</v>
      </c>
      <c r="Q10" s="137">
        <v>0.13107602857825504</v>
      </c>
      <c r="R10" s="137">
        <v>0</v>
      </c>
      <c r="S10" s="137">
        <v>1.0994502451074434E-2</v>
      </c>
      <c r="T10" s="137">
        <v>0</v>
      </c>
      <c r="U10" s="137">
        <v>0</v>
      </c>
      <c r="V10" s="137">
        <v>0</v>
      </c>
      <c r="W10" s="137">
        <v>0</v>
      </c>
      <c r="X10" s="137">
        <v>0</v>
      </c>
      <c r="Y10" s="137">
        <v>0</v>
      </c>
      <c r="Z10" s="137">
        <v>0</v>
      </c>
      <c r="AA10" s="137">
        <v>0</v>
      </c>
      <c r="AB10" s="137">
        <v>0</v>
      </c>
      <c r="AC10" s="137">
        <v>0</v>
      </c>
      <c r="AD10" s="137">
        <v>0</v>
      </c>
      <c r="AE10" s="137">
        <v>0.01</v>
      </c>
      <c r="AF10" s="137">
        <v>0</v>
      </c>
      <c r="AG10" s="137">
        <v>0</v>
      </c>
      <c r="AH10" s="137">
        <v>0</v>
      </c>
      <c r="AI10" s="137">
        <v>0</v>
      </c>
      <c r="AJ10" s="137">
        <v>0</v>
      </c>
      <c r="AK10" s="137">
        <v>0</v>
      </c>
    </row>
    <row r="11" spans="1:37" customFormat="1" x14ac:dyDescent="0.15">
      <c r="A11" s="146" t="s">
        <v>201</v>
      </c>
      <c r="B11" s="137">
        <v>0.02</v>
      </c>
      <c r="C11" s="137">
        <v>0.10400000120991991</v>
      </c>
      <c r="D11" s="137">
        <v>0</v>
      </c>
      <c r="E11" s="137">
        <v>0.01</v>
      </c>
      <c r="F11" s="137">
        <v>4.9999999230000078E-2</v>
      </c>
      <c r="G11" s="137">
        <v>2.997272371476753E-2</v>
      </c>
      <c r="H11" s="137">
        <v>0</v>
      </c>
      <c r="I11" s="137">
        <v>0</v>
      </c>
      <c r="J11" s="137">
        <v>0</v>
      </c>
      <c r="K11" s="137">
        <v>0</v>
      </c>
      <c r="L11" s="137">
        <v>0.06</v>
      </c>
      <c r="M11" s="137">
        <v>0</v>
      </c>
      <c r="N11" s="137">
        <v>0</v>
      </c>
      <c r="O11" s="137">
        <v>0</v>
      </c>
      <c r="P11" s="137">
        <v>3.3000000573559951E-2</v>
      </c>
      <c r="Q11" s="137">
        <v>2.0011606161565745E-2</v>
      </c>
      <c r="R11" s="137">
        <v>0</v>
      </c>
      <c r="S11" s="137">
        <v>0</v>
      </c>
      <c r="T11" s="137">
        <v>0</v>
      </c>
      <c r="U11" s="137">
        <v>0</v>
      </c>
      <c r="V11" s="137">
        <v>0</v>
      </c>
      <c r="W11" s="137">
        <v>0</v>
      </c>
      <c r="X11" s="137">
        <v>0</v>
      </c>
      <c r="Y11" s="137">
        <v>0</v>
      </c>
      <c r="Z11" s="137">
        <v>0</v>
      </c>
      <c r="AA11" s="137">
        <v>0</v>
      </c>
      <c r="AB11" s="137">
        <v>0</v>
      </c>
      <c r="AC11" s="137">
        <v>0</v>
      </c>
      <c r="AD11" s="137">
        <v>0</v>
      </c>
      <c r="AE11" s="137">
        <v>0</v>
      </c>
      <c r="AF11" s="137">
        <v>0</v>
      </c>
      <c r="AG11" s="137">
        <v>0</v>
      </c>
      <c r="AH11" s="137">
        <v>0</v>
      </c>
      <c r="AI11" s="137">
        <v>0</v>
      </c>
      <c r="AJ11" s="137">
        <v>0</v>
      </c>
      <c r="AK11" s="137">
        <v>0</v>
      </c>
    </row>
    <row r="12" spans="1:37" customFormat="1" x14ac:dyDescent="0.15">
      <c r="A12" s="146" t="s">
        <v>202</v>
      </c>
      <c r="B12" s="137">
        <v>0</v>
      </c>
      <c r="C12" s="137">
        <v>9.9999998548000128E-3</v>
      </c>
      <c r="D12" s="137">
        <v>0</v>
      </c>
      <c r="E12" s="137">
        <v>0</v>
      </c>
      <c r="F12" s="137">
        <v>0</v>
      </c>
      <c r="G12" s="137">
        <v>4.9954537924612498E-3</v>
      </c>
      <c r="H12" s="137">
        <v>0</v>
      </c>
      <c r="I12" s="137">
        <v>0</v>
      </c>
      <c r="J12" s="137">
        <v>0</v>
      </c>
      <c r="K12" s="137">
        <v>0</v>
      </c>
      <c r="L12" s="137">
        <v>0</v>
      </c>
      <c r="M12" s="137">
        <v>0</v>
      </c>
      <c r="N12" s="137">
        <v>0</v>
      </c>
      <c r="O12" s="137">
        <v>0</v>
      </c>
      <c r="P12" s="137">
        <v>0</v>
      </c>
      <c r="Q12" s="137">
        <v>0</v>
      </c>
      <c r="R12" s="137">
        <v>0</v>
      </c>
      <c r="S12" s="137">
        <v>0</v>
      </c>
      <c r="T12" s="137">
        <v>0</v>
      </c>
      <c r="U12" s="137">
        <v>0</v>
      </c>
      <c r="V12" s="137">
        <v>0</v>
      </c>
      <c r="W12" s="137">
        <v>0</v>
      </c>
      <c r="X12" s="137">
        <v>0</v>
      </c>
      <c r="Y12" s="137">
        <v>0</v>
      </c>
      <c r="Z12" s="137">
        <v>0</v>
      </c>
      <c r="AA12" s="137">
        <v>0</v>
      </c>
      <c r="AB12" s="137">
        <v>0</v>
      </c>
      <c r="AC12" s="137">
        <v>0</v>
      </c>
      <c r="AD12" s="137">
        <v>0</v>
      </c>
      <c r="AE12" s="137">
        <v>0</v>
      </c>
      <c r="AF12" s="137">
        <v>0</v>
      </c>
      <c r="AG12" s="137">
        <v>0</v>
      </c>
      <c r="AH12" s="137">
        <v>0</v>
      </c>
      <c r="AI12" s="137">
        <v>0</v>
      </c>
      <c r="AJ12" s="137">
        <v>0</v>
      </c>
      <c r="AK12" s="137">
        <v>0</v>
      </c>
    </row>
    <row r="13" spans="1:37" customFormat="1" x14ac:dyDescent="0.15">
      <c r="A13" s="146" t="s">
        <v>203</v>
      </c>
      <c r="B13" s="137">
        <v>0</v>
      </c>
      <c r="C13" s="137">
        <v>0</v>
      </c>
      <c r="D13" s="137">
        <v>5.0000000000000001E-3</v>
      </c>
      <c r="E13" s="137">
        <v>0</v>
      </c>
      <c r="F13" s="137">
        <v>0</v>
      </c>
      <c r="G13" s="137">
        <v>0</v>
      </c>
      <c r="H13" s="137">
        <v>0</v>
      </c>
      <c r="I13" s="137">
        <v>0</v>
      </c>
      <c r="J13" s="137">
        <v>0</v>
      </c>
      <c r="K13" s="137">
        <v>0</v>
      </c>
      <c r="L13" s="137">
        <v>0</v>
      </c>
      <c r="M13" s="137">
        <v>0</v>
      </c>
      <c r="N13" s="137">
        <v>0</v>
      </c>
      <c r="O13" s="137">
        <v>0</v>
      </c>
      <c r="P13" s="137">
        <v>0</v>
      </c>
      <c r="Q13" s="137">
        <v>0</v>
      </c>
      <c r="R13" s="137">
        <v>0</v>
      </c>
      <c r="S13" s="137">
        <v>0</v>
      </c>
      <c r="T13" s="137">
        <v>0</v>
      </c>
      <c r="U13" s="137">
        <v>0</v>
      </c>
      <c r="V13" s="137">
        <v>0</v>
      </c>
      <c r="W13" s="137">
        <v>0</v>
      </c>
      <c r="X13" s="137">
        <v>0</v>
      </c>
      <c r="Y13" s="137">
        <v>0</v>
      </c>
      <c r="Z13" s="137">
        <v>0</v>
      </c>
      <c r="AA13" s="137">
        <v>0</v>
      </c>
      <c r="AB13" s="137">
        <v>0</v>
      </c>
      <c r="AC13" s="137">
        <v>0</v>
      </c>
      <c r="AD13" s="137">
        <v>0</v>
      </c>
      <c r="AE13" s="137">
        <v>0</v>
      </c>
      <c r="AF13" s="137">
        <v>0</v>
      </c>
      <c r="AG13" s="137">
        <v>0</v>
      </c>
      <c r="AH13" s="137">
        <v>0</v>
      </c>
      <c r="AI13" s="137">
        <v>0</v>
      </c>
      <c r="AJ13" s="137">
        <v>0</v>
      </c>
      <c r="AK13" s="137">
        <v>0</v>
      </c>
    </row>
    <row r="14" spans="1:37" customFormat="1" x14ac:dyDescent="0.15">
      <c r="A14" s="146" t="s">
        <v>204</v>
      </c>
      <c r="B14" s="137">
        <v>0</v>
      </c>
      <c r="C14" s="137">
        <v>4.9999999274000064E-3</v>
      </c>
      <c r="D14" s="137">
        <v>5.0000000000000001E-3</v>
      </c>
      <c r="E14" s="137">
        <v>0</v>
      </c>
      <c r="F14" s="137">
        <v>0</v>
      </c>
      <c r="G14" s="137">
        <v>4.9954537924612498E-3</v>
      </c>
      <c r="H14" s="137">
        <v>0</v>
      </c>
      <c r="I14" s="137">
        <v>0</v>
      </c>
      <c r="J14" s="137">
        <v>0</v>
      </c>
      <c r="K14" s="137">
        <v>0</v>
      </c>
      <c r="L14" s="137">
        <v>0</v>
      </c>
      <c r="M14" s="137">
        <v>0</v>
      </c>
      <c r="N14" s="137">
        <v>0</v>
      </c>
      <c r="O14" s="137">
        <v>0</v>
      </c>
      <c r="P14" s="137">
        <v>0</v>
      </c>
      <c r="Q14" s="137">
        <v>0</v>
      </c>
      <c r="R14" s="137">
        <v>0</v>
      </c>
      <c r="S14" s="137">
        <v>0</v>
      </c>
      <c r="T14" s="137">
        <v>0</v>
      </c>
      <c r="U14" s="137">
        <v>0</v>
      </c>
      <c r="V14" s="137">
        <v>0</v>
      </c>
      <c r="W14" s="137">
        <v>0</v>
      </c>
      <c r="X14" s="137">
        <v>0</v>
      </c>
      <c r="Y14" s="137">
        <v>0</v>
      </c>
      <c r="Z14" s="137">
        <v>0</v>
      </c>
      <c r="AA14" s="137">
        <v>0</v>
      </c>
      <c r="AB14" s="137">
        <v>0</v>
      </c>
      <c r="AC14" s="137">
        <v>0</v>
      </c>
      <c r="AD14" s="137">
        <v>0</v>
      </c>
      <c r="AE14" s="137">
        <v>0</v>
      </c>
      <c r="AF14" s="137">
        <v>0</v>
      </c>
      <c r="AG14" s="137">
        <v>0</v>
      </c>
      <c r="AH14" s="137">
        <v>0</v>
      </c>
      <c r="AI14" s="137">
        <v>0</v>
      </c>
      <c r="AJ14" s="137">
        <v>0</v>
      </c>
      <c r="AK14" s="137">
        <v>0</v>
      </c>
    </row>
    <row r="15" spans="1:37" customFormat="1" x14ac:dyDescent="0.15">
      <c r="A15" s="146" t="s">
        <v>205</v>
      </c>
      <c r="B15" s="137">
        <v>0</v>
      </c>
      <c r="C15" s="137">
        <v>2.0999999825080017E-2</v>
      </c>
      <c r="D15" s="137">
        <v>0</v>
      </c>
      <c r="E15" s="137">
        <v>0</v>
      </c>
      <c r="F15" s="137">
        <v>0</v>
      </c>
      <c r="G15" s="137">
        <v>9.9609353040077467E-3</v>
      </c>
      <c r="H15" s="137">
        <v>0</v>
      </c>
      <c r="I15" s="137">
        <v>0</v>
      </c>
      <c r="J15" s="137">
        <v>0</v>
      </c>
      <c r="K15" s="137">
        <v>9.9999997313000265E-3</v>
      </c>
      <c r="L15" s="137">
        <v>0.02</v>
      </c>
      <c r="M15" s="137">
        <v>9.9999999999999985E-3</v>
      </c>
      <c r="N15" s="137">
        <v>0</v>
      </c>
      <c r="O15" s="137">
        <v>0</v>
      </c>
      <c r="P15" s="137">
        <v>0</v>
      </c>
      <c r="Q15" s="137">
        <v>1.5008704621174309E-2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</row>
    <row r="16" spans="1:37" customFormat="1" x14ac:dyDescent="0.15">
      <c r="A16" s="146" t="s">
        <v>206</v>
      </c>
      <c r="B16" s="137">
        <v>0</v>
      </c>
      <c r="C16" s="137">
        <v>0</v>
      </c>
      <c r="D16" s="137">
        <v>0</v>
      </c>
      <c r="E16" s="137">
        <v>0</v>
      </c>
      <c r="F16" s="137">
        <v>0</v>
      </c>
      <c r="G16" s="137">
        <v>0</v>
      </c>
      <c r="H16" s="137">
        <v>0</v>
      </c>
      <c r="I16" s="137">
        <v>0</v>
      </c>
      <c r="J16" s="137">
        <v>0</v>
      </c>
      <c r="K16" s="137">
        <v>0</v>
      </c>
      <c r="L16" s="137">
        <v>0</v>
      </c>
      <c r="M16" s="137">
        <v>0</v>
      </c>
      <c r="N16" s="137">
        <v>0</v>
      </c>
      <c r="O16" s="137">
        <v>0</v>
      </c>
      <c r="P16" s="137">
        <v>0</v>
      </c>
      <c r="Q16" s="137">
        <v>0</v>
      </c>
      <c r="R16" s="137">
        <v>0</v>
      </c>
      <c r="S16" s="137">
        <v>0</v>
      </c>
      <c r="T16" s="137">
        <v>0</v>
      </c>
      <c r="U16" s="137">
        <v>0</v>
      </c>
      <c r="V16" s="137">
        <v>0</v>
      </c>
      <c r="W16" s="137">
        <v>0</v>
      </c>
      <c r="X16" s="137">
        <v>0</v>
      </c>
      <c r="Y16" s="137">
        <v>0</v>
      </c>
      <c r="Z16" s="137">
        <v>0</v>
      </c>
      <c r="AA16" s="137">
        <v>0</v>
      </c>
      <c r="AB16" s="137">
        <v>0</v>
      </c>
      <c r="AC16" s="137">
        <v>0</v>
      </c>
      <c r="AD16" s="137">
        <v>0</v>
      </c>
      <c r="AE16" s="137">
        <v>0</v>
      </c>
      <c r="AF16" s="137">
        <v>0</v>
      </c>
      <c r="AG16" s="137">
        <v>0</v>
      </c>
      <c r="AH16" s="137">
        <v>0</v>
      </c>
      <c r="AI16" s="137">
        <v>0</v>
      </c>
      <c r="AJ16" s="137">
        <v>0</v>
      </c>
      <c r="AK16" s="137">
        <v>0</v>
      </c>
    </row>
    <row r="17" spans="1:37" customFormat="1" x14ac:dyDescent="0.15">
      <c r="A17" s="146" t="s">
        <v>207</v>
      </c>
      <c r="B17" s="137">
        <v>0</v>
      </c>
      <c r="C17" s="137">
        <v>0</v>
      </c>
      <c r="D17" s="137">
        <v>0</v>
      </c>
      <c r="E17" s="137">
        <v>0</v>
      </c>
      <c r="F17" s="137">
        <v>0</v>
      </c>
      <c r="G17" s="137">
        <v>1.9981815109844998E-2</v>
      </c>
      <c r="H17" s="137">
        <v>0</v>
      </c>
      <c r="I17" s="137">
        <v>0</v>
      </c>
      <c r="J17" s="137">
        <v>0</v>
      </c>
      <c r="K17" s="137">
        <v>1.4999999146950086E-2</v>
      </c>
      <c r="L17" s="137">
        <v>5.0000000000000001E-3</v>
      </c>
      <c r="M17" s="137">
        <v>9.9999999999999985E-3</v>
      </c>
      <c r="N17" s="137">
        <v>0</v>
      </c>
      <c r="O17" s="137">
        <v>0</v>
      </c>
      <c r="P17" s="137">
        <v>0</v>
      </c>
      <c r="Q17" s="137">
        <v>5.0129076396721976E-3</v>
      </c>
      <c r="R17" s="137">
        <v>0</v>
      </c>
      <c r="S17" s="137">
        <v>0</v>
      </c>
      <c r="T17" s="137">
        <v>0</v>
      </c>
      <c r="U17" s="137">
        <v>0</v>
      </c>
      <c r="V17" s="137">
        <v>0</v>
      </c>
      <c r="W17" s="137">
        <v>0</v>
      </c>
      <c r="X17" s="137">
        <v>0</v>
      </c>
      <c r="Y17" s="137">
        <v>0</v>
      </c>
      <c r="Z17" s="137">
        <v>0</v>
      </c>
      <c r="AA17" s="137">
        <v>0</v>
      </c>
      <c r="AB17" s="137">
        <v>0</v>
      </c>
      <c r="AC17" s="137">
        <v>0</v>
      </c>
      <c r="AD17" s="137">
        <v>0</v>
      </c>
      <c r="AE17" s="137">
        <v>0</v>
      </c>
      <c r="AF17" s="137">
        <v>0</v>
      </c>
      <c r="AG17" s="137">
        <v>0</v>
      </c>
      <c r="AH17" s="137">
        <v>0</v>
      </c>
      <c r="AI17" s="137">
        <v>0</v>
      </c>
      <c r="AJ17" s="137">
        <v>0</v>
      </c>
      <c r="AK17" s="137">
        <v>0</v>
      </c>
    </row>
    <row r="18" spans="1:37" customFormat="1" x14ac:dyDescent="0.15">
      <c r="A18" s="146" t="s">
        <v>208</v>
      </c>
      <c r="B18" s="137">
        <v>0</v>
      </c>
      <c r="C18" s="137">
        <v>3.0000000064399996E-3</v>
      </c>
      <c r="D18" s="137">
        <v>0.09</v>
      </c>
      <c r="E18" s="137">
        <v>0</v>
      </c>
      <c r="F18" s="137">
        <v>0</v>
      </c>
      <c r="G18" s="137">
        <v>0</v>
      </c>
      <c r="H18" s="137">
        <v>0</v>
      </c>
      <c r="I18" s="137">
        <v>0</v>
      </c>
      <c r="J18" s="137">
        <v>0</v>
      </c>
      <c r="K18" s="137">
        <v>0</v>
      </c>
      <c r="L18" s="137">
        <v>0</v>
      </c>
      <c r="M18" s="137">
        <v>9.9999999999999985E-3</v>
      </c>
      <c r="N18" s="137">
        <v>0</v>
      </c>
      <c r="O18" s="137">
        <v>0</v>
      </c>
      <c r="P18" s="137">
        <v>0</v>
      </c>
      <c r="Q18" s="137">
        <v>0</v>
      </c>
      <c r="R18" s="137">
        <v>0.04</v>
      </c>
      <c r="S18" s="137">
        <v>0</v>
      </c>
      <c r="T18" s="137">
        <v>0</v>
      </c>
      <c r="U18" s="137">
        <v>0</v>
      </c>
      <c r="V18" s="137">
        <v>0</v>
      </c>
      <c r="W18" s="137">
        <v>0</v>
      </c>
      <c r="X18" s="137">
        <v>0</v>
      </c>
      <c r="Y18" s="137">
        <v>0</v>
      </c>
      <c r="Z18" s="137">
        <v>0</v>
      </c>
      <c r="AA18" s="137">
        <v>0</v>
      </c>
      <c r="AB18" s="137">
        <v>0</v>
      </c>
      <c r="AC18" s="137">
        <v>0</v>
      </c>
      <c r="AD18" s="137">
        <v>0</v>
      </c>
      <c r="AE18" s="137">
        <v>0</v>
      </c>
      <c r="AF18" s="137">
        <v>0</v>
      </c>
      <c r="AG18" s="137">
        <v>0</v>
      </c>
      <c r="AH18" s="137">
        <v>0</v>
      </c>
      <c r="AI18" s="137">
        <v>0</v>
      </c>
      <c r="AJ18" s="137">
        <v>0</v>
      </c>
      <c r="AK18" s="137">
        <v>0</v>
      </c>
    </row>
    <row r="19" spans="1:37" customFormat="1" x14ac:dyDescent="0.15">
      <c r="A19" s="146" t="s">
        <v>209</v>
      </c>
      <c r="B19" s="137">
        <v>0</v>
      </c>
      <c r="C19" s="137">
        <v>0</v>
      </c>
      <c r="D19" s="137">
        <v>0</v>
      </c>
      <c r="E19" s="137">
        <v>0</v>
      </c>
      <c r="F19" s="137">
        <v>0</v>
      </c>
      <c r="G19" s="137">
        <v>0</v>
      </c>
      <c r="H19" s="137">
        <v>0</v>
      </c>
      <c r="I19" s="137">
        <v>0</v>
      </c>
      <c r="J19" s="137">
        <v>0</v>
      </c>
      <c r="K19" s="137">
        <v>9.9999997313000265E-3</v>
      </c>
      <c r="L19" s="137">
        <v>5.0000000000000001E-3</v>
      </c>
      <c r="M19" s="137">
        <v>4.9999999999999989E-2</v>
      </c>
      <c r="N19" s="137">
        <v>0</v>
      </c>
      <c r="O19" s="137">
        <v>9.9999999545000006E-3</v>
      </c>
      <c r="P19" s="137">
        <v>0</v>
      </c>
      <c r="Q19" s="137">
        <v>0</v>
      </c>
      <c r="R19" s="137">
        <v>0.01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137">
        <v>0</v>
      </c>
      <c r="Z19" s="137">
        <v>0</v>
      </c>
      <c r="AA19" s="137">
        <v>0</v>
      </c>
      <c r="AB19" s="137">
        <v>0</v>
      </c>
      <c r="AC19" s="137">
        <v>0</v>
      </c>
      <c r="AD19" s="137">
        <v>0</v>
      </c>
      <c r="AE19" s="137">
        <v>0</v>
      </c>
      <c r="AF19" s="137">
        <v>0</v>
      </c>
      <c r="AG19" s="137">
        <v>0</v>
      </c>
      <c r="AH19" s="137">
        <v>0</v>
      </c>
      <c r="AI19" s="137">
        <v>0</v>
      </c>
      <c r="AJ19" s="137">
        <v>0</v>
      </c>
      <c r="AK19" s="137">
        <v>0</v>
      </c>
    </row>
    <row r="20" spans="1:37" customFormat="1" x14ac:dyDescent="0.15">
      <c r="A20" s="146" t="s">
        <v>210</v>
      </c>
      <c r="B20" s="137">
        <v>0</v>
      </c>
      <c r="C20" s="137">
        <v>0</v>
      </c>
      <c r="D20" s="137">
        <v>0</v>
      </c>
      <c r="E20" s="137">
        <v>1E-3</v>
      </c>
      <c r="F20" s="137">
        <v>0</v>
      </c>
      <c r="G20" s="137">
        <v>9.9609353040077467E-3</v>
      </c>
      <c r="H20" s="137">
        <v>0</v>
      </c>
      <c r="I20" s="137">
        <v>0</v>
      </c>
      <c r="J20" s="137">
        <v>0</v>
      </c>
      <c r="K20" s="137">
        <v>1.0000000631299941E-3</v>
      </c>
      <c r="L20" s="137">
        <v>5.0000000000000001E-3</v>
      </c>
      <c r="M20" s="137">
        <v>0</v>
      </c>
      <c r="N20" s="137">
        <v>0</v>
      </c>
      <c r="O20" s="137">
        <v>0</v>
      </c>
      <c r="P20" s="137">
        <v>2.0000001526399866E-3</v>
      </c>
      <c r="Q20" s="137">
        <v>1.0005804180782795E-3</v>
      </c>
      <c r="R20" s="137">
        <v>0</v>
      </c>
      <c r="S20" s="137">
        <v>0</v>
      </c>
      <c r="T20" s="137">
        <v>0</v>
      </c>
      <c r="U20" s="137">
        <v>0</v>
      </c>
      <c r="V20" s="137">
        <v>0</v>
      </c>
      <c r="W20" s="137">
        <v>0</v>
      </c>
      <c r="X20" s="137">
        <v>0</v>
      </c>
      <c r="Y20" s="137">
        <v>0</v>
      </c>
      <c r="Z20" s="137">
        <v>0</v>
      </c>
      <c r="AA20" s="137">
        <v>0</v>
      </c>
      <c r="AB20" s="137">
        <v>0</v>
      </c>
      <c r="AC20" s="137">
        <v>0</v>
      </c>
      <c r="AD20" s="137">
        <v>0</v>
      </c>
      <c r="AE20" s="137">
        <v>0</v>
      </c>
      <c r="AF20" s="137">
        <v>0</v>
      </c>
      <c r="AG20" s="137">
        <v>0</v>
      </c>
      <c r="AH20" s="137">
        <v>0</v>
      </c>
      <c r="AI20" s="137">
        <v>0</v>
      </c>
      <c r="AJ20" s="137">
        <v>0</v>
      </c>
      <c r="AK20" s="137">
        <v>0</v>
      </c>
    </row>
    <row r="21" spans="1:37" customFormat="1" x14ac:dyDescent="0.15">
      <c r="A21" s="146" t="s">
        <v>211</v>
      </c>
      <c r="B21" s="137">
        <v>0</v>
      </c>
      <c r="C21" s="137">
        <v>0</v>
      </c>
      <c r="D21" s="137">
        <v>0</v>
      </c>
      <c r="E21" s="137">
        <v>5.0000000000000001E-3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9.9999997313000265E-3</v>
      </c>
      <c r="L21" s="137">
        <v>5.0000000000000001E-3</v>
      </c>
      <c r="M21" s="137">
        <v>0</v>
      </c>
      <c r="N21" s="137">
        <v>0</v>
      </c>
      <c r="O21" s="137">
        <v>2.000000180899986E-3</v>
      </c>
      <c r="P21" s="137">
        <v>4.9999999066000075E-3</v>
      </c>
      <c r="Q21" s="137">
        <v>1.0005803080782872E-2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</row>
    <row r="22" spans="1:37" customFormat="1" x14ac:dyDescent="0.15">
      <c r="A22" s="146" t="s">
        <v>212</v>
      </c>
      <c r="B22" s="137">
        <v>0</v>
      </c>
      <c r="C22" s="137">
        <v>9.9999998548000128E-3</v>
      </c>
      <c r="D22" s="137">
        <v>0</v>
      </c>
      <c r="E22" s="137">
        <v>5.0000000000000001E-3</v>
      </c>
      <c r="F22" s="137">
        <v>0</v>
      </c>
      <c r="G22" s="137">
        <v>1.9981815109844998E-2</v>
      </c>
      <c r="H22" s="137">
        <v>0</v>
      </c>
      <c r="I22" s="137">
        <v>0</v>
      </c>
      <c r="J22" s="137">
        <v>0</v>
      </c>
      <c r="K22" s="137">
        <v>1.0000000631299941E-3</v>
      </c>
      <c r="L22" s="137">
        <v>0</v>
      </c>
      <c r="M22" s="137">
        <v>0</v>
      </c>
      <c r="N22" s="137">
        <v>0</v>
      </c>
      <c r="O22" s="137">
        <v>0</v>
      </c>
      <c r="P22" s="137">
        <v>0</v>
      </c>
      <c r="Q22" s="137">
        <v>1.0005804180782795E-3</v>
      </c>
      <c r="R22" s="137">
        <v>0</v>
      </c>
      <c r="S22" s="137">
        <v>0</v>
      </c>
      <c r="T22" s="137">
        <v>0</v>
      </c>
      <c r="U22" s="137">
        <v>0</v>
      </c>
      <c r="V22" s="137">
        <v>0</v>
      </c>
      <c r="W22" s="137">
        <v>0</v>
      </c>
      <c r="X22" s="137">
        <v>0</v>
      </c>
      <c r="Y22" s="137">
        <v>0</v>
      </c>
      <c r="Z22" s="137">
        <v>0</v>
      </c>
      <c r="AA22" s="137">
        <v>0</v>
      </c>
      <c r="AB22" s="137">
        <v>0</v>
      </c>
      <c r="AC22" s="137">
        <v>0</v>
      </c>
      <c r="AD22" s="137">
        <v>0</v>
      </c>
      <c r="AE22" s="137">
        <v>0</v>
      </c>
      <c r="AF22" s="137">
        <v>0</v>
      </c>
      <c r="AG22" s="137">
        <v>0</v>
      </c>
      <c r="AH22" s="137">
        <v>0</v>
      </c>
      <c r="AI22" s="137">
        <v>0</v>
      </c>
      <c r="AJ22" s="137">
        <v>0</v>
      </c>
      <c r="AK22" s="137">
        <v>0</v>
      </c>
    </row>
    <row r="23" spans="1:37" customFormat="1" x14ac:dyDescent="0.15">
      <c r="A23" s="146" t="s">
        <v>213</v>
      </c>
      <c r="B23" s="137">
        <v>4.4999999999999998E-2</v>
      </c>
      <c r="C23" s="137">
        <v>0</v>
      </c>
      <c r="D23" s="137">
        <v>0</v>
      </c>
      <c r="E23" s="137">
        <v>0.1</v>
      </c>
      <c r="F23" s="137">
        <v>0</v>
      </c>
      <c r="G23" s="137">
        <v>0</v>
      </c>
      <c r="H23" s="137">
        <v>0</v>
      </c>
      <c r="I23" s="137">
        <v>5.0000000000000001E-3</v>
      </c>
      <c r="J23" s="137">
        <v>0</v>
      </c>
      <c r="K23" s="137">
        <v>4.9999999656500045E-2</v>
      </c>
      <c r="L23" s="137">
        <v>1.4999999999999999E-2</v>
      </c>
      <c r="M23" s="137">
        <v>6.9999999999999993E-2</v>
      </c>
      <c r="N23" s="137">
        <v>0.15</v>
      </c>
      <c r="O23" s="137">
        <v>0.14500000019024997</v>
      </c>
      <c r="P23" s="137">
        <v>1.999999962640003E-2</v>
      </c>
      <c r="Q23" s="137">
        <v>8.1247130159956271E-2</v>
      </c>
      <c r="R23" s="137">
        <v>0.02</v>
      </c>
      <c r="S23" s="137">
        <v>7.6861567347965842E-2</v>
      </c>
      <c r="T23" s="137">
        <v>0.1</v>
      </c>
      <c r="U23" s="137">
        <v>0.1</v>
      </c>
      <c r="V23" s="137">
        <v>0.09</v>
      </c>
      <c r="W23" s="137">
        <v>0</v>
      </c>
      <c r="X23" s="137">
        <v>0</v>
      </c>
      <c r="Y23" s="137">
        <v>0</v>
      </c>
      <c r="Z23" s="137">
        <v>0</v>
      </c>
      <c r="AA23" s="137">
        <v>3.0000000000000002E-2</v>
      </c>
      <c r="AB23" s="137">
        <v>0.04</v>
      </c>
      <c r="AC23" s="137">
        <v>0</v>
      </c>
      <c r="AD23" s="137">
        <v>0</v>
      </c>
      <c r="AE23" s="137">
        <v>0</v>
      </c>
      <c r="AF23" s="137">
        <v>0</v>
      </c>
      <c r="AG23" s="137">
        <v>0</v>
      </c>
      <c r="AH23" s="137">
        <v>0</v>
      </c>
      <c r="AI23" s="137">
        <v>0</v>
      </c>
      <c r="AJ23" s="137">
        <v>0</v>
      </c>
      <c r="AK23" s="137">
        <v>0</v>
      </c>
    </row>
    <row r="24" spans="1:37" customFormat="1" x14ac:dyDescent="0.15">
      <c r="A24" s="146" t="s">
        <v>214</v>
      </c>
      <c r="B24" s="137">
        <v>0</v>
      </c>
      <c r="C24" s="137">
        <v>0</v>
      </c>
      <c r="D24" s="137">
        <v>0</v>
      </c>
      <c r="E24" s="137">
        <v>0.31900000000000001</v>
      </c>
      <c r="F24" s="137">
        <v>0</v>
      </c>
      <c r="G24" s="137">
        <v>0</v>
      </c>
      <c r="H24" s="137">
        <v>0</v>
      </c>
      <c r="I24" s="137">
        <v>0</v>
      </c>
      <c r="J24" s="137">
        <v>0</v>
      </c>
      <c r="K24" s="137">
        <v>0.12600000479437956</v>
      </c>
      <c r="L24" s="137">
        <v>0</v>
      </c>
      <c r="M24" s="137">
        <v>0</v>
      </c>
      <c r="N24" s="137">
        <v>0</v>
      </c>
      <c r="O24" s="137">
        <v>7.0000004781499633E-2</v>
      </c>
      <c r="P24" s="137">
        <v>5.9999997079200264E-2</v>
      </c>
      <c r="Q24" s="137">
        <v>0.21112245282451805</v>
      </c>
      <c r="R24" s="137">
        <v>0.1</v>
      </c>
      <c r="S24" s="137">
        <v>9.8750629440560178E-2</v>
      </c>
      <c r="T24" s="137">
        <v>0.33</v>
      </c>
      <c r="U24" s="137">
        <v>0.33</v>
      </c>
      <c r="V24" s="137">
        <v>0.38</v>
      </c>
      <c r="W24" s="137">
        <v>0</v>
      </c>
      <c r="X24" s="137">
        <v>4.6906189211207622E-2</v>
      </c>
      <c r="Y24" s="137">
        <v>0</v>
      </c>
      <c r="Z24" s="137">
        <v>0</v>
      </c>
      <c r="AA24" s="137">
        <v>3.0000000000000002E-2</v>
      </c>
      <c r="AB24" s="137">
        <v>2.5000000000000001E-2</v>
      </c>
      <c r="AC24" s="137">
        <v>0</v>
      </c>
      <c r="AD24" s="137">
        <v>0</v>
      </c>
      <c r="AE24" s="137">
        <v>0</v>
      </c>
      <c r="AF24" s="137">
        <v>0</v>
      </c>
      <c r="AG24" s="137">
        <v>0</v>
      </c>
      <c r="AH24" s="137">
        <v>0</v>
      </c>
      <c r="AI24" s="137">
        <v>0</v>
      </c>
      <c r="AJ24" s="137">
        <v>0</v>
      </c>
      <c r="AK24" s="137">
        <v>0</v>
      </c>
    </row>
    <row r="25" spans="1:37" customFormat="1" x14ac:dyDescent="0.15">
      <c r="A25" s="146" t="s">
        <v>215</v>
      </c>
      <c r="B25" s="137">
        <v>0</v>
      </c>
      <c r="C25" s="137">
        <v>0</v>
      </c>
      <c r="D25" s="137">
        <v>0</v>
      </c>
      <c r="E25" s="137">
        <v>0.435</v>
      </c>
      <c r="F25" s="137">
        <v>0</v>
      </c>
      <c r="G25" s="137">
        <v>0</v>
      </c>
      <c r="H25" s="137">
        <v>2.9999999999999992E-2</v>
      </c>
      <c r="I25" s="137">
        <v>0</v>
      </c>
      <c r="J25" s="137">
        <v>0</v>
      </c>
      <c r="K25" s="137">
        <v>7.5000002734749757E-2</v>
      </c>
      <c r="L25" s="137">
        <v>0</v>
      </c>
      <c r="M25" s="137">
        <v>0</v>
      </c>
      <c r="N25" s="137">
        <v>0</v>
      </c>
      <c r="O25" s="137">
        <v>0.53399999919030006</v>
      </c>
      <c r="P25" s="137">
        <v>9.999999813200015E-3</v>
      </c>
      <c r="Q25" s="137">
        <v>0.14108182985903803</v>
      </c>
      <c r="R25" s="137">
        <v>0.2</v>
      </c>
      <c r="S25" s="137">
        <v>7.6861567347965842E-2</v>
      </c>
      <c r="T25" s="137">
        <v>0.37</v>
      </c>
      <c r="U25" s="137">
        <v>0.37</v>
      </c>
      <c r="V25" s="137">
        <v>0.33</v>
      </c>
      <c r="W25" s="137">
        <v>0.2</v>
      </c>
      <c r="X25" s="137">
        <v>9.481038224605795E-2</v>
      </c>
      <c r="Y25" s="137">
        <v>0</v>
      </c>
      <c r="Z25" s="137">
        <v>0</v>
      </c>
      <c r="AA25" s="137">
        <v>0</v>
      </c>
      <c r="AB25" s="137">
        <v>0</v>
      </c>
      <c r="AC25" s="137">
        <v>0</v>
      </c>
      <c r="AD25" s="137">
        <v>0</v>
      </c>
      <c r="AE25" s="137">
        <v>0</v>
      </c>
      <c r="AF25" s="137">
        <v>0</v>
      </c>
      <c r="AG25" s="137">
        <v>0</v>
      </c>
      <c r="AH25" s="137">
        <v>0</v>
      </c>
      <c r="AI25" s="137">
        <v>0</v>
      </c>
      <c r="AJ25" s="137">
        <v>0</v>
      </c>
      <c r="AK25" s="137">
        <v>0</v>
      </c>
    </row>
    <row r="26" spans="1:37" customFormat="1" x14ac:dyDescent="0.15">
      <c r="A26" s="146" t="s">
        <v>216</v>
      </c>
      <c r="B26" s="137">
        <v>0</v>
      </c>
      <c r="C26" s="137">
        <v>0</v>
      </c>
      <c r="D26" s="137">
        <v>0</v>
      </c>
      <c r="E26" s="137">
        <v>0.1</v>
      </c>
      <c r="F26" s="137">
        <v>0</v>
      </c>
      <c r="G26" s="137">
        <v>0</v>
      </c>
      <c r="H26" s="137">
        <v>0</v>
      </c>
      <c r="I26" s="137">
        <v>0</v>
      </c>
      <c r="J26" s="137">
        <v>0</v>
      </c>
      <c r="K26" s="137">
        <v>3.9999998925200106E-2</v>
      </c>
      <c r="L26" s="137">
        <v>0</v>
      </c>
      <c r="M26" s="137">
        <v>0</v>
      </c>
      <c r="N26" s="137">
        <v>0</v>
      </c>
      <c r="O26" s="137">
        <v>5.8999999701550017E-2</v>
      </c>
      <c r="P26" s="137">
        <v>0</v>
      </c>
      <c r="Q26" s="137">
        <v>5.0129076396721976E-2</v>
      </c>
      <c r="R26" s="137">
        <v>0.05</v>
      </c>
      <c r="S26" s="137">
        <v>0</v>
      </c>
      <c r="T26" s="137">
        <v>0.1</v>
      </c>
      <c r="U26" s="137">
        <v>0.1</v>
      </c>
      <c r="V26" s="137">
        <v>0.1</v>
      </c>
      <c r="W26" s="137">
        <v>0.1</v>
      </c>
      <c r="X26" s="137">
        <v>1.9960082572854356E-3</v>
      </c>
      <c r="Y26" s="137">
        <v>0</v>
      </c>
      <c r="Z26" s="137">
        <v>5.0000000000000001E-3</v>
      </c>
      <c r="AA26" s="137">
        <v>0.15000000000000002</v>
      </c>
      <c r="AB26" s="137">
        <v>9.5000000000000001E-2</v>
      </c>
      <c r="AC26" s="137">
        <v>0.11144883289159066</v>
      </c>
      <c r="AD26" s="137">
        <v>0.30624500459367504</v>
      </c>
      <c r="AE26" s="137">
        <v>0</v>
      </c>
      <c r="AF26" s="137">
        <v>0</v>
      </c>
      <c r="AG26" s="137">
        <v>0</v>
      </c>
      <c r="AH26" s="137">
        <v>0</v>
      </c>
      <c r="AI26" s="137">
        <v>0</v>
      </c>
      <c r="AJ26" s="137">
        <v>0</v>
      </c>
      <c r="AK26" s="137">
        <v>0</v>
      </c>
    </row>
    <row r="27" spans="1:37" customFormat="1" x14ac:dyDescent="0.15">
      <c r="A27" s="146" t="s">
        <v>217</v>
      </c>
      <c r="B27" s="137">
        <v>0.02</v>
      </c>
      <c r="C27" s="137">
        <v>0.10400000120991991</v>
      </c>
      <c r="D27" s="137">
        <v>0</v>
      </c>
      <c r="E27" s="137">
        <v>0</v>
      </c>
      <c r="F27" s="137">
        <v>7.0000002621999721E-2</v>
      </c>
      <c r="G27" s="137">
        <v>4.9954541524612608E-2</v>
      </c>
      <c r="H27" s="137">
        <v>3.9999999999999994E-2</v>
      </c>
      <c r="I27" s="137">
        <v>0</v>
      </c>
      <c r="J27" s="137">
        <v>0</v>
      </c>
      <c r="K27" s="137">
        <v>4.9999998656500132E-3</v>
      </c>
      <c r="L27" s="137">
        <v>0</v>
      </c>
      <c r="M27" s="137">
        <v>0</v>
      </c>
      <c r="N27" s="137">
        <v>0</v>
      </c>
      <c r="O27" s="137">
        <v>0</v>
      </c>
      <c r="P27" s="137">
        <v>0</v>
      </c>
      <c r="Q27" s="137">
        <v>2.0011606161565745E-2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0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</row>
    <row r="28" spans="1:37" customFormat="1" x14ac:dyDescent="0.15">
      <c r="A28" s="146" t="s">
        <v>218</v>
      </c>
      <c r="B28" s="137">
        <v>0</v>
      </c>
      <c r="C28" s="137">
        <v>1.1999999985760002E-2</v>
      </c>
      <c r="D28" s="137">
        <v>0</v>
      </c>
      <c r="E28" s="137">
        <v>0</v>
      </c>
      <c r="F28" s="137">
        <v>1.7000001008199893E-2</v>
      </c>
      <c r="G28" s="137">
        <v>1.4986361857383765E-2</v>
      </c>
      <c r="H28" s="137">
        <v>9.9999999999999985E-3</v>
      </c>
      <c r="I28" s="137">
        <v>0</v>
      </c>
      <c r="J28" s="137">
        <v>0</v>
      </c>
      <c r="K28" s="137">
        <v>0</v>
      </c>
      <c r="L28" s="137">
        <v>0</v>
      </c>
      <c r="M28" s="137">
        <v>0</v>
      </c>
      <c r="N28" s="137">
        <v>0</v>
      </c>
      <c r="O28" s="137">
        <v>0</v>
      </c>
      <c r="P28" s="137">
        <v>0</v>
      </c>
      <c r="Q28" s="137">
        <v>0</v>
      </c>
      <c r="R28" s="137">
        <v>0</v>
      </c>
      <c r="S28" s="137">
        <v>0</v>
      </c>
      <c r="T28" s="137">
        <v>0</v>
      </c>
      <c r="U28" s="137">
        <v>0</v>
      </c>
      <c r="V28" s="137">
        <v>0</v>
      </c>
      <c r="W28" s="137">
        <v>0</v>
      </c>
      <c r="X28" s="137">
        <v>0</v>
      </c>
      <c r="Y28" s="137">
        <v>0</v>
      </c>
      <c r="Z28" s="137">
        <v>0</v>
      </c>
      <c r="AA28" s="137">
        <v>0</v>
      </c>
      <c r="AB28" s="137">
        <v>0</v>
      </c>
      <c r="AC28" s="137">
        <v>0</v>
      </c>
      <c r="AD28" s="137">
        <v>0</v>
      </c>
      <c r="AE28" s="137">
        <v>0</v>
      </c>
      <c r="AF28" s="137">
        <v>0</v>
      </c>
      <c r="AG28" s="137">
        <v>0</v>
      </c>
      <c r="AH28" s="137">
        <v>0</v>
      </c>
      <c r="AI28" s="137">
        <v>0</v>
      </c>
      <c r="AJ28" s="137">
        <v>0</v>
      </c>
      <c r="AK28" s="137">
        <v>0</v>
      </c>
    </row>
    <row r="29" spans="1:37" customFormat="1" x14ac:dyDescent="0.15">
      <c r="A29" s="146" t="s">
        <v>219</v>
      </c>
      <c r="B29" s="137">
        <v>0.1</v>
      </c>
      <c r="C29" s="137">
        <v>0.25999999802480017</v>
      </c>
      <c r="D29" s="137">
        <v>0.9</v>
      </c>
      <c r="E29" s="137">
        <v>0</v>
      </c>
      <c r="F29" s="137">
        <v>0.19999999692000031</v>
      </c>
      <c r="G29" s="137">
        <v>0.24977270762306306</v>
      </c>
      <c r="H29" s="137">
        <v>4.9999999999999989E-2</v>
      </c>
      <c r="I29" s="137">
        <v>0.01</v>
      </c>
      <c r="J29" s="137">
        <v>1.9999999868000006E-2</v>
      </c>
      <c r="K29" s="137">
        <v>2.9999998293900172E-2</v>
      </c>
      <c r="L29" s="137">
        <v>0.5</v>
      </c>
      <c r="M29" s="137">
        <v>0.29999999999999993</v>
      </c>
      <c r="N29" s="137">
        <v>0.2</v>
      </c>
      <c r="O29" s="137">
        <v>9.9999999545000006E-3</v>
      </c>
      <c r="P29" s="137">
        <v>0.20000000026399997</v>
      </c>
      <c r="Q29" s="137">
        <v>1.0005803080782872E-2</v>
      </c>
      <c r="R29" s="137">
        <v>0.3</v>
      </c>
      <c r="S29" s="137">
        <v>0.38480759378760598</v>
      </c>
      <c r="T29" s="137">
        <v>0</v>
      </c>
      <c r="U29" s="137">
        <v>0</v>
      </c>
      <c r="V29" s="137">
        <v>0</v>
      </c>
      <c r="W29" s="137">
        <v>0</v>
      </c>
      <c r="X29" s="137">
        <v>0</v>
      </c>
      <c r="Y29" s="137">
        <v>0</v>
      </c>
      <c r="Z29" s="137">
        <v>0</v>
      </c>
      <c r="AA29" s="137">
        <v>0</v>
      </c>
      <c r="AB29" s="137">
        <v>9.5000000000000001E-2</v>
      </c>
      <c r="AC29" s="137">
        <v>0.12360689098885512</v>
      </c>
      <c r="AD29" s="137">
        <v>1.4211370213170552E-2</v>
      </c>
      <c r="AE29" s="137">
        <v>0</v>
      </c>
      <c r="AF29" s="137">
        <v>0</v>
      </c>
      <c r="AG29" s="137">
        <v>0</v>
      </c>
      <c r="AH29" s="137">
        <v>0</v>
      </c>
      <c r="AI29" s="137">
        <v>0</v>
      </c>
      <c r="AJ29" s="137">
        <v>0</v>
      </c>
      <c r="AK29" s="137">
        <v>0</v>
      </c>
    </row>
    <row r="30" spans="1:37" customFormat="1" x14ac:dyDescent="0.15">
      <c r="A30" s="146" t="s">
        <v>220</v>
      </c>
      <c r="B30" s="137">
        <v>0.13</v>
      </c>
      <c r="C30" s="137">
        <v>4.6999998127560165E-2</v>
      </c>
      <c r="D30" s="137">
        <v>0</v>
      </c>
      <c r="E30" s="137">
        <v>0</v>
      </c>
      <c r="F30" s="137">
        <v>7.5000002094999782E-2</v>
      </c>
      <c r="G30" s="137">
        <v>9.9609353040077467E-3</v>
      </c>
      <c r="H30" s="137">
        <v>0.18999999999999995</v>
      </c>
      <c r="I30" s="137">
        <v>0.04</v>
      </c>
      <c r="J30" s="137">
        <v>0</v>
      </c>
      <c r="K30" s="137">
        <v>2.0999999565730045E-2</v>
      </c>
      <c r="L30" s="137">
        <v>2.5000000000000001E-2</v>
      </c>
      <c r="M30" s="137">
        <v>9.9999999999999978E-2</v>
      </c>
      <c r="N30" s="137">
        <v>0</v>
      </c>
      <c r="O30" s="137">
        <v>6.0000000726999937E-3</v>
      </c>
      <c r="P30" s="137">
        <v>0.10000000013199999</v>
      </c>
      <c r="Q30" s="137">
        <v>5.0129076396721976E-3</v>
      </c>
      <c r="R30" s="137">
        <v>0.16</v>
      </c>
      <c r="S30" s="137">
        <v>0.16491754476611728</v>
      </c>
      <c r="T30" s="137">
        <v>0</v>
      </c>
      <c r="U30" s="137">
        <v>0</v>
      </c>
      <c r="V30" s="137">
        <v>0</v>
      </c>
      <c r="W30" s="137">
        <v>0</v>
      </c>
      <c r="X30" s="137">
        <v>0</v>
      </c>
      <c r="Y30" s="137">
        <v>0</v>
      </c>
      <c r="Z30" s="137">
        <v>0</v>
      </c>
      <c r="AA30" s="137">
        <v>3.0000000000000002E-2</v>
      </c>
      <c r="AB30" s="137">
        <v>0.12</v>
      </c>
      <c r="AC30" s="137">
        <v>0.15501520124012161</v>
      </c>
      <c r="AD30" s="137">
        <v>0</v>
      </c>
      <c r="AE30" s="137">
        <v>0</v>
      </c>
      <c r="AF30" s="137">
        <v>0</v>
      </c>
      <c r="AG30" s="137">
        <v>0</v>
      </c>
      <c r="AH30" s="137">
        <v>0</v>
      </c>
      <c r="AI30" s="137">
        <v>0</v>
      </c>
      <c r="AJ30" s="137">
        <v>0</v>
      </c>
      <c r="AK30" s="137">
        <v>0</v>
      </c>
    </row>
    <row r="31" spans="1:37" customFormat="1" x14ac:dyDescent="0.15">
      <c r="A31" s="146" t="s">
        <v>221</v>
      </c>
      <c r="B31" s="137">
        <v>0</v>
      </c>
      <c r="C31" s="137">
        <v>0</v>
      </c>
      <c r="D31" s="137">
        <v>0</v>
      </c>
      <c r="E31" s="137">
        <v>0</v>
      </c>
      <c r="F31" s="137">
        <v>1.9999999292000071E-2</v>
      </c>
      <c r="G31" s="137">
        <v>0</v>
      </c>
      <c r="H31" s="137">
        <v>9.9999999999999985E-3</v>
      </c>
      <c r="I31" s="137">
        <v>0</v>
      </c>
      <c r="J31" s="137">
        <v>0</v>
      </c>
      <c r="K31" s="137">
        <v>0</v>
      </c>
      <c r="L31" s="137">
        <v>0</v>
      </c>
      <c r="M31" s="137">
        <v>0</v>
      </c>
      <c r="N31" s="137">
        <v>0</v>
      </c>
      <c r="O31" s="137">
        <v>0</v>
      </c>
      <c r="P31" s="137">
        <v>0</v>
      </c>
      <c r="Q31" s="137">
        <v>0</v>
      </c>
      <c r="R31" s="137">
        <v>0</v>
      </c>
      <c r="S31" s="137">
        <v>0</v>
      </c>
      <c r="T31" s="137">
        <v>0</v>
      </c>
      <c r="U31" s="137">
        <v>0</v>
      </c>
      <c r="V31" s="137">
        <v>0</v>
      </c>
      <c r="W31" s="137">
        <v>0</v>
      </c>
      <c r="X31" s="137">
        <v>0</v>
      </c>
      <c r="Y31" s="137">
        <v>0</v>
      </c>
      <c r="Z31" s="137">
        <v>0</v>
      </c>
      <c r="AA31" s="137">
        <v>0</v>
      </c>
      <c r="AB31" s="137">
        <v>0</v>
      </c>
      <c r="AC31" s="137">
        <v>0</v>
      </c>
      <c r="AD31" s="137">
        <v>0</v>
      </c>
      <c r="AE31" s="137">
        <v>0</v>
      </c>
      <c r="AF31" s="137">
        <v>0</v>
      </c>
      <c r="AG31" s="137">
        <v>0</v>
      </c>
      <c r="AH31" s="137">
        <v>0</v>
      </c>
      <c r="AI31" s="137">
        <v>0</v>
      </c>
      <c r="AJ31" s="137">
        <v>0</v>
      </c>
      <c r="AK31" s="137">
        <v>0</v>
      </c>
    </row>
    <row r="32" spans="1:37" customFormat="1" x14ac:dyDescent="0.15">
      <c r="A32" s="146" t="s">
        <v>222</v>
      </c>
      <c r="B32" s="137">
        <v>0.315</v>
      </c>
      <c r="C32" s="137">
        <v>0</v>
      </c>
      <c r="D32" s="137">
        <v>0</v>
      </c>
      <c r="E32" s="137">
        <v>5.0000000000000001E-3</v>
      </c>
      <c r="F32" s="137">
        <v>9.9999996460000354E-3</v>
      </c>
      <c r="G32" s="137">
        <v>0</v>
      </c>
      <c r="H32" s="137">
        <v>0.31999999999999995</v>
      </c>
      <c r="I32" s="137">
        <v>0.495</v>
      </c>
      <c r="J32" s="137">
        <v>0.50500001631699865</v>
      </c>
      <c r="K32" s="137">
        <v>1.9999999462600053E-2</v>
      </c>
      <c r="L32" s="137">
        <v>0</v>
      </c>
      <c r="M32" s="137">
        <v>0</v>
      </c>
      <c r="N32" s="137">
        <v>0.05</v>
      </c>
      <c r="O32" s="137">
        <v>9.3999997192300191E-2</v>
      </c>
      <c r="P32" s="137">
        <v>0</v>
      </c>
      <c r="Q32" s="137">
        <v>4.5126174156330592E-2</v>
      </c>
      <c r="R32" s="137">
        <v>0.12</v>
      </c>
      <c r="S32" s="137">
        <v>0.13193402961289322</v>
      </c>
      <c r="T32" s="137">
        <v>0</v>
      </c>
      <c r="U32" s="137">
        <v>0</v>
      </c>
      <c r="V32" s="137">
        <v>0</v>
      </c>
      <c r="W32" s="137">
        <v>0</v>
      </c>
      <c r="X32" s="137">
        <v>0</v>
      </c>
      <c r="Y32" s="137">
        <v>0</v>
      </c>
      <c r="Z32" s="137">
        <v>0</v>
      </c>
      <c r="AA32" s="137">
        <v>0.41000000000000003</v>
      </c>
      <c r="AB32" s="137">
        <v>0.52500000000000002</v>
      </c>
      <c r="AC32" s="137">
        <v>0.40324214422593713</v>
      </c>
      <c r="AD32" s="137">
        <v>0.38530824177962364</v>
      </c>
      <c r="AE32" s="137">
        <v>0.3</v>
      </c>
      <c r="AF32" s="137">
        <v>7.9000000000000015E-2</v>
      </c>
      <c r="AG32" s="137">
        <v>0</v>
      </c>
      <c r="AH32" s="137">
        <v>0</v>
      </c>
      <c r="AI32" s="137">
        <v>0</v>
      </c>
      <c r="AJ32" s="137">
        <v>0</v>
      </c>
      <c r="AK32" s="137">
        <v>0</v>
      </c>
    </row>
    <row r="33" spans="1:37" customFormat="1" x14ac:dyDescent="0.15">
      <c r="A33" s="146" t="s">
        <v>223</v>
      </c>
      <c r="B33" s="137">
        <v>0.27</v>
      </c>
      <c r="C33" s="137">
        <v>0</v>
      </c>
      <c r="D33" s="137">
        <v>0</v>
      </c>
      <c r="E33" s="137">
        <v>0</v>
      </c>
      <c r="F33" s="137">
        <v>0</v>
      </c>
      <c r="G33" s="137">
        <v>0</v>
      </c>
      <c r="H33" s="137">
        <v>9.9999999999999978E-2</v>
      </c>
      <c r="I33" s="137">
        <v>0.44500000000000001</v>
      </c>
      <c r="J33" s="137">
        <v>0.4499999835300012</v>
      </c>
      <c r="K33" s="137">
        <v>0</v>
      </c>
      <c r="L33" s="137">
        <v>0</v>
      </c>
      <c r="M33" s="137">
        <v>0</v>
      </c>
      <c r="N33" s="137">
        <v>0</v>
      </c>
      <c r="O33" s="137">
        <v>4.8999998747050084E-2</v>
      </c>
      <c r="P33" s="137">
        <v>0</v>
      </c>
      <c r="Q33" s="137">
        <v>0</v>
      </c>
      <c r="R33" s="137">
        <v>0</v>
      </c>
      <c r="S33" s="137">
        <v>0</v>
      </c>
      <c r="T33" s="137">
        <v>0</v>
      </c>
      <c r="U33" s="137">
        <v>0</v>
      </c>
      <c r="V33" s="137">
        <v>0</v>
      </c>
      <c r="W33" s="137">
        <v>0.1</v>
      </c>
      <c r="X33" s="137">
        <v>0</v>
      </c>
      <c r="Y33" s="137">
        <v>0</v>
      </c>
      <c r="Z33" s="137">
        <v>0</v>
      </c>
      <c r="AA33" s="137">
        <v>0.35000000000000003</v>
      </c>
      <c r="AB33" s="137">
        <v>0.1</v>
      </c>
      <c r="AC33" s="137">
        <v>0.20668693065349544</v>
      </c>
      <c r="AD33" s="137">
        <v>0.29423538341353073</v>
      </c>
      <c r="AE33" s="137">
        <v>0.6</v>
      </c>
      <c r="AF33" s="137">
        <v>0.48400000000000004</v>
      </c>
      <c r="AG33" s="137">
        <v>0.05</v>
      </c>
      <c r="AH33" s="137">
        <v>0</v>
      </c>
      <c r="AI33" s="137">
        <v>0</v>
      </c>
      <c r="AJ33" s="137">
        <v>0</v>
      </c>
      <c r="AK33" s="137">
        <v>0</v>
      </c>
    </row>
    <row r="34" spans="1:37" customFormat="1" x14ac:dyDescent="0.15">
      <c r="A34" s="146" t="s">
        <v>224</v>
      </c>
      <c r="B34" s="137">
        <v>0</v>
      </c>
      <c r="C34" s="137">
        <v>0</v>
      </c>
      <c r="D34" s="137">
        <v>0</v>
      </c>
      <c r="E34" s="137">
        <v>0</v>
      </c>
      <c r="F34" s="137">
        <v>0</v>
      </c>
      <c r="G34" s="137">
        <v>0</v>
      </c>
      <c r="H34" s="137">
        <v>0</v>
      </c>
      <c r="I34" s="137">
        <v>0</v>
      </c>
      <c r="J34" s="137">
        <v>0</v>
      </c>
      <c r="K34" s="137">
        <v>0</v>
      </c>
      <c r="L34" s="137">
        <v>0</v>
      </c>
      <c r="M34" s="137">
        <v>0</v>
      </c>
      <c r="N34" s="137">
        <v>0</v>
      </c>
      <c r="O34" s="137">
        <v>0</v>
      </c>
      <c r="P34" s="137">
        <v>0</v>
      </c>
      <c r="Q34" s="137">
        <v>0</v>
      </c>
      <c r="R34" s="137">
        <v>0</v>
      </c>
      <c r="S34" s="137">
        <v>0</v>
      </c>
      <c r="T34" s="137">
        <v>0</v>
      </c>
      <c r="U34" s="137">
        <v>0</v>
      </c>
      <c r="V34" s="137">
        <v>0</v>
      </c>
      <c r="W34" s="137">
        <v>0</v>
      </c>
      <c r="X34" s="137">
        <v>0</v>
      </c>
      <c r="Y34" s="137">
        <v>0</v>
      </c>
      <c r="Z34" s="137">
        <v>0</v>
      </c>
      <c r="AA34" s="137">
        <v>0</v>
      </c>
      <c r="AB34" s="137">
        <v>0</v>
      </c>
      <c r="AC34" s="137">
        <v>0</v>
      </c>
      <c r="AD34" s="137">
        <v>0</v>
      </c>
      <c r="AE34" s="137">
        <v>0.04</v>
      </c>
      <c r="AF34" s="137">
        <v>0.19600000000000004</v>
      </c>
      <c r="AG34" s="137">
        <v>0.7</v>
      </c>
      <c r="AH34" s="137">
        <v>0</v>
      </c>
      <c r="AI34" s="137">
        <v>0</v>
      </c>
      <c r="AJ34" s="137">
        <v>0</v>
      </c>
      <c r="AK34" s="137">
        <v>0</v>
      </c>
    </row>
    <row r="35" spans="1:37" customFormat="1" x14ac:dyDescent="0.15">
      <c r="A35" s="146" t="s">
        <v>225</v>
      </c>
      <c r="B35" s="137">
        <v>0</v>
      </c>
      <c r="C35" s="137">
        <v>0</v>
      </c>
      <c r="D35" s="137">
        <v>0</v>
      </c>
      <c r="E35" s="137">
        <v>0</v>
      </c>
      <c r="F35" s="137">
        <v>0</v>
      </c>
      <c r="G35" s="137">
        <v>0</v>
      </c>
      <c r="H35" s="137">
        <v>0</v>
      </c>
      <c r="I35" s="137">
        <v>0</v>
      </c>
      <c r="J35" s="137">
        <v>2.5000000284999976E-2</v>
      </c>
      <c r="K35" s="137">
        <v>0</v>
      </c>
      <c r="L35" s="137">
        <v>0</v>
      </c>
      <c r="M35" s="137">
        <v>0</v>
      </c>
      <c r="N35" s="137">
        <v>0</v>
      </c>
      <c r="O35" s="137">
        <v>0</v>
      </c>
      <c r="P35" s="137">
        <v>0</v>
      </c>
      <c r="Q35" s="137">
        <v>0</v>
      </c>
      <c r="R35" s="137">
        <v>0</v>
      </c>
      <c r="S35" s="137">
        <v>0</v>
      </c>
      <c r="T35" s="137">
        <v>0</v>
      </c>
      <c r="U35" s="137">
        <v>0</v>
      </c>
      <c r="V35" s="137">
        <v>0</v>
      </c>
      <c r="W35" s="137">
        <v>0</v>
      </c>
      <c r="X35" s="137">
        <v>0</v>
      </c>
      <c r="Y35" s="137">
        <v>0</v>
      </c>
      <c r="Z35" s="137">
        <v>0</v>
      </c>
      <c r="AA35" s="137">
        <v>0</v>
      </c>
      <c r="AB35" s="137">
        <v>0</v>
      </c>
      <c r="AC35" s="137">
        <v>0</v>
      </c>
      <c r="AD35" s="137">
        <v>0</v>
      </c>
      <c r="AE35" s="137">
        <v>0.05</v>
      </c>
      <c r="AF35" s="137">
        <v>0.24100000000000002</v>
      </c>
      <c r="AG35" s="137">
        <v>0.25</v>
      </c>
      <c r="AH35" s="137">
        <v>0</v>
      </c>
      <c r="AI35" s="137">
        <v>0</v>
      </c>
      <c r="AJ35" s="137">
        <v>0</v>
      </c>
      <c r="AK35" s="137">
        <v>0</v>
      </c>
    </row>
    <row r="36" spans="1:37" customFormat="1" x14ac:dyDescent="0.15">
      <c r="A36" s="146" t="s">
        <v>226</v>
      </c>
      <c r="B36" s="137">
        <v>0</v>
      </c>
      <c r="C36" s="137">
        <v>0</v>
      </c>
      <c r="D36" s="137">
        <v>0</v>
      </c>
      <c r="E36" s="137">
        <v>0</v>
      </c>
      <c r="F36" s="137">
        <v>0</v>
      </c>
      <c r="G36" s="137">
        <v>0</v>
      </c>
      <c r="H36" s="137">
        <v>0</v>
      </c>
      <c r="I36" s="137">
        <v>0</v>
      </c>
      <c r="J36" s="137">
        <v>0</v>
      </c>
      <c r="K36" s="137">
        <v>0</v>
      </c>
      <c r="L36" s="137">
        <v>0</v>
      </c>
      <c r="M36" s="137">
        <v>0</v>
      </c>
      <c r="N36" s="137">
        <v>0</v>
      </c>
      <c r="O36" s="137">
        <v>0</v>
      </c>
      <c r="P36" s="137">
        <v>0</v>
      </c>
      <c r="Q36" s="137">
        <v>0</v>
      </c>
      <c r="R36" s="137">
        <v>0</v>
      </c>
      <c r="S36" s="137">
        <v>0</v>
      </c>
      <c r="T36" s="137">
        <v>0.1</v>
      </c>
      <c r="U36" s="137">
        <v>0.1</v>
      </c>
      <c r="V36" s="137">
        <v>0.1</v>
      </c>
      <c r="W36" s="137">
        <v>0.6</v>
      </c>
      <c r="X36" s="137">
        <v>0.85628742028544902</v>
      </c>
      <c r="Y36" s="137">
        <v>1</v>
      </c>
      <c r="Z36" s="137">
        <v>0.995</v>
      </c>
      <c r="AA36" s="137">
        <v>0</v>
      </c>
      <c r="AB36" s="137">
        <v>0</v>
      </c>
      <c r="AC36" s="137">
        <v>0</v>
      </c>
      <c r="AD36" s="137">
        <v>0</v>
      </c>
      <c r="AE36" s="137">
        <v>0</v>
      </c>
      <c r="AF36" s="137">
        <v>0</v>
      </c>
      <c r="AG36" s="137">
        <v>0</v>
      </c>
      <c r="AH36" s="137">
        <v>0</v>
      </c>
      <c r="AI36" s="137">
        <v>0</v>
      </c>
      <c r="AJ36" s="137">
        <v>0</v>
      </c>
      <c r="AK36" s="137">
        <v>0</v>
      </c>
    </row>
    <row r="37" spans="1:37" customFormat="1" x14ac:dyDescent="0.15">
      <c r="A37" s="146" t="s">
        <v>227</v>
      </c>
      <c r="B37" s="137">
        <v>0</v>
      </c>
      <c r="C37" s="137">
        <v>0.15899999556132038</v>
      </c>
      <c r="D37" s="137">
        <v>0</v>
      </c>
      <c r="E37" s="137">
        <v>0</v>
      </c>
      <c r="F37" s="137">
        <v>0.22799999096880094</v>
      </c>
      <c r="G37" s="137">
        <v>0.20581271428140407</v>
      </c>
      <c r="H37" s="137">
        <v>0</v>
      </c>
      <c r="I37" s="137">
        <v>0</v>
      </c>
      <c r="J37" s="137">
        <v>0</v>
      </c>
      <c r="K37" s="137">
        <v>0</v>
      </c>
      <c r="L37" s="137">
        <v>0</v>
      </c>
      <c r="M37" s="137">
        <v>0</v>
      </c>
      <c r="N37" s="137">
        <v>0</v>
      </c>
      <c r="O37" s="137">
        <v>0</v>
      </c>
      <c r="P37" s="137">
        <v>0</v>
      </c>
      <c r="Q37" s="137">
        <v>0</v>
      </c>
      <c r="R37" s="137">
        <v>0</v>
      </c>
      <c r="S37" s="137">
        <v>0</v>
      </c>
      <c r="T37" s="137">
        <v>0</v>
      </c>
      <c r="U37" s="137">
        <v>0</v>
      </c>
      <c r="V37" s="137">
        <v>0</v>
      </c>
      <c r="W37" s="137">
        <v>0</v>
      </c>
      <c r="X37" s="137">
        <v>0</v>
      </c>
      <c r="Y37" s="137">
        <v>0</v>
      </c>
      <c r="Z37" s="137">
        <v>0</v>
      </c>
      <c r="AA37" s="137">
        <v>0</v>
      </c>
      <c r="AB37" s="137">
        <v>0</v>
      </c>
      <c r="AC37" s="137">
        <v>0</v>
      </c>
      <c r="AD37" s="137">
        <v>0</v>
      </c>
      <c r="AE37" s="137">
        <v>0</v>
      </c>
      <c r="AF37" s="137">
        <v>0</v>
      </c>
      <c r="AG37" s="137">
        <v>0</v>
      </c>
      <c r="AH37" s="137">
        <v>0</v>
      </c>
      <c r="AI37" s="137">
        <v>0</v>
      </c>
      <c r="AJ37" s="137">
        <v>0</v>
      </c>
      <c r="AK37" s="137">
        <v>0</v>
      </c>
    </row>
    <row r="38" spans="1:37" customFormat="1" x14ac:dyDescent="0.15">
      <c r="A38" s="146" t="s">
        <v>229</v>
      </c>
      <c r="B38" s="137">
        <v>0</v>
      </c>
      <c r="C38" s="137">
        <v>0</v>
      </c>
      <c r="D38" s="137">
        <v>0</v>
      </c>
      <c r="E38" s="137">
        <v>0</v>
      </c>
      <c r="F38" s="137">
        <v>0</v>
      </c>
      <c r="G38" s="137">
        <v>0</v>
      </c>
      <c r="H38" s="137">
        <v>0</v>
      </c>
      <c r="I38" s="137">
        <v>0</v>
      </c>
      <c r="J38" s="137">
        <v>0</v>
      </c>
      <c r="K38" s="137">
        <v>0</v>
      </c>
      <c r="L38" s="137">
        <v>0</v>
      </c>
      <c r="M38" s="137">
        <v>0</v>
      </c>
      <c r="N38" s="137">
        <v>0</v>
      </c>
      <c r="O38" s="137">
        <v>0</v>
      </c>
      <c r="P38" s="137">
        <v>0</v>
      </c>
      <c r="Q38" s="137">
        <v>0</v>
      </c>
      <c r="R38" s="137">
        <v>0</v>
      </c>
      <c r="S38" s="137">
        <v>0</v>
      </c>
      <c r="T38" s="137">
        <v>0</v>
      </c>
      <c r="U38" s="137">
        <v>0</v>
      </c>
      <c r="V38" s="137">
        <v>0</v>
      </c>
      <c r="W38" s="137">
        <v>0</v>
      </c>
      <c r="X38" s="137">
        <v>0</v>
      </c>
      <c r="Y38" s="137">
        <v>0</v>
      </c>
      <c r="Z38" s="137">
        <v>0</v>
      </c>
      <c r="AA38" s="137">
        <v>0</v>
      </c>
      <c r="AB38" s="137">
        <v>0</v>
      </c>
      <c r="AC38" s="137">
        <v>0</v>
      </c>
      <c r="AD38" s="137">
        <v>0</v>
      </c>
      <c r="AE38" s="137">
        <v>0</v>
      </c>
      <c r="AF38" s="137">
        <v>0</v>
      </c>
      <c r="AG38" s="137">
        <v>0</v>
      </c>
      <c r="AH38" s="137">
        <v>0</v>
      </c>
      <c r="AI38" s="137">
        <v>0</v>
      </c>
      <c r="AJ38" s="137">
        <v>0</v>
      </c>
      <c r="AK38" s="137">
        <v>0</v>
      </c>
    </row>
    <row r="42" spans="1:37" x14ac:dyDescent="0.15">
      <c r="A42" s="171" t="s">
        <v>233</v>
      </c>
      <c r="B42" s="137">
        <f>SUM(B2:B38)</f>
        <v>1</v>
      </c>
      <c r="C42" s="137">
        <f t="shared" ref="C42:AK42" si="0">SUM(C2:C38)</f>
        <v>1</v>
      </c>
      <c r="D42" s="137">
        <f t="shared" si="0"/>
        <v>1</v>
      </c>
      <c r="E42" s="137">
        <f t="shared" si="0"/>
        <v>1</v>
      </c>
      <c r="F42" s="137">
        <f t="shared" si="0"/>
        <v>1</v>
      </c>
      <c r="G42" s="137">
        <f t="shared" si="0"/>
        <v>1.0000000000000002</v>
      </c>
      <c r="H42" s="137">
        <f t="shared" si="0"/>
        <v>0.99999999999999978</v>
      </c>
      <c r="I42" s="137">
        <f t="shared" si="0"/>
        <v>1</v>
      </c>
      <c r="J42" s="137">
        <f t="shared" si="0"/>
        <v>0.99999999999999978</v>
      </c>
      <c r="K42" s="137">
        <f t="shared" si="0"/>
        <v>1.0000000000000002</v>
      </c>
      <c r="L42" s="137">
        <f t="shared" si="0"/>
        <v>1</v>
      </c>
      <c r="M42" s="137">
        <f t="shared" si="0"/>
        <v>0.99999999999999978</v>
      </c>
      <c r="N42" s="137">
        <f t="shared" si="0"/>
        <v>1</v>
      </c>
      <c r="O42" s="137">
        <f t="shared" si="0"/>
        <v>0.99999999999999989</v>
      </c>
      <c r="P42" s="137">
        <f t="shared" si="0"/>
        <v>0.99999999999999989</v>
      </c>
      <c r="Q42" s="137">
        <f t="shared" si="0"/>
        <v>0.99999999999999978</v>
      </c>
      <c r="R42" s="137">
        <f t="shared" si="0"/>
        <v>1</v>
      </c>
      <c r="S42" s="137">
        <f t="shared" si="0"/>
        <v>1</v>
      </c>
      <c r="T42" s="137">
        <f t="shared" si="0"/>
        <v>1</v>
      </c>
      <c r="U42" s="137">
        <f t="shared" si="0"/>
        <v>1</v>
      </c>
      <c r="V42" s="137">
        <f t="shared" si="0"/>
        <v>1</v>
      </c>
      <c r="W42" s="137">
        <f t="shared" si="0"/>
        <v>1</v>
      </c>
      <c r="X42" s="137">
        <f t="shared" si="0"/>
        <v>1</v>
      </c>
      <c r="Y42" s="137">
        <f t="shared" si="0"/>
        <v>1</v>
      </c>
      <c r="Z42" s="137">
        <f t="shared" si="0"/>
        <v>1</v>
      </c>
      <c r="AA42" s="137">
        <f t="shared" si="0"/>
        <v>1</v>
      </c>
      <c r="AB42" s="137">
        <f t="shared" si="0"/>
        <v>1</v>
      </c>
      <c r="AC42" s="137">
        <f t="shared" si="0"/>
        <v>0.99999999999999989</v>
      </c>
      <c r="AD42" s="137">
        <f t="shared" si="0"/>
        <v>1</v>
      </c>
      <c r="AE42" s="137">
        <f t="shared" si="0"/>
        <v>1</v>
      </c>
      <c r="AF42" s="137">
        <f t="shared" si="0"/>
        <v>1.0000000000000002</v>
      </c>
      <c r="AG42" s="137">
        <f t="shared" si="0"/>
        <v>1</v>
      </c>
      <c r="AH42" s="137">
        <f t="shared" si="0"/>
        <v>0</v>
      </c>
      <c r="AI42" s="137">
        <f t="shared" si="0"/>
        <v>0</v>
      </c>
      <c r="AJ42" s="137">
        <f t="shared" si="0"/>
        <v>0</v>
      </c>
      <c r="AK42" s="137">
        <f t="shared" si="0"/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43" sqref="C43"/>
    </sheetView>
  </sheetViews>
  <sheetFormatPr baseColWidth="10" defaultColWidth="8.83203125" defaultRowHeight="13" x14ac:dyDescent="0.15"/>
  <cols>
    <col min="1" max="1" width="3.33203125" customWidth="1"/>
    <col min="2" max="2" width="24.6640625" customWidth="1"/>
    <col min="3" max="4" width="19.5" style="107" customWidth="1"/>
    <col min="5" max="6" width="19.5" style="106" customWidth="1"/>
    <col min="7" max="7" width="19.5" style="107" customWidth="1"/>
    <col min="8" max="8" width="8.83203125" style="107"/>
  </cols>
  <sheetData>
    <row r="1" spans="1:8" ht="70" x14ac:dyDescent="0.15">
      <c r="A1" s="5" t="s">
        <v>20</v>
      </c>
      <c r="B1" s="1" t="s">
        <v>0</v>
      </c>
      <c r="C1" s="149" t="s">
        <v>225</v>
      </c>
      <c r="D1" s="149" t="s">
        <v>226</v>
      </c>
      <c r="E1" s="149" t="s">
        <v>227</v>
      </c>
      <c r="F1" s="149" t="s">
        <v>230</v>
      </c>
      <c r="G1" s="149" t="s">
        <v>231</v>
      </c>
      <c r="H1"/>
    </row>
    <row r="2" spans="1:8" x14ac:dyDescent="0.15">
      <c r="A2">
        <v>1</v>
      </c>
      <c r="B2" s="148" t="s">
        <v>192</v>
      </c>
      <c r="C2" s="107">
        <v>0</v>
      </c>
      <c r="D2" s="107">
        <v>0</v>
      </c>
      <c r="E2" s="106">
        <v>1</v>
      </c>
      <c r="F2" s="106">
        <v>0</v>
      </c>
      <c r="G2" s="107">
        <f>SUM(C2:F2)</f>
        <v>1</v>
      </c>
      <c r="H2"/>
    </row>
    <row r="3" spans="1:8" x14ac:dyDescent="0.15">
      <c r="A3">
        <v>2</v>
      </c>
      <c r="B3" s="148" t="s">
        <v>193</v>
      </c>
      <c r="C3" s="107">
        <v>0</v>
      </c>
      <c r="D3" s="107">
        <v>0</v>
      </c>
      <c r="E3" s="106">
        <v>1</v>
      </c>
      <c r="F3" s="106">
        <v>0</v>
      </c>
      <c r="G3" s="107">
        <f t="shared" ref="G3:G38" si="0">SUM(C3:F3)</f>
        <v>1</v>
      </c>
      <c r="H3"/>
    </row>
    <row r="4" spans="1:8" x14ac:dyDescent="0.15">
      <c r="A4">
        <v>3</v>
      </c>
      <c r="B4" s="148" t="s">
        <v>194</v>
      </c>
      <c r="C4" s="107">
        <v>0</v>
      </c>
      <c r="D4" s="107">
        <v>0</v>
      </c>
      <c r="E4" s="106">
        <v>1</v>
      </c>
      <c r="F4" s="106">
        <v>0</v>
      </c>
      <c r="G4" s="107">
        <f t="shared" si="0"/>
        <v>1</v>
      </c>
      <c r="H4"/>
    </row>
    <row r="5" spans="1:8" x14ac:dyDescent="0.15">
      <c r="A5">
        <v>4</v>
      </c>
      <c r="B5" s="148" t="s">
        <v>195</v>
      </c>
      <c r="C5" s="107">
        <v>0</v>
      </c>
      <c r="D5" s="107">
        <v>0</v>
      </c>
      <c r="E5" s="106">
        <v>1</v>
      </c>
      <c r="F5" s="106">
        <v>0</v>
      </c>
      <c r="G5" s="107">
        <f t="shared" si="0"/>
        <v>1</v>
      </c>
      <c r="H5"/>
    </row>
    <row r="6" spans="1:8" x14ac:dyDescent="0.15">
      <c r="A6">
        <v>5</v>
      </c>
      <c r="B6" s="148" t="s">
        <v>196</v>
      </c>
      <c r="C6" s="107">
        <v>0</v>
      </c>
      <c r="D6" s="107">
        <v>0</v>
      </c>
      <c r="E6" s="106">
        <v>1</v>
      </c>
      <c r="F6" s="106">
        <v>0</v>
      </c>
      <c r="G6" s="107">
        <f t="shared" si="0"/>
        <v>1</v>
      </c>
      <c r="H6"/>
    </row>
    <row r="7" spans="1:8" x14ac:dyDescent="0.15">
      <c r="A7">
        <v>6</v>
      </c>
      <c r="B7" s="148" t="s">
        <v>197</v>
      </c>
      <c r="C7" s="107">
        <v>0</v>
      </c>
      <c r="D7" s="107">
        <v>0</v>
      </c>
      <c r="E7" s="106">
        <v>1</v>
      </c>
      <c r="F7" s="106">
        <v>0</v>
      </c>
      <c r="G7" s="107">
        <f t="shared" si="0"/>
        <v>1</v>
      </c>
      <c r="H7"/>
    </row>
    <row r="8" spans="1:8" x14ac:dyDescent="0.15">
      <c r="A8">
        <v>7</v>
      </c>
      <c r="B8" s="148" t="s">
        <v>198</v>
      </c>
      <c r="C8" s="107">
        <v>0</v>
      </c>
      <c r="D8" s="107">
        <v>0</v>
      </c>
      <c r="E8" s="106">
        <v>1</v>
      </c>
      <c r="F8" s="106">
        <v>0</v>
      </c>
      <c r="G8" s="107">
        <f t="shared" si="0"/>
        <v>1</v>
      </c>
      <c r="H8"/>
    </row>
    <row r="9" spans="1:8" x14ac:dyDescent="0.15">
      <c r="A9">
        <v>8</v>
      </c>
      <c r="B9" s="148" t="s">
        <v>199</v>
      </c>
      <c r="C9" s="107">
        <v>0</v>
      </c>
      <c r="D9" s="107">
        <v>0</v>
      </c>
      <c r="E9" s="106">
        <v>1</v>
      </c>
      <c r="F9" s="106">
        <v>0</v>
      </c>
      <c r="G9" s="107">
        <f t="shared" si="0"/>
        <v>1</v>
      </c>
      <c r="H9"/>
    </row>
    <row r="10" spans="1:8" x14ac:dyDescent="0.15">
      <c r="A10">
        <v>9</v>
      </c>
      <c r="B10" s="148" t="s">
        <v>200</v>
      </c>
      <c r="C10" s="107">
        <v>0</v>
      </c>
      <c r="D10" s="107">
        <v>0</v>
      </c>
      <c r="E10" s="106">
        <v>1</v>
      </c>
      <c r="F10" s="106">
        <v>0</v>
      </c>
      <c r="G10" s="107">
        <f t="shared" si="0"/>
        <v>1</v>
      </c>
      <c r="H10"/>
    </row>
    <row r="11" spans="1:8" x14ac:dyDescent="0.15">
      <c r="A11">
        <v>10</v>
      </c>
      <c r="B11" s="148" t="s">
        <v>201</v>
      </c>
      <c r="C11" s="107">
        <v>0</v>
      </c>
      <c r="D11" s="107">
        <v>0</v>
      </c>
      <c r="E11" s="106">
        <v>1</v>
      </c>
      <c r="F11" s="106">
        <v>0</v>
      </c>
      <c r="G11" s="107">
        <f t="shared" si="0"/>
        <v>1</v>
      </c>
      <c r="H11"/>
    </row>
    <row r="12" spans="1:8" x14ac:dyDescent="0.15">
      <c r="A12">
        <v>11</v>
      </c>
      <c r="B12" s="148" t="s">
        <v>202</v>
      </c>
      <c r="C12" s="107">
        <v>0</v>
      </c>
      <c r="D12" s="107">
        <v>0</v>
      </c>
      <c r="E12" s="106">
        <v>1</v>
      </c>
      <c r="F12" s="106">
        <v>0</v>
      </c>
      <c r="G12" s="107">
        <f t="shared" si="0"/>
        <v>1</v>
      </c>
      <c r="H12"/>
    </row>
    <row r="13" spans="1:8" x14ac:dyDescent="0.15">
      <c r="A13">
        <v>12</v>
      </c>
      <c r="B13" s="148" t="s">
        <v>203</v>
      </c>
      <c r="C13" s="107">
        <v>0</v>
      </c>
      <c r="D13" s="107">
        <v>0</v>
      </c>
      <c r="E13" s="106">
        <v>1</v>
      </c>
      <c r="F13" s="106">
        <v>0</v>
      </c>
      <c r="G13" s="107">
        <f t="shared" si="0"/>
        <v>1</v>
      </c>
      <c r="H13"/>
    </row>
    <row r="14" spans="1:8" x14ac:dyDescent="0.15">
      <c r="A14">
        <v>13</v>
      </c>
      <c r="B14" s="148" t="s">
        <v>204</v>
      </c>
      <c r="C14" s="107">
        <v>0</v>
      </c>
      <c r="D14" s="107">
        <v>0</v>
      </c>
      <c r="E14" s="106">
        <v>1</v>
      </c>
      <c r="F14" s="106">
        <v>0</v>
      </c>
      <c r="G14" s="107">
        <f t="shared" si="0"/>
        <v>1</v>
      </c>
      <c r="H14"/>
    </row>
    <row r="15" spans="1:8" x14ac:dyDescent="0.15">
      <c r="A15">
        <v>14</v>
      </c>
      <c r="B15" s="148" t="s">
        <v>205</v>
      </c>
      <c r="C15" s="107">
        <v>0</v>
      </c>
      <c r="D15" s="107">
        <v>0</v>
      </c>
      <c r="E15" s="106">
        <v>1</v>
      </c>
      <c r="F15" s="106">
        <v>0</v>
      </c>
      <c r="G15" s="107">
        <f t="shared" si="0"/>
        <v>1</v>
      </c>
      <c r="H15"/>
    </row>
    <row r="16" spans="1:8" x14ac:dyDescent="0.15">
      <c r="A16">
        <v>15</v>
      </c>
      <c r="B16" s="148" t="s">
        <v>206</v>
      </c>
      <c r="C16" s="107">
        <v>0</v>
      </c>
      <c r="D16" s="107">
        <v>0</v>
      </c>
      <c r="E16" s="106">
        <v>1</v>
      </c>
      <c r="F16" s="106">
        <v>0</v>
      </c>
      <c r="G16" s="107">
        <f t="shared" si="0"/>
        <v>1</v>
      </c>
      <c r="H16"/>
    </row>
    <row r="17" spans="1:8" ht="15" customHeight="1" x14ac:dyDescent="0.15">
      <c r="A17">
        <v>16</v>
      </c>
      <c r="B17" s="148" t="s">
        <v>207</v>
      </c>
      <c r="C17" s="107">
        <v>0</v>
      </c>
      <c r="D17" s="107">
        <v>0</v>
      </c>
      <c r="E17" s="106">
        <v>1</v>
      </c>
      <c r="F17" s="106">
        <v>0</v>
      </c>
      <c r="G17" s="107">
        <f t="shared" si="0"/>
        <v>1</v>
      </c>
      <c r="H17"/>
    </row>
    <row r="18" spans="1:8" ht="15" customHeight="1" x14ac:dyDescent="0.15">
      <c r="A18">
        <v>17</v>
      </c>
      <c r="B18" s="148" t="s">
        <v>208</v>
      </c>
      <c r="C18" s="107">
        <v>0</v>
      </c>
      <c r="D18" s="107">
        <v>0</v>
      </c>
      <c r="E18" s="106">
        <v>1</v>
      </c>
      <c r="F18" s="106">
        <v>0</v>
      </c>
      <c r="G18" s="107">
        <f t="shared" si="0"/>
        <v>1</v>
      </c>
      <c r="H18"/>
    </row>
    <row r="19" spans="1:8" ht="15" customHeight="1" x14ac:dyDescent="0.15">
      <c r="A19">
        <v>18</v>
      </c>
      <c r="B19" s="148" t="s">
        <v>209</v>
      </c>
      <c r="C19" s="107">
        <v>0</v>
      </c>
      <c r="D19" s="107">
        <v>0</v>
      </c>
      <c r="E19" s="106">
        <v>1</v>
      </c>
      <c r="F19" s="106">
        <v>0</v>
      </c>
      <c r="G19" s="107">
        <f t="shared" si="0"/>
        <v>1</v>
      </c>
      <c r="H19"/>
    </row>
    <row r="20" spans="1:8" ht="15" customHeight="1" x14ac:dyDescent="0.15">
      <c r="A20">
        <v>19</v>
      </c>
      <c r="B20" s="148" t="s">
        <v>210</v>
      </c>
      <c r="C20" s="107">
        <v>0</v>
      </c>
      <c r="D20" s="107">
        <v>0</v>
      </c>
      <c r="E20" s="106">
        <v>1</v>
      </c>
      <c r="F20" s="106">
        <v>0</v>
      </c>
      <c r="G20" s="107">
        <f t="shared" si="0"/>
        <v>1</v>
      </c>
      <c r="H20"/>
    </row>
    <row r="21" spans="1:8" ht="15" customHeight="1" x14ac:dyDescent="0.15">
      <c r="A21">
        <v>20</v>
      </c>
      <c r="B21" s="148" t="s">
        <v>211</v>
      </c>
      <c r="C21" s="107">
        <v>0</v>
      </c>
      <c r="D21" s="107">
        <v>0</v>
      </c>
      <c r="E21" s="106">
        <v>1</v>
      </c>
      <c r="F21" s="106">
        <v>0</v>
      </c>
      <c r="G21" s="107">
        <f t="shared" si="0"/>
        <v>1</v>
      </c>
      <c r="H21"/>
    </row>
    <row r="22" spans="1:8" ht="15" customHeight="1" x14ac:dyDescent="0.15">
      <c r="A22">
        <v>21</v>
      </c>
      <c r="B22" s="148" t="s">
        <v>212</v>
      </c>
      <c r="C22" s="107">
        <v>0</v>
      </c>
      <c r="D22" s="107">
        <v>0</v>
      </c>
      <c r="E22" s="106">
        <v>1</v>
      </c>
      <c r="F22" s="106">
        <v>0</v>
      </c>
      <c r="G22" s="107">
        <f t="shared" si="0"/>
        <v>1</v>
      </c>
      <c r="H22"/>
    </row>
    <row r="23" spans="1:8" ht="15" customHeight="1" x14ac:dyDescent="0.15">
      <c r="A23">
        <v>22</v>
      </c>
      <c r="B23" s="148" t="s">
        <v>213</v>
      </c>
      <c r="C23" s="107">
        <v>0</v>
      </c>
      <c r="D23" s="107">
        <v>0</v>
      </c>
      <c r="E23" s="106">
        <v>1</v>
      </c>
      <c r="F23" s="106">
        <v>0</v>
      </c>
      <c r="G23" s="107">
        <f t="shared" si="0"/>
        <v>1</v>
      </c>
      <c r="H23"/>
    </row>
    <row r="24" spans="1:8" ht="15" customHeight="1" x14ac:dyDescent="0.15">
      <c r="A24">
        <v>23</v>
      </c>
      <c r="B24" s="148" t="s">
        <v>214</v>
      </c>
      <c r="C24" s="107">
        <v>0</v>
      </c>
      <c r="D24" s="107">
        <v>0</v>
      </c>
      <c r="E24" s="106">
        <v>1</v>
      </c>
      <c r="F24" s="106">
        <v>0</v>
      </c>
      <c r="G24" s="107">
        <f t="shared" si="0"/>
        <v>1</v>
      </c>
      <c r="H24"/>
    </row>
    <row r="25" spans="1:8" ht="15" customHeight="1" x14ac:dyDescent="0.15">
      <c r="A25">
        <v>24</v>
      </c>
      <c r="B25" s="148" t="s">
        <v>215</v>
      </c>
      <c r="C25" s="107">
        <v>0</v>
      </c>
      <c r="D25" s="107">
        <v>0</v>
      </c>
      <c r="E25" s="106">
        <v>1</v>
      </c>
      <c r="F25" s="106">
        <v>0</v>
      </c>
      <c r="G25" s="107">
        <f t="shared" si="0"/>
        <v>1</v>
      </c>
      <c r="H25"/>
    </row>
    <row r="26" spans="1:8" ht="15" customHeight="1" x14ac:dyDescent="0.15">
      <c r="A26">
        <v>25</v>
      </c>
      <c r="B26" s="148" t="s">
        <v>216</v>
      </c>
      <c r="C26" s="107">
        <v>0</v>
      </c>
      <c r="D26" s="107">
        <v>0</v>
      </c>
      <c r="E26" s="106">
        <v>1</v>
      </c>
      <c r="F26" s="106">
        <v>0</v>
      </c>
      <c r="G26" s="107">
        <f t="shared" si="0"/>
        <v>1</v>
      </c>
      <c r="H26"/>
    </row>
    <row r="27" spans="1:8" ht="15" customHeight="1" x14ac:dyDescent="0.15">
      <c r="A27">
        <v>26</v>
      </c>
      <c r="B27" s="148" t="s">
        <v>217</v>
      </c>
      <c r="C27" s="107">
        <v>0</v>
      </c>
      <c r="D27" s="107">
        <v>0</v>
      </c>
      <c r="E27" s="106">
        <v>1</v>
      </c>
      <c r="F27" s="106">
        <v>0</v>
      </c>
      <c r="G27" s="107">
        <f t="shared" si="0"/>
        <v>1</v>
      </c>
      <c r="H27"/>
    </row>
    <row r="28" spans="1:8" ht="15" customHeight="1" x14ac:dyDescent="0.15">
      <c r="A28">
        <v>27</v>
      </c>
      <c r="B28" s="148" t="s">
        <v>218</v>
      </c>
      <c r="C28" s="107">
        <v>0</v>
      </c>
      <c r="D28" s="107">
        <v>0</v>
      </c>
      <c r="E28" s="106">
        <v>1</v>
      </c>
      <c r="F28" s="106">
        <v>0</v>
      </c>
      <c r="G28" s="107">
        <f t="shared" si="0"/>
        <v>1</v>
      </c>
      <c r="H28"/>
    </row>
    <row r="29" spans="1:8" ht="15" customHeight="1" x14ac:dyDescent="0.15">
      <c r="A29">
        <v>28</v>
      </c>
      <c r="B29" s="148" t="s">
        <v>219</v>
      </c>
      <c r="C29" s="107">
        <v>0</v>
      </c>
      <c r="D29" s="107">
        <v>0</v>
      </c>
      <c r="E29" s="106">
        <v>1</v>
      </c>
      <c r="F29" s="106">
        <v>0</v>
      </c>
      <c r="G29" s="107">
        <f t="shared" si="0"/>
        <v>1</v>
      </c>
      <c r="H29"/>
    </row>
    <row r="30" spans="1:8" ht="15" customHeight="1" x14ac:dyDescent="0.15">
      <c r="A30">
        <v>29</v>
      </c>
      <c r="B30" s="148" t="s">
        <v>220</v>
      </c>
      <c r="C30" s="107">
        <v>0</v>
      </c>
      <c r="D30" s="107">
        <v>0</v>
      </c>
      <c r="E30" s="106">
        <v>1</v>
      </c>
      <c r="F30" s="106">
        <v>0</v>
      </c>
      <c r="G30" s="107">
        <f t="shared" si="0"/>
        <v>1</v>
      </c>
      <c r="H30"/>
    </row>
    <row r="31" spans="1:8" ht="15" customHeight="1" x14ac:dyDescent="0.15">
      <c r="A31">
        <v>30</v>
      </c>
      <c r="B31" s="148" t="s">
        <v>221</v>
      </c>
      <c r="C31" s="107">
        <v>0</v>
      </c>
      <c r="D31" s="107">
        <v>0</v>
      </c>
      <c r="E31" s="106">
        <v>1</v>
      </c>
      <c r="F31" s="106">
        <v>0</v>
      </c>
      <c r="G31" s="107">
        <f t="shared" si="0"/>
        <v>1</v>
      </c>
      <c r="H31"/>
    </row>
    <row r="32" spans="1:8" ht="15" customHeight="1" x14ac:dyDescent="0.15">
      <c r="A32">
        <v>31</v>
      </c>
      <c r="B32" s="148" t="s">
        <v>222</v>
      </c>
      <c r="C32" s="107">
        <v>0</v>
      </c>
      <c r="D32" s="107">
        <v>0</v>
      </c>
      <c r="E32" s="106">
        <v>1</v>
      </c>
      <c r="F32" s="106">
        <v>0</v>
      </c>
      <c r="G32" s="107">
        <f t="shared" si="0"/>
        <v>1</v>
      </c>
    </row>
    <row r="33" spans="1:8" ht="15" customHeight="1" x14ac:dyDescent="0.15">
      <c r="A33">
        <v>32</v>
      </c>
      <c r="B33" s="148" t="s">
        <v>223</v>
      </c>
      <c r="C33" s="107">
        <v>0</v>
      </c>
      <c r="D33" s="107">
        <v>0</v>
      </c>
      <c r="E33" s="106">
        <v>1</v>
      </c>
      <c r="F33" s="106">
        <v>0</v>
      </c>
      <c r="G33" s="107">
        <f t="shared" si="0"/>
        <v>1</v>
      </c>
    </row>
    <row r="34" spans="1:8" ht="15" customHeight="1" x14ac:dyDescent="0.15">
      <c r="A34">
        <v>33</v>
      </c>
      <c r="B34" s="148" t="s">
        <v>224</v>
      </c>
      <c r="C34" s="107">
        <v>0</v>
      </c>
      <c r="D34" s="107">
        <v>0</v>
      </c>
      <c r="E34" s="106">
        <v>1</v>
      </c>
      <c r="F34" s="106">
        <v>0</v>
      </c>
      <c r="G34" s="107">
        <f t="shared" si="0"/>
        <v>1</v>
      </c>
    </row>
    <row r="35" spans="1:8" ht="15" customHeight="1" x14ac:dyDescent="0.15">
      <c r="A35">
        <v>34</v>
      </c>
      <c r="B35" s="148" t="s">
        <v>225</v>
      </c>
      <c r="C35" s="107">
        <v>0</v>
      </c>
      <c r="D35" s="107">
        <v>0</v>
      </c>
      <c r="E35" s="106">
        <v>0</v>
      </c>
      <c r="F35" s="106">
        <v>1</v>
      </c>
      <c r="G35" s="107">
        <f t="shared" si="0"/>
        <v>1</v>
      </c>
    </row>
    <row r="36" spans="1:8" ht="15" customHeight="1" x14ac:dyDescent="0.15">
      <c r="A36">
        <v>35</v>
      </c>
      <c r="B36" s="148" t="s">
        <v>226</v>
      </c>
      <c r="C36" s="107">
        <v>0</v>
      </c>
      <c r="D36" s="107">
        <v>0</v>
      </c>
      <c r="E36" s="107">
        <v>0</v>
      </c>
      <c r="F36" s="107">
        <v>1</v>
      </c>
      <c r="G36" s="107">
        <f t="shared" si="0"/>
        <v>1</v>
      </c>
      <c r="H36"/>
    </row>
    <row r="37" spans="1:8" ht="15" customHeight="1" x14ac:dyDescent="0.15">
      <c r="A37">
        <v>36</v>
      </c>
      <c r="B37" s="148" t="s">
        <v>227</v>
      </c>
      <c r="C37" s="107">
        <v>0.35599999999999998</v>
      </c>
      <c r="D37" s="107">
        <v>0.64400000000000002</v>
      </c>
      <c r="E37" s="107">
        <v>0</v>
      </c>
      <c r="F37" s="107">
        <v>0</v>
      </c>
      <c r="G37" s="107">
        <f t="shared" si="0"/>
        <v>1</v>
      </c>
      <c r="H37"/>
    </row>
    <row r="38" spans="1:8" ht="15" customHeight="1" x14ac:dyDescent="0.15">
      <c r="A38">
        <v>37</v>
      </c>
      <c r="B38" s="148" t="s">
        <v>228</v>
      </c>
      <c r="C38" s="107">
        <v>0</v>
      </c>
      <c r="D38" s="107">
        <v>1</v>
      </c>
      <c r="E38" s="107">
        <v>0</v>
      </c>
      <c r="F38" s="107">
        <v>0</v>
      </c>
      <c r="G38" s="107">
        <f t="shared" si="0"/>
        <v>1</v>
      </c>
      <c r="H38"/>
    </row>
    <row r="39" spans="1:8" ht="15" customHeight="1" x14ac:dyDescent="0.15">
      <c r="C39"/>
      <c r="D39"/>
      <c r="E39" s="107"/>
      <c r="F39" s="107"/>
      <c r="G39"/>
      <c r="H39"/>
    </row>
    <row r="40" spans="1:8" ht="15" customHeight="1" x14ac:dyDescent="0.15">
      <c r="C40"/>
      <c r="D40"/>
      <c r="E40" s="107"/>
      <c r="F40" s="107"/>
      <c r="G40"/>
      <c r="H40"/>
    </row>
    <row r="41" spans="1:8" ht="15" customHeight="1" x14ac:dyDescent="0.15">
      <c r="C41"/>
      <c r="D41"/>
      <c r="E41" s="107"/>
      <c r="F41" s="107"/>
      <c r="G41"/>
      <c r="H41"/>
    </row>
    <row r="42" spans="1:8" ht="15" customHeight="1" x14ac:dyDescent="0.15">
      <c r="C42"/>
      <c r="D42"/>
      <c r="E42" s="107"/>
      <c r="F42" s="107"/>
      <c r="G42"/>
      <c r="H42"/>
    </row>
    <row r="43" spans="1:8" ht="15" customHeight="1" x14ac:dyDescent="0.15">
      <c r="C43"/>
      <c r="D43"/>
      <c r="E43" s="107"/>
      <c r="F43" s="107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7"/>
      <c r="F46" s="107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E12" sqref="E12"/>
    </sheetView>
  </sheetViews>
  <sheetFormatPr baseColWidth="10" defaultColWidth="8.83203125" defaultRowHeight="13" x14ac:dyDescent="0.15"/>
  <cols>
    <col min="1" max="1" width="3.33203125" customWidth="1"/>
    <col min="2" max="2" width="24.6640625" bestFit="1" customWidth="1"/>
    <col min="3" max="4" width="18.83203125" customWidth="1"/>
    <col min="5" max="5" width="12.1640625" bestFit="1" customWidth="1"/>
  </cols>
  <sheetData>
    <row r="1" spans="1:12" s="108" customFormat="1" ht="112" x14ac:dyDescent="0.15">
      <c r="A1" s="5" t="s">
        <v>21</v>
      </c>
      <c r="B1" s="3" t="s">
        <v>0</v>
      </c>
      <c r="C1" s="151" t="s">
        <v>228</v>
      </c>
      <c r="D1" s="151" t="s">
        <v>232</v>
      </c>
      <c r="E1"/>
    </row>
    <row r="2" spans="1:12" ht="15" customHeight="1" x14ac:dyDescent="0.15">
      <c r="A2">
        <v>1</v>
      </c>
      <c r="B2" s="150" t="s">
        <v>192</v>
      </c>
      <c r="C2" s="217">
        <f>L2*H2</f>
        <v>7.0000000000000001E-3</v>
      </c>
      <c r="D2">
        <f>C2</f>
        <v>7.0000000000000001E-3</v>
      </c>
      <c r="G2" s="218" t="s">
        <v>236</v>
      </c>
      <c r="H2" s="220">
        <v>1</v>
      </c>
      <c r="K2" s="218" t="s">
        <v>235</v>
      </c>
      <c r="L2" s="219">
        <v>7.0000000000000001E-3</v>
      </c>
    </row>
    <row r="3" spans="1:12" ht="15" customHeight="1" x14ac:dyDescent="0.15">
      <c r="A3">
        <v>2</v>
      </c>
      <c r="B3" s="150" t="s">
        <v>193</v>
      </c>
      <c r="C3" s="217">
        <f t="shared" ref="C3:C37" si="0">L3*H3</f>
        <v>0</v>
      </c>
      <c r="D3">
        <f t="shared" ref="D3:D37" si="1">C3</f>
        <v>0</v>
      </c>
      <c r="G3" s="218" t="s">
        <v>238</v>
      </c>
      <c r="H3" s="220">
        <v>1</v>
      </c>
      <c r="L3" s="219">
        <v>0</v>
      </c>
    </row>
    <row r="4" spans="1:12" ht="15" customHeight="1" x14ac:dyDescent="0.15">
      <c r="A4">
        <v>3</v>
      </c>
      <c r="B4" s="150" t="s">
        <v>194</v>
      </c>
      <c r="C4" s="217">
        <f t="shared" si="0"/>
        <v>0</v>
      </c>
      <c r="D4">
        <f t="shared" si="1"/>
        <v>0</v>
      </c>
      <c r="G4" s="218" t="s">
        <v>239</v>
      </c>
      <c r="H4" s="220">
        <v>1</v>
      </c>
      <c r="L4" s="219">
        <v>0</v>
      </c>
    </row>
    <row r="5" spans="1:12" ht="15" customHeight="1" x14ac:dyDescent="0.15">
      <c r="A5">
        <v>4</v>
      </c>
      <c r="B5" s="150" t="s">
        <v>195</v>
      </c>
      <c r="C5" s="217">
        <f t="shared" si="0"/>
        <v>6.0000000000000001E-3</v>
      </c>
      <c r="D5">
        <f t="shared" si="1"/>
        <v>6.0000000000000001E-3</v>
      </c>
      <c r="H5" s="220">
        <v>1</v>
      </c>
      <c r="L5" s="219">
        <v>6.0000000000000001E-3</v>
      </c>
    </row>
    <row r="6" spans="1:12" ht="15" customHeight="1" x14ac:dyDescent="0.15">
      <c r="A6">
        <v>5</v>
      </c>
      <c r="B6" s="150" t="s">
        <v>196</v>
      </c>
      <c r="C6" s="217">
        <f t="shared" si="0"/>
        <v>2E-3</v>
      </c>
      <c r="D6">
        <f t="shared" si="1"/>
        <v>2E-3</v>
      </c>
      <c r="H6" s="220">
        <v>1</v>
      </c>
      <c r="L6" s="219">
        <v>2E-3</v>
      </c>
    </row>
    <row r="7" spans="1:12" ht="15" customHeight="1" x14ac:dyDescent="0.15">
      <c r="A7">
        <v>6</v>
      </c>
      <c r="B7" s="150" t="s">
        <v>197</v>
      </c>
      <c r="C7" s="217">
        <f t="shared" si="0"/>
        <v>0</v>
      </c>
      <c r="D7">
        <f t="shared" si="1"/>
        <v>0</v>
      </c>
      <c r="H7" s="220">
        <v>1</v>
      </c>
      <c r="L7" s="219">
        <v>0</v>
      </c>
    </row>
    <row r="8" spans="1:12" ht="15" customHeight="1" x14ac:dyDescent="0.15">
      <c r="A8">
        <v>7</v>
      </c>
      <c r="B8" s="150" t="s">
        <v>198</v>
      </c>
      <c r="C8" s="217">
        <f t="shared" si="0"/>
        <v>0</v>
      </c>
      <c r="D8">
        <f t="shared" si="1"/>
        <v>0</v>
      </c>
      <c r="H8" s="220">
        <v>1</v>
      </c>
      <c r="L8" s="219">
        <v>0</v>
      </c>
    </row>
    <row r="9" spans="1:12" ht="15" customHeight="1" x14ac:dyDescent="0.15">
      <c r="A9">
        <v>8</v>
      </c>
      <c r="B9" s="150" t="s">
        <v>199</v>
      </c>
      <c r="C9" s="217">
        <f t="shared" si="0"/>
        <v>1.0509999999999999</v>
      </c>
      <c r="D9">
        <f t="shared" si="1"/>
        <v>1.0509999999999999</v>
      </c>
      <c r="H9" s="220">
        <v>1</v>
      </c>
      <c r="L9" s="219">
        <v>1.0509999999999999</v>
      </c>
    </row>
    <row r="10" spans="1:12" ht="15" customHeight="1" x14ac:dyDescent="0.15">
      <c r="A10">
        <v>9</v>
      </c>
      <c r="B10" s="150" t="s">
        <v>200</v>
      </c>
      <c r="C10" s="217">
        <f t="shared" si="0"/>
        <v>0</v>
      </c>
      <c r="D10">
        <f t="shared" si="1"/>
        <v>0</v>
      </c>
      <c r="H10" s="220">
        <v>1</v>
      </c>
      <c r="L10" s="219">
        <v>0</v>
      </c>
    </row>
    <row r="11" spans="1:12" ht="15" customHeight="1" x14ac:dyDescent="0.15">
      <c r="A11">
        <v>10</v>
      </c>
      <c r="B11" s="150" t="s">
        <v>201</v>
      </c>
      <c r="C11" s="217">
        <f t="shared" si="0"/>
        <v>0.22600000000000001</v>
      </c>
      <c r="D11">
        <f t="shared" si="1"/>
        <v>0.22600000000000001</v>
      </c>
      <c r="H11" s="220">
        <v>1</v>
      </c>
      <c r="L11" s="219">
        <v>0.22600000000000001</v>
      </c>
    </row>
    <row r="12" spans="1:12" ht="15" customHeight="1" x14ac:dyDescent="0.15">
      <c r="A12">
        <v>11</v>
      </c>
      <c r="B12" s="150" t="s">
        <v>202</v>
      </c>
      <c r="C12" s="217">
        <f t="shared" si="0"/>
        <v>0.01</v>
      </c>
      <c r="D12">
        <f t="shared" si="1"/>
        <v>0.01</v>
      </c>
      <c r="H12" s="220">
        <v>1</v>
      </c>
      <c r="L12" s="219">
        <v>0.01</v>
      </c>
    </row>
    <row r="13" spans="1:12" ht="15" customHeight="1" x14ac:dyDescent="0.15">
      <c r="A13">
        <v>12</v>
      </c>
      <c r="B13" s="150" t="s">
        <v>203</v>
      </c>
      <c r="C13" s="217">
        <f t="shared" si="0"/>
        <v>0.01</v>
      </c>
      <c r="D13">
        <f t="shared" si="1"/>
        <v>0.01</v>
      </c>
      <c r="H13" s="220">
        <v>1</v>
      </c>
      <c r="L13" s="219">
        <v>0.01</v>
      </c>
    </row>
    <row r="14" spans="1:12" ht="15" customHeight="1" x14ac:dyDescent="0.15">
      <c r="A14">
        <v>13</v>
      </c>
      <c r="B14" s="150" t="s">
        <v>204</v>
      </c>
      <c r="C14" s="217">
        <f t="shared" si="0"/>
        <v>7.0000000000000001E-3</v>
      </c>
      <c r="D14">
        <f t="shared" si="1"/>
        <v>7.0000000000000001E-3</v>
      </c>
      <c r="H14" s="220">
        <v>1</v>
      </c>
      <c r="L14" s="219">
        <v>7.0000000000000001E-3</v>
      </c>
    </row>
    <row r="15" spans="1:12" ht="15" customHeight="1" x14ac:dyDescent="0.15">
      <c r="A15">
        <v>14</v>
      </c>
      <c r="B15" s="150" t="s">
        <v>205</v>
      </c>
      <c r="C15" s="217">
        <f t="shared" si="0"/>
        <v>2.0500000000000001E-2</v>
      </c>
      <c r="D15">
        <f t="shared" si="1"/>
        <v>2.0500000000000001E-2</v>
      </c>
      <c r="H15" s="219">
        <v>0.5</v>
      </c>
      <c r="L15" s="219">
        <v>4.1000000000000002E-2</v>
      </c>
    </row>
    <row r="16" spans="1:12" ht="15" customHeight="1" x14ac:dyDescent="0.15">
      <c r="A16">
        <v>15</v>
      </c>
      <c r="B16" s="150" t="s">
        <v>206</v>
      </c>
      <c r="C16" s="217">
        <f t="shared" si="0"/>
        <v>0</v>
      </c>
      <c r="D16">
        <f t="shared" si="1"/>
        <v>0</v>
      </c>
      <c r="H16" s="219">
        <v>0</v>
      </c>
      <c r="L16" s="219">
        <v>4.1000000000000002E-2</v>
      </c>
    </row>
    <row r="17" spans="1:12" ht="15" customHeight="1" x14ac:dyDescent="0.15">
      <c r="A17">
        <v>16</v>
      </c>
      <c r="B17" s="150" t="s">
        <v>207</v>
      </c>
      <c r="C17" s="217">
        <f t="shared" si="0"/>
        <v>6.3000000000000014E-2</v>
      </c>
      <c r="D17">
        <f t="shared" si="1"/>
        <v>6.3000000000000014E-2</v>
      </c>
      <c r="H17" s="219">
        <v>0.9</v>
      </c>
      <c r="L17" s="219">
        <v>7.0000000000000007E-2</v>
      </c>
    </row>
    <row r="18" spans="1:12" ht="15" customHeight="1" x14ac:dyDescent="0.15">
      <c r="A18">
        <v>17</v>
      </c>
      <c r="B18" s="150" t="s">
        <v>208</v>
      </c>
      <c r="C18" s="217">
        <f t="shared" si="0"/>
        <v>2.7333333333333334E-2</v>
      </c>
      <c r="D18">
        <f t="shared" si="1"/>
        <v>2.7333333333333334E-2</v>
      </c>
      <c r="H18" s="219">
        <f>2/3</f>
        <v>0.66666666666666663</v>
      </c>
      <c r="L18" s="219">
        <v>4.1000000000000002E-2</v>
      </c>
    </row>
    <row r="19" spans="1:12" ht="15" customHeight="1" x14ac:dyDescent="0.15">
      <c r="A19">
        <v>18</v>
      </c>
      <c r="B19" s="150" t="s">
        <v>209</v>
      </c>
      <c r="C19" s="217">
        <f t="shared" si="0"/>
        <v>2.5999999999999999E-2</v>
      </c>
      <c r="D19">
        <f t="shared" si="1"/>
        <v>2.5999999999999999E-2</v>
      </c>
      <c r="H19" s="219">
        <f>2/3</f>
        <v>0.66666666666666663</v>
      </c>
      <c r="L19" s="219">
        <v>3.9E-2</v>
      </c>
    </row>
    <row r="20" spans="1:12" ht="15" customHeight="1" x14ac:dyDescent="0.15">
      <c r="A20">
        <v>19</v>
      </c>
      <c r="B20" s="150" t="s">
        <v>210</v>
      </c>
      <c r="C20" s="217">
        <f t="shared" si="0"/>
        <v>0</v>
      </c>
      <c r="D20">
        <f t="shared" si="1"/>
        <v>0</v>
      </c>
      <c r="H20" s="220">
        <v>1</v>
      </c>
      <c r="L20" s="219">
        <v>0</v>
      </c>
    </row>
    <row r="21" spans="1:12" ht="15" customHeight="1" x14ac:dyDescent="0.15">
      <c r="A21">
        <v>20</v>
      </c>
      <c r="B21" s="150" t="s">
        <v>211</v>
      </c>
      <c r="C21" s="217">
        <f t="shared" si="0"/>
        <v>6.0000000000000001E-3</v>
      </c>
      <c r="D21">
        <f t="shared" si="1"/>
        <v>6.0000000000000001E-3</v>
      </c>
      <c r="H21" s="220">
        <v>1</v>
      </c>
      <c r="L21" s="219">
        <v>6.0000000000000001E-3</v>
      </c>
    </row>
    <row r="22" spans="1:12" ht="15" customHeight="1" x14ac:dyDescent="0.15">
      <c r="A22">
        <v>21</v>
      </c>
      <c r="B22" s="150" t="s">
        <v>212</v>
      </c>
      <c r="C22" s="217">
        <f t="shared" si="0"/>
        <v>8.0000000000000002E-3</v>
      </c>
      <c r="D22">
        <f t="shared" si="1"/>
        <v>8.0000000000000002E-3</v>
      </c>
      <c r="H22" s="220">
        <v>1</v>
      </c>
      <c r="L22" s="219">
        <v>8.0000000000000002E-3</v>
      </c>
    </row>
    <row r="23" spans="1:12" ht="15" customHeight="1" x14ac:dyDescent="0.15">
      <c r="A23">
        <v>22</v>
      </c>
      <c r="B23" s="150" t="s">
        <v>213</v>
      </c>
      <c r="C23" s="217">
        <f t="shared" si="0"/>
        <v>2E-3</v>
      </c>
      <c r="D23">
        <f t="shared" si="1"/>
        <v>2E-3</v>
      </c>
      <c r="H23" s="220">
        <v>1</v>
      </c>
      <c r="L23" s="219">
        <v>2E-3</v>
      </c>
    </row>
    <row r="24" spans="1:12" ht="15" customHeight="1" x14ac:dyDescent="0.15">
      <c r="A24">
        <v>23</v>
      </c>
      <c r="B24" s="150" t="s">
        <v>214</v>
      </c>
      <c r="C24" s="217">
        <f t="shared" si="0"/>
        <v>4.0000000000000001E-3</v>
      </c>
      <c r="D24">
        <f t="shared" si="1"/>
        <v>4.0000000000000001E-3</v>
      </c>
      <c r="H24" s="220">
        <v>1</v>
      </c>
      <c r="L24" s="219">
        <v>4.0000000000000001E-3</v>
      </c>
    </row>
    <row r="25" spans="1:12" ht="15" customHeight="1" x14ac:dyDescent="0.15">
      <c r="A25">
        <v>24</v>
      </c>
      <c r="B25" s="150" t="s">
        <v>215</v>
      </c>
      <c r="C25" s="217">
        <f t="shared" si="0"/>
        <v>0</v>
      </c>
      <c r="D25">
        <f t="shared" si="1"/>
        <v>0</v>
      </c>
      <c r="H25" s="220">
        <v>1</v>
      </c>
      <c r="L25" s="219">
        <v>0</v>
      </c>
    </row>
    <row r="26" spans="1:12" ht="15" customHeight="1" x14ac:dyDescent="0.15">
      <c r="A26">
        <v>25</v>
      </c>
      <c r="B26" s="150" t="s">
        <v>216</v>
      </c>
      <c r="C26" s="217">
        <f t="shared" si="0"/>
        <v>0</v>
      </c>
      <c r="D26">
        <f t="shared" si="1"/>
        <v>0</v>
      </c>
      <c r="H26" s="220">
        <v>1</v>
      </c>
      <c r="L26" s="219">
        <v>0</v>
      </c>
    </row>
    <row r="27" spans="1:12" ht="15" customHeight="1" x14ac:dyDescent="0.15">
      <c r="A27">
        <v>26</v>
      </c>
      <c r="B27" s="150" t="s">
        <v>217</v>
      </c>
      <c r="C27" s="217">
        <f t="shared" si="0"/>
        <v>5.5E-2</v>
      </c>
      <c r="D27">
        <f t="shared" si="1"/>
        <v>5.5E-2</v>
      </c>
      <c r="H27" s="220">
        <v>1</v>
      </c>
      <c r="L27" s="219">
        <v>5.5E-2</v>
      </c>
    </row>
    <row r="28" spans="1:12" ht="15" customHeight="1" x14ac:dyDescent="0.15">
      <c r="A28">
        <v>27</v>
      </c>
      <c r="B28" s="150" t="s">
        <v>218</v>
      </c>
      <c r="C28" s="217">
        <f t="shared" si="0"/>
        <v>1.2E-2</v>
      </c>
      <c r="D28">
        <f t="shared" si="1"/>
        <v>1.2E-2</v>
      </c>
      <c r="H28" s="220">
        <v>1</v>
      </c>
      <c r="L28" s="219">
        <v>1.2E-2</v>
      </c>
    </row>
    <row r="29" spans="1:12" ht="15" customHeight="1" x14ac:dyDescent="0.15">
      <c r="A29">
        <v>28</v>
      </c>
      <c r="B29" s="150" t="s">
        <v>219</v>
      </c>
      <c r="C29" s="217">
        <f t="shared" si="0"/>
        <v>0.02</v>
      </c>
      <c r="D29">
        <f t="shared" si="1"/>
        <v>0.02</v>
      </c>
      <c r="H29" s="220">
        <v>1</v>
      </c>
      <c r="L29" s="219">
        <v>0.02</v>
      </c>
    </row>
    <row r="30" spans="1:12" ht="15" customHeight="1" x14ac:dyDescent="0.15">
      <c r="A30">
        <v>29</v>
      </c>
      <c r="B30" s="150" t="s">
        <v>220</v>
      </c>
      <c r="C30" s="217">
        <f t="shared" si="0"/>
        <v>0</v>
      </c>
      <c r="D30">
        <f t="shared" si="1"/>
        <v>0</v>
      </c>
      <c r="H30" s="219">
        <v>0</v>
      </c>
      <c r="L30" s="219">
        <v>1E-3</v>
      </c>
    </row>
    <row r="31" spans="1:12" ht="15" customHeight="1" x14ac:dyDescent="0.15">
      <c r="A31">
        <v>30</v>
      </c>
      <c r="B31" s="150" t="s">
        <v>221</v>
      </c>
      <c r="C31" s="217">
        <f t="shared" si="0"/>
        <v>0</v>
      </c>
      <c r="D31">
        <f t="shared" si="1"/>
        <v>0</v>
      </c>
      <c r="H31" s="220">
        <v>1</v>
      </c>
      <c r="L31" s="219">
        <v>0</v>
      </c>
    </row>
    <row r="32" spans="1:12" ht="15" customHeight="1" x14ac:dyDescent="0.15">
      <c r="A32">
        <v>31</v>
      </c>
      <c r="B32" s="150" t="s">
        <v>222</v>
      </c>
      <c r="C32" s="217">
        <f t="shared" si="0"/>
        <v>0</v>
      </c>
      <c r="D32">
        <f t="shared" si="1"/>
        <v>0</v>
      </c>
      <c r="H32" s="220">
        <v>1</v>
      </c>
      <c r="L32" s="219">
        <v>0</v>
      </c>
    </row>
    <row r="33" spans="1:12" ht="15" customHeight="1" x14ac:dyDescent="0.15">
      <c r="A33">
        <v>32</v>
      </c>
      <c r="B33" s="150" t="s">
        <v>223</v>
      </c>
      <c r="C33" s="217">
        <f t="shared" si="0"/>
        <v>0</v>
      </c>
      <c r="D33">
        <f t="shared" si="1"/>
        <v>0</v>
      </c>
      <c r="H33" s="220">
        <v>1</v>
      </c>
      <c r="L33" s="219">
        <v>0</v>
      </c>
    </row>
    <row r="34" spans="1:12" ht="15" customHeight="1" x14ac:dyDescent="0.15">
      <c r="A34">
        <v>33</v>
      </c>
      <c r="B34" s="150" t="s">
        <v>224</v>
      </c>
      <c r="C34" s="217">
        <f t="shared" si="0"/>
        <v>0</v>
      </c>
      <c r="D34">
        <f t="shared" si="1"/>
        <v>0</v>
      </c>
      <c r="H34" s="220">
        <v>1</v>
      </c>
      <c r="L34" s="219">
        <v>0</v>
      </c>
    </row>
    <row r="35" spans="1:12" ht="15" customHeight="1" x14ac:dyDescent="0.15">
      <c r="A35">
        <v>34</v>
      </c>
      <c r="B35" s="150" t="s">
        <v>225</v>
      </c>
      <c r="C35" s="217">
        <f t="shared" si="0"/>
        <v>0</v>
      </c>
      <c r="D35">
        <f t="shared" si="1"/>
        <v>0</v>
      </c>
      <c r="H35" s="220">
        <v>1</v>
      </c>
      <c r="L35" s="219">
        <v>0</v>
      </c>
    </row>
    <row r="36" spans="1:12" ht="15" customHeight="1" x14ac:dyDescent="0.15">
      <c r="A36">
        <v>35</v>
      </c>
      <c r="B36" s="150" t="s">
        <v>226</v>
      </c>
      <c r="C36" s="217">
        <f t="shared" si="0"/>
        <v>0</v>
      </c>
      <c r="D36">
        <f t="shared" si="1"/>
        <v>0</v>
      </c>
      <c r="H36" s="220">
        <v>1</v>
      </c>
      <c r="L36" s="219">
        <v>0</v>
      </c>
    </row>
    <row r="37" spans="1:12" ht="15" customHeight="1" x14ac:dyDescent="0.15">
      <c r="A37">
        <v>36</v>
      </c>
      <c r="B37" s="150" t="s">
        <v>227</v>
      </c>
      <c r="C37" s="217">
        <f t="shared" si="0"/>
        <v>0</v>
      </c>
      <c r="D37">
        <f t="shared" si="1"/>
        <v>0</v>
      </c>
      <c r="H37" s="220">
        <v>1</v>
      </c>
      <c r="L37" s="219">
        <v>0</v>
      </c>
    </row>
    <row r="38" spans="1:12" ht="15" customHeight="1" x14ac:dyDescent="0.15"/>
    <row r="39" spans="1:12" ht="15" customHeight="1" x14ac:dyDescent="0.15"/>
    <row r="40" spans="1:12" ht="15" customHeight="1" x14ac:dyDescent="0.15"/>
    <row r="41" spans="1:12" ht="15" customHeight="1" x14ac:dyDescent="0.15"/>
    <row r="42" spans="1:12" ht="15" customHeight="1" x14ac:dyDescent="0.15"/>
    <row r="43" spans="1:12" ht="15" customHeight="1" x14ac:dyDescent="0.15"/>
    <row r="44" spans="1:12" ht="15" customHeight="1" x14ac:dyDescent="0.15"/>
    <row r="45" spans="1:12" ht="15" customHeight="1" x14ac:dyDescent="0.15"/>
    <row r="46" spans="1:12" ht="15" customHeight="1" x14ac:dyDescent="0.15"/>
    <row r="47" spans="1:12" ht="15" customHeight="1" x14ac:dyDescent="0.15"/>
    <row r="48" spans="1:12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43" sqref="C43"/>
    </sheetView>
  </sheetViews>
  <sheetFormatPr baseColWidth="10" defaultColWidth="8.83203125" defaultRowHeight="13" x14ac:dyDescent="0.15"/>
  <cols>
    <col min="1" max="1" width="3.33203125" customWidth="1"/>
    <col min="2" max="2" width="24.6640625" bestFit="1" customWidth="1"/>
    <col min="3" max="4" width="12.1640625" customWidth="1"/>
    <col min="5" max="5" width="12.1640625" bestFit="1" customWidth="1"/>
  </cols>
  <sheetData>
    <row r="1" spans="1:12" s="108" customFormat="1" ht="112" x14ac:dyDescent="0.15">
      <c r="A1" s="5" t="s">
        <v>22</v>
      </c>
      <c r="B1" s="3" t="s">
        <v>0</v>
      </c>
      <c r="C1" s="153" t="s">
        <v>228</v>
      </c>
      <c r="D1" s="153" t="s">
        <v>232</v>
      </c>
    </row>
    <row r="2" spans="1:12" x14ac:dyDescent="0.15">
      <c r="A2">
        <v>1</v>
      </c>
      <c r="B2" s="152" t="s">
        <v>192</v>
      </c>
      <c r="C2" s="217">
        <f>L2*H2</f>
        <v>0</v>
      </c>
      <c r="D2">
        <f>C2</f>
        <v>0</v>
      </c>
      <c r="G2" s="218" t="s">
        <v>236</v>
      </c>
      <c r="H2" s="220">
        <f>1-Fishing!H2</f>
        <v>0</v>
      </c>
      <c r="K2" s="218" t="s">
        <v>235</v>
      </c>
      <c r="L2" s="219">
        <v>7.0000000000000001E-3</v>
      </c>
    </row>
    <row r="3" spans="1:12" x14ac:dyDescent="0.15">
      <c r="A3">
        <v>2</v>
      </c>
      <c r="B3" s="152" t="s">
        <v>193</v>
      </c>
      <c r="C3" s="217">
        <f t="shared" ref="C3:C37" si="0">L3*H3</f>
        <v>0</v>
      </c>
      <c r="D3">
        <f t="shared" ref="D3:D37" si="1">C3</f>
        <v>0</v>
      </c>
      <c r="G3" s="218" t="s">
        <v>238</v>
      </c>
      <c r="H3" s="220">
        <f>1-Fishing!H3</f>
        <v>0</v>
      </c>
      <c r="L3" s="219">
        <v>0</v>
      </c>
    </row>
    <row r="4" spans="1:12" x14ac:dyDescent="0.15">
      <c r="A4">
        <v>3</v>
      </c>
      <c r="B4" s="152" t="s">
        <v>194</v>
      </c>
      <c r="C4" s="217">
        <f t="shared" si="0"/>
        <v>0</v>
      </c>
      <c r="D4">
        <f t="shared" si="1"/>
        <v>0</v>
      </c>
      <c r="G4" s="218" t="s">
        <v>239</v>
      </c>
      <c r="H4" s="220">
        <f>1-Fishing!H4</f>
        <v>0</v>
      </c>
      <c r="L4" s="219">
        <v>0</v>
      </c>
    </row>
    <row r="5" spans="1:12" x14ac:dyDescent="0.15">
      <c r="A5">
        <v>4</v>
      </c>
      <c r="B5" s="152" t="s">
        <v>195</v>
      </c>
      <c r="C5" s="217">
        <f t="shared" si="0"/>
        <v>0</v>
      </c>
      <c r="D5">
        <f t="shared" si="1"/>
        <v>0</v>
      </c>
      <c r="H5" s="220">
        <f>1-Fishing!H5</f>
        <v>0</v>
      </c>
      <c r="L5" s="219">
        <v>6.0000000000000001E-3</v>
      </c>
    </row>
    <row r="6" spans="1:12" x14ac:dyDescent="0.15">
      <c r="A6">
        <v>5</v>
      </c>
      <c r="B6" s="152" t="s">
        <v>196</v>
      </c>
      <c r="C6" s="217">
        <f t="shared" si="0"/>
        <v>0</v>
      </c>
      <c r="D6">
        <f t="shared" si="1"/>
        <v>0</v>
      </c>
      <c r="H6" s="220">
        <f>1-Fishing!H6</f>
        <v>0</v>
      </c>
      <c r="L6" s="219">
        <v>2E-3</v>
      </c>
    </row>
    <row r="7" spans="1:12" x14ac:dyDescent="0.15">
      <c r="A7">
        <v>6</v>
      </c>
      <c r="B7" s="152" t="s">
        <v>197</v>
      </c>
      <c r="C7" s="217">
        <f t="shared" si="0"/>
        <v>0</v>
      </c>
      <c r="D7">
        <f t="shared" si="1"/>
        <v>0</v>
      </c>
      <c r="H7" s="220">
        <f>1-Fishing!H7</f>
        <v>0</v>
      </c>
      <c r="L7" s="219">
        <v>0</v>
      </c>
    </row>
    <row r="8" spans="1:12" x14ac:dyDescent="0.15">
      <c r="A8">
        <v>7</v>
      </c>
      <c r="B8" s="152" t="s">
        <v>198</v>
      </c>
      <c r="C8" s="217">
        <f t="shared" si="0"/>
        <v>0</v>
      </c>
      <c r="D8">
        <f t="shared" si="1"/>
        <v>0</v>
      </c>
      <c r="H8" s="220">
        <f>1-Fishing!H8</f>
        <v>0</v>
      </c>
      <c r="L8" s="219">
        <v>0</v>
      </c>
    </row>
    <row r="9" spans="1:12" x14ac:dyDescent="0.15">
      <c r="A9">
        <v>8</v>
      </c>
      <c r="B9" s="152" t="s">
        <v>199</v>
      </c>
      <c r="C9" s="217">
        <f t="shared" si="0"/>
        <v>0</v>
      </c>
      <c r="D9">
        <f t="shared" si="1"/>
        <v>0</v>
      </c>
      <c r="H9" s="220">
        <f>1-Fishing!H9</f>
        <v>0</v>
      </c>
      <c r="L9" s="219">
        <v>1.0509999999999999</v>
      </c>
    </row>
    <row r="10" spans="1:12" x14ac:dyDescent="0.15">
      <c r="A10">
        <v>9</v>
      </c>
      <c r="B10" s="152" t="s">
        <v>200</v>
      </c>
      <c r="C10" s="217">
        <f t="shared" si="0"/>
        <v>0</v>
      </c>
      <c r="D10">
        <f t="shared" si="1"/>
        <v>0</v>
      </c>
      <c r="H10" s="220">
        <f>1-Fishing!H10</f>
        <v>0</v>
      </c>
      <c r="L10" s="219">
        <v>0</v>
      </c>
    </row>
    <row r="11" spans="1:12" x14ac:dyDescent="0.15">
      <c r="A11">
        <v>10</v>
      </c>
      <c r="B11" s="152" t="s">
        <v>201</v>
      </c>
      <c r="C11" s="217">
        <f t="shared" si="0"/>
        <v>0</v>
      </c>
      <c r="D11">
        <f t="shared" si="1"/>
        <v>0</v>
      </c>
      <c r="H11" s="220">
        <f>1-Fishing!H11</f>
        <v>0</v>
      </c>
      <c r="L11" s="219">
        <v>0.22600000000000001</v>
      </c>
    </row>
    <row r="12" spans="1:12" x14ac:dyDescent="0.15">
      <c r="A12">
        <v>11</v>
      </c>
      <c r="B12" s="152" t="s">
        <v>202</v>
      </c>
      <c r="C12" s="217">
        <f t="shared" si="0"/>
        <v>0</v>
      </c>
      <c r="D12">
        <f t="shared" si="1"/>
        <v>0</v>
      </c>
      <c r="H12" s="220">
        <f>1-Fishing!H12</f>
        <v>0</v>
      </c>
      <c r="L12" s="219">
        <v>0.01</v>
      </c>
    </row>
    <row r="13" spans="1:12" x14ac:dyDescent="0.15">
      <c r="A13">
        <v>12</v>
      </c>
      <c r="B13" s="152" t="s">
        <v>203</v>
      </c>
      <c r="C13" s="217">
        <f t="shared" si="0"/>
        <v>0</v>
      </c>
      <c r="D13">
        <f t="shared" si="1"/>
        <v>0</v>
      </c>
      <c r="H13" s="220">
        <f>1-Fishing!H13</f>
        <v>0</v>
      </c>
      <c r="L13" s="219">
        <v>0.01</v>
      </c>
    </row>
    <row r="14" spans="1:12" x14ac:dyDescent="0.15">
      <c r="A14">
        <v>13</v>
      </c>
      <c r="B14" s="152" t="s">
        <v>204</v>
      </c>
      <c r="C14" s="217">
        <f t="shared" si="0"/>
        <v>0</v>
      </c>
      <c r="D14">
        <f t="shared" si="1"/>
        <v>0</v>
      </c>
      <c r="H14" s="220">
        <f>1-Fishing!H14</f>
        <v>0</v>
      </c>
      <c r="L14" s="219">
        <v>7.0000000000000001E-3</v>
      </c>
    </row>
    <row r="15" spans="1:12" x14ac:dyDescent="0.15">
      <c r="A15">
        <v>14</v>
      </c>
      <c r="B15" s="152" t="s">
        <v>205</v>
      </c>
      <c r="C15" s="217">
        <f t="shared" si="0"/>
        <v>2.0500000000000001E-2</v>
      </c>
      <c r="D15">
        <f t="shared" si="1"/>
        <v>2.0500000000000001E-2</v>
      </c>
      <c r="H15" s="219">
        <f>1-Fishing!H15</f>
        <v>0.5</v>
      </c>
      <c r="L15" s="219">
        <v>4.1000000000000002E-2</v>
      </c>
    </row>
    <row r="16" spans="1:12" x14ac:dyDescent="0.15">
      <c r="A16">
        <v>15</v>
      </c>
      <c r="B16" s="152" t="s">
        <v>206</v>
      </c>
      <c r="C16" s="217">
        <f t="shared" si="0"/>
        <v>4.1000000000000002E-2</v>
      </c>
      <c r="D16">
        <f t="shared" si="1"/>
        <v>4.1000000000000002E-2</v>
      </c>
      <c r="H16" s="219">
        <f>1-Fishing!H16</f>
        <v>1</v>
      </c>
      <c r="L16" s="219">
        <v>4.1000000000000002E-2</v>
      </c>
    </row>
    <row r="17" spans="1:12" x14ac:dyDescent="0.15">
      <c r="A17">
        <v>16</v>
      </c>
      <c r="B17" s="152" t="s">
        <v>207</v>
      </c>
      <c r="C17" s="217">
        <f t="shared" si="0"/>
        <v>6.9999999999999993E-3</v>
      </c>
      <c r="D17">
        <f t="shared" si="1"/>
        <v>6.9999999999999993E-3</v>
      </c>
      <c r="H17" s="219">
        <f>1-Fishing!H17</f>
        <v>9.9999999999999978E-2</v>
      </c>
      <c r="L17" s="219">
        <v>7.0000000000000007E-2</v>
      </c>
    </row>
    <row r="18" spans="1:12" x14ac:dyDescent="0.15">
      <c r="A18">
        <v>17</v>
      </c>
      <c r="B18" s="152" t="s">
        <v>208</v>
      </c>
      <c r="C18" s="217">
        <f t="shared" si="0"/>
        <v>1.3666666666666669E-2</v>
      </c>
      <c r="D18">
        <f t="shared" si="1"/>
        <v>1.3666666666666669E-2</v>
      </c>
      <c r="H18" s="219">
        <f>1-Fishing!H18</f>
        <v>0.33333333333333337</v>
      </c>
      <c r="L18" s="219">
        <v>4.1000000000000002E-2</v>
      </c>
    </row>
    <row r="19" spans="1:12" x14ac:dyDescent="0.15">
      <c r="A19">
        <v>18</v>
      </c>
      <c r="B19" s="152" t="s">
        <v>209</v>
      </c>
      <c r="C19" s="217">
        <f t="shared" si="0"/>
        <v>1.3000000000000001E-2</v>
      </c>
      <c r="D19">
        <f t="shared" si="1"/>
        <v>1.3000000000000001E-2</v>
      </c>
      <c r="H19" s="219">
        <f>1-Fishing!H19</f>
        <v>0.33333333333333337</v>
      </c>
      <c r="L19" s="219">
        <v>3.9E-2</v>
      </c>
    </row>
    <row r="20" spans="1:12" x14ac:dyDescent="0.15">
      <c r="A20">
        <v>19</v>
      </c>
      <c r="B20" s="152" t="s">
        <v>210</v>
      </c>
      <c r="C20" s="217">
        <f t="shared" si="0"/>
        <v>0</v>
      </c>
      <c r="D20">
        <f t="shared" si="1"/>
        <v>0</v>
      </c>
      <c r="H20" s="220">
        <f>1-Fishing!H20</f>
        <v>0</v>
      </c>
      <c r="L20" s="219">
        <v>0</v>
      </c>
    </row>
    <row r="21" spans="1:12" x14ac:dyDescent="0.15">
      <c r="A21">
        <v>20</v>
      </c>
      <c r="B21" s="152" t="s">
        <v>211</v>
      </c>
      <c r="C21" s="217">
        <f t="shared" si="0"/>
        <v>0</v>
      </c>
      <c r="D21">
        <f t="shared" si="1"/>
        <v>0</v>
      </c>
      <c r="H21" s="220">
        <f>1-Fishing!H21</f>
        <v>0</v>
      </c>
      <c r="L21" s="219">
        <v>6.0000000000000001E-3</v>
      </c>
    </row>
    <row r="22" spans="1:12" x14ac:dyDescent="0.15">
      <c r="A22">
        <v>21</v>
      </c>
      <c r="B22" s="152" t="s">
        <v>212</v>
      </c>
      <c r="C22" s="217">
        <f t="shared" si="0"/>
        <v>0</v>
      </c>
      <c r="D22">
        <f t="shared" si="1"/>
        <v>0</v>
      </c>
      <c r="H22" s="220">
        <f>1-Fishing!H22</f>
        <v>0</v>
      </c>
      <c r="L22" s="219">
        <v>8.0000000000000002E-3</v>
      </c>
    </row>
    <row r="23" spans="1:12" x14ac:dyDescent="0.15">
      <c r="A23">
        <v>22</v>
      </c>
      <c r="B23" s="152" t="s">
        <v>213</v>
      </c>
      <c r="C23" s="217">
        <f t="shared" si="0"/>
        <v>0</v>
      </c>
      <c r="D23">
        <f t="shared" si="1"/>
        <v>0</v>
      </c>
      <c r="H23" s="220">
        <f>1-Fishing!H23</f>
        <v>0</v>
      </c>
      <c r="L23" s="219">
        <v>2E-3</v>
      </c>
    </row>
    <row r="24" spans="1:12" x14ac:dyDescent="0.15">
      <c r="A24">
        <v>23</v>
      </c>
      <c r="B24" s="152" t="s">
        <v>214</v>
      </c>
      <c r="C24" s="217">
        <f t="shared" si="0"/>
        <v>0</v>
      </c>
      <c r="D24">
        <f t="shared" si="1"/>
        <v>0</v>
      </c>
      <c r="H24" s="220">
        <f>1-Fishing!H24</f>
        <v>0</v>
      </c>
      <c r="L24" s="219">
        <v>4.0000000000000001E-3</v>
      </c>
    </row>
    <row r="25" spans="1:12" x14ac:dyDescent="0.15">
      <c r="A25">
        <v>24</v>
      </c>
      <c r="B25" s="152" t="s">
        <v>215</v>
      </c>
      <c r="C25" s="217">
        <f t="shared" si="0"/>
        <v>0</v>
      </c>
      <c r="D25">
        <f t="shared" si="1"/>
        <v>0</v>
      </c>
      <c r="H25" s="220">
        <f>1-Fishing!H25</f>
        <v>0</v>
      </c>
      <c r="L25" s="219">
        <v>0</v>
      </c>
    </row>
    <row r="26" spans="1:12" x14ac:dyDescent="0.15">
      <c r="A26">
        <v>25</v>
      </c>
      <c r="B26" s="152" t="s">
        <v>216</v>
      </c>
      <c r="C26" s="217">
        <f t="shared" si="0"/>
        <v>0</v>
      </c>
      <c r="D26">
        <f t="shared" si="1"/>
        <v>0</v>
      </c>
      <c r="H26" s="220">
        <f>1-Fishing!H26</f>
        <v>0</v>
      </c>
      <c r="L26" s="219">
        <v>0</v>
      </c>
    </row>
    <row r="27" spans="1:12" x14ac:dyDescent="0.15">
      <c r="A27">
        <v>26</v>
      </c>
      <c r="B27" s="152" t="s">
        <v>217</v>
      </c>
      <c r="C27" s="217">
        <f t="shared" si="0"/>
        <v>0</v>
      </c>
      <c r="D27">
        <f t="shared" si="1"/>
        <v>0</v>
      </c>
      <c r="H27" s="220">
        <f>1-Fishing!H27</f>
        <v>0</v>
      </c>
      <c r="L27" s="219">
        <v>5.5E-2</v>
      </c>
    </row>
    <row r="28" spans="1:12" x14ac:dyDescent="0.15">
      <c r="A28">
        <v>27</v>
      </c>
      <c r="B28" s="152" t="s">
        <v>218</v>
      </c>
      <c r="C28" s="217">
        <f t="shared" si="0"/>
        <v>0</v>
      </c>
      <c r="D28">
        <f t="shared" si="1"/>
        <v>0</v>
      </c>
      <c r="H28" s="220">
        <f>1-Fishing!H28</f>
        <v>0</v>
      </c>
      <c r="L28" s="219">
        <v>1.2E-2</v>
      </c>
    </row>
    <row r="29" spans="1:12" x14ac:dyDescent="0.15">
      <c r="A29">
        <v>28</v>
      </c>
      <c r="B29" s="152" t="s">
        <v>219</v>
      </c>
      <c r="C29" s="217">
        <f t="shared" si="0"/>
        <v>0</v>
      </c>
      <c r="D29">
        <f t="shared" si="1"/>
        <v>0</v>
      </c>
      <c r="H29" s="220">
        <f>1-Fishing!H29</f>
        <v>0</v>
      </c>
      <c r="L29" s="219">
        <v>0.02</v>
      </c>
    </row>
    <row r="30" spans="1:12" x14ac:dyDescent="0.15">
      <c r="A30">
        <v>29</v>
      </c>
      <c r="B30" s="152" t="s">
        <v>220</v>
      </c>
      <c r="C30" s="217">
        <f t="shared" si="0"/>
        <v>1E-3</v>
      </c>
      <c r="D30">
        <f t="shared" si="1"/>
        <v>1E-3</v>
      </c>
      <c r="H30" s="219">
        <f>1-Fishing!H30</f>
        <v>1</v>
      </c>
      <c r="L30" s="219">
        <v>1E-3</v>
      </c>
    </row>
    <row r="31" spans="1:12" x14ac:dyDescent="0.15">
      <c r="A31">
        <v>30</v>
      </c>
      <c r="B31" s="152" t="s">
        <v>221</v>
      </c>
      <c r="C31" s="217">
        <f t="shared" si="0"/>
        <v>0</v>
      </c>
      <c r="D31">
        <f t="shared" si="1"/>
        <v>0</v>
      </c>
      <c r="H31" s="220">
        <f>1-Fishing!H31</f>
        <v>0</v>
      </c>
      <c r="L31" s="219">
        <v>0</v>
      </c>
    </row>
    <row r="32" spans="1:12" x14ac:dyDescent="0.15">
      <c r="A32">
        <v>31</v>
      </c>
      <c r="B32" s="152" t="s">
        <v>222</v>
      </c>
      <c r="C32" s="217">
        <f t="shared" si="0"/>
        <v>0</v>
      </c>
      <c r="D32">
        <f t="shared" si="1"/>
        <v>0</v>
      </c>
      <c r="H32" s="220">
        <f>1-Fishing!H32</f>
        <v>0</v>
      </c>
      <c r="L32" s="219">
        <v>0</v>
      </c>
    </row>
    <row r="33" spans="1:12" x14ac:dyDescent="0.15">
      <c r="A33">
        <v>32</v>
      </c>
      <c r="B33" s="152" t="s">
        <v>223</v>
      </c>
      <c r="C33" s="217">
        <f t="shared" si="0"/>
        <v>0</v>
      </c>
      <c r="D33">
        <f t="shared" si="1"/>
        <v>0</v>
      </c>
      <c r="H33" s="220">
        <f>1-Fishing!H33</f>
        <v>0</v>
      </c>
      <c r="L33" s="219">
        <v>0</v>
      </c>
    </row>
    <row r="34" spans="1:12" x14ac:dyDescent="0.15">
      <c r="A34">
        <v>33</v>
      </c>
      <c r="B34" s="152" t="s">
        <v>224</v>
      </c>
      <c r="C34" s="217">
        <f t="shared" si="0"/>
        <v>0</v>
      </c>
      <c r="D34">
        <f t="shared" si="1"/>
        <v>0</v>
      </c>
      <c r="H34" s="220">
        <f>1-Fishing!H34</f>
        <v>0</v>
      </c>
      <c r="L34" s="219">
        <v>0</v>
      </c>
    </row>
    <row r="35" spans="1:12" x14ac:dyDescent="0.15">
      <c r="A35">
        <v>34</v>
      </c>
      <c r="B35" s="152" t="s">
        <v>225</v>
      </c>
      <c r="C35" s="217">
        <f t="shared" si="0"/>
        <v>0</v>
      </c>
      <c r="D35">
        <f t="shared" si="1"/>
        <v>0</v>
      </c>
      <c r="H35" s="220">
        <f>1-Fishing!H35</f>
        <v>0</v>
      </c>
      <c r="L35" s="219">
        <v>0</v>
      </c>
    </row>
    <row r="36" spans="1:12" x14ac:dyDescent="0.15">
      <c r="A36">
        <v>35</v>
      </c>
      <c r="B36" s="152" t="s">
        <v>226</v>
      </c>
      <c r="C36" s="217">
        <f t="shared" si="0"/>
        <v>0</v>
      </c>
      <c r="D36">
        <f t="shared" si="1"/>
        <v>0</v>
      </c>
      <c r="H36" s="220">
        <f>1-Fishing!H36</f>
        <v>0</v>
      </c>
      <c r="L36" s="219">
        <v>0</v>
      </c>
    </row>
    <row r="37" spans="1:12" x14ac:dyDescent="0.15">
      <c r="A37">
        <v>36</v>
      </c>
      <c r="B37" s="152" t="s">
        <v>227</v>
      </c>
      <c r="C37" s="217">
        <f t="shared" si="0"/>
        <v>0</v>
      </c>
      <c r="D37">
        <f t="shared" si="1"/>
        <v>0</v>
      </c>
      <c r="H37" s="220">
        <f>1-Fishing!H37</f>
        <v>0</v>
      </c>
      <c r="L37" s="21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6640625" bestFit="1" customWidth="1"/>
    <col min="6" max="6" width="4.83203125" bestFit="1" customWidth="1"/>
    <col min="7" max="9" width="3.83203125" bestFit="1" customWidth="1"/>
    <col min="10" max="11" width="4.83203125" style="10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9" customFormat="1" ht="14" thickBot="1" x14ac:dyDescent="0.2">
      <c r="D1" s="110" t="s">
        <v>8</v>
      </c>
      <c r="E1" s="110" t="s">
        <v>0</v>
      </c>
      <c r="F1" s="111" t="s">
        <v>99</v>
      </c>
      <c r="G1" s="112" t="s">
        <v>84</v>
      </c>
      <c r="H1" s="112" t="s">
        <v>85</v>
      </c>
      <c r="I1" s="112" t="s">
        <v>86</v>
      </c>
      <c r="J1" s="112" t="s">
        <v>87</v>
      </c>
      <c r="K1" s="112" t="s">
        <v>88</v>
      </c>
      <c r="L1" s="113" t="s">
        <v>89</v>
      </c>
      <c r="M1" s="113" t="s">
        <v>93</v>
      </c>
      <c r="N1" s="113" t="s">
        <v>92</v>
      </c>
      <c r="O1" s="113" t="s">
        <v>90</v>
      </c>
      <c r="P1" s="113" t="s">
        <v>91</v>
      </c>
      <c r="Q1" s="114" t="s">
        <v>94</v>
      </c>
      <c r="R1" s="114" t="s">
        <v>95</v>
      </c>
      <c r="S1" s="114" t="s">
        <v>96</v>
      </c>
      <c r="T1" s="114" t="s">
        <v>97</v>
      </c>
      <c r="U1" s="114" t="s">
        <v>98</v>
      </c>
      <c r="V1" s="112" t="s">
        <v>100</v>
      </c>
      <c r="W1" s="112" t="s">
        <v>101</v>
      </c>
      <c r="X1" s="112" t="s">
        <v>102</v>
      </c>
      <c r="Y1" s="112" t="s">
        <v>134</v>
      </c>
      <c r="Z1" s="113" t="s">
        <v>103</v>
      </c>
      <c r="AA1" s="113" t="s">
        <v>104</v>
      </c>
      <c r="AB1" s="113" t="s">
        <v>105</v>
      </c>
      <c r="AC1" s="115" t="s">
        <v>135</v>
      </c>
      <c r="AD1" s="114" t="s">
        <v>106</v>
      </c>
      <c r="AE1" s="114" t="s">
        <v>107</v>
      </c>
      <c r="AF1" s="114" t="s">
        <v>108</v>
      </c>
      <c r="AG1" s="114" t="s">
        <v>136</v>
      </c>
      <c r="AH1" s="112" t="s">
        <v>109</v>
      </c>
      <c r="AI1" s="112" t="s">
        <v>111</v>
      </c>
      <c r="AJ1" s="112" t="s">
        <v>110</v>
      </c>
      <c r="AK1" s="113" t="s">
        <v>115</v>
      </c>
      <c r="AL1" s="113" t="s">
        <v>116</v>
      </c>
      <c r="AM1" s="113" t="s">
        <v>117</v>
      </c>
      <c r="AN1" s="114" t="s">
        <v>112</v>
      </c>
      <c r="AO1" s="114" t="s">
        <v>113</v>
      </c>
      <c r="AP1" s="114" t="s">
        <v>114</v>
      </c>
    </row>
    <row r="2" spans="1:42" x14ac:dyDescent="0.15">
      <c r="A2" s="116" t="s">
        <v>74</v>
      </c>
      <c r="B2" s="117">
        <v>1</v>
      </c>
      <c r="D2">
        <v>1</v>
      </c>
      <c r="E2" s="154" t="s">
        <v>192</v>
      </c>
      <c r="F2">
        <v>0.98</v>
      </c>
      <c r="G2">
        <v>0.8</v>
      </c>
      <c r="H2">
        <v>0.8</v>
      </c>
      <c r="I2">
        <v>0.8</v>
      </c>
      <c r="J2" s="107">
        <v>0.25</v>
      </c>
      <c r="K2" s="107">
        <v>0.05</v>
      </c>
    </row>
    <row r="3" spans="1:42" x14ac:dyDescent="0.15">
      <c r="A3" s="116" t="s">
        <v>75</v>
      </c>
      <c r="B3" s="118">
        <v>1</v>
      </c>
      <c r="D3">
        <v>2</v>
      </c>
      <c r="E3" s="154" t="s">
        <v>193</v>
      </c>
      <c r="F3">
        <v>0.98</v>
      </c>
      <c r="G3">
        <v>0.8</v>
      </c>
      <c r="H3">
        <v>0.8</v>
      </c>
      <c r="I3">
        <v>0.8</v>
      </c>
      <c r="J3" s="107">
        <v>0.25</v>
      </c>
      <c r="K3" s="107">
        <v>0.05</v>
      </c>
    </row>
    <row r="4" spans="1:42" x14ac:dyDescent="0.15">
      <c r="A4" s="116" t="s">
        <v>76</v>
      </c>
      <c r="B4" s="118">
        <v>1</v>
      </c>
      <c r="D4">
        <v>3</v>
      </c>
      <c r="E4" s="154" t="s">
        <v>194</v>
      </c>
      <c r="F4">
        <v>0.98</v>
      </c>
      <c r="G4">
        <v>0.8</v>
      </c>
      <c r="H4">
        <v>0.8</v>
      </c>
      <c r="I4">
        <v>0.8</v>
      </c>
      <c r="J4" s="107">
        <v>0.25</v>
      </c>
      <c r="K4" s="107">
        <v>0.05</v>
      </c>
    </row>
    <row r="5" spans="1:42" x14ac:dyDescent="0.15">
      <c r="A5" s="116" t="s">
        <v>77</v>
      </c>
      <c r="B5" s="118">
        <v>1</v>
      </c>
      <c r="D5">
        <v>4</v>
      </c>
      <c r="E5" s="154" t="s">
        <v>195</v>
      </c>
      <c r="F5">
        <v>0.98</v>
      </c>
      <c r="G5">
        <v>0.8</v>
      </c>
      <c r="H5">
        <v>0.8</v>
      </c>
      <c r="I5">
        <v>0.8</v>
      </c>
      <c r="J5" s="107">
        <v>0.25</v>
      </c>
      <c r="K5" s="107">
        <v>0.05</v>
      </c>
    </row>
    <row r="6" spans="1:42" x14ac:dyDescent="0.15">
      <c r="A6" s="116" t="s">
        <v>78</v>
      </c>
      <c r="B6" s="118">
        <v>1</v>
      </c>
      <c r="D6">
        <v>5</v>
      </c>
      <c r="E6" s="154" t="s">
        <v>196</v>
      </c>
      <c r="F6">
        <v>0.98</v>
      </c>
      <c r="G6">
        <v>0.8</v>
      </c>
      <c r="H6">
        <v>0.8</v>
      </c>
      <c r="I6">
        <v>0.8</v>
      </c>
      <c r="J6" s="107">
        <v>0.25</v>
      </c>
      <c r="K6" s="107">
        <v>0.05</v>
      </c>
    </row>
    <row r="7" spans="1:42" x14ac:dyDescent="0.15">
      <c r="A7" s="116" t="s">
        <v>79</v>
      </c>
      <c r="B7" s="118">
        <v>1</v>
      </c>
      <c r="D7">
        <v>6</v>
      </c>
      <c r="E7" s="154" t="s">
        <v>197</v>
      </c>
      <c r="F7">
        <v>0.98</v>
      </c>
      <c r="G7">
        <v>0.8</v>
      </c>
      <c r="H7">
        <v>0.8</v>
      </c>
      <c r="I7">
        <v>0.8</v>
      </c>
      <c r="J7" s="107">
        <v>0.25</v>
      </c>
      <c r="K7" s="107">
        <v>0.05</v>
      </c>
    </row>
    <row r="8" spans="1:42" x14ac:dyDescent="0.15">
      <c r="A8" s="116" t="s">
        <v>80</v>
      </c>
      <c r="B8" s="118">
        <v>1</v>
      </c>
      <c r="D8">
        <v>7</v>
      </c>
      <c r="E8" s="154" t="s">
        <v>198</v>
      </c>
      <c r="F8">
        <v>0.98</v>
      </c>
      <c r="G8">
        <v>0.8</v>
      </c>
      <c r="H8">
        <v>0.8</v>
      </c>
      <c r="I8">
        <v>0.8</v>
      </c>
      <c r="J8" s="107">
        <v>0.25</v>
      </c>
      <c r="K8" s="107">
        <v>0.05</v>
      </c>
    </row>
    <row r="9" spans="1:42" x14ac:dyDescent="0.15">
      <c r="A9" s="116" t="s">
        <v>81</v>
      </c>
      <c r="B9" s="118">
        <v>0.1</v>
      </c>
      <c r="C9" s="59" t="s">
        <v>150</v>
      </c>
      <c r="D9">
        <v>8</v>
      </c>
      <c r="E9" s="154" t="s">
        <v>199</v>
      </c>
      <c r="F9">
        <v>0.98</v>
      </c>
      <c r="G9">
        <v>0.8</v>
      </c>
      <c r="H9">
        <v>0.8</v>
      </c>
      <c r="I9">
        <v>0.8</v>
      </c>
      <c r="J9" s="107">
        <v>0.25</v>
      </c>
      <c r="K9" s="107">
        <v>0.05</v>
      </c>
    </row>
    <row r="10" spans="1:42" ht="14" thickBot="1" x14ac:dyDescent="0.2">
      <c r="A10" s="116" t="s">
        <v>149</v>
      </c>
      <c r="B10" s="119">
        <f>1/3</f>
        <v>0.33333333333333331</v>
      </c>
      <c r="C10" s="59" t="s">
        <v>150</v>
      </c>
      <c r="D10">
        <v>9</v>
      </c>
      <c r="E10" s="154" t="s">
        <v>200</v>
      </c>
      <c r="F10">
        <v>0.98</v>
      </c>
      <c r="G10">
        <v>0.8</v>
      </c>
      <c r="H10">
        <v>0.8</v>
      </c>
      <c r="I10">
        <v>0.8</v>
      </c>
      <c r="J10" s="107">
        <v>0.25</v>
      </c>
      <c r="K10" s="107">
        <v>0.05</v>
      </c>
    </row>
    <row r="11" spans="1:42" x14ac:dyDescent="0.15">
      <c r="D11">
        <v>10</v>
      </c>
      <c r="E11" s="154" t="s">
        <v>201</v>
      </c>
      <c r="F11">
        <v>0.98</v>
      </c>
      <c r="G11">
        <v>0.8</v>
      </c>
      <c r="H11">
        <v>0.8</v>
      </c>
      <c r="I11">
        <v>0.8</v>
      </c>
      <c r="J11" s="107">
        <v>0.25</v>
      </c>
      <c r="K11" s="107">
        <v>0.05</v>
      </c>
    </row>
    <row r="12" spans="1:42" x14ac:dyDescent="0.15">
      <c r="D12">
        <v>11</v>
      </c>
      <c r="E12" s="154" t="s">
        <v>202</v>
      </c>
      <c r="F12">
        <v>0.98</v>
      </c>
      <c r="G12">
        <v>0.8</v>
      </c>
      <c r="H12">
        <v>0.8</v>
      </c>
      <c r="I12">
        <v>0.8</v>
      </c>
      <c r="J12" s="107">
        <v>0.25</v>
      </c>
      <c r="K12" s="107">
        <v>0.05</v>
      </c>
    </row>
    <row r="13" spans="1:42" x14ac:dyDescent="0.15">
      <c r="D13">
        <v>12</v>
      </c>
      <c r="E13" s="154" t="s">
        <v>203</v>
      </c>
      <c r="F13">
        <v>0.98</v>
      </c>
      <c r="G13">
        <v>0.8</v>
      </c>
      <c r="H13">
        <v>0.8</v>
      </c>
      <c r="I13">
        <v>0.8</v>
      </c>
      <c r="J13" s="107">
        <v>0.25</v>
      </c>
      <c r="K13" s="107">
        <v>0.05</v>
      </c>
    </row>
    <row r="14" spans="1:42" x14ac:dyDescent="0.15">
      <c r="D14">
        <v>13</v>
      </c>
      <c r="E14" s="154" t="s">
        <v>204</v>
      </c>
      <c r="F14">
        <v>0.98</v>
      </c>
      <c r="G14">
        <v>0.8</v>
      </c>
      <c r="H14">
        <v>0.8</v>
      </c>
      <c r="I14">
        <v>0.8</v>
      </c>
      <c r="J14" s="107">
        <v>0.25</v>
      </c>
      <c r="K14" s="107">
        <v>0.05</v>
      </c>
    </row>
    <row r="15" spans="1:42" x14ac:dyDescent="0.15">
      <c r="D15">
        <v>14</v>
      </c>
      <c r="E15" s="154" t="s">
        <v>205</v>
      </c>
      <c r="F15">
        <v>0.98</v>
      </c>
      <c r="G15">
        <v>0.8</v>
      </c>
      <c r="H15">
        <v>0.8</v>
      </c>
      <c r="I15">
        <v>0.8</v>
      </c>
      <c r="J15" s="107">
        <v>0.25</v>
      </c>
      <c r="K15" s="107">
        <v>0.05</v>
      </c>
    </row>
    <row r="16" spans="1:42" x14ac:dyDescent="0.15">
      <c r="D16">
        <v>15</v>
      </c>
      <c r="E16" s="154" t="s">
        <v>206</v>
      </c>
      <c r="F16">
        <v>0.98</v>
      </c>
      <c r="G16">
        <v>0.8</v>
      </c>
      <c r="H16">
        <v>0.8</v>
      </c>
      <c r="I16">
        <v>0.8</v>
      </c>
      <c r="J16" s="107">
        <v>0.25</v>
      </c>
      <c r="K16" s="107">
        <v>0.05</v>
      </c>
    </row>
    <row r="17" spans="4:33" ht="15" customHeight="1" x14ac:dyDescent="0.15">
      <c r="D17">
        <v>16</v>
      </c>
      <c r="E17" s="154" t="s">
        <v>207</v>
      </c>
      <c r="F17">
        <v>0.98</v>
      </c>
      <c r="G17">
        <v>0.8</v>
      </c>
      <c r="H17">
        <v>0.8</v>
      </c>
      <c r="I17">
        <v>0.8</v>
      </c>
      <c r="J17" s="107">
        <v>0.25</v>
      </c>
      <c r="K17" s="107">
        <v>0.05</v>
      </c>
    </row>
    <row r="18" spans="4:33" ht="15" customHeight="1" x14ac:dyDescent="0.15">
      <c r="D18">
        <v>17</v>
      </c>
      <c r="E18" s="154" t="s">
        <v>208</v>
      </c>
      <c r="F18">
        <v>0.98</v>
      </c>
      <c r="G18">
        <v>0.8</v>
      </c>
      <c r="H18">
        <v>0.8</v>
      </c>
      <c r="I18">
        <v>0.8</v>
      </c>
      <c r="J18" s="107">
        <v>0.25</v>
      </c>
      <c r="K18" s="107">
        <v>0.05</v>
      </c>
    </row>
    <row r="19" spans="4:33" ht="15" customHeight="1" x14ac:dyDescent="0.15">
      <c r="D19">
        <v>18</v>
      </c>
      <c r="E19" s="154" t="s">
        <v>209</v>
      </c>
      <c r="F19">
        <v>0.98</v>
      </c>
      <c r="G19">
        <v>0.8</v>
      </c>
      <c r="H19">
        <v>0.8</v>
      </c>
      <c r="I19">
        <v>0.8</v>
      </c>
      <c r="J19" s="107">
        <v>0.25</v>
      </c>
      <c r="K19" s="107">
        <v>0.05</v>
      </c>
    </row>
    <row r="20" spans="4:33" ht="15" customHeight="1" x14ac:dyDescent="0.15">
      <c r="D20">
        <v>19</v>
      </c>
      <c r="E20" s="154" t="s">
        <v>210</v>
      </c>
      <c r="F20">
        <v>0.98</v>
      </c>
      <c r="G20">
        <v>0.8</v>
      </c>
      <c r="H20">
        <v>0.8</v>
      </c>
      <c r="I20">
        <v>0.8</v>
      </c>
      <c r="J20" s="107">
        <v>0.25</v>
      </c>
      <c r="K20" s="107">
        <v>0.05</v>
      </c>
    </row>
    <row r="21" spans="4:33" ht="15" customHeight="1" x14ac:dyDescent="0.15">
      <c r="D21">
        <v>20</v>
      </c>
      <c r="E21" s="154" t="s">
        <v>211</v>
      </c>
      <c r="F21">
        <v>0.98</v>
      </c>
      <c r="G21">
        <v>0.8</v>
      </c>
      <c r="H21">
        <v>0.8</v>
      </c>
      <c r="I21">
        <v>0.8</v>
      </c>
      <c r="J21" s="107">
        <v>0.25</v>
      </c>
      <c r="K21" s="107">
        <v>0.05</v>
      </c>
    </row>
    <row r="22" spans="4:33" ht="15" customHeight="1" x14ac:dyDescent="0.15">
      <c r="D22">
        <v>21</v>
      </c>
      <c r="E22" s="154" t="s">
        <v>212</v>
      </c>
      <c r="F22">
        <v>0.98</v>
      </c>
      <c r="G22">
        <v>0.8</v>
      </c>
      <c r="H22">
        <v>0.8</v>
      </c>
      <c r="I22">
        <v>0.8</v>
      </c>
      <c r="J22" s="107">
        <v>0.25</v>
      </c>
      <c r="K22" s="107">
        <v>0.05</v>
      </c>
    </row>
    <row r="23" spans="4:33" ht="15" customHeight="1" x14ac:dyDescent="0.15">
      <c r="D23">
        <v>22</v>
      </c>
      <c r="E23" s="154" t="s">
        <v>213</v>
      </c>
      <c r="F23">
        <v>0.98</v>
      </c>
      <c r="G23">
        <v>0.8</v>
      </c>
      <c r="H23">
        <v>0.8</v>
      </c>
      <c r="I23">
        <v>0.8</v>
      </c>
      <c r="J23" s="107">
        <v>0.25</v>
      </c>
      <c r="K23" s="107">
        <v>0.05</v>
      </c>
    </row>
    <row r="24" spans="4:33" ht="15" customHeight="1" x14ac:dyDescent="0.15">
      <c r="D24">
        <v>23</v>
      </c>
      <c r="E24" s="154" t="s">
        <v>214</v>
      </c>
      <c r="F24">
        <v>0.98</v>
      </c>
      <c r="G24">
        <v>0.8</v>
      </c>
      <c r="H24">
        <v>0.8</v>
      </c>
      <c r="I24">
        <v>0.8</v>
      </c>
      <c r="J24" s="107">
        <v>0.25</v>
      </c>
      <c r="K24" s="107">
        <v>0.05</v>
      </c>
    </row>
    <row r="25" spans="4:33" ht="15" customHeight="1" x14ac:dyDescent="0.15">
      <c r="D25">
        <v>24</v>
      </c>
      <c r="E25" s="154" t="s">
        <v>215</v>
      </c>
      <c r="F25">
        <v>0.98</v>
      </c>
      <c r="G25">
        <v>0.8</v>
      </c>
      <c r="H25">
        <v>0.8</v>
      </c>
      <c r="I25">
        <v>0.8</v>
      </c>
      <c r="J25" s="107">
        <v>0.25</v>
      </c>
      <c r="K25" s="107">
        <v>0.05</v>
      </c>
    </row>
    <row r="26" spans="4:33" ht="15" customHeight="1" x14ac:dyDescent="0.15">
      <c r="D26">
        <v>25</v>
      </c>
      <c r="E26" s="154" t="s">
        <v>216</v>
      </c>
      <c r="F26">
        <v>0.98</v>
      </c>
      <c r="G26">
        <v>0.8</v>
      </c>
      <c r="H26">
        <v>0.8</v>
      </c>
      <c r="I26">
        <v>0.8</v>
      </c>
      <c r="J26" s="107">
        <v>0.25</v>
      </c>
      <c r="K26" s="107">
        <v>0.05</v>
      </c>
    </row>
    <row r="27" spans="4:33" ht="15" customHeight="1" x14ac:dyDescent="0.15">
      <c r="D27">
        <v>26</v>
      </c>
      <c r="E27" s="154" t="s">
        <v>217</v>
      </c>
      <c r="F27">
        <v>0.98</v>
      </c>
      <c r="G27">
        <v>0.8</v>
      </c>
      <c r="H27">
        <v>0.8</v>
      </c>
      <c r="I27">
        <v>0.8</v>
      </c>
      <c r="J27" s="107">
        <v>0.25</v>
      </c>
      <c r="K27" s="107">
        <v>0.05</v>
      </c>
    </row>
    <row r="28" spans="4:33" ht="15" customHeight="1" x14ac:dyDescent="0.15">
      <c r="D28">
        <v>27</v>
      </c>
      <c r="E28" s="154" t="s">
        <v>218</v>
      </c>
      <c r="F28">
        <v>0.98</v>
      </c>
      <c r="G28">
        <v>0.8</v>
      </c>
      <c r="H28">
        <v>0.8</v>
      </c>
      <c r="I28">
        <v>0.8</v>
      </c>
      <c r="J28" s="107">
        <v>0.25</v>
      </c>
      <c r="K28" s="107">
        <v>0.05</v>
      </c>
    </row>
    <row r="29" spans="4:33" ht="15" customHeight="1" x14ac:dyDescent="0.15">
      <c r="D29">
        <v>28</v>
      </c>
      <c r="E29" s="154" t="s">
        <v>219</v>
      </c>
      <c r="F29">
        <v>0.98</v>
      </c>
      <c r="G29">
        <v>0.8</v>
      </c>
      <c r="H29">
        <v>0.8</v>
      </c>
      <c r="I29">
        <v>0.8</v>
      </c>
      <c r="J29" s="107">
        <v>0.25</v>
      </c>
      <c r="K29" s="107">
        <v>0.05</v>
      </c>
      <c r="Y29"/>
      <c r="AC29"/>
      <c r="AG29"/>
    </row>
    <row r="30" spans="4:33" ht="15" customHeight="1" x14ac:dyDescent="0.15">
      <c r="D30">
        <v>29</v>
      </c>
      <c r="E30" s="154" t="s">
        <v>220</v>
      </c>
      <c r="F30">
        <v>0.98</v>
      </c>
      <c r="G30">
        <v>0.8</v>
      </c>
      <c r="H30">
        <v>0.8</v>
      </c>
      <c r="I30">
        <v>0.8</v>
      </c>
      <c r="J30" s="107">
        <v>0.25</v>
      </c>
      <c r="K30" s="107">
        <v>0.05</v>
      </c>
      <c r="Y30"/>
      <c r="AC30"/>
      <c r="AG30"/>
    </row>
    <row r="31" spans="4:33" ht="15" customHeight="1" x14ac:dyDescent="0.15">
      <c r="D31">
        <v>30</v>
      </c>
      <c r="E31" s="154" t="s">
        <v>221</v>
      </c>
      <c r="F31">
        <v>0.98</v>
      </c>
      <c r="G31">
        <v>0.8</v>
      </c>
      <c r="H31">
        <v>0.8</v>
      </c>
      <c r="I31">
        <v>0.8</v>
      </c>
      <c r="J31" s="107">
        <v>0.25</v>
      </c>
      <c r="K31" s="107">
        <v>0.05</v>
      </c>
      <c r="Y31"/>
      <c r="AC31"/>
      <c r="AG31"/>
    </row>
    <row r="32" spans="4:33" ht="15" customHeight="1" x14ac:dyDescent="0.15">
      <c r="D32">
        <v>31</v>
      </c>
      <c r="E32" s="154" t="s">
        <v>222</v>
      </c>
      <c r="F32">
        <v>0.98</v>
      </c>
      <c r="G32">
        <v>0.8</v>
      </c>
      <c r="H32">
        <v>0.8</v>
      </c>
      <c r="I32">
        <v>0.8</v>
      </c>
      <c r="J32" s="107">
        <v>0.25</v>
      </c>
      <c r="K32" s="107">
        <v>0.05</v>
      </c>
      <c r="Y32"/>
      <c r="AC32"/>
      <c r="AG32"/>
    </row>
    <row r="33" spans="4:33" ht="15" customHeight="1" x14ac:dyDescent="0.15">
      <c r="D33">
        <v>32</v>
      </c>
      <c r="E33" s="154" t="s">
        <v>223</v>
      </c>
      <c r="F33">
        <v>0.98</v>
      </c>
      <c r="G33">
        <v>0.8</v>
      </c>
      <c r="H33">
        <v>0.8</v>
      </c>
      <c r="I33">
        <v>0.8</v>
      </c>
      <c r="J33" s="107">
        <v>0.25</v>
      </c>
      <c r="K33" s="107">
        <v>0.05</v>
      </c>
      <c r="Y33"/>
      <c r="AC33"/>
      <c r="AG33"/>
    </row>
    <row r="34" spans="4:33" ht="15" customHeight="1" x14ac:dyDescent="0.15">
      <c r="D34">
        <v>33</v>
      </c>
      <c r="E34" s="154" t="s">
        <v>224</v>
      </c>
      <c r="F34">
        <v>0.98</v>
      </c>
      <c r="G34">
        <v>0.8</v>
      </c>
      <c r="H34">
        <v>0.8</v>
      </c>
      <c r="I34">
        <v>0</v>
      </c>
      <c r="J34" s="107">
        <v>0</v>
      </c>
      <c r="K34" s="107">
        <v>0</v>
      </c>
      <c r="Y34"/>
      <c r="AC34"/>
      <c r="AG34"/>
    </row>
    <row r="35" spans="4:33" ht="15" customHeight="1" x14ac:dyDescent="0.15">
      <c r="D35">
        <v>34</v>
      </c>
      <c r="E35" s="154" t="s">
        <v>225</v>
      </c>
      <c r="F35">
        <v>0.98</v>
      </c>
      <c r="G35">
        <v>0.8</v>
      </c>
      <c r="H35">
        <v>0</v>
      </c>
      <c r="I35">
        <v>0</v>
      </c>
      <c r="J35" s="107">
        <v>0</v>
      </c>
      <c r="K35" s="107">
        <v>0</v>
      </c>
      <c r="Y35"/>
      <c r="AC35"/>
      <c r="AG35"/>
    </row>
    <row r="36" spans="4:33" ht="15" customHeight="1" x14ac:dyDescent="0.15">
      <c r="D36">
        <v>35</v>
      </c>
      <c r="E36" s="154" t="s">
        <v>226</v>
      </c>
      <c r="F36">
        <v>0.98</v>
      </c>
      <c r="G36">
        <v>0.8</v>
      </c>
      <c r="H36">
        <v>0</v>
      </c>
      <c r="I36">
        <v>0</v>
      </c>
      <c r="J36" s="107">
        <v>0</v>
      </c>
      <c r="K36" s="107">
        <v>0</v>
      </c>
      <c r="Y36"/>
      <c r="AC36"/>
      <c r="AG36"/>
    </row>
    <row r="37" spans="4:33" ht="15" customHeight="1" x14ac:dyDescent="0.15">
      <c r="D37">
        <v>36</v>
      </c>
      <c r="E37" s="154" t="s">
        <v>227</v>
      </c>
      <c r="F37">
        <v>0.98</v>
      </c>
      <c r="G37">
        <v>0.8</v>
      </c>
      <c r="H37">
        <v>0</v>
      </c>
      <c r="I37">
        <v>0</v>
      </c>
      <c r="J37" s="107">
        <v>0</v>
      </c>
      <c r="K37" s="107">
        <v>0</v>
      </c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4.6640625" style="105" bestFit="1" customWidth="1"/>
    <col min="2" max="33" width="3.83203125" style="105" customWidth="1"/>
    <col min="34" max="37" width="2.33203125" style="105" customWidth="1"/>
    <col min="38" max="16384" width="10.83203125" style="105"/>
  </cols>
  <sheetData>
    <row r="1" spans="1:37" x14ac:dyDescent="0.15">
      <c r="A1" s="61" t="s">
        <v>118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 s="156" t="s">
        <v>209</v>
      </c>
      <c r="T1" s="156" t="s">
        <v>210</v>
      </c>
      <c r="U1" s="156" t="s">
        <v>211</v>
      </c>
      <c r="V1" s="156" t="s">
        <v>212</v>
      </c>
      <c r="W1" s="156" t="s">
        <v>213</v>
      </c>
      <c r="X1" s="156" t="s">
        <v>214</v>
      </c>
      <c r="Y1" s="156" t="s">
        <v>215</v>
      </c>
      <c r="Z1" s="156" t="s">
        <v>216</v>
      </c>
      <c r="AA1" s="156" t="s">
        <v>217</v>
      </c>
      <c r="AB1" s="156" t="s">
        <v>218</v>
      </c>
      <c r="AC1" s="156" t="s">
        <v>219</v>
      </c>
      <c r="AD1" s="156" t="s">
        <v>220</v>
      </c>
      <c r="AE1" s="156" t="s">
        <v>221</v>
      </c>
      <c r="AF1" s="156" t="s">
        <v>222</v>
      </c>
      <c r="AG1" s="156" t="s">
        <v>223</v>
      </c>
      <c r="AH1" s="156" t="s">
        <v>224</v>
      </c>
      <c r="AI1" s="156" t="s">
        <v>225</v>
      </c>
      <c r="AJ1" s="156" t="s">
        <v>226</v>
      </c>
      <c r="AK1" s="156" t="s">
        <v>227</v>
      </c>
    </row>
    <row r="2" spans="1:37" customFormat="1" x14ac:dyDescent="0.15">
      <c r="A2" s="155" t="s">
        <v>192</v>
      </c>
      <c r="B2" s="105">
        <v>0</v>
      </c>
      <c r="C2" s="105">
        <v>0.8</v>
      </c>
      <c r="D2" s="105">
        <v>0</v>
      </c>
      <c r="E2" s="105">
        <v>0</v>
      </c>
      <c r="F2" s="105">
        <v>0</v>
      </c>
      <c r="G2" s="105">
        <v>0</v>
      </c>
      <c r="H2" s="105">
        <v>0</v>
      </c>
      <c r="I2" s="105">
        <v>0</v>
      </c>
      <c r="J2" s="105">
        <v>0</v>
      </c>
      <c r="K2" s="105">
        <v>0</v>
      </c>
      <c r="L2" s="105">
        <v>0</v>
      </c>
      <c r="M2" s="105">
        <v>0</v>
      </c>
      <c r="N2" s="105">
        <v>0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</row>
    <row r="3" spans="1:37" customFormat="1" x14ac:dyDescent="0.15">
      <c r="A3" s="155" t="s">
        <v>193</v>
      </c>
      <c r="B3" s="105">
        <v>0</v>
      </c>
      <c r="C3" s="105">
        <v>0</v>
      </c>
      <c r="D3" s="105">
        <v>0</v>
      </c>
      <c r="E3" s="105">
        <v>0</v>
      </c>
      <c r="F3" s="105">
        <v>0</v>
      </c>
      <c r="G3" s="105">
        <v>0</v>
      </c>
      <c r="H3" s="105">
        <v>0</v>
      </c>
      <c r="I3" s="105">
        <v>0</v>
      </c>
      <c r="J3" s="105">
        <v>0</v>
      </c>
      <c r="K3" s="105">
        <v>0</v>
      </c>
      <c r="L3" s="105">
        <v>0</v>
      </c>
      <c r="M3" s="105">
        <v>0</v>
      </c>
      <c r="N3" s="105">
        <v>0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0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  <c r="AC3" s="105">
        <v>0</v>
      </c>
      <c r="AD3" s="105">
        <v>0</v>
      </c>
      <c r="AE3" s="105">
        <v>0</v>
      </c>
      <c r="AF3" s="105">
        <v>0</v>
      </c>
      <c r="AG3" s="105">
        <v>0</v>
      </c>
      <c r="AH3" s="105">
        <v>0</v>
      </c>
      <c r="AI3" s="105">
        <v>0</v>
      </c>
      <c r="AJ3" s="105">
        <v>0</v>
      </c>
      <c r="AK3" s="105">
        <v>0</v>
      </c>
    </row>
    <row r="4" spans="1:37" customFormat="1" x14ac:dyDescent="0.15">
      <c r="A4" s="155" t="s">
        <v>194</v>
      </c>
      <c r="B4" s="105">
        <v>0</v>
      </c>
      <c r="C4" s="105">
        <v>0</v>
      </c>
      <c r="D4" s="105">
        <v>0</v>
      </c>
      <c r="E4" s="105">
        <v>0</v>
      </c>
      <c r="F4" s="105">
        <v>0</v>
      </c>
      <c r="G4" s="105">
        <v>0</v>
      </c>
      <c r="H4" s="105">
        <v>0</v>
      </c>
      <c r="I4" s="105">
        <v>0</v>
      </c>
      <c r="J4" s="105">
        <v>0</v>
      </c>
      <c r="K4" s="105">
        <v>0</v>
      </c>
      <c r="L4" s="105">
        <v>0</v>
      </c>
      <c r="M4" s="105">
        <v>0</v>
      </c>
      <c r="N4" s="105">
        <v>0</v>
      </c>
      <c r="O4" s="105">
        <v>0</v>
      </c>
      <c r="P4" s="105">
        <v>0</v>
      </c>
      <c r="Q4" s="105">
        <v>0</v>
      </c>
      <c r="R4" s="105">
        <v>0</v>
      </c>
      <c r="S4" s="105">
        <v>0</v>
      </c>
      <c r="T4" s="105">
        <v>0</v>
      </c>
      <c r="U4" s="105">
        <v>0</v>
      </c>
      <c r="V4" s="105">
        <v>0</v>
      </c>
      <c r="W4" s="105">
        <v>0</v>
      </c>
      <c r="X4" s="105">
        <v>0</v>
      </c>
      <c r="Y4" s="105">
        <v>0</v>
      </c>
      <c r="Z4" s="105">
        <v>0</v>
      </c>
      <c r="AA4" s="105">
        <v>0</v>
      </c>
      <c r="AB4" s="105">
        <v>0</v>
      </c>
      <c r="AC4" s="105">
        <v>0</v>
      </c>
      <c r="AD4" s="105">
        <v>0</v>
      </c>
      <c r="AE4" s="105">
        <v>0</v>
      </c>
      <c r="AF4" s="105">
        <v>0</v>
      </c>
      <c r="AG4" s="105">
        <v>0</v>
      </c>
      <c r="AH4" s="105">
        <v>0</v>
      </c>
      <c r="AI4" s="105">
        <v>0</v>
      </c>
      <c r="AJ4" s="105">
        <v>0</v>
      </c>
      <c r="AK4" s="105">
        <v>0</v>
      </c>
    </row>
    <row r="5" spans="1:37" customFormat="1" x14ac:dyDescent="0.15">
      <c r="A5" s="155" t="s">
        <v>195</v>
      </c>
      <c r="B5" s="105">
        <v>0</v>
      </c>
      <c r="C5" s="105">
        <v>0.8</v>
      </c>
      <c r="D5" s="105">
        <v>0</v>
      </c>
      <c r="E5" s="105">
        <v>0</v>
      </c>
      <c r="F5" s="105">
        <v>0</v>
      </c>
      <c r="G5" s="105">
        <v>0</v>
      </c>
      <c r="H5" s="105">
        <v>0</v>
      </c>
      <c r="I5" s="105">
        <v>0</v>
      </c>
      <c r="J5" s="105">
        <v>0</v>
      </c>
      <c r="K5" s="105">
        <v>0</v>
      </c>
      <c r="L5" s="105">
        <v>0</v>
      </c>
      <c r="M5" s="105">
        <v>0</v>
      </c>
      <c r="N5" s="105">
        <v>0</v>
      </c>
      <c r="O5" s="105">
        <v>0</v>
      </c>
      <c r="P5" s="105">
        <v>0</v>
      </c>
      <c r="Q5" s="105">
        <v>0</v>
      </c>
      <c r="R5" s="105">
        <v>0</v>
      </c>
      <c r="S5" s="105">
        <v>0</v>
      </c>
      <c r="T5" s="105">
        <v>0</v>
      </c>
      <c r="U5" s="105">
        <v>0</v>
      </c>
      <c r="V5" s="105">
        <v>0</v>
      </c>
      <c r="W5" s="105">
        <v>0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0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</row>
    <row r="6" spans="1:37" customFormat="1" x14ac:dyDescent="0.15">
      <c r="A6" s="155" t="s">
        <v>196</v>
      </c>
      <c r="B6" s="105">
        <v>0</v>
      </c>
      <c r="C6" s="105">
        <v>0.8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</row>
    <row r="7" spans="1:37" customFormat="1" x14ac:dyDescent="0.15">
      <c r="A7" s="155" t="s">
        <v>197</v>
      </c>
      <c r="B7" s="105">
        <v>0</v>
      </c>
      <c r="C7" s="105">
        <v>0.8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  <c r="AC7" s="105">
        <v>0</v>
      </c>
      <c r="AD7" s="105">
        <v>0</v>
      </c>
      <c r="AE7" s="105">
        <v>0</v>
      </c>
      <c r="AF7" s="105">
        <v>0</v>
      </c>
      <c r="AG7" s="105">
        <v>0</v>
      </c>
      <c r="AH7" s="105">
        <v>0</v>
      </c>
      <c r="AI7" s="105">
        <v>0</v>
      </c>
      <c r="AJ7" s="105">
        <v>0</v>
      </c>
      <c r="AK7" s="105">
        <v>0</v>
      </c>
    </row>
    <row r="8" spans="1:37" customFormat="1" x14ac:dyDescent="0.15">
      <c r="A8" s="155" t="s">
        <v>198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  <c r="AC8" s="105">
        <v>0</v>
      </c>
      <c r="AD8" s="105">
        <v>0</v>
      </c>
      <c r="AE8" s="105">
        <v>0</v>
      </c>
      <c r="AF8" s="105">
        <v>0</v>
      </c>
      <c r="AG8" s="105">
        <v>0</v>
      </c>
      <c r="AH8" s="105">
        <v>0</v>
      </c>
      <c r="AI8" s="105">
        <v>0</v>
      </c>
      <c r="AJ8" s="105">
        <v>0</v>
      </c>
      <c r="AK8" s="105">
        <v>0</v>
      </c>
    </row>
    <row r="9" spans="1:37" customFormat="1" x14ac:dyDescent="0.15">
      <c r="A9" s="155" t="s">
        <v>199</v>
      </c>
      <c r="B9" s="105">
        <v>0.8</v>
      </c>
      <c r="C9" s="105">
        <v>0.8</v>
      </c>
      <c r="D9" s="105">
        <v>0</v>
      </c>
      <c r="E9" s="105">
        <v>0.8</v>
      </c>
      <c r="F9" s="105">
        <v>0.8</v>
      </c>
      <c r="G9" s="105">
        <v>0.8</v>
      </c>
      <c r="H9" s="105">
        <v>0</v>
      </c>
      <c r="I9" s="105">
        <v>0</v>
      </c>
      <c r="J9" s="105">
        <v>0</v>
      </c>
      <c r="K9" s="105">
        <v>0.8</v>
      </c>
      <c r="L9" s="105">
        <v>0.8</v>
      </c>
      <c r="M9" s="105">
        <v>0.8</v>
      </c>
      <c r="N9" s="105">
        <v>0.8</v>
      </c>
      <c r="O9" s="105">
        <v>0</v>
      </c>
      <c r="P9" s="105">
        <v>0.8</v>
      </c>
      <c r="Q9" s="105">
        <v>0.8</v>
      </c>
      <c r="R9" s="105">
        <v>0</v>
      </c>
      <c r="S9" s="105">
        <v>0.8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</row>
    <row r="10" spans="1:37" customFormat="1" x14ac:dyDescent="0.15">
      <c r="A10" s="155" t="s">
        <v>200</v>
      </c>
      <c r="B10" s="105">
        <v>0.8</v>
      </c>
      <c r="C10" s="105">
        <v>0.8</v>
      </c>
      <c r="D10" s="105">
        <v>0</v>
      </c>
      <c r="E10" s="105">
        <v>0.8</v>
      </c>
      <c r="F10" s="105">
        <v>0.8</v>
      </c>
      <c r="G10" s="105">
        <v>0.8</v>
      </c>
      <c r="H10" s="105">
        <v>0.8</v>
      </c>
      <c r="I10" s="105">
        <v>0.8</v>
      </c>
      <c r="J10" s="105">
        <v>0</v>
      </c>
      <c r="K10" s="105">
        <v>0.8</v>
      </c>
      <c r="L10" s="105">
        <v>0.8</v>
      </c>
      <c r="M10" s="105">
        <v>0</v>
      </c>
      <c r="N10" s="105">
        <v>0.8</v>
      </c>
      <c r="O10" s="105">
        <v>0.8</v>
      </c>
      <c r="P10" s="105">
        <v>0.8</v>
      </c>
      <c r="Q10" s="105">
        <v>0.8</v>
      </c>
      <c r="R10" s="105">
        <v>0</v>
      </c>
      <c r="S10" s="105">
        <v>0.8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0.8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</row>
    <row r="11" spans="1:37" customFormat="1" x14ac:dyDescent="0.15">
      <c r="A11" s="155" t="s">
        <v>201</v>
      </c>
      <c r="B11" s="105">
        <v>0.8</v>
      </c>
      <c r="C11" s="105">
        <v>0.8</v>
      </c>
      <c r="D11" s="105">
        <v>0</v>
      </c>
      <c r="E11" s="105">
        <v>0.8</v>
      </c>
      <c r="F11" s="105">
        <v>0.8</v>
      </c>
      <c r="G11" s="105">
        <v>0.8</v>
      </c>
      <c r="H11" s="105">
        <v>0</v>
      </c>
      <c r="I11" s="105">
        <v>0</v>
      </c>
      <c r="J11" s="105">
        <v>0</v>
      </c>
      <c r="K11" s="105">
        <v>0</v>
      </c>
      <c r="L11" s="105">
        <v>0.8</v>
      </c>
      <c r="M11" s="105">
        <v>0</v>
      </c>
      <c r="N11" s="105">
        <v>0</v>
      </c>
      <c r="O11" s="105">
        <v>0</v>
      </c>
      <c r="P11" s="105">
        <v>0.8</v>
      </c>
      <c r="Q11" s="105">
        <v>0.8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</row>
    <row r="12" spans="1:37" customFormat="1" x14ac:dyDescent="0.15">
      <c r="A12" s="155" t="s">
        <v>202</v>
      </c>
      <c r="B12" s="105">
        <v>0</v>
      </c>
      <c r="C12" s="105">
        <v>0.8</v>
      </c>
      <c r="D12" s="105">
        <v>0</v>
      </c>
      <c r="E12" s="105">
        <v>0</v>
      </c>
      <c r="F12" s="105">
        <v>0</v>
      </c>
      <c r="G12" s="105">
        <v>0.8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0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</row>
    <row r="13" spans="1:37" customFormat="1" x14ac:dyDescent="0.15">
      <c r="A13" s="155" t="s">
        <v>203</v>
      </c>
      <c r="B13" s="105">
        <v>0</v>
      </c>
      <c r="C13" s="105">
        <v>0</v>
      </c>
      <c r="D13" s="105">
        <v>0.8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</row>
    <row r="14" spans="1:37" customFormat="1" x14ac:dyDescent="0.15">
      <c r="A14" s="155" t="s">
        <v>204</v>
      </c>
      <c r="B14" s="105">
        <v>0</v>
      </c>
      <c r="C14" s="105">
        <v>0.8</v>
      </c>
      <c r="D14" s="105">
        <v>0.8</v>
      </c>
      <c r="E14" s="105">
        <v>0</v>
      </c>
      <c r="F14" s="105">
        <v>0</v>
      </c>
      <c r="G14" s="105">
        <v>0.8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</row>
    <row r="15" spans="1:37" customFormat="1" x14ac:dyDescent="0.15">
      <c r="A15" s="155" t="s">
        <v>205</v>
      </c>
      <c r="B15" s="105">
        <v>0</v>
      </c>
      <c r="C15" s="105">
        <v>0.8</v>
      </c>
      <c r="D15" s="105">
        <v>0</v>
      </c>
      <c r="E15" s="105">
        <v>0</v>
      </c>
      <c r="F15" s="105">
        <v>0</v>
      </c>
      <c r="G15" s="105">
        <v>0.8</v>
      </c>
      <c r="H15" s="105">
        <v>0</v>
      </c>
      <c r="I15" s="105">
        <v>0</v>
      </c>
      <c r="J15" s="105">
        <v>0</v>
      </c>
      <c r="K15" s="105">
        <v>0.8</v>
      </c>
      <c r="L15" s="105">
        <v>0.8</v>
      </c>
      <c r="M15" s="105">
        <v>0.8</v>
      </c>
      <c r="N15" s="105">
        <v>0</v>
      </c>
      <c r="O15" s="105">
        <v>0</v>
      </c>
      <c r="P15" s="105">
        <v>0</v>
      </c>
      <c r="Q15" s="105">
        <v>0.8</v>
      </c>
      <c r="R15" s="105">
        <v>0</v>
      </c>
      <c r="S15" s="105">
        <v>0</v>
      </c>
      <c r="T15" s="105">
        <v>0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0</v>
      </c>
      <c r="AC15" s="105">
        <v>0</v>
      </c>
      <c r="AD15" s="105">
        <v>0</v>
      </c>
      <c r="AE15" s="105">
        <v>0</v>
      </c>
      <c r="AF15" s="105">
        <v>0</v>
      </c>
      <c r="AG15" s="105">
        <v>0</v>
      </c>
      <c r="AH15" s="105">
        <v>0</v>
      </c>
      <c r="AI15" s="105">
        <v>0</v>
      </c>
      <c r="AJ15" s="105">
        <v>0</v>
      </c>
      <c r="AK15" s="105">
        <v>0</v>
      </c>
    </row>
    <row r="16" spans="1:37" customFormat="1" x14ac:dyDescent="0.15">
      <c r="A16" s="155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0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</row>
    <row r="17" spans="1:37" customFormat="1" x14ac:dyDescent="0.15">
      <c r="A17" s="155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0.8</v>
      </c>
      <c r="H17" s="105">
        <v>0</v>
      </c>
      <c r="I17" s="105">
        <v>0</v>
      </c>
      <c r="J17" s="105">
        <v>0</v>
      </c>
      <c r="K17" s="105">
        <v>0.8</v>
      </c>
      <c r="L17" s="105">
        <v>0.8</v>
      </c>
      <c r="M17" s="105">
        <v>0.8</v>
      </c>
      <c r="N17" s="105">
        <v>0</v>
      </c>
      <c r="O17" s="105">
        <v>0</v>
      </c>
      <c r="P17" s="105">
        <v>0</v>
      </c>
      <c r="Q17" s="105">
        <v>0.8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</row>
    <row r="18" spans="1:37" customFormat="1" x14ac:dyDescent="0.15">
      <c r="A18" s="155" t="s">
        <v>208</v>
      </c>
      <c r="B18" s="105">
        <v>0</v>
      </c>
      <c r="C18" s="105">
        <v>0.8</v>
      </c>
      <c r="D18" s="105">
        <v>0.8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0.8</v>
      </c>
      <c r="N18" s="105">
        <v>0</v>
      </c>
      <c r="O18" s="105">
        <v>0</v>
      </c>
      <c r="P18" s="105">
        <v>0</v>
      </c>
      <c r="Q18" s="105">
        <v>0</v>
      </c>
      <c r="R18" s="105">
        <v>0.8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0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</row>
    <row r="19" spans="1:37" customFormat="1" x14ac:dyDescent="0.15">
      <c r="A19" s="155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0.8</v>
      </c>
      <c r="L19" s="105">
        <v>0.8</v>
      </c>
      <c r="M19" s="105">
        <v>0.8</v>
      </c>
      <c r="N19" s="105">
        <v>0</v>
      </c>
      <c r="O19" s="105">
        <v>0.8</v>
      </c>
      <c r="P19" s="105">
        <v>0</v>
      </c>
      <c r="Q19" s="105">
        <v>0</v>
      </c>
      <c r="R19" s="105">
        <v>0.8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>
        <v>0</v>
      </c>
      <c r="AG19" s="105">
        <v>0</v>
      </c>
      <c r="AH19" s="105">
        <v>0</v>
      </c>
      <c r="AI19" s="105">
        <v>0</v>
      </c>
      <c r="AJ19" s="105">
        <v>0</v>
      </c>
      <c r="AK19" s="105">
        <v>0</v>
      </c>
    </row>
    <row r="20" spans="1:37" customFormat="1" x14ac:dyDescent="0.15">
      <c r="A20" s="155" t="s">
        <v>210</v>
      </c>
      <c r="B20" s="105">
        <v>0</v>
      </c>
      <c r="C20" s="105">
        <v>0</v>
      </c>
      <c r="D20" s="105">
        <v>0</v>
      </c>
      <c r="E20" s="105">
        <v>0.8</v>
      </c>
      <c r="F20" s="105">
        <v>0</v>
      </c>
      <c r="G20" s="105">
        <v>0.8</v>
      </c>
      <c r="H20" s="105">
        <v>0</v>
      </c>
      <c r="I20" s="105">
        <v>0</v>
      </c>
      <c r="J20" s="105">
        <v>0</v>
      </c>
      <c r="K20" s="105">
        <v>0.8</v>
      </c>
      <c r="L20" s="105">
        <v>0.8</v>
      </c>
      <c r="M20" s="105">
        <v>0</v>
      </c>
      <c r="N20" s="105">
        <v>0</v>
      </c>
      <c r="O20" s="105">
        <v>0</v>
      </c>
      <c r="P20" s="105">
        <v>0.8</v>
      </c>
      <c r="Q20" s="105">
        <v>0.8</v>
      </c>
      <c r="R20" s="105">
        <v>0</v>
      </c>
      <c r="S20" s="105">
        <v>0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5">
        <v>0</v>
      </c>
      <c r="AH20" s="105">
        <v>0</v>
      </c>
      <c r="AI20" s="105">
        <v>0</v>
      </c>
      <c r="AJ20" s="105">
        <v>0</v>
      </c>
      <c r="AK20" s="105">
        <v>0</v>
      </c>
    </row>
    <row r="21" spans="1:37" customFormat="1" x14ac:dyDescent="0.15">
      <c r="A21" s="155" t="s">
        <v>211</v>
      </c>
      <c r="B21" s="105">
        <v>0</v>
      </c>
      <c r="C21" s="105">
        <v>0</v>
      </c>
      <c r="D21" s="105">
        <v>0</v>
      </c>
      <c r="E21" s="105">
        <v>0.8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0.8</v>
      </c>
      <c r="L21" s="105">
        <v>0.8</v>
      </c>
      <c r="M21" s="105">
        <v>0</v>
      </c>
      <c r="N21" s="105">
        <v>0</v>
      </c>
      <c r="O21" s="105">
        <v>0.8</v>
      </c>
      <c r="P21" s="105">
        <v>0.8</v>
      </c>
      <c r="Q21" s="105">
        <v>0.8</v>
      </c>
      <c r="R21" s="105">
        <v>0</v>
      </c>
      <c r="S21" s="105">
        <v>0</v>
      </c>
      <c r="T21" s="105">
        <v>0</v>
      </c>
      <c r="U21" s="105">
        <v>0</v>
      </c>
      <c r="V21" s="105">
        <v>0</v>
      </c>
      <c r="W21" s="105">
        <v>0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  <c r="AC21" s="105">
        <v>0</v>
      </c>
      <c r="AD21" s="105">
        <v>0</v>
      </c>
      <c r="AE21" s="105">
        <v>0</v>
      </c>
      <c r="AF21" s="105">
        <v>0</v>
      </c>
      <c r="AG21" s="105">
        <v>0</v>
      </c>
      <c r="AH21" s="105">
        <v>0</v>
      </c>
      <c r="AI21" s="105">
        <v>0</v>
      </c>
      <c r="AJ21" s="105">
        <v>0</v>
      </c>
      <c r="AK21" s="105">
        <v>0</v>
      </c>
    </row>
    <row r="22" spans="1:37" customFormat="1" x14ac:dyDescent="0.15">
      <c r="A22" s="155" t="s">
        <v>212</v>
      </c>
      <c r="B22" s="105">
        <v>0</v>
      </c>
      <c r="C22" s="105">
        <v>0.8</v>
      </c>
      <c r="D22" s="105">
        <v>0</v>
      </c>
      <c r="E22" s="105">
        <v>0.8</v>
      </c>
      <c r="F22" s="105">
        <v>0</v>
      </c>
      <c r="G22" s="105">
        <v>0.8</v>
      </c>
      <c r="H22" s="105">
        <v>0</v>
      </c>
      <c r="I22" s="105">
        <v>0</v>
      </c>
      <c r="J22" s="105">
        <v>0</v>
      </c>
      <c r="K22" s="105">
        <v>0.8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0.8</v>
      </c>
      <c r="R22" s="105">
        <v>0</v>
      </c>
      <c r="S22" s="105">
        <v>0</v>
      </c>
      <c r="T22" s="105">
        <v>0</v>
      </c>
      <c r="U22" s="105">
        <v>0</v>
      </c>
      <c r="V22" s="105">
        <v>0</v>
      </c>
      <c r="W22" s="105">
        <v>0</v>
      </c>
      <c r="X22" s="105">
        <v>0</v>
      </c>
      <c r="Y22" s="105">
        <v>0</v>
      </c>
      <c r="Z22" s="105">
        <v>0</v>
      </c>
      <c r="AA22" s="105">
        <v>0</v>
      </c>
      <c r="AB22" s="105">
        <v>0</v>
      </c>
      <c r="AC22" s="105">
        <v>0</v>
      </c>
      <c r="AD22" s="105">
        <v>0</v>
      </c>
      <c r="AE22" s="105">
        <v>0</v>
      </c>
      <c r="AF22" s="105">
        <v>0</v>
      </c>
      <c r="AG22" s="105">
        <v>0</v>
      </c>
      <c r="AH22" s="105">
        <v>0</v>
      </c>
      <c r="AI22" s="105">
        <v>0</v>
      </c>
      <c r="AJ22" s="105">
        <v>0</v>
      </c>
      <c r="AK22" s="105">
        <v>0</v>
      </c>
    </row>
    <row r="23" spans="1:37" customFormat="1" x14ac:dyDescent="0.15">
      <c r="A23" s="155" t="s">
        <v>213</v>
      </c>
      <c r="B23" s="105">
        <v>0.8</v>
      </c>
      <c r="C23" s="105">
        <v>0</v>
      </c>
      <c r="D23" s="105">
        <v>0</v>
      </c>
      <c r="E23" s="105">
        <v>0.8</v>
      </c>
      <c r="F23" s="105">
        <v>0</v>
      </c>
      <c r="G23" s="105">
        <v>0</v>
      </c>
      <c r="H23" s="105">
        <v>0</v>
      </c>
      <c r="I23" s="105">
        <v>0.8</v>
      </c>
      <c r="J23" s="105">
        <v>0</v>
      </c>
      <c r="K23" s="105">
        <v>0.8</v>
      </c>
      <c r="L23" s="105">
        <v>0.8</v>
      </c>
      <c r="M23" s="105">
        <v>0.8</v>
      </c>
      <c r="N23" s="105">
        <v>0.8</v>
      </c>
      <c r="O23" s="105">
        <v>0.8</v>
      </c>
      <c r="P23" s="105">
        <v>0.8</v>
      </c>
      <c r="Q23" s="105">
        <v>0.8</v>
      </c>
      <c r="R23" s="105">
        <v>0.8</v>
      </c>
      <c r="S23" s="105">
        <v>0.8</v>
      </c>
      <c r="T23" s="105">
        <v>0.8</v>
      </c>
      <c r="U23" s="105">
        <v>0.8</v>
      </c>
      <c r="V23" s="105">
        <v>0.8</v>
      </c>
      <c r="W23" s="105">
        <v>0</v>
      </c>
      <c r="X23" s="105">
        <v>0</v>
      </c>
      <c r="Y23" s="105">
        <v>0</v>
      </c>
      <c r="Z23" s="105">
        <v>0</v>
      </c>
      <c r="AA23" s="105">
        <v>0.8</v>
      </c>
      <c r="AB23" s="105">
        <v>0.8</v>
      </c>
      <c r="AC23" s="105">
        <v>0</v>
      </c>
      <c r="AD23" s="105">
        <v>0</v>
      </c>
      <c r="AE23" s="105">
        <v>0</v>
      </c>
      <c r="AF23" s="105">
        <v>0</v>
      </c>
      <c r="AG23" s="105">
        <v>0</v>
      </c>
      <c r="AH23" s="105">
        <v>0</v>
      </c>
      <c r="AI23" s="105">
        <v>0</v>
      </c>
      <c r="AJ23" s="105">
        <v>0</v>
      </c>
      <c r="AK23" s="105">
        <v>0</v>
      </c>
    </row>
    <row r="24" spans="1:37" customFormat="1" x14ac:dyDescent="0.15">
      <c r="A24" s="155" t="s">
        <v>214</v>
      </c>
      <c r="B24" s="105">
        <v>0</v>
      </c>
      <c r="C24" s="105">
        <v>0</v>
      </c>
      <c r="D24" s="105">
        <v>0</v>
      </c>
      <c r="E24" s="105">
        <v>0.8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0.8</v>
      </c>
      <c r="L24" s="105">
        <v>0</v>
      </c>
      <c r="M24" s="105">
        <v>0</v>
      </c>
      <c r="N24" s="105">
        <v>0</v>
      </c>
      <c r="O24" s="105">
        <v>0.8</v>
      </c>
      <c r="P24" s="105">
        <v>0.8</v>
      </c>
      <c r="Q24" s="105">
        <v>0.8</v>
      </c>
      <c r="R24" s="105">
        <v>0.8</v>
      </c>
      <c r="S24" s="105">
        <v>0.8</v>
      </c>
      <c r="T24" s="105">
        <v>0.8</v>
      </c>
      <c r="U24" s="105">
        <v>0.8</v>
      </c>
      <c r="V24" s="105">
        <v>0.8</v>
      </c>
      <c r="W24" s="105">
        <v>0</v>
      </c>
      <c r="X24" s="105">
        <v>0.8</v>
      </c>
      <c r="Y24" s="105">
        <v>0</v>
      </c>
      <c r="Z24" s="105">
        <v>0</v>
      </c>
      <c r="AA24" s="105">
        <v>0.8</v>
      </c>
      <c r="AB24" s="105">
        <v>0.8</v>
      </c>
      <c r="AC24" s="105">
        <v>0</v>
      </c>
      <c r="AD24" s="105">
        <v>0</v>
      </c>
      <c r="AE24" s="105">
        <v>0</v>
      </c>
      <c r="AF24" s="105">
        <v>0</v>
      </c>
      <c r="AG24" s="105">
        <v>0</v>
      </c>
      <c r="AH24" s="105">
        <v>0</v>
      </c>
      <c r="AI24" s="105">
        <v>0</v>
      </c>
      <c r="AJ24" s="105">
        <v>0</v>
      </c>
      <c r="AK24" s="105">
        <v>0</v>
      </c>
    </row>
    <row r="25" spans="1:37" customFormat="1" x14ac:dyDescent="0.15">
      <c r="A25" s="155" t="s">
        <v>215</v>
      </c>
      <c r="B25" s="105">
        <v>0</v>
      </c>
      <c r="C25" s="105">
        <v>0</v>
      </c>
      <c r="D25" s="105">
        <v>0</v>
      </c>
      <c r="E25" s="105">
        <v>0.8</v>
      </c>
      <c r="F25" s="105">
        <v>0</v>
      </c>
      <c r="G25" s="105">
        <v>0</v>
      </c>
      <c r="H25" s="105">
        <v>0.8</v>
      </c>
      <c r="I25" s="105">
        <v>0</v>
      </c>
      <c r="J25" s="105">
        <v>0</v>
      </c>
      <c r="K25" s="105">
        <v>0.8</v>
      </c>
      <c r="L25" s="105">
        <v>0</v>
      </c>
      <c r="M25" s="105">
        <v>0</v>
      </c>
      <c r="N25" s="105">
        <v>0</v>
      </c>
      <c r="O25" s="105">
        <v>0.8</v>
      </c>
      <c r="P25" s="105">
        <v>0.8</v>
      </c>
      <c r="Q25" s="105">
        <v>0.8</v>
      </c>
      <c r="R25" s="105">
        <v>0.8</v>
      </c>
      <c r="S25" s="105">
        <v>0.8</v>
      </c>
      <c r="T25" s="105">
        <v>0.8</v>
      </c>
      <c r="U25" s="105">
        <v>0.8</v>
      </c>
      <c r="V25" s="105">
        <v>0.8</v>
      </c>
      <c r="W25" s="105">
        <v>0.8</v>
      </c>
      <c r="X25" s="105">
        <v>0.8</v>
      </c>
      <c r="Y25" s="105">
        <v>0</v>
      </c>
      <c r="Z25" s="105">
        <v>0</v>
      </c>
      <c r="AA25" s="105">
        <v>0</v>
      </c>
      <c r="AB25" s="105">
        <v>0</v>
      </c>
      <c r="AC25" s="105">
        <v>0</v>
      </c>
      <c r="AD25" s="105">
        <v>0</v>
      </c>
      <c r="AE25" s="105">
        <v>0</v>
      </c>
      <c r="AF25" s="105">
        <v>0</v>
      </c>
      <c r="AG25" s="105">
        <v>0</v>
      </c>
      <c r="AH25" s="105">
        <v>0</v>
      </c>
      <c r="AI25" s="105">
        <v>0</v>
      </c>
      <c r="AJ25" s="105">
        <v>0</v>
      </c>
      <c r="AK25" s="105">
        <v>0</v>
      </c>
    </row>
    <row r="26" spans="1:37" customFormat="1" x14ac:dyDescent="0.15">
      <c r="A26" s="155" t="s">
        <v>216</v>
      </c>
      <c r="B26" s="105">
        <v>0</v>
      </c>
      <c r="C26" s="105">
        <v>0</v>
      </c>
      <c r="D26" s="105">
        <v>0</v>
      </c>
      <c r="E26" s="105">
        <v>0.8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0.8</v>
      </c>
      <c r="L26" s="105">
        <v>0</v>
      </c>
      <c r="M26" s="105">
        <v>0</v>
      </c>
      <c r="N26" s="105">
        <v>0</v>
      </c>
      <c r="O26" s="105">
        <v>0.8</v>
      </c>
      <c r="P26" s="105">
        <v>0</v>
      </c>
      <c r="Q26" s="105">
        <v>0.8</v>
      </c>
      <c r="R26" s="105">
        <v>0.8</v>
      </c>
      <c r="S26" s="105">
        <v>0</v>
      </c>
      <c r="T26" s="105">
        <v>0.8</v>
      </c>
      <c r="U26" s="105">
        <v>0.8</v>
      </c>
      <c r="V26" s="105">
        <v>0.8</v>
      </c>
      <c r="W26" s="105">
        <v>0.8</v>
      </c>
      <c r="X26" s="105">
        <v>0.8</v>
      </c>
      <c r="Y26" s="105">
        <v>0</v>
      </c>
      <c r="Z26" s="105">
        <v>0.8</v>
      </c>
      <c r="AA26" s="105">
        <v>0.8</v>
      </c>
      <c r="AB26" s="105">
        <v>0.8</v>
      </c>
      <c r="AC26" s="105">
        <v>0.8</v>
      </c>
      <c r="AD26" s="105">
        <v>0.8</v>
      </c>
      <c r="AE26" s="105">
        <v>0</v>
      </c>
      <c r="AF26" s="105">
        <v>0</v>
      </c>
      <c r="AG26" s="105">
        <v>0</v>
      </c>
      <c r="AH26" s="105">
        <v>0</v>
      </c>
      <c r="AI26" s="105">
        <v>0</v>
      </c>
      <c r="AJ26" s="105">
        <v>0</v>
      </c>
      <c r="AK26" s="105">
        <v>0</v>
      </c>
    </row>
    <row r="27" spans="1:37" customFormat="1" x14ac:dyDescent="0.15">
      <c r="A27" s="155" t="s">
        <v>217</v>
      </c>
      <c r="B27" s="105">
        <v>0.8</v>
      </c>
      <c r="C27" s="105">
        <v>0.8</v>
      </c>
      <c r="D27" s="105">
        <v>0</v>
      </c>
      <c r="E27" s="105">
        <v>0</v>
      </c>
      <c r="F27" s="105">
        <v>0.8</v>
      </c>
      <c r="G27" s="105">
        <v>0.8</v>
      </c>
      <c r="H27" s="105">
        <v>0.8</v>
      </c>
      <c r="I27" s="105">
        <v>0</v>
      </c>
      <c r="J27" s="105">
        <v>0</v>
      </c>
      <c r="K27" s="105">
        <v>0.8</v>
      </c>
      <c r="L27" s="105">
        <v>0</v>
      </c>
      <c r="M27" s="105">
        <v>0</v>
      </c>
      <c r="N27" s="105">
        <v>0</v>
      </c>
      <c r="O27" s="105">
        <v>0</v>
      </c>
      <c r="P27" s="105">
        <v>0</v>
      </c>
      <c r="Q27" s="105">
        <v>0.8</v>
      </c>
      <c r="R27" s="105">
        <v>0</v>
      </c>
      <c r="S27" s="105">
        <v>0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  <c r="AC27" s="105">
        <v>0</v>
      </c>
      <c r="AD27" s="105">
        <v>0</v>
      </c>
      <c r="AE27" s="105">
        <v>0</v>
      </c>
      <c r="AF27" s="105">
        <v>0</v>
      </c>
      <c r="AG27" s="105">
        <v>0</v>
      </c>
      <c r="AH27" s="105">
        <v>0</v>
      </c>
      <c r="AI27" s="105">
        <v>0</v>
      </c>
      <c r="AJ27" s="105">
        <v>0</v>
      </c>
      <c r="AK27" s="105">
        <v>0</v>
      </c>
    </row>
    <row r="28" spans="1:37" customFormat="1" x14ac:dyDescent="0.15">
      <c r="A28" s="155" t="s">
        <v>218</v>
      </c>
      <c r="B28" s="105">
        <v>0</v>
      </c>
      <c r="C28" s="105">
        <v>0.8</v>
      </c>
      <c r="D28" s="105">
        <v>0</v>
      </c>
      <c r="E28" s="105">
        <v>0</v>
      </c>
      <c r="F28" s="105">
        <v>0.8</v>
      </c>
      <c r="G28" s="105">
        <v>0.8</v>
      </c>
      <c r="H28" s="105">
        <v>0.8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  <c r="AC28" s="105">
        <v>0</v>
      </c>
      <c r="AD28" s="105">
        <v>0</v>
      </c>
      <c r="AE28" s="105">
        <v>0</v>
      </c>
      <c r="AF28" s="105">
        <v>0</v>
      </c>
      <c r="AG28" s="105">
        <v>0</v>
      </c>
      <c r="AH28" s="105">
        <v>0</v>
      </c>
      <c r="AI28" s="105">
        <v>0</v>
      </c>
      <c r="AJ28" s="105">
        <v>0</v>
      </c>
      <c r="AK28" s="105">
        <v>0</v>
      </c>
    </row>
    <row r="29" spans="1:37" customFormat="1" x14ac:dyDescent="0.15">
      <c r="A29" s="155" t="s">
        <v>219</v>
      </c>
      <c r="B29" s="105">
        <v>0.8</v>
      </c>
      <c r="C29" s="105">
        <v>0.8</v>
      </c>
      <c r="D29" s="105">
        <v>0.8</v>
      </c>
      <c r="E29" s="105">
        <v>0</v>
      </c>
      <c r="F29" s="105">
        <v>0.8</v>
      </c>
      <c r="G29" s="105">
        <v>0.8</v>
      </c>
      <c r="H29" s="105">
        <v>0.8</v>
      </c>
      <c r="I29" s="105">
        <v>0.8</v>
      </c>
      <c r="J29" s="105">
        <v>0.8</v>
      </c>
      <c r="K29" s="105">
        <v>0.8</v>
      </c>
      <c r="L29" s="105">
        <v>0.8</v>
      </c>
      <c r="M29" s="105">
        <v>0.8</v>
      </c>
      <c r="N29" s="105">
        <v>0.8</v>
      </c>
      <c r="O29" s="105">
        <v>0.8</v>
      </c>
      <c r="P29" s="105">
        <v>0.8</v>
      </c>
      <c r="Q29" s="105">
        <v>0.8</v>
      </c>
      <c r="R29" s="105">
        <v>0.8</v>
      </c>
      <c r="S29" s="105">
        <v>0.8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0.8</v>
      </c>
      <c r="AC29" s="105">
        <v>0.8</v>
      </c>
      <c r="AD29" s="105">
        <v>0.8</v>
      </c>
      <c r="AE29" s="105">
        <v>0</v>
      </c>
      <c r="AF29" s="105">
        <v>0</v>
      </c>
      <c r="AG29" s="105">
        <v>0</v>
      </c>
      <c r="AH29" s="105">
        <v>0</v>
      </c>
      <c r="AI29" s="105">
        <v>0</v>
      </c>
      <c r="AJ29" s="105">
        <v>0</v>
      </c>
      <c r="AK29" s="105">
        <v>0</v>
      </c>
    </row>
    <row r="30" spans="1:37" customFormat="1" x14ac:dyDescent="0.15">
      <c r="A30" s="155" t="s">
        <v>220</v>
      </c>
      <c r="B30" s="105">
        <v>0.8</v>
      </c>
      <c r="C30" s="105">
        <v>0.8</v>
      </c>
      <c r="D30" s="105">
        <v>0</v>
      </c>
      <c r="E30" s="105">
        <v>0</v>
      </c>
      <c r="F30" s="105">
        <v>0.8</v>
      </c>
      <c r="G30" s="105">
        <v>0.8</v>
      </c>
      <c r="H30" s="105">
        <v>0.8</v>
      </c>
      <c r="I30" s="105">
        <v>0.8</v>
      </c>
      <c r="J30" s="105">
        <v>0</v>
      </c>
      <c r="K30" s="105">
        <v>0.8</v>
      </c>
      <c r="L30" s="105">
        <v>0.8</v>
      </c>
      <c r="M30" s="105">
        <v>0.8</v>
      </c>
      <c r="N30" s="105">
        <v>0</v>
      </c>
      <c r="O30" s="105">
        <v>0.8</v>
      </c>
      <c r="P30" s="105">
        <v>0.8</v>
      </c>
      <c r="Q30" s="105">
        <v>0.8</v>
      </c>
      <c r="R30" s="105">
        <v>0.8</v>
      </c>
      <c r="S30" s="105">
        <v>0.8</v>
      </c>
      <c r="T30" s="105">
        <v>0</v>
      </c>
      <c r="U30" s="105">
        <v>0</v>
      </c>
      <c r="V30" s="105">
        <v>0</v>
      </c>
      <c r="W30" s="105">
        <v>0</v>
      </c>
      <c r="X30" s="105">
        <v>0</v>
      </c>
      <c r="Y30" s="105">
        <v>0</v>
      </c>
      <c r="Z30" s="105">
        <v>0</v>
      </c>
      <c r="AA30" s="105">
        <v>0.8</v>
      </c>
      <c r="AB30" s="105">
        <v>0.8</v>
      </c>
      <c r="AC30" s="105">
        <v>0.8</v>
      </c>
      <c r="AD30" s="105">
        <v>0</v>
      </c>
      <c r="AE30" s="105">
        <v>0</v>
      </c>
      <c r="AF30" s="105">
        <v>0</v>
      </c>
      <c r="AG30" s="105">
        <v>0</v>
      </c>
      <c r="AH30" s="105">
        <v>0</v>
      </c>
      <c r="AI30" s="105">
        <v>0</v>
      </c>
      <c r="AJ30" s="105">
        <v>0</v>
      </c>
      <c r="AK30" s="105">
        <v>0</v>
      </c>
    </row>
    <row r="31" spans="1:37" customFormat="1" x14ac:dyDescent="0.15">
      <c r="A31" s="155" t="s">
        <v>221</v>
      </c>
      <c r="B31" s="105">
        <v>0</v>
      </c>
      <c r="C31" s="105">
        <v>0</v>
      </c>
      <c r="D31" s="105">
        <v>0</v>
      </c>
      <c r="E31" s="105">
        <v>0</v>
      </c>
      <c r="F31" s="105">
        <v>0.8</v>
      </c>
      <c r="G31" s="105">
        <v>0</v>
      </c>
      <c r="H31" s="105">
        <v>0.8</v>
      </c>
      <c r="I31" s="105">
        <v>0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0</v>
      </c>
      <c r="AC31" s="105">
        <v>0</v>
      </c>
      <c r="AD31" s="105">
        <v>0</v>
      </c>
      <c r="AE31" s="105">
        <v>0</v>
      </c>
      <c r="AF31" s="105">
        <v>0</v>
      </c>
      <c r="AG31" s="105">
        <v>0</v>
      </c>
      <c r="AH31" s="105">
        <v>0</v>
      </c>
      <c r="AI31" s="105">
        <v>0</v>
      </c>
      <c r="AJ31" s="105">
        <v>0</v>
      </c>
      <c r="AK31" s="105">
        <v>0</v>
      </c>
    </row>
    <row r="32" spans="1:37" customFormat="1" x14ac:dyDescent="0.15">
      <c r="A32" s="155" t="s">
        <v>222</v>
      </c>
      <c r="B32" s="105">
        <v>0.8</v>
      </c>
      <c r="C32" s="105">
        <v>0</v>
      </c>
      <c r="D32" s="105">
        <v>0</v>
      </c>
      <c r="E32" s="105">
        <v>0.8</v>
      </c>
      <c r="F32" s="105">
        <v>0.8</v>
      </c>
      <c r="G32" s="105">
        <v>0</v>
      </c>
      <c r="H32" s="105">
        <v>0.8</v>
      </c>
      <c r="I32" s="105">
        <v>0.8</v>
      </c>
      <c r="J32" s="105">
        <v>0.8</v>
      </c>
      <c r="K32" s="105">
        <v>0.8</v>
      </c>
      <c r="L32" s="105">
        <v>0</v>
      </c>
      <c r="M32" s="105">
        <v>0</v>
      </c>
      <c r="N32" s="105">
        <v>0.8</v>
      </c>
      <c r="O32" s="105">
        <v>0.8</v>
      </c>
      <c r="P32" s="105">
        <v>0</v>
      </c>
      <c r="Q32" s="105">
        <v>0.8</v>
      </c>
      <c r="R32" s="105">
        <v>0.8</v>
      </c>
      <c r="S32" s="105">
        <v>0.8</v>
      </c>
      <c r="T32" s="105">
        <v>0</v>
      </c>
      <c r="U32" s="105">
        <v>0</v>
      </c>
      <c r="V32" s="105">
        <v>0</v>
      </c>
      <c r="W32" s="105">
        <v>0</v>
      </c>
      <c r="X32" s="105">
        <v>0</v>
      </c>
      <c r="Y32" s="105">
        <v>0</v>
      </c>
      <c r="Z32" s="105">
        <v>0</v>
      </c>
      <c r="AA32" s="105">
        <v>0.8</v>
      </c>
      <c r="AB32" s="105">
        <v>0.8</v>
      </c>
      <c r="AC32" s="105">
        <v>0.8</v>
      </c>
      <c r="AD32" s="105">
        <v>0.8</v>
      </c>
      <c r="AE32" s="105">
        <v>0.8</v>
      </c>
      <c r="AF32" s="105">
        <v>0.8</v>
      </c>
      <c r="AG32" s="105">
        <v>0</v>
      </c>
      <c r="AH32" s="105">
        <v>0</v>
      </c>
      <c r="AI32" s="105">
        <v>0</v>
      </c>
      <c r="AJ32" s="105">
        <v>0</v>
      </c>
      <c r="AK32" s="105">
        <v>0</v>
      </c>
    </row>
    <row r="33" spans="1:37" x14ac:dyDescent="0.15">
      <c r="A33" s="155" t="s">
        <v>223</v>
      </c>
      <c r="B33" s="105">
        <v>0.8</v>
      </c>
      <c r="C33" s="105">
        <v>0</v>
      </c>
      <c r="D33" s="105">
        <v>0</v>
      </c>
      <c r="E33" s="105">
        <v>0</v>
      </c>
      <c r="F33" s="105">
        <v>0</v>
      </c>
      <c r="G33" s="105">
        <v>0</v>
      </c>
      <c r="H33" s="105">
        <v>0.8</v>
      </c>
      <c r="I33" s="105">
        <v>0.8</v>
      </c>
      <c r="J33" s="105">
        <v>0.8</v>
      </c>
      <c r="K33" s="105">
        <v>0</v>
      </c>
      <c r="L33" s="105">
        <v>0</v>
      </c>
      <c r="M33" s="105">
        <v>0</v>
      </c>
      <c r="N33" s="105">
        <v>0</v>
      </c>
      <c r="O33" s="105">
        <v>0.8</v>
      </c>
      <c r="P33" s="105">
        <v>0</v>
      </c>
      <c r="Q33" s="105">
        <v>0</v>
      </c>
      <c r="R33" s="105">
        <v>0</v>
      </c>
      <c r="S33" s="105">
        <v>0</v>
      </c>
      <c r="T33" s="105">
        <v>0</v>
      </c>
      <c r="U33" s="105">
        <v>0</v>
      </c>
      <c r="V33" s="105">
        <v>0</v>
      </c>
      <c r="W33" s="105">
        <v>0.8</v>
      </c>
      <c r="X33" s="105">
        <v>0</v>
      </c>
      <c r="Y33" s="105">
        <v>0</v>
      </c>
      <c r="Z33" s="105">
        <v>0</v>
      </c>
      <c r="AA33" s="105">
        <v>0.8</v>
      </c>
      <c r="AB33" s="105">
        <v>0.8</v>
      </c>
      <c r="AC33" s="105">
        <v>0.8</v>
      </c>
      <c r="AD33" s="105">
        <v>0.8</v>
      </c>
      <c r="AE33" s="105">
        <v>0.8</v>
      </c>
      <c r="AF33" s="105">
        <v>0.8</v>
      </c>
      <c r="AG33" s="105">
        <v>0.8</v>
      </c>
      <c r="AH33" s="105">
        <v>0</v>
      </c>
      <c r="AI33" s="105">
        <v>0</v>
      </c>
      <c r="AJ33" s="105">
        <v>0</v>
      </c>
      <c r="AK33" s="105">
        <v>0</v>
      </c>
    </row>
    <row r="34" spans="1:37" x14ac:dyDescent="0.15">
      <c r="A34" s="155" t="s">
        <v>224</v>
      </c>
      <c r="B34" s="105">
        <v>0</v>
      </c>
      <c r="C34" s="105">
        <v>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0</v>
      </c>
      <c r="AC34" s="105">
        <v>0</v>
      </c>
      <c r="AD34" s="105">
        <v>0</v>
      </c>
      <c r="AE34" s="105">
        <v>0.8</v>
      </c>
      <c r="AF34" s="105">
        <v>0.8</v>
      </c>
      <c r="AG34" s="105">
        <v>0.8</v>
      </c>
      <c r="AH34" s="105">
        <v>0</v>
      </c>
      <c r="AI34" s="105">
        <v>0</v>
      </c>
      <c r="AJ34" s="105">
        <v>0</v>
      </c>
      <c r="AK34" s="105">
        <v>0</v>
      </c>
    </row>
    <row r="35" spans="1:37" x14ac:dyDescent="0.15">
      <c r="A35" s="155" t="s">
        <v>225</v>
      </c>
      <c r="B35" s="105">
        <v>0</v>
      </c>
      <c r="C35" s="105">
        <v>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0.8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0</v>
      </c>
      <c r="AC35" s="105">
        <v>0</v>
      </c>
      <c r="AD35" s="105">
        <v>0</v>
      </c>
      <c r="AE35" s="105">
        <v>0.8</v>
      </c>
      <c r="AF35" s="105">
        <v>0.8</v>
      </c>
      <c r="AG35" s="105">
        <v>0.8</v>
      </c>
      <c r="AH35" s="105">
        <v>0</v>
      </c>
      <c r="AI35" s="105">
        <v>0</v>
      </c>
      <c r="AJ35" s="105">
        <v>0</v>
      </c>
      <c r="AK35" s="105">
        <v>0</v>
      </c>
    </row>
    <row r="36" spans="1:37" x14ac:dyDescent="0.15">
      <c r="A36" s="155" t="s">
        <v>226</v>
      </c>
      <c r="B36" s="105">
        <v>0</v>
      </c>
      <c r="C36" s="105">
        <v>0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0</v>
      </c>
      <c r="Q36" s="105">
        <v>0</v>
      </c>
      <c r="R36" s="105">
        <v>0</v>
      </c>
      <c r="S36" s="105">
        <v>0</v>
      </c>
      <c r="T36" s="105">
        <v>0.8</v>
      </c>
      <c r="U36" s="105">
        <v>0.8</v>
      </c>
      <c r="V36" s="105">
        <v>0.8</v>
      </c>
      <c r="W36" s="105">
        <v>0.8</v>
      </c>
      <c r="X36" s="105">
        <v>0.8</v>
      </c>
      <c r="Y36" s="105">
        <v>0.8</v>
      </c>
      <c r="Z36" s="105">
        <v>0.8</v>
      </c>
      <c r="AA36" s="105">
        <v>0</v>
      </c>
      <c r="AB36" s="105">
        <v>0</v>
      </c>
      <c r="AC36" s="105">
        <v>0</v>
      </c>
      <c r="AD36" s="105">
        <v>0</v>
      </c>
      <c r="AE36" s="105">
        <v>0</v>
      </c>
      <c r="AF36" s="105">
        <v>0</v>
      </c>
      <c r="AG36" s="105">
        <v>0</v>
      </c>
      <c r="AH36" s="105">
        <v>0</v>
      </c>
      <c r="AI36" s="105">
        <v>0</v>
      </c>
      <c r="AJ36" s="105">
        <v>0</v>
      </c>
      <c r="AK36" s="105">
        <v>0</v>
      </c>
    </row>
    <row r="37" spans="1:37" x14ac:dyDescent="0.15">
      <c r="A37" s="155" t="s">
        <v>227</v>
      </c>
      <c r="B37" s="105">
        <v>0</v>
      </c>
      <c r="C37" s="105">
        <v>0.8</v>
      </c>
      <c r="D37" s="105">
        <v>0</v>
      </c>
      <c r="E37" s="105">
        <v>0</v>
      </c>
      <c r="F37" s="105">
        <v>0.8</v>
      </c>
      <c r="G37" s="105">
        <v>0.8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0</v>
      </c>
      <c r="AC37" s="105">
        <v>0</v>
      </c>
      <c r="AD37" s="105">
        <v>0</v>
      </c>
      <c r="AE37" s="105">
        <v>0</v>
      </c>
      <c r="AF37" s="105">
        <v>0</v>
      </c>
      <c r="AG37" s="105">
        <v>0</v>
      </c>
      <c r="AH37" s="105">
        <v>0</v>
      </c>
      <c r="AI37" s="105">
        <v>0</v>
      </c>
      <c r="AJ37" s="105">
        <v>0</v>
      </c>
      <c r="AK37" s="105">
        <v>0</v>
      </c>
    </row>
    <row r="38" spans="1:37" x14ac:dyDescent="0.15">
      <c r="A38" s="155" t="s">
        <v>229</v>
      </c>
      <c r="B38" s="105">
        <v>0</v>
      </c>
      <c r="C38" s="105">
        <v>0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0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4.6640625" style="105" bestFit="1" customWidth="1"/>
    <col min="2" max="37" width="2.33203125" style="105" customWidth="1"/>
    <col min="38" max="16384" width="10.83203125" style="105"/>
  </cols>
  <sheetData>
    <row r="1" spans="1:37" x14ac:dyDescent="0.15">
      <c r="A1" s="61" t="s">
        <v>139</v>
      </c>
      <c r="B1" s="158" t="s">
        <v>192</v>
      </c>
      <c r="C1" s="158" t="s">
        <v>193</v>
      </c>
      <c r="D1" s="158" t="s">
        <v>194</v>
      </c>
      <c r="E1" s="158" t="s">
        <v>195</v>
      </c>
      <c r="F1" s="158" t="s">
        <v>196</v>
      </c>
      <c r="G1" s="158" t="s">
        <v>197</v>
      </c>
      <c r="H1" s="158" t="s">
        <v>198</v>
      </c>
      <c r="I1" s="158" t="s">
        <v>199</v>
      </c>
      <c r="J1" s="158" t="s">
        <v>200</v>
      </c>
      <c r="K1" s="158" t="s">
        <v>201</v>
      </c>
      <c r="L1" s="158" t="s">
        <v>202</v>
      </c>
      <c r="M1" s="158" t="s">
        <v>203</v>
      </c>
      <c r="N1" s="158" t="s">
        <v>204</v>
      </c>
      <c r="O1" s="158" t="s">
        <v>205</v>
      </c>
      <c r="P1" s="158" t="s">
        <v>206</v>
      </c>
      <c r="Q1" s="158" t="s">
        <v>207</v>
      </c>
      <c r="R1" s="158" t="s">
        <v>208</v>
      </c>
      <c r="S1" s="158" t="s">
        <v>209</v>
      </c>
      <c r="T1" s="158" t="s">
        <v>210</v>
      </c>
      <c r="U1" s="158" t="s">
        <v>211</v>
      </c>
      <c r="V1" s="158" t="s">
        <v>212</v>
      </c>
      <c r="W1" s="158" t="s">
        <v>213</v>
      </c>
      <c r="X1" s="158" t="s">
        <v>214</v>
      </c>
      <c r="Y1" s="158" t="s">
        <v>215</v>
      </c>
      <c r="Z1" s="158" t="s">
        <v>216</v>
      </c>
      <c r="AA1" s="158" t="s">
        <v>217</v>
      </c>
      <c r="AB1" s="158" t="s">
        <v>218</v>
      </c>
      <c r="AC1" s="158" t="s">
        <v>219</v>
      </c>
      <c r="AD1" s="158" t="s">
        <v>220</v>
      </c>
      <c r="AE1" s="158" t="s">
        <v>221</v>
      </c>
      <c r="AF1" s="158" t="s">
        <v>222</v>
      </c>
      <c r="AG1" s="158" t="s">
        <v>223</v>
      </c>
      <c r="AH1" s="158" t="s">
        <v>224</v>
      </c>
      <c r="AI1" s="158" t="s">
        <v>225</v>
      </c>
      <c r="AJ1" s="158" t="s">
        <v>226</v>
      </c>
      <c r="AK1" s="158" t="s">
        <v>227</v>
      </c>
    </row>
    <row r="2" spans="1:37" customFormat="1" x14ac:dyDescent="0.15">
      <c r="A2" s="157" t="s">
        <v>192</v>
      </c>
      <c r="B2" s="105">
        <v>0</v>
      </c>
      <c r="C2" s="105">
        <v>1</v>
      </c>
      <c r="D2" s="105">
        <v>0</v>
      </c>
      <c r="E2" s="105">
        <v>0</v>
      </c>
      <c r="F2" s="105">
        <v>0</v>
      </c>
      <c r="G2" s="105">
        <v>0</v>
      </c>
      <c r="H2" s="105">
        <v>0</v>
      </c>
      <c r="I2" s="105">
        <v>0</v>
      </c>
      <c r="J2" s="105">
        <v>0</v>
      </c>
      <c r="K2" s="105">
        <v>0</v>
      </c>
      <c r="L2" s="105">
        <v>0</v>
      </c>
      <c r="M2" s="105">
        <v>0</v>
      </c>
      <c r="N2" s="105">
        <v>0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</row>
    <row r="3" spans="1:37" customFormat="1" x14ac:dyDescent="0.15">
      <c r="A3" s="157" t="s">
        <v>193</v>
      </c>
      <c r="B3" s="105">
        <v>0</v>
      </c>
      <c r="C3" s="105">
        <v>0</v>
      </c>
      <c r="D3" s="105">
        <v>0</v>
      </c>
      <c r="E3" s="105">
        <v>0</v>
      </c>
      <c r="F3" s="105">
        <v>0</v>
      </c>
      <c r="G3" s="105">
        <v>0</v>
      </c>
      <c r="H3" s="105">
        <v>0</v>
      </c>
      <c r="I3" s="105">
        <v>0</v>
      </c>
      <c r="J3" s="105">
        <v>0</v>
      </c>
      <c r="K3" s="105">
        <v>0</v>
      </c>
      <c r="L3" s="105">
        <v>0</v>
      </c>
      <c r="M3" s="105">
        <v>0</v>
      </c>
      <c r="N3" s="105">
        <v>0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0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  <c r="AC3" s="105">
        <v>0</v>
      </c>
      <c r="AD3" s="105">
        <v>0</v>
      </c>
      <c r="AE3" s="105">
        <v>0</v>
      </c>
      <c r="AF3" s="105">
        <v>0</v>
      </c>
      <c r="AG3" s="105">
        <v>0</v>
      </c>
      <c r="AH3" s="105">
        <v>0</v>
      </c>
      <c r="AI3" s="105">
        <v>0</v>
      </c>
      <c r="AJ3" s="105">
        <v>0</v>
      </c>
      <c r="AK3" s="105">
        <v>0</v>
      </c>
    </row>
    <row r="4" spans="1:37" customFormat="1" x14ac:dyDescent="0.15">
      <c r="A4" s="157" t="s">
        <v>194</v>
      </c>
      <c r="B4" s="105">
        <v>0</v>
      </c>
      <c r="C4" s="105">
        <v>0</v>
      </c>
      <c r="D4" s="105">
        <v>0</v>
      </c>
      <c r="E4" s="105">
        <v>0</v>
      </c>
      <c r="F4" s="105">
        <v>0</v>
      </c>
      <c r="G4" s="105">
        <v>0</v>
      </c>
      <c r="H4" s="105">
        <v>0</v>
      </c>
      <c r="I4" s="105">
        <v>0</v>
      </c>
      <c r="J4" s="105">
        <v>0</v>
      </c>
      <c r="K4" s="105">
        <v>0</v>
      </c>
      <c r="L4" s="105">
        <v>0</v>
      </c>
      <c r="M4" s="105">
        <v>0</v>
      </c>
      <c r="N4" s="105">
        <v>0</v>
      </c>
      <c r="O4" s="105">
        <v>0</v>
      </c>
      <c r="P4" s="105">
        <v>0</v>
      </c>
      <c r="Q4" s="105">
        <v>0</v>
      </c>
      <c r="R4" s="105">
        <v>0</v>
      </c>
      <c r="S4" s="105">
        <v>0</v>
      </c>
      <c r="T4" s="105">
        <v>0</v>
      </c>
      <c r="U4" s="105">
        <v>0</v>
      </c>
      <c r="V4" s="105">
        <v>0</v>
      </c>
      <c r="W4" s="105">
        <v>0</v>
      </c>
      <c r="X4" s="105">
        <v>0</v>
      </c>
      <c r="Y4" s="105">
        <v>0</v>
      </c>
      <c r="Z4" s="105">
        <v>0</v>
      </c>
      <c r="AA4" s="105">
        <v>0</v>
      </c>
      <c r="AB4" s="105">
        <v>0</v>
      </c>
      <c r="AC4" s="105">
        <v>0</v>
      </c>
      <c r="AD4" s="105">
        <v>0</v>
      </c>
      <c r="AE4" s="105">
        <v>0</v>
      </c>
      <c r="AF4" s="105">
        <v>0</v>
      </c>
      <c r="AG4" s="105">
        <v>0</v>
      </c>
      <c r="AH4" s="105">
        <v>0</v>
      </c>
      <c r="AI4" s="105">
        <v>0</v>
      </c>
      <c r="AJ4" s="105">
        <v>0</v>
      </c>
      <c r="AK4" s="105">
        <v>0</v>
      </c>
    </row>
    <row r="5" spans="1:37" customFormat="1" x14ac:dyDescent="0.15">
      <c r="A5" s="157" t="s">
        <v>195</v>
      </c>
      <c r="B5" s="105">
        <v>0</v>
      </c>
      <c r="C5" s="105">
        <v>1</v>
      </c>
      <c r="D5" s="105">
        <v>0</v>
      </c>
      <c r="E5" s="105">
        <v>0</v>
      </c>
      <c r="F5" s="105">
        <v>0</v>
      </c>
      <c r="G5" s="105">
        <v>0</v>
      </c>
      <c r="H5" s="105">
        <v>0</v>
      </c>
      <c r="I5" s="105">
        <v>0</v>
      </c>
      <c r="J5" s="105">
        <v>0</v>
      </c>
      <c r="K5" s="105">
        <v>0</v>
      </c>
      <c r="L5" s="105">
        <v>0</v>
      </c>
      <c r="M5" s="105">
        <v>0</v>
      </c>
      <c r="N5" s="105">
        <v>0</v>
      </c>
      <c r="O5" s="105">
        <v>0</v>
      </c>
      <c r="P5" s="105">
        <v>0</v>
      </c>
      <c r="Q5" s="105">
        <v>0</v>
      </c>
      <c r="R5" s="105">
        <v>0</v>
      </c>
      <c r="S5" s="105">
        <v>0</v>
      </c>
      <c r="T5" s="105">
        <v>0</v>
      </c>
      <c r="U5" s="105">
        <v>0</v>
      </c>
      <c r="V5" s="105">
        <v>0</v>
      </c>
      <c r="W5" s="105">
        <v>0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0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</row>
    <row r="6" spans="1:37" customFormat="1" x14ac:dyDescent="0.15">
      <c r="A6" s="157" t="s">
        <v>196</v>
      </c>
      <c r="B6" s="105">
        <v>0</v>
      </c>
      <c r="C6" s="105">
        <v>1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</row>
    <row r="7" spans="1:37" customFormat="1" x14ac:dyDescent="0.15">
      <c r="A7" s="157" t="s">
        <v>197</v>
      </c>
      <c r="B7" s="105">
        <v>0</v>
      </c>
      <c r="C7" s="105">
        <v>1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  <c r="AC7" s="105">
        <v>0</v>
      </c>
      <c r="AD7" s="105">
        <v>0</v>
      </c>
      <c r="AE7" s="105">
        <v>0</v>
      </c>
      <c r="AF7" s="105">
        <v>0</v>
      </c>
      <c r="AG7" s="105">
        <v>0</v>
      </c>
      <c r="AH7" s="105">
        <v>0</v>
      </c>
      <c r="AI7" s="105">
        <v>0</v>
      </c>
      <c r="AJ7" s="105">
        <v>0</v>
      </c>
      <c r="AK7" s="105">
        <v>0</v>
      </c>
    </row>
    <row r="8" spans="1:37" customFormat="1" x14ac:dyDescent="0.15">
      <c r="A8" s="157" t="s">
        <v>198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  <c r="AC8" s="105">
        <v>0</v>
      </c>
      <c r="AD8" s="105">
        <v>0</v>
      </c>
      <c r="AE8" s="105">
        <v>0</v>
      </c>
      <c r="AF8" s="105">
        <v>0</v>
      </c>
      <c r="AG8" s="105">
        <v>0</v>
      </c>
      <c r="AH8" s="105">
        <v>0</v>
      </c>
      <c r="AI8" s="105">
        <v>0</v>
      </c>
      <c r="AJ8" s="105">
        <v>0</v>
      </c>
      <c r="AK8" s="105">
        <v>0</v>
      </c>
    </row>
    <row r="9" spans="1:37" customFormat="1" x14ac:dyDescent="0.15">
      <c r="A9" s="157" t="s">
        <v>199</v>
      </c>
      <c r="B9" s="105">
        <v>1</v>
      </c>
      <c r="C9" s="105">
        <v>1</v>
      </c>
      <c r="D9" s="105">
        <v>0</v>
      </c>
      <c r="E9" s="105">
        <v>1</v>
      </c>
      <c r="F9" s="105">
        <v>1</v>
      </c>
      <c r="G9" s="105">
        <v>1</v>
      </c>
      <c r="H9" s="105">
        <v>0</v>
      </c>
      <c r="I9" s="105">
        <v>0</v>
      </c>
      <c r="J9" s="105">
        <v>0</v>
      </c>
      <c r="K9" s="105">
        <v>1</v>
      </c>
      <c r="L9" s="105">
        <v>1</v>
      </c>
      <c r="M9" s="105">
        <v>1</v>
      </c>
      <c r="N9" s="105">
        <v>1</v>
      </c>
      <c r="O9" s="105">
        <v>0</v>
      </c>
      <c r="P9" s="105">
        <v>1</v>
      </c>
      <c r="Q9" s="105">
        <v>1</v>
      </c>
      <c r="R9" s="105">
        <v>0</v>
      </c>
      <c r="S9" s="105">
        <v>1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</row>
    <row r="10" spans="1:37" customFormat="1" x14ac:dyDescent="0.15">
      <c r="A10" s="157" t="s">
        <v>200</v>
      </c>
      <c r="B10" s="105">
        <v>1</v>
      </c>
      <c r="C10" s="105">
        <v>1</v>
      </c>
      <c r="D10" s="105">
        <v>0</v>
      </c>
      <c r="E10" s="105">
        <v>1</v>
      </c>
      <c r="F10" s="105">
        <v>1</v>
      </c>
      <c r="G10" s="105">
        <v>1</v>
      </c>
      <c r="H10" s="105">
        <v>1</v>
      </c>
      <c r="I10" s="105">
        <v>1</v>
      </c>
      <c r="J10" s="105">
        <v>0</v>
      </c>
      <c r="K10" s="105">
        <v>1</v>
      </c>
      <c r="L10" s="105">
        <v>1</v>
      </c>
      <c r="M10" s="105">
        <v>0</v>
      </c>
      <c r="N10" s="105">
        <v>1</v>
      </c>
      <c r="O10" s="105">
        <v>1</v>
      </c>
      <c r="P10" s="105">
        <v>1</v>
      </c>
      <c r="Q10" s="105">
        <v>1</v>
      </c>
      <c r="R10" s="105">
        <v>0</v>
      </c>
      <c r="S10" s="105">
        <v>1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1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</row>
    <row r="11" spans="1:37" customFormat="1" x14ac:dyDescent="0.15">
      <c r="A11" s="157" t="s">
        <v>201</v>
      </c>
      <c r="B11" s="105">
        <v>1</v>
      </c>
      <c r="C11" s="105">
        <v>1</v>
      </c>
      <c r="D11" s="105">
        <v>0</v>
      </c>
      <c r="E11" s="105">
        <v>1</v>
      </c>
      <c r="F11" s="105">
        <v>1</v>
      </c>
      <c r="G11" s="105">
        <v>1</v>
      </c>
      <c r="H11" s="105">
        <v>0</v>
      </c>
      <c r="I11" s="105">
        <v>0</v>
      </c>
      <c r="J11" s="105">
        <v>0</v>
      </c>
      <c r="K11" s="105">
        <v>0</v>
      </c>
      <c r="L11" s="105">
        <v>1</v>
      </c>
      <c r="M11" s="105">
        <v>0</v>
      </c>
      <c r="N11" s="105">
        <v>0</v>
      </c>
      <c r="O11" s="105">
        <v>0</v>
      </c>
      <c r="P11" s="105">
        <v>1</v>
      </c>
      <c r="Q11" s="105">
        <v>1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</row>
    <row r="12" spans="1:37" customFormat="1" x14ac:dyDescent="0.15">
      <c r="A12" s="157" t="s">
        <v>202</v>
      </c>
      <c r="B12" s="105">
        <v>0</v>
      </c>
      <c r="C12" s="105">
        <v>1</v>
      </c>
      <c r="D12" s="105">
        <v>0</v>
      </c>
      <c r="E12" s="105">
        <v>0</v>
      </c>
      <c r="F12" s="105">
        <v>0</v>
      </c>
      <c r="G12" s="105">
        <v>1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0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</row>
    <row r="13" spans="1:37" customFormat="1" x14ac:dyDescent="0.15">
      <c r="A13" s="157" t="s">
        <v>203</v>
      </c>
      <c r="B13" s="105">
        <v>0</v>
      </c>
      <c r="C13" s="105">
        <v>0</v>
      </c>
      <c r="D13" s="105">
        <v>1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</row>
    <row r="14" spans="1:37" customFormat="1" x14ac:dyDescent="0.15">
      <c r="A14" s="157" t="s">
        <v>204</v>
      </c>
      <c r="B14" s="105">
        <v>0</v>
      </c>
      <c r="C14" s="105">
        <v>1</v>
      </c>
      <c r="D14" s="105">
        <v>1</v>
      </c>
      <c r="E14" s="105">
        <v>0</v>
      </c>
      <c r="F14" s="105">
        <v>0</v>
      </c>
      <c r="G14" s="105">
        <v>1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</row>
    <row r="15" spans="1:37" customFormat="1" x14ac:dyDescent="0.15">
      <c r="A15" s="157" t="s">
        <v>205</v>
      </c>
      <c r="B15" s="105">
        <v>0</v>
      </c>
      <c r="C15" s="105">
        <v>1</v>
      </c>
      <c r="D15" s="105">
        <v>0</v>
      </c>
      <c r="E15" s="105">
        <v>0</v>
      </c>
      <c r="F15" s="105">
        <v>0</v>
      </c>
      <c r="G15" s="105">
        <v>1</v>
      </c>
      <c r="H15" s="105">
        <v>0</v>
      </c>
      <c r="I15" s="105">
        <v>0</v>
      </c>
      <c r="J15" s="105">
        <v>0</v>
      </c>
      <c r="K15" s="105">
        <v>1</v>
      </c>
      <c r="L15" s="105">
        <v>1</v>
      </c>
      <c r="M15" s="105">
        <v>1</v>
      </c>
      <c r="N15" s="105">
        <v>0</v>
      </c>
      <c r="O15" s="105">
        <v>0</v>
      </c>
      <c r="P15" s="105">
        <v>0</v>
      </c>
      <c r="Q15" s="105">
        <v>1</v>
      </c>
      <c r="R15" s="105">
        <v>0</v>
      </c>
      <c r="S15" s="105">
        <v>0</v>
      </c>
      <c r="T15" s="105">
        <v>0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0</v>
      </c>
      <c r="AC15" s="105">
        <v>0</v>
      </c>
      <c r="AD15" s="105">
        <v>0</v>
      </c>
      <c r="AE15" s="105">
        <v>0</v>
      </c>
      <c r="AF15" s="105">
        <v>0</v>
      </c>
      <c r="AG15" s="105">
        <v>0</v>
      </c>
      <c r="AH15" s="105">
        <v>0</v>
      </c>
      <c r="AI15" s="105">
        <v>0</v>
      </c>
      <c r="AJ15" s="105">
        <v>0</v>
      </c>
      <c r="AK15" s="105">
        <v>0</v>
      </c>
    </row>
    <row r="16" spans="1:37" customFormat="1" x14ac:dyDescent="0.15">
      <c r="A16" s="157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0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</row>
    <row r="17" spans="1:37" customFormat="1" x14ac:dyDescent="0.15">
      <c r="A17" s="157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1</v>
      </c>
      <c r="H17" s="105">
        <v>0</v>
      </c>
      <c r="I17" s="105">
        <v>0</v>
      </c>
      <c r="J17" s="105">
        <v>0</v>
      </c>
      <c r="K17" s="105">
        <v>1</v>
      </c>
      <c r="L17" s="105">
        <v>1</v>
      </c>
      <c r="M17" s="105">
        <v>1</v>
      </c>
      <c r="N17" s="105">
        <v>0</v>
      </c>
      <c r="O17" s="105">
        <v>0</v>
      </c>
      <c r="P17" s="105">
        <v>0</v>
      </c>
      <c r="Q17" s="105">
        <v>1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</row>
    <row r="18" spans="1:37" customFormat="1" x14ac:dyDescent="0.15">
      <c r="A18" s="157" t="s">
        <v>208</v>
      </c>
      <c r="B18" s="105">
        <v>0</v>
      </c>
      <c r="C18" s="105">
        <v>1</v>
      </c>
      <c r="D18" s="105">
        <v>1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1</v>
      </c>
      <c r="N18" s="105">
        <v>0</v>
      </c>
      <c r="O18" s="105">
        <v>0</v>
      </c>
      <c r="P18" s="105">
        <v>0</v>
      </c>
      <c r="Q18" s="105">
        <v>0</v>
      </c>
      <c r="R18" s="105">
        <v>1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0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</row>
    <row r="19" spans="1:37" customFormat="1" x14ac:dyDescent="0.15">
      <c r="A19" s="157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1</v>
      </c>
      <c r="L19" s="105">
        <v>1</v>
      </c>
      <c r="M19" s="105">
        <v>1</v>
      </c>
      <c r="N19" s="105">
        <v>0</v>
      </c>
      <c r="O19" s="105">
        <v>1</v>
      </c>
      <c r="P19" s="105">
        <v>0</v>
      </c>
      <c r="Q19" s="105">
        <v>0</v>
      </c>
      <c r="R19" s="105">
        <v>1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>
        <v>0</v>
      </c>
      <c r="AG19" s="105">
        <v>0</v>
      </c>
      <c r="AH19" s="105">
        <v>0</v>
      </c>
      <c r="AI19" s="105">
        <v>0</v>
      </c>
      <c r="AJ19" s="105">
        <v>0</v>
      </c>
      <c r="AK19" s="105">
        <v>0</v>
      </c>
    </row>
    <row r="20" spans="1:37" customFormat="1" x14ac:dyDescent="0.15">
      <c r="A20" s="157" t="s">
        <v>210</v>
      </c>
      <c r="B20" s="105">
        <v>0</v>
      </c>
      <c r="C20" s="105">
        <v>0</v>
      </c>
      <c r="D20" s="105">
        <v>0</v>
      </c>
      <c r="E20" s="105">
        <v>1</v>
      </c>
      <c r="F20" s="105">
        <v>0</v>
      </c>
      <c r="G20" s="105">
        <v>1</v>
      </c>
      <c r="H20" s="105">
        <v>0</v>
      </c>
      <c r="I20" s="105">
        <v>0</v>
      </c>
      <c r="J20" s="105">
        <v>0</v>
      </c>
      <c r="K20" s="105">
        <v>1</v>
      </c>
      <c r="L20" s="105">
        <v>1</v>
      </c>
      <c r="M20" s="105">
        <v>0</v>
      </c>
      <c r="N20" s="105">
        <v>0</v>
      </c>
      <c r="O20" s="105">
        <v>0</v>
      </c>
      <c r="P20" s="105">
        <v>1</v>
      </c>
      <c r="Q20" s="105">
        <v>1</v>
      </c>
      <c r="R20" s="105">
        <v>0</v>
      </c>
      <c r="S20" s="105">
        <v>0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5">
        <v>0</v>
      </c>
      <c r="AH20" s="105">
        <v>0</v>
      </c>
      <c r="AI20" s="105">
        <v>0</v>
      </c>
      <c r="AJ20" s="105">
        <v>0</v>
      </c>
      <c r="AK20" s="105">
        <v>0</v>
      </c>
    </row>
    <row r="21" spans="1:37" customFormat="1" x14ac:dyDescent="0.15">
      <c r="A21" s="157" t="s">
        <v>211</v>
      </c>
      <c r="B21" s="105">
        <v>0</v>
      </c>
      <c r="C21" s="105">
        <v>0</v>
      </c>
      <c r="D21" s="105">
        <v>0</v>
      </c>
      <c r="E21" s="105">
        <v>1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1</v>
      </c>
      <c r="L21" s="105">
        <v>1</v>
      </c>
      <c r="M21" s="105">
        <v>0</v>
      </c>
      <c r="N21" s="105">
        <v>0</v>
      </c>
      <c r="O21" s="105">
        <v>1</v>
      </c>
      <c r="P21" s="105">
        <v>1</v>
      </c>
      <c r="Q21" s="105">
        <v>1</v>
      </c>
      <c r="R21" s="105">
        <v>0</v>
      </c>
      <c r="S21" s="105">
        <v>0</v>
      </c>
      <c r="T21" s="105">
        <v>0</v>
      </c>
      <c r="U21" s="105">
        <v>0</v>
      </c>
      <c r="V21" s="105">
        <v>0</v>
      </c>
      <c r="W21" s="105">
        <v>0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  <c r="AC21" s="105">
        <v>0</v>
      </c>
      <c r="AD21" s="105">
        <v>0</v>
      </c>
      <c r="AE21" s="105">
        <v>0</v>
      </c>
      <c r="AF21" s="105">
        <v>0</v>
      </c>
      <c r="AG21" s="105">
        <v>0</v>
      </c>
      <c r="AH21" s="105">
        <v>0</v>
      </c>
      <c r="AI21" s="105">
        <v>0</v>
      </c>
      <c r="AJ21" s="105">
        <v>0</v>
      </c>
      <c r="AK21" s="105">
        <v>0</v>
      </c>
    </row>
    <row r="22" spans="1:37" customFormat="1" x14ac:dyDescent="0.15">
      <c r="A22" s="157" t="s">
        <v>212</v>
      </c>
      <c r="B22" s="105">
        <v>0</v>
      </c>
      <c r="C22" s="105">
        <v>1</v>
      </c>
      <c r="D22" s="105">
        <v>0</v>
      </c>
      <c r="E22" s="105">
        <v>1</v>
      </c>
      <c r="F22" s="105">
        <v>0</v>
      </c>
      <c r="G22" s="105">
        <v>1</v>
      </c>
      <c r="H22" s="105">
        <v>0</v>
      </c>
      <c r="I22" s="105">
        <v>0</v>
      </c>
      <c r="J22" s="105">
        <v>0</v>
      </c>
      <c r="K22" s="105">
        <v>1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1</v>
      </c>
      <c r="R22" s="105">
        <v>0</v>
      </c>
      <c r="S22" s="105">
        <v>0</v>
      </c>
      <c r="T22" s="105">
        <v>0</v>
      </c>
      <c r="U22" s="105">
        <v>0</v>
      </c>
      <c r="V22" s="105">
        <v>0</v>
      </c>
      <c r="W22" s="105">
        <v>0</v>
      </c>
      <c r="X22" s="105">
        <v>0</v>
      </c>
      <c r="Y22" s="105">
        <v>0</v>
      </c>
      <c r="Z22" s="105">
        <v>0</v>
      </c>
      <c r="AA22" s="105">
        <v>0</v>
      </c>
      <c r="AB22" s="105">
        <v>0</v>
      </c>
      <c r="AC22" s="105">
        <v>0</v>
      </c>
      <c r="AD22" s="105">
        <v>0</v>
      </c>
      <c r="AE22" s="105">
        <v>0</v>
      </c>
      <c r="AF22" s="105">
        <v>0</v>
      </c>
      <c r="AG22" s="105">
        <v>0</v>
      </c>
      <c r="AH22" s="105">
        <v>0</v>
      </c>
      <c r="AI22" s="105">
        <v>0</v>
      </c>
      <c r="AJ22" s="105">
        <v>0</v>
      </c>
      <c r="AK22" s="105">
        <v>0</v>
      </c>
    </row>
    <row r="23" spans="1:37" customFormat="1" x14ac:dyDescent="0.15">
      <c r="A23" s="157" t="s">
        <v>213</v>
      </c>
      <c r="B23" s="105">
        <v>1</v>
      </c>
      <c r="C23" s="105">
        <v>0</v>
      </c>
      <c r="D23" s="105">
        <v>0</v>
      </c>
      <c r="E23" s="105">
        <v>1</v>
      </c>
      <c r="F23" s="105">
        <v>0</v>
      </c>
      <c r="G23" s="105">
        <v>0</v>
      </c>
      <c r="H23" s="105">
        <v>0</v>
      </c>
      <c r="I23" s="105">
        <v>1</v>
      </c>
      <c r="J23" s="105">
        <v>0</v>
      </c>
      <c r="K23" s="105">
        <v>1</v>
      </c>
      <c r="L23" s="105">
        <v>1</v>
      </c>
      <c r="M23" s="105">
        <v>1</v>
      </c>
      <c r="N23" s="105">
        <v>1</v>
      </c>
      <c r="O23" s="105">
        <v>1</v>
      </c>
      <c r="P23" s="105">
        <v>1</v>
      </c>
      <c r="Q23" s="105">
        <v>1</v>
      </c>
      <c r="R23" s="105">
        <v>1</v>
      </c>
      <c r="S23" s="105">
        <v>1</v>
      </c>
      <c r="T23" s="105">
        <v>1</v>
      </c>
      <c r="U23" s="105">
        <v>1</v>
      </c>
      <c r="V23" s="105">
        <v>1</v>
      </c>
      <c r="W23" s="105">
        <v>0</v>
      </c>
      <c r="X23" s="105">
        <v>0</v>
      </c>
      <c r="Y23" s="105">
        <v>0</v>
      </c>
      <c r="Z23" s="105">
        <v>0</v>
      </c>
      <c r="AA23" s="105">
        <v>1</v>
      </c>
      <c r="AB23" s="105">
        <v>1</v>
      </c>
      <c r="AC23" s="105">
        <v>0</v>
      </c>
      <c r="AD23" s="105">
        <v>0</v>
      </c>
      <c r="AE23" s="105">
        <v>0</v>
      </c>
      <c r="AF23" s="105">
        <v>0</v>
      </c>
      <c r="AG23" s="105">
        <v>0</v>
      </c>
      <c r="AH23" s="105">
        <v>0</v>
      </c>
      <c r="AI23" s="105">
        <v>0</v>
      </c>
      <c r="AJ23" s="105">
        <v>0</v>
      </c>
      <c r="AK23" s="105">
        <v>0</v>
      </c>
    </row>
    <row r="24" spans="1:37" customFormat="1" x14ac:dyDescent="0.15">
      <c r="A24" s="157" t="s">
        <v>214</v>
      </c>
      <c r="B24" s="105">
        <v>0</v>
      </c>
      <c r="C24" s="105">
        <v>0</v>
      </c>
      <c r="D24" s="105">
        <v>0</v>
      </c>
      <c r="E24" s="105">
        <v>1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1</v>
      </c>
      <c r="L24" s="105">
        <v>0</v>
      </c>
      <c r="M24" s="105">
        <v>0</v>
      </c>
      <c r="N24" s="105">
        <v>0</v>
      </c>
      <c r="O24" s="105">
        <v>1</v>
      </c>
      <c r="P24" s="105">
        <v>1</v>
      </c>
      <c r="Q24" s="105">
        <v>1</v>
      </c>
      <c r="R24" s="105">
        <v>1</v>
      </c>
      <c r="S24" s="105">
        <v>1</v>
      </c>
      <c r="T24" s="105">
        <v>1</v>
      </c>
      <c r="U24" s="105">
        <v>1</v>
      </c>
      <c r="V24" s="105">
        <v>1</v>
      </c>
      <c r="W24" s="105">
        <v>0</v>
      </c>
      <c r="X24" s="105">
        <v>1</v>
      </c>
      <c r="Y24" s="105">
        <v>0</v>
      </c>
      <c r="Z24" s="105">
        <v>0</v>
      </c>
      <c r="AA24" s="105">
        <v>1</v>
      </c>
      <c r="AB24" s="105">
        <v>1</v>
      </c>
      <c r="AC24" s="105">
        <v>0</v>
      </c>
      <c r="AD24" s="105">
        <v>0</v>
      </c>
      <c r="AE24" s="105">
        <v>0</v>
      </c>
      <c r="AF24" s="105">
        <v>0</v>
      </c>
      <c r="AG24" s="105">
        <v>0</v>
      </c>
      <c r="AH24" s="105">
        <v>0</v>
      </c>
      <c r="AI24" s="105">
        <v>0</v>
      </c>
      <c r="AJ24" s="105">
        <v>0</v>
      </c>
      <c r="AK24" s="105">
        <v>0</v>
      </c>
    </row>
    <row r="25" spans="1:37" customFormat="1" x14ac:dyDescent="0.15">
      <c r="A25" s="157" t="s">
        <v>215</v>
      </c>
      <c r="B25" s="105">
        <v>0</v>
      </c>
      <c r="C25" s="105">
        <v>0</v>
      </c>
      <c r="D25" s="105">
        <v>0</v>
      </c>
      <c r="E25" s="105">
        <v>1</v>
      </c>
      <c r="F25" s="105">
        <v>0</v>
      </c>
      <c r="G25" s="105">
        <v>0</v>
      </c>
      <c r="H25" s="105">
        <v>1</v>
      </c>
      <c r="I25" s="105">
        <v>0</v>
      </c>
      <c r="J25" s="105">
        <v>0</v>
      </c>
      <c r="K25" s="105">
        <v>1</v>
      </c>
      <c r="L25" s="105">
        <v>0</v>
      </c>
      <c r="M25" s="105">
        <v>0</v>
      </c>
      <c r="N25" s="105">
        <v>0</v>
      </c>
      <c r="O25" s="105">
        <v>1</v>
      </c>
      <c r="P25" s="105">
        <v>1</v>
      </c>
      <c r="Q25" s="105">
        <v>1</v>
      </c>
      <c r="R25" s="105">
        <v>1</v>
      </c>
      <c r="S25" s="105">
        <v>1</v>
      </c>
      <c r="T25" s="105">
        <v>1</v>
      </c>
      <c r="U25" s="105">
        <v>1</v>
      </c>
      <c r="V25" s="105">
        <v>1</v>
      </c>
      <c r="W25" s="105">
        <v>1</v>
      </c>
      <c r="X25" s="105">
        <v>1</v>
      </c>
      <c r="Y25" s="105">
        <v>0</v>
      </c>
      <c r="Z25" s="105">
        <v>0</v>
      </c>
      <c r="AA25" s="105">
        <v>0</v>
      </c>
      <c r="AB25" s="105">
        <v>0</v>
      </c>
      <c r="AC25" s="105">
        <v>0</v>
      </c>
      <c r="AD25" s="105">
        <v>0</v>
      </c>
      <c r="AE25" s="105">
        <v>0</v>
      </c>
      <c r="AF25" s="105">
        <v>0</v>
      </c>
      <c r="AG25" s="105">
        <v>0</v>
      </c>
      <c r="AH25" s="105">
        <v>0</v>
      </c>
      <c r="AI25" s="105">
        <v>0</v>
      </c>
      <c r="AJ25" s="105">
        <v>0</v>
      </c>
      <c r="AK25" s="105">
        <v>0</v>
      </c>
    </row>
    <row r="26" spans="1:37" customFormat="1" x14ac:dyDescent="0.15">
      <c r="A26" s="157" t="s">
        <v>216</v>
      </c>
      <c r="B26" s="105">
        <v>0</v>
      </c>
      <c r="C26" s="105">
        <v>0</v>
      </c>
      <c r="D26" s="105">
        <v>0</v>
      </c>
      <c r="E26" s="105">
        <v>1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1</v>
      </c>
      <c r="L26" s="105">
        <v>0</v>
      </c>
      <c r="M26" s="105">
        <v>0</v>
      </c>
      <c r="N26" s="105">
        <v>0</v>
      </c>
      <c r="O26" s="105">
        <v>1</v>
      </c>
      <c r="P26" s="105">
        <v>0</v>
      </c>
      <c r="Q26" s="105">
        <v>1</v>
      </c>
      <c r="R26" s="105">
        <v>1</v>
      </c>
      <c r="S26" s="105">
        <v>0</v>
      </c>
      <c r="T26" s="105">
        <v>1</v>
      </c>
      <c r="U26" s="105">
        <v>1</v>
      </c>
      <c r="V26" s="105">
        <v>1</v>
      </c>
      <c r="W26" s="105">
        <v>1</v>
      </c>
      <c r="X26" s="105">
        <v>1</v>
      </c>
      <c r="Y26" s="105">
        <v>0</v>
      </c>
      <c r="Z26" s="105">
        <v>1</v>
      </c>
      <c r="AA26" s="105">
        <v>1</v>
      </c>
      <c r="AB26" s="105">
        <v>1</v>
      </c>
      <c r="AC26" s="105">
        <v>1</v>
      </c>
      <c r="AD26" s="105">
        <v>1</v>
      </c>
      <c r="AE26" s="105">
        <v>0</v>
      </c>
      <c r="AF26" s="105">
        <v>0</v>
      </c>
      <c r="AG26" s="105">
        <v>0</v>
      </c>
      <c r="AH26" s="105">
        <v>0</v>
      </c>
      <c r="AI26" s="105">
        <v>0</v>
      </c>
      <c r="AJ26" s="105">
        <v>0</v>
      </c>
      <c r="AK26" s="105">
        <v>0</v>
      </c>
    </row>
    <row r="27" spans="1:37" customFormat="1" x14ac:dyDescent="0.15">
      <c r="A27" s="157" t="s">
        <v>217</v>
      </c>
      <c r="B27" s="105">
        <v>1</v>
      </c>
      <c r="C27" s="105">
        <v>1</v>
      </c>
      <c r="D27" s="105">
        <v>0</v>
      </c>
      <c r="E27" s="105">
        <v>0</v>
      </c>
      <c r="F27" s="105">
        <v>1</v>
      </c>
      <c r="G27" s="105">
        <v>1</v>
      </c>
      <c r="H27" s="105">
        <v>1</v>
      </c>
      <c r="I27" s="105">
        <v>0</v>
      </c>
      <c r="J27" s="105">
        <v>0</v>
      </c>
      <c r="K27" s="105">
        <v>1</v>
      </c>
      <c r="L27" s="105">
        <v>0</v>
      </c>
      <c r="M27" s="105">
        <v>0</v>
      </c>
      <c r="N27" s="105">
        <v>0</v>
      </c>
      <c r="O27" s="105">
        <v>0</v>
      </c>
      <c r="P27" s="105">
        <v>0</v>
      </c>
      <c r="Q27" s="105">
        <v>1</v>
      </c>
      <c r="R27" s="105">
        <v>0</v>
      </c>
      <c r="S27" s="105">
        <v>0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  <c r="AC27" s="105">
        <v>0</v>
      </c>
      <c r="AD27" s="105">
        <v>0</v>
      </c>
      <c r="AE27" s="105">
        <v>0</v>
      </c>
      <c r="AF27" s="105">
        <v>0</v>
      </c>
      <c r="AG27" s="105">
        <v>0</v>
      </c>
      <c r="AH27" s="105">
        <v>0</v>
      </c>
      <c r="AI27" s="105">
        <v>0</v>
      </c>
      <c r="AJ27" s="105">
        <v>0</v>
      </c>
      <c r="AK27" s="105">
        <v>0</v>
      </c>
    </row>
    <row r="28" spans="1:37" customFormat="1" x14ac:dyDescent="0.15">
      <c r="A28" s="157" t="s">
        <v>218</v>
      </c>
      <c r="B28" s="105">
        <v>0</v>
      </c>
      <c r="C28" s="105">
        <v>1</v>
      </c>
      <c r="D28" s="105">
        <v>0</v>
      </c>
      <c r="E28" s="105">
        <v>0</v>
      </c>
      <c r="F28" s="105">
        <v>1</v>
      </c>
      <c r="G28" s="105">
        <v>1</v>
      </c>
      <c r="H28" s="105">
        <v>1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  <c r="AC28" s="105">
        <v>0</v>
      </c>
      <c r="AD28" s="105">
        <v>0</v>
      </c>
      <c r="AE28" s="105">
        <v>0</v>
      </c>
      <c r="AF28" s="105">
        <v>0</v>
      </c>
      <c r="AG28" s="105">
        <v>0</v>
      </c>
      <c r="AH28" s="105">
        <v>0</v>
      </c>
      <c r="AI28" s="105">
        <v>0</v>
      </c>
      <c r="AJ28" s="105">
        <v>0</v>
      </c>
      <c r="AK28" s="105">
        <v>0</v>
      </c>
    </row>
    <row r="29" spans="1:37" customFormat="1" x14ac:dyDescent="0.15">
      <c r="A29" s="157" t="s">
        <v>219</v>
      </c>
      <c r="B29" s="105">
        <v>1</v>
      </c>
      <c r="C29" s="105">
        <v>1</v>
      </c>
      <c r="D29" s="105">
        <v>1</v>
      </c>
      <c r="E29" s="105">
        <v>0</v>
      </c>
      <c r="F29" s="105">
        <v>1</v>
      </c>
      <c r="G29" s="105">
        <v>1</v>
      </c>
      <c r="H29" s="105">
        <v>1</v>
      </c>
      <c r="I29" s="105">
        <v>1</v>
      </c>
      <c r="J29" s="105">
        <v>1</v>
      </c>
      <c r="K29" s="105">
        <v>1</v>
      </c>
      <c r="L29" s="105">
        <v>1</v>
      </c>
      <c r="M29" s="105">
        <v>1</v>
      </c>
      <c r="N29" s="105">
        <v>1</v>
      </c>
      <c r="O29" s="105">
        <v>1</v>
      </c>
      <c r="P29" s="105">
        <v>1</v>
      </c>
      <c r="Q29" s="105">
        <v>1</v>
      </c>
      <c r="R29" s="105">
        <v>1</v>
      </c>
      <c r="S29" s="105">
        <v>1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1</v>
      </c>
      <c r="AC29" s="105">
        <v>1</v>
      </c>
      <c r="AD29" s="105">
        <v>1</v>
      </c>
      <c r="AE29" s="105">
        <v>0</v>
      </c>
      <c r="AF29" s="105">
        <v>0</v>
      </c>
      <c r="AG29" s="105">
        <v>0</v>
      </c>
      <c r="AH29" s="105">
        <v>0</v>
      </c>
      <c r="AI29" s="105">
        <v>0</v>
      </c>
      <c r="AJ29" s="105">
        <v>0</v>
      </c>
      <c r="AK29" s="105">
        <v>0</v>
      </c>
    </row>
    <row r="30" spans="1:37" customFormat="1" x14ac:dyDescent="0.15">
      <c r="A30" s="157" t="s">
        <v>220</v>
      </c>
      <c r="B30" s="105">
        <v>1</v>
      </c>
      <c r="C30" s="105">
        <v>1</v>
      </c>
      <c r="D30" s="105">
        <v>0</v>
      </c>
      <c r="E30" s="105">
        <v>0</v>
      </c>
      <c r="F30" s="105">
        <v>1</v>
      </c>
      <c r="G30" s="105">
        <v>1</v>
      </c>
      <c r="H30" s="105">
        <v>1</v>
      </c>
      <c r="I30" s="105">
        <v>1</v>
      </c>
      <c r="J30" s="105">
        <v>0</v>
      </c>
      <c r="K30" s="105">
        <v>1</v>
      </c>
      <c r="L30" s="105">
        <v>1</v>
      </c>
      <c r="M30" s="105">
        <v>1</v>
      </c>
      <c r="N30" s="105">
        <v>0</v>
      </c>
      <c r="O30" s="105">
        <v>1</v>
      </c>
      <c r="P30" s="105">
        <v>1</v>
      </c>
      <c r="Q30" s="105">
        <v>1</v>
      </c>
      <c r="R30" s="105">
        <v>1</v>
      </c>
      <c r="S30" s="105">
        <v>1</v>
      </c>
      <c r="T30" s="105">
        <v>0</v>
      </c>
      <c r="U30" s="105">
        <v>0</v>
      </c>
      <c r="V30" s="105">
        <v>0</v>
      </c>
      <c r="W30" s="105">
        <v>0</v>
      </c>
      <c r="X30" s="105">
        <v>0</v>
      </c>
      <c r="Y30" s="105">
        <v>0</v>
      </c>
      <c r="Z30" s="105">
        <v>0</v>
      </c>
      <c r="AA30" s="105">
        <v>1</v>
      </c>
      <c r="AB30" s="105">
        <v>1</v>
      </c>
      <c r="AC30" s="105">
        <v>1</v>
      </c>
      <c r="AD30" s="105">
        <v>0</v>
      </c>
      <c r="AE30" s="105">
        <v>0</v>
      </c>
      <c r="AF30" s="105">
        <v>0</v>
      </c>
      <c r="AG30" s="105">
        <v>0</v>
      </c>
      <c r="AH30" s="105">
        <v>0</v>
      </c>
      <c r="AI30" s="105">
        <v>0</v>
      </c>
      <c r="AJ30" s="105">
        <v>0</v>
      </c>
      <c r="AK30" s="105">
        <v>0</v>
      </c>
    </row>
    <row r="31" spans="1:37" customFormat="1" x14ac:dyDescent="0.15">
      <c r="A31" s="157" t="s">
        <v>221</v>
      </c>
      <c r="B31" s="105">
        <v>0</v>
      </c>
      <c r="C31" s="105">
        <v>0</v>
      </c>
      <c r="D31" s="105">
        <v>0</v>
      </c>
      <c r="E31" s="105">
        <v>0</v>
      </c>
      <c r="F31" s="105">
        <v>1</v>
      </c>
      <c r="G31" s="105">
        <v>0</v>
      </c>
      <c r="H31" s="105">
        <v>1</v>
      </c>
      <c r="I31" s="105">
        <v>0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0</v>
      </c>
      <c r="AC31" s="105">
        <v>0</v>
      </c>
      <c r="AD31" s="105">
        <v>0</v>
      </c>
      <c r="AE31" s="105">
        <v>0</v>
      </c>
      <c r="AF31" s="105">
        <v>0</v>
      </c>
      <c r="AG31" s="105">
        <v>0</v>
      </c>
      <c r="AH31" s="105">
        <v>0</v>
      </c>
      <c r="AI31" s="105">
        <v>0</v>
      </c>
      <c r="AJ31" s="105">
        <v>0</v>
      </c>
      <c r="AK31" s="105">
        <v>0</v>
      </c>
    </row>
    <row r="32" spans="1:37" x14ac:dyDescent="0.15">
      <c r="A32" s="157" t="s">
        <v>222</v>
      </c>
      <c r="B32" s="105">
        <v>1</v>
      </c>
      <c r="C32" s="105">
        <v>0</v>
      </c>
      <c r="D32" s="105">
        <v>0</v>
      </c>
      <c r="E32" s="105">
        <v>1</v>
      </c>
      <c r="F32" s="105">
        <v>1</v>
      </c>
      <c r="G32" s="105">
        <v>0</v>
      </c>
      <c r="H32" s="105">
        <v>1</v>
      </c>
      <c r="I32" s="105">
        <v>1</v>
      </c>
      <c r="J32" s="105">
        <v>1</v>
      </c>
      <c r="K32" s="105">
        <v>1</v>
      </c>
      <c r="L32" s="105">
        <v>0</v>
      </c>
      <c r="M32" s="105">
        <v>0</v>
      </c>
      <c r="N32" s="105">
        <v>1</v>
      </c>
      <c r="O32" s="105">
        <v>1</v>
      </c>
      <c r="P32" s="105">
        <v>0</v>
      </c>
      <c r="Q32" s="105">
        <v>1</v>
      </c>
      <c r="R32" s="105">
        <v>1</v>
      </c>
      <c r="S32" s="105">
        <v>1</v>
      </c>
      <c r="T32" s="105">
        <v>0</v>
      </c>
      <c r="U32" s="105">
        <v>0</v>
      </c>
      <c r="V32" s="105">
        <v>0</v>
      </c>
      <c r="W32" s="105">
        <v>0</v>
      </c>
      <c r="X32" s="105">
        <v>0</v>
      </c>
      <c r="Y32" s="105">
        <v>0</v>
      </c>
      <c r="Z32" s="105">
        <v>0</v>
      </c>
      <c r="AA32" s="105">
        <v>1</v>
      </c>
      <c r="AB32" s="105">
        <v>1</v>
      </c>
      <c r="AC32" s="105">
        <v>1</v>
      </c>
      <c r="AD32" s="105">
        <v>1</v>
      </c>
      <c r="AE32" s="105">
        <v>1</v>
      </c>
      <c r="AF32" s="105">
        <v>1</v>
      </c>
      <c r="AG32" s="105">
        <v>0</v>
      </c>
      <c r="AH32" s="105">
        <v>0</v>
      </c>
      <c r="AI32" s="105">
        <v>0</v>
      </c>
      <c r="AJ32" s="105">
        <v>0</v>
      </c>
      <c r="AK32" s="105">
        <v>0</v>
      </c>
    </row>
    <row r="33" spans="1:37" x14ac:dyDescent="0.15">
      <c r="A33" s="157" t="s">
        <v>223</v>
      </c>
      <c r="B33" s="105">
        <v>1</v>
      </c>
      <c r="C33" s="105">
        <v>0</v>
      </c>
      <c r="D33" s="105">
        <v>0</v>
      </c>
      <c r="E33" s="105">
        <v>0</v>
      </c>
      <c r="F33" s="105">
        <v>0</v>
      </c>
      <c r="G33" s="105">
        <v>0</v>
      </c>
      <c r="H33" s="105">
        <v>1</v>
      </c>
      <c r="I33" s="105">
        <v>1</v>
      </c>
      <c r="J33" s="105">
        <v>1</v>
      </c>
      <c r="K33" s="105">
        <v>0</v>
      </c>
      <c r="L33" s="105">
        <v>0</v>
      </c>
      <c r="M33" s="105">
        <v>0</v>
      </c>
      <c r="N33" s="105">
        <v>0</v>
      </c>
      <c r="O33" s="105">
        <v>1</v>
      </c>
      <c r="P33" s="105">
        <v>0</v>
      </c>
      <c r="Q33" s="105">
        <v>0</v>
      </c>
      <c r="R33" s="105">
        <v>0</v>
      </c>
      <c r="S33" s="105">
        <v>0</v>
      </c>
      <c r="T33" s="105">
        <v>0</v>
      </c>
      <c r="U33" s="105">
        <v>0</v>
      </c>
      <c r="V33" s="105">
        <v>0</v>
      </c>
      <c r="W33" s="105">
        <v>1</v>
      </c>
      <c r="X33" s="105">
        <v>0</v>
      </c>
      <c r="Y33" s="105">
        <v>0</v>
      </c>
      <c r="Z33" s="105">
        <v>0</v>
      </c>
      <c r="AA33" s="105">
        <v>1</v>
      </c>
      <c r="AB33" s="105">
        <v>1</v>
      </c>
      <c r="AC33" s="105">
        <v>1</v>
      </c>
      <c r="AD33" s="105">
        <v>1</v>
      </c>
      <c r="AE33" s="105">
        <v>1</v>
      </c>
      <c r="AF33" s="105">
        <v>1</v>
      </c>
      <c r="AG33" s="105">
        <v>1</v>
      </c>
      <c r="AH33" s="105">
        <v>0</v>
      </c>
      <c r="AI33" s="105">
        <v>0</v>
      </c>
      <c r="AJ33" s="105">
        <v>0</v>
      </c>
      <c r="AK33" s="105">
        <v>0</v>
      </c>
    </row>
    <row r="34" spans="1:37" x14ac:dyDescent="0.15">
      <c r="A34" s="157" t="s">
        <v>224</v>
      </c>
      <c r="B34" s="105">
        <v>0</v>
      </c>
      <c r="C34" s="105">
        <v>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0</v>
      </c>
      <c r="AC34" s="105">
        <v>0</v>
      </c>
      <c r="AD34" s="105">
        <v>0</v>
      </c>
      <c r="AE34" s="105">
        <v>1</v>
      </c>
      <c r="AF34" s="105">
        <v>1</v>
      </c>
      <c r="AG34" s="105">
        <v>1</v>
      </c>
      <c r="AH34" s="105">
        <v>0</v>
      </c>
      <c r="AI34" s="105">
        <v>0</v>
      </c>
      <c r="AJ34" s="105">
        <v>0</v>
      </c>
      <c r="AK34" s="105">
        <v>0</v>
      </c>
    </row>
    <row r="35" spans="1:37" x14ac:dyDescent="0.15">
      <c r="A35" s="157" t="s">
        <v>225</v>
      </c>
      <c r="B35" s="105">
        <v>0</v>
      </c>
      <c r="C35" s="105">
        <v>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1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0</v>
      </c>
      <c r="AC35" s="105">
        <v>0</v>
      </c>
      <c r="AD35" s="105">
        <v>0</v>
      </c>
      <c r="AE35" s="105">
        <v>1</v>
      </c>
      <c r="AF35" s="105">
        <v>1</v>
      </c>
      <c r="AG35" s="105">
        <v>1</v>
      </c>
      <c r="AH35" s="105">
        <v>0</v>
      </c>
      <c r="AI35" s="105">
        <v>0</v>
      </c>
      <c r="AJ35" s="105">
        <v>0</v>
      </c>
      <c r="AK35" s="105">
        <v>0</v>
      </c>
    </row>
    <row r="36" spans="1:37" x14ac:dyDescent="0.15">
      <c r="A36" s="157" t="s">
        <v>226</v>
      </c>
      <c r="B36" s="105">
        <v>0</v>
      </c>
      <c r="C36" s="105">
        <v>0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0</v>
      </c>
      <c r="Q36" s="105">
        <v>0</v>
      </c>
      <c r="R36" s="105">
        <v>0</v>
      </c>
      <c r="S36" s="105">
        <v>0</v>
      </c>
      <c r="T36" s="105">
        <v>1</v>
      </c>
      <c r="U36" s="105">
        <v>1</v>
      </c>
      <c r="V36" s="105">
        <v>1</v>
      </c>
      <c r="W36" s="105">
        <v>1</v>
      </c>
      <c r="X36" s="105">
        <v>1</v>
      </c>
      <c r="Y36" s="105">
        <v>1</v>
      </c>
      <c r="Z36" s="105">
        <v>1</v>
      </c>
      <c r="AA36" s="105">
        <v>0</v>
      </c>
      <c r="AB36" s="105">
        <v>0</v>
      </c>
      <c r="AC36" s="105">
        <v>0</v>
      </c>
      <c r="AD36" s="105">
        <v>0</v>
      </c>
      <c r="AE36" s="105">
        <v>0</v>
      </c>
      <c r="AF36" s="105">
        <v>0</v>
      </c>
      <c r="AG36" s="105">
        <v>0</v>
      </c>
      <c r="AH36" s="105">
        <v>0</v>
      </c>
      <c r="AI36" s="105">
        <v>0</v>
      </c>
      <c r="AJ36" s="105">
        <v>0</v>
      </c>
      <c r="AK36" s="105">
        <v>0</v>
      </c>
    </row>
    <row r="37" spans="1:37" x14ac:dyDescent="0.15">
      <c r="A37" s="157" t="s">
        <v>227</v>
      </c>
      <c r="B37" s="105">
        <v>0</v>
      </c>
      <c r="C37" s="105">
        <v>1</v>
      </c>
      <c r="D37" s="105">
        <v>0</v>
      </c>
      <c r="E37" s="105">
        <v>0</v>
      </c>
      <c r="F37" s="105">
        <v>1</v>
      </c>
      <c r="G37" s="105">
        <v>1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0</v>
      </c>
      <c r="AC37" s="105">
        <v>0</v>
      </c>
      <c r="AD37" s="105">
        <v>0</v>
      </c>
      <c r="AE37" s="105">
        <v>0</v>
      </c>
      <c r="AF37" s="105">
        <v>0</v>
      </c>
      <c r="AG37" s="105">
        <v>0</v>
      </c>
      <c r="AH37" s="105">
        <v>0</v>
      </c>
      <c r="AI37" s="105">
        <v>0</v>
      </c>
      <c r="AJ37" s="105">
        <v>0</v>
      </c>
      <c r="AK37" s="105">
        <v>0</v>
      </c>
    </row>
    <row r="38" spans="1:37" x14ac:dyDescent="0.15">
      <c r="A38" s="157" t="s">
        <v>229</v>
      </c>
      <c r="B38" s="105">
        <v>0</v>
      </c>
      <c r="C38" s="105">
        <v>0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0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0" t="s">
        <v>228</v>
      </c>
    </row>
    <row r="2" spans="1:3" x14ac:dyDescent="0.15">
      <c r="A2">
        <v>1</v>
      </c>
      <c r="B2" s="159" t="s">
        <v>192</v>
      </c>
      <c r="C2">
        <v>0.8</v>
      </c>
    </row>
    <row r="3" spans="1:3" x14ac:dyDescent="0.15">
      <c r="A3">
        <v>2</v>
      </c>
      <c r="B3" s="159" t="s">
        <v>193</v>
      </c>
      <c r="C3">
        <v>0</v>
      </c>
    </row>
    <row r="4" spans="1:3" x14ac:dyDescent="0.15">
      <c r="A4">
        <v>3</v>
      </c>
      <c r="B4" s="159" t="s">
        <v>194</v>
      </c>
      <c r="C4">
        <v>0</v>
      </c>
    </row>
    <row r="5" spans="1:3" x14ac:dyDescent="0.15">
      <c r="A5">
        <v>4</v>
      </c>
      <c r="B5" s="159" t="s">
        <v>195</v>
      </c>
      <c r="C5">
        <v>0.8</v>
      </c>
    </row>
    <row r="6" spans="1:3" x14ac:dyDescent="0.15">
      <c r="A6">
        <v>5</v>
      </c>
      <c r="B6" s="159" t="s">
        <v>196</v>
      </c>
      <c r="C6">
        <v>0.8</v>
      </c>
    </row>
    <row r="7" spans="1:3" x14ac:dyDescent="0.15">
      <c r="A7">
        <v>6</v>
      </c>
      <c r="B7" s="159" t="s">
        <v>197</v>
      </c>
      <c r="C7">
        <v>0</v>
      </c>
    </row>
    <row r="8" spans="1:3" x14ac:dyDescent="0.15">
      <c r="A8">
        <v>7</v>
      </c>
      <c r="B8" s="159" t="s">
        <v>198</v>
      </c>
      <c r="C8">
        <v>0</v>
      </c>
    </row>
    <row r="9" spans="1:3" x14ac:dyDescent="0.15">
      <c r="A9">
        <v>8</v>
      </c>
      <c r="B9" s="159" t="s">
        <v>199</v>
      </c>
      <c r="C9">
        <v>0.8</v>
      </c>
    </row>
    <row r="10" spans="1:3" x14ac:dyDescent="0.15">
      <c r="A10">
        <v>9</v>
      </c>
      <c r="B10" s="159" t="s">
        <v>200</v>
      </c>
      <c r="C10">
        <v>0</v>
      </c>
    </row>
    <row r="11" spans="1:3" x14ac:dyDescent="0.15">
      <c r="A11">
        <v>10</v>
      </c>
      <c r="B11" s="159" t="s">
        <v>201</v>
      </c>
      <c r="C11">
        <v>0.8</v>
      </c>
    </row>
    <row r="12" spans="1:3" x14ac:dyDescent="0.15">
      <c r="A12">
        <v>11</v>
      </c>
      <c r="B12" s="159" t="s">
        <v>202</v>
      </c>
      <c r="C12">
        <v>0.8</v>
      </c>
    </row>
    <row r="13" spans="1:3" x14ac:dyDescent="0.15">
      <c r="A13">
        <v>12</v>
      </c>
      <c r="B13" s="159" t="s">
        <v>203</v>
      </c>
      <c r="C13">
        <v>0.8</v>
      </c>
    </row>
    <row r="14" spans="1:3" x14ac:dyDescent="0.15">
      <c r="A14">
        <v>13</v>
      </c>
      <c r="B14" s="159" t="s">
        <v>204</v>
      </c>
      <c r="C14">
        <v>0.8</v>
      </c>
    </row>
    <row r="15" spans="1:3" x14ac:dyDescent="0.15">
      <c r="A15">
        <v>14</v>
      </c>
      <c r="B15" s="159" t="s">
        <v>205</v>
      </c>
      <c r="C15">
        <v>0.8</v>
      </c>
    </row>
    <row r="16" spans="1:3" x14ac:dyDescent="0.15">
      <c r="A16">
        <v>15</v>
      </c>
      <c r="B16" s="159" t="s">
        <v>206</v>
      </c>
      <c r="C16">
        <v>0.8</v>
      </c>
    </row>
    <row r="17" spans="1:3" x14ac:dyDescent="0.15">
      <c r="A17">
        <v>16</v>
      </c>
      <c r="B17" s="159" t="s">
        <v>207</v>
      </c>
      <c r="C17">
        <v>0.8</v>
      </c>
    </row>
    <row r="18" spans="1:3" x14ac:dyDescent="0.15">
      <c r="A18">
        <v>17</v>
      </c>
      <c r="B18" s="159" t="s">
        <v>208</v>
      </c>
      <c r="C18">
        <v>0.8</v>
      </c>
    </row>
    <row r="19" spans="1:3" x14ac:dyDescent="0.15">
      <c r="A19">
        <v>18</v>
      </c>
      <c r="B19" s="159" t="s">
        <v>209</v>
      </c>
      <c r="C19">
        <v>0.8</v>
      </c>
    </row>
    <row r="20" spans="1:3" x14ac:dyDescent="0.15">
      <c r="A20">
        <v>19</v>
      </c>
      <c r="B20" s="159" t="s">
        <v>210</v>
      </c>
      <c r="C20">
        <v>0</v>
      </c>
    </row>
    <row r="21" spans="1:3" x14ac:dyDescent="0.15">
      <c r="A21">
        <v>20</v>
      </c>
      <c r="B21" s="159" t="s">
        <v>211</v>
      </c>
      <c r="C21">
        <v>0.8</v>
      </c>
    </row>
    <row r="22" spans="1:3" x14ac:dyDescent="0.15">
      <c r="A22">
        <v>21</v>
      </c>
      <c r="B22" s="159" t="s">
        <v>212</v>
      </c>
      <c r="C22">
        <v>0.8</v>
      </c>
    </row>
    <row r="23" spans="1:3" x14ac:dyDescent="0.15">
      <c r="A23">
        <v>22</v>
      </c>
      <c r="B23" s="159" t="s">
        <v>213</v>
      </c>
      <c r="C23">
        <v>0.8</v>
      </c>
    </row>
    <row r="24" spans="1:3" x14ac:dyDescent="0.15">
      <c r="A24">
        <v>23</v>
      </c>
      <c r="B24" s="159" t="s">
        <v>214</v>
      </c>
      <c r="C24">
        <v>0.8</v>
      </c>
    </row>
    <row r="25" spans="1:3" x14ac:dyDescent="0.15">
      <c r="A25">
        <v>24</v>
      </c>
      <c r="B25" s="159" t="s">
        <v>215</v>
      </c>
      <c r="C25">
        <v>0</v>
      </c>
    </row>
    <row r="26" spans="1:3" x14ac:dyDescent="0.15">
      <c r="A26">
        <v>25</v>
      </c>
      <c r="B26" s="159" t="s">
        <v>216</v>
      </c>
      <c r="C26">
        <v>0</v>
      </c>
    </row>
    <row r="27" spans="1:3" x14ac:dyDescent="0.15">
      <c r="A27">
        <v>26</v>
      </c>
      <c r="B27" s="159" t="s">
        <v>217</v>
      </c>
      <c r="C27">
        <v>0.8</v>
      </c>
    </row>
    <row r="28" spans="1:3" x14ac:dyDescent="0.15">
      <c r="A28">
        <v>27</v>
      </c>
      <c r="B28" s="159" t="s">
        <v>218</v>
      </c>
      <c r="C28">
        <v>0.8</v>
      </c>
    </row>
    <row r="29" spans="1:3" x14ac:dyDescent="0.15">
      <c r="A29">
        <v>28</v>
      </c>
      <c r="B29" s="159" t="s">
        <v>219</v>
      </c>
      <c r="C29">
        <v>0.8</v>
      </c>
    </row>
    <row r="30" spans="1:3" x14ac:dyDescent="0.15">
      <c r="A30">
        <v>29</v>
      </c>
      <c r="B30" s="159" t="s">
        <v>220</v>
      </c>
      <c r="C30">
        <v>0.8</v>
      </c>
    </row>
    <row r="31" spans="1:3" x14ac:dyDescent="0.15">
      <c r="A31">
        <v>30</v>
      </c>
      <c r="B31" s="159" t="s">
        <v>221</v>
      </c>
      <c r="C31">
        <v>0</v>
      </c>
    </row>
    <row r="32" spans="1:3" x14ac:dyDescent="0.15">
      <c r="A32">
        <v>31</v>
      </c>
      <c r="B32" s="159" t="s">
        <v>222</v>
      </c>
      <c r="C32">
        <v>0</v>
      </c>
    </row>
    <row r="33" spans="1:3" x14ac:dyDescent="0.15">
      <c r="A33">
        <v>32</v>
      </c>
      <c r="B33" s="159" t="s">
        <v>223</v>
      </c>
      <c r="C33">
        <v>0</v>
      </c>
    </row>
    <row r="34" spans="1:3" x14ac:dyDescent="0.15">
      <c r="A34">
        <v>33</v>
      </c>
      <c r="B34" s="159" t="s">
        <v>224</v>
      </c>
      <c r="C34">
        <v>0</v>
      </c>
    </row>
    <row r="35" spans="1:3" x14ac:dyDescent="0.15">
      <c r="A35">
        <v>34</v>
      </c>
      <c r="B35" s="159" t="s">
        <v>225</v>
      </c>
      <c r="C35">
        <v>0</v>
      </c>
    </row>
    <row r="36" spans="1:3" x14ac:dyDescent="0.15">
      <c r="A36">
        <v>35</v>
      </c>
      <c r="B36" s="159" t="s">
        <v>226</v>
      </c>
      <c r="C36">
        <v>0</v>
      </c>
    </row>
    <row r="37" spans="1:3" x14ac:dyDescent="0.15">
      <c r="A37">
        <v>36</v>
      </c>
      <c r="B37" s="159" t="s">
        <v>227</v>
      </c>
      <c r="C3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2" t="s">
        <v>228</v>
      </c>
    </row>
    <row r="2" spans="1:3" x14ac:dyDescent="0.15">
      <c r="A2">
        <v>1</v>
      </c>
      <c r="B2" s="161" t="s">
        <v>192</v>
      </c>
      <c r="C2">
        <v>0.8</v>
      </c>
    </row>
    <row r="3" spans="1:3" x14ac:dyDescent="0.15">
      <c r="A3">
        <v>2</v>
      </c>
      <c r="B3" s="161" t="s">
        <v>193</v>
      </c>
      <c r="C3">
        <v>0</v>
      </c>
    </row>
    <row r="4" spans="1:3" x14ac:dyDescent="0.15">
      <c r="A4">
        <v>3</v>
      </c>
      <c r="B4" s="161" t="s">
        <v>194</v>
      </c>
      <c r="C4">
        <v>0</v>
      </c>
    </row>
    <row r="5" spans="1:3" x14ac:dyDescent="0.15">
      <c r="A5">
        <v>4</v>
      </c>
      <c r="B5" s="161" t="s">
        <v>195</v>
      </c>
      <c r="C5">
        <v>0.8</v>
      </c>
    </row>
    <row r="6" spans="1:3" x14ac:dyDescent="0.15">
      <c r="A6">
        <v>5</v>
      </c>
      <c r="B6" s="161" t="s">
        <v>196</v>
      </c>
      <c r="C6">
        <v>0.8</v>
      </c>
    </row>
    <row r="7" spans="1:3" x14ac:dyDescent="0.15">
      <c r="A7">
        <v>6</v>
      </c>
      <c r="B7" s="161" t="s">
        <v>197</v>
      </c>
      <c r="C7">
        <v>0</v>
      </c>
    </row>
    <row r="8" spans="1:3" x14ac:dyDescent="0.15">
      <c r="A8">
        <v>7</v>
      </c>
      <c r="B8" s="161" t="s">
        <v>198</v>
      </c>
      <c r="C8">
        <v>0</v>
      </c>
    </row>
    <row r="9" spans="1:3" x14ac:dyDescent="0.15">
      <c r="A9">
        <v>8</v>
      </c>
      <c r="B9" s="161" t="s">
        <v>199</v>
      </c>
      <c r="C9">
        <v>0.8</v>
      </c>
    </row>
    <row r="10" spans="1:3" x14ac:dyDescent="0.15">
      <c r="A10">
        <v>9</v>
      </c>
      <c r="B10" s="161" t="s">
        <v>200</v>
      </c>
      <c r="C10">
        <v>0</v>
      </c>
    </row>
    <row r="11" spans="1:3" x14ac:dyDescent="0.15">
      <c r="A11">
        <v>10</v>
      </c>
      <c r="B11" s="161" t="s">
        <v>201</v>
      </c>
      <c r="C11">
        <v>0.8</v>
      </c>
    </row>
    <row r="12" spans="1:3" x14ac:dyDescent="0.15">
      <c r="A12">
        <v>11</v>
      </c>
      <c r="B12" s="161" t="s">
        <v>202</v>
      </c>
      <c r="C12">
        <v>0.8</v>
      </c>
    </row>
    <row r="13" spans="1:3" x14ac:dyDescent="0.15">
      <c r="A13">
        <v>12</v>
      </c>
      <c r="B13" s="161" t="s">
        <v>203</v>
      </c>
      <c r="C13">
        <v>0.8</v>
      </c>
    </row>
    <row r="14" spans="1:3" x14ac:dyDescent="0.15">
      <c r="A14">
        <v>13</v>
      </c>
      <c r="B14" s="161" t="s">
        <v>204</v>
      </c>
      <c r="C14">
        <v>0.8</v>
      </c>
    </row>
    <row r="15" spans="1:3" x14ac:dyDescent="0.15">
      <c r="A15">
        <v>14</v>
      </c>
      <c r="B15" s="161" t="s">
        <v>205</v>
      </c>
      <c r="C15">
        <v>0.8</v>
      </c>
    </row>
    <row r="16" spans="1:3" x14ac:dyDescent="0.15">
      <c r="A16">
        <v>15</v>
      </c>
      <c r="B16" s="161" t="s">
        <v>206</v>
      </c>
      <c r="C16">
        <v>0.8</v>
      </c>
    </row>
    <row r="17" spans="1:3" x14ac:dyDescent="0.15">
      <c r="A17">
        <v>16</v>
      </c>
      <c r="B17" s="161" t="s">
        <v>207</v>
      </c>
      <c r="C17">
        <v>0.8</v>
      </c>
    </row>
    <row r="18" spans="1:3" x14ac:dyDescent="0.15">
      <c r="A18">
        <v>17</v>
      </c>
      <c r="B18" s="161" t="s">
        <v>208</v>
      </c>
      <c r="C18">
        <v>0.8</v>
      </c>
    </row>
    <row r="19" spans="1:3" x14ac:dyDescent="0.15">
      <c r="A19">
        <v>18</v>
      </c>
      <c r="B19" s="161" t="s">
        <v>209</v>
      </c>
      <c r="C19">
        <v>0.8</v>
      </c>
    </row>
    <row r="20" spans="1:3" x14ac:dyDescent="0.15">
      <c r="A20">
        <v>19</v>
      </c>
      <c r="B20" s="161" t="s">
        <v>210</v>
      </c>
      <c r="C20">
        <v>0</v>
      </c>
    </row>
    <row r="21" spans="1:3" x14ac:dyDescent="0.15">
      <c r="A21">
        <v>20</v>
      </c>
      <c r="B21" s="161" t="s">
        <v>211</v>
      </c>
      <c r="C21">
        <v>0.8</v>
      </c>
    </row>
    <row r="22" spans="1:3" x14ac:dyDescent="0.15">
      <c r="A22">
        <v>21</v>
      </c>
      <c r="B22" s="161" t="s">
        <v>212</v>
      </c>
      <c r="C22">
        <v>0.8</v>
      </c>
    </row>
    <row r="23" spans="1:3" x14ac:dyDescent="0.15">
      <c r="A23">
        <v>22</v>
      </c>
      <c r="B23" s="161" t="s">
        <v>213</v>
      </c>
      <c r="C23">
        <v>0.8</v>
      </c>
    </row>
    <row r="24" spans="1:3" x14ac:dyDescent="0.15">
      <c r="A24">
        <v>23</v>
      </c>
      <c r="B24" s="161" t="s">
        <v>214</v>
      </c>
      <c r="C24">
        <v>0.8</v>
      </c>
    </row>
    <row r="25" spans="1:3" x14ac:dyDescent="0.15">
      <c r="A25">
        <v>24</v>
      </c>
      <c r="B25" s="161" t="s">
        <v>215</v>
      </c>
      <c r="C25">
        <v>0</v>
      </c>
    </row>
    <row r="26" spans="1:3" x14ac:dyDescent="0.15">
      <c r="A26">
        <v>25</v>
      </c>
      <c r="B26" s="161" t="s">
        <v>216</v>
      </c>
      <c r="C26">
        <v>0</v>
      </c>
    </row>
    <row r="27" spans="1:3" x14ac:dyDescent="0.15">
      <c r="A27">
        <v>26</v>
      </c>
      <c r="B27" s="161" t="s">
        <v>217</v>
      </c>
      <c r="C27">
        <v>0.8</v>
      </c>
    </row>
    <row r="28" spans="1:3" x14ac:dyDescent="0.15">
      <c r="A28">
        <v>27</v>
      </c>
      <c r="B28" s="161" t="s">
        <v>218</v>
      </c>
      <c r="C28">
        <v>0.8</v>
      </c>
    </row>
    <row r="29" spans="1:3" x14ac:dyDescent="0.15">
      <c r="A29">
        <v>28</v>
      </c>
      <c r="B29" s="161" t="s">
        <v>219</v>
      </c>
      <c r="C29">
        <v>0.8</v>
      </c>
    </row>
    <row r="30" spans="1:3" x14ac:dyDescent="0.15">
      <c r="A30">
        <v>29</v>
      </c>
      <c r="B30" s="161" t="s">
        <v>220</v>
      </c>
      <c r="C30">
        <v>0.8</v>
      </c>
    </row>
    <row r="31" spans="1:3" x14ac:dyDescent="0.15">
      <c r="A31">
        <v>30</v>
      </c>
      <c r="B31" s="161" t="s">
        <v>221</v>
      </c>
      <c r="C31">
        <v>0</v>
      </c>
    </row>
    <row r="32" spans="1:3" x14ac:dyDescent="0.15">
      <c r="A32">
        <v>31</v>
      </c>
      <c r="B32" s="161" t="s">
        <v>222</v>
      </c>
      <c r="C32">
        <v>0</v>
      </c>
    </row>
    <row r="33" spans="1:3" x14ac:dyDescent="0.15">
      <c r="A33">
        <v>32</v>
      </c>
      <c r="B33" s="161" t="s">
        <v>223</v>
      </c>
      <c r="C33">
        <v>0</v>
      </c>
    </row>
    <row r="34" spans="1:3" x14ac:dyDescent="0.15">
      <c r="A34">
        <v>33</v>
      </c>
      <c r="B34" s="161" t="s">
        <v>224</v>
      </c>
      <c r="C34">
        <v>0</v>
      </c>
    </row>
    <row r="35" spans="1:3" x14ac:dyDescent="0.15">
      <c r="A35">
        <v>34</v>
      </c>
      <c r="B35" s="161" t="s">
        <v>225</v>
      </c>
      <c r="C35">
        <v>0</v>
      </c>
    </row>
    <row r="36" spans="1:3" x14ac:dyDescent="0.15">
      <c r="A36">
        <v>35</v>
      </c>
      <c r="B36" s="161" t="s">
        <v>226</v>
      </c>
      <c r="C36">
        <v>0</v>
      </c>
    </row>
    <row r="37" spans="1:3" x14ac:dyDescent="0.15">
      <c r="A37">
        <v>36</v>
      </c>
      <c r="B37" s="161" t="s">
        <v>227</v>
      </c>
      <c r="C3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J43" sqref="J43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233">
        <v>1</v>
      </c>
      <c r="B2" s="233" t="s">
        <v>192</v>
      </c>
      <c r="C2" s="8">
        <v>3.7738230228424072</v>
      </c>
      <c r="D2" s="9">
        <v>0.39100000262260437</v>
      </c>
      <c r="E2" s="9">
        <v>1.9999999552965164E-2</v>
      </c>
      <c r="F2" s="9">
        <v>8.3120002746582031</v>
      </c>
      <c r="G2" s="9">
        <v>0.98913049697875977</v>
      </c>
      <c r="H2" s="9">
        <v>2.4061596486717463E-3</v>
      </c>
      <c r="I2">
        <v>7.0000002160668373E-3</v>
      </c>
      <c r="J2"/>
    </row>
    <row r="3" spans="1:10" ht="15" customHeight="1" x14ac:dyDescent="0.15">
      <c r="A3" s="234">
        <v>2</v>
      </c>
      <c r="B3" s="234" t="s">
        <v>193</v>
      </c>
      <c r="C3" s="8">
        <v>4.1554522514343262</v>
      </c>
      <c r="D3" s="9">
        <v>4.1999999433755875E-2</v>
      </c>
      <c r="E3" s="9">
        <v>1.9999999552965164E-2</v>
      </c>
      <c r="F3" s="9">
        <v>17.5</v>
      </c>
      <c r="G3" s="7">
        <v>0</v>
      </c>
      <c r="H3" s="9">
        <v>1.1428571306169033E-3</v>
      </c>
      <c r="I3">
        <v>0</v>
      </c>
      <c r="J3"/>
    </row>
    <row r="4" spans="1:10" ht="15" customHeight="1" x14ac:dyDescent="0.15">
      <c r="A4" s="235">
        <v>3</v>
      </c>
      <c r="B4" s="235" t="s">
        <v>194</v>
      </c>
      <c r="C4" s="8">
        <v>4.7032890319824219</v>
      </c>
      <c r="D4" s="9">
        <v>1.9999999552965164E-2</v>
      </c>
      <c r="E4" s="9">
        <v>1.9999999552965164E-2</v>
      </c>
      <c r="F4" s="9">
        <v>9.8000001907348633</v>
      </c>
      <c r="G4" s="7">
        <v>0</v>
      </c>
      <c r="H4" s="9">
        <v>2.0408162381500006E-3</v>
      </c>
      <c r="I4">
        <v>0</v>
      </c>
      <c r="J4"/>
    </row>
    <row r="5" spans="1:10" ht="15" customHeight="1" x14ac:dyDescent="0.15">
      <c r="A5" s="236">
        <v>4</v>
      </c>
      <c r="B5" s="236" t="s">
        <v>195</v>
      </c>
      <c r="C5" s="8">
        <v>3.1512629985809326</v>
      </c>
      <c r="D5" s="9">
        <v>0.26199999451637268</v>
      </c>
      <c r="E5" s="9">
        <v>5.9999998658895493E-2</v>
      </c>
      <c r="F5" s="9">
        <v>13.899999618530273</v>
      </c>
      <c r="G5" s="9">
        <v>0.42843514680862427</v>
      </c>
      <c r="H5" s="9">
        <v>4.3165469542145729E-3</v>
      </c>
      <c r="I5">
        <v>6.0000000521540642E-3</v>
      </c>
      <c r="J5"/>
    </row>
    <row r="6" spans="1:10" ht="15" customHeight="1" x14ac:dyDescent="0.15">
      <c r="A6" s="237">
        <v>5</v>
      </c>
      <c r="B6" s="237" t="s">
        <v>196</v>
      </c>
      <c r="C6" s="8">
        <v>3.9145305156707764</v>
      </c>
      <c r="D6" s="9">
        <v>9.7000002861022949E-2</v>
      </c>
      <c r="E6" s="9">
        <v>5.9999998658895493E-2</v>
      </c>
      <c r="F6" s="9">
        <v>13.340000152587891</v>
      </c>
      <c r="G6" s="9">
        <v>0.59621995687484741</v>
      </c>
      <c r="H6" s="9">
        <v>4.4977511279284954E-3</v>
      </c>
      <c r="I6">
        <v>2.0000000949949026E-3</v>
      </c>
      <c r="J6"/>
    </row>
    <row r="7" spans="1:10" ht="15" customHeight="1" x14ac:dyDescent="0.15">
      <c r="A7" s="238">
        <v>6</v>
      </c>
      <c r="B7" s="238" t="s">
        <v>197</v>
      </c>
      <c r="C7" s="8">
        <v>3.9904961585998535</v>
      </c>
      <c r="D7" s="9">
        <v>3.5000000149011612E-2</v>
      </c>
      <c r="E7" s="9">
        <v>5.9999998658895493E-2</v>
      </c>
      <c r="F7" s="9">
        <v>18</v>
      </c>
      <c r="G7" s="9">
        <v>0.3500000536441803</v>
      </c>
      <c r="H7" s="9">
        <v>3.3333331812173128E-3</v>
      </c>
      <c r="I7">
        <v>0</v>
      </c>
      <c r="J7"/>
    </row>
    <row r="8" spans="1:10" ht="15" customHeight="1" x14ac:dyDescent="0.15">
      <c r="A8" s="239">
        <v>7</v>
      </c>
      <c r="B8" s="239" t="s">
        <v>198</v>
      </c>
      <c r="C8" s="8">
        <v>3.9584419727325439</v>
      </c>
      <c r="D8" s="9">
        <v>9.9999997764825821E-3</v>
      </c>
      <c r="E8" s="9">
        <v>0.80000001192092896</v>
      </c>
      <c r="F8" s="9">
        <v>87</v>
      </c>
      <c r="G8" s="7">
        <v>0</v>
      </c>
      <c r="H8" s="9">
        <v>9.1954022645950317E-3</v>
      </c>
      <c r="I8">
        <v>0</v>
      </c>
      <c r="J8"/>
    </row>
    <row r="9" spans="1:10" ht="15" customHeight="1" x14ac:dyDescent="0.15">
      <c r="A9" s="240">
        <v>8</v>
      </c>
      <c r="B9" s="240" t="s">
        <v>199</v>
      </c>
      <c r="C9" s="8">
        <v>3.416743278503418</v>
      </c>
      <c r="D9" s="9">
        <v>15</v>
      </c>
      <c r="E9" s="9">
        <v>0.5</v>
      </c>
      <c r="F9" s="9">
        <v>10</v>
      </c>
      <c r="G9" s="9">
        <v>0.94974863529205322</v>
      </c>
      <c r="H9" s="9">
        <v>5.000000074505806E-2</v>
      </c>
      <c r="I9">
        <v>1.0509999990463257</v>
      </c>
      <c r="J9"/>
    </row>
    <row r="10" spans="1:10" ht="15" customHeight="1" x14ac:dyDescent="0.15">
      <c r="A10" s="241">
        <v>9</v>
      </c>
      <c r="B10" s="241" t="s">
        <v>200</v>
      </c>
      <c r="C10" s="8">
        <v>3.3548691272735596</v>
      </c>
      <c r="D10" s="9">
        <v>3.7569999694824219</v>
      </c>
      <c r="E10" s="9">
        <v>2.5</v>
      </c>
      <c r="F10" s="9">
        <v>13</v>
      </c>
      <c r="G10" s="9">
        <v>0.48001527786254883</v>
      </c>
      <c r="H10" s="9">
        <v>0.19230769574642181</v>
      </c>
      <c r="I10">
        <v>0</v>
      </c>
      <c r="J10"/>
    </row>
    <row r="11" spans="1:10" ht="15" customHeight="1" x14ac:dyDescent="0.15">
      <c r="A11" s="242">
        <v>10</v>
      </c>
      <c r="B11" s="242" t="s">
        <v>201</v>
      </c>
      <c r="C11" s="8">
        <v>4.0252542495727539</v>
      </c>
      <c r="D11" s="9">
        <v>3.187000036239624</v>
      </c>
      <c r="E11" s="9">
        <v>0.52100002765655518</v>
      </c>
      <c r="F11" s="9">
        <v>3.2999999523162842</v>
      </c>
      <c r="G11" s="9">
        <v>0.35416138172149658</v>
      </c>
      <c r="H11" s="9">
        <v>0.15787880122661591</v>
      </c>
      <c r="I11">
        <v>0.22599999606609344</v>
      </c>
      <c r="J11"/>
    </row>
    <row r="12" spans="1:10" ht="15" customHeight="1" x14ac:dyDescent="0.15">
      <c r="A12" s="243">
        <v>11</v>
      </c>
      <c r="B12" s="243" t="s">
        <v>202</v>
      </c>
      <c r="C12" s="8">
        <v>4.5504188537597656</v>
      </c>
      <c r="D12" s="9">
        <v>8.2999996840953827E-2</v>
      </c>
      <c r="E12" s="9">
        <v>0.25</v>
      </c>
      <c r="F12" s="9">
        <v>3.5</v>
      </c>
      <c r="G12" s="9">
        <v>0.98781383037567139</v>
      </c>
      <c r="H12" s="9">
        <v>7.1428574621677399E-2</v>
      </c>
      <c r="I12">
        <v>9.9999997764825821E-3</v>
      </c>
      <c r="J12"/>
    </row>
    <row r="13" spans="1:10" ht="15" customHeight="1" x14ac:dyDescent="0.15">
      <c r="A13" s="244">
        <v>12</v>
      </c>
      <c r="B13" s="244" t="s">
        <v>203</v>
      </c>
      <c r="C13" s="8">
        <v>4.450098991394043</v>
      </c>
      <c r="D13" s="9">
        <v>5.7999998331069946E-2</v>
      </c>
      <c r="E13" s="9">
        <v>0.20000000298023224</v>
      </c>
      <c r="F13" s="9">
        <v>3.5999999046325684</v>
      </c>
      <c r="G13" s="9">
        <v>0.94655174016952515</v>
      </c>
      <c r="H13" s="9">
        <v>5.5555559694766998E-2</v>
      </c>
      <c r="I13">
        <v>9.9999997764825821E-3</v>
      </c>
      <c r="J13"/>
    </row>
    <row r="14" spans="1:10" ht="15" customHeight="1" x14ac:dyDescent="0.15">
      <c r="A14" s="245">
        <v>13</v>
      </c>
      <c r="B14" s="245" t="s">
        <v>204</v>
      </c>
      <c r="C14" s="8">
        <v>4.2718172073364258</v>
      </c>
      <c r="D14" s="9">
        <v>5.2000001072883606E-2</v>
      </c>
      <c r="E14" s="9">
        <v>0.31999999284744263</v>
      </c>
      <c r="F14" s="9">
        <v>4.5</v>
      </c>
      <c r="G14" s="9">
        <v>0.88955146074295044</v>
      </c>
      <c r="H14" s="9">
        <v>7.1111112833023071E-2</v>
      </c>
      <c r="I14">
        <v>7.0000002160668373E-3</v>
      </c>
      <c r="J14"/>
    </row>
    <row r="15" spans="1:10" ht="15" customHeight="1" x14ac:dyDescent="0.15">
      <c r="A15" s="246">
        <v>14</v>
      </c>
      <c r="B15" s="246" t="s">
        <v>205</v>
      </c>
      <c r="C15" s="8">
        <v>3.208043098449707</v>
      </c>
      <c r="D15" s="9">
        <v>0.99199998378753662</v>
      </c>
      <c r="E15" s="9">
        <v>0.28799998760223389</v>
      </c>
      <c r="F15" s="9">
        <v>6.8489999771118164</v>
      </c>
      <c r="G15" s="9">
        <v>0.73974615335464478</v>
      </c>
      <c r="H15" s="9">
        <v>4.2049933224916458E-2</v>
      </c>
      <c r="I15">
        <v>4.1000001132488251E-2</v>
      </c>
      <c r="J15"/>
    </row>
    <row r="16" spans="1:10" ht="15" customHeight="1" x14ac:dyDescent="0.15">
      <c r="A16" s="247">
        <v>15</v>
      </c>
      <c r="B16" s="247" t="s">
        <v>206</v>
      </c>
      <c r="C16" s="8">
        <v>4.3499512672424316</v>
      </c>
      <c r="D16" s="9">
        <v>0.27099999785423279</v>
      </c>
      <c r="E16" s="9">
        <v>0.40000000596046448</v>
      </c>
      <c r="F16" s="9">
        <v>4</v>
      </c>
      <c r="G16" s="9">
        <v>0.37822878360748291</v>
      </c>
      <c r="H16" s="9">
        <v>0.10000000149011612</v>
      </c>
      <c r="I16">
        <v>4.1000001132488251E-2</v>
      </c>
      <c r="J16"/>
    </row>
    <row r="17" spans="1:10" ht="15" customHeight="1" x14ac:dyDescent="0.15">
      <c r="A17" s="248">
        <v>16</v>
      </c>
      <c r="B17" s="248" t="s">
        <v>207</v>
      </c>
      <c r="C17" s="8">
        <v>3.7594683170318604</v>
      </c>
      <c r="D17" s="9">
        <v>0.67699998617172241</v>
      </c>
      <c r="E17" s="9">
        <v>0.40000000596046448</v>
      </c>
      <c r="F17" s="9">
        <v>3.5</v>
      </c>
      <c r="G17" s="9">
        <v>0.94447427988052368</v>
      </c>
      <c r="H17" s="9">
        <v>0.11428571492433548</v>
      </c>
      <c r="I17">
        <v>7.0000000298023224E-2</v>
      </c>
      <c r="J17"/>
    </row>
    <row r="18" spans="1:10" ht="15" customHeight="1" x14ac:dyDescent="0.15">
      <c r="A18" s="249">
        <v>17</v>
      </c>
      <c r="B18" s="249" t="s">
        <v>208</v>
      </c>
      <c r="C18" s="8">
        <v>3.9057977199554443</v>
      </c>
      <c r="D18" s="9">
        <v>1.156000018119812</v>
      </c>
      <c r="E18" s="9">
        <v>0.30000001192092896</v>
      </c>
      <c r="F18" s="9">
        <v>3.7000000476837158</v>
      </c>
      <c r="G18" s="9">
        <v>0.67480099201202393</v>
      </c>
      <c r="H18" s="9">
        <v>8.1081084907054901E-2</v>
      </c>
      <c r="I18">
        <v>4.1000001132488251E-2</v>
      </c>
      <c r="J18"/>
    </row>
    <row r="19" spans="1:10" ht="15" customHeight="1" x14ac:dyDescent="0.15">
      <c r="A19" s="250">
        <v>18</v>
      </c>
      <c r="B19" s="250" t="s">
        <v>209</v>
      </c>
      <c r="C19" s="8">
        <v>4.0801033973693848</v>
      </c>
      <c r="D19" s="9">
        <v>0.89999997615814209</v>
      </c>
      <c r="E19" s="9">
        <v>0.30000001192092896</v>
      </c>
      <c r="F19" s="9">
        <v>2.5199999809265137</v>
      </c>
      <c r="G19" s="9">
        <v>0.98806512355804443</v>
      </c>
      <c r="H19" s="9">
        <v>0.1190476268529892</v>
      </c>
      <c r="I19">
        <v>3.9000000804662704E-2</v>
      </c>
      <c r="J19"/>
    </row>
    <row r="20" spans="1:10" ht="15" customHeight="1" x14ac:dyDescent="0.15">
      <c r="A20" s="251">
        <v>19</v>
      </c>
      <c r="B20" s="251" t="s">
        <v>210</v>
      </c>
      <c r="C20" s="8">
        <v>2.9908418655395508</v>
      </c>
      <c r="D20" s="9">
        <v>8.2999996840953827E-2</v>
      </c>
      <c r="E20" s="9">
        <v>0.80000001192092896</v>
      </c>
      <c r="F20" s="9">
        <v>5</v>
      </c>
      <c r="G20" s="9">
        <v>0.39797690510749817</v>
      </c>
      <c r="H20" s="9">
        <v>0.15999999642372131</v>
      </c>
      <c r="I20">
        <v>0</v>
      </c>
      <c r="J20"/>
    </row>
    <row r="21" spans="1:10" ht="15" customHeight="1" x14ac:dyDescent="0.15">
      <c r="A21" s="252">
        <v>20</v>
      </c>
      <c r="B21" s="252" t="s">
        <v>211</v>
      </c>
      <c r="C21" s="8">
        <v>2.9908418655395508</v>
      </c>
      <c r="D21" s="9">
        <v>0.24899999797344208</v>
      </c>
      <c r="E21" s="9">
        <v>0.80000001192092896</v>
      </c>
      <c r="F21" s="9">
        <v>5</v>
      </c>
      <c r="G21" s="9">
        <v>0.87123328447341919</v>
      </c>
      <c r="H21" s="9">
        <v>0.15999999642372131</v>
      </c>
      <c r="I21">
        <v>6.0000000521540642E-3</v>
      </c>
      <c r="J21"/>
    </row>
    <row r="22" spans="1:10" ht="15" customHeight="1" x14ac:dyDescent="0.15">
      <c r="A22" s="253">
        <v>21</v>
      </c>
      <c r="B22" s="253" t="s">
        <v>212</v>
      </c>
      <c r="C22" s="8">
        <v>2.9943239688873291</v>
      </c>
      <c r="D22" s="9">
        <v>0.11900000274181366</v>
      </c>
      <c r="E22" s="9">
        <v>0.60000002384185791</v>
      </c>
      <c r="F22" s="9">
        <v>2.7000000476837158</v>
      </c>
      <c r="G22" s="9">
        <v>0.82682794332504272</v>
      </c>
      <c r="H22" s="9">
        <v>0.2222222238779068</v>
      </c>
      <c r="I22">
        <v>8.0000003799796104E-3</v>
      </c>
      <c r="J22"/>
    </row>
    <row r="23" spans="1:10" ht="15" customHeight="1" x14ac:dyDescent="0.15">
      <c r="A23" s="254">
        <v>22</v>
      </c>
      <c r="B23" s="254" t="s">
        <v>213</v>
      </c>
      <c r="C23" s="8">
        <v>2.4057657718658447</v>
      </c>
      <c r="D23" s="9">
        <v>2.1057531833648682</v>
      </c>
      <c r="E23" s="9">
        <v>2.0399999618530273</v>
      </c>
      <c r="F23" s="9">
        <v>10.199999809265137</v>
      </c>
      <c r="G23" s="9">
        <v>0.90000003576278687</v>
      </c>
      <c r="H23" s="9">
        <v>0.20000000298023224</v>
      </c>
      <c r="I23">
        <v>2.0000000949949026E-3</v>
      </c>
      <c r="J23"/>
    </row>
    <row r="24" spans="1:10" ht="15" customHeight="1" x14ac:dyDescent="0.15">
      <c r="A24" s="255">
        <v>23</v>
      </c>
      <c r="B24" s="255" t="s">
        <v>214</v>
      </c>
      <c r="C24" s="8">
        <v>2.1507959365844727</v>
      </c>
      <c r="D24" s="9">
        <v>114.96199798583984</v>
      </c>
      <c r="E24" s="9">
        <v>1.159000039100647</v>
      </c>
      <c r="F24" s="9">
        <v>5.0869998931884766</v>
      </c>
      <c r="G24" s="9">
        <v>0.24500685930252075</v>
      </c>
      <c r="H24" s="9">
        <v>0.22783567011356354</v>
      </c>
      <c r="I24">
        <v>4.0000001899898052E-3</v>
      </c>
      <c r="J24"/>
    </row>
    <row r="25" spans="1:10" ht="15" customHeight="1" x14ac:dyDescent="0.15">
      <c r="A25" s="256">
        <v>24</v>
      </c>
      <c r="B25" s="256" t="s">
        <v>215</v>
      </c>
      <c r="C25" s="8">
        <v>2</v>
      </c>
      <c r="D25" s="9">
        <v>125.68699645996094</v>
      </c>
      <c r="E25" s="9">
        <v>1.9700000286102295</v>
      </c>
      <c r="F25" s="9">
        <v>12</v>
      </c>
      <c r="G25" s="9">
        <v>0.27408450841903687</v>
      </c>
      <c r="H25" s="9">
        <v>0.16416667401790619</v>
      </c>
      <c r="I25">
        <v>0</v>
      </c>
      <c r="J25"/>
    </row>
    <row r="26" spans="1:10" ht="15" customHeight="1" x14ac:dyDescent="0.15">
      <c r="A26" s="257">
        <v>25</v>
      </c>
      <c r="B26" s="257" t="s">
        <v>216</v>
      </c>
      <c r="C26" s="8">
        <v>2.0050251483917236</v>
      </c>
      <c r="D26" s="9">
        <v>13.812000274658203</v>
      </c>
      <c r="E26" s="9">
        <v>2.5</v>
      </c>
      <c r="F26" s="9">
        <v>14</v>
      </c>
      <c r="G26" s="9">
        <v>0.99448990821838379</v>
      </c>
      <c r="H26" s="9">
        <v>0.1785714328289032</v>
      </c>
      <c r="I26">
        <v>0</v>
      </c>
      <c r="J26"/>
    </row>
    <row r="27" spans="1:10" ht="15" customHeight="1" x14ac:dyDescent="0.15">
      <c r="A27" s="258">
        <v>26</v>
      </c>
      <c r="B27" s="258" t="s">
        <v>217</v>
      </c>
      <c r="C27" s="8">
        <v>3.3364522457122803</v>
      </c>
      <c r="D27" s="9">
        <v>0.78700000047683716</v>
      </c>
      <c r="E27" s="9">
        <v>0.69999998807907104</v>
      </c>
      <c r="F27" s="9">
        <v>14.600000381469727</v>
      </c>
      <c r="G27" s="9">
        <v>0.82282233238220215</v>
      </c>
      <c r="H27" s="9">
        <v>4.7945205122232437E-2</v>
      </c>
      <c r="I27">
        <v>5.4999999701976776E-2</v>
      </c>
      <c r="J27"/>
    </row>
    <row r="28" spans="1:10" ht="15" customHeight="1" x14ac:dyDescent="0.15">
      <c r="A28" s="259">
        <v>27</v>
      </c>
      <c r="B28" s="259" t="s">
        <v>218</v>
      </c>
      <c r="C28" s="8">
        <v>3.6748287677764893</v>
      </c>
      <c r="D28" s="9">
        <v>3.9000000804662704E-2</v>
      </c>
      <c r="E28" s="9">
        <v>4</v>
      </c>
      <c r="F28" s="9">
        <v>16</v>
      </c>
      <c r="G28" s="9">
        <v>0.39076328277587891</v>
      </c>
      <c r="H28" s="9">
        <v>0.25</v>
      </c>
      <c r="I28">
        <v>1.2000000104308128E-2</v>
      </c>
      <c r="J28"/>
    </row>
    <row r="29" spans="1:10" ht="15" customHeight="1" x14ac:dyDescent="0.15">
      <c r="A29" s="260">
        <v>28</v>
      </c>
      <c r="B29" s="260" t="s">
        <v>219</v>
      </c>
      <c r="C29" s="8">
        <v>3.6757316589355469</v>
      </c>
      <c r="D29" s="9">
        <v>4.8299999237060547</v>
      </c>
      <c r="E29" s="9">
        <v>3.2000000476837158</v>
      </c>
      <c r="F29" s="9">
        <v>10.670000076293945</v>
      </c>
      <c r="G29" s="9">
        <v>0.91090470552444458</v>
      </c>
      <c r="H29" s="9">
        <v>0.29990628361701965</v>
      </c>
      <c r="I29">
        <v>1.9999999552965164E-2</v>
      </c>
      <c r="J29"/>
    </row>
    <row r="30" spans="1:10" ht="15" customHeight="1" x14ac:dyDescent="0.15">
      <c r="A30" s="261">
        <v>29</v>
      </c>
      <c r="B30" s="261" t="s">
        <v>220</v>
      </c>
      <c r="C30" s="8">
        <v>3.2870326042175293</v>
      </c>
      <c r="D30" s="9">
        <v>19.41937255859375</v>
      </c>
      <c r="E30" s="9">
        <v>0.94999998807907104</v>
      </c>
      <c r="F30" s="9">
        <v>3.5</v>
      </c>
      <c r="G30" s="9">
        <v>0.89999991655349731</v>
      </c>
      <c r="H30" s="9">
        <v>0.27142855525016785</v>
      </c>
      <c r="I30">
        <v>1.0000000474974513E-3</v>
      </c>
      <c r="J30"/>
    </row>
    <row r="31" spans="1:10" ht="15" customHeight="1" x14ac:dyDescent="0.15">
      <c r="A31" s="262">
        <v>30</v>
      </c>
      <c r="B31" s="262" t="s">
        <v>221</v>
      </c>
      <c r="C31" s="8">
        <v>3.1468126773834229</v>
      </c>
      <c r="D31" s="9">
        <v>1.3999999761581421</v>
      </c>
      <c r="E31" s="9">
        <v>1.5</v>
      </c>
      <c r="F31" s="9">
        <v>3</v>
      </c>
      <c r="G31" s="9">
        <v>1.6466477885842323E-2</v>
      </c>
      <c r="H31" s="9">
        <v>0.5</v>
      </c>
      <c r="I31">
        <v>0</v>
      </c>
      <c r="J31"/>
    </row>
    <row r="32" spans="1:10" ht="15" customHeight="1" x14ac:dyDescent="0.15">
      <c r="A32" s="263">
        <v>31</v>
      </c>
      <c r="B32" s="263" t="s">
        <v>222</v>
      </c>
      <c r="C32" s="8">
        <v>2.6389508247375488</v>
      </c>
      <c r="D32" s="9">
        <v>120.73999786376953</v>
      </c>
      <c r="E32" s="9">
        <v>4.3990001678466797</v>
      </c>
      <c r="F32" s="9">
        <v>14.456999778747559</v>
      </c>
      <c r="G32" s="9">
        <v>0.55201435089111328</v>
      </c>
      <c r="H32" s="9">
        <v>0.30428168177604675</v>
      </c>
      <c r="I32">
        <v>0</v>
      </c>
      <c r="J32"/>
    </row>
    <row r="33" spans="1:10" ht="15" customHeight="1" x14ac:dyDescent="0.15">
      <c r="A33" s="264">
        <v>32</v>
      </c>
      <c r="B33" s="264" t="s">
        <v>223</v>
      </c>
      <c r="C33" s="8">
        <v>2.0526316165924072</v>
      </c>
      <c r="D33" s="9">
        <v>122.62000274658203</v>
      </c>
      <c r="E33" s="9">
        <v>9.5</v>
      </c>
      <c r="F33" s="9">
        <v>26.200000762939453</v>
      </c>
      <c r="G33" s="9">
        <v>0.97425568103790283</v>
      </c>
      <c r="H33" s="9">
        <v>0.36259540915489197</v>
      </c>
      <c r="I33">
        <v>0</v>
      </c>
      <c r="J33"/>
    </row>
    <row r="34" spans="1:10" ht="15" customHeight="1" x14ac:dyDescent="0.15">
      <c r="A34" s="265">
        <v>33</v>
      </c>
      <c r="B34" s="265" t="s">
        <v>224</v>
      </c>
      <c r="C34" s="8">
        <v>1</v>
      </c>
      <c r="D34" s="9">
        <v>15</v>
      </c>
      <c r="E34" s="9">
        <v>234</v>
      </c>
      <c r="F34" s="10"/>
      <c r="G34" s="9">
        <v>0.73821777105331421</v>
      </c>
      <c r="H34" s="10"/>
      <c r="I34">
        <v>0</v>
      </c>
      <c r="J34"/>
    </row>
    <row r="35" spans="1:10" ht="15" customHeight="1" x14ac:dyDescent="0.15">
      <c r="A35" s="266">
        <v>34</v>
      </c>
      <c r="B35" s="266" t="s">
        <v>225</v>
      </c>
      <c r="C35" s="8">
        <v>1</v>
      </c>
      <c r="D35" s="10"/>
      <c r="E35" s="10"/>
      <c r="F35" s="10"/>
      <c r="G35" s="7">
        <v>0.99330747127532959</v>
      </c>
      <c r="H35" s="10"/>
      <c r="I35">
        <v>0</v>
      </c>
      <c r="J35"/>
    </row>
    <row r="36" spans="1:10" ht="15" customHeight="1" x14ac:dyDescent="0.15">
      <c r="A36" s="267">
        <v>35</v>
      </c>
      <c r="B36" s="267" t="s">
        <v>226</v>
      </c>
      <c r="C36" s="8">
        <v>1</v>
      </c>
      <c r="D36" s="10"/>
      <c r="E36" s="10"/>
      <c r="F36" s="10"/>
      <c r="G36" s="7">
        <v>0.99236994981765747</v>
      </c>
      <c r="H36" s="10"/>
      <c r="I36">
        <v>0</v>
      </c>
      <c r="J36"/>
    </row>
    <row r="37" spans="1:10" ht="15" customHeight="1" x14ac:dyDescent="0.15">
      <c r="A37" s="268">
        <v>36</v>
      </c>
      <c r="B37" s="268" t="s">
        <v>227</v>
      </c>
      <c r="C37" s="8">
        <v>1</v>
      </c>
      <c r="D37" s="10"/>
      <c r="E37" s="10"/>
      <c r="F37" s="10"/>
      <c r="G37" s="7">
        <v>1.5627060201950371E-4</v>
      </c>
      <c r="H37" s="10"/>
      <c r="I37">
        <v>0</v>
      </c>
      <c r="J37"/>
    </row>
    <row r="38" spans="1:10" ht="15" customHeight="1" x14ac:dyDescent="0.15">
      <c r="A38" s="269">
        <v>37</v>
      </c>
      <c r="B38" s="269" t="s">
        <v>228</v>
      </c>
      <c r="C38" s="8">
        <v>4.5719032287597656</v>
      </c>
      <c r="D38" s="10"/>
      <c r="E38" s="10"/>
      <c r="F38" s="10"/>
      <c r="G38" s="10"/>
      <c r="H38" s="10"/>
      <c r="I38">
        <v>1.6589999198913574</v>
      </c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234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2.1739005751442164E-4</v>
      </c>
      <c r="D2" s="221">
        <v>1.7902813851833344E-2</v>
      </c>
      <c r="E2"/>
      <c r="F2" s="72">
        <v>1.8797956872731447E-3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1.9999999552965164E-2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1.9999999552965164E-2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5.9999998658895493E-2</v>
      </c>
      <c r="C5">
        <v>3.4293889999389648E-2</v>
      </c>
      <c r="D5" s="222">
        <v>2.2900763899087906E-2</v>
      </c>
      <c r="E5"/>
      <c r="F5" s="27">
        <v>2.8053440619260073E-3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5.9999998658895493E-2</v>
      </c>
      <c r="C6">
        <v>2.4226801469922066E-2</v>
      </c>
      <c r="D6" s="223">
        <v>2.0618557929992676E-2</v>
      </c>
      <c r="E6"/>
      <c r="F6" s="142">
        <v>1.51546411216259E-2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5.9999998658895493E-2</v>
      </c>
      <c r="C7">
        <v>3.8999997079372406E-2</v>
      </c>
      <c r="D7"/>
      <c r="E7"/>
      <c r="F7" s="178">
        <v>2.1000003442168236E-2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0.80000001192092896</v>
      </c>
      <c r="C8">
        <v>0.80000001192092896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0.5</v>
      </c>
      <c r="C9">
        <v>2.5125682353973389E-2</v>
      </c>
      <c r="D9" s="190">
        <v>7.0066668093204498E-2</v>
      </c>
      <c r="E9" s="19">
        <v>8.666645735502243E-3</v>
      </c>
      <c r="F9" s="16">
        <v>7.6440004631876945E-3</v>
      </c>
      <c r="G9"/>
      <c r="H9" s="12">
        <v>2.4278664495795965E-3</v>
      </c>
      <c r="I9" s="25">
        <v>1.5527763403952122E-2</v>
      </c>
      <c r="J9" s="17">
        <v>7.13350810110569E-3</v>
      </c>
      <c r="K9"/>
      <c r="L9"/>
      <c r="M9"/>
      <c r="N9" s="206">
        <v>0.2706400454044342</v>
      </c>
      <c r="O9" s="22">
        <v>3.6796664353460073E-3</v>
      </c>
      <c r="P9" s="18">
        <v>6.2639997340738773E-3</v>
      </c>
      <c r="Q9" s="16">
        <v>7.799999788403511E-3</v>
      </c>
      <c r="R9"/>
      <c r="S9" s="199">
        <v>2.6738669723272324E-2</v>
      </c>
      <c r="T9" s="177">
        <v>3.998875617980957E-2</v>
      </c>
      <c r="U9"/>
      <c r="V9" s="16">
        <v>8.2967309281229973E-3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2.5</v>
      </c>
      <c r="C10">
        <v>1.2999618053436279</v>
      </c>
      <c r="D10"/>
      <c r="E10" s="63">
        <v>5.1902987062931061E-2</v>
      </c>
      <c r="F10" s="22">
        <v>2.0346023142337799E-2</v>
      </c>
      <c r="G10"/>
      <c r="H10" s="12">
        <v>9.6933720633387566E-3</v>
      </c>
      <c r="I10" s="63">
        <v>5.166277289390564E-2</v>
      </c>
      <c r="J10" s="17">
        <v>3.3506903797388077E-2</v>
      </c>
      <c r="K10" s="198">
        <v>5.7891935110092163E-2</v>
      </c>
      <c r="L10" s="177">
        <v>0.19962736964225769</v>
      </c>
      <c r="M10"/>
      <c r="N10" s="205">
        <v>0.55986696481704712</v>
      </c>
      <c r="O10" s="23">
        <v>1.3144796714186668E-2</v>
      </c>
      <c r="P10"/>
      <c r="Q10" s="14">
        <v>6.2283738516271114E-3</v>
      </c>
      <c r="R10" s="16">
        <v>3.7976674735546112E-2</v>
      </c>
      <c r="S10" s="198">
        <v>5.7705622166395187E-2</v>
      </c>
      <c r="T10" s="180">
        <v>8.2668252289295197E-2</v>
      </c>
      <c r="U10"/>
      <c r="V10" s="14">
        <v>6.6370856948196888E-3</v>
      </c>
      <c r="W10"/>
      <c r="X10"/>
      <c r="Y10"/>
      <c r="Z10"/>
      <c r="AA10"/>
      <c r="AB10"/>
      <c r="AC10"/>
      <c r="AD10"/>
      <c r="AE10"/>
      <c r="AF10"/>
      <c r="AG10"/>
      <c r="AH10" s="12">
        <v>1.1179132387042046E-2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0.52100002765655518</v>
      </c>
      <c r="C11">
        <v>0.33648192882537842</v>
      </c>
      <c r="D11" s="224">
        <v>7.0913083851337433E-2</v>
      </c>
      <c r="E11" s="184">
        <v>2.0395306870341301E-2</v>
      </c>
      <c r="F11" s="191">
        <v>2.3984940722584724E-2</v>
      </c>
      <c r="G11"/>
      <c r="H11" s="63">
        <v>1.1427046731114388E-2</v>
      </c>
      <c r="I11" s="184">
        <v>2.0300911739468575E-2</v>
      </c>
      <c r="J11" s="18">
        <v>5.9249503538012505E-3</v>
      </c>
      <c r="K11"/>
      <c r="L11"/>
      <c r="M11"/>
      <c r="N11"/>
      <c r="O11" s="15">
        <v>5.469092633575201E-3</v>
      </c>
      <c r="P11"/>
      <c r="Q11"/>
      <c r="R11"/>
      <c r="S11" s="63">
        <v>1.1224349960684776E-2</v>
      </c>
      <c r="T11" s="138">
        <v>1.4878411777317524E-2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0.25</v>
      </c>
      <c r="C12">
        <v>3.0465424060821533E-3</v>
      </c>
      <c r="D12" s="225">
        <v>0.12048193067312241</v>
      </c>
      <c r="E12"/>
      <c r="F12" s="182">
        <v>8.8554225862026215E-2</v>
      </c>
      <c r="G12"/>
      <c r="H12"/>
      <c r="I12"/>
      <c r="J12" s="174">
        <v>3.7917301058769226E-2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0.20000000298023224</v>
      </c>
      <c r="C13">
        <v>1.0689652524888515E-2</v>
      </c>
      <c r="D13" s="226">
        <v>0.17241379618644714</v>
      </c>
      <c r="E13"/>
      <c r="F13"/>
      <c r="G13" s="179">
        <v>1.6896553337574005E-2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0.31999999284744263</v>
      </c>
      <c r="C14">
        <v>3.5343531519174576E-2</v>
      </c>
      <c r="D14" s="227">
        <v>0.13461539149284363</v>
      </c>
      <c r="E14"/>
      <c r="F14" s="75">
        <v>7.0673078298568726E-2</v>
      </c>
      <c r="G14" s="65">
        <v>1.884615421295166E-2</v>
      </c>
      <c r="H14"/>
      <c r="I14"/>
      <c r="J14" s="181">
        <v>6.0521841049194336E-2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0.28799998760223389</v>
      </c>
      <c r="C15">
        <v>7.4953101575374603E-2</v>
      </c>
      <c r="D15" s="173">
        <v>4.1330646723508835E-2</v>
      </c>
      <c r="E15"/>
      <c r="F15" s="62">
        <v>1.5559476800262928E-2</v>
      </c>
      <c r="G15"/>
      <c r="H15"/>
      <c r="I15"/>
      <c r="J15" s="63">
        <v>6.3259974122047424E-3</v>
      </c>
      <c r="K15"/>
      <c r="L15"/>
      <c r="M15"/>
      <c r="N15" s="193">
        <v>0.10601916164159775</v>
      </c>
      <c r="O15" s="21">
        <v>5.8568543754518032E-3</v>
      </c>
      <c r="P15" s="22">
        <v>2.1048386115580797E-3</v>
      </c>
      <c r="Q15"/>
      <c r="R15"/>
      <c r="S15"/>
      <c r="T15" s="104">
        <v>3.5849925130605698E-2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0.40000000596046448</v>
      </c>
      <c r="C16">
        <v>0.24870848655700684</v>
      </c>
      <c r="D16" s="228">
        <v>0.15129151940345764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0.40000000596046448</v>
      </c>
      <c r="C17">
        <v>2.2210288792848587E-2</v>
      </c>
      <c r="D17" s="213">
        <v>0.10339734703302383</v>
      </c>
      <c r="E17"/>
      <c r="F17"/>
      <c r="G17"/>
      <c r="H17"/>
      <c r="I17"/>
      <c r="J17" s="27">
        <v>1.8594598397612572E-2</v>
      </c>
      <c r="K17"/>
      <c r="L17"/>
      <c r="M17"/>
      <c r="N17" s="196">
        <v>0.23302288353443146</v>
      </c>
      <c r="O17" s="23">
        <v>2.1454948000609875E-3</v>
      </c>
      <c r="P17" s="22">
        <v>3.0841948464512825E-3</v>
      </c>
      <c r="Q17"/>
      <c r="R17"/>
      <c r="S17"/>
      <c r="T17" s="20">
        <v>1.7545176669955254E-2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0.30000001192092896</v>
      </c>
      <c r="C18">
        <v>9.7559705376625061E-2</v>
      </c>
      <c r="D18" s="175">
        <v>3.5467129200696945E-2</v>
      </c>
      <c r="E18"/>
      <c r="F18" s="23">
        <v>1.9074396695941687E-3</v>
      </c>
      <c r="G18" s="68">
        <v>1.52595154941082E-2</v>
      </c>
      <c r="H18"/>
      <c r="I18"/>
      <c r="J18"/>
      <c r="K18"/>
      <c r="L18"/>
      <c r="M18"/>
      <c r="N18"/>
      <c r="O18"/>
      <c r="P18" s="23">
        <v>1.8062281887978315E-3</v>
      </c>
      <c r="Q18"/>
      <c r="R18"/>
      <c r="S18"/>
      <c r="T18"/>
      <c r="U18" s="197">
        <v>0.14799998700618744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0.30000001192092896</v>
      </c>
      <c r="C19">
        <v>3.5804631188511848E-3</v>
      </c>
      <c r="D19" s="229">
        <v>4.3333336710929871E-2</v>
      </c>
      <c r="E19"/>
      <c r="F19"/>
      <c r="G19"/>
      <c r="H19"/>
      <c r="I19"/>
      <c r="J19"/>
      <c r="K19"/>
      <c r="L19"/>
      <c r="M19"/>
      <c r="N19" s="195">
        <v>0.11685667932033539</v>
      </c>
      <c r="O19" s="23">
        <v>1.6138887731358409E-3</v>
      </c>
      <c r="P19" s="184">
        <v>1.1599999852478504E-2</v>
      </c>
      <c r="Q19"/>
      <c r="R19" s="140">
        <v>7.5491197407245636E-2</v>
      </c>
      <c r="S19"/>
      <c r="T19"/>
      <c r="U19" s="185">
        <v>4.7524444758892059E-2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0.4816184937953949</v>
      </c>
      <c r="D20"/>
      <c r="E20"/>
      <c r="F20"/>
      <c r="G20"/>
      <c r="H20" s="62">
        <v>4.3877109885215759E-2</v>
      </c>
      <c r="I20"/>
      <c r="J20" s="72">
        <v>7.560710608959198E-2</v>
      </c>
      <c r="K20"/>
      <c r="L20"/>
      <c r="M20"/>
      <c r="N20" s="185">
        <v>0.12671206891536713</v>
      </c>
      <c r="O20" s="63">
        <v>1.7500000074505806E-2</v>
      </c>
      <c r="P20"/>
      <c r="Q20"/>
      <c r="R20"/>
      <c r="S20" s="180">
        <v>2.6120487600564957E-2</v>
      </c>
      <c r="T20" s="26">
        <v>2.8564760461449623E-2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0.80000001192092896</v>
      </c>
      <c r="C21">
        <v>0.10301337391138077</v>
      </c>
      <c r="D21" s="138">
        <v>2.4096386507153511E-2</v>
      </c>
      <c r="E21"/>
      <c r="F21"/>
      <c r="G21"/>
      <c r="H21" s="67">
        <v>7.3128513991832733E-2</v>
      </c>
      <c r="I21"/>
      <c r="J21"/>
      <c r="K21"/>
      <c r="L21"/>
      <c r="M21"/>
      <c r="N21" s="194">
        <v>0.42237353324890137</v>
      </c>
      <c r="O21" s="22">
        <v>5.8333328925073147E-3</v>
      </c>
      <c r="P21"/>
      <c r="Q21"/>
      <c r="R21" s="187">
        <v>5.4571952670812607E-2</v>
      </c>
      <c r="S21" s="24">
        <v>2.1767070516943932E-2</v>
      </c>
      <c r="T21" s="135">
        <v>9.5215864479541779E-2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0.60000002384185791</v>
      </c>
      <c r="C22">
        <v>0.10390324145555496</v>
      </c>
      <c r="D22" s="230">
        <v>6.7226894199848175E-2</v>
      </c>
      <c r="E22"/>
      <c r="F22" s="176">
        <v>6.1764709651470184E-2</v>
      </c>
      <c r="G22"/>
      <c r="H22" s="143">
        <v>0.15301679074764252</v>
      </c>
      <c r="I22"/>
      <c r="J22" s="186">
        <v>0.10578607022762299</v>
      </c>
      <c r="K22"/>
      <c r="L22"/>
      <c r="M22"/>
      <c r="N22" s="172">
        <v>8.837900310754776E-2</v>
      </c>
      <c r="O22"/>
      <c r="P22"/>
      <c r="Q22"/>
      <c r="R22"/>
      <c r="S22"/>
      <c r="T22" s="180">
        <v>1.9923320040106773E-2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2.0399999618530273</v>
      </c>
      <c r="C23">
        <v>0.20399992167949677</v>
      </c>
      <c r="D23" s="11">
        <v>9.4977900153025985E-4</v>
      </c>
      <c r="E23" s="180">
        <v>6.9452419877052307E-2</v>
      </c>
      <c r="F23"/>
      <c r="G23"/>
      <c r="H23" s="179">
        <v>0.17294524610042572</v>
      </c>
      <c r="I23"/>
      <c r="J23"/>
      <c r="K23"/>
      <c r="L23" s="201">
        <v>0.35616710782051086</v>
      </c>
      <c r="M23"/>
      <c r="N23" s="200">
        <v>0.24972303211688995</v>
      </c>
      <c r="O23" s="14">
        <v>2.0693305414170027E-3</v>
      </c>
      <c r="P23" s="12">
        <v>6.9409841671586037E-3</v>
      </c>
      <c r="Q23" s="22">
        <v>1.6668621450662613E-2</v>
      </c>
      <c r="R23" s="202">
        <v>0.46784216165542603</v>
      </c>
      <c r="S23" s="23">
        <v>1.0295604355633259E-2</v>
      </c>
      <c r="T23" s="191">
        <v>9.1423377394676208E-2</v>
      </c>
      <c r="U23" s="21">
        <v>4.0623944252729416E-2</v>
      </c>
      <c r="V23" s="64">
        <v>8.2783691585063934E-2</v>
      </c>
      <c r="W23" s="15">
        <v>1.970791257917881E-2</v>
      </c>
      <c r="X23" s="138">
        <v>5.912373960018158E-2</v>
      </c>
      <c r="Y23" s="23">
        <v>1.3732379302382469E-2</v>
      </c>
      <c r="Z23"/>
      <c r="AA23"/>
      <c r="AB23"/>
      <c r="AC23"/>
      <c r="AD23" s="177">
        <v>0.16369724273681641</v>
      </c>
      <c r="AE23" s="23">
        <v>1.1853241361677647E-2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1.159000039100647</v>
      </c>
      <c r="C24">
        <v>0.87503707408905029</v>
      </c>
      <c r="D24" s="11">
        <v>3.4794109524227679E-5</v>
      </c>
      <c r="E24"/>
      <c r="F24"/>
      <c r="G24"/>
      <c r="H24" s="22">
        <v>1.01053761318326E-2</v>
      </c>
      <c r="I24"/>
      <c r="J24"/>
      <c r="K24"/>
      <c r="L24"/>
      <c r="M24"/>
      <c r="N24" s="15">
        <v>1.1526893824338913E-2</v>
      </c>
      <c r="O24"/>
      <c r="P24"/>
      <c r="Q24"/>
      <c r="R24" s="12">
        <v>4.1369725950062275E-3</v>
      </c>
      <c r="S24" s="11">
        <v>5.6575215421617031E-4</v>
      </c>
      <c r="T24" s="12">
        <v>4.3514780700206757E-3</v>
      </c>
      <c r="U24" s="12">
        <v>3.7205338012427092E-3</v>
      </c>
      <c r="V24" s="14">
        <v>1.9481776980683208E-3</v>
      </c>
      <c r="W24" s="14">
        <v>1.1912632035091519E-3</v>
      </c>
      <c r="X24" s="12">
        <v>3.5737897269427776E-3</v>
      </c>
      <c r="Y24" s="11">
        <v>1.0620380053296685E-3</v>
      </c>
      <c r="Z24"/>
      <c r="AA24" s="212">
        <v>0.23861177265644073</v>
      </c>
      <c r="AB24"/>
      <c r="AC24"/>
      <c r="AD24" s="14">
        <v>2.9984342399984598E-3</v>
      </c>
      <c r="AE24" s="11">
        <v>1.3569701695814729E-4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1.9700000286102295</v>
      </c>
      <c r="C25">
        <v>1.4300535917282104</v>
      </c>
      <c r="D25"/>
      <c r="E25"/>
      <c r="F25"/>
      <c r="G25"/>
      <c r="H25" s="23">
        <v>1.2604191899299622E-2</v>
      </c>
      <c r="I25"/>
      <c r="J25"/>
      <c r="K25" s="11">
        <v>2.0765869703609496E-4</v>
      </c>
      <c r="L25"/>
      <c r="M25"/>
      <c r="N25" s="12">
        <v>6.2757693231105804E-3</v>
      </c>
      <c r="O25"/>
      <c r="P25"/>
      <c r="Q25"/>
      <c r="R25" s="17">
        <v>2.8866207227110863E-2</v>
      </c>
      <c r="S25" s="11">
        <v>8.624600013718009E-5</v>
      </c>
      <c r="T25" s="14">
        <v>2.659729216247797E-3</v>
      </c>
      <c r="U25" s="12">
        <v>6.8061137571930885E-3</v>
      </c>
      <c r="V25" s="11">
        <v>1.3869535177946091E-3</v>
      </c>
      <c r="W25" s="11">
        <v>1.2216856703162193E-3</v>
      </c>
      <c r="X25" s="14">
        <v>3.665057010948658E-3</v>
      </c>
      <c r="Y25" s="11">
        <v>8.435957133769989E-4</v>
      </c>
      <c r="Z25" s="19">
        <v>3.4178048372268677E-2</v>
      </c>
      <c r="AA25" s="205">
        <v>0.44114521145820618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</v>
      </c>
      <c r="C26">
        <v>1.3775229454040527E-2</v>
      </c>
      <c r="D26"/>
      <c r="E26"/>
      <c r="F26"/>
      <c r="G26"/>
      <c r="H26" s="15">
        <v>2.6366926729679108E-2</v>
      </c>
      <c r="I26"/>
      <c r="J26"/>
      <c r="K26"/>
      <c r="L26"/>
      <c r="M26"/>
      <c r="N26" s="18">
        <v>3.0457865446805954E-2</v>
      </c>
      <c r="O26"/>
      <c r="P26"/>
      <c r="Q26"/>
      <c r="R26" s="18">
        <v>2.9022462666034698E-2</v>
      </c>
      <c r="S26"/>
      <c r="T26" s="12">
        <v>8.5998289287090302E-3</v>
      </c>
      <c r="U26" s="23">
        <v>1.548363734036684E-2</v>
      </c>
      <c r="V26"/>
      <c r="W26" s="14">
        <v>3.0046335887163877E-3</v>
      </c>
      <c r="X26" s="12">
        <v>9.0139005333185196E-3</v>
      </c>
      <c r="Y26" s="11">
        <v>2.326238201931119E-3</v>
      </c>
      <c r="Z26" s="66">
        <v>0.15550738573074341</v>
      </c>
      <c r="AA26" s="180">
        <v>8.4512658417224884E-2</v>
      </c>
      <c r="AB26"/>
      <c r="AC26" s="24">
        <v>6.9999992847442627E-2</v>
      </c>
      <c r="AD26" s="204">
        <v>0.12478497624397278</v>
      </c>
      <c r="AE26" s="14">
        <v>4.2919199913740158E-3</v>
      </c>
      <c r="AF26" s="207">
        <v>0.41584402322769165</v>
      </c>
      <c r="AG26" s="211">
        <v>1.50700843334198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0.69999998807907104</v>
      </c>
      <c r="C27">
        <v>0.12402436882257462</v>
      </c>
      <c r="D27" s="231">
        <v>6.988564133644104E-2</v>
      </c>
      <c r="E27" s="175">
        <v>8.2591921091079712E-2</v>
      </c>
      <c r="F27" s="190">
        <v>9.7128346562385559E-2</v>
      </c>
      <c r="G27"/>
      <c r="H27"/>
      <c r="I27" s="192">
        <v>0.11509353667497635</v>
      </c>
      <c r="J27" s="183">
        <v>3.9989020675420761E-2</v>
      </c>
      <c r="K27" s="66">
        <v>4.4218547642230988E-2</v>
      </c>
      <c r="L27"/>
      <c r="M27"/>
      <c r="N27" s="189">
        <v>6.6817671060562134E-2</v>
      </c>
      <c r="O27"/>
      <c r="P27"/>
      <c r="Q27"/>
      <c r="R27"/>
      <c r="S27"/>
      <c r="T27" s="188">
        <v>6.0250952839851379E-2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</v>
      </c>
      <c r="C28">
        <v>2.4369468688964844</v>
      </c>
      <c r="D28" s="232">
        <v>0.30769228935241699</v>
      </c>
      <c r="E28"/>
      <c r="F28" s="183">
        <v>0.22615386545658112</v>
      </c>
      <c r="G28"/>
      <c r="H28"/>
      <c r="I28" s="74">
        <v>0.56404268741607666</v>
      </c>
      <c r="J28" s="139">
        <v>0.24208739399909973</v>
      </c>
      <c r="K28" s="62">
        <v>0.22307689487934113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3.2000000476837158</v>
      </c>
      <c r="C29">
        <v>0.28510496020317078</v>
      </c>
      <c r="D29" s="14">
        <v>4.1407868266105652E-3</v>
      </c>
      <c r="E29" s="63">
        <v>6.7287623882293701E-2</v>
      </c>
      <c r="F29" s="18">
        <v>3.9565220475196838E-2</v>
      </c>
      <c r="G29" s="18">
        <v>3.6521736532449722E-2</v>
      </c>
      <c r="H29"/>
      <c r="I29" s="19">
        <v>5.3580962121486664E-2</v>
      </c>
      <c r="J29" s="15">
        <v>3.2579049468040466E-2</v>
      </c>
      <c r="K29" s="14">
        <v>9.0062106028199196E-3</v>
      </c>
      <c r="L29" s="189">
        <v>0.31055900454521179</v>
      </c>
      <c r="M29" s="66">
        <v>0.20224018394947052</v>
      </c>
      <c r="N29" s="21">
        <v>6.5323598682880402E-2</v>
      </c>
      <c r="O29" s="15">
        <v>3.0072461813688278E-2</v>
      </c>
      <c r="P29" s="12">
        <v>1.2968943454325199E-2</v>
      </c>
      <c r="Q29" s="12">
        <v>9.6894418820738792E-3</v>
      </c>
      <c r="R29" s="12">
        <v>1.4066682197153568E-2</v>
      </c>
      <c r="S29" s="17">
        <v>4.4886134564876556E-2</v>
      </c>
      <c r="T29" s="14">
        <v>4.9086436629295349E-3</v>
      </c>
      <c r="U29" s="203">
        <v>0.26566460728645325</v>
      </c>
      <c r="V29" s="183">
        <v>0.18069224059581757</v>
      </c>
      <c r="W29"/>
      <c r="X29"/>
      <c r="Y29"/>
      <c r="Z29"/>
      <c r="AA29"/>
      <c r="AB29"/>
      <c r="AC29"/>
      <c r="AD29"/>
      <c r="AE29" s="12">
        <v>1.2273292057216167E-2</v>
      </c>
      <c r="AF29" s="209">
        <v>1.3188854455947876</v>
      </c>
      <c r="AG29" s="66">
        <v>0.19998253881931305</v>
      </c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0.94999998807907104</v>
      </c>
      <c r="C30">
        <v>9.5000080764293671E-2</v>
      </c>
      <c r="D30" s="11">
        <v>5.1494971557985991E-5</v>
      </c>
      <c r="E30" s="198">
        <v>2.1756570786237717E-2</v>
      </c>
      <c r="F30" s="14">
        <v>1.7788937548175454E-3</v>
      </c>
      <c r="G30"/>
      <c r="H30"/>
      <c r="I30" s="23">
        <v>4.9975104629993439E-3</v>
      </c>
      <c r="J30" s="11">
        <v>3.2315097632817924E-4</v>
      </c>
      <c r="K30" s="15">
        <v>8.512117899954319E-3</v>
      </c>
      <c r="L30" s="208">
        <v>0.30896982550621033</v>
      </c>
      <c r="M30"/>
      <c r="N30" s="18">
        <v>1.1373133398592472E-2</v>
      </c>
      <c r="O30" s="11">
        <v>3.7398221320472658E-4</v>
      </c>
      <c r="P30" s="14">
        <v>1.0752149391919374E-3</v>
      </c>
      <c r="Q30"/>
      <c r="R30" s="14">
        <v>2.0992052741348743E-3</v>
      </c>
      <c r="S30" s="23">
        <v>5.582055076956749E-3</v>
      </c>
      <c r="T30" s="11">
        <v>6.116615841165185E-4</v>
      </c>
      <c r="U30" s="13">
        <v>3.5240683704614639E-2</v>
      </c>
      <c r="V30" s="21">
        <v>1.9260816276073456E-2</v>
      </c>
      <c r="W30"/>
      <c r="X30"/>
      <c r="Y30"/>
      <c r="Z30"/>
      <c r="AA30"/>
      <c r="AB30"/>
      <c r="AC30"/>
      <c r="AD30" s="21">
        <v>1.7750624567270279E-2</v>
      </c>
      <c r="AE30" s="12">
        <v>3.855943214148283E-3</v>
      </c>
      <c r="AF30" s="210">
        <v>0.41138705611228943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1.5</v>
      </c>
      <c r="C31">
        <v>1.4753003120422363</v>
      </c>
      <c r="D31"/>
      <c r="E31"/>
      <c r="F31"/>
      <c r="G31"/>
      <c r="H31"/>
      <c r="I31" s="18">
        <v>1.8485430628061295E-2</v>
      </c>
      <c r="J31"/>
      <c r="K31" s="12">
        <v>6.2142852693796158E-3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4.3990001678466797</v>
      </c>
      <c r="C32">
        <v>1.9706889390945435</v>
      </c>
      <c r="D32"/>
      <c r="E32" s="14">
        <v>8.478943258523941E-3</v>
      </c>
      <c r="F32"/>
      <c r="G32"/>
      <c r="H32" s="11">
        <v>1.5081165474839509E-4</v>
      </c>
      <c r="I32" s="11">
        <v>1.0717079567257315E-4</v>
      </c>
      <c r="J32"/>
      <c r="K32" s="11">
        <v>2.3057807702571154E-3</v>
      </c>
      <c r="L32" s="190">
        <v>0.61495774984359741</v>
      </c>
      <c r="M32" s="27">
        <v>0.20427951216697693</v>
      </c>
      <c r="N32" s="11">
        <v>1.742107211612165E-3</v>
      </c>
      <c r="O32"/>
      <c r="P32"/>
      <c r="Q32" s="11">
        <v>9.6902440418489277E-5</v>
      </c>
      <c r="R32" s="14">
        <v>5.2895108237862587E-3</v>
      </c>
      <c r="S32"/>
      <c r="T32" s="11">
        <v>8.8559271534904838E-4</v>
      </c>
      <c r="U32" s="11">
        <v>4.2509855702519417E-3</v>
      </c>
      <c r="V32" s="11">
        <v>2.4782705586403608E-3</v>
      </c>
      <c r="W32"/>
      <c r="X32"/>
      <c r="Y32"/>
      <c r="Z32"/>
      <c r="AA32"/>
      <c r="AB32"/>
      <c r="AC32"/>
      <c r="AD32" s="15">
        <v>3.9017576724290848E-2</v>
      </c>
      <c r="AE32" s="11">
        <v>2.713268157094717E-3</v>
      </c>
      <c r="AF32" s="184">
        <v>0.17211797833442688</v>
      </c>
      <c r="AG32" s="204">
        <v>0.21690040826797485</v>
      </c>
      <c r="AH32" s="14">
        <v>1.0435647331178188E-2</v>
      </c>
      <c r="AI32" s="213">
        <v>1.1421030759811401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9.5</v>
      </c>
      <c r="C33">
        <v>0.2445710301399231</v>
      </c>
      <c r="D33"/>
      <c r="E33" s="11">
        <v>7.1562379598617554E-3</v>
      </c>
      <c r="F33"/>
      <c r="G33"/>
      <c r="H33"/>
      <c r="I33"/>
      <c r="J33"/>
      <c r="K33" s="11">
        <v>7.0950901135802269E-4</v>
      </c>
      <c r="L33" s="183">
        <v>0.54436469078063965</v>
      </c>
      <c r="M33" s="21">
        <v>0.17924033105373383</v>
      </c>
      <c r="N33"/>
      <c r="O33"/>
      <c r="P33"/>
      <c r="Q33"/>
      <c r="R33" s="11">
        <v>2.7150232344865799E-3</v>
      </c>
      <c r="S33"/>
      <c r="T33"/>
      <c r="U33"/>
      <c r="V33"/>
      <c r="W33"/>
      <c r="X33"/>
      <c r="Y33"/>
      <c r="Z33" s="14">
        <v>1.7516458407044411E-2</v>
      </c>
      <c r="AA33"/>
      <c r="AB33"/>
      <c r="AC33"/>
      <c r="AD33" s="12">
        <v>3.2797016203403473E-2</v>
      </c>
      <c r="AE33" s="11">
        <v>5.0888926489278674E-4</v>
      </c>
      <c r="AF33" s="15">
        <v>8.686867356300354E-2</v>
      </c>
      <c r="AG33" s="19">
        <v>0.16309356689453125</v>
      </c>
      <c r="AH33" s="14">
        <v>2.0551295951008797E-2</v>
      </c>
      <c r="AI33" s="141">
        <v>6.8899073600769043</v>
      </c>
      <c r="AJ33" s="214">
        <v>1.3100000619888306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234</v>
      </c>
      <c r="C34">
        <v>61.257041931152344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 s="11">
        <v>1.119999960064888E-2</v>
      </c>
      <c r="AI34" s="215">
        <v>22.80836296081543</v>
      </c>
      <c r="AJ34" s="216">
        <v>149.92338562011719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0.99330747127532959</v>
      </c>
      <c r="D35"/>
      <c r="E35"/>
      <c r="F35"/>
      <c r="G35"/>
      <c r="H35"/>
      <c r="I35"/>
      <c r="J35"/>
      <c r="K35"/>
      <c r="L35"/>
      <c r="M35" s="9">
        <v>1.2210251092910767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 s="9">
        <v>0.20999999344348907</v>
      </c>
      <c r="AI35" s="9">
        <v>420.6746826171875</v>
      </c>
      <c r="AJ35" s="9">
        <v>803.16107177734375</v>
      </c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/>
      <c r="C36">
        <v>0.99236994981765747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 s="9">
        <v>4.1499998420476913E-2</v>
      </c>
      <c r="X36" s="9">
        <v>0.12449999898672104</v>
      </c>
      <c r="Y36" s="9">
        <v>3.2130002975463867E-2</v>
      </c>
      <c r="Z36" s="9">
        <v>12.887209892272949</v>
      </c>
      <c r="AA36" s="9">
        <v>500.76687622070312</v>
      </c>
      <c r="AB36" s="9">
        <v>1508.243896484375</v>
      </c>
      <c r="AC36" s="9">
        <v>192.40116882324219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/>
      <c r="C37">
        <v>1.5627060201950371E-4</v>
      </c>
      <c r="D37"/>
      <c r="E37"/>
      <c r="F37" s="9">
        <v>0.11686500161886215</v>
      </c>
      <c r="G37"/>
      <c r="H37"/>
      <c r="I37" s="9">
        <v>0.2950274646282196</v>
      </c>
      <c r="J37" s="9">
        <v>0.12966200709342957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63" t="s">
        <v>192</v>
      </c>
      <c r="E5">
        <v>4</v>
      </c>
      <c r="F5">
        <v>3.16</v>
      </c>
      <c r="G5">
        <v>4</v>
      </c>
      <c r="H5" s="164" t="s">
        <v>192</v>
      </c>
      <c r="J5" s="55"/>
      <c r="K5" s="56"/>
    </row>
    <row r="6" spans="1:12" ht="14" thickBot="1" x14ac:dyDescent="0.2">
      <c r="A6" s="39" t="s">
        <v>121</v>
      </c>
      <c r="D6" s="163" t="s">
        <v>193</v>
      </c>
      <c r="E6">
        <v>5</v>
      </c>
      <c r="F6">
        <v>3.16</v>
      </c>
      <c r="G6">
        <v>5</v>
      </c>
      <c r="H6" s="164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63" t="s">
        <v>194</v>
      </c>
      <c r="E7">
        <v>6</v>
      </c>
      <c r="F7">
        <v>3.16</v>
      </c>
      <c r="G7">
        <v>6</v>
      </c>
      <c r="H7" s="164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63" t="s">
        <v>195</v>
      </c>
      <c r="E8">
        <v>7</v>
      </c>
      <c r="F8">
        <v>3.16</v>
      </c>
      <c r="G8">
        <v>7</v>
      </c>
      <c r="H8" s="164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63" t="s">
        <v>196</v>
      </c>
      <c r="E9">
        <v>8</v>
      </c>
      <c r="F9">
        <v>3.16</v>
      </c>
      <c r="G9">
        <v>8</v>
      </c>
      <c r="H9" s="164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63" t="s">
        <v>197</v>
      </c>
      <c r="E10">
        <v>9</v>
      </c>
      <c r="F10">
        <v>3.16</v>
      </c>
      <c r="G10">
        <v>9</v>
      </c>
      <c r="H10" s="164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63" t="s">
        <v>198</v>
      </c>
      <c r="E11">
        <v>10</v>
      </c>
      <c r="F11">
        <v>3.16</v>
      </c>
      <c r="G11">
        <v>10</v>
      </c>
      <c r="H11" s="164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63" t="s">
        <v>199</v>
      </c>
      <c r="E12">
        <v>11</v>
      </c>
      <c r="F12">
        <v>3.24</v>
      </c>
      <c r="G12">
        <v>11</v>
      </c>
      <c r="H12" s="164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63" t="s">
        <v>200</v>
      </c>
      <c r="E13">
        <v>12</v>
      </c>
      <c r="F13">
        <v>3.24</v>
      </c>
      <c r="G13">
        <v>12</v>
      </c>
      <c r="H13" s="164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63" t="s">
        <v>201</v>
      </c>
      <c r="E14">
        <v>13</v>
      </c>
      <c r="F14">
        <v>3.24</v>
      </c>
      <c r="G14">
        <v>13</v>
      </c>
      <c r="H14" s="164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63" t="s">
        <v>202</v>
      </c>
      <c r="E15">
        <v>14</v>
      </c>
      <c r="F15">
        <v>3.24</v>
      </c>
      <c r="G15">
        <v>14</v>
      </c>
      <c r="H15" s="164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63" t="s">
        <v>203</v>
      </c>
      <c r="E16">
        <v>15</v>
      </c>
      <c r="F16">
        <v>3.24</v>
      </c>
      <c r="G16">
        <v>15</v>
      </c>
      <c r="H16" s="164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63" t="s">
        <v>204</v>
      </c>
      <c r="E17">
        <v>16</v>
      </c>
      <c r="F17">
        <v>3.14</v>
      </c>
      <c r="G17">
        <v>16</v>
      </c>
      <c r="H17" s="164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63" t="s">
        <v>205</v>
      </c>
      <c r="E18">
        <v>17</v>
      </c>
      <c r="F18">
        <v>3.24</v>
      </c>
      <c r="G18">
        <v>17</v>
      </c>
      <c r="H18" s="164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63" t="s">
        <v>206</v>
      </c>
      <c r="E19">
        <v>18</v>
      </c>
      <c r="F19">
        <v>3.24</v>
      </c>
      <c r="G19">
        <v>18</v>
      </c>
      <c r="H19" s="164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63" t="s">
        <v>207</v>
      </c>
      <c r="E20">
        <v>19</v>
      </c>
      <c r="F20">
        <v>3.04</v>
      </c>
      <c r="G20">
        <v>19</v>
      </c>
      <c r="H20" s="164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63" t="s">
        <v>208</v>
      </c>
      <c r="E21">
        <v>20</v>
      </c>
      <c r="F21">
        <v>3.24</v>
      </c>
      <c r="G21">
        <v>20</v>
      </c>
      <c r="H21" s="164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63" t="s">
        <v>209</v>
      </c>
      <c r="E22">
        <v>21</v>
      </c>
      <c r="F22">
        <v>3.24</v>
      </c>
      <c r="G22">
        <v>21</v>
      </c>
      <c r="H22" s="164" t="s">
        <v>209</v>
      </c>
    </row>
    <row r="23" spans="1:12" x14ac:dyDescent="0.15">
      <c r="A23" s="34" t="s">
        <v>129</v>
      </c>
      <c r="B23" s="42">
        <v>4</v>
      </c>
      <c r="C23" s="36"/>
      <c r="D23" s="163" t="s">
        <v>210</v>
      </c>
      <c r="E23">
        <v>22</v>
      </c>
      <c r="F23">
        <v>3.21</v>
      </c>
      <c r="G23">
        <v>22</v>
      </c>
      <c r="H23" s="164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63" t="s">
        <v>211</v>
      </c>
      <c r="E24">
        <v>23</v>
      </c>
      <c r="F24">
        <v>3.21</v>
      </c>
      <c r="G24">
        <v>23</v>
      </c>
      <c r="H24" s="164" t="s">
        <v>211</v>
      </c>
    </row>
    <row r="25" spans="1:12" x14ac:dyDescent="0.15">
      <c r="A25" s="34" t="s">
        <v>70</v>
      </c>
      <c r="B25" s="42">
        <v>4.2</v>
      </c>
      <c r="C25" s="36"/>
      <c r="D25" s="163" t="s">
        <v>212</v>
      </c>
      <c r="E25">
        <v>24</v>
      </c>
      <c r="F25">
        <v>3.21</v>
      </c>
      <c r="G25">
        <v>24</v>
      </c>
      <c r="H25" s="164" t="s">
        <v>212</v>
      </c>
    </row>
    <row r="26" spans="1:12" x14ac:dyDescent="0.15">
      <c r="A26" s="34" t="s">
        <v>123</v>
      </c>
      <c r="B26" s="42">
        <v>4.3</v>
      </c>
      <c r="C26" s="36"/>
      <c r="D26" s="163" t="s">
        <v>213</v>
      </c>
      <c r="E26">
        <v>25</v>
      </c>
      <c r="F26">
        <v>3.02</v>
      </c>
      <c r="G26">
        <v>25</v>
      </c>
      <c r="H26" s="164" t="s">
        <v>213</v>
      </c>
    </row>
    <row r="27" spans="1:12" x14ac:dyDescent="0.15">
      <c r="A27" s="34" t="s">
        <v>125</v>
      </c>
      <c r="B27" s="42">
        <v>6.1</v>
      </c>
      <c r="D27" s="163" t="s">
        <v>214</v>
      </c>
      <c r="E27">
        <v>26</v>
      </c>
      <c r="F27">
        <v>3.21</v>
      </c>
      <c r="G27">
        <v>26</v>
      </c>
      <c r="H27" s="164" t="s">
        <v>214</v>
      </c>
    </row>
    <row r="28" spans="1:12" x14ac:dyDescent="0.15">
      <c r="A28" s="34" t="s">
        <v>124</v>
      </c>
      <c r="B28" s="42">
        <v>6.2</v>
      </c>
      <c r="D28" s="163" t="s">
        <v>215</v>
      </c>
      <c r="E28">
        <v>27</v>
      </c>
      <c r="F28">
        <v>3.21</v>
      </c>
      <c r="G28">
        <v>27</v>
      </c>
      <c r="H28" s="164" t="s">
        <v>215</v>
      </c>
    </row>
    <row r="29" spans="1:12" x14ac:dyDescent="0.15">
      <c r="A29" s="34" t="s">
        <v>44</v>
      </c>
      <c r="B29" s="42">
        <v>5</v>
      </c>
      <c r="D29" s="163" t="s">
        <v>216</v>
      </c>
      <c r="E29">
        <v>28</v>
      </c>
      <c r="F29">
        <v>3.21</v>
      </c>
      <c r="G29">
        <v>28</v>
      </c>
      <c r="H29" s="164" t="s">
        <v>216</v>
      </c>
    </row>
    <row r="30" spans="1:12" x14ac:dyDescent="0.15">
      <c r="A30" s="34" t="s">
        <v>73</v>
      </c>
      <c r="B30" s="42">
        <v>7</v>
      </c>
      <c r="D30" s="163" t="s">
        <v>217</v>
      </c>
      <c r="E30">
        <v>29</v>
      </c>
      <c r="F30">
        <v>3.14</v>
      </c>
      <c r="G30">
        <v>29</v>
      </c>
      <c r="H30" s="164" t="s">
        <v>217</v>
      </c>
    </row>
    <row r="31" spans="1:12" x14ac:dyDescent="0.15">
      <c r="A31" s="34" t="s">
        <v>169</v>
      </c>
      <c r="B31" s="42">
        <v>3.14</v>
      </c>
      <c r="D31" s="163" t="s">
        <v>218</v>
      </c>
      <c r="E31">
        <v>30</v>
      </c>
      <c r="F31">
        <v>3.14</v>
      </c>
      <c r="G31">
        <v>30</v>
      </c>
      <c r="H31" s="164" t="s">
        <v>218</v>
      </c>
    </row>
    <row r="32" spans="1:12" ht="12" customHeight="1" thickBot="1" x14ac:dyDescent="0.2">
      <c r="A32" s="40" t="s">
        <v>170</v>
      </c>
      <c r="B32" s="43">
        <v>9</v>
      </c>
      <c r="D32" s="163" t="s">
        <v>219</v>
      </c>
      <c r="E32">
        <v>31</v>
      </c>
      <c r="F32">
        <v>3.13</v>
      </c>
      <c r="G32">
        <v>31</v>
      </c>
      <c r="H32" s="164" t="s">
        <v>219</v>
      </c>
    </row>
    <row r="33" spans="4:8" customFormat="1" ht="12" customHeight="1" x14ac:dyDescent="0.15">
      <c r="D33" s="163" t="s">
        <v>220</v>
      </c>
      <c r="E33">
        <v>32</v>
      </c>
      <c r="F33">
        <v>3.14</v>
      </c>
      <c r="G33">
        <v>32</v>
      </c>
      <c r="H33" s="164" t="s">
        <v>220</v>
      </c>
    </row>
    <row r="34" spans="4:8" customFormat="1" ht="12" customHeight="1" x14ac:dyDescent="0.15">
      <c r="D34" s="163" t="s">
        <v>221</v>
      </c>
      <c r="E34">
        <v>33</v>
      </c>
      <c r="F34">
        <v>3.11</v>
      </c>
      <c r="G34">
        <v>33</v>
      </c>
      <c r="H34" s="164" t="s">
        <v>221</v>
      </c>
    </row>
    <row r="35" spans="4:8" customFormat="1" x14ac:dyDescent="0.15">
      <c r="D35" s="163" t="s">
        <v>222</v>
      </c>
      <c r="E35">
        <v>34</v>
      </c>
      <c r="F35">
        <v>3.11</v>
      </c>
      <c r="G35">
        <v>34</v>
      </c>
      <c r="H35" s="164" t="s">
        <v>222</v>
      </c>
    </row>
    <row r="36" spans="4:8" customFormat="1" x14ac:dyDescent="0.15">
      <c r="D36" s="163" t="s">
        <v>223</v>
      </c>
      <c r="E36">
        <v>35</v>
      </c>
      <c r="F36">
        <v>3.11</v>
      </c>
      <c r="G36">
        <v>35</v>
      </c>
      <c r="H36" s="164" t="s">
        <v>223</v>
      </c>
    </row>
    <row r="37" spans="4:8" customFormat="1" ht="12" customHeight="1" x14ac:dyDescent="0.15">
      <c r="D37" s="163" t="s">
        <v>224</v>
      </c>
      <c r="E37">
        <v>36</v>
      </c>
      <c r="F37">
        <v>2.1</v>
      </c>
      <c r="G37">
        <v>36</v>
      </c>
      <c r="H37" s="164" t="s">
        <v>224</v>
      </c>
    </row>
    <row r="38" spans="4:8" customFormat="1" x14ac:dyDescent="0.15">
      <c r="D38" s="163" t="s">
        <v>225</v>
      </c>
      <c r="E38">
        <v>37</v>
      </c>
      <c r="F38">
        <v>4.0999999999999996</v>
      </c>
      <c r="G38">
        <v>37</v>
      </c>
      <c r="H38" s="164" t="s">
        <v>225</v>
      </c>
    </row>
    <row r="39" spans="4:8" customFormat="1" x14ac:dyDescent="0.15">
      <c r="D39" s="163" t="s">
        <v>226</v>
      </c>
      <c r="E39">
        <v>38</v>
      </c>
      <c r="F39">
        <v>4.2</v>
      </c>
      <c r="G39">
        <v>38</v>
      </c>
      <c r="H39" s="164" t="s">
        <v>226</v>
      </c>
    </row>
    <row r="40" spans="4:8" customFormat="1" x14ac:dyDescent="0.15">
      <c r="D40" s="163" t="s">
        <v>227</v>
      </c>
      <c r="E40">
        <v>39</v>
      </c>
      <c r="F40">
        <v>4.3</v>
      </c>
      <c r="G40">
        <v>39</v>
      </c>
      <c r="H40" s="164" t="s">
        <v>227</v>
      </c>
    </row>
    <row r="41" spans="4:8" customFormat="1" x14ac:dyDescent="0.15">
      <c r="D41" s="163" t="s">
        <v>228</v>
      </c>
      <c r="E41">
        <v>40</v>
      </c>
      <c r="F41">
        <v>5</v>
      </c>
      <c r="G41">
        <v>40</v>
      </c>
      <c r="H41" s="164" t="s">
        <v>228</v>
      </c>
    </row>
    <row r="42" spans="4:8" customFormat="1" x14ac:dyDescent="0.15">
      <c r="D42" s="163" t="s">
        <v>138</v>
      </c>
      <c r="E42">
        <v>41</v>
      </c>
      <c r="F42">
        <v>6.1</v>
      </c>
      <c r="G42">
        <v>41</v>
      </c>
      <c r="H42" s="164" t="s">
        <v>138</v>
      </c>
    </row>
    <row r="43" spans="4:8" customFormat="1" x14ac:dyDescent="0.15">
      <c r="D43" s="163" t="s">
        <v>45</v>
      </c>
      <c r="E43">
        <v>42</v>
      </c>
      <c r="F43">
        <v>6.2</v>
      </c>
      <c r="G43">
        <v>42</v>
      </c>
      <c r="H43" s="164" t="s">
        <v>45</v>
      </c>
    </row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2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1" bestFit="1" customWidth="1"/>
    <col min="2" max="2" width="3.83203125" style="80" customWidth="1"/>
    <col min="3" max="3" width="13.1640625" style="80" customWidth="1"/>
    <col min="4" max="4" width="39.6640625" style="80" customWidth="1"/>
    <col min="5" max="5" width="8.1640625" style="80" customWidth="1"/>
    <col min="6" max="6" width="24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3"/>
      <c r="Q1" s="82" t="s">
        <v>50</v>
      </c>
      <c r="R1" s="69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6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6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65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1</v>
      </c>
      <c r="M6" s="80">
        <v>0</v>
      </c>
      <c r="N6" s="80">
        <v>1</v>
      </c>
      <c r="O6" s="80">
        <v>0</v>
      </c>
      <c r="P6" s="70">
        <v>1</v>
      </c>
      <c r="Q6" s="80">
        <v>0</v>
      </c>
      <c r="R6" s="71">
        <v>1</v>
      </c>
      <c r="S6"/>
      <c r="T6"/>
    </row>
    <row r="7" spans="1:23" ht="15" customHeight="1" thickBot="1" x14ac:dyDescent="0.2">
      <c r="F7" s="165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1</v>
      </c>
      <c r="M7" s="80">
        <v>0</v>
      </c>
      <c r="N7" s="80">
        <v>1</v>
      </c>
      <c r="O7" s="80">
        <v>0</v>
      </c>
      <c r="P7" s="70">
        <v>1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1</v>
      </c>
      <c r="C8" s="166" t="s">
        <v>224</v>
      </c>
      <c r="D8" s="84" t="s">
        <v>160</v>
      </c>
      <c r="F8" s="165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1</v>
      </c>
      <c r="M8" s="80">
        <v>0</v>
      </c>
      <c r="N8" s="80">
        <v>1</v>
      </c>
      <c r="O8" s="80">
        <v>0</v>
      </c>
      <c r="P8" s="70">
        <v>1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0" t="s">
        <v>168</v>
      </c>
      <c r="B9" s="91"/>
      <c r="C9" s="79"/>
      <c r="D9" s="84" t="s">
        <v>160</v>
      </c>
      <c r="F9" s="165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0</v>
      </c>
      <c r="L9" s="80">
        <v>1</v>
      </c>
      <c r="M9" s="80">
        <v>0</v>
      </c>
      <c r="N9" s="80">
        <v>1</v>
      </c>
      <c r="O9" s="80">
        <v>0</v>
      </c>
      <c r="P9" s="70">
        <v>1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65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1</v>
      </c>
      <c r="M10" s="80">
        <v>0</v>
      </c>
      <c r="N10" s="80">
        <v>1</v>
      </c>
      <c r="O10" s="80">
        <v>0</v>
      </c>
      <c r="P10" s="70">
        <v>1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65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0</v>
      </c>
      <c r="L11" s="80">
        <v>1</v>
      </c>
      <c r="M11" s="80">
        <v>0</v>
      </c>
      <c r="N11" s="80">
        <v>1</v>
      </c>
      <c r="O11" s="80">
        <v>0</v>
      </c>
      <c r="P11" s="70">
        <v>1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65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1</v>
      </c>
      <c r="M12" s="80">
        <v>0</v>
      </c>
      <c r="N12" s="80">
        <v>1</v>
      </c>
      <c r="O12" s="80">
        <v>0</v>
      </c>
      <c r="P12" s="70">
        <v>1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65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1</v>
      </c>
      <c r="M13" s="80">
        <v>0</v>
      </c>
      <c r="N13" s="80">
        <v>1</v>
      </c>
      <c r="O13" s="80">
        <v>0</v>
      </c>
      <c r="P13" s="70">
        <v>1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65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1</v>
      </c>
      <c r="M14" s="80">
        <v>0</v>
      </c>
      <c r="N14" s="80">
        <v>1</v>
      </c>
      <c r="O14" s="80">
        <v>0</v>
      </c>
      <c r="P14" s="70">
        <v>1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65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1</v>
      </c>
      <c r="M15" s="80">
        <v>0</v>
      </c>
      <c r="N15" s="80">
        <v>1</v>
      </c>
      <c r="O15" s="80">
        <v>0</v>
      </c>
      <c r="P15" s="70">
        <v>1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65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1</v>
      </c>
      <c r="M16" s="80">
        <v>0</v>
      </c>
      <c r="N16" s="80">
        <v>1</v>
      </c>
      <c r="O16" s="80">
        <v>0</v>
      </c>
      <c r="P16" s="70">
        <v>1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65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0</v>
      </c>
      <c r="L17" s="80">
        <v>1</v>
      </c>
      <c r="M17" s="80">
        <v>0</v>
      </c>
      <c r="N17" s="80">
        <v>1</v>
      </c>
      <c r="O17" s="80">
        <v>0</v>
      </c>
      <c r="P17" s="70">
        <v>1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65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1</v>
      </c>
      <c r="M18" s="80">
        <v>0</v>
      </c>
      <c r="N18" s="80">
        <v>1</v>
      </c>
      <c r="O18" s="80">
        <v>0</v>
      </c>
      <c r="P18" s="70">
        <v>1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1</v>
      </c>
      <c r="C19" s="167" t="s">
        <v>224</v>
      </c>
      <c r="D19" s="84" t="s">
        <v>160</v>
      </c>
      <c r="F19" s="165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0</v>
      </c>
      <c r="L19" s="80">
        <v>1</v>
      </c>
      <c r="M19" s="80">
        <v>0</v>
      </c>
      <c r="N19" s="80">
        <v>1</v>
      </c>
      <c r="O19" s="80">
        <v>0</v>
      </c>
      <c r="P19" s="70">
        <v>1</v>
      </c>
      <c r="Q19" s="80">
        <v>0</v>
      </c>
      <c r="R19" s="71">
        <v>1</v>
      </c>
      <c r="S19"/>
      <c r="T19"/>
    </row>
    <row r="20" spans="1:20" ht="15" customHeight="1" x14ac:dyDescent="0.15">
      <c r="A20" s="120" t="s">
        <v>168</v>
      </c>
      <c r="B20" s="91"/>
      <c r="C20" s="79"/>
      <c r="D20" s="84" t="s">
        <v>160</v>
      </c>
      <c r="F20" s="165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1</v>
      </c>
      <c r="M20" s="80">
        <v>0</v>
      </c>
      <c r="N20" s="80">
        <v>1</v>
      </c>
      <c r="O20" s="80">
        <v>0</v>
      </c>
      <c r="P20" s="70">
        <v>1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65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0</v>
      </c>
      <c r="L21" s="80">
        <v>1</v>
      </c>
      <c r="M21" s="80">
        <v>0</v>
      </c>
      <c r="N21" s="80">
        <v>1</v>
      </c>
      <c r="O21" s="80">
        <v>0</v>
      </c>
      <c r="P21" s="70">
        <v>1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65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1</v>
      </c>
      <c r="M22" s="80">
        <v>0</v>
      </c>
      <c r="N22" s="80">
        <v>1</v>
      </c>
      <c r="O22" s="80">
        <v>0</v>
      </c>
      <c r="P22" s="70">
        <v>1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65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0</v>
      </c>
      <c r="L23" s="80">
        <v>1</v>
      </c>
      <c r="M23" s="80">
        <v>0</v>
      </c>
      <c r="N23" s="80">
        <v>1</v>
      </c>
      <c r="O23" s="80">
        <v>0</v>
      </c>
      <c r="P23" s="70">
        <v>1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65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1</v>
      </c>
      <c r="O24" s="80">
        <v>0</v>
      </c>
      <c r="P24" s="70">
        <v>1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65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0</v>
      </c>
      <c r="L25" s="80">
        <v>1</v>
      </c>
      <c r="M25" s="80">
        <v>0</v>
      </c>
      <c r="N25" s="80">
        <v>1</v>
      </c>
      <c r="O25" s="80">
        <v>0</v>
      </c>
      <c r="P25" s="70">
        <v>1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65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1</v>
      </c>
      <c r="M26" s="80">
        <v>0</v>
      </c>
      <c r="N26" s="80">
        <v>1</v>
      </c>
      <c r="O26" s="80">
        <v>0</v>
      </c>
      <c r="P26" s="70">
        <v>1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65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0</v>
      </c>
      <c r="L27" s="80">
        <v>1</v>
      </c>
      <c r="M27" s="80">
        <v>0</v>
      </c>
      <c r="N27" s="80">
        <v>1</v>
      </c>
      <c r="O27" s="80">
        <v>0</v>
      </c>
      <c r="P27" s="70">
        <v>1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65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0</v>
      </c>
      <c r="L28" s="80">
        <v>1</v>
      </c>
      <c r="M28" s="80">
        <v>0</v>
      </c>
      <c r="N28" s="80">
        <v>1</v>
      </c>
      <c r="O28" s="80">
        <v>0</v>
      </c>
      <c r="P28" s="70">
        <v>1</v>
      </c>
      <c r="Q28" s="80">
        <v>0</v>
      </c>
      <c r="R28" s="71">
        <v>1</v>
      </c>
      <c r="S28"/>
      <c r="T28"/>
    </row>
    <row r="29" spans="1:20" ht="15" customHeight="1" x14ac:dyDescent="0.15">
      <c r="F29" s="165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0</v>
      </c>
      <c r="L29" s="80">
        <v>1</v>
      </c>
      <c r="M29" s="80">
        <v>0</v>
      </c>
      <c r="N29" s="80">
        <v>1</v>
      </c>
      <c r="O29" s="80">
        <v>0</v>
      </c>
      <c r="P29" s="70">
        <v>1</v>
      </c>
      <c r="Q29" s="80">
        <v>0</v>
      </c>
      <c r="R29" s="71">
        <v>1</v>
      </c>
      <c r="S29"/>
      <c r="T29"/>
    </row>
    <row r="30" spans="1:20" ht="15" customHeight="1" x14ac:dyDescent="0.15">
      <c r="F30" s="165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1</v>
      </c>
      <c r="M30" s="80">
        <v>0</v>
      </c>
      <c r="N30" s="80">
        <v>1</v>
      </c>
      <c r="O30" s="80">
        <v>0</v>
      </c>
      <c r="P30" s="70">
        <v>1</v>
      </c>
      <c r="Q30" s="80">
        <v>0</v>
      </c>
      <c r="R30" s="71">
        <v>1</v>
      </c>
      <c r="S30"/>
      <c r="T30"/>
    </row>
    <row r="31" spans="1:20" ht="15" customHeight="1" x14ac:dyDescent="0.15">
      <c r="A31" s="121"/>
      <c r="B31" s="132" t="s">
        <v>17</v>
      </c>
      <c r="C31" s="132" t="s">
        <v>1</v>
      </c>
      <c r="D31" s="132" t="s">
        <v>161</v>
      </c>
      <c r="E31" s="133" t="s">
        <v>163</v>
      </c>
      <c r="F31" s="165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0</v>
      </c>
      <c r="L31" s="80">
        <v>1</v>
      </c>
      <c r="M31" s="80">
        <v>0</v>
      </c>
      <c r="N31" s="80">
        <v>1</v>
      </c>
      <c r="O31" s="80">
        <v>0</v>
      </c>
      <c r="P31" s="70">
        <v>1</v>
      </c>
      <c r="Q31" s="80">
        <v>0</v>
      </c>
      <c r="R31" s="71">
        <v>1</v>
      </c>
      <c r="S31"/>
      <c r="T31"/>
    </row>
    <row r="32" spans="1:20" ht="15" customHeight="1" x14ac:dyDescent="0.15">
      <c r="A32" s="168" t="s">
        <v>224</v>
      </c>
      <c r="B32" s="92">
        <v>15</v>
      </c>
      <c r="C32" s="92">
        <v>234</v>
      </c>
      <c r="D32" s="92">
        <v>3510</v>
      </c>
      <c r="E32" s="123">
        <v>1</v>
      </c>
      <c r="F32" s="165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1</v>
      </c>
      <c r="M32" s="80">
        <v>0</v>
      </c>
      <c r="N32" s="80">
        <v>1</v>
      </c>
      <c r="O32" s="80">
        <v>0</v>
      </c>
      <c r="P32" s="70">
        <v>1</v>
      </c>
      <c r="Q32" s="80">
        <v>0</v>
      </c>
      <c r="R32" s="71">
        <v>1</v>
      </c>
      <c r="S32"/>
      <c r="T32"/>
    </row>
    <row r="33" spans="1:20" ht="15" customHeight="1" x14ac:dyDescent="0.15">
      <c r="A33" s="122"/>
      <c r="B33" s="92"/>
      <c r="C33" s="92"/>
      <c r="D33" s="92"/>
      <c r="E33" s="123"/>
      <c r="F33" s="165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0</v>
      </c>
      <c r="L33" s="80">
        <v>1</v>
      </c>
      <c r="M33" s="80">
        <v>0</v>
      </c>
      <c r="N33" s="80">
        <v>1</v>
      </c>
      <c r="O33" s="80">
        <v>0</v>
      </c>
      <c r="P33" s="70">
        <v>1</v>
      </c>
      <c r="Q33" s="80">
        <v>0</v>
      </c>
      <c r="R33" s="71">
        <v>1</v>
      </c>
      <c r="S33"/>
      <c r="T33"/>
    </row>
    <row r="34" spans="1:20" ht="15" customHeight="1" x14ac:dyDescent="0.15">
      <c r="A34" s="124"/>
      <c r="B34" s="92"/>
      <c r="C34" s="92"/>
      <c r="D34" s="92"/>
      <c r="E34" s="123"/>
      <c r="F34" s="165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1</v>
      </c>
      <c r="M34" s="80">
        <v>0</v>
      </c>
      <c r="N34" s="80">
        <v>1</v>
      </c>
      <c r="O34" s="80">
        <v>0</v>
      </c>
      <c r="P34" s="70">
        <v>1</v>
      </c>
      <c r="Q34" s="80">
        <v>0</v>
      </c>
      <c r="R34" s="71">
        <v>1</v>
      </c>
      <c r="S34"/>
      <c r="T34"/>
    </row>
    <row r="35" spans="1:20" ht="15" customHeight="1" x14ac:dyDescent="0.15">
      <c r="A35" s="125"/>
      <c r="B35" s="92"/>
      <c r="C35" s="92"/>
      <c r="D35" s="92"/>
      <c r="E35" s="123"/>
      <c r="F35" s="165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1</v>
      </c>
      <c r="M35" s="80">
        <v>0</v>
      </c>
      <c r="N35" s="80">
        <v>1</v>
      </c>
      <c r="O35" s="80">
        <v>0</v>
      </c>
      <c r="P35" s="70">
        <v>1</v>
      </c>
      <c r="Q35" s="80">
        <v>0</v>
      </c>
      <c r="R35" s="71">
        <v>1</v>
      </c>
      <c r="S35"/>
      <c r="T35"/>
    </row>
    <row r="36" spans="1:20" ht="15" customHeight="1" x14ac:dyDescent="0.15">
      <c r="A36" s="126"/>
      <c r="B36" s="92"/>
      <c r="C36" s="92"/>
      <c r="D36" s="92"/>
      <c r="E36" s="123"/>
      <c r="F36" s="165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1</v>
      </c>
      <c r="M36" s="80">
        <v>0</v>
      </c>
      <c r="N36" s="80">
        <v>1</v>
      </c>
      <c r="O36" s="80">
        <v>0</v>
      </c>
      <c r="P36" s="70">
        <v>1</v>
      </c>
      <c r="Q36" s="80">
        <v>0</v>
      </c>
      <c r="R36" s="71">
        <v>1</v>
      </c>
      <c r="S36"/>
      <c r="T36"/>
    </row>
    <row r="37" spans="1:20" ht="15" customHeight="1" x14ac:dyDescent="0.15">
      <c r="A37" s="126"/>
      <c r="B37" s="92"/>
      <c r="C37" s="92"/>
      <c r="D37" s="92"/>
      <c r="E37" s="123"/>
      <c r="F37" s="165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1</v>
      </c>
      <c r="M37" s="80">
        <v>0</v>
      </c>
      <c r="N37" s="80">
        <v>1</v>
      </c>
      <c r="O37" s="80">
        <v>0</v>
      </c>
      <c r="P37" s="70">
        <v>1</v>
      </c>
      <c r="Q37" s="80">
        <v>0</v>
      </c>
      <c r="R37" s="71">
        <v>1</v>
      </c>
      <c r="S37"/>
      <c r="T37"/>
    </row>
    <row r="38" spans="1:20" ht="15" customHeight="1" x14ac:dyDescent="0.15">
      <c r="A38" s="127"/>
      <c r="B38" s="92"/>
      <c r="C38" s="92"/>
      <c r="D38" s="92"/>
      <c r="E38" s="123"/>
      <c r="F38" s="165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1</v>
      </c>
      <c r="N38" s="80">
        <v>0</v>
      </c>
      <c r="O38" s="80">
        <v>0</v>
      </c>
      <c r="P38" s="70">
        <v>0</v>
      </c>
      <c r="Q38" s="80">
        <v>0</v>
      </c>
      <c r="R38" s="71">
        <v>1</v>
      </c>
      <c r="S38"/>
      <c r="T38"/>
    </row>
    <row r="39" spans="1:20" ht="15" customHeight="1" x14ac:dyDescent="0.15">
      <c r="A39" s="127"/>
      <c r="B39" s="92"/>
      <c r="C39" s="92"/>
      <c r="D39" s="92"/>
      <c r="E39" s="123"/>
      <c r="F39" s="165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1</v>
      </c>
      <c r="O39" s="80">
        <v>0</v>
      </c>
      <c r="P39" s="70">
        <v>1</v>
      </c>
      <c r="Q39" s="80">
        <v>0</v>
      </c>
      <c r="R39" s="71">
        <v>1</v>
      </c>
      <c r="S39"/>
      <c r="T39"/>
    </row>
    <row r="40" spans="1:20" ht="15" customHeight="1" x14ac:dyDescent="0.15">
      <c r="A40" s="127"/>
      <c r="B40" s="92"/>
      <c r="C40" s="92"/>
      <c r="D40" s="92"/>
      <c r="E40" s="123"/>
      <c r="F40" s="165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1</v>
      </c>
      <c r="M40" s="80">
        <v>0</v>
      </c>
      <c r="N40" s="80">
        <v>1</v>
      </c>
      <c r="O40" s="80">
        <v>0</v>
      </c>
      <c r="P40" s="70">
        <v>1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27"/>
      <c r="B41" s="92"/>
      <c r="C41" s="92"/>
      <c r="D41" s="93"/>
      <c r="E41" s="128"/>
      <c r="F41" s="165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1</v>
      </c>
      <c r="M41" s="80">
        <v>0</v>
      </c>
      <c r="N41" s="80">
        <v>1</v>
      </c>
      <c r="O41" s="80">
        <v>0</v>
      </c>
      <c r="P41" s="70">
        <v>1</v>
      </c>
      <c r="Q41" s="80">
        <v>0</v>
      </c>
      <c r="R41" s="71">
        <v>1</v>
      </c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3510</v>
      </c>
      <c r="E42" s="131">
        <f>SUM(E32:E41)</f>
        <v>1</v>
      </c>
      <c r="F42" s="165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1</v>
      </c>
      <c r="M42" s="80">
        <v>0</v>
      </c>
      <c r="N42" s="80">
        <v>0</v>
      </c>
      <c r="O42" s="80">
        <v>0</v>
      </c>
      <c r="P42" s="70">
        <v>0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S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6640625" bestFit="1" customWidth="1"/>
    <col min="2" max="2" width="2.33203125" style="106" customWidth="1"/>
    <col min="3" max="5" width="7.83203125" style="106" customWidth="1"/>
    <col min="6" max="8" width="8.83203125" style="6"/>
    <col min="9" max="9" width="13.33203125" style="6" customWidth="1"/>
    <col min="10" max="10" width="14.1640625" style="6" customWidth="1"/>
    <col min="11" max="11" width="13" style="6" customWidth="1"/>
    <col min="12" max="12" width="24.6640625" style="6" customWidth="1"/>
    <col min="13" max="13" width="6" style="6" customWidth="1"/>
    <col min="14" max="14" width="14.5" style="6" customWidth="1"/>
    <col min="15" max="15" width="8.5" style="6" customWidth="1"/>
    <col min="16" max="16" width="12" style="6" customWidth="1"/>
    <col min="17" max="17" width="14.1640625" style="6" customWidth="1"/>
    <col min="18" max="18" width="10.5" style="6" customWidth="1"/>
    <col min="19" max="19" width="8.5" style="6" customWidth="1"/>
    <col min="20" max="20" width="15" style="6" customWidth="1"/>
    <col min="21" max="21" width="17.1640625" style="6" customWidth="1"/>
    <col min="22" max="22" width="11.83203125" style="6" customWidth="1"/>
    <col min="23" max="23" width="7.1640625" style="6" customWidth="1"/>
    <col min="24" max="24" width="21.5" style="6" customWidth="1"/>
    <col min="25" max="25" width="11.5" style="6" customWidth="1"/>
    <col min="26" max="26" width="9.33203125" style="6" customWidth="1"/>
    <col min="27" max="27" width="11" style="6" customWidth="1"/>
    <col min="28" max="28" width="10" style="6" customWidth="1"/>
    <col min="29" max="29" width="9.1640625" style="6" customWidth="1"/>
    <col min="30" max="30" width="7.1640625" style="6" customWidth="1"/>
    <col min="31" max="31" width="8.5" style="6" customWidth="1"/>
    <col min="32" max="32" width="7.1640625" style="6" customWidth="1"/>
    <col min="33" max="33" width="17.1640625" style="6" customWidth="1"/>
    <col min="34" max="34" width="13" style="6" customWidth="1"/>
    <col min="35" max="35" width="13.5" style="6" customWidth="1"/>
    <col min="36" max="36" width="12" style="6" customWidth="1"/>
    <col min="37" max="37" width="10.5" style="6" customWidth="1"/>
    <col min="38" max="38" width="7.83203125" style="6" customWidth="1"/>
    <col min="39" max="39" width="16.5" customWidth="1"/>
    <col min="40" max="40" width="9.5" customWidth="1"/>
    <col min="41" max="41" width="13.1640625" customWidth="1"/>
    <col min="42" max="42" width="14.1640625" customWidth="1"/>
    <col min="43" max="43" width="14.33203125" customWidth="1"/>
    <col min="44" max="44" width="11.1640625" customWidth="1"/>
    <col min="45" max="45" width="6.5" customWidth="1"/>
    <col min="81" max="81" width="22.1640625" bestFit="1" customWidth="1"/>
  </cols>
  <sheetData>
    <row r="1" spans="1:45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70" t="s">
        <v>192</v>
      </c>
      <c r="J1" s="170" t="s">
        <v>193</v>
      </c>
      <c r="K1" s="170" t="s">
        <v>194</v>
      </c>
      <c r="L1" s="170" t="s">
        <v>195</v>
      </c>
      <c r="M1" s="170" t="s">
        <v>196</v>
      </c>
      <c r="N1" s="170" t="s">
        <v>197</v>
      </c>
      <c r="O1" s="170" t="s">
        <v>198</v>
      </c>
      <c r="P1" s="170" t="s">
        <v>199</v>
      </c>
      <c r="Q1" s="170" t="s">
        <v>200</v>
      </c>
      <c r="R1" s="170" t="s">
        <v>201</v>
      </c>
      <c r="S1" s="170" t="s">
        <v>202</v>
      </c>
      <c r="T1" s="170" t="s">
        <v>203</v>
      </c>
      <c r="U1" s="170" t="s">
        <v>204</v>
      </c>
      <c r="V1" s="170" t="s">
        <v>205</v>
      </c>
      <c r="W1" s="170" t="s">
        <v>206</v>
      </c>
      <c r="X1" s="170" t="s">
        <v>207</v>
      </c>
      <c r="Y1" s="170" t="s">
        <v>208</v>
      </c>
      <c r="Z1" s="170" t="s">
        <v>209</v>
      </c>
      <c r="AA1" s="170" t="s">
        <v>210</v>
      </c>
      <c r="AB1" s="170" t="s">
        <v>211</v>
      </c>
      <c r="AC1" s="170" t="s">
        <v>212</v>
      </c>
      <c r="AD1" s="170" t="s">
        <v>213</v>
      </c>
      <c r="AE1" s="170" t="s">
        <v>214</v>
      </c>
      <c r="AF1" s="170" t="s">
        <v>215</v>
      </c>
      <c r="AG1" s="170" t="s">
        <v>216</v>
      </c>
      <c r="AH1" s="170" t="s">
        <v>217</v>
      </c>
      <c r="AI1" s="170" t="s">
        <v>218</v>
      </c>
      <c r="AJ1" s="170" t="s">
        <v>219</v>
      </c>
      <c r="AK1" s="170" t="s">
        <v>220</v>
      </c>
      <c r="AL1" s="170" t="s">
        <v>221</v>
      </c>
      <c r="AM1" s="170" t="s">
        <v>222</v>
      </c>
      <c r="AN1" s="170" t="s">
        <v>223</v>
      </c>
      <c r="AO1" s="170" t="s">
        <v>224</v>
      </c>
      <c r="AP1" s="170" t="s">
        <v>225</v>
      </c>
      <c r="AQ1" s="170" t="s">
        <v>226</v>
      </c>
      <c r="AR1" s="170" t="s">
        <v>227</v>
      </c>
      <c r="AS1" s="170" t="s">
        <v>228</v>
      </c>
    </row>
    <row r="2" spans="1:45" x14ac:dyDescent="0.15">
      <c r="A2" t="s">
        <v>38</v>
      </c>
      <c r="B2" s="10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5" x14ac:dyDescent="0.15">
      <c r="A3" t="s">
        <v>40</v>
      </c>
      <c r="B3" s="10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5" x14ac:dyDescent="0.15">
      <c r="A4" t="s">
        <v>41</v>
      </c>
      <c r="B4" s="10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5" x14ac:dyDescent="0.15">
      <c r="A5" s="169" t="s">
        <v>192</v>
      </c>
      <c r="B5" s="10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5" x14ac:dyDescent="0.15">
      <c r="A6" s="169" t="s">
        <v>193</v>
      </c>
      <c r="B6" s="10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5" x14ac:dyDescent="0.15">
      <c r="A7" s="169" t="s">
        <v>194</v>
      </c>
      <c r="B7" s="10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5" x14ac:dyDescent="0.15">
      <c r="A8" s="169" t="s">
        <v>195</v>
      </c>
      <c r="B8" s="10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5" x14ac:dyDescent="0.15">
      <c r="A9" s="169" t="s">
        <v>196</v>
      </c>
      <c r="B9" s="10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5" x14ac:dyDescent="0.15">
      <c r="A10" s="169" t="s">
        <v>197</v>
      </c>
      <c r="B10" s="10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5" x14ac:dyDescent="0.15">
      <c r="A11" s="169" t="s">
        <v>198</v>
      </c>
      <c r="B11" s="10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5" x14ac:dyDescent="0.15">
      <c r="A12" s="169" t="s">
        <v>199</v>
      </c>
      <c r="B12" s="10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5" x14ac:dyDescent="0.15">
      <c r="A13" s="169" t="s">
        <v>200</v>
      </c>
      <c r="B13" s="10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5" x14ac:dyDescent="0.15">
      <c r="A14" s="169" t="s">
        <v>201</v>
      </c>
      <c r="B14" s="10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5" x14ac:dyDescent="0.15">
      <c r="A15" s="169" t="s">
        <v>202</v>
      </c>
      <c r="B15" s="10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5" x14ac:dyDescent="0.15">
      <c r="A16" s="169" t="s">
        <v>203</v>
      </c>
      <c r="B16" s="10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9" t="s">
        <v>204</v>
      </c>
      <c r="B17" s="10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9" t="s">
        <v>205</v>
      </c>
      <c r="B18" s="10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9" t="s">
        <v>206</v>
      </c>
      <c r="B19" s="10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9" t="s">
        <v>207</v>
      </c>
      <c r="B20" s="10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9" t="s">
        <v>208</v>
      </c>
      <c r="B21" s="10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9" t="s">
        <v>209</v>
      </c>
      <c r="B22" s="10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9" t="s">
        <v>210</v>
      </c>
      <c r="B23" s="10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9" t="s">
        <v>211</v>
      </c>
      <c r="B24" s="10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9" t="s">
        <v>212</v>
      </c>
      <c r="B25" s="10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69" t="s">
        <v>213</v>
      </c>
      <c r="B26" s="10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69" t="s">
        <v>214</v>
      </c>
      <c r="B27" s="10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69" t="s">
        <v>215</v>
      </c>
      <c r="B28" s="106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69" t="s">
        <v>216</v>
      </c>
      <c r="B29" s="106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69" t="s">
        <v>217</v>
      </c>
      <c r="B30" s="106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69" t="s">
        <v>218</v>
      </c>
      <c r="B31" s="106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69" t="s">
        <v>219</v>
      </c>
      <c r="B32" s="106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69" t="s">
        <v>220</v>
      </c>
      <c r="B33" s="106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69" t="s">
        <v>221</v>
      </c>
      <c r="B34" s="106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69" t="s">
        <v>222</v>
      </c>
      <c r="B35" s="106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69" t="s">
        <v>223</v>
      </c>
      <c r="B36" s="106">
        <v>0</v>
      </c>
      <c r="C36"/>
      <c r="D36"/>
    </row>
    <row r="37" spans="1:38" ht="15" customHeight="1" x14ac:dyDescent="0.15">
      <c r="A37" s="169" t="s">
        <v>224</v>
      </c>
      <c r="B37" s="106">
        <v>0</v>
      </c>
      <c r="C37"/>
      <c r="D37"/>
    </row>
    <row r="38" spans="1:38" ht="15" customHeight="1" x14ac:dyDescent="0.15">
      <c r="A38" s="169" t="s">
        <v>225</v>
      </c>
      <c r="B38" s="106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69" t="s">
        <v>226</v>
      </c>
      <c r="B39" s="106">
        <v>0</v>
      </c>
      <c r="C39"/>
      <c r="D39"/>
    </row>
    <row r="40" spans="1:38" ht="15" customHeight="1" x14ac:dyDescent="0.15">
      <c r="A40" s="169" t="s">
        <v>227</v>
      </c>
      <c r="B40" s="106">
        <v>0</v>
      </c>
      <c r="C40"/>
      <c r="D40"/>
    </row>
    <row r="41" spans="1:38" ht="15" customHeight="1" x14ac:dyDescent="0.15">
      <c r="A41" s="169" t="s">
        <v>228</v>
      </c>
      <c r="B41" s="106">
        <v>0</v>
      </c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2023-08-14T22:59:10Z</dcterms:modified>
</cp:coreProperties>
</file>