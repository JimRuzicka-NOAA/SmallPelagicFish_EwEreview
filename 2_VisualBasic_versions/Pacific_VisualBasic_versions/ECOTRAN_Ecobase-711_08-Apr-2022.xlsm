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EEB67C89-A542-B442-9C29-F1DD8C853B06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Main!$C$2:$N$56</definedName>
    <definedName name="matDetritus">Detritus!$C$2:$E$56</definedName>
    <definedName name="matDiet">Diets!$B$2:$AK$40</definedName>
    <definedName name="matDiscards">Discards!$C$2:$S$39</definedName>
    <definedName name="matFishery">Fishing!$C$2:$S$39</definedName>
    <definedName name="matFishing">Fishing!#REF!</definedName>
    <definedName name="matMort">Mortalities!$A$1:$BF$39</definedName>
    <definedName name="matOut">MainOutputs!$A$2:$I$56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<sst xmlns="http://schemas.openxmlformats.org/spreadsheetml/2006/main" count="1311" uniqueCount="268">
  <si>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</si>
  <si>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</si>
  <si>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</si>
  <si>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</si>
  <si>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</si>
  <si>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</si>
  <si>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</si>
  <si>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</si>
  <si>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</si>
  <si>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</si>
  <si>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</si>
  <si>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</si>
  <si>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</si>
  <si>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</si>
  <si>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</si>
  <si>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</si>
  <si>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</si>
  <si>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</si>
  <si>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</si>
  <si>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</si>
  <si>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</si>
  <si>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</si>
  <si>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</si>
  <si>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</si>
  <si>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</si>
  <si>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</si>
  <si>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</si>
  <si>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</si>
  <si>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</si>
  <si>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</si>
  <si>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</si>
  <si>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</si>
  <si>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</si>
  <si>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</si>
  <si>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</si>
  <si>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</si>
  <si>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</si>
  <si>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</si>
  <si>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</si>
  <si>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</si>
  <si>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</si>
  <si>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</si>
  <si>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</si>
  <si>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</si>
  <si>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</si>
  <si>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</si>
  <si>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</si>
  <si>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</si>
  <si>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</si>
  <si>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</si>
  <si>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</si>
  <si>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</si>
  <si>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</si>
  <si>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</si>
  <si>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</si>
  <si>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</si>
  <si>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</si>
  <si>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</si>
  <si>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</si>
  <si>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</si>
  <si>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</si>
  <si>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</si>
  <si>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</si>
  <si>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</si>
  <si>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</si>
  <si>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</si>
  <si>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</si>
  <si>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</si>
  <si>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</si>
  <si>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</si>
  <si>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</si>
  <si>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</si>
  <si>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</si>
  <si>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</si>
  <si>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</si>
  <si>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</si>
  <si>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</si>
  <si>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</si>
  <si>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</si>
  <si>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</si>
  <si>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</si>
  <si>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</si>
  <si>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</si>
  <si>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</si>
  <si>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</si>
  <si>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</si>
  <si>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</si>
  <si>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</si>
  <si>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</si>
  <si>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</si>
  <si>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</si>
  <si>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</si>
  <si>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</si>
  <si>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</si>
  <si>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</si>
  <si>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</si>
  <si>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</si>
  <si>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</si>
  <si>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</si>
  <si>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</si>
  <si>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</si>
  <si>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</si>
  <si>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</si>
  <si>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</si>
  <si>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</si>
  <si>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</si>
  <si>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</si>
  <si>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</si>
  <si>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</si>
  <si>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</si>
  <si>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</si>
  <si>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</si>
  <si>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</si>
  <si>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</si>
  <si>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</si>
  <si>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</si>
  <si>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</si>
  <si>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</si>
  <si>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</si>
  <si>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</si>
  <si>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</si>
  <si>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</si>
  <si>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</si>
  <si>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</si>
  <si>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</si>
  <si>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</si>
  <si>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</si>
  <si>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</si>
  <si>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</si>
  <si>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</si>
  <si>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</si>
  <si>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</si>
  <si>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</si>
  <si>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</si>
  <si>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</si>
  <si>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</si>
  <si>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</si>
  <si>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</si>
  <si>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</si>
  <si>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</si>
  <si>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</si>
  <si>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</si>
  <si>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</si>
  <si>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</si>
  <si>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</si>
  <si>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</si>
  <si>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</si>
  <si>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</si>
  <si>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</si>
  <si>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</si>
  <si>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</si>
  <si>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</si>
  <si>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</si>
  <si>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</si>
  <si>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</si>
  <si>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</si>
  <si>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</si>
  <si>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</si>
  <si>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</si>
  <si>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</si>
  <si>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</si>
  <si>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</si>
  <si>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</si>
  <si>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</si>
  <si>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</si>
  <si>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</si>
  <si>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</si>
  <si>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</si>
  <si>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</si>
  <si>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</si>
  <si>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</si>
  <si>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</si>
  <si>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</si>
  <si>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</si>
  <si>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</si>
  <si>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</si>
  <si>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</si>
  <si>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</si>
  <si>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</si>
  <si>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</si>
  <si>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</si>
  <si>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</si>
  <si>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</si>
  <si>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</si>
  <si>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</si>
  <si>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Danajon Bank</t>
  </si>
  <si>
    <t>Philippines</t>
  </si>
  <si>
    <t>BOX(124.240299306348 10.0042841664895,124.722756379046 10.3379836417723)</t>
  </si>
  <si>
    <t>coral reef</t>
  </si>
  <si>
    <t>WetWeight</t>
  </si>
  <si>
    <t>Created: 4/7/2000 11:34:30 AM; 4/7/2000 11:34:54 AM; 4/7/2000 1:22:36 PM; 4/7/2000 10:52:27 PM; 4/7/2000 10:54:54 PM; 4/7/2000 11:10:17 PM; 4/7/2000 11:21:48 PM; 4/7/2000 11:35:03 PM; 4/8/2000 8:45:26 AM</t>
  </si>
  <si>
    <t>Bacalso R.T.M.,Wolff M.(2014). Trophic flow structure of the Danajon ecosystem (Central Philippines) and impacts of illegal and destructive fishing practices Journal of Marine Systems 139: 103-118.</t>
  </si>
  <si>
    <t>Shark (small, juv.)</t>
  </si>
  <si>
    <t>Rays</t>
  </si>
  <si>
    <t>Non-reef fish, Mullets, milkfish</t>
  </si>
  <si>
    <t>Non-reef fish, Piscivorous</t>
  </si>
  <si>
    <t>Non-reef fish, zoobenthos feeders</t>
  </si>
  <si>
    <t>Pelagic fish, Tunas, tuna-like</t>
  </si>
  <si>
    <t>Pelagic fish, Belonidae</t>
  </si>
  <si>
    <t>Pelagic fish, Barracudas &amp;amp; other piscivores</t>
  </si>
  <si>
    <t>Pelagic fish, Anchovies, sprats &amp;amp; silversides</t>
  </si>
  <si>
    <t>Pelagic fish, Sardines</t>
  </si>
  <si>
    <t>Pelagic fish, Halfbeaks, flyingfishes</t>
  </si>
  <si>
    <t>Pelagic fish, Mackerels, scads</t>
  </si>
  <si>
    <t>Carangids (Jacks, trevallies)</t>
  </si>
  <si>
    <t>Reef fish, Congers, morrays</t>
  </si>
  <si>
    <t>Reef fish, Groupers &amp;amp; other pisc.fish</t>
  </si>
  <si>
    <t>Reef fish, Emperors</t>
  </si>
  <si>
    <t>Reef fish, Snappers</t>
  </si>
  <si>
    <t>Reef fish, Zoobenthos feeders</t>
  </si>
  <si>
    <t>Reef fish, Herbivores, benth.grazers</t>
  </si>
  <si>
    <t>Reef fish, Omnivores</t>
  </si>
  <si>
    <t>Reef fish, Planktivores</t>
  </si>
  <si>
    <t>Inverts. Crabs</t>
  </si>
  <si>
    <t>Inverts. Shrimps</t>
  </si>
  <si>
    <t>Inverts. Lobsters, mantis shrimps</t>
  </si>
  <si>
    <t>Inverts. Other benthic crustaceans</t>
  </si>
  <si>
    <t>Inverts. Squids, cuttlefishes</t>
  </si>
  <si>
    <t>Inverts. Octopus</t>
  </si>
  <si>
    <t>Inverts. Shells</t>
  </si>
  <si>
    <t>Inverts. Sea cucumbers</t>
  </si>
  <si>
    <t>Inverts. Other echinoderms</t>
  </si>
  <si>
    <t>Inverts. Worms</t>
  </si>
  <si>
    <t>Inverts. Polyps-hard,soft corals</t>
  </si>
  <si>
    <t>Inverts. Sponges</t>
  </si>
  <si>
    <t>Zooplankton</t>
  </si>
  <si>
    <t>Phytoplankton</t>
  </si>
  <si>
    <t>Benthic algae</t>
  </si>
  <si>
    <t>Detritus</t>
  </si>
  <si>
    <t>detritus_TerminalBenthic</t>
  </si>
  <si>
    <t>Barriers, corrals</t>
  </si>
  <si>
    <t>Beach seines</t>
  </si>
  <si>
    <t>Blast fishing</t>
  </si>
  <si>
    <t>Bottom trawls</t>
  </si>
  <si>
    <t>Ceph. jigs, lures</t>
  </si>
  <si>
    <t>Crab fishing gears</t>
  </si>
  <si>
    <t>Danish seines</t>
  </si>
  <si>
    <t>Diving for crabs, shells, etc.</t>
  </si>
  <si>
    <t>Fish pots</t>
  </si>
  <si>
    <t>HL</t>
  </si>
  <si>
    <t>RHL</t>
  </si>
  <si>
    <t>Scoopnets with light</t>
  </si>
  <si>
    <t>SetGN, Trammel</t>
  </si>
  <si>
    <t>Spear, no compressor</t>
  </si>
  <si>
    <t>Spear, with compressor</t>
  </si>
  <si>
    <t>Stat.Liftnet</t>
  </si>
  <si>
    <t>Surface, midwaterGN</t>
  </si>
  <si>
    <t>Import</t>
  </si>
  <si>
    <t>export</t>
  </si>
  <si>
    <t>sum</t>
  </si>
  <si>
    <t>TOTAL</t>
  </si>
  <si>
    <t>F Barriers, corrals</t>
  </si>
  <si>
    <t>F Beach seines</t>
  </si>
  <si>
    <t>F Blast fishing</t>
  </si>
  <si>
    <t>F Bottom trawls</t>
  </si>
  <si>
    <t>F Ceph. jigs, lures</t>
  </si>
  <si>
    <t>F Crab fishing gears</t>
  </si>
  <si>
    <t>F Danish seines</t>
  </si>
  <si>
    <t>F Diving for crabs, shells, etc.</t>
  </si>
  <si>
    <t>F Fish pots</t>
  </si>
  <si>
    <t>F HL</t>
  </si>
  <si>
    <t>F RHL</t>
  </si>
  <si>
    <t>F Scoopnets with light</t>
  </si>
  <si>
    <t>F SetGN, Trammel</t>
  </si>
  <si>
    <t>F Spear, no compressor</t>
  </si>
  <si>
    <t>F Spear, with compressor</t>
  </si>
  <si>
    <t>F Stat.Liftnet</t>
  </si>
  <si>
    <t>F Surface, midwaterGN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</si>
</sst>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79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FFE9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B8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B5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A1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EE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E0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B1FF00"/>
        <bgColor indexed="64"/>
      </patternFill>
    </fill>
    <fill>
      <patternFill patternType="solid">
        <fgColor rgb="FFFFC5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FFEB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65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01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41" borderId="0" xfId="0" applyFill="1"/>
    <xf numFmtId="0" fontId="0" fillId="0" borderId="0" xfId="0" applyFont="1" applyFill="1" applyAlignment="1">
      <alignment horizontal="center"/>
    </xf>
    <xf numFmtId="0" fontId="0" fillId="42" borderId="0" xfId="0" applyFill="1"/>
    <xf numFmtId="0" fontId="0" fillId="43" borderId="0" xfId="0" applyFill="1"/>
    <xf numFmtId="0" fontId="0" fillId="44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80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82" t="s">
        <v>171</v>
      </c>
      <c r="C53" s="112">
        <v>711</v>
      </c>
      <c r="D53" s="112"/>
    </row>
    <row r="54" spans="2:4" x14ac:dyDescent="0.15">
      <c r="B54" s="182" t="s">
        <v>172</v>
      </c>
      <c r="C54" s="182" t="s">
        <v>185</v>
      </c>
      <c r="D54" s="112"/>
    </row>
    <row r="55" spans="2:4" x14ac:dyDescent="0.15">
      <c r="B55" s="182" t="s">
        <v>173</v>
      </c>
      <c r="C55" s="182" t="s">
        <v>186</v>
      </c>
      <c r="D55" s="112"/>
    </row>
    <row r="56" spans="2:4" x14ac:dyDescent="0.15">
      <c r="B56" s="182" t="s">
        <v>174</v>
      </c>
      <c r="C56" s="112">
        <v>1227</v>
      </c>
      <c r="D56" s="112"/>
    </row>
    <row r="57" spans="2:4" x14ac:dyDescent="0.15">
      <c r="B57" s="182" t="s">
        <v>175</v>
      </c>
      <c r="C57" s="182" t="s">
        <v>187</v>
      </c>
      <c r="D57" s="112"/>
    </row>
    <row r="58" spans="2:4" x14ac:dyDescent="0.15">
      <c r="B58" s="182" t="s">
        <v>176</v>
      </c>
      <c r="C58" s="182" t="s">
        <v>188</v>
      </c>
      <c r="D58" s="112"/>
    </row>
    <row r="59" spans="2:4" x14ac:dyDescent="0.15">
      <c r="B59" s="182" t="s">
        <v>177</v>
      </c>
      <c r="C59" s="182" t="s">
        <v>189</v>
      </c>
      <c r="D59" s="112"/>
    </row>
    <row r="60" spans="2:4" x14ac:dyDescent="0.15">
      <c r="B60" s="182" t="s">
        <v>178</v>
      </c>
      <c r="C60" s="182" t="s">
        <v>190</v>
      </c>
      <c r="D60" s="112"/>
    </row>
    <row r="61" spans="2:4" x14ac:dyDescent="0.15">
      <c r="B61" s="182" t="s">
        <v>179</v>
      </c>
      <c r="C61" s="112">
        <v>37</v>
      </c>
      <c r="D61" s="112"/>
    </row>
    <row r="62" spans="2:4" x14ac:dyDescent="0.15">
      <c r="B62" s="182" t="s">
        <v>180</v>
      </c>
      <c r="C62" s="112">
        <v>17</v>
      </c>
      <c r="D62" s="112"/>
    </row>
    <row r="63" spans="2:4" x14ac:dyDescent="0.15">
      <c r="B63" s="182" t="s">
        <v>181</v>
      </c>
      <c r="C63" s="112">
        <v>2010</v>
      </c>
      <c r="D63" s="112"/>
    </row>
    <row r="64" spans="2:4" x14ac:dyDescent="0.15">
      <c r="B64" s="182" t="s">
        <v>182</v>
      </c>
      <c r="C64" s="112">
        <v>0</v>
      </c>
      <c r="D64" s="112"/>
    </row>
    <row r="65" spans="2:4" x14ac:dyDescent="0.15">
      <c r="B65" s="182" t="s">
        <v>183</v>
      </c>
      <c r="C65" s="182" t="s">
        <v>191</v>
      </c>
      <c r="D65" s="112"/>
    </row>
    <row r="66" spans="2:4" x14ac:dyDescent="0.15">
      <c r="B66" s="182" t="s">
        <v>184</v>
      </c>
      <c r="D66" s="112"/>
    </row>
    <row r="67" spans="2:4" x14ac:dyDescent="0.15">
      <c r="B67" s="112"/>
      <c r="C67" s="112"/>
      <c r="D67" s="112"/>
    </row>
    <row r="68" spans="2:4" x14ac:dyDescent="0.15">
      <c r="B68" s="112"/>
      <c r="C68" s="112"/>
      <c r="D68" s="11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85" customWidth="1"/>
    <col min="2" max="3" width="3.33203125" style="85" customWidth="1"/>
    <col min="4" max="4" width="14.33203125" style="85" customWidth="1"/>
    <col min="5" max="5" width="41.83203125" style="85" bestFit="1" customWidth="1"/>
    <col min="6" max="6" width="2.33203125" style="85" bestFit="1" customWidth="1"/>
    <col min="7" max="7" width="12.83203125" style="85" bestFit="1" customWidth="1"/>
    <col min="8" max="8" width="6.83203125" style="85" customWidth="1"/>
    <col min="9" max="9" width="10.83203125" style="85" customWidth="1"/>
    <col min="10" max="11" width="11.83203125" style="85" customWidth="1"/>
    <col min="12" max="12" width="2.33203125" style="85" customWidth="1"/>
    <col min="13" max="13" width="3.83203125" style="85" customWidth="1"/>
    <col min="14" max="14" width="2.33203125" style="85" customWidth="1"/>
    <col min="16" max="25" width="8.83203125" style="85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5"/>
  </cols>
  <sheetData>
    <row r="1" spans="1:46" s="102" customFormat="1" ht="15" customHeight="1" x14ac:dyDescent="0.15">
      <c r="A1" s="81" t="s">
        <v>18</v>
      </c>
      <c r="C1" s="82" t="s">
        <v>8</v>
      </c>
      <c r="D1" s="81" t="s">
        <v>23</v>
      </c>
      <c r="E1" s="81" t="s">
        <v>0</v>
      </c>
      <c r="F1" s="81" t="s">
        <v>7</v>
      </c>
      <c r="G1" s="83" t="s">
        <v>13</v>
      </c>
      <c r="H1" s="81" t="s">
        <v>1</v>
      </c>
      <c r="I1" s="81" t="s">
        <v>2</v>
      </c>
      <c r="J1" s="81" t="s">
        <v>14</v>
      </c>
      <c r="K1" s="81" t="s">
        <v>3</v>
      </c>
      <c r="L1" s="81" t="s">
        <v>4</v>
      </c>
      <c r="M1" s="81" t="s">
        <v>5</v>
      </c>
      <c r="N1" s="81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2">
        <v>1</v>
      </c>
      <c r="D2"/>
      <c r="E2" s="183" t="s">
        <v>192</v>
      </c>
      <c r="F2" s="85">
        <v>0</v>
      </c>
      <c r="G2" s="85">
        <v>4.5162479999999996E-3</v>
      </c>
      <c r="H2" s="85">
        <v>1.64</v>
      </c>
      <c r="I2" s="6">
        <v>7.7050000000000001</v>
      </c>
      <c r="J2" s="6">
        <v>0.6</v>
      </c>
      <c r="K2" s="6">
        <v>0.2128488</v>
      </c>
      <c r="L2" s="6">
        <v>0</v>
      </c>
      <c r="M2" s="85">
        <v>0.2</v>
      </c>
      <c r="N2" s="85">
        <v>0</v>
      </c>
    </row>
    <row r="3" spans="1:46" ht="15" customHeight="1" x14ac:dyDescent="0.15">
      <c r="A3" s="1" t="s">
        <v>9</v>
      </c>
      <c r="B3" s="4">
        <v>36</v>
      </c>
      <c r="C3" s="85">
        <v>2</v>
      </c>
      <c r="D3"/>
      <c r="E3" s="183" t="s">
        <v>193</v>
      </c>
      <c r="F3" s="85">
        <v>0</v>
      </c>
      <c r="G3" s="85">
        <v>0.186</v>
      </c>
      <c r="H3" s="85">
        <v>0.59499999999999997</v>
      </c>
      <c r="I3" s="85">
        <v>5.8255906099999999</v>
      </c>
      <c r="J3" s="85">
        <v>0.74790880000000004</v>
      </c>
      <c r="K3" s="85">
        <v>0.102135569</v>
      </c>
      <c r="L3" s="85">
        <v>0</v>
      </c>
      <c r="M3" s="85">
        <v>0.2</v>
      </c>
      <c r="N3" s="85">
        <v>0</v>
      </c>
    </row>
    <row r="4" spans="1:46" ht="15" customHeight="1" x14ac:dyDescent="0.15">
      <c r="A4" s="1" t="s">
        <v>10</v>
      </c>
      <c r="B4" s="4">
        <v>2</v>
      </c>
      <c r="C4" s="85">
        <v>3</v>
      </c>
      <c r="D4"/>
      <c r="E4" s="183" t="s">
        <v>194</v>
      </c>
      <c r="F4" s="85">
        <v>0</v>
      </c>
      <c r="G4" s="85">
        <v>6.9542010000000001E-2</v>
      </c>
      <c r="H4" s="85">
        <v>2.673</v>
      </c>
      <c r="I4" s="85">
        <v>21.509</v>
      </c>
      <c r="J4" s="85">
        <v>0.7</v>
      </c>
      <c r="K4" s="85">
        <v>0.124273561</v>
      </c>
      <c r="L4" s="85">
        <v>0</v>
      </c>
      <c r="M4" s="85">
        <v>0.2</v>
      </c>
      <c r="N4" s="85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17</v>
      </c>
      <c r="C5" s="85">
        <v>4</v>
      </c>
      <c r="D5"/>
      <c r="E5" s="183" t="s">
        <v>195</v>
      </c>
      <c r="F5" s="85">
        <v>0</v>
      </c>
      <c r="G5" s="85">
        <v>0.35799999999999998</v>
      </c>
      <c r="H5" s="85">
        <v>2.448</v>
      </c>
      <c r="I5" s="85">
        <v>10.563000000000001</v>
      </c>
      <c r="J5" s="85">
        <v>0.60890483900000003</v>
      </c>
      <c r="K5" s="85">
        <v>0.231752351</v>
      </c>
      <c r="L5" s="85">
        <v>0</v>
      </c>
      <c r="M5" s="85">
        <v>0.2</v>
      </c>
      <c r="N5" s="85">
        <v>0</v>
      </c>
      <c r="P5" s="73"/>
      <c r="Q5" s="73"/>
      <c r="R5" s="73"/>
    </row>
    <row r="6" spans="1:46" ht="15" customHeight="1" thickBot="1" x14ac:dyDescent="0.2">
      <c r="B6" s="1"/>
      <c r="C6" s="85">
        <v>5</v>
      </c>
      <c r="D6"/>
      <c r="E6" s="183" t="s">
        <v>196</v>
      </c>
      <c r="F6" s="85">
        <v>0</v>
      </c>
      <c r="G6" s="85">
        <v>1.4179999999999999</v>
      </c>
      <c r="H6" s="85">
        <v>3.9750000000000001</v>
      </c>
      <c r="I6" s="85">
        <v>13.547000000000001</v>
      </c>
      <c r="J6" s="85">
        <v>0.7327996</v>
      </c>
      <c r="K6" s="85">
        <v>0.293422878</v>
      </c>
      <c r="L6" s="85">
        <v>0</v>
      </c>
      <c r="M6" s="85">
        <v>0.2</v>
      </c>
      <c r="N6" s="85">
        <v>0</v>
      </c>
      <c r="P6" s="73"/>
      <c r="Q6" s="73"/>
      <c r="R6" s="73"/>
      <c r="W6" s="36" t="s">
        <v>31</v>
      </c>
      <c r="X6" s="52">
        <f>MAX(MainOutputs!G:G)</f>
        <v>0.95981341600418091</v>
      </c>
    </row>
    <row r="7" spans="1:46" ht="15" customHeight="1" x14ac:dyDescent="0.15">
      <c r="A7" s="2" t="s">
        <v>27</v>
      </c>
      <c r="B7" s="85">
        <f ca="1">COUNTIF(OFFSET(cornerDiets,1,1,NumLiving+NumDead+1,NumLiving+NumDead),"&gt;0")+NumLiving+NumDead+1</f>
        <v>418</v>
      </c>
      <c r="C7" s="85">
        <v>6</v>
      </c>
      <c r="D7"/>
      <c r="E7" s="183" t="s">
        <v>197</v>
      </c>
      <c r="F7" s="85">
        <v>0</v>
      </c>
      <c r="G7" s="85">
        <v>3.4320414100000002E-2</v>
      </c>
      <c r="H7" s="85">
        <v>1.476</v>
      </c>
      <c r="I7" s="85">
        <v>7.0146379999999997</v>
      </c>
      <c r="J7" s="85">
        <v>0.7</v>
      </c>
      <c r="K7" s="85">
        <v>0.21041712200000001</v>
      </c>
      <c r="L7" s="85">
        <v>0</v>
      </c>
      <c r="M7" s="85">
        <v>0.2</v>
      </c>
      <c r="N7" s="85">
        <v>0</v>
      </c>
      <c r="P7" s="73"/>
      <c r="Q7" s="73"/>
      <c r="R7" s="73"/>
    </row>
    <row r="8" spans="1:46" ht="15" customHeight="1" x14ac:dyDescent="0.15">
      <c r="A8" s="2" t="s">
        <v>28</v>
      </c>
      <c r="B8" s="85">
        <f ca="1">COUNTIF(OFFSET(cornerFishing,1,2,NumLiving+NumDead,NumGears),"&gt;0")+NumDead*COUNTIF(OFFSET(cornerDiscards,1,2,NumLiving+NumDead,NumGears),"&gt;0")+NumLiving+NumDead+1</f>
        <v>295</v>
      </c>
      <c r="C8" s="85">
        <v>7</v>
      </c>
      <c r="D8"/>
      <c r="E8" s="183" t="s">
        <v>198</v>
      </c>
      <c r="F8" s="85">
        <v>0</v>
      </c>
      <c r="G8" s="85">
        <v>0.20541050999999999</v>
      </c>
      <c r="H8" s="85">
        <v>1.546</v>
      </c>
      <c r="I8" s="85">
        <v>8.3740000000000006</v>
      </c>
      <c r="J8" s="85">
        <v>0.65</v>
      </c>
      <c r="K8" s="85">
        <v>0.184619069</v>
      </c>
      <c r="L8" s="85">
        <v>0</v>
      </c>
      <c r="M8" s="85">
        <v>0.2</v>
      </c>
      <c r="N8" s="85">
        <v>0</v>
      </c>
      <c r="P8" s="73"/>
      <c r="Q8" s="73"/>
      <c r="R8" s="73"/>
    </row>
    <row r="9" spans="1:46" ht="15" customHeight="1" x14ac:dyDescent="0.15">
      <c r="B9" s="1"/>
      <c r="C9" s="85">
        <v>8</v>
      </c>
      <c r="D9"/>
      <c r="E9" s="183" t="s">
        <v>199</v>
      </c>
      <c r="F9" s="85">
        <v>0</v>
      </c>
      <c r="G9" s="85">
        <v>0.34058870000000002</v>
      </c>
      <c r="H9" s="85">
        <v>2.33</v>
      </c>
      <c r="I9" s="85">
        <v>10.808</v>
      </c>
      <c r="J9" s="85">
        <v>0.7</v>
      </c>
      <c r="K9" s="85">
        <v>0.215581045</v>
      </c>
      <c r="L9" s="85">
        <v>0</v>
      </c>
      <c r="M9" s="85">
        <v>0.2</v>
      </c>
      <c r="N9" s="85">
        <v>0</v>
      </c>
      <c r="P9" s="73"/>
      <c r="Q9" s="73"/>
      <c r="R9" s="73"/>
    </row>
    <row r="10" spans="1:46" ht="15" customHeight="1" x14ac:dyDescent="0.15">
      <c r="B10" s="1"/>
      <c r="C10" s="85">
        <v>9</v>
      </c>
      <c r="D10"/>
      <c r="E10" s="183" t="s">
        <v>200</v>
      </c>
      <c r="F10" s="85">
        <v>0</v>
      </c>
      <c r="G10" s="85">
        <v>2.3959035900000001</v>
      </c>
      <c r="H10" s="85">
        <v>5.8079999999999998</v>
      </c>
      <c r="I10" s="85">
        <v>23.689</v>
      </c>
      <c r="J10" s="85">
        <v>0.85</v>
      </c>
      <c r="K10" s="85">
        <v>0.24517710000000001</v>
      </c>
      <c r="L10" s="85">
        <v>0</v>
      </c>
      <c r="M10" s="85">
        <v>0.2</v>
      </c>
      <c r="N10" s="85">
        <v>0</v>
      </c>
    </row>
    <row r="11" spans="1:46" ht="15" customHeight="1" x14ac:dyDescent="0.15">
      <c r="C11" s="85">
        <v>10</v>
      </c>
      <c r="D11"/>
      <c r="E11" s="183" t="s">
        <v>201</v>
      </c>
      <c r="F11" s="85">
        <v>0</v>
      </c>
      <c r="G11" s="85">
        <v>1.02658129</v>
      </c>
      <c r="H11" s="85">
        <v>3.39</v>
      </c>
      <c r="I11" s="85">
        <v>15.8444653</v>
      </c>
      <c r="J11" s="85">
        <v>0.8</v>
      </c>
      <c r="K11" s="85">
        <v>0.213954851</v>
      </c>
      <c r="L11" s="85">
        <v>0</v>
      </c>
      <c r="M11" s="85">
        <v>0.2</v>
      </c>
      <c r="N11" s="85">
        <v>0</v>
      </c>
    </row>
    <row r="12" spans="1:46" ht="15" customHeight="1" x14ac:dyDescent="0.15">
      <c r="C12" s="85">
        <v>11</v>
      </c>
      <c r="D12"/>
      <c r="E12" s="183" t="s">
        <v>202</v>
      </c>
      <c r="F12" s="85">
        <v>0</v>
      </c>
      <c r="G12" s="85">
        <v>0.17773324300000001</v>
      </c>
      <c r="H12" s="85">
        <v>1.96</v>
      </c>
      <c r="I12" s="85">
        <v>10.845293</v>
      </c>
      <c r="J12" s="85">
        <v>0.65</v>
      </c>
      <c r="K12" s="85">
        <v>0.180723563</v>
      </c>
      <c r="L12" s="85">
        <v>0</v>
      </c>
      <c r="M12" s="85">
        <v>0.2</v>
      </c>
      <c r="N12" s="85">
        <v>0</v>
      </c>
    </row>
    <row r="13" spans="1:46" ht="15" customHeight="1" x14ac:dyDescent="0.15">
      <c r="C13" s="85">
        <v>12</v>
      </c>
      <c r="D13"/>
      <c r="E13" s="183" t="s">
        <v>203</v>
      </c>
      <c r="F13" s="85">
        <v>0</v>
      </c>
      <c r="G13" s="85">
        <v>1.30199361</v>
      </c>
      <c r="H13" s="85">
        <v>2.9</v>
      </c>
      <c r="I13" s="85">
        <v>13.968</v>
      </c>
      <c r="J13" s="85">
        <v>0.63</v>
      </c>
      <c r="K13" s="85">
        <v>0.207617417</v>
      </c>
      <c r="L13" s="85">
        <v>0</v>
      </c>
      <c r="M13" s="85">
        <v>0.2</v>
      </c>
      <c r="N13" s="85">
        <v>0</v>
      </c>
    </row>
    <row r="14" spans="1:46" ht="15" customHeight="1" x14ac:dyDescent="0.15">
      <c r="C14" s="85">
        <v>13</v>
      </c>
      <c r="D14"/>
      <c r="E14" s="183" t="s">
        <v>204</v>
      </c>
      <c r="F14" s="85">
        <v>0</v>
      </c>
      <c r="G14" s="85">
        <v>0.50553995399999996</v>
      </c>
      <c r="H14" s="85">
        <v>1.96</v>
      </c>
      <c r="I14" s="85">
        <v>8.9700000000000006</v>
      </c>
      <c r="J14" s="85">
        <v>0.6</v>
      </c>
      <c r="K14" s="85">
        <v>0.21850612799999999</v>
      </c>
      <c r="L14" s="85">
        <v>0</v>
      </c>
      <c r="M14" s="85">
        <v>0.2</v>
      </c>
      <c r="N14" s="85">
        <v>0</v>
      </c>
    </row>
    <row r="15" spans="1:46" ht="15" customHeight="1" x14ac:dyDescent="0.15">
      <c r="C15" s="85">
        <v>14</v>
      </c>
      <c r="D15"/>
      <c r="E15" s="183" t="s">
        <v>205</v>
      </c>
      <c r="F15" s="85">
        <v>0</v>
      </c>
      <c r="G15" s="85">
        <v>2.8166266200000002E-2</v>
      </c>
      <c r="H15" s="85">
        <v>1.84</v>
      </c>
      <c r="I15" s="85">
        <v>9.1074269999999995</v>
      </c>
      <c r="J15" s="85">
        <v>0.7</v>
      </c>
      <c r="K15" s="85">
        <v>0.202032924</v>
      </c>
      <c r="L15" s="85">
        <v>0</v>
      </c>
      <c r="M15" s="85">
        <v>0.2</v>
      </c>
      <c r="N15" s="85">
        <v>0</v>
      </c>
    </row>
    <row r="16" spans="1:46" ht="15" customHeight="1" x14ac:dyDescent="0.15">
      <c r="C16" s="85">
        <v>15</v>
      </c>
      <c r="D16"/>
      <c r="E16" s="183" t="s">
        <v>206</v>
      </c>
      <c r="F16" s="85">
        <v>0</v>
      </c>
      <c r="G16" s="85">
        <v>0.10687999400000001</v>
      </c>
      <c r="H16" s="85">
        <v>2.16</v>
      </c>
      <c r="I16" s="85">
        <v>10.119999999999999</v>
      </c>
      <c r="J16" s="85">
        <v>0.93499374400000002</v>
      </c>
      <c r="K16" s="85">
        <v>0.21343874900000001</v>
      </c>
      <c r="L16" s="85">
        <v>0</v>
      </c>
      <c r="M16" s="85">
        <v>0.2</v>
      </c>
      <c r="N16" s="85">
        <v>0</v>
      </c>
    </row>
    <row r="17" spans="1:22" ht="15" customHeight="1" x14ac:dyDescent="0.15">
      <c r="C17" s="85">
        <v>16</v>
      </c>
      <c r="D17"/>
      <c r="E17" s="183" t="s">
        <v>207</v>
      </c>
      <c r="F17" s="85">
        <v>0</v>
      </c>
      <c r="G17" s="85">
        <v>0.40123155700000002</v>
      </c>
      <c r="H17" s="85">
        <v>2.2799999999999998</v>
      </c>
      <c r="I17" s="85">
        <v>11.077796899999999</v>
      </c>
      <c r="J17" s="85">
        <v>0.8</v>
      </c>
      <c r="K17" s="85">
        <v>0.20581708800000001</v>
      </c>
      <c r="L17" s="85">
        <v>0</v>
      </c>
      <c r="M17" s="85">
        <v>0.2</v>
      </c>
      <c r="N17" s="85">
        <v>0</v>
      </c>
      <c r="V17" s="1" t="s">
        <v>30</v>
      </c>
    </row>
    <row r="18" spans="1:22" ht="15" customHeight="1" x14ac:dyDescent="0.15">
      <c r="C18" s="85">
        <v>17</v>
      </c>
      <c r="D18"/>
      <c r="E18" s="183" t="s">
        <v>208</v>
      </c>
      <c r="F18" s="85">
        <v>0</v>
      </c>
      <c r="G18" s="85">
        <v>0.13567999</v>
      </c>
      <c r="H18" s="85">
        <v>2.5680000000000001</v>
      </c>
      <c r="I18" s="85">
        <v>11.05</v>
      </c>
      <c r="J18" s="85">
        <v>0.91790720000000003</v>
      </c>
      <c r="K18" s="85">
        <v>0.2323982</v>
      </c>
      <c r="L18" s="85">
        <v>0</v>
      </c>
      <c r="M18" s="85">
        <v>0.2</v>
      </c>
      <c r="N18" s="85">
        <v>0</v>
      </c>
      <c r="V18" s="1"/>
    </row>
    <row r="19" spans="1:22" ht="15" customHeight="1" x14ac:dyDescent="0.15">
      <c r="C19" s="85">
        <v>18</v>
      </c>
      <c r="D19"/>
      <c r="E19" s="183" t="s">
        <v>209</v>
      </c>
      <c r="F19" s="85">
        <v>0</v>
      </c>
      <c r="G19" s="85">
        <v>0.64879995599999996</v>
      </c>
      <c r="H19" s="85">
        <v>3.9060000000000001</v>
      </c>
      <c r="I19" s="85">
        <v>14.06</v>
      </c>
      <c r="J19" s="85">
        <v>0.95981660000000002</v>
      </c>
      <c r="K19" s="85">
        <v>0.27780938100000002</v>
      </c>
      <c r="L19" s="85">
        <v>0</v>
      </c>
      <c r="M19" s="85">
        <v>0.2</v>
      </c>
      <c r="N19" s="85">
        <v>0</v>
      </c>
    </row>
    <row r="20" spans="1:22" ht="15" customHeight="1" thickBot="1" x14ac:dyDescent="0.2">
      <c r="C20" s="85">
        <v>19</v>
      </c>
      <c r="D20"/>
      <c r="E20" s="183" t="s">
        <v>210</v>
      </c>
      <c r="F20" s="85">
        <v>0</v>
      </c>
      <c r="G20" s="85">
        <v>0.59296000000000004</v>
      </c>
      <c r="H20" s="85">
        <v>4.6719999999999997</v>
      </c>
      <c r="I20" s="85">
        <v>21.480530000000002</v>
      </c>
      <c r="J20" s="85">
        <v>0.89872830000000004</v>
      </c>
      <c r="K20" s="85">
        <v>0.21749928599999999</v>
      </c>
      <c r="L20" s="85">
        <v>0</v>
      </c>
      <c r="M20" s="85">
        <v>0.2</v>
      </c>
      <c r="N20" s="85">
        <v>0</v>
      </c>
    </row>
    <row r="21" spans="1:22" ht="15" customHeight="1" thickBot="1" x14ac:dyDescent="0.2">
      <c r="A21" s="47" t="s">
        <v>137</v>
      </c>
      <c r="B21" s="103"/>
      <c r="C21" s="85">
        <v>20</v>
      </c>
      <c r="D21"/>
      <c r="E21" s="183" t="s">
        <v>211</v>
      </c>
      <c r="F21" s="85">
        <v>0</v>
      </c>
      <c r="G21" s="85">
        <v>0.21279999999999999</v>
      </c>
      <c r="H21" s="85">
        <v>3.1179999999999999</v>
      </c>
      <c r="I21" s="85">
        <v>16.011142700000001</v>
      </c>
      <c r="J21" s="85">
        <v>0.91469610000000001</v>
      </c>
      <c r="K21" s="85">
        <v>0.19473938599999999</v>
      </c>
      <c r="L21" s="85">
        <v>0</v>
      </c>
      <c r="M21" s="85">
        <v>0.2</v>
      </c>
      <c r="N21" s="85">
        <v>0</v>
      </c>
    </row>
    <row r="22" spans="1:22" ht="15" customHeight="1" x14ac:dyDescent="0.15">
      <c r="A22" s="104" t="s">
        <v>58</v>
      </c>
      <c r="B22" s="105">
        <v>0</v>
      </c>
      <c r="C22" s="85">
        <v>21</v>
      </c>
      <c r="D22"/>
      <c r="E22" s="183" t="s">
        <v>212</v>
      </c>
      <c r="F22" s="85">
        <v>0</v>
      </c>
      <c r="G22" s="85">
        <v>0.31136000000000003</v>
      </c>
      <c r="H22" s="85">
        <v>3.8149999999999999</v>
      </c>
      <c r="I22" s="85">
        <v>16.706716499999999</v>
      </c>
      <c r="J22" s="85">
        <v>0.91135704500000003</v>
      </c>
      <c r="K22" s="85">
        <v>0.22835127999999999</v>
      </c>
      <c r="L22" s="85">
        <v>0</v>
      </c>
      <c r="M22" s="85">
        <v>0.2</v>
      </c>
      <c r="N22" s="85">
        <v>0</v>
      </c>
    </row>
    <row r="23" spans="1:22" ht="15" customHeight="1" x14ac:dyDescent="0.15">
      <c r="A23" s="104" t="s">
        <v>59</v>
      </c>
      <c r="B23" s="105">
        <v>1</v>
      </c>
      <c r="C23" s="85">
        <v>22</v>
      </c>
      <c r="D23"/>
      <c r="E23" s="183" t="s">
        <v>213</v>
      </c>
      <c r="F23" s="85">
        <v>0</v>
      </c>
      <c r="G23" s="85">
        <v>3.5277880000000001</v>
      </c>
      <c r="H23" s="85">
        <v>5.05</v>
      </c>
      <c r="I23" s="85">
        <v>22</v>
      </c>
      <c r="J23" s="85">
        <v>0.9</v>
      </c>
      <c r="K23" s="85">
        <v>0.22954545900000001</v>
      </c>
      <c r="L23" s="85">
        <v>0</v>
      </c>
      <c r="M23" s="85">
        <v>0.2</v>
      </c>
      <c r="N23" s="85">
        <v>0</v>
      </c>
    </row>
    <row r="24" spans="1:22" ht="15" customHeight="1" x14ac:dyDescent="0.15">
      <c r="A24" s="104" t="s">
        <v>60</v>
      </c>
      <c r="B24" s="105">
        <v>2</v>
      </c>
      <c r="C24" s="85">
        <v>23</v>
      </c>
      <c r="D24"/>
      <c r="E24" s="183" t="s">
        <v>214</v>
      </c>
      <c r="F24" s="85">
        <v>0</v>
      </c>
      <c r="G24" s="85">
        <v>2.5008144400000001</v>
      </c>
      <c r="H24" s="85">
        <v>5.79</v>
      </c>
      <c r="I24" s="85">
        <v>25.94</v>
      </c>
      <c r="J24" s="85">
        <v>0.8</v>
      </c>
      <c r="K24" s="85">
        <v>0.2232074</v>
      </c>
      <c r="L24" s="85">
        <v>0</v>
      </c>
      <c r="M24" s="85">
        <v>0.2</v>
      </c>
      <c r="N24" s="85">
        <v>0</v>
      </c>
    </row>
    <row r="25" spans="1:22" ht="15" customHeight="1" thickBot="1" x14ac:dyDescent="0.2">
      <c r="A25" s="106" t="s">
        <v>44</v>
      </c>
      <c r="B25" s="107">
        <v>3</v>
      </c>
      <c r="C25" s="85">
        <v>24</v>
      </c>
      <c r="D25"/>
      <c r="E25" s="183" t="s">
        <v>215</v>
      </c>
      <c r="F25" s="85">
        <v>0</v>
      </c>
      <c r="G25" s="85">
        <v>0.82492920000000003</v>
      </c>
      <c r="H25" s="85">
        <v>2.5</v>
      </c>
      <c r="I25" s="85">
        <v>12.15</v>
      </c>
      <c r="J25" s="85">
        <v>0.65</v>
      </c>
      <c r="K25" s="85">
        <v>0.20576132799999999</v>
      </c>
      <c r="L25" s="85">
        <v>0</v>
      </c>
      <c r="M25" s="85">
        <v>0.2</v>
      </c>
      <c r="N25" s="85">
        <v>0</v>
      </c>
    </row>
    <row r="26" spans="1:22" ht="15" customHeight="1" x14ac:dyDescent="0.15">
      <c r="A26" s="108" t="s">
        <v>140</v>
      </c>
      <c r="C26" s="85">
        <v>25</v>
      </c>
      <c r="D26"/>
      <c r="E26" s="183" t="s">
        <v>216</v>
      </c>
      <c r="F26" s="85">
        <v>0</v>
      </c>
      <c r="G26" s="85">
        <v>9.9568650000000005</v>
      </c>
      <c r="H26" s="85">
        <v>8.35</v>
      </c>
      <c r="I26" s="85">
        <v>33.4</v>
      </c>
      <c r="J26" s="85">
        <v>0.8</v>
      </c>
      <c r="K26" s="85">
        <v>0.25</v>
      </c>
      <c r="L26" s="85">
        <v>0</v>
      </c>
      <c r="M26" s="85">
        <v>0.2</v>
      </c>
      <c r="N26" s="85">
        <v>0</v>
      </c>
    </row>
    <row r="27" spans="1:22" ht="15" customHeight="1" x14ac:dyDescent="0.15">
      <c r="C27" s="85">
        <v>26</v>
      </c>
      <c r="D27"/>
      <c r="E27" s="183" t="s">
        <v>217</v>
      </c>
      <c r="F27" s="85">
        <v>0</v>
      </c>
      <c r="G27" s="85">
        <v>0.85789865300000001</v>
      </c>
      <c r="H27" s="85">
        <v>3.64</v>
      </c>
      <c r="I27" s="85">
        <v>16.64</v>
      </c>
      <c r="J27" s="85">
        <v>0.7</v>
      </c>
      <c r="K27" s="85">
        <v>0.21875001499999999</v>
      </c>
      <c r="L27" s="85">
        <v>0</v>
      </c>
      <c r="M27" s="85">
        <v>0.2</v>
      </c>
      <c r="N27" s="85">
        <v>0</v>
      </c>
    </row>
    <row r="28" spans="1:22" ht="15" customHeight="1" x14ac:dyDescent="0.15">
      <c r="C28" s="85">
        <v>27</v>
      </c>
      <c r="D28"/>
      <c r="E28" s="183" t="s">
        <v>218</v>
      </c>
      <c r="F28" s="85">
        <v>0</v>
      </c>
      <c r="G28" s="85">
        <v>6.9568679999999994E-2</v>
      </c>
      <c r="H28" s="85">
        <v>1.64</v>
      </c>
      <c r="I28" s="85">
        <v>7.3</v>
      </c>
      <c r="J28" s="85">
        <v>0.65</v>
      </c>
      <c r="K28" s="85">
        <v>0.224657521</v>
      </c>
      <c r="L28" s="85">
        <v>0</v>
      </c>
      <c r="M28" s="85">
        <v>0.2</v>
      </c>
      <c r="N28" s="85">
        <v>0</v>
      </c>
    </row>
    <row r="29" spans="1:22" customFormat="1" ht="15" customHeight="1" x14ac:dyDescent="0.15">
      <c r="C29" s="85">
        <v>28</v>
      </c>
      <c r="E29" s="183" t="s">
        <v>219</v>
      </c>
      <c r="F29" s="85">
        <v>0</v>
      </c>
      <c r="G29" s="85">
        <v>23.775766399999998</v>
      </c>
      <c r="H29" s="85">
        <v>3.5150000000000001</v>
      </c>
      <c r="I29" s="85">
        <v>12.75</v>
      </c>
      <c r="J29" s="85">
        <v>0.7</v>
      </c>
      <c r="K29" s="85">
        <v>0.2756863</v>
      </c>
      <c r="L29" s="85">
        <v>0</v>
      </c>
      <c r="M29" s="85">
        <v>0.2</v>
      </c>
      <c r="N29" s="85">
        <v>0</v>
      </c>
    </row>
    <row r="30" spans="1:22" customFormat="1" ht="15" customHeight="1" x14ac:dyDescent="0.15">
      <c r="C30" s="85">
        <v>29</v>
      </c>
      <c r="E30" s="183" t="s">
        <v>220</v>
      </c>
      <c r="F30" s="85">
        <v>0</v>
      </c>
      <c r="G30" s="85">
        <v>0.211443558</v>
      </c>
      <c r="H30" s="85">
        <v>0.97</v>
      </c>
      <c r="I30" s="85">
        <v>3.88</v>
      </c>
      <c r="J30" s="85">
        <v>0.7</v>
      </c>
      <c r="K30" s="85">
        <v>0.25</v>
      </c>
      <c r="L30" s="85">
        <v>0</v>
      </c>
      <c r="M30" s="85">
        <v>0.2</v>
      </c>
      <c r="N30" s="85">
        <v>0</v>
      </c>
    </row>
    <row r="31" spans="1:22" customFormat="1" ht="15" customHeight="1" x14ac:dyDescent="0.15">
      <c r="C31" s="85">
        <v>30</v>
      </c>
      <c r="E31" s="183" t="s">
        <v>221</v>
      </c>
      <c r="F31" s="85">
        <v>0</v>
      </c>
      <c r="G31" s="85">
        <v>9.2997770000000006</v>
      </c>
      <c r="H31" s="85">
        <v>1.2375</v>
      </c>
      <c r="I31" s="85">
        <v>4.95</v>
      </c>
      <c r="J31" s="85">
        <v>0.7</v>
      </c>
      <c r="K31" s="85">
        <v>0.25</v>
      </c>
      <c r="L31" s="85">
        <v>0</v>
      </c>
      <c r="M31" s="85">
        <v>0.2</v>
      </c>
      <c r="N31" s="85">
        <v>0</v>
      </c>
    </row>
    <row r="32" spans="1:22" customFormat="1" ht="15" customHeight="1" x14ac:dyDescent="0.15">
      <c r="C32" s="85">
        <v>31</v>
      </c>
      <c r="E32" s="183" t="s">
        <v>222</v>
      </c>
      <c r="F32" s="85">
        <v>0</v>
      </c>
      <c r="G32" s="85">
        <v>5.725403</v>
      </c>
      <c r="H32" s="85">
        <v>7.2</v>
      </c>
      <c r="I32" s="85">
        <v>26</v>
      </c>
      <c r="J32" s="85">
        <v>0.7</v>
      </c>
      <c r="K32" s="85">
        <v>0.27692306</v>
      </c>
      <c r="L32" s="85">
        <v>0</v>
      </c>
      <c r="M32" s="85">
        <v>0.2</v>
      </c>
      <c r="N32" s="85">
        <v>0</v>
      </c>
    </row>
    <row r="33" spans="3:14" customFormat="1" ht="15" customHeight="1" x14ac:dyDescent="0.15">
      <c r="C33" s="85">
        <v>32</v>
      </c>
      <c r="E33" s="183" t="s">
        <v>223</v>
      </c>
      <c r="F33" s="85">
        <v>0</v>
      </c>
      <c r="G33" s="85">
        <v>11.682170899999999</v>
      </c>
      <c r="H33" s="85">
        <v>2.1</v>
      </c>
      <c r="I33" s="85">
        <v>7.3</v>
      </c>
      <c r="J33" s="85">
        <v>0.6</v>
      </c>
      <c r="K33" s="85">
        <v>0.28767120000000002</v>
      </c>
      <c r="L33" s="85">
        <v>0</v>
      </c>
      <c r="M33" s="85">
        <v>0.2</v>
      </c>
      <c r="N33" s="85">
        <v>0</v>
      </c>
    </row>
    <row r="34" spans="3:14" customFormat="1" ht="15" customHeight="1" x14ac:dyDescent="0.15">
      <c r="C34" s="85">
        <v>33</v>
      </c>
      <c r="E34" s="183" t="s">
        <v>224</v>
      </c>
      <c r="F34" s="85">
        <v>0</v>
      </c>
      <c r="G34" s="85">
        <v>14.7900867</v>
      </c>
      <c r="H34" s="85">
        <v>2.5</v>
      </c>
      <c r="I34" s="85">
        <v>7</v>
      </c>
      <c r="J34" s="85">
        <v>0.6</v>
      </c>
      <c r="K34" s="85">
        <v>0.357142866</v>
      </c>
      <c r="L34" s="85">
        <v>0</v>
      </c>
      <c r="M34" s="85">
        <v>0.2</v>
      </c>
      <c r="N34" s="85">
        <v>0</v>
      </c>
    </row>
    <row r="35" spans="3:14" customFormat="1" ht="15" customHeight="1" x14ac:dyDescent="0.15">
      <c r="C35" s="85">
        <v>34</v>
      </c>
      <c r="E35" s="183" t="s">
        <v>225</v>
      </c>
      <c r="F35" s="85">
        <v>0</v>
      </c>
      <c r="G35" s="85">
        <v>2.2487339999999998</v>
      </c>
      <c r="H35" s="85">
        <v>40</v>
      </c>
      <c r="I35" s="85">
        <v>133</v>
      </c>
      <c r="J35" s="85">
        <v>0.95</v>
      </c>
      <c r="K35" s="85">
        <v>0.30075186500000001</v>
      </c>
      <c r="L35" s="85">
        <v>0</v>
      </c>
      <c r="M35" s="85">
        <v>0.2</v>
      </c>
      <c r="N35" s="85">
        <v>0</v>
      </c>
    </row>
    <row r="36" spans="3:14" customFormat="1" ht="15" customHeight="1" x14ac:dyDescent="0.15">
      <c r="C36" s="85">
        <v>35</v>
      </c>
      <c r="E36" s="183" t="s">
        <v>226</v>
      </c>
      <c r="F36" s="85">
        <v>1</v>
      </c>
      <c r="G36" s="85">
        <v>2.5499999999999998</v>
      </c>
      <c r="H36" s="85">
        <v>180</v>
      </c>
      <c r="I36" s="85">
        <v>0</v>
      </c>
      <c r="J36" s="85">
        <v>0.84507030000000005</v>
      </c>
      <c r="K36" s="85">
        <v>0</v>
      </c>
      <c r="L36" s="85">
        <v>0</v>
      </c>
      <c r="M36" s="85">
        <v>0</v>
      </c>
      <c r="N36" s="85">
        <v>0</v>
      </c>
    </row>
    <row r="37" spans="3:14" customFormat="1" ht="15" customHeight="1" x14ac:dyDescent="0.15">
      <c r="C37" s="85">
        <v>36</v>
      </c>
      <c r="E37" s="183" t="s">
        <v>227</v>
      </c>
      <c r="F37" s="85">
        <v>1</v>
      </c>
      <c r="G37" s="85">
        <v>52.91046</v>
      </c>
      <c r="H37" s="85">
        <v>15</v>
      </c>
      <c r="I37" s="85">
        <v>0</v>
      </c>
      <c r="J37" s="85">
        <v>0.5</v>
      </c>
      <c r="K37" s="85">
        <v>0</v>
      </c>
      <c r="L37" s="85">
        <v>0</v>
      </c>
      <c r="M37" s="85">
        <v>0</v>
      </c>
      <c r="N37" s="85">
        <v>0</v>
      </c>
    </row>
    <row r="38" spans="3:14" customFormat="1" ht="15" customHeight="1" x14ac:dyDescent="0.15">
      <c r="C38" s="85">
        <v>37</v>
      </c>
      <c r="E38" s="183" t="s">
        <v>228</v>
      </c>
      <c r="F38" s="85">
        <v>2</v>
      </c>
      <c r="G38" s="85">
        <v>100</v>
      </c>
      <c r="H38" s="85">
        <v>0</v>
      </c>
      <c r="I38" s="85">
        <v>0</v>
      </c>
      <c r="J38" s="85">
        <v>0</v>
      </c>
      <c r="K38" s="85">
        <v>0</v>
      </c>
      <c r="L38" s="85">
        <v>0</v>
      </c>
      <c r="M38" s="85">
        <v>0</v>
      </c>
      <c r="N38" s="85">
        <v>0</v>
      </c>
    </row>
    <row r="39" spans="3:14" customFormat="1" ht="15" customHeight="1" x14ac:dyDescent="0.15">
      <c r="C39" s="85">
        <v>38</v>
      </c>
      <c r="E39" s="183" t="s">
        <v>229</v>
      </c>
      <c r="F39" s="85">
        <v>2</v>
      </c>
      <c r="G39" s="85">
        <v>5</v>
      </c>
      <c r="H39" s="85">
        <v>0</v>
      </c>
      <c r="I39" s="85">
        <v>0</v>
      </c>
      <c r="J39" s="85">
        <v>0</v>
      </c>
      <c r="K39" s="85">
        <v>0</v>
      </c>
      <c r="L39" s="85">
        <v>0</v>
      </c>
      <c r="M39" s="85">
        <v>0</v>
      </c>
      <c r="N39" s="85">
        <v>0</v>
      </c>
    </row>
    <row r="40" spans="3:14" customFormat="1" ht="15" customHeight="1" x14ac:dyDescent="0.15">
      <c r="C40" s="85">
        <v>39</v>
      </c>
      <c r="E40" s="183" t="s">
        <v>230</v>
      </c>
      <c r="F40" s="85">
        <v>3</v>
      </c>
      <c r="G40" s="85">
        <v>0</v>
      </c>
      <c r="H40" s="85">
        <v>0</v>
      </c>
      <c r="I40" s="85">
        <v>0</v>
      </c>
      <c r="J40" s="85">
        <v>0</v>
      </c>
      <c r="K40" s="85">
        <v>0</v>
      </c>
      <c r="L40" s="85">
        <v>0</v>
      </c>
      <c r="M40" s="85">
        <v>0</v>
      </c>
      <c r="N40" s="85">
        <v>0</v>
      </c>
    </row>
    <row r="41" spans="3:14" customFormat="1" ht="15" customHeight="1" x14ac:dyDescent="0.15">
      <c r="C41" s="85">
        <v>40</v>
      </c>
      <c r="E41" s="183" t="s">
        <v>231</v>
      </c>
      <c r="F41" s="85">
        <v>3</v>
      </c>
      <c r="G41" s="85">
        <v>0</v>
      </c>
      <c r="H41" s="85">
        <v>0</v>
      </c>
      <c r="I41" s="85">
        <v>0</v>
      </c>
      <c r="J41" s="85">
        <v>0</v>
      </c>
      <c r="K41" s="85">
        <v>0</v>
      </c>
      <c r="L41" s="85">
        <v>0</v>
      </c>
      <c r="M41" s="85">
        <v>0</v>
      </c>
      <c r="N41" s="85">
        <v>0</v>
      </c>
    </row>
    <row r="42" spans="3:14" customFormat="1" ht="15" customHeight="1" x14ac:dyDescent="0.15">
      <c r="C42" s="85">
        <v>41</v>
      </c>
      <c r="E42" s="183" t="s">
        <v>232</v>
      </c>
      <c r="F42" s="85">
        <v>3</v>
      </c>
      <c r="G42" s="85">
        <v>0</v>
      </c>
      <c r="H42" s="85">
        <v>0</v>
      </c>
      <c r="I42" s="85">
        <v>0</v>
      </c>
      <c r="J42" s="85">
        <v>0</v>
      </c>
      <c r="K42" s="85">
        <v>0</v>
      </c>
      <c r="L42" s="85">
        <v>0</v>
      </c>
      <c r="M42" s="85">
        <v>0</v>
      </c>
      <c r="N42" s="85">
        <v>0</v>
      </c>
    </row>
    <row r="43" spans="3:14" customFormat="1" ht="15" customHeight="1" x14ac:dyDescent="0.15">
      <c r="C43" s="85">
        <v>42</v>
      </c>
      <c r="E43" s="183" t="s">
        <v>233</v>
      </c>
      <c r="F43" s="85">
        <v>3</v>
      </c>
      <c r="G43" s="85">
        <v>0</v>
      </c>
      <c r="H43" s="85">
        <v>0</v>
      </c>
      <c r="I43" s="85">
        <v>0</v>
      </c>
      <c r="J43" s="85">
        <v>0</v>
      </c>
      <c r="K43" s="85">
        <v>0</v>
      </c>
      <c r="L43" s="85">
        <v>0</v>
      </c>
      <c r="M43" s="85">
        <v>0</v>
      </c>
      <c r="N43" s="85">
        <v>0</v>
      </c>
    </row>
    <row r="44" spans="3:14" customFormat="1" ht="15" customHeight="1" x14ac:dyDescent="0.15">
      <c r="C44" s="85">
        <v>43</v>
      </c>
      <c r="E44" s="183" t="s">
        <v>234</v>
      </c>
      <c r="F44" s="85">
        <v>3</v>
      </c>
      <c r="G44" s="85">
        <v>0</v>
      </c>
      <c r="H44" s="85">
        <v>0</v>
      </c>
      <c r="I44" s="85">
        <v>0</v>
      </c>
      <c r="J44" s="85">
        <v>0</v>
      </c>
      <c r="K44" s="85">
        <v>0</v>
      </c>
      <c r="L44" s="85">
        <v>0</v>
      </c>
      <c r="M44" s="85">
        <v>0</v>
      </c>
      <c r="N44" s="85">
        <v>0</v>
      </c>
    </row>
    <row r="45" spans="3:14" customFormat="1" ht="15" customHeight="1" x14ac:dyDescent="0.15">
      <c r="C45" s="85">
        <v>44</v>
      </c>
      <c r="E45" s="183" t="s">
        <v>235</v>
      </c>
      <c r="F45" s="85">
        <v>3</v>
      </c>
      <c r="G45" s="85">
        <v>0</v>
      </c>
      <c r="H45" s="85">
        <v>0</v>
      </c>
      <c r="I45" s="85">
        <v>0</v>
      </c>
      <c r="J45" s="85">
        <v>0</v>
      </c>
      <c r="K45" s="85">
        <v>0</v>
      </c>
      <c r="L45" s="85">
        <v>0</v>
      </c>
      <c r="M45" s="85">
        <v>0</v>
      </c>
      <c r="N45" s="85">
        <v>0</v>
      </c>
    </row>
    <row r="46" spans="3:14" customFormat="1" ht="15" customHeight="1" x14ac:dyDescent="0.15">
      <c r="C46" s="85">
        <v>45</v>
      </c>
      <c r="E46" s="183" t="s">
        <v>236</v>
      </c>
      <c r="F46" s="85">
        <v>3</v>
      </c>
      <c r="G46" s="85">
        <v>0</v>
      </c>
      <c r="H46" s="85">
        <v>0</v>
      </c>
      <c r="I46" s="85">
        <v>0</v>
      </c>
      <c r="J46" s="85">
        <v>0</v>
      </c>
      <c r="K46" s="85">
        <v>0</v>
      </c>
      <c r="L46" s="85">
        <v>0</v>
      </c>
      <c r="M46" s="85">
        <v>0</v>
      </c>
      <c r="N46" s="85">
        <v>0</v>
      </c>
    </row>
    <row r="47" spans="3:14" customFormat="1" ht="15" customHeight="1" x14ac:dyDescent="0.15">
      <c r="C47" s="85">
        <v>46</v>
      </c>
      <c r="E47" s="183" t="s">
        <v>237</v>
      </c>
      <c r="F47" s="85">
        <v>3</v>
      </c>
      <c r="G47" s="85">
        <v>0</v>
      </c>
      <c r="H47" s="85">
        <v>0</v>
      </c>
      <c r="I47" s="85">
        <v>0</v>
      </c>
      <c r="J47" s="85">
        <v>0</v>
      </c>
      <c r="K47" s="85">
        <v>0</v>
      </c>
      <c r="L47" s="85">
        <v>0</v>
      </c>
      <c r="M47" s="85">
        <v>0</v>
      </c>
      <c r="N47" s="85">
        <v>0</v>
      </c>
    </row>
    <row r="48" spans="3:14" customFormat="1" ht="15" customHeight="1" x14ac:dyDescent="0.15">
      <c r="C48" s="85">
        <v>47</v>
      </c>
      <c r="E48" s="183" t="s">
        <v>238</v>
      </c>
      <c r="F48" s="85">
        <v>3</v>
      </c>
      <c r="G48" s="85">
        <v>0</v>
      </c>
      <c r="H48" s="85">
        <v>0</v>
      </c>
      <c r="I48" s="85">
        <v>0</v>
      </c>
      <c r="J48" s="85">
        <v>0</v>
      </c>
      <c r="K48" s="85">
        <v>0</v>
      </c>
      <c r="L48" s="85">
        <v>0</v>
      </c>
      <c r="M48" s="85">
        <v>0</v>
      </c>
      <c r="N48" s="85">
        <v>0</v>
      </c>
    </row>
    <row r="49" spans="3:14" customFormat="1" ht="15" customHeight="1" x14ac:dyDescent="0.15">
      <c r="C49" s="85">
        <v>48</v>
      </c>
      <c r="E49" s="183" t="s">
        <v>239</v>
      </c>
      <c r="F49" s="85">
        <v>3</v>
      </c>
      <c r="G49" s="85">
        <v>0</v>
      </c>
      <c r="H49" s="85">
        <v>0</v>
      </c>
      <c r="I49" s="85">
        <v>0</v>
      </c>
      <c r="J49" s="85">
        <v>0</v>
      </c>
      <c r="K49" s="85">
        <v>0</v>
      </c>
      <c r="L49" s="85">
        <v>0</v>
      </c>
      <c r="M49" s="85">
        <v>0</v>
      </c>
      <c r="N49" s="85">
        <v>0</v>
      </c>
    </row>
    <row r="50" spans="3:14" customFormat="1" ht="15" customHeight="1" x14ac:dyDescent="0.15">
      <c r="C50" s="85">
        <v>49</v>
      </c>
      <c r="E50" s="183" t="s">
        <v>240</v>
      </c>
      <c r="F50" s="85">
        <v>3</v>
      </c>
      <c r="G50" s="85">
        <v>0</v>
      </c>
      <c r="H50" s="85">
        <v>0</v>
      </c>
      <c r="I50" s="85">
        <v>0</v>
      </c>
      <c r="J50" s="85">
        <v>0</v>
      </c>
      <c r="K50" s="85">
        <v>0</v>
      </c>
      <c r="L50" s="85">
        <v>0</v>
      </c>
      <c r="M50" s="85">
        <v>0</v>
      </c>
      <c r="N50" s="85">
        <v>0</v>
      </c>
    </row>
    <row r="51" spans="3:14" customFormat="1" ht="15" customHeight="1" x14ac:dyDescent="0.15">
      <c r="C51" s="85">
        <v>50</v>
      </c>
      <c r="E51" s="183" t="s">
        <v>241</v>
      </c>
      <c r="F51" s="85">
        <v>3</v>
      </c>
      <c r="G51" s="85">
        <v>0</v>
      </c>
      <c r="H51" s="85">
        <v>0</v>
      </c>
      <c r="I51" s="85">
        <v>0</v>
      </c>
      <c r="J51" s="85">
        <v>0</v>
      </c>
      <c r="K51" s="85">
        <v>0</v>
      </c>
      <c r="L51" s="85">
        <v>0</v>
      </c>
      <c r="M51" s="85">
        <v>0</v>
      </c>
      <c r="N51" s="85">
        <v>0</v>
      </c>
    </row>
    <row r="52" spans="3:14" customFormat="1" ht="15" customHeight="1" x14ac:dyDescent="0.15">
      <c r="C52" s="85">
        <v>51</v>
      </c>
      <c r="E52" s="183" t="s">
        <v>242</v>
      </c>
      <c r="F52" s="85">
        <v>3</v>
      </c>
      <c r="G52" s="85">
        <v>0</v>
      </c>
      <c r="H52" s="85">
        <v>0</v>
      </c>
      <c r="I52" s="85">
        <v>0</v>
      </c>
      <c r="J52" s="85">
        <v>0</v>
      </c>
      <c r="K52" s="85">
        <v>0</v>
      </c>
      <c r="L52" s="85">
        <v>0</v>
      </c>
      <c r="M52" s="85">
        <v>0</v>
      </c>
      <c r="N52" s="85">
        <v>0</v>
      </c>
    </row>
    <row r="53" spans="3:14" customFormat="1" ht="15" customHeight="1" x14ac:dyDescent="0.15">
      <c r="C53" s="85">
        <v>52</v>
      </c>
      <c r="E53" s="183" t="s">
        <v>243</v>
      </c>
      <c r="F53" s="85">
        <v>3</v>
      </c>
      <c r="G53" s="85">
        <v>0</v>
      </c>
      <c r="H53" s="85">
        <v>0</v>
      </c>
      <c r="I53" s="85">
        <v>0</v>
      </c>
      <c r="J53" s="85">
        <v>0</v>
      </c>
      <c r="K53" s="85">
        <v>0</v>
      </c>
      <c r="L53" s="85">
        <v>0</v>
      </c>
      <c r="M53" s="85">
        <v>0</v>
      </c>
      <c r="N53" s="85">
        <v>0</v>
      </c>
    </row>
    <row r="54" spans="3:14" customFormat="1" ht="15" customHeight="1" x14ac:dyDescent="0.15">
      <c r="C54" s="85">
        <v>53</v>
      </c>
      <c r="E54" s="183" t="s">
        <v>244</v>
      </c>
      <c r="F54" s="85">
        <v>3</v>
      </c>
      <c r="G54" s="85">
        <v>0</v>
      </c>
      <c r="H54" s="85">
        <v>0</v>
      </c>
      <c r="I54" s="85">
        <v>0</v>
      </c>
      <c r="J54" s="85">
        <v>0</v>
      </c>
      <c r="K54" s="85">
        <v>0</v>
      </c>
      <c r="L54" s="85">
        <v>0</v>
      </c>
      <c r="M54" s="85">
        <v>0</v>
      </c>
      <c r="N54" s="85">
        <v>0</v>
      </c>
    </row>
    <row r="55" spans="3:14" customFormat="1" ht="15" customHeight="1" x14ac:dyDescent="0.15">
      <c r="C55" s="85">
        <v>54</v>
      </c>
      <c r="E55" s="183" t="s">
        <v>245</v>
      </c>
      <c r="F55" s="85">
        <v>3</v>
      </c>
      <c r="G55" s="85">
        <v>0</v>
      </c>
      <c r="H55" s="85">
        <v>0</v>
      </c>
      <c r="I55" s="85">
        <v>0</v>
      </c>
      <c r="J55" s="85">
        <v>0</v>
      </c>
      <c r="K55" s="85">
        <v>0</v>
      </c>
      <c r="L55" s="85">
        <v>0</v>
      </c>
      <c r="M55" s="85">
        <v>0</v>
      </c>
      <c r="N55" s="85">
        <v>0</v>
      </c>
    </row>
    <row r="56" spans="3:14" customFormat="1" ht="15" customHeight="1" x14ac:dyDescent="0.15">
      <c r="C56" s="85">
        <v>55</v>
      </c>
      <c r="E56" s="183" t="s">
        <v>246</v>
      </c>
      <c r="F56" s="85">
        <v>3</v>
      </c>
      <c r="G56" s="85">
        <v>0</v>
      </c>
      <c r="H56" s="85">
        <v>0</v>
      </c>
      <c r="I56" s="85">
        <v>0</v>
      </c>
      <c r="J56" s="85">
        <v>0</v>
      </c>
      <c r="K56" s="85">
        <v>0</v>
      </c>
      <c r="L56" s="85">
        <v>0</v>
      </c>
      <c r="M56" s="85">
        <v>0</v>
      </c>
      <c r="N56" s="85">
        <v>0</v>
      </c>
    </row>
    <row r="57" spans="3:14" customFormat="1" ht="15" customHeight="1" x14ac:dyDescent="0.15"/>
    <row r="58" spans="3:14" customFormat="1" ht="15" customHeight="1" x14ac:dyDescent="0.15"/>
    <row r="59" spans="3:14" customFormat="1" ht="15" customHeight="1" x14ac:dyDescent="0.15"/>
    <row r="60" spans="3:14" customFormat="1" ht="15" customHeight="1" x14ac:dyDescent="0.15"/>
    <row r="61" spans="3:14" customFormat="1" ht="15" customHeight="1" x14ac:dyDescent="0.15"/>
    <row r="62" spans="3:14" customFormat="1" ht="15" customHeight="1" x14ac:dyDescent="0.15"/>
    <row r="63" spans="3:14" customFormat="1" ht="15" customHeight="1" x14ac:dyDescent="0.15"/>
    <row r="64" spans="3:1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M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41.83203125" style="148" bestFit="1" customWidth="1"/>
    <col min="2" max="2" width="5.83203125" style="148" bestFit="1" customWidth="1"/>
    <col min="3" max="3" width="15.83203125" style="148" bestFit="1" customWidth="1"/>
    <col min="4" max="4" width="14.83203125" style="148" bestFit="1" customWidth="1"/>
    <col min="5" max="7" width="15.83203125" style="148" bestFit="1" customWidth="1"/>
    <col min="8" max="8" width="13.83203125" style="148" bestFit="1" customWidth="1"/>
    <col min="9" max="9" width="15.83203125" style="148" bestFit="1" customWidth="1"/>
    <col min="10" max="10" width="14.83203125" style="148" bestFit="1" customWidth="1"/>
    <col min="11" max="13" width="15.83203125" style="148" bestFit="1" customWidth="1"/>
    <col min="14" max="15" width="14.83203125" style="148" bestFit="1" customWidth="1"/>
    <col min="16" max="17" width="15.83203125" style="148" bestFit="1" customWidth="1"/>
    <col min="18" max="18" width="14.83203125" style="148" bestFit="1" customWidth="1"/>
    <col min="19" max="20" width="15.83203125" style="148" bestFit="1" customWidth="1"/>
    <col min="21" max="21" width="13.83203125" style="148" bestFit="1" customWidth="1"/>
    <col min="22" max="22" width="14.83203125" style="148" bestFit="1" customWidth="1"/>
    <col min="23" max="23" width="6.83203125" style="148" bestFit="1" customWidth="1"/>
    <col min="24" max="24" width="4.83203125" style="148" bestFit="1" customWidth="1"/>
    <col min="25" max="25" width="5.83203125" style="148" bestFit="1" customWidth="1"/>
    <col min="26" max="26" width="4.83203125" style="148" bestFit="1" customWidth="1"/>
    <col min="27" max="28" width="5.83203125" style="148" bestFit="1" customWidth="1"/>
    <col min="29" max="29" width="6.83203125" style="148" bestFit="1" customWidth="1"/>
    <col min="30" max="30" width="3.83203125" style="148" customWidth="1"/>
    <col min="31" max="31" width="15.83203125" style="148" customWidth="1"/>
    <col min="32" max="32" width="5.83203125" style="148" customWidth="1"/>
    <col min="33" max="33" width="4.83203125" style="148" customWidth="1"/>
    <col min="34" max="34" width="3.83203125" style="148" customWidth="1"/>
    <col min="35" max="35" width="4.83203125" style="148" customWidth="1"/>
    <col min="36" max="39" width="2.33203125" style="148" customWidth="1"/>
    <col min="40" max="16384" width="8.83203125" style="148"/>
  </cols>
  <sheetData>
    <row r="1" spans="1:39" x14ac:dyDescent="0.15">
      <c r="A1" s="147" t="s">
        <v>19</v>
      </c>
      <c r="B1" s="185" t="s">
        <v>192</v>
      </c>
      <c r="C1" s="185" t="s">
        <v>193</v>
      </c>
      <c r="D1" s="185" t="s">
        <v>194</v>
      </c>
      <c r="E1" s="185" t="s">
        <v>195</v>
      </c>
      <c r="F1" s="185" t="s">
        <v>196</v>
      </c>
      <c r="G1" s="185" t="s">
        <v>197</v>
      </c>
      <c r="H1" s="185" t="s">
        <v>198</v>
      </c>
      <c r="I1" s="185" t="s">
        <v>199</v>
      </c>
      <c r="J1" s="185" t="s">
        <v>200</v>
      </c>
      <c r="K1" s="185" t="s">
        <v>201</v>
      </c>
      <c r="L1" s="185" t="s">
        <v>202</v>
      </c>
      <c r="M1" s="185" t="s">
        <v>203</v>
      </c>
      <c r="N1" s="185" t="s">
        <v>204</v>
      </c>
      <c r="O1" s="185" t="s">
        <v>205</v>
      </c>
      <c r="P1" s="185" t="s">
        <v>206</v>
      </c>
      <c r="Q1" s="185" t="s">
        <v>207</v>
      </c>
      <c r="R1" s="185" t="s">
        <v>208</v>
      </c>
      <c r="S1" s="185" t="s">
        <v>209</v>
      </c>
      <c r="T1" s="185" t="s">
        <v>210</v>
      </c>
      <c r="U1" s="185" t="s">
        <v>211</v>
      </c>
      <c r="V1" s="185" t="s">
        <v>212</v>
      </c>
      <c r="W1" s="185" t="s">
        <v>213</v>
      </c>
      <c r="X1" s="185" t="s">
        <v>214</v>
      </c>
      <c r="Y1" s="185" t="s">
        <v>215</v>
      </c>
      <c r="Z1" s="185" t="s">
        <v>216</v>
      </c>
      <c r="AA1" s="185" t="s">
        <v>217</v>
      </c>
      <c r="AB1" s="185" t="s">
        <v>218</v>
      </c>
      <c r="AC1" s="185" t="s">
        <v>219</v>
      </c>
      <c r="AD1" s="185" t="s">
        <v>220</v>
      </c>
      <c r="AE1" s="185" t="s">
        <v>221</v>
      </c>
      <c r="AF1" s="185" t="s">
        <v>222</v>
      </c>
      <c r="AG1" s="185" t="s">
        <v>223</v>
      </c>
      <c r="AH1" s="185" t="s">
        <v>224</v>
      </c>
      <c r="AI1" s="185" t="s">
        <v>225</v>
      </c>
      <c r="AJ1" s="185" t="s">
        <v>226</v>
      </c>
      <c r="AK1" s="185" t="s">
        <v>227</v>
      </c>
      <c r="AL1" s="185" t="s">
        <v>228</v>
      </c>
      <c r="AM1" s="185" t="s">
        <v>229</v>
      </c>
    </row>
    <row r="2" spans="1:39" customFormat="1" x14ac:dyDescent="0.15">
      <c r="A2" s="184" t="s">
        <v>192</v>
      </c>
      <c r="B2" s="148">
        <v>4.9999999999999992E-3</v>
      </c>
      <c r="C2" s="148">
        <v>0</v>
      </c>
      <c r="D2" s="148">
        <v>0</v>
      </c>
      <c r="E2" s="148">
        <v>0</v>
      </c>
      <c r="F2" s="148">
        <v>0</v>
      </c>
      <c r="G2" s="148">
        <v>0</v>
      </c>
      <c r="H2" s="148">
        <v>0</v>
      </c>
      <c r="I2" s="148">
        <v>0</v>
      </c>
      <c r="J2" s="148">
        <v>0</v>
      </c>
      <c r="K2" s="148">
        <v>0</v>
      </c>
      <c r="L2" s="148">
        <v>0</v>
      </c>
      <c r="M2" s="148">
        <v>0</v>
      </c>
      <c r="N2" s="148">
        <v>0</v>
      </c>
      <c r="O2" s="148">
        <v>0</v>
      </c>
      <c r="P2" s="148">
        <v>0</v>
      </c>
      <c r="Q2" s="148">
        <v>0</v>
      </c>
      <c r="R2" s="148">
        <v>0</v>
      </c>
      <c r="S2" s="148">
        <v>0</v>
      </c>
      <c r="T2" s="148">
        <v>0</v>
      </c>
      <c r="U2" s="148">
        <v>0</v>
      </c>
      <c r="V2" s="148">
        <v>0</v>
      </c>
      <c r="W2" s="148">
        <v>0</v>
      </c>
      <c r="X2" s="148">
        <v>0</v>
      </c>
      <c r="Y2" s="148">
        <v>0</v>
      </c>
      <c r="Z2" s="148">
        <v>0</v>
      </c>
      <c r="AA2" s="148">
        <v>0</v>
      </c>
      <c r="AB2" s="148">
        <v>0</v>
      </c>
      <c r="AC2" s="148">
        <v>0</v>
      </c>
      <c r="AD2" s="148">
        <v>0</v>
      </c>
      <c r="AE2" s="148">
        <v>0</v>
      </c>
      <c r="AF2" s="148">
        <v>0</v>
      </c>
      <c r="AG2" s="148">
        <v>0</v>
      </c>
      <c r="AH2" s="148">
        <v>0</v>
      </c>
      <c r="AI2" s="148">
        <v>0</v>
      </c>
      <c r="AJ2" s="148">
        <v>0</v>
      </c>
      <c r="AK2" s="148">
        <v>0</v>
      </c>
      <c r="AL2" s="148">
        <v>0</v>
      </c>
      <c r="AM2" s="148">
        <v>0</v>
      </c>
    </row>
    <row r="3" spans="1:39" customFormat="1" x14ac:dyDescent="0.15">
      <c r="A3" s="184" t="s">
        <v>193</v>
      </c>
      <c r="B3" s="148">
        <v>4.9999999999999992E-3</v>
      </c>
      <c r="C3" s="148">
        <v>0</v>
      </c>
      <c r="D3" s="148">
        <v>0</v>
      </c>
      <c r="E3" s="148">
        <v>0</v>
      </c>
      <c r="F3" s="148">
        <v>0</v>
      </c>
      <c r="G3" s="148">
        <v>0</v>
      </c>
      <c r="H3" s="148">
        <v>0</v>
      </c>
      <c r="I3" s="148">
        <v>7.3540407574661985E-4</v>
      </c>
      <c r="J3" s="148">
        <v>0</v>
      </c>
      <c r="K3" s="148">
        <v>0</v>
      </c>
      <c r="L3" s="148">
        <v>0</v>
      </c>
      <c r="M3" s="148">
        <v>0</v>
      </c>
      <c r="N3" s="148">
        <v>0</v>
      </c>
      <c r="O3" s="148">
        <v>0</v>
      </c>
      <c r="P3" s="148">
        <v>0</v>
      </c>
      <c r="Q3" s="148">
        <v>0</v>
      </c>
      <c r="R3" s="148">
        <v>0</v>
      </c>
      <c r="S3" s="148">
        <v>0</v>
      </c>
      <c r="T3" s="148">
        <v>0</v>
      </c>
      <c r="U3" s="148">
        <v>0</v>
      </c>
      <c r="V3" s="148">
        <v>0</v>
      </c>
      <c r="W3" s="148">
        <v>0</v>
      </c>
      <c r="X3" s="148">
        <v>0</v>
      </c>
      <c r="Y3" s="148">
        <v>0</v>
      </c>
      <c r="Z3" s="148">
        <v>0</v>
      </c>
      <c r="AA3" s="148">
        <v>0</v>
      </c>
      <c r="AB3" s="148">
        <v>0</v>
      </c>
      <c r="AC3" s="148">
        <v>0</v>
      </c>
      <c r="AD3" s="148">
        <v>0</v>
      </c>
      <c r="AE3" s="148">
        <v>0</v>
      </c>
      <c r="AF3" s="148">
        <v>0</v>
      </c>
      <c r="AG3" s="148">
        <v>0</v>
      </c>
      <c r="AH3" s="148">
        <v>0</v>
      </c>
      <c r="AI3" s="148">
        <v>0</v>
      </c>
      <c r="AJ3" s="148">
        <v>0</v>
      </c>
      <c r="AK3" s="148">
        <v>0</v>
      </c>
      <c r="AL3" s="148">
        <v>0</v>
      </c>
      <c r="AM3" s="148">
        <v>0</v>
      </c>
    </row>
    <row r="4" spans="1:39" customFormat="1" x14ac:dyDescent="0.15">
      <c r="A4" s="184" t="s">
        <v>194</v>
      </c>
      <c r="B4" s="148">
        <v>1.4999999999999996E-2</v>
      </c>
      <c r="C4" s="148">
        <v>0</v>
      </c>
      <c r="D4" s="148">
        <v>0</v>
      </c>
      <c r="E4" s="148">
        <v>1.1613662913023331E-2</v>
      </c>
      <c r="F4" s="148">
        <v>0</v>
      </c>
      <c r="G4" s="148">
        <v>0</v>
      </c>
      <c r="H4" s="148">
        <v>0</v>
      </c>
      <c r="I4" s="148">
        <v>3.1375103231635632E-4</v>
      </c>
      <c r="J4" s="148">
        <v>0</v>
      </c>
      <c r="K4" s="148">
        <v>0</v>
      </c>
      <c r="L4" s="148">
        <v>0</v>
      </c>
      <c r="M4" s="148">
        <v>0</v>
      </c>
      <c r="N4" s="148">
        <v>1.518468460889189E-2</v>
      </c>
      <c r="O4" s="148">
        <v>0</v>
      </c>
      <c r="P4" s="148">
        <v>0</v>
      </c>
      <c r="Q4" s="148">
        <v>0</v>
      </c>
      <c r="R4" s="148">
        <v>0</v>
      </c>
      <c r="S4" s="148">
        <v>0</v>
      </c>
      <c r="T4" s="148">
        <v>0</v>
      </c>
      <c r="U4" s="148">
        <v>0</v>
      </c>
      <c r="V4" s="148">
        <v>0</v>
      </c>
      <c r="W4" s="148">
        <v>0</v>
      </c>
      <c r="X4" s="148">
        <v>0</v>
      </c>
      <c r="Y4" s="148">
        <v>0</v>
      </c>
      <c r="Z4" s="148">
        <v>0</v>
      </c>
      <c r="AA4" s="148">
        <v>0</v>
      </c>
      <c r="AB4" s="148">
        <v>0</v>
      </c>
      <c r="AC4" s="148">
        <v>0</v>
      </c>
      <c r="AD4" s="148">
        <v>0</v>
      </c>
      <c r="AE4" s="148">
        <v>0</v>
      </c>
      <c r="AF4" s="148">
        <v>0</v>
      </c>
      <c r="AG4" s="148">
        <v>0</v>
      </c>
      <c r="AH4" s="148">
        <v>0</v>
      </c>
      <c r="AI4" s="148">
        <v>0</v>
      </c>
      <c r="AJ4" s="148">
        <v>0</v>
      </c>
      <c r="AK4" s="148">
        <v>0</v>
      </c>
      <c r="AL4" s="148">
        <v>0</v>
      </c>
      <c r="AM4" s="148">
        <v>0</v>
      </c>
    </row>
    <row r="5" spans="1:39" customFormat="1" x14ac:dyDescent="0.15">
      <c r="A5" s="184" t="s">
        <v>195</v>
      </c>
      <c r="B5" s="148">
        <v>2.4999999999999994E-2</v>
      </c>
      <c r="C5" s="148">
        <v>0</v>
      </c>
      <c r="D5" s="148">
        <v>0</v>
      </c>
      <c r="E5" s="148">
        <v>0.10174403315278026</v>
      </c>
      <c r="F5" s="148">
        <v>1.2385498872919602E-4</v>
      </c>
      <c r="G5" s="148">
        <v>0</v>
      </c>
      <c r="H5" s="148">
        <v>0</v>
      </c>
      <c r="I5" s="148">
        <v>6.3962376588124785E-3</v>
      </c>
      <c r="J5" s="148">
        <v>0</v>
      </c>
      <c r="K5" s="148">
        <v>0</v>
      </c>
      <c r="L5" s="148">
        <v>0</v>
      </c>
      <c r="M5" s="148">
        <v>0</v>
      </c>
      <c r="N5" s="148">
        <v>5.3527379678835717E-3</v>
      </c>
      <c r="O5" s="148">
        <v>0</v>
      </c>
      <c r="P5" s="148">
        <v>8.2224941619831356E-3</v>
      </c>
      <c r="Q5" s="148">
        <v>1.9999999720000003E-4</v>
      </c>
      <c r="R5" s="148">
        <v>0</v>
      </c>
      <c r="S5" s="148">
        <v>0</v>
      </c>
      <c r="T5" s="148">
        <v>0</v>
      </c>
      <c r="U5" s="148">
        <v>0</v>
      </c>
      <c r="V5" s="148">
        <v>0</v>
      </c>
      <c r="W5" s="148">
        <v>0</v>
      </c>
      <c r="X5" s="148">
        <v>0</v>
      </c>
      <c r="Y5" s="148">
        <v>0</v>
      </c>
      <c r="Z5" s="148">
        <v>0</v>
      </c>
      <c r="AA5" s="148">
        <v>0</v>
      </c>
      <c r="AB5" s="148">
        <v>0</v>
      </c>
      <c r="AC5" s="148">
        <v>0</v>
      </c>
      <c r="AD5" s="148">
        <v>0</v>
      </c>
      <c r="AE5" s="148">
        <v>0</v>
      </c>
      <c r="AF5" s="148">
        <v>0</v>
      </c>
      <c r="AG5" s="148">
        <v>0</v>
      </c>
      <c r="AH5" s="148">
        <v>0</v>
      </c>
      <c r="AI5" s="148">
        <v>0</v>
      </c>
      <c r="AJ5" s="148">
        <v>0</v>
      </c>
      <c r="AK5" s="148">
        <v>0</v>
      </c>
      <c r="AL5" s="148">
        <v>0</v>
      </c>
      <c r="AM5" s="148">
        <v>0</v>
      </c>
    </row>
    <row r="6" spans="1:39" customFormat="1" x14ac:dyDescent="0.15">
      <c r="A6" s="184" t="s">
        <v>196</v>
      </c>
      <c r="B6" s="148">
        <v>9.4999999999999973E-2</v>
      </c>
      <c r="C6" s="148">
        <v>2.4004700220843237E-4</v>
      </c>
      <c r="D6" s="148">
        <v>0</v>
      </c>
      <c r="E6" s="148">
        <v>0.50361657896599255</v>
      </c>
      <c r="F6" s="148">
        <v>1.4129778714190137E-2</v>
      </c>
      <c r="G6" s="148">
        <v>0</v>
      </c>
      <c r="H6" s="148">
        <v>0</v>
      </c>
      <c r="I6" s="148">
        <v>7.9683708207421933E-2</v>
      </c>
      <c r="J6" s="148">
        <v>0</v>
      </c>
      <c r="K6" s="148">
        <v>0</v>
      </c>
      <c r="L6" s="148">
        <v>0</v>
      </c>
      <c r="M6" s="148">
        <v>0</v>
      </c>
      <c r="N6" s="148">
        <v>3.3289269800264379E-2</v>
      </c>
      <c r="O6" s="148">
        <v>0</v>
      </c>
      <c r="P6" s="148">
        <v>2.3477430462505382E-2</v>
      </c>
      <c r="Q6" s="148">
        <v>8.281049884065301E-4</v>
      </c>
      <c r="R6" s="148">
        <v>3.210427143827136E-2</v>
      </c>
      <c r="S6" s="148">
        <v>0</v>
      </c>
      <c r="T6" s="148">
        <v>0</v>
      </c>
      <c r="U6" s="148">
        <v>0</v>
      </c>
      <c r="V6" s="148">
        <v>0</v>
      </c>
      <c r="W6" s="148">
        <v>2.5000000000000001E-3</v>
      </c>
      <c r="X6" s="148">
        <v>0</v>
      </c>
      <c r="Y6" s="148">
        <v>0</v>
      </c>
      <c r="Z6" s="148">
        <v>0</v>
      </c>
      <c r="AA6" s="148">
        <v>4.9999999999999992E-3</v>
      </c>
      <c r="AB6" s="148">
        <v>0</v>
      </c>
      <c r="AC6" s="148">
        <v>0</v>
      </c>
      <c r="AD6" s="148">
        <v>0</v>
      </c>
      <c r="AE6" s="148">
        <v>0</v>
      </c>
      <c r="AF6" s="148">
        <v>0</v>
      </c>
      <c r="AG6" s="148">
        <v>0</v>
      </c>
      <c r="AH6" s="148">
        <v>0</v>
      </c>
      <c r="AI6" s="148">
        <v>0</v>
      </c>
      <c r="AJ6" s="148">
        <v>0</v>
      </c>
      <c r="AK6" s="148">
        <v>0</v>
      </c>
      <c r="AL6" s="148">
        <v>0</v>
      </c>
      <c r="AM6" s="148">
        <v>0</v>
      </c>
    </row>
    <row r="7" spans="1:39" customFormat="1" x14ac:dyDescent="0.15">
      <c r="A7" s="184" t="s">
        <v>197</v>
      </c>
      <c r="B7" s="148">
        <v>0</v>
      </c>
      <c r="C7" s="148">
        <v>0</v>
      </c>
      <c r="D7" s="148">
        <v>0</v>
      </c>
      <c r="E7" s="148">
        <v>0</v>
      </c>
      <c r="F7" s="148">
        <v>0</v>
      </c>
      <c r="G7" s="148">
        <v>4.9999999549999999E-3</v>
      </c>
      <c r="H7" s="148">
        <v>0</v>
      </c>
      <c r="I7" s="148">
        <v>6.8081107012354025E-4</v>
      </c>
      <c r="J7" s="148">
        <v>0</v>
      </c>
      <c r="K7" s="148">
        <v>0</v>
      </c>
      <c r="L7" s="148">
        <v>0</v>
      </c>
      <c r="M7" s="148">
        <v>0</v>
      </c>
      <c r="N7" s="148">
        <v>0</v>
      </c>
      <c r="O7" s="148">
        <v>0</v>
      </c>
      <c r="P7" s="148">
        <v>0</v>
      </c>
      <c r="Q7" s="148">
        <v>0</v>
      </c>
      <c r="R7" s="148">
        <v>0</v>
      </c>
      <c r="S7" s="148">
        <v>0</v>
      </c>
      <c r="T7" s="148">
        <v>0</v>
      </c>
      <c r="U7" s="148">
        <v>0</v>
      </c>
      <c r="V7" s="148">
        <v>0</v>
      </c>
      <c r="W7" s="148">
        <v>0</v>
      </c>
      <c r="X7" s="148">
        <v>0</v>
      </c>
      <c r="Y7" s="148">
        <v>0</v>
      </c>
      <c r="Z7" s="148">
        <v>0</v>
      </c>
      <c r="AA7" s="148">
        <v>0</v>
      </c>
      <c r="AB7" s="148">
        <v>0</v>
      </c>
      <c r="AC7" s="148">
        <v>0</v>
      </c>
      <c r="AD7" s="148">
        <v>0</v>
      </c>
      <c r="AE7" s="148">
        <v>0</v>
      </c>
      <c r="AF7" s="148">
        <v>0</v>
      </c>
      <c r="AG7" s="148">
        <v>0</v>
      </c>
      <c r="AH7" s="148">
        <v>0</v>
      </c>
      <c r="AI7" s="148">
        <v>0</v>
      </c>
      <c r="AJ7" s="148">
        <v>0</v>
      </c>
      <c r="AK7" s="148">
        <v>0</v>
      </c>
      <c r="AL7" s="148">
        <v>0</v>
      </c>
      <c r="AM7" s="148">
        <v>0</v>
      </c>
    </row>
    <row r="8" spans="1:39" customFormat="1" x14ac:dyDescent="0.15">
      <c r="A8" s="184" t="s">
        <v>198</v>
      </c>
      <c r="B8" s="148">
        <v>0</v>
      </c>
      <c r="C8" s="148">
        <v>0</v>
      </c>
      <c r="D8" s="148">
        <v>0</v>
      </c>
      <c r="E8" s="148">
        <v>0</v>
      </c>
      <c r="F8" s="148">
        <v>0</v>
      </c>
      <c r="G8" s="148">
        <v>5.2168719530481522E-3</v>
      </c>
      <c r="H8" s="148">
        <v>0</v>
      </c>
      <c r="I8" s="148">
        <v>1.0000001030000107E-3</v>
      </c>
      <c r="J8" s="148">
        <v>0</v>
      </c>
      <c r="K8" s="148">
        <v>0</v>
      </c>
      <c r="L8" s="148">
        <v>0</v>
      </c>
      <c r="M8" s="148">
        <v>0</v>
      </c>
      <c r="N8" s="148">
        <v>0</v>
      </c>
      <c r="O8" s="148">
        <v>0</v>
      </c>
      <c r="P8" s="148">
        <v>0</v>
      </c>
      <c r="Q8" s="148">
        <v>0</v>
      </c>
      <c r="R8" s="148">
        <v>0</v>
      </c>
      <c r="S8" s="148">
        <v>0</v>
      </c>
      <c r="T8" s="148">
        <v>0</v>
      </c>
      <c r="U8" s="148">
        <v>0</v>
      </c>
      <c r="V8" s="148">
        <v>0</v>
      </c>
      <c r="W8" s="148">
        <v>0</v>
      </c>
      <c r="X8" s="148">
        <v>0</v>
      </c>
      <c r="Y8" s="148">
        <v>0</v>
      </c>
      <c r="Z8" s="148">
        <v>0</v>
      </c>
      <c r="AA8" s="148">
        <v>0</v>
      </c>
      <c r="AB8" s="148">
        <v>0</v>
      </c>
      <c r="AC8" s="148">
        <v>0</v>
      </c>
      <c r="AD8" s="148">
        <v>0</v>
      </c>
      <c r="AE8" s="148">
        <v>0</v>
      </c>
      <c r="AF8" s="148">
        <v>0</v>
      </c>
      <c r="AG8" s="148">
        <v>0</v>
      </c>
      <c r="AH8" s="148">
        <v>0</v>
      </c>
      <c r="AI8" s="148">
        <v>0</v>
      </c>
      <c r="AJ8" s="148">
        <v>0</v>
      </c>
      <c r="AK8" s="148">
        <v>0</v>
      </c>
      <c r="AL8" s="148">
        <v>0</v>
      </c>
      <c r="AM8" s="148">
        <v>0</v>
      </c>
    </row>
    <row r="9" spans="1:39" customFormat="1" x14ac:dyDescent="0.15">
      <c r="A9" s="184" t="s">
        <v>199</v>
      </c>
      <c r="B9" s="148">
        <v>1.4999999999999996E-2</v>
      </c>
      <c r="C9" s="148">
        <v>0</v>
      </c>
      <c r="D9" s="148">
        <v>0</v>
      </c>
      <c r="E9" s="148">
        <v>1.2838590117949067E-3</v>
      </c>
      <c r="F9" s="148">
        <v>0</v>
      </c>
      <c r="G9" s="148">
        <v>6.4285059421434462E-2</v>
      </c>
      <c r="H9" s="148">
        <v>0</v>
      </c>
      <c r="I9" s="148">
        <v>6.2944786483313017E-2</v>
      </c>
      <c r="J9" s="148">
        <v>0</v>
      </c>
      <c r="K9" s="148">
        <v>0</v>
      </c>
      <c r="L9" s="148">
        <v>0</v>
      </c>
      <c r="M9" s="148">
        <v>0</v>
      </c>
      <c r="N9" s="148">
        <v>0</v>
      </c>
      <c r="O9" s="148">
        <v>0</v>
      </c>
      <c r="P9" s="148">
        <v>0</v>
      </c>
      <c r="Q9" s="148">
        <v>0</v>
      </c>
      <c r="R9" s="148">
        <v>0</v>
      </c>
      <c r="S9" s="148">
        <v>0</v>
      </c>
      <c r="T9" s="148">
        <v>0</v>
      </c>
      <c r="U9" s="148">
        <v>0</v>
      </c>
      <c r="V9" s="148">
        <v>0</v>
      </c>
      <c r="W9" s="148">
        <v>0</v>
      </c>
      <c r="X9" s="148">
        <v>0</v>
      </c>
      <c r="Y9" s="148">
        <v>0</v>
      </c>
      <c r="Z9" s="148">
        <v>0</v>
      </c>
      <c r="AA9" s="148">
        <v>0</v>
      </c>
      <c r="AB9" s="148">
        <v>0</v>
      </c>
      <c r="AC9" s="148">
        <v>0</v>
      </c>
      <c r="AD9" s="148">
        <v>0</v>
      </c>
      <c r="AE9" s="148">
        <v>0</v>
      </c>
      <c r="AF9" s="148">
        <v>0</v>
      </c>
      <c r="AG9" s="148">
        <v>0</v>
      </c>
      <c r="AH9" s="148">
        <v>0</v>
      </c>
      <c r="AI9" s="148">
        <v>0</v>
      </c>
      <c r="AJ9" s="148">
        <v>0</v>
      </c>
      <c r="AK9" s="148">
        <v>0</v>
      </c>
      <c r="AL9" s="148">
        <v>0</v>
      </c>
      <c r="AM9" s="148">
        <v>0</v>
      </c>
    </row>
    <row r="10" spans="1:39" customFormat="1" x14ac:dyDescent="0.15">
      <c r="A10" s="184" t="s">
        <v>200</v>
      </c>
      <c r="B10" s="148">
        <v>0</v>
      </c>
      <c r="C10" s="148">
        <v>0</v>
      </c>
      <c r="D10" s="148">
        <v>0</v>
      </c>
      <c r="E10" s="148">
        <v>2.188977650896682E-2</v>
      </c>
      <c r="F10" s="148">
        <v>7.1009333538150643E-3</v>
      </c>
      <c r="G10" s="148">
        <v>9.808370911724662E-2</v>
      </c>
      <c r="H10" s="148">
        <v>0.57353188808097766</v>
      </c>
      <c r="I10" s="148">
        <v>0.3229051332592287</v>
      </c>
      <c r="J10" s="148">
        <v>1.0472193519906615E-2</v>
      </c>
      <c r="K10" s="148">
        <v>0</v>
      </c>
      <c r="L10" s="148">
        <v>3.7263700149054796E-4</v>
      </c>
      <c r="M10" s="148">
        <v>0.20068880679242312</v>
      </c>
      <c r="N10" s="148">
        <v>0.13643849918136899</v>
      </c>
      <c r="O10" s="148">
        <v>0</v>
      </c>
      <c r="P10" s="148">
        <v>1.0329910203499231E-2</v>
      </c>
      <c r="Q10" s="148">
        <v>1.0053879859245681E-2</v>
      </c>
      <c r="R10" s="148">
        <v>0.13049842984632967</v>
      </c>
      <c r="S10" s="148">
        <v>1.3311950386046561E-2</v>
      </c>
      <c r="T10" s="148">
        <v>0</v>
      </c>
      <c r="U10" s="148">
        <v>0</v>
      </c>
      <c r="V10" s="148">
        <v>0</v>
      </c>
      <c r="W10" s="148">
        <v>0</v>
      </c>
      <c r="X10" s="148">
        <v>0</v>
      </c>
      <c r="Y10" s="148">
        <v>0</v>
      </c>
      <c r="Z10" s="148">
        <v>0</v>
      </c>
      <c r="AA10" s="148">
        <v>0.17999999999999997</v>
      </c>
      <c r="AB10" s="148">
        <v>0</v>
      </c>
      <c r="AC10" s="148">
        <v>0</v>
      </c>
      <c r="AD10" s="148">
        <v>0</v>
      </c>
      <c r="AE10" s="148">
        <v>0</v>
      </c>
      <c r="AF10" s="148">
        <v>0</v>
      </c>
      <c r="AG10" s="148">
        <v>0</v>
      </c>
      <c r="AH10" s="148">
        <v>0</v>
      </c>
      <c r="AI10" s="148">
        <v>0</v>
      </c>
      <c r="AJ10" s="148">
        <v>0</v>
      </c>
      <c r="AK10" s="148">
        <v>0</v>
      </c>
      <c r="AL10" s="148">
        <v>0</v>
      </c>
      <c r="AM10" s="148">
        <v>0</v>
      </c>
    </row>
    <row r="11" spans="1:39" customFormat="1" x14ac:dyDescent="0.15">
      <c r="A11" s="184" t="s">
        <v>201</v>
      </c>
      <c r="B11" s="148">
        <v>0</v>
      </c>
      <c r="C11" s="148">
        <v>0</v>
      </c>
      <c r="D11" s="148">
        <v>0</v>
      </c>
      <c r="E11" s="148">
        <v>6.0620630754773686E-3</v>
      </c>
      <c r="F11" s="148">
        <v>0</v>
      </c>
      <c r="G11" s="148">
        <v>0.1201432989187103</v>
      </c>
      <c r="H11" s="148">
        <v>0.40751405168929106</v>
      </c>
      <c r="I11" s="148">
        <v>0.18530581908649935</v>
      </c>
      <c r="J11" s="148">
        <v>0</v>
      </c>
      <c r="K11" s="148">
        <v>0</v>
      </c>
      <c r="L11" s="148">
        <v>0</v>
      </c>
      <c r="M11" s="148">
        <v>1.8232299799444702E-4</v>
      </c>
      <c r="N11" s="148">
        <v>0</v>
      </c>
      <c r="O11" s="148">
        <v>0</v>
      </c>
      <c r="P11" s="148">
        <v>0</v>
      </c>
      <c r="Q11" s="148">
        <v>0</v>
      </c>
      <c r="R11" s="148">
        <v>0</v>
      </c>
      <c r="S11" s="148">
        <v>0</v>
      </c>
      <c r="T11" s="148">
        <v>0</v>
      </c>
      <c r="U11" s="148">
        <v>0</v>
      </c>
      <c r="V11" s="148">
        <v>0</v>
      </c>
      <c r="W11" s="148">
        <v>0</v>
      </c>
      <c r="X11" s="148">
        <v>0</v>
      </c>
      <c r="Y11" s="148">
        <v>0</v>
      </c>
      <c r="Z11" s="148">
        <v>0</v>
      </c>
      <c r="AA11" s="148">
        <v>4.9999999999999989E-2</v>
      </c>
      <c r="AB11" s="148">
        <v>0</v>
      </c>
      <c r="AC11" s="148">
        <v>0</v>
      </c>
      <c r="AD11" s="148">
        <v>0</v>
      </c>
      <c r="AE11" s="148">
        <v>0</v>
      </c>
      <c r="AF11" s="148">
        <v>0</v>
      </c>
      <c r="AG11" s="148">
        <v>0</v>
      </c>
      <c r="AH11" s="148">
        <v>0</v>
      </c>
      <c r="AI11" s="148">
        <v>0</v>
      </c>
      <c r="AJ11" s="148">
        <v>0</v>
      </c>
      <c r="AK11" s="148">
        <v>0</v>
      </c>
      <c r="AL11" s="148">
        <v>0</v>
      </c>
      <c r="AM11" s="148">
        <v>0</v>
      </c>
    </row>
    <row r="12" spans="1:39" customFormat="1" x14ac:dyDescent="0.15">
      <c r="A12" s="184" t="s">
        <v>202</v>
      </c>
      <c r="B12" s="148">
        <v>1.4999999999999996E-2</v>
      </c>
      <c r="C12" s="148">
        <v>0</v>
      </c>
      <c r="D12" s="148">
        <v>0</v>
      </c>
      <c r="E12" s="148">
        <v>0</v>
      </c>
      <c r="F12" s="148">
        <v>0</v>
      </c>
      <c r="G12" s="148">
        <v>5.3747469516272767E-3</v>
      </c>
      <c r="H12" s="148">
        <v>0</v>
      </c>
      <c r="I12" s="148">
        <v>1.5000001545000159E-2</v>
      </c>
      <c r="J12" s="148">
        <v>0</v>
      </c>
      <c r="K12" s="148">
        <v>0</v>
      </c>
      <c r="L12" s="148">
        <v>0</v>
      </c>
      <c r="M12" s="148">
        <v>0</v>
      </c>
      <c r="N12" s="148">
        <v>0</v>
      </c>
      <c r="O12" s="148">
        <v>0</v>
      </c>
      <c r="P12" s="148">
        <v>0</v>
      </c>
      <c r="Q12" s="148">
        <v>0</v>
      </c>
      <c r="R12" s="148">
        <v>0</v>
      </c>
      <c r="S12" s="148">
        <v>0</v>
      </c>
      <c r="T12" s="148">
        <v>0</v>
      </c>
      <c r="U12" s="148">
        <v>0</v>
      </c>
      <c r="V12" s="148">
        <v>0</v>
      </c>
      <c r="W12" s="148">
        <v>0</v>
      </c>
      <c r="X12" s="148">
        <v>0</v>
      </c>
      <c r="Y12" s="148">
        <v>0</v>
      </c>
      <c r="Z12" s="148">
        <v>0</v>
      </c>
      <c r="AA12" s="148">
        <v>0</v>
      </c>
      <c r="AB12" s="148">
        <v>0</v>
      </c>
      <c r="AC12" s="148">
        <v>0</v>
      </c>
      <c r="AD12" s="148">
        <v>0</v>
      </c>
      <c r="AE12" s="148">
        <v>0</v>
      </c>
      <c r="AF12" s="148">
        <v>0</v>
      </c>
      <c r="AG12" s="148">
        <v>0</v>
      </c>
      <c r="AH12" s="148">
        <v>0</v>
      </c>
      <c r="AI12" s="148">
        <v>0</v>
      </c>
      <c r="AJ12" s="148">
        <v>0</v>
      </c>
      <c r="AK12" s="148">
        <v>0</v>
      </c>
      <c r="AL12" s="148">
        <v>0</v>
      </c>
      <c r="AM12" s="148">
        <v>0</v>
      </c>
    </row>
    <row r="13" spans="1:39" customFormat="1" x14ac:dyDescent="0.15">
      <c r="A13" s="184" t="s">
        <v>203</v>
      </c>
      <c r="B13" s="148">
        <v>1.4999999999999996E-2</v>
      </c>
      <c r="C13" s="148">
        <v>0</v>
      </c>
      <c r="D13" s="148">
        <v>0</v>
      </c>
      <c r="E13" s="148">
        <v>6.4219749860756348E-3</v>
      </c>
      <c r="F13" s="148">
        <v>0</v>
      </c>
      <c r="G13" s="148">
        <v>0.66762609399136508</v>
      </c>
      <c r="H13" s="148">
        <v>0</v>
      </c>
      <c r="I13" s="148">
        <v>0.10981321131076076</v>
      </c>
      <c r="J13" s="148">
        <v>0</v>
      </c>
      <c r="K13" s="148">
        <v>0</v>
      </c>
      <c r="L13" s="148">
        <v>0</v>
      </c>
      <c r="M13" s="148">
        <v>0</v>
      </c>
      <c r="N13" s="148">
        <v>1.9686739881879561E-2</v>
      </c>
      <c r="O13" s="148">
        <v>0</v>
      </c>
      <c r="P13" s="148">
        <v>0</v>
      </c>
      <c r="Q13" s="148">
        <v>0</v>
      </c>
      <c r="R13" s="148">
        <v>0</v>
      </c>
      <c r="S13" s="148">
        <v>0</v>
      </c>
      <c r="T13" s="148">
        <v>0</v>
      </c>
      <c r="U13" s="148">
        <v>0</v>
      </c>
      <c r="V13" s="148">
        <v>0</v>
      </c>
      <c r="W13" s="148">
        <v>0</v>
      </c>
      <c r="X13" s="148">
        <v>0</v>
      </c>
      <c r="Y13" s="148">
        <v>0</v>
      </c>
      <c r="Z13" s="148">
        <v>0</v>
      </c>
      <c r="AA13" s="148">
        <v>2.9999999999999992E-2</v>
      </c>
      <c r="AB13" s="148">
        <v>0</v>
      </c>
      <c r="AC13" s="148">
        <v>0</v>
      </c>
      <c r="AD13" s="148">
        <v>0</v>
      </c>
      <c r="AE13" s="148">
        <v>0</v>
      </c>
      <c r="AF13" s="148">
        <v>0</v>
      </c>
      <c r="AG13" s="148">
        <v>0</v>
      </c>
      <c r="AH13" s="148">
        <v>0</v>
      </c>
      <c r="AI13" s="148">
        <v>0</v>
      </c>
      <c r="AJ13" s="148">
        <v>0</v>
      </c>
      <c r="AK13" s="148">
        <v>0</v>
      </c>
      <c r="AL13" s="148">
        <v>0</v>
      </c>
      <c r="AM13" s="148">
        <v>0</v>
      </c>
    </row>
    <row r="14" spans="1:39" customFormat="1" x14ac:dyDescent="0.15">
      <c r="A14" s="184" t="s">
        <v>204</v>
      </c>
      <c r="B14" s="148">
        <v>2.4999999999999994E-2</v>
      </c>
      <c r="C14" s="148">
        <v>0</v>
      </c>
      <c r="D14" s="148">
        <v>0</v>
      </c>
      <c r="E14" s="148">
        <v>4.9979990695650988E-4</v>
      </c>
      <c r="F14" s="148">
        <v>0</v>
      </c>
      <c r="G14" s="148">
        <v>5.2168719530481522E-3</v>
      </c>
      <c r="H14" s="148">
        <v>0</v>
      </c>
      <c r="I14" s="148">
        <v>1.5000001545000159E-2</v>
      </c>
      <c r="J14" s="148">
        <v>0</v>
      </c>
      <c r="K14" s="148">
        <v>0</v>
      </c>
      <c r="L14" s="148">
        <v>0</v>
      </c>
      <c r="M14" s="148">
        <v>0</v>
      </c>
      <c r="N14" s="148">
        <v>1.0410953237534279E-2</v>
      </c>
      <c r="O14" s="148">
        <v>0</v>
      </c>
      <c r="P14" s="148">
        <v>1.0000000197000005E-3</v>
      </c>
      <c r="Q14" s="148">
        <v>0</v>
      </c>
      <c r="R14" s="148">
        <v>0</v>
      </c>
      <c r="S14" s="148">
        <v>0</v>
      </c>
      <c r="T14" s="148">
        <v>0</v>
      </c>
      <c r="U14" s="148">
        <v>0</v>
      </c>
      <c r="V14" s="148">
        <v>0</v>
      </c>
      <c r="W14" s="148">
        <v>0</v>
      </c>
      <c r="X14" s="148">
        <v>0</v>
      </c>
      <c r="Y14" s="148">
        <v>0</v>
      </c>
      <c r="Z14" s="148">
        <v>0</v>
      </c>
      <c r="AA14" s="148">
        <v>0</v>
      </c>
      <c r="AB14" s="148">
        <v>0</v>
      </c>
      <c r="AC14" s="148">
        <v>0</v>
      </c>
      <c r="AD14" s="148">
        <v>0</v>
      </c>
      <c r="AE14" s="148">
        <v>0</v>
      </c>
      <c r="AF14" s="148">
        <v>0</v>
      </c>
      <c r="AG14" s="148">
        <v>0</v>
      </c>
      <c r="AH14" s="148">
        <v>0</v>
      </c>
      <c r="AI14" s="148">
        <v>0</v>
      </c>
      <c r="AJ14" s="148">
        <v>0</v>
      </c>
      <c r="AK14" s="148">
        <v>0</v>
      </c>
      <c r="AL14" s="148">
        <v>0</v>
      </c>
      <c r="AM14" s="148">
        <v>0</v>
      </c>
    </row>
    <row r="15" spans="1:39" customFormat="1" x14ac:dyDescent="0.15">
      <c r="A15" s="184" t="s">
        <v>205</v>
      </c>
      <c r="B15" s="148">
        <v>1.4999999999999996E-2</v>
      </c>
      <c r="C15" s="148">
        <v>0</v>
      </c>
      <c r="D15" s="148">
        <v>0</v>
      </c>
      <c r="E15" s="148">
        <v>5.6177509541911709E-4</v>
      </c>
      <c r="F15" s="148">
        <v>0</v>
      </c>
      <c r="G15" s="148">
        <v>0</v>
      </c>
      <c r="H15" s="148">
        <v>0</v>
      </c>
      <c r="I15" s="148">
        <v>0</v>
      </c>
      <c r="J15" s="148">
        <v>0</v>
      </c>
      <c r="K15" s="148">
        <v>0</v>
      </c>
      <c r="L15" s="148">
        <v>0</v>
      </c>
      <c r="M15" s="148">
        <v>0</v>
      </c>
      <c r="N15" s="148">
        <v>0</v>
      </c>
      <c r="O15" s="148">
        <v>9.9999864700183062E-3</v>
      </c>
      <c r="P15" s="148">
        <v>7.4492401467500318E-4</v>
      </c>
      <c r="Q15" s="148">
        <v>0</v>
      </c>
      <c r="R15" s="148">
        <v>0</v>
      </c>
      <c r="S15" s="148">
        <v>0</v>
      </c>
      <c r="T15" s="148">
        <v>0</v>
      </c>
      <c r="U15" s="148">
        <v>0</v>
      </c>
      <c r="V15" s="148">
        <v>0</v>
      </c>
      <c r="W15" s="148">
        <v>0</v>
      </c>
      <c r="X15" s="148">
        <v>0</v>
      </c>
      <c r="Y15" s="148">
        <v>0</v>
      </c>
      <c r="Z15" s="148">
        <v>0</v>
      </c>
      <c r="AA15" s="148">
        <v>0</v>
      </c>
      <c r="AB15" s="148">
        <v>0</v>
      </c>
      <c r="AC15" s="148">
        <v>0</v>
      </c>
      <c r="AD15" s="148">
        <v>0</v>
      </c>
      <c r="AE15" s="148">
        <v>0</v>
      </c>
      <c r="AF15" s="148">
        <v>0</v>
      </c>
      <c r="AG15" s="148">
        <v>0</v>
      </c>
      <c r="AH15" s="148">
        <v>0</v>
      </c>
      <c r="AI15" s="148">
        <v>0</v>
      </c>
      <c r="AJ15" s="148">
        <v>0</v>
      </c>
      <c r="AK15" s="148">
        <v>0</v>
      </c>
      <c r="AL15" s="148">
        <v>0</v>
      </c>
      <c r="AM15" s="148">
        <v>0</v>
      </c>
    </row>
    <row r="16" spans="1:39" customFormat="1" x14ac:dyDescent="0.15">
      <c r="A16" s="184" t="s">
        <v>206</v>
      </c>
      <c r="B16" s="148">
        <v>5.4999999999999986E-2</v>
      </c>
      <c r="C16" s="148">
        <v>0</v>
      </c>
      <c r="D16" s="148">
        <v>0</v>
      </c>
      <c r="E16" s="148">
        <v>4.9979990695650988E-4</v>
      </c>
      <c r="F16" s="148">
        <v>0</v>
      </c>
      <c r="G16" s="148">
        <v>0</v>
      </c>
      <c r="H16" s="148">
        <v>0</v>
      </c>
      <c r="I16" s="148">
        <v>0</v>
      </c>
      <c r="J16" s="148">
        <v>0</v>
      </c>
      <c r="K16" s="148">
        <v>0</v>
      </c>
      <c r="L16" s="148">
        <v>0</v>
      </c>
      <c r="M16" s="148">
        <v>0</v>
      </c>
      <c r="N16" s="148">
        <v>0</v>
      </c>
      <c r="O16" s="148">
        <v>1.8421415075825402E-2</v>
      </c>
      <c r="P16" s="148">
        <v>2.0000000394000011E-3</v>
      </c>
      <c r="Q16" s="148">
        <v>0</v>
      </c>
      <c r="R16" s="148">
        <v>0</v>
      </c>
      <c r="S16" s="148">
        <v>0</v>
      </c>
      <c r="T16" s="148">
        <v>0</v>
      </c>
      <c r="U16" s="148">
        <v>0</v>
      </c>
      <c r="V16" s="148">
        <v>0</v>
      </c>
      <c r="W16" s="148">
        <v>0</v>
      </c>
      <c r="X16" s="148">
        <v>0</v>
      </c>
      <c r="Y16" s="148">
        <v>0</v>
      </c>
      <c r="Z16" s="148">
        <v>0</v>
      </c>
      <c r="AA16" s="148">
        <v>0</v>
      </c>
      <c r="AB16" s="148">
        <v>0</v>
      </c>
      <c r="AC16" s="148">
        <v>0</v>
      </c>
      <c r="AD16" s="148">
        <v>0</v>
      </c>
      <c r="AE16" s="148">
        <v>0</v>
      </c>
      <c r="AF16" s="148">
        <v>0</v>
      </c>
      <c r="AG16" s="148">
        <v>0</v>
      </c>
      <c r="AH16" s="148">
        <v>0</v>
      </c>
      <c r="AI16" s="148">
        <v>0</v>
      </c>
      <c r="AJ16" s="148">
        <v>0</v>
      </c>
      <c r="AK16" s="148">
        <v>0</v>
      </c>
      <c r="AL16" s="148">
        <v>0</v>
      </c>
      <c r="AM16" s="148">
        <v>0</v>
      </c>
    </row>
    <row r="17" spans="1:39" customFormat="1" x14ac:dyDescent="0.15">
      <c r="A17" s="184" t="s">
        <v>207</v>
      </c>
      <c r="B17" s="148">
        <v>1.4999999999999996E-2</v>
      </c>
      <c r="C17" s="148">
        <v>0</v>
      </c>
      <c r="D17" s="148">
        <v>0</v>
      </c>
      <c r="E17" s="148">
        <v>5.4977989765216083E-3</v>
      </c>
      <c r="F17" s="148">
        <v>0</v>
      </c>
      <c r="G17" s="148">
        <v>0</v>
      </c>
      <c r="H17" s="148">
        <v>0</v>
      </c>
      <c r="I17" s="148">
        <v>1.5000001545000159E-2</v>
      </c>
      <c r="J17" s="148">
        <v>0</v>
      </c>
      <c r="K17" s="148">
        <v>0</v>
      </c>
      <c r="L17" s="148">
        <v>0</v>
      </c>
      <c r="M17" s="148">
        <v>0</v>
      </c>
      <c r="N17" s="148">
        <v>0</v>
      </c>
      <c r="O17" s="148">
        <v>0.11399984575820869</v>
      </c>
      <c r="P17" s="148">
        <v>8.5000001674500045E-2</v>
      </c>
      <c r="Q17" s="148">
        <v>3.9999999440000006E-4</v>
      </c>
      <c r="R17" s="148">
        <v>0</v>
      </c>
      <c r="S17" s="148">
        <v>0</v>
      </c>
      <c r="T17" s="148">
        <v>0</v>
      </c>
      <c r="U17" s="148">
        <v>0</v>
      </c>
      <c r="V17" s="148">
        <v>0</v>
      </c>
      <c r="W17" s="148">
        <v>0</v>
      </c>
      <c r="X17" s="148">
        <v>0</v>
      </c>
      <c r="Y17" s="148">
        <v>0</v>
      </c>
      <c r="Z17" s="148">
        <v>0</v>
      </c>
      <c r="AA17" s="148">
        <v>0</v>
      </c>
      <c r="AB17" s="148">
        <v>0</v>
      </c>
      <c r="AC17" s="148">
        <v>0</v>
      </c>
      <c r="AD17" s="148">
        <v>0</v>
      </c>
      <c r="AE17" s="148">
        <v>0</v>
      </c>
      <c r="AF17" s="148">
        <v>0</v>
      </c>
      <c r="AG17" s="148">
        <v>0</v>
      </c>
      <c r="AH17" s="148">
        <v>0</v>
      </c>
      <c r="AI17" s="148">
        <v>0</v>
      </c>
      <c r="AJ17" s="148">
        <v>0</v>
      </c>
      <c r="AK17" s="148">
        <v>0</v>
      </c>
      <c r="AL17" s="148">
        <v>0</v>
      </c>
      <c r="AM17" s="148">
        <v>0</v>
      </c>
    </row>
    <row r="18" spans="1:39" customFormat="1" x14ac:dyDescent="0.15">
      <c r="A18" s="184" t="s">
        <v>208</v>
      </c>
      <c r="B18" s="148">
        <v>1.4999999999999996E-2</v>
      </c>
      <c r="C18" s="148">
        <v>0</v>
      </c>
      <c r="D18" s="148">
        <v>0</v>
      </c>
      <c r="E18" s="148">
        <v>5.4977989765216083E-3</v>
      </c>
      <c r="F18" s="148">
        <v>0</v>
      </c>
      <c r="G18" s="148">
        <v>0</v>
      </c>
      <c r="H18" s="148">
        <v>0</v>
      </c>
      <c r="I18" s="148">
        <v>1.5000001545000159E-2</v>
      </c>
      <c r="J18" s="148">
        <v>0</v>
      </c>
      <c r="K18" s="148">
        <v>0</v>
      </c>
      <c r="L18" s="148">
        <v>0</v>
      </c>
      <c r="M18" s="148">
        <v>0</v>
      </c>
      <c r="N18" s="148">
        <v>4.9999999700000002E-3</v>
      </c>
      <c r="O18" s="148">
        <v>1.0421385899864877E-2</v>
      </c>
      <c r="P18" s="148">
        <v>5.5000001083500026E-2</v>
      </c>
      <c r="Q18" s="148">
        <v>0</v>
      </c>
      <c r="R18" s="148">
        <v>0</v>
      </c>
      <c r="S18" s="148">
        <v>0</v>
      </c>
      <c r="T18" s="148">
        <v>0</v>
      </c>
      <c r="U18" s="148">
        <v>0</v>
      </c>
      <c r="V18" s="148">
        <v>0</v>
      </c>
      <c r="W18" s="148">
        <v>0</v>
      </c>
      <c r="X18" s="148">
        <v>0</v>
      </c>
      <c r="Y18" s="148">
        <v>0</v>
      </c>
      <c r="Z18" s="148">
        <v>0</v>
      </c>
      <c r="AA18" s="148">
        <v>0</v>
      </c>
      <c r="AB18" s="148">
        <v>0</v>
      </c>
      <c r="AC18" s="148">
        <v>0</v>
      </c>
      <c r="AD18" s="148">
        <v>0</v>
      </c>
      <c r="AE18" s="148">
        <v>0</v>
      </c>
      <c r="AF18" s="148">
        <v>0</v>
      </c>
      <c r="AG18" s="148">
        <v>0</v>
      </c>
      <c r="AH18" s="148">
        <v>0</v>
      </c>
      <c r="AI18" s="148">
        <v>0</v>
      </c>
      <c r="AJ18" s="148">
        <v>0</v>
      </c>
      <c r="AK18" s="148">
        <v>0</v>
      </c>
      <c r="AL18" s="148">
        <v>0</v>
      </c>
      <c r="AM18" s="148">
        <v>0</v>
      </c>
    </row>
    <row r="19" spans="1:39" customFormat="1" x14ac:dyDescent="0.15">
      <c r="A19" s="184" t="s">
        <v>209</v>
      </c>
      <c r="B19" s="148">
        <v>1.4999999999999996E-2</v>
      </c>
      <c r="C19" s="148">
        <v>5.4793400504099283E-4</v>
      </c>
      <c r="D19" s="148">
        <v>0</v>
      </c>
      <c r="E19" s="148">
        <v>5.1939006410957724E-3</v>
      </c>
      <c r="F19" s="148">
        <v>0</v>
      </c>
      <c r="G19" s="148">
        <v>1.3919379874725581E-2</v>
      </c>
      <c r="H19" s="148">
        <v>0</v>
      </c>
      <c r="I19" s="148">
        <v>4.7667484909750944E-2</v>
      </c>
      <c r="J19" s="148">
        <v>0</v>
      </c>
      <c r="K19" s="148">
        <v>0</v>
      </c>
      <c r="L19" s="148">
        <v>0</v>
      </c>
      <c r="M19" s="148">
        <v>0</v>
      </c>
      <c r="N19" s="148">
        <v>7.0715599575706403E-2</v>
      </c>
      <c r="O19" s="148">
        <v>0.18456505028348694</v>
      </c>
      <c r="P19" s="148">
        <v>0.20352030400934998</v>
      </c>
      <c r="Q19" s="148">
        <v>1.2227329828817381E-2</v>
      </c>
      <c r="R19" s="148">
        <v>0.1253604056161462</v>
      </c>
      <c r="S19" s="148">
        <v>4.5188401310463635E-3</v>
      </c>
      <c r="T19" s="148">
        <v>0</v>
      </c>
      <c r="U19" s="148">
        <v>7.2759417504351959E-3</v>
      </c>
      <c r="V19" s="148">
        <v>0</v>
      </c>
      <c r="W19" s="148">
        <v>0</v>
      </c>
      <c r="X19" s="148">
        <v>0</v>
      </c>
      <c r="Y19" s="148">
        <v>0</v>
      </c>
      <c r="Z19" s="148">
        <v>0</v>
      </c>
      <c r="AA19" s="148">
        <v>4.9999999999999992E-3</v>
      </c>
      <c r="AB19" s="148">
        <v>5.0000000000000001E-3</v>
      </c>
      <c r="AC19" s="148">
        <v>0</v>
      </c>
      <c r="AD19" s="148">
        <v>0</v>
      </c>
      <c r="AE19" s="148">
        <v>0</v>
      </c>
      <c r="AF19" s="148">
        <v>0</v>
      </c>
      <c r="AG19" s="148">
        <v>0</v>
      </c>
      <c r="AH19" s="148">
        <v>0</v>
      </c>
      <c r="AI19" s="148">
        <v>0</v>
      </c>
      <c r="AJ19" s="148">
        <v>0</v>
      </c>
      <c r="AK19" s="148">
        <v>0</v>
      </c>
      <c r="AL19" s="148">
        <v>0</v>
      </c>
      <c r="AM19" s="148">
        <v>0</v>
      </c>
    </row>
    <row r="20" spans="1:39" customFormat="1" x14ac:dyDescent="0.15">
      <c r="A20" s="184" t="s">
        <v>210</v>
      </c>
      <c r="B20" s="148">
        <v>7.4999999999999983E-2</v>
      </c>
      <c r="C20" s="148">
        <v>0</v>
      </c>
      <c r="D20" s="148">
        <v>0</v>
      </c>
      <c r="E20" s="148">
        <v>5.4140305129160696E-2</v>
      </c>
      <c r="F20" s="148">
        <v>0</v>
      </c>
      <c r="G20" s="148">
        <v>0</v>
      </c>
      <c r="H20" s="148">
        <v>0</v>
      </c>
      <c r="I20" s="148">
        <v>6.366128655711252E-2</v>
      </c>
      <c r="J20" s="148">
        <v>0</v>
      </c>
      <c r="K20" s="148">
        <v>0</v>
      </c>
      <c r="L20" s="148">
        <v>0</v>
      </c>
      <c r="M20" s="148">
        <v>0</v>
      </c>
      <c r="N20" s="148">
        <v>0.10797636135214184</v>
      </c>
      <c r="O20" s="148">
        <v>0.2909467063491063</v>
      </c>
      <c r="P20" s="148">
        <v>0.19451880383202044</v>
      </c>
      <c r="Q20" s="148">
        <v>1.5025599789641603E-2</v>
      </c>
      <c r="R20" s="148">
        <v>5.1771402319358825E-2</v>
      </c>
      <c r="S20" s="148">
        <v>1.9000000551000016E-2</v>
      </c>
      <c r="T20" s="148">
        <v>0</v>
      </c>
      <c r="U20" s="148">
        <v>0</v>
      </c>
      <c r="V20" s="148">
        <v>0</v>
      </c>
      <c r="W20" s="148">
        <v>1E-3</v>
      </c>
      <c r="X20" s="148">
        <v>0</v>
      </c>
      <c r="Y20" s="148">
        <v>0</v>
      </c>
      <c r="Z20" s="148">
        <v>0</v>
      </c>
      <c r="AA20" s="148">
        <v>0</v>
      </c>
      <c r="AB20" s="148">
        <v>0</v>
      </c>
      <c r="AC20" s="148">
        <v>0</v>
      </c>
      <c r="AD20" s="148">
        <v>0</v>
      </c>
      <c r="AE20" s="148">
        <v>0</v>
      </c>
      <c r="AF20" s="148">
        <v>0</v>
      </c>
      <c r="AG20" s="148">
        <v>0</v>
      </c>
      <c r="AH20" s="148">
        <v>0</v>
      </c>
      <c r="AI20" s="148">
        <v>0</v>
      </c>
      <c r="AJ20" s="148">
        <v>0</v>
      </c>
      <c r="AK20" s="148">
        <v>0</v>
      </c>
      <c r="AL20" s="148">
        <v>0</v>
      </c>
      <c r="AM20" s="148">
        <v>0</v>
      </c>
    </row>
    <row r="21" spans="1:39" customFormat="1" x14ac:dyDescent="0.15">
      <c r="A21" s="184" t="s">
        <v>211</v>
      </c>
      <c r="B21" s="148">
        <v>2.4999999999999994E-2</v>
      </c>
      <c r="C21" s="148">
        <v>0</v>
      </c>
      <c r="D21" s="148">
        <v>0</v>
      </c>
      <c r="E21" s="148">
        <v>0</v>
      </c>
      <c r="F21" s="148">
        <v>0</v>
      </c>
      <c r="G21" s="148">
        <v>0</v>
      </c>
      <c r="H21" s="148">
        <v>0</v>
      </c>
      <c r="I21" s="148">
        <v>1.698202174914824E-2</v>
      </c>
      <c r="J21" s="148">
        <v>0</v>
      </c>
      <c r="K21" s="148">
        <v>0</v>
      </c>
      <c r="L21" s="148">
        <v>0</v>
      </c>
      <c r="M21" s="148">
        <v>0</v>
      </c>
      <c r="N21" s="148">
        <v>2.0666849875998899E-2</v>
      </c>
      <c r="O21" s="148">
        <v>8.2214288764067295E-3</v>
      </c>
      <c r="P21" s="148">
        <v>4.5247180891369462E-2</v>
      </c>
      <c r="Q21" s="148">
        <v>1.5013549789810303E-2</v>
      </c>
      <c r="R21" s="148">
        <v>5.9058322645812858E-2</v>
      </c>
      <c r="S21" s="148">
        <v>2.4412640707966581E-2</v>
      </c>
      <c r="T21" s="148">
        <v>0</v>
      </c>
      <c r="U21" s="148">
        <v>0</v>
      </c>
      <c r="V21" s="148">
        <v>0</v>
      </c>
      <c r="W21" s="148">
        <v>0</v>
      </c>
      <c r="X21" s="148">
        <v>0</v>
      </c>
      <c r="Y21" s="148">
        <v>0</v>
      </c>
      <c r="Z21" s="148">
        <v>0</v>
      </c>
      <c r="AA21" s="148">
        <v>0</v>
      </c>
      <c r="AB21" s="148">
        <v>0</v>
      </c>
      <c r="AC21" s="148">
        <v>0</v>
      </c>
      <c r="AD21" s="148">
        <v>0</v>
      </c>
      <c r="AE21" s="148">
        <v>0</v>
      </c>
      <c r="AF21" s="148">
        <v>0</v>
      </c>
      <c r="AG21" s="148">
        <v>0</v>
      </c>
      <c r="AH21" s="148">
        <v>0</v>
      </c>
      <c r="AI21" s="148">
        <v>0</v>
      </c>
      <c r="AJ21" s="148">
        <v>0</v>
      </c>
      <c r="AK21" s="148">
        <v>0</v>
      </c>
      <c r="AL21" s="148">
        <v>0</v>
      </c>
      <c r="AM21" s="148">
        <v>0</v>
      </c>
    </row>
    <row r="22" spans="1:39" customFormat="1" x14ac:dyDescent="0.15">
      <c r="A22" s="184" t="s">
        <v>212</v>
      </c>
      <c r="B22" s="148">
        <v>1.4999999999999996E-2</v>
      </c>
      <c r="C22" s="148">
        <v>0</v>
      </c>
      <c r="D22" s="148">
        <v>0</v>
      </c>
      <c r="E22" s="148">
        <v>0</v>
      </c>
      <c r="F22" s="148">
        <v>0</v>
      </c>
      <c r="G22" s="148">
        <v>2.1687199804815201E-4</v>
      </c>
      <c r="H22" s="148">
        <v>0</v>
      </c>
      <c r="I22" s="148">
        <v>5.7298275901722416E-3</v>
      </c>
      <c r="J22" s="148">
        <v>0</v>
      </c>
      <c r="K22" s="148">
        <v>0</v>
      </c>
      <c r="L22" s="148">
        <v>0</v>
      </c>
      <c r="M22" s="148">
        <v>0</v>
      </c>
      <c r="N22" s="148">
        <v>1.9753349881479899E-2</v>
      </c>
      <c r="O22" s="148">
        <v>0</v>
      </c>
      <c r="P22" s="148">
        <v>1.7477390344304591E-2</v>
      </c>
      <c r="Q22" s="148">
        <v>0</v>
      </c>
      <c r="R22" s="148">
        <v>1.6733960749681441E-2</v>
      </c>
      <c r="S22" s="148">
        <v>7.9990822319733854E-2</v>
      </c>
      <c r="T22" s="148">
        <v>0</v>
      </c>
      <c r="U22" s="148">
        <v>0</v>
      </c>
      <c r="V22" s="148">
        <v>0</v>
      </c>
      <c r="W22" s="148">
        <v>0</v>
      </c>
      <c r="X22" s="148">
        <v>0</v>
      </c>
      <c r="Y22" s="148">
        <v>0</v>
      </c>
      <c r="Z22" s="148">
        <v>0</v>
      </c>
      <c r="AA22" s="148">
        <v>9.9999999999999985E-3</v>
      </c>
      <c r="AB22" s="148">
        <v>0</v>
      </c>
      <c r="AC22" s="148">
        <v>0</v>
      </c>
      <c r="AD22" s="148">
        <v>0</v>
      </c>
      <c r="AE22" s="148">
        <v>0</v>
      </c>
      <c r="AF22" s="148">
        <v>0</v>
      </c>
      <c r="AG22" s="148">
        <v>0</v>
      </c>
      <c r="AH22" s="148">
        <v>0</v>
      </c>
      <c r="AI22" s="148">
        <v>0</v>
      </c>
      <c r="AJ22" s="148">
        <v>0</v>
      </c>
      <c r="AK22" s="148">
        <v>0</v>
      </c>
      <c r="AL22" s="148">
        <v>0</v>
      </c>
      <c r="AM22" s="148">
        <v>0</v>
      </c>
    </row>
    <row r="23" spans="1:39" customFormat="1" x14ac:dyDescent="0.15">
      <c r="A23" s="184" t="s">
        <v>213</v>
      </c>
      <c r="B23" s="148">
        <v>8.4999999999999992E-2</v>
      </c>
      <c r="C23" s="148">
        <v>2.1343477296359988E-2</v>
      </c>
      <c r="D23" s="148">
        <v>0</v>
      </c>
      <c r="E23" s="148">
        <v>1.8434939640124364E-2</v>
      </c>
      <c r="F23" s="148">
        <v>0.12965778820114127</v>
      </c>
      <c r="G23" s="148">
        <v>0</v>
      </c>
      <c r="H23" s="148">
        <v>0</v>
      </c>
      <c r="I23" s="148">
        <v>5.1836595339169317E-3</v>
      </c>
      <c r="J23" s="148">
        <v>0</v>
      </c>
      <c r="K23" s="148">
        <v>0</v>
      </c>
      <c r="L23" s="148">
        <v>0</v>
      </c>
      <c r="M23" s="148">
        <v>1.2480799862711199E-4</v>
      </c>
      <c r="N23" s="148">
        <v>0.10981039934113761</v>
      </c>
      <c r="O23" s="148">
        <v>0.19431573709080771</v>
      </c>
      <c r="P23" s="148">
        <v>0.13916860274162149</v>
      </c>
      <c r="Q23" s="148">
        <v>0.34776929513122984</v>
      </c>
      <c r="R23" s="148">
        <v>0.2417789108316952</v>
      </c>
      <c r="S23" s="148">
        <v>0.1273069036919002</v>
      </c>
      <c r="T23" s="148">
        <v>0</v>
      </c>
      <c r="U23" s="148">
        <v>0</v>
      </c>
      <c r="V23" s="148">
        <v>0</v>
      </c>
      <c r="W23" s="148">
        <v>9.4200000000000006E-2</v>
      </c>
      <c r="X23" s="148">
        <v>0</v>
      </c>
      <c r="Y23" s="148">
        <v>0</v>
      </c>
      <c r="Z23" s="148">
        <v>0</v>
      </c>
      <c r="AA23" s="148">
        <v>4.9999999999999989E-2</v>
      </c>
      <c r="AB23" s="148">
        <v>0.2</v>
      </c>
      <c r="AC23" s="148">
        <v>0</v>
      </c>
      <c r="AD23" s="148">
        <v>0</v>
      </c>
      <c r="AE23" s="148">
        <v>3.3333327466667111E-3</v>
      </c>
      <c r="AF23" s="148">
        <v>0</v>
      </c>
      <c r="AG23" s="148">
        <v>0</v>
      </c>
      <c r="AH23" s="148">
        <v>0</v>
      </c>
      <c r="AI23" s="148">
        <v>0</v>
      </c>
      <c r="AJ23" s="148">
        <v>0</v>
      </c>
      <c r="AK23" s="148">
        <v>0</v>
      </c>
      <c r="AL23" s="148">
        <v>0</v>
      </c>
      <c r="AM23" s="148">
        <v>0</v>
      </c>
    </row>
    <row r="24" spans="1:39" customFormat="1" x14ac:dyDescent="0.15">
      <c r="A24" s="184" t="s">
        <v>214</v>
      </c>
      <c r="B24" s="148">
        <v>4.9999999999999989E-2</v>
      </c>
      <c r="C24" s="148">
        <v>0.20995472593158346</v>
      </c>
      <c r="D24" s="148">
        <v>0</v>
      </c>
      <c r="E24" s="148">
        <v>5.5317313918046999E-2</v>
      </c>
      <c r="F24" s="148">
        <v>0.10237779068362106</v>
      </c>
      <c r="G24" s="148">
        <v>2.6024599765778601E-4</v>
      </c>
      <c r="H24" s="148">
        <v>1.7408215170216287E-2</v>
      </c>
      <c r="I24" s="148">
        <v>5.4575915621319308E-3</v>
      </c>
      <c r="J24" s="148">
        <v>1.9945300228373687E-2</v>
      </c>
      <c r="K24" s="148">
        <v>6.8178300136356599E-4</v>
      </c>
      <c r="L24" s="148">
        <v>2.000000008E-3</v>
      </c>
      <c r="M24" s="148">
        <v>1.0479159884729241E-2</v>
      </c>
      <c r="N24" s="148">
        <v>0.24906209850562741</v>
      </c>
      <c r="O24" s="148">
        <v>0.10739596569325842</v>
      </c>
      <c r="P24" s="148">
        <v>0.10003550197069939</v>
      </c>
      <c r="Q24" s="148">
        <v>2.4415039658189443E-2</v>
      </c>
      <c r="R24" s="148">
        <v>9.8586464416673611E-2</v>
      </c>
      <c r="S24" s="148">
        <v>0.1150544033365777</v>
      </c>
      <c r="T24" s="148">
        <v>0</v>
      </c>
      <c r="U24" s="148">
        <v>1.6966779418039465E-2</v>
      </c>
      <c r="V24" s="148">
        <v>3.8181519732729359E-3</v>
      </c>
      <c r="W24" s="148">
        <v>2E-3</v>
      </c>
      <c r="X24" s="148">
        <v>0.02</v>
      </c>
      <c r="Y24" s="148">
        <v>0</v>
      </c>
      <c r="Z24" s="148">
        <v>0</v>
      </c>
      <c r="AA24" s="148">
        <v>0.24999999999999994</v>
      </c>
      <c r="AB24" s="148">
        <v>0.01</v>
      </c>
      <c r="AC24" s="148">
        <v>0</v>
      </c>
      <c r="AD24" s="148">
        <v>0</v>
      </c>
      <c r="AE24" s="148">
        <v>0</v>
      </c>
      <c r="AF24" s="148">
        <v>0</v>
      </c>
      <c r="AG24" s="148">
        <v>0</v>
      </c>
      <c r="AH24" s="148">
        <v>0</v>
      </c>
      <c r="AI24" s="148">
        <v>0</v>
      </c>
      <c r="AJ24" s="148">
        <v>0</v>
      </c>
      <c r="AK24" s="148">
        <v>0</v>
      </c>
      <c r="AL24" s="148">
        <v>0</v>
      </c>
      <c r="AM24" s="148">
        <v>0</v>
      </c>
    </row>
    <row r="25" spans="1:39" customFormat="1" x14ac:dyDescent="0.15">
      <c r="A25" s="184" t="s">
        <v>215</v>
      </c>
      <c r="B25" s="148">
        <v>6.9999999999999993E-2</v>
      </c>
      <c r="C25" s="148">
        <v>2.086338419194313E-2</v>
      </c>
      <c r="D25" s="148">
        <v>0</v>
      </c>
      <c r="E25" s="148">
        <v>9.7101105931514456E-3</v>
      </c>
      <c r="F25" s="148">
        <v>4.5474295861839078E-4</v>
      </c>
      <c r="G25" s="148">
        <v>0</v>
      </c>
      <c r="H25" s="148">
        <v>0</v>
      </c>
      <c r="I25" s="148">
        <v>4.1700004295100439E-5</v>
      </c>
      <c r="J25" s="148">
        <v>0</v>
      </c>
      <c r="K25" s="148">
        <v>0</v>
      </c>
      <c r="L25" s="148">
        <v>0</v>
      </c>
      <c r="M25" s="148">
        <v>0</v>
      </c>
      <c r="N25" s="148">
        <v>1.206801992759188E-3</v>
      </c>
      <c r="O25" s="148">
        <v>0</v>
      </c>
      <c r="P25" s="148">
        <v>1.9561337685358351E-2</v>
      </c>
      <c r="Q25" s="148">
        <v>3.999999944000001E-2</v>
      </c>
      <c r="R25" s="148">
        <v>5.5000002464000115E-2</v>
      </c>
      <c r="S25" s="148">
        <v>1.1638640337520569E-2</v>
      </c>
      <c r="T25" s="148">
        <v>0</v>
      </c>
      <c r="U25" s="148">
        <v>4.658815840202616E-2</v>
      </c>
      <c r="V25" s="148">
        <v>0</v>
      </c>
      <c r="W25" s="148">
        <v>0</v>
      </c>
      <c r="X25" s="148">
        <v>0</v>
      </c>
      <c r="Y25" s="148">
        <v>0</v>
      </c>
      <c r="Z25" s="148">
        <v>0</v>
      </c>
      <c r="AA25" s="148">
        <v>4.9999999999999989E-2</v>
      </c>
      <c r="AB25" s="148">
        <v>5.0000000000000001E-3</v>
      </c>
      <c r="AC25" s="148">
        <v>0</v>
      </c>
      <c r="AD25" s="148">
        <v>0</v>
      </c>
      <c r="AE25" s="148">
        <v>0</v>
      </c>
      <c r="AF25" s="148">
        <v>0</v>
      </c>
      <c r="AG25" s="148">
        <v>0</v>
      </c>
      <c r="AH25" s="148">
        <v>0</v>
      </c>
      <c r="AI25" s="148">
        <v>0</v>
      </c>
      <c r="AJ25" s="148">
        <v>0</v>
      </c>
      <c r="AK25" s="148">
        <v>0</v>
      </c>
      <c r="AL25" s="148">
        <v>0</v>
      </c>
      <c r="AM25" s="148">
        <v>0</v>
      </c>
    </row>
    <row r="26" spans="1:39" customFormat="1" x14ac:dyDescent="0.15">
      <c r="A26" s="184" t="s">
        <v>216</v>
      </c>
      <c r="B26" s="148">
        <v>3.4999999999999996E-2</v>
      </c>
      <c r="C26" s="148">
        <v>0</v>
      </c>
      <c r="D26" s="148">
        <v>3.298287033312699E-3</v>
      </c>
      <c r="E26" s="148">
        <v>0.1105329295506263</v>
      </c>
      <c r="F26" s="148">
        <v>0.17939298367523848</v>
      </c>
      <c r="G26" s="148">
        <v>0</v>
      </c>
      <c r="H26" s="148">
        <v>0</v>
      </c>
      <c r="I26" s="148">
        <v>1.1337591167771891E-3</v>
      </c>
      <c r="J26" s="148">
        <v>0.21630070247664307</v>
      </c>
      <c r="K26" s="148">
        <v>1.2623900025247799E-4</v>
      </c>
      <c r="L26" s="148">
        <v>2.9662140118648559E-3</v>
      </c>
      <c r="M26" s="148">
        <v>9.6502888938468215E-2</v>
      </c>
      <c r="N26" s="148">
        <v>1.276708992339746E-2</v>
      </c>
      <c r="O26" s="148">
        <v>6.9210626358022541E-3</v>
      </c>
      <c r="P26" s="148">
        <v>5.3044018444967166E-2</v>
      </c>
      <c r="Q26" s="148">
        <v>9.3382868692639842E-2</v>
      </c>
      <c r="R26" s="148">
        <v>9.9395104452900687E-2</v>
      </c>
      <c r="S26" s="148">
        <v>0.23175420672087199</v>
      </c>
      <c r="T26" s="148">
        <v>8.7260602076802321E-4</v>
      </c>
      <c r="U26" s="148">
        <v>8.8192096975011056E-2</v>
      </c>
      <c r="V26" s="148">
        <v>1.1200419921597057E-3</v>
      </c>
      <c r="W26" s="148">
        <v>3.4099999999999998E-2</v>
      </c>
      <c r="X26" s="148">
        <v>0.3</v>
      </c>
      <c r="Y26" s="148">
        <v>0</v>
      </c>
      <c r="Z26" s="148">
        <v>0.05</v>
      </c>
      <c r="AA26" s="148">
        <v>0.14499999999999996</v>
      </c>
      <c r="AB26" s="148">
        <v>0.375</v>
      </c>
      <c r="AC26" s="148">
        <v>0.01</v>
      </c>
      <c r="AD26" s="148">
        <v>0</v>
      </c>
      <c r="AE26" s="148">
        <v>3.166666759333326E-2</v>
      </c>
      <c r="AF26" s="148">
        <v>0</v>
      </c>
      <c r="AG26" s="148">
        <v>0</v>
      </c>
      <c r="AH26" s="148">
        <v>0</v>
      </c>
      <c r="AI26" s="148">
        <v>0</v>
      </c>
      <c r="AJ26" s="148">
        <v>0</v>
      </c>
      <c r="AK26" s="148">
        <v>0</v>
      </c>
      <c r="AL26" s="148">
        <v>0</v>
      </c>
      <c r="AM26" s="148">
        <v>0</v>
      </c>
    </row>
    <row r="27" spans="1:39" customFormat="1" x14ac:dyDescent="0.15">
      <c r="A27" s="184" t="s">
        <v>217</v>
      </c>
      <c r="B27" s="148">
        <v>0.14999999999999997</v>
      </c>
      <c r="C27" s="148">
        <v>0</v>
      </c>
      <c r="D27" s="148">
        <v>0</v>
      </c>
      <c r="E27" s="148">
        <v>1.6997525103715581E-2</v>
      </c>
      <c r="F27" s="148">
        <v>8.0593202666018552E-3</v>
      </c>
      <c r="G27" s="148">
        <v>1.4656849868088351E-2</v>
      </c>
      <c r="H27" s="148">
        <v>0</v>
      </c>
      <c r="I27" s="148">
        <v>2.3604482431261689E-2</v>
      </c>
      <c r="J27" s="148">
        <v>0</v>
      </c>
      <c r="K27" s="148">
        <v>0</v>
      </c>
      <c r="L27" s="148">
        <v>0</v>
      </c>
      <c r="M27" s="148">
        <v>4.9822999451947002E-4</v>
      </c>
      <c r="N27" s="148">
        <v>0.17506709894959741</v>
      </c>
      <c r="O27" s="148">
        <v>4.88167539509319E-2</v>
      </c>
      <c r="P27" s="148">
        <v>4.1809210823641457E-3</v>
      </c>
      <c r="Q27" s="148">
        <v>0.10971179846403481</v>
      </c>
      <c r="R27" s="148">
        <v>4.0788521827325782E-3</v>
      </c>
      <c r="S27" s="148">
        <v>2.0000000580000015E-3</v>
      </c>
      <c r="T27" s="148">
        <v>0</v>
      </c>
      <c r="U27" s="148">
        <v>0</v>
      </c>
      <c r="V27" s="148">
        <v>0</v>
      </c>
      <c r="W27" s="148">
        <v>0</v>
      </c>
      <c r="X27" s="148">
        <v>0</v>
      </c>
      <c r="Y27" s="148">
        <v>0</v>
      </c>
      <c r="Z27" s="148">
        <v>0</v>
      </c>
      <c r="AA27" s="148">
        <v>9.9999999999999985E-3</v>
      </c>
      <c r="AB27" s="148">
        <v>0</v>
      </c>
      <c r="AC27" s="148">
        <v>0</v>
      </c>
      <c r="AD27" s="148">
        <v>0</v>
      </c>
      <c r="AE27" s="148">
        <v>0</v>
      </c>
      <c r="AF27" s="148">
        <v>0</v>
      </c>
      <c r="AG27" s="148">
        <v>0</v>
      </c>
      <c r="AH27" s="148">
        <v>0</v>
      </c>
      <c r="AI27" s="148">
        <v>0</v>
      </c>
      <c r="AJ27" s="148">
        <v>0</v>
      </c>
      <c r="AK27" s="148">
        <v>0</v>
      </c>
      <c r="AL27" s="148">
        <v>0</v>
      </c>
      <c r="AM27" s="148">
        <v>0</v>
      </c>
    </row>
    <row r="28" spans="1:39" customFormat="1" x14ac:dyDescent="0.15">
      <c r="A28" s="184" t="s">
        <v>218</v>
      </c>
      <c r="B28" s="148">
        <v>4.9999999999999989E-2</v>
      </c>
      <c r="C28" s="148">
        <v>0</v>
      </c>
      <c r="D28" s="148">
        <v>0</v>
      </c>
      <c r="E28" s="148">
        <v>4.9979990695650988E-4</v>
      </c>
      <c r="F28" s="148">
        <v>2.150009804349108E-4</v>
      </c>
      <c r="G28" s="148">
        <v>0</v>
      </c>
      <c r="H28" s="148">
        <v>0</v>
      </c>
      <c r="I28" s="148">
        <v>6.9371807145296135E-4</v>
      </c>
      <c r="J28" s="148">
        <v>0</v>
      </c>
      <c r="K28" s="148">
        <v>0</v>
      </c>
      <c r="L28" s="148">
        <v>0</v>
      </c>
      <c r="M28" s="148">
        <v>0</v>
      </c>
      <c r="N28" s="148">
        <v>3.9494529763032821E-3</v>
      </c>
      <c r="O28" s="148">
        <v>4.6053537689563504E-3</v>
      </c>
      <c r="P28" s="148">
        <v>1.5523271905808458E-2</v>
      </c>
      <c r="Q28" s="148">
        <v>0</v>
      </c>
      <c r="R28" s="148">
        <v>2.0000000896000041E-3</v>
      </c>
      <c r="S28" s="148">
        <v>3.5591901032165131E-4</v>
      </c>
      <c r="T28" s="148">
        <v>0</v>
      </c>
      <c r="U28" s="148">
        <v>0</v>
      </c>
      <c r="V28" s="148">
        <v>0</v>
      </c>
      <c r="W28" s="148">
        <v>0</v>
      </c>
      <c r="X28" s="148">
        <v>0</v>
      </c>
      <c r="Y28" s="148">
        <v>0</v>
      </c>
      <c r="Z28" s="148">
        <v>0</v>
      </c>
      <c r="AA28" s="148">
        <v>0</v>
      </c>
      <c r="AB28" s="148">
        <v>5.0000000000000001E-3</v>
      </c>
      <c r="AC28" s="148">
        <v>0</v>
      </c>
      <c r="AD28" s="148">
        <v>0</v>
      </c>
      <c r="AE28" s="148">
        <v>0</v>
      </c>
      <c r="AF28" s="148">
        <v>0</v>
      </c>
      <c r="AG28" s="148">
        <v>0</v>
      </c>
      <c r="AH28" s="148">
        <v>0</v>
      </c>
      <c r="AI28" s="148">
        <v>0</v>
      </c>
      <c r="AJ28" s="148">
        <v>0</v>
      </c>
      <c r="AK28" s="148">
        <v>0</v>
      </c>
      <c r="AL28" s="148">
        <v>0</v>
      </c>
      <c r="AM28" s="148">
        <v>0</v>
      </c>
    </row>
    <row r="29" spans="1:39" customFormat="1" x14ac:dyDescent="0.15">
      <c r="A29" s="184" t="s">
        <v>219</v>
      </c>
      <c r="B29" s="148">
        <v>0.10999999999999997</v>
      </c>
      <c r="C29" s="148">
        <v>8.6515920795946458E-2</v>
      </c>
      <c r="D29" s="148">
        <v>0</v>
      </c>
      <c r="E29" s="148">
        <v>7.8255290783879293E-3</v>
      </c>
      <c r="F29" s="148">
        <v>9.187108163973158E-2</v>
      </c>
      <c r="G29" s="148">
        <v>0</v>
      </c>
      <c r="H29" s="148">
        <v>0</v>
      </c>
      <c r="I29" s="148">
        <v>0</v>
      </c>
      <c r="J29" s="148">
        <v>9.9905451143917426E-3</v>
      </c>
      <c r="K29" s="148">
        <v>0</v>
      </c>
      <c r="L29" s="148">
        <v>2.1312720085250878E-3</v>
      </c>
      <c r="M29" s="148">
        <v>0.23104119745854682</v>
      </c>
      <c r="N29" s="148">
        <v>1.2980829922115021E-3</v>
      </c>
      <c r="O29" s="148">
        <v>0</v>
      </c>
      <c r="P29" s="148">
        <v>8.600383169427548E-3</v>
      </c>
      <c r="Q29" s="148">
        <v>0.15135749788099503</v>
      </c>
      <c r="R29" s="148">
        <v>4.2490661903581653E-2</v>
      </c>
      <c r="S29" s="148">
        <v>0.12994520376841093</v>
      </c>
      <c r="T29" s="148">
        <v>0</v>
      </c>
      <c r="U29" s="148">
        <v>5.82351980025327E-3</v>
      </c>
      <c r="V29" s="148">
        <v>0</v>
      </c>
      <c r="W29" s="148">
        <v>0.249</v>
      </c>
      <c r="X29" s="148">
        <v>0</v>
      </c>
      <c r="Y29" s="148">
        <v>0.65</v>
      </c>
      <c r="Z29" s="148">
        <v>0.01</v>
      </c>
      <c r="AA29" s="148">
        <v>4.9999999999999992E-3</v>
      </c>
      <c r="AB29" s="148">
        <v>0.4</v>
      </c>
      <c r="AC29" s="148">
        <v>2.5000000000000001E-2</v>
      </c>
      <c r="AD29" s="148">
        <v>0</v>
      </c>
      <c r="AE29" s="148">
        <v>0.10999999164000063</v>
      </c>
      <c r="AF29" s="148">
        <v>0.05</v>
      </c>
      <c r="AG29" s="148">
        <v>0</v>
      </c>
      <c r="AH29" s="148">
        <v>0</v>
      </c>
      <c r="AI29" s="148">
        <v>0</v>
      </c>
      <c r="AJ29" s="148">
        <v>0</v>
      </c>
      <c r="AK29" s="148">
        <v>0</v>
      </c>
      <c r="AL29" s="148">
        <v>0</v>
      </c>
      <c r="AM29" s="148">
        <v>0</v>
      </c>
    </row>
    <row r="30" spans="1:39" customFormat="1" x14ac:dyDescent="0.15">
      <c r="A30" s="184" t="s">
        <v>220</v>
      </c>
      <c r="B30" s="148">
        <v>0</v>
      </c>
      <c r="C30" s="148">
        <v>0</v>
      </c>
      <c r="D30" s="148">
        <v>0</v>
      </c>
      <c r="E30" s="148">
        <v>2.53898352733907E-5</v>
      </c>
      <c r="F30" s="148">
        <v>0</v>
      </c>
      <c r="G30" s="148">
        <v>0</v>
      </c>
      <c r="H30" s="148">
        <v>0</v>
      </c>
      <c r="I30" s="148">
        <v>0</v>
      </c>
      <c r="J30" s="148">
        <v>0</v>
      </c>
      <c r="K30" s="148">
        <v>0</v>
      </c>
      <c r="L30" s="148">
        <v>0</v>
      </c>
      <c r="M30" s="148">
        <v>0</v>
      </c>
      <c r="N30" s="148">
        <v>0</v>
      </c>
      <c r="O30" s="148">
        <v>0</v>
      </c>
      <c r="P30" s="148">
        <v>1.1429200225155244E-4</v>
      </c>
      <c r="Q30" s="148">
        <v>0</v>
      </c>
      <c r="R30" s="148">
        <v>2.0000000896000041E-3</v>
      </c>
      <c r="S30" s="148">
        <v>5.3800001560200047E-6</v>
      </c>
      <c r="T30" s="148">
        <v>0</v>
      </c>
      <c r="U30" s="148">
        <v>0</v>
      </c>
      <c r="V30" s="148">
        <v>0</v>
      </c>
      <c r="W30" s="148">
        <v>1E-3</v>
      </c>
      <c r="X30" s="148">
        <v>0</v>
      </c>
      <c r="Y30" s="148">
        <v>0</v>
      </c>
      <c r="Z30" s="148">
        <v>0</v>
      </c>
      <c r="AA30" s="148">
        <v>0</v>
      </c>
      <c r="AB30" s="148">
        <v>0</v>
      </c>
      <c r="AC30" s="148">
        <v>0</v>
      </c>
      <c r="AD30" s="148">
        <v>0</v>
      </c>
      <c r="AE30" s="148">
        <v>8.3333293666669678E-4</v>
      </c>
      <c r="AF30" s="148">
        <v>0</v>
      </c>
      <c r="AG30" s="148">
        <v>0</v>
      </c>
      <c r="AH30" s="148">
        <v>0</v>
      </c>
      <c r="AI30" s="148">
        <v>0</v>
      </c>
      <c r="AJ30" s="148">
        <v>0</v>
      </c>
      <c r="AK30" s="148">
        <v>0</v>
      </c>
      <c r="AL30" s="148">
        <v>0</v>
      </c>
      <c r="AM30" s="148">
        <v>0</v>
      </c>
    </row>
    <row r="31" spans="1:39" customFormat="1" x14ac:dyDescent="0.15">
      <c r="A31" s="184" t="s">
        <v>221</v>
      </c>
      <c r="B31" s="148">
        <v>4.9999999999999992E-3</v>
      </c>
      <c r="C31" s="148">
        <v>0</v>
      </c>
      <c r="D31" s="148">
        <v>0</v>
      </c>
      <c r="E31" s="148">
        <v>9.9959981391301977E-4</v>
      </c>
      <c r="F31" s="148">
        <v>1.0169549074571034E-3</v>
      </c>
      <c r="G31" s="148">
        <v>0</v>
      </c>
      <c r="H31" s="148">
        <v>0</v>
      </c>
      <c r="I31" s="148">
        <v>0</v>
      </c>
      <c r="J31" s="148">
        <v>0</v>
      </c>
      <c r="K31" s="148">
        <v>0</v>
      </c>
      <c r="L31" s="148">
        <v>0</v>
      </c>
      <c r="M31" s="148">
        <v>0</v>
      </c>
      <c r="N31" s="148">
        <v>0</v>
      </c>
      <c r="O31" s="148">
        <v>0</v>
      </c>
      <c r="P31" s="148">
        <v>1.3210630260249417E-2</v>
      </c>
      <c r="Q31" s="148">
        <v>0.13060499817153001</v>
      </c>
      <c r="R31" s="148">
        <v>1.2521358760956874E-2</v>
      </c>
      <c r="S31" s="148">
        <v>6.6327421923495236E-2</v>
      </c>
      <c r="T31" s="148">
        <v>0</v>
      </c>
      <c r="U31" s="148">
        <v>1.452421950181927E-3</v>
      </c>
      <c r="V31" s="148">
        <v>0</v>
      </c>
      <c r="W31" s="148">
        <v>3.0000000000000001E-3</v>
      </c>
      <c r="X31" s="148">
        <v>0</v>
      </c>
      <c r="Y31" s="148">
        <v>2.5000000000000001E-2</v>
      </c>
      <c r="Z31" s="148">
        <v>0.01</v>
      </c>
      <c r="AA31" s="148">
        <v>0</v>
      </c>
      <c r="AB31" s="148">
        <v>0</v>
      </c>
      <c r="AC31" s="148">
        <v>0</v>
      </c>
      <c r="AD31" s="148">
        <v>0</v>
      </c>
      <c r="AE31" s="148">
        <v>6.5166665047333441E-2</v>
      </c>
      <c r="AF31" s="148">
        <v>0</v>
      </c>
      <c r="AG31" s="148">
        <v>0</v>
      </c>
      <c r="AH31" s="148">
        <v>0</v>
      </c>
      <c r="AI31" s="148">
        <v>0</v>
      </c>
      <c r="AJ31" s="148">
        <v>0</v>
      </c>
      <c r="AK31" s="148">
        <v>0</v>
      </c>
      <c r="AL31" s="148">
        <v>0</v>
      </c>
      <c r="AM31" s="148">
        <v>0</v>
      </c>
    </row>
    <row r="32" spans="1:39" customFormat="1" x14ac:dyDescent="0.15">
      <c r="A32" s="184" t="s">
        <v>222</v>
      </c>
      <c r="B32" s="148">
        <v>0</v>
      </c>
      <c r="C32" s="148">
        <v>0.62108450571397744</v>
      </c>
      <c r="D32" s="148">
        <v>1.9905774101048317E-2</v>
      </c>
      <c r="E32" s="148">
        <v>5.4134135499149243E-2</v>
      </c>
      <c r="F32" s="148">
        <v>0.33282806971264567</v>
      </c>
      <c r="G32" s="148">
        <v>0</v>
      </c>
      <c r="H32" s="148">
        <v>0</v>
      </c>
      <c r="I32" s="148">
        <v>6.5600006756800694E-5</v>
      </c>
      <c r="J32" s="148">
        <v>4.1844730479122169E-3</v>
      </c>
      <c r="K32" s="148">
        <v>0</v>
      </c>
      <c r="L32" s="148">
        <v>2.557273010229092E-3</v>
      </c>
      <c r="M32" s="148">
        <v>4.9810799452081208E-4</v>
      </c>
      <c r="N32" s="148">
        <v>0</v>
      </c>
      <c r="O32" s="148">
        <v>1.3693081473260768E-3</v>
      </c>
      <c r="P32" s="148">
        <v>2.2600000445220009E-5</v>
      </c>
      <c r="Q32" s="148">
        <v>4.4656279374812084E-2</v>
      </c>
      <c r="R32" s="148">
        <v>2.08767209352771E-2</v>
      </c>
      <c r="S32" s="148">
        <v>0.1265865036710086</v>
      </c>
      <c r="T32" s="148">
        <v>8.7260602076802321E-4</v>
      </c>
      <c r="U32" s="148">
        <v>2.8621495618282696E-2</v>
      </c>
      <c r="V32" s="148">
        <v>2.147710984966023E-3</v>
      </c>
      <c r="W32" s="148">
        <v>3.8100000000000002E-2</v>
      </c>
      <c r="X32" s="148">
        <v>0.01</v>
      </c>
      <c r="Y32" s="148">
        <v>2.5000000000000001E-2</v>
      </c>
      <c r="Z32" s="148">
        <v>0.01</v>
      </c>
      <c r="AA32" s="148">
        <v>0</v>
      </c>
      <c r="AB32" s="148">
        <v>0</v>
      </c>
      <c r="AC32" s="148">
        <v>0.04</v>
      </c>
      <c r="AD32" s="148">
        <v>0</v>
      </c>
      <c r="AE32" s="148">
        <v>1.0666669189333141E-2</v>
      </c>
      <c r="AF32" s="148">
        <v>0</v>
      </c>
      <c r="AG32" s="148">
        <v>0</v>
      </c>
      <c r="AH32" s="148">
        <v>0</v>
      </c>
      <c r="AI32" s="148">
        <v>0</v>
      </c>
      <c r="AJ32" s="148">
        <v>0</v>
      </c>
      <c r="AK32" s="148">
        <v>0</v>
      </c>
      <c r="AL32" s="148">
        <v>0</v>
      </c>
      <c r="AM32" s="148">
        <v>0</v>
      </c>
    </row>
    <row r="33" spans="1:39" customFormat="1" x14ac:dyDescent="0.15">
      <c r="A33" s="184" t="s">
        <v>223</v>
      </c>
      <c r="B33" s="148">
        <v>0</v>
      </c>
      <c r="C33" s="148">
        <v>3.9450005062940038E-2</v>
      </c>
      <c r="D33" s="148">
        <v>0</v>
      </c>
      <c r="E33" s="148">
        <v>0</v>
      </c>
      <c r="F33" s="148">
        <v>1.2849488830696516E-3</v>
      </c>
      <c r="G33" s="148">
        <v>0</v>
      </c>
      <c r="H33" s="148">
        <v>0</v>
      </c>
      <c r="I33" s="148">
        <v>0</v>
      </c>
      <c r="J33" s="148">
        <v>0</v>
      </c>
      <c r="K33" s="148">
        <v>0</v>
      </c>
      <c r="L33" s="148">
        <v>0</v>
      </c>
      <c r="M33" s="148">
        <v>0</v>
      </c>
      <c r="N33" s="148">
        <v>0</v>
      </c>
      <c r="O33" s="148">
        <v>0</v>
      </c>
      <c r="P33" s="148">
        <v>0</v>
      </c>
      <c r="Q33" s="148">
        <v>3.9330499449373004E-3</v>
      </c>
      <c r="R33" s="148">
        <v>5.7451312573818802E-3</v>
      </c>
      <c r="S33" s="148">
        <v>5.1210691485110045E-3</v>
      </c>
      <c r="T33" s="148">
        <v>1.8252970434420696E-3</v>
      </c>
      <c r="U33" s="148">
        <v>0</v>
      </c>
      <c r="V33" s="148">
        <v>0</v>
      </c>
      <c r="W33" s="148">
        <v>0</v>
      </c>
      <c r="X33" s="148">
        <v>0</v>
      </c>
      <c r="Y33" s="148">
        <v>0</v>
      </c>
      <c r="Z33" s="148">
        <v>0.04</v>
      </c>
      <c r="AA33" s="148">
        <v>0</v>
      </c>
      <c r="AB33" s="148">
        <v>0</v>
      </c>
      <c r="AC33" s="148">
        <v>0</v>
      </c>
      <c r="AD33" s="148">
        <v>0</v>
      </c>
      <c r="AE33" s="148">
        <v>2.3999998176000136E-2</v>
      </c>
      <c r="AF33" s="148">
        <v>1E-3</v>
      </c>
      <c r="AG33" s="148">
        <v>0</v>
      </c>
      <c r="AH33" s="148">
        <v>0</v>
      </c>
      <c r="AI33" s="148">
        <v>0</v>
      </c>
      <c r="AJ33" s="148">
        <v>0</v>
      </c>
      <c r="AK33" s="148">
        <v>0</v>
      </c>
      <c r="AL33" s="148">
        <v>0</v>
      </c>
      <c r="AM33" s="148">
        <v>0</v>
      </c>
    </row>
    <row r="34" spans="1:39" customFormat="1" x14ac:dyDescent="0.15">
      <c r="A34" s="184" t="s">
        <v>224</v>
      </c>
      <c r="B34" s="148">
        <v>0</v>
      </c>
      <c r="C34" s="148">
        <v>0</v>
      </c>
      <c r="D34" s="148">
        <v>0</v>
      </c>
      <c r="E34" s="148">
        <v>0</v>
      </c>
      <c r="F34" s="148">
        <v>4.1401496232463842E-4</v>
      </c>
      <c r="G34" s="148">
        <v>0</v>
      </c>
      <c r="H34" s="148">
        <v>0</v>
      </c>
      <c r="I34" s="148">
        <v>0</v>
      </c>
      <c r="J34" s="148">
        <v>0</v>
      </c>
      <c r="K34" s="148">
        <v>0</v>
      </c>
      <c r="L34" s="148">
        <v>0</v>
      </c>
      <c r="M34" s="148">
        <v>0</v>
      </c>
      <c r="N34" s="148">
        <v>0</v>
      </c>
      <c r="O34" s="148">
        <v>0</v>
      </c>
      <c r="P34" s="148">
        <v>0</v>
      </c>
      <c r="Q34" s="148">
        <v>0</v>
      </c>
      <c r="R34" s="148">
        <v>0</v>
      </c>
      <c r="S34" s="148">
        <v>5.3088101539554939E-3</v>
      </c>
      <c r="T34" s="148">
        <v>3.0863200734544173E-5</v>
      </c>
      <c r="U34" s="148">
        <v>3.1396052623115393E-2</v>
      </c>
      <c r="V34" s="148">
        <v>0</v>
      </c>
      <c r="W34" s="148">
        <v>1E-3</v>
      </c>
      <c r="X34" s="148">
        <v>0</v>
      </c>
      <c r="Y34" s="148">
        <v>0</v>
      </c>
      <c r="Z34" s="148">
        <v>0.06</v>
      </c>
      <c r="AA34" s="148">
        <v>0</v>
      </c>
      <c r="AB34" s="148">
        <v>0</v>
      </c>
      <c r="AC34" s="148">
        <v>0</v>
      </c>
      <c r="AD34" s="148">
        <v>0</v>
      </c>
      <c r="AE34" s="148">
        <v>3.9999996960000228E-2</v>
      </c>
      <c r="AF34" s="148">
        <v>1E-3</v>
      </c>
      <c r="AG34" s="148">
        <v>0</v>
      </c>
      <c r="AH34" s="148">
        <v>0</v>
      </c>
      <c r="AI34" s="148">
        <v>0</v>
      </c>
      <c r="AJ34" s="148">
        <v>0</v>
      </c>
      <c r="AK34" s="148">
        <v>0</v>
      </c>
      <c r="AL34" s="148">
        <v>0</v>
      </c>
      <c r="AM34" s="148">
        <v>0</v>
      </c>
    </row>
    <row r="35" spans="1:39" customFormat="1" x14ac:dyDescent="0.15">
      <c r="A35" s="184" t="s">
        <v>225</v>
      </c>
      <c r="B35" s="148">
        <v>0</v>
      </c>
      <c r="C35" s="148">
        <v>0</v>
      </c>
      <c r="D35" s="148">
        <v>7.7282090780549113E-3</v>
      </c>
      <c r="E35" s="148">
        <v>0</v>
      </c>
      <c r="F35" s="148">
        <v>5.8385204686946378E-2</v>
      </c>
      <c r="G35" s="148">
        <v>0</v>
      </c>
      <c r="H35" s="148">
        <v>1.5458450595150347E-3</v>
      </c>
      <c r="I35" s="148">
        <v>0</v>
      </c>
      <c r="J35" s="148">
        <v>0.40882350468102918</v>
      </c>
      <c r="K35" s="148">
        <v>0.38247430076494859</v>
      </c>
      <c r="L35" s="148">
        <v>0.325421001301684</v>
      </c>
      <c r="M35" s="148">
        <v>0.30001229669986473</v>
      </c>
      <c r="N35" s="148">
        <v>0</v>
      </c>
      <c r="O35" s="148">
        <v>0</v>
      </c>
      <c r="P35" s="148">
        <v>0</v>
      </c>
      <c r="Q35" s="148">
        <v>0</v>
      </c>
      <c r="R35" s="148">
        <v>0</v>
      </c>
      <c r="S35" s="148">
        <v>1.9730610572187706E-2</v>
      </c>
      <c r="T35" s="148">
        <v>2.1447260510444799E-3</v>
      </c>
      <c r="U35" s="148">
        <v>0.18033645381445962</v>
      </c>
      <c r="V35" s="148">
        <v>0.75738359469831473</v>
      </c>
      <c r="W35" s="148">
        <v>0</v>
      </c>
      <c r="X35" s="148">
        <v>0.21</v>
      </c>
      <c r="Y35" s="148">
        <v>0</v>
      </c>
      <c r="Z35" s="148">
        <v>0.03</v>
      </c>
      <c r="AA35" s="148">
        <v>0.19999999999999996</v>
      </c>
      <c r="AB35" s="148">
        <v>0</v>
      </c>
      <c r="AC35" s="148">
        <v>2.5000000000000001E-3</v>
      </c>
      <c r="AD35" s="148">
        <v>0</v>
      </c>
      <c r="AE35" s="148">
        <v>6.6666694933331183E-3</v>
      </c>
      <c r="AF35" s="148">
        <v>5.0000000000000001E-3</v>
      </c>
      <c r="AG35" s="148">
        <v>0.15</v>
      </c>
      <c r="AH35" s="148">
        <v>0</v>
      </c>
      <c r="AI35" s="148">
        <v>0.01</v>
      </c>
      <c r="AJ35" s="148">
        <v>0</v>
      </c>
      <c r="AK35" s="148">
        <v>0</v>
      </c>
      <c r="AL35" s="148">
        <v>0</v>
      </c>
      <c r="AM35" s="148">
        <v>0</v>
      </c>
    </row>
    <row r="36" spans="1:39" customFormat="1" x14ac:dyDescent="0.15">
      <c r="A36" s="184" t="s">
        <v>226</v>
      </c>
      <c r="B36" s="148">
        <v>0</v>
      </c>
      <c r="C36" s="148">
        <v>0</v>
      </c>
      <c r="D36" s="148">
        <v>2.8155360284369137E-2</v>
      </c>
      <c r="E36" s="148">
        <v>0</v>
      </c>
      <c r="F36" s="148">
        <v>7.2033673444935721E-3</v>
      </c>
      <c r="G36" s="148">
        <v>0</v>
      </c>
      <c r="H36" s="148">
        <v>0</v>
      </c>
      <c r="I36" s="148">
        <v>0</v>
      </c>
      <c r="J36" s="148">
        <v>0.32830572475910058</v>
      </c>
      <c r="K36" s="148">
        <v>0.61613960123227918</v>
      </c>
      <c r="L36" s="148">
        <v>0.28818390115273557</v>
      </c>
      <c r="M36" s="148">
        <v>0.15947407324578519</v>
      </c>
      <c r="N36" s="148">
        <v>0</v>
      </c>
      <c r="O36" s="148">
        <v>0</v>
      </c>
      <c r="P36" s="148">
        <v>0</v>
      </c>
      <c r="Q36" s="148">
        <v>0</v>
      </c>
      <c r="R36" s="148">
        <v>0</v>
      </c>
      <c r="S36" s="148">
        <v>0</v>
      </c>
      <c r="T36" s="148">
        <v>0</v>
      </c>
      <c r="U36" s="148">
        <v>0</v>
      </c>
      <c r="V36" s="148">
        <v>0.19808249061342253</v>
      </c>
      <c r="W36" s="148">
        <v>0</v>
      </c>
      <c r="X36" s="148">
        <v>0.36</v>
      </c>
      <c r="Y36" s="148">
        <v>0</v>
      </c>
      <c r="Z36" s="148">
        <v>0.01</v>
      </c>
      <c r="AA36" s="148">
        <v>0</v>
      </c>
      <c r="AB36" s="148">
        <v>0</v>
      </c>
      <c r="AC36" s="148">
        <v>0.3</v>
      </c>
      <c r="AD36" s="148">
        <v>0</v>
      </c>
      <c r="AE36" s="148">
        <v>8.3333293666669681E-3</v>
      </c>
      <c r="AF36" s="148">
        <v>1.4999999999999999E-2</v>
      </c>
      <c r="AG36" s="148">
        <v>0.05</v>
      </c>
      <c r="AH36" s="148">
        <v>0.2</v>
      </c>
      <c r="AI36" s="148">
        <v>0.7</v>
      </c>
      <c r="AJ36" s="148">
        <v>0</v>
      </c>
      <c r="AK36" s="148">
        <v>0</v>
      </c>
      <c r="AL36" s="148">
        <v>0</v>
      </c>
      <c r="AM36" s="148">
        <v>0</v>
      </c>
    </row>
    <row r="37" spans="1:39" customFormat="1" x14ac:dyDescent="0.15">
      <c r="A37" s="184" t="s">
        <v>227</v>
      </c>
      <c r="B37" s="148">
        <v>0</v>
      </c>
      <c r="C37" s="148">
        <v>0</v>
      </c>
      <c r="D37" s="148">
        <v>0.52705040532320913</v>
      </c>
      <c r="E37" s="148">
        <v>0</v>
      </c>
      <c r="F37" s="148">
        <v>3.9867376372068754E-2</v>
      </c>
      <c r="G37" s="148">
        <v>0</v>
      </c>
      <c r="H37" s="148">
        <v>0</v>
      </c>
      <c r="I37" s="148">
        <v>0</v>
      </c>
      <c r="J37" s="148">
        <v>0</v>
      </c>
      <c r="K37" s="148">
        <v>3.4599000069197996E-5</v>
      </c>
      <c r="L37" s="148">
        <v>0.37636770150547078</v>
      </c>
      <c r="M37" s="148">
        <v>0</v>
      </c>
      <c r="N37" s="148">
        <v>0</v>
      </c>
      <c r="O37" s="148">
        <v>0</v>
      </c>
      <c r="P37" s="148">
        <v>0</v>
      </c>
      <c r="Q37" s="148">
        <v>4.207089941100741E-4</v>
      </c>
      <c r="R37" s="148">
        <v>0</v>
      </c>
      <c r="S37" s="148">
        <v>1.1571300335567709E-2</v>
      </c>
      <c r="T37" s="148">
        <v>0.99075432357995286</v>
      </c>
      <c r="U37" s="148">
        <v>0.59334707964819511</v>
      </c>
      <c r="V37" s="148">
        <v>3.7448009737863927E-2</v>
      </c>
      <c r="W37" s="148">
        <v>3.3099999999999997E-2</v>
      </c>
      <c r="X37" s="148">
        <v>0.05</v>
      </c>
      <c r="Y37" s="148">
        <v>0.18</v>
      </c>
      <c r="Z37" s="148">
        <v>0.61</v>
      </c>
      <c r="AA37" s="148">
        <v>0</v>
      </c>
      <c r="AB37" s="148">
        <v>0</v>
      </c>
      <c r="AC37" s="148">
        <v>0.27500000000000002</v>
      </c>
      <c r="AD37" s="148">
        <v>0.2</v>
      </c>
      <c r="AE37" s="148">
        <v>0.40266666939733309</v>
      </c>
      <c r="AF37" s="148">
        <v>0.25</v>
      </c>
      <c r="AG37" s="148">
        <v>0.35</v>
      </c>
      <c r="AH37" s="148">
        <v>0</v>
      </c>
      <c r="AI37" s="148">
        <v>0</v>
      </c>
      <c r="AJ37" s="148">
        <v>0</v>
      </c>
      <c r="AK37" s="148">
        <v>0</v>
      </c>
      <c r="AL37" s="148">
        <v>0</v>
      </c>
      <c r="AM37" s="148">
        <v>0</v>
      </c>
    </row>
    <row r="38" spans="1:39" customFormat="1" x14ac:dyDescent="0.15">
      <c r="A38" s="184" t="s">
        <v>228</v>
      </c>
      <c r="B38" s="148">
        <v>0</v>
      </c>
      <c r="C38" s="148">
        <v>0</v>
      </c>
      <c r="D38" s="148">
        <v>0.41386196418000581</v>
      </c>
      <c r="E38" s="148">
        <v>9.9959981391301977E-4</v>
      </c>
      <c r="F38" s="148">
        <v>2.5616787668872324E-2</v>
      </c>
      <c r="G38" s="148">
        <v>0</v>
      </c>
      <c r="H38" s="148">
        <v>0</v>
      </c>
      <c r="I38" s="148">
        <v>0</v>
      </c>
      <c r="J38" s="148">
        <v>1.977556172643018E-3</v>
      </c>
      <c r="K38" s="148">
        <v>5.4347700108695399E-4</v>
      </c>
      <c r="L38" s="148">
        <v>0</v>
      </c>
      <c r="M38" s="148">
        <v>4.9810799452081208E-4</v>
      </c>
      <c r="N38" s="148">
        <v>2.3639299858164201E-3</v>
      </c>
      <c r="O38" s="148">
        <v>0</v>
      </c>
      <c r="P38" s="148">
        <v>0</v>
      </c>
      <c r="Q38" s="148">
        <v>0</v>
      </c>
      <c r="R38" s="148">
        <v>0</v>
      </c>
      <c r="S38" s="148">
        <v>6.0593731757218215E-3</v>
      </c>
      <c r="T38" s="148">
        <v>3.4995780832899584E-3</v>
      </c>
      <c r="U38" s="148">
        <v>0</v>
      </c>
      <c r="V38" s="148">
        <v>0</v>
      </c>
      <c r="W38" s="148">
        <v>0.54100000000000004</v>
      </c>
      <c r="X38" s="148">
        <v>0.05</v>
      </c>
      <c r="Y38" s="148">
        <v>0.12</v>
      </c>
      <c r="Z38" s="148">
        <v>0.17</v>
      </c>
      <c r="AA38" s="148">
        <v>9.9999999999999985E-3</v>
      </c>
      <c r="AB38" s="148">
        <v>0</v>
      </c>
      <c r="AC38" s="148">
        <v>0.34749999999999998</v>
      </c>
      <c r="AD38" s="148">
        <v>0.8</v>
      </c>
      <c r="AE38" s="148">
        <v>0.29666667745333247</v>
      </c>
      <c r="AF38" s="148">
        <v>0.67800000000000005</v>
      </c>
      <c r="AG38" s="148">
        <v>0.45</v>
      </c>
      <c r="AH38" s="148">
        <v>0.8</v>
      </c>
      <c r="AI38" s="148">
        <v>0.28999999999999998</v>
      </c>
      <c r="AJ38" s="148">
        <v>0</v>
      </c>
      <c r="AK38" s="148">
        <v>0</v>
      </c>
      <c r="AL38" s="148">
        <v>0</v>
      </c>
      <c r="AM38" s="148">
        <v>0</v>
      </c>
    </row>
    <row r="39" spans="1:39" x14ac:dyDescent="0.15">
      <c r="A39" s="184" t="s">
        <v>229</v>
      </c>
      <c r="B39" s="148">
        <v>0</v>
      </c>
      <c r="C39" s="148">
        <v>0</v>
      </c>
      <c r="D39" s="148">
        <v>0</v>
      </c>
      <c r="E39" s="148">
        <v>0</v>
      </c>
      <c r="F39" s="148">
        <v>0</v>
      </c>
      <c r="G39" s="148">
        <v>0</v>
      </c>
      <c r="H39" s="148">
        <v>0</v>
      </c>
      <c r="I39" s="148">
        <v>0</v>
      </c>
      <c r="J39" s="148">
        <v>0</v>
      </c>
      <c r="K39" s="148">
        <v>0</v>
      </c>
      <c r="L39" s="148">
        <v>0</v>
      </c>
      <c r="M39" s="148">
        <v>0</v>
      </c>
      <c r="N39" s="148">
        <v>0</v>
      </c>
      <c r="O39" s="148">
        <v>0</v>
      </c>
      <c r="P39" s="148">
        <v>0</v>
      </c>
      <c r="Q39" s="148">
        <v>0</v>
      </c>
      <c r="R39" s="148">
        <v>0</v>
      </c>
      <c r="S39" s="148">
        <v>0</v>
      </c>
      <c r="T39" s="148">
        <v>0</v>
      </c>
      <c r="U39" s="148">
        <v>0</v>
      </c>
      <c r="V39" s="148">
        <v>0</v>
      </c>
      <c r="W39" s="148">
        <v>0</v>
      </c>
      <c r="X39" s="148">
        <v>0</v>
      </c>
      <c r="Y39" s="148">
        <v>0</v>
      </c>
      <c r="Z39" s="148">
        <v>0</v>
      </c>
      <c r="AA39" s="148">
        <v>0</v>
      </c>
      <c r="AB39" s="148">
        <v>0</v>
      </c>
      <c r="AC39" s="148">
        <v>0</v>
      </c>
      <c r="AD39" s="148">
        <v>0</v>
      </c>
      <c r="AE39" s="148">
        <v>0</v>
      </c>
      <c r="AF39" s="148">
        <v>0</v>
      </c>
      <c r="AG39" s="148">
        <v>0</v>
      </c>
      <c r="AH39" s="148">
        <v>0</v>
      </c>
      <c r="AI39" s="148">
        <v>0</v>
      </c>
      <c r="AJ39" s="148">
        <v>0</v>
      </c>
      <c r="AK39" s="148">
        <v>0</v>
      </c>
      <c r="AL39" s="148">
        <v>0</v>
      </c>
      <c r="AM39" s="148">
        <v>0</v>
      </c>
    </row>
    <row r="40" spans="1:39" x14ac:dyDescent="0.15">
      <c r="A40" s="184" t="s">
        <v>247</v>
      </c>
      <c r="B40" s="148">
        <v>0</v>
      </c>
      <c r="C40" s="148">
        <v>0</v>
      </c>
      <c r="D40" s="148">
        <v>0</v>
      </c>
      <c r="E40" s="148">
        <v>0</v>
      </c>
      <c r="F40" s="148">
        <v>0</v>
      </c>
      <c r="G40" s="148">
        <v>0</v>
      </c>
      <c r="H40" s="148">
        <v>0</v>
      </c>
      <c r="I40" s="148">
        <v>0</v>
      </c>
      <c r="J40" s="148">
        <v>0</v>
      </c>
      <c r="K40" s="148">
        <v>0</v>
      </c>
      <c r="L40" s="148">
        <v>0</v>
      </c>
      <c r="M40" s="148">
        <v>0</v>
      </c>
      <c r="N40" s="148">
        <v>0</v>
      </c>
      <c r="O40" s="148">
        <v>0</v>
      </c>
      <c r="P40" s="148">
        <v>0</v>
      </c>
      <c r="Q40" s="148">
        <v>0</v>
      </c>
      <c r="R40" s="148">
        <v>0</v>
      </c>
      <c r="S40" s="148">
        <v>0</v>
      </c>
      <c r="T40" s="148">
        <v>0</v>
      </c>
      <c r="U40" s="148">
        <v>0</v>
      </c>
      <c r="V40" s="148">
        <v>0</v>
      </c>
      <c r="W40" s="148">
        <v>0</v>
      </c>
      <c r="X40" s="148">
        <v>0</v>
      </c>
      <c r="Y40" s="148">
        <v>0</v>
      </c>
      <c r="Z40" s="148">
        <v>0</v>
      </c>
      <c r="AA40" s="148">
        <v>0</v>
      </c>
      <c r="AB40" s="148">
        <v>0</v>
      </c>
      <c r="AC40" s="148">
        <v>0</v>
      </c>
      <c r="AD40" s="148">
        <v>0</v>
      </c>
      <c r="AE40" s="148">
        <v>0</v>
      </c>
      <c r="AF40" s="148">
        <v>0</v>
      </c>
      <c r="AG40" s="148">
        <v>0</v>
      </c>
      <c r="AH40" s="148">
        <v>0</v>
      </c>
      <c r="AI40" s="148">
        <v>0</v>
      </c>
      <c r="AJ40" s="148">
        <v>0</v>
      </c>
      <c r="AK40" s="148">
        <v>0</v>
      </c>
      <c r="AL40" s="148">
        <v>0</v>
      </c>
      <c r="AM40" s="148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41.83203125" customWidth="1"/>
    <col min="3" max="4" width="2.33203125" style="114" customWidth="1"/>
    <col min="5" max="6" width="2.33203125" style="113" bestFit="1" customWidth="1"/>
    <col min="7" max="8" width="8.83203125" style="114"/>
  </cols>
  <sheetData>
    <row r="1" spans="1:8" ht="70" x14ac:dyDescent="0.15">
      <c r="A1" s="5" t="s">
        <v>20</v>
      </c>
      <c r="B1" s="1" t="s">
        <v>0</v>
      </c>
      <c r="C1" s="187" t="s">
        <v>228</v>
      </c>
      <c r="D1" s="187" t="s">
        <v>229</v>
      </c>
      <c r="E1" s="187" t="s">
        <v>248</v>
      </c>
      <c r="F1" s="187" t="s">
        <v>249</v>
      </c>
      <c r="G1"/>
      <c r="H1"/>
    </row>
    <row r="2" spans="1:8" x14ac:dyDescent="0.15">
      <c r="A2">
        <v>1</v>
      </c>
      <c r="B2" s="186" t="s">
        <v>192</v>
      </c>
      <c r="C2" s="114">
        <v>1</v>
      </c>
      <c r="D2" s="114">
        <v>0</v>
      </c>
      <c r="E2" s="113">
        <v>0</v>
      </c>
      <c r="F2" s="113">
        <v>1</v>
      </c>
      <c r="G2"/>
      <c r="H2"/>
    </row>
    <row r="3" spans="1:8" x14ac:dyDescent="0.15">
      <c r="A3">
        <v>2</v>
      </c>
      <c r="B3" s="186" t="s">
        <v>193</v>
      </c>
      <c r="C3" s="114">
        <v>1</v>
      </c>
      <c r="D3" s="114">
        <v>0</v>
      </c>
      <c r="E3" s="113">
        <v>0</v>
      </c>
      <c r="F3" s="113">
        <v>1</v>
      </c>
      <c r="G3"/>
      <c r="H3"/>
    </row>
    <row r="4" spans="1:8" x14ac:dyDescent="0.15">
      <c r="A4">
        <v>3</v>
      </c>
      <c r="B4" s="186" t="s">
        <v>194</v>
      </c>
      <c r="C4" s="114">
        <v>1</v>
      </c>
      <c r="D4" s="114">
        <v>0</v>
      </c>
      <c r="E4" s="113">
        <v>0</v>
      </c>
      <c r="F4" s="113">
        <v>1</v>
      </c>
      <c r="G4"/>
      <c r="H4"/>
    </row>
    <row r="5" spans="1:8" x14ac:dyDescent="0.15">
      <c r="A5">
        <v>4</v>
      </c>
      <c r="B5" s="186" t="s">
        <v>195</v>
      </c>
      <c r="C5" s="114">
        <v>1</v>
      </c>
      <c r="D5" s="114">
        <v>0</v>
      </c>
      <c r="E5" s="113">
        <v>0</v>
      </c>
      <c r="F5" s="113">
        <v>1</v>
      </c>
      <c r="G5"/>
      <c r="H5"/>
    </row>
    <row r="6" spans="1:8" x14ac:dyDescent="0.15">
      <c r="A6">
        <v>5</v>
      </c>
      <c r="B6" s="186" t="s">
        <v>196</v>
      </c>
      <c r="C6" s="114">
        <v>1</v>
      </c>
      <c r="D6" s="114">
        <v>0</v>
      </c>
      <c r="E6" s="113">
        <v>0</v>
      </c>
      <c r="F6" s="113">
        <v>1</v>
      </c>
      <c r="G6"/>
      <c r="H6"/>
    </row>
    <row r="7" spans="1:8" x14ac:dyDescent="0.15">
      <c r="A7">
        <v>6</v>
      </c>
      <c r="B7" s="186" t="s">
        <v>197</v>
      </c>
      <c r="C7" s="114">
        <v>1</v>
      </c>
      <c r="D7" s="114">
        <v>0</v>
      </c>
      <c r="E7" s="113">
        <v>0</v>
      </c>
      <c r="F7" s="113">
        <v>1</v>
      </c>
      <c r="G7"/>
      <c r="H7"/>
    </row>
    <row r="8" spans="1:8" x14ac:dyDescent="0.15">
      <c r="A8">
        <v>7</v>
      </c>
      <c r="B8" s="186" t="s">
        <v>198</v>
      </c>
      <c r="C8" s="114">
        <v>1</v>
      </c>
      <c r="D8" s="114">
        <v>0</v>
      </c>
      <c r="E8" s="113">
        <v>0</v>
      </c>
      <c r="F8" s="113">
        <v>1</v>
      </c>
      <c r="G8"/>
      <c r="H8"/>
    </row>
    <row r="9" spans="1:8" x14ac:dyDescent="0.15">
      <c r="A9">
        <v>8</v>
      </c>
      <c r="B9" s="186" t="s">
        <v>199</v>
      </c>
      <c r="C9" s="114">
        <v>1</v>
      </c>
      <c r="D9" s="114">
        <v>0</v>
      </c>
      <c r="E9" s="113">
        <v>0</v>
      </c>
      <c r="F9" s="113">
        <v>1</v>
      </c>
      <c r="G9"/>
      <c r="H9"/>
    </row>
    <row r="10" spans="1:8" x14ac:dyDescent="0.15">
      <c r="A10">
        <v>9</v>
      </c>
      <c r="B10" s="186" t="s">
        <v>200</v>
      </c>
      <c r="C10" s="114">
        <v>1</v>
      </c>
      <c r="D10" s="114">
        <v>0</v>
      </c>
      <c r="E10" s="113">
        <v>0</v>
      </c>
      <c r="F10" s="113">
        <v>1</v>
      </c>
      <c r="G10"/>
      <c r="H10"/>
    </row>
    <row r="11" spans="1:8" x14ac:dyDescent="0.15">
      <c r="A11">
        <v>10</v>
      </c>
      <c r="B11" s="186" t="s">
        <v>201</v>
      </c>
      <c r="C11" s="114">
        <v>1</v>
      </c>
      <c r="D11" s="114">
        <v>0</v>
      </c>
      <c r="E11" s="113">
        <v>0</v>
      </c>
      <c r="F11" s="113">
        <v>1</v>
      </c>
      <c r="G11"/>
      <c r="H11"/>
    </row>
    <row r="12" spans="1:8" x14ac:dyDescent="0.15">
      <c r="A12">
        <v>11</v>
      </c>
      <c r="B12" s="186" t="s">
        <v>202</v>
      </c>
      <c r="C12" s="114">
        <v>1</v>
      </c>
      <c r="D12" s="114">
        <v>0</v>
      </c>
      <c r="E12" s="113">
        <v>0</v>
      </c>
      <c r="F12" s="113">
        <v>1</v>
      </c>
      <c r="G12"/>
      <c r="H12"/>
    </row>
    <row r="13" spans="1:8" x14ac:dyDescent="0.15">
      <c r="A13">
        <v>12</v>
      </c>
      <c r="B13" s="186" t="s">
        <v>203</v>
      </c>
      <c r="C13" s="114">
        <v>1</v>
      </c>
      <c r="D13" s="114">
        <v>0</v>
      </c>
      <c r="E13" s="113">
        <v>0</v>
      </c>
      <c r="F13" s="113">
        <v>1</v>
      </c>
      <c r="G13"/>
      <c r="H13"/>
    </row>
    <row r="14" spans="1:8" x14ac:dyDescent="0.15">
      <c r="A14">
        <v>13</v>
      </c>
      <c r="B14" s="186" t="s">
        <v>204</v>
      </c>
      <c r="C14" s="114">
        <v>1</v>
      </c>
      <c r="D14" s="114">
        <v>0</v>
      </c>
      <c r="E14" s="113">
        <v>0</v>
      </c>
      <c r="F14" s="113">
        <v>1</v>
      </c>
      <c r="G14"/>
      <c r="H14"/>
    </row>
    <row r="15" spans="1:8" x14ac:dyDescent="0.15">
      <c r="A15">
        <v>14</v>
      </c>
      <c r="B15" s="186" t="s">
        <v>205</v>
      </c>
      <c r="C15" s="114">
        <v>1</v>
      </c>
      <c r="D15" s="114">
        <v>0</v>
      </c>
      <c r="E15" s="113">
        <v>0</v>
      </c>
      <c r="F15" s="113">
        <v>1</v>
      </c>
      <c r="G15"/>
      <c r="H15"/>
    </row>
    <row r="16" spans="1:8" x14ac:dyDescent="0.15">
      <c r="A16">
        <v>15</v>
      </c>
      <c r="B16" s="186" t="s">
        <v>206</v>
      </c>
      <c r="C16" s="114">
        <v>1</v>
      </c>
      <c r="D16" s="114">
        <v>0</v>
      </c>
      <c r="E16" s="113">
        <v>0</v>
      </c>
      <c r="F16" s="113">
        <v>1</v>
      </c>
      <c r="G16"/>
      <c r="H16"/>
    </row>
    <row r="17" spans="1:8" ht="15" customHeight="1" x14ac:dyDescent="0.15">
      <c r="A17">
        <v>16</v>
      </c>
      <c r="B17" s="186" t="s">
        <v>207</v>
      </c>
      <c r="C17" s="114">
        <v>1</v>
      </c>
      <c r="D17" s="114">
        <v>0</v>
      </c>
      <c r="E17" s="113">
        <v>0</v>
      </c>
      <c r="F17" s="113">
        <v>1</v>
      </c>
      <c r="G17"/>
      <c r="H17"/>
    </row>
    <row r="18" spans="1:8" ht="15" customHeight="1" x14ac:dyDescent="0.15">
      <c r="A18">
        <v>17</v>
      </c>
      <c r="B18" s="186" t="s">
        <v>208</v>
      </c>
      <c r="C18" s="114">
        <v>1</v>
      </c>
      <c r="D18" s="114">
        <v>0</v>
      </c>
      <c r="E18" s="113">
        <v>0</v>
      </c>
      <c r="F18" s="113">
        <v>1</v>
      </c>
      <c r="G18"/>
      <c r="H18"/>
    </row>
    <row r="19" spans="1:8" ht="15" customHeight="1" x14ac:dyDescent="0.15">
      <c r="A19">
        <v>18</v>
      </c>
      <c r="B19" s="186" t="s">
        <v>209</v>
      </c>
      <c r="C19" s="114">
        <v>1</v>
      </c>
      <c r="D19" s="114">
        <v>0</v>
      </c>
      <c r="E19" s="113">
        <v>0</v>
      </c>
      <c r="F19" s="113">
        <v>1</v>
      </c>
      <c r="G19"/>
      <c r="H19"/>
    </row>
    <row r="20" spans="1:8" ht="15" customHeight="1" x14ac:dyDescent="0.15">
      <c r="A20">
        <v>19</v>
      </c>
      <c r="B20" s="186" t="s">
        <v>210</v>
      </c>
      <c r="C20" s="114">
        <v>1</v>
      </c>
      <c r="D20" s="114">
        <v>0</v>
      </c>
      <c r="E20" s="113">
        <v>0</v>
      </c>
      <c r="F20" s="113">
        <v>1</v>
      </c>
      <c r="G20"/>
      <c r="H20"/>
    </row>
    <row r="21" spans="1:8" ht="15" customHeight="1" x14ac:dyDescent="0.15">
      <c r="A21">
        <v>20</v>
      </c>
      <c r="B21" s="186" t="s">
        <v>211</v>
      </c>
      <c r="C21" s="114">
        <v>1</v>
      </c>
      <c r="D21" s="114">
        <v>0</v>
      </c>
      <c r="E21" s="113">
        <v>0</v>
      </c>
      <c r="F21" s="113">
        <v>1</v>
      </c>
      <c r="G21"/>
      <c r="H21"/>
    </row>
    <row r="22" spans="1:8" ht="15" customHeight="1" x14ac:dyDescent="0.15">
      <c r="A22">
        <v>21</v>
      </c>
      <c r="B22" s="186" t="s">
        <v>212</v>
      </c>
      <c r="C22" s="114">
        <v>1</v>
      </c>
      <c r="D22" s="114">
        <v>0</v>
      </c>
      <c r="E22" s="113">
        <v>0</v>
      </c>
      <c r="F22" s="113">
        <v>1</v>
      </c>
      <c r="G22"/>
      <c r="H22"/>
    </row>
    <row r="23" spans="1:8" ht="15" customHeight="1" x14ac:dyDescent="0.15">
      <c r="A23">
        <v>22</v>
      </c>
      <c r="B23" s="186" t="s">
        <v>213</v>
      </c>
      <c r="C23" s="114">
        <v>1</v>
      </c>
      <c r="D23" s="114">
        <v>0</v>
      </c>
      <c r="E23" s="113">
        <v>0</v>
      </c>
      <c r="F23" s="113">
        <v>1</v>
      </c>
      <c r="G23"/>
      <c r="H23"/>
    </row>
    <row r="24" spans="1:8" ht="15" customHeight="1" x14ac:dyDescent="0.15">
      <c r="A24">
        <v>23</v>
      </c>
      <c r="B24" s="186" t="s">
        <v>214</v>
      </c>
      <c r="C24" s="114">
        <v>1</v>
      </c>
      <c r="D24" s="114">
        <v>0</v>
      </c>
      <c r="E24" s="113">
        <v>0</v>
      </c>
      <c r="F24" s="113">
        <v>1</v>
      </c>
      <c r="G24"/>
      <c r="H24"/>
    </row>
    <row r="25" spans="1:8" ht="15" customHeight="1" x14ac:dyDescent="0.15">
      <c r="A25">
        <v>24</v>
      </c>
      <c r="B25" s="186" t="s">
        <v>215</v>
      </c>
      <c r="C25" s="114">
        <v>1</v>
      </c>
      <c r="D25" s="114">
        <v>0</v>
      </c>
      <c r="E25" s="113">
        <v>0</v>
      </c>
      <c r="F25" s="113">
        <v>1</v>
      </c>
      <c r="G25"/>
      <c r="H25"/>
    </row>
    <row r="26" spans="1:8" ht="15" customHeight="1" x14ac:dyDescent="0.15">
      <c r="A26">
        <v>25</v>
      </c>
      <c r="B26" s="186" t="s">
        <v>216</v>
      </c>
      <c r="C26" s="114">
        <v>1</v>
      </c>
      <c r="D26" s="114">
        <v>0</v>
      </c>
      <c r="E26" s="113">
        <v>0</v>
      </c>
      <c r="F26" s="113">
        <v>1</v>
      </c>
      <c r="G26"/>
      <c r="H26"/>
    </row>
    <row r="27" spans="1:8" ht="15" customHeight="1" x14ac:dyDescent="0.15">
      <c r="A27">
        <v>26</v>
      </c>
      <c r="B27" s="186" t="s">
        <v>217</v>
      </c>
      <c r="C27" s="114">
        <v>1</v>
      </c>
      <c r="D27" s="114">
        <v>0</v>
      </c>
      <c r="E27" s="113">
        <v>0</v>
      </c>
      <c r="F27" s="113">
        <v>1</v>
      </c>
      <c r="G27"/>
      <c r="H27"/>
    </row>
    <row r="28" spans="1:8" ht="15" customHeight="1" x14ac:dyDescent="0.15">
      <c r="A28">
        <v>27</v>
      </c>
      <c r="B28" s="186" t="s">
        <v>218</v>
      </c>
      <c r="C28" s="114">
        <v>1</v>
      </c>
      <c r="D28" s="114">
        <v>0</v>
      </c>
      <c r="E28" s="113">
        <v>0</v>
      </c>
      <c r="F28" s="113">
        <v>1</v>
      </c>
      <c r="G28"/>
      <c r="H28"/>
    </row>
    <row r="29" spans="1:8" ht="15" customHeight="1" x14ac:dyDescent="0.15">
      <c r="A29">
        <v>28</v>
      </c>
      <c r="B29" s="186" t="s">
        <v>219</v>
      </c>
      <c r="C29" s="114">
        <v>1</v>
      </c>
      <c r="D29" s="114">
        <v>0</v>
      </c>
      <c r="E29" s="113">
        <v>0</v>
      </c>
      <c r="F29" s="113">
        <v>1</v>
      </c>
      <c r="G29"/>
      <c r="H29"/>
    </row>
    <row r="30" spans="1:8" ht="15" customHeight="1" x14ac:dyDescent="0.15">
      <c r="A30">
        <v>29</v>
      </c>
      <c r="B30" s="186" t="s">
        <v>220</v>
      </c>
      <c r="C30" s="114">
        <v>1</v>
      </c>
      <c r="D30" s="114">
        <v>0</v>
      </c>
      <c r="E30" s="113">
        <v>0</v>
      </c>
      <c r="F30" s="113">
        <v>1</v>
      </c>
      <c r="G30"/>
      <c r="H30"/>
    </row>
    <row r="31" spans="1:8" ht="15" customHeight="1" x14ac:dyDescent="0.15">
      <c r="A31">
        <v>30</v>
      </c>
      <c r="B31" s="186" t="s">
        <v>221</v>
      </c>
      <c r="C31" s="114">
        <v>1</v>
      </c>
      <c r="D31" s="114">
        <v>0</v>
      </c>
      <c r="E31" s="113">
        <v>0</v>
      </c>
      <c r="F31" s="113">
        <v>1</v>
      </c>
      <c r="G31"/>
      <c r="H31"/>
    </row>
    <row r="32" spans="1:8" ht="15" customHeight="1" x14ac:dyDescent="0.15">
      <c r="A32">
        <v>31</v>
      </c>
      <c r="B32" s="186" t="s">
        <v>222</v>
      </c>
      <c r="C32" s="114">
        <v>1</v>
      </c>
      <c r="D32" s="114">
        <v>0</v>
      </c>
      <c r="E32" s="113">
        <v>0</v>
      </c>
      <c r="F32" s="113">
        <v>1</v>
      </c>
    </row>
    <row r="33" spans="1:8" ht="15" customHeight="1" x14ac:dyDescent="0.15">
      <c r="A33">
        <v>32</v>
      </c>
      <c r="B33" s="186" t="s">
        <v>223</v>
      </c>
      <c r="C33" s="114">
        <v>1</v>
      </c>
      <c r="D33" s="114">
        <v>0</v>
      </c>
      <c r="E33" s="113">
        <v>0</v>
      </c>
      <c r="F33" s="113">
        <v>1</v>
      </c>
    </row>
    <row r="34" spans="1:8" ht="15" customHeight="1" x14ac:dyDescent="0.15">
      <c r="A34">
        <v>33</v>
      </c>
      <c r="B34" s="186" t="s">
        <v>224</v>
      </c>
      <c r="C34" s="114">
        <v>1</v>
      </c>
      <c r="D34" s="114">
        <v>0</v>
      </c>
      <c r="E34" s="113">
        <v>0</v>
      </c>
      <c r="F34" s="113">
        <v>1</v>
      </c>
    </row>
    <row r="35" spans="1:8" ht="15" customHeight="1" x14ac:dyDescent="0.15">
      <c r="A35">
        <v>34</v>
      </c>
      <c r="B35" s="186" t="s">
        <v>225</v>
      </c>
      <c r="C35" s="114">
        <v>1</v>
      </c>
      <c r="D35" s="114">
        <v>0</v>
      </c>
      <c r="E35" s="113">
        <v>0</v>
      </c>
      <c r="F35" s="113">
        <v>1</v>
      </c>
    </row>
    <row r="36" spans="1:8" ht="15" customHeight="1" x14ac:dyDescent="0.15">
      <c r="A36">
        <v>35</v>
      </c>
      <c r="B36" s="186" t="s">
        <v>226</v>
      </c>
      <c r="C36" s="114">
        <v>1</v>
      </c>
      <c r="D36" s="114">
        <v>0</v>
      </c>
      <c r="E36" s="114">
        <v>0</v>
      </c>
      <c r="F36" s="114">
        <v>1</v>
      </c>
      <c r="G36"/>
      <c r="H36"/>
    </row>
    <row r="37" spans="1:8" ht="15" customHeight="1" x14ac:dyDescent="0.15">
      <c r="A37">
        <v>36</v>
      </c>
      <c r="B37" s="186" t="s">
        <v>227</v>
      </c>
      <c r="C37" s="114">
        <v>1</v>
      </c>
      <c r="D37" s="114">
        <v>0</v>
      </c>
      <c r="E37" s="114">
        <v>0</v>
      </c>
      <c r="F37" s="114">
        <v>1</v>
      </c>
      <c r="G37"/>
      <c r="H37"/>
    </row>
    <row r="38" spans="1:8" ht="15" customHeight="1" x14ac:dyDescent="0.15">
      <c r="A38">
        <v>37</v>
      </c>
      <c r="B38" s="186" t="s">
        <v>228</v>
      </c>
      <c r="C38" s="114">
        <v>0</v>
      </c>
      <c r="D38" s="114">
        <v>1</v>
      </c>
      <c r="E38" s="114">
        <v>0</v>
      </c>
      <c r="F38" s="114">
        <v>1</v>
      </c>
      <c r="G38"/>
      <c r="H38"/>
    </row>
    <row r="39" spans="1:8" ht="15" customHeight="1" x14ac:dyDescent="0.15">
      <c r="A39">
        <v>38</v>
      </c>
      <c r="B39" s="186" t="s">
        <v>229</v>
      </c>
      <c r="C39" s="114">
        <v>0</v>
      </c>
      <c r="D39" s="114">
        <v>0</v>
      </c>
      <c r="E39" s="114">
        <v>1</v>
      </c>
      <c r="F39" s="114">
        <v>1</v>
      </c>
      <c r="G39"/>
      <c r="H39"/>
    </row>
    <row r="40" spans="1:8" ht="15" customHeight="1" x14ac:dyDescent="0.15">
      <c r="A40">
        <v>39</v>
      </c>
      <c r="B40" s="186" t="s">
        <v>230</v>
      </c>
      <c r="C40" s="114">
        <v>0</v>
      </c>
      <c r="D40" s="114">
        <v>1</v>
      </c>
      <c r="E40" s="114">
        <v>0</v>
      </c>
      <c r="F40" s="114">
        <v>1</v>
      </c>
      <c r="G40"/>
      <c r="H40"/>
    </row>
    <row r="41" spans="1:8" ht="15" customHeight="1" x14ac:dyDescent="0.15">
      <c r="A41">
        <v>40</v>
      </c>
      <c r="B41" s="186" t="s">
        <v>231</v>
      </c>
      <c r="C41" s="114">
        <v>0</v>
      </c>
      <c r="D41" s="114">
        <v>1</v>
      </c>
      <c r="E41" s="114">
        <v>0</v>
      </c>
      <c r="F41" s="114">
        <v>1</v>
      </c>
      <c r="G41"/>
      <c r="H41"/>
    </row>
    <row r="42" spans="1:8" ht="15" customHeight="1" x14ac:dyDescent="0.15">
      <c r="A42">
        <v>41</v>
      </c>
      <c r="B42" s="186" t="s">
        <v>232</v>
      </c>
      <c r="C42" s="114">
        <v>0</v>
      </c>
      <c r="D42" s="114">
        <v>1</v>
      </c>
      <c r="E42" s="114">
        <v>0</v>
      </c>
      <c r="F42" s="114">
        <v>1</v>
      </c>
      <c r="G42"/>
      <c r="H42"/>
    </row>
    <row r="43" spans="1:8" ht="15" customHeight="1" x14ac:dyDescent="0.15">
      <c r="A43">
        <v>42</v>
      </c>
      <c r="B43" s="186" t="s">
        <v>233</v>
      </c>
      <c r="C43" s="114">
        <v>0</v>
      </c>
      <c r="D43" s="114">
        <v>1</v>
      </c>
      <c r="E43" s="114">
        <v>0</v>
      </c>
      <c r="F43" s="114">
        <v>1</v>
      </c>
      <c r="G43"/>
      <c r="H43"/>
    </row>
    <row r="44" spans="1:8" ht="15" customHeight="1" x14ac:dyDescent="0.15">
      <c r="A44">
        <v>43</v>
      </c>
      <c r="B44" s="186" t="s">
        <v>234</v>
      </c>
      <c r="C44" s="114">
        <v>0</v>
      </c>
      <c r="D44" s="114">
        <v>1</v>
      </c>
      <c r="E44" s="113">
        <v>0</v>
      </c>
      <c r="F44" s="113">
        <v>1</v>
      </c>
      <c r="G44"/>
      <c r="H44"/>
    </row>
    <row r="45" spans="1:8" ht="15" customHeight="1" x14ac:dyDescent="0.15">
      <c r="A45">
        <v>44</v>
      </c>
      <c r="B45" s="186" t="s">
        <v>235</v>
      </c>
      <c r="C45" s="114">
        <v>0</v>
      </c>
      <c r="D45" s="114">
        <v>1</v>
      </c>
      <c r="E45" s="113">
        <v>0</v>
      </c>
      <c r="F45" s="113">
        <v>1</v>
      </c>
      <c r="G45"/>
      <c r="H45"/>
    </row>
    <row r="46" spans="1:8" ht="15" customHeight="1" x14ac:dyDescent="0.15">
      <c r="A46">
        <v>45</v>
      </c>
      <c r="B46" s="186" t="s">
        <v>236</v>
      </c>
      <c r="C46" s="114">
        <v>0</v>
      </c>
      <c r="D46" s="114">
        <v>1</v>
      </c>
      <c r="E46" s="114">
        <v>0</v>
      </c>
      <c r="F46" s="114">
        <v>1</v>
      </c>
      <c r="G46"/>
      <c r="H46"/>
    </row>
    <row r="47" spans="1:8" ht="15" customHeight="1" x14ac:dyDescent="0.15">
      <c r="A47">
        <v>46</v>
      </c>
      <c r="B47" s="186" t="s">
        <v>237</v>
      </c>
      <c r="C47" s="114">
        <v>0</v>
      </c>
      <c r="D47" s="114">
        <v>1</v>
      </c>
      <c r="E47" s="113">
        <v>0</v>
      </c>
      <c r="F47" s="113">
        <v>1</v>
      </c>
      <c r="G47"/>
      <c r="H47"/>
    </row>
    <row r="48" spans="1:8" ht="15" customHeight="1" x14ac:dyDescent="0.15">
      <c r="A48">
        <v>47</v>
      </c>
      <c r="B48" s="186" t="s">
        <v>238</v>
      </c>
      <c r="C48" s="114">
        <v>0</v>
      </c>
      <c r="D48" s="114">
        <v>1</v>
      </c>
      <c r="E48" s="113">
        <v>0</v>
      </c>
      <c r="F48" s="113">
        <v>1</v>
      </c>
      <c r="G48"/>
      <c r="H48"/>
    </row>
    <row r="49" spans="1:8" ht="15" customHeight="1" x14ac:dyDescent="0.15">
      <c r="A49">
        <v>48</v>
      </c>
      <c r="B49" s="186" t="s">
        <v>239</v>
      </c>
      <c r="C49" s="114">
        <v>0</v>
      </c>
      <c r="D49" s="114">
        <v>1</v>
      </c>
      <c r="E49" s="113">
        <v>0</v>
      </c>
      <c r="F49" s="113">
        <v>1</v>
      </c>
      <c r="G49"/>
      <c r="H49"/>
    </row>
    <row r="50" spans="1:8" ht="15" customHeight="1" x14ac:dyDescent="0.15">
      <c r="A50">
        <v>49</v>
      </c>
      <c r="B50" s="186" t="s">
        <v>240</v>
      </c>
      <c r="C50" s="114">
        <v>0</v>
      </c>
      <c r="D50" s="114">
        <v>1</v>
      </c>
      <c r="E50" s="113">
        <v>0</v>
      </c>
      <c r="F50" s="113">
        <v>1</v>
      </c>
      <c r="G50"/>
      <c r="H50"/>
    </row>
    <row r="51" spans="1:8" ht="15" customHeight="1" x14ac:dyDescent="0.15">
      <c r="A51">
        <v>50</v>
      </c>
      <c r="B51" s="186" t="s">
        <v>241</v>
      </c>
      <c r="C51" s="114">
        <v>0</v>
      </c>
      <c r="D51" s="114">
        <v>1</v>
      </c>
      <c r="E51" s="113">
        <v>0</v>
      </c>
      <c r="F51" s="113">
        <v>1</v>
      </c>
      <c r="G51"/>
      <c r="H51"/>
    </row>
    <row r="52" spans="1:8" ht="15" customHeight="1" x14ac:dyDescent="0.15">
      <c r="A52">
        <v>51</v>
      </c>
      <c r="B52" s="186" t="s">
        <v>242</v>
      </c>
      <c r="C52" s="114">
        <v>0</v>
      </c>
      <c r="D52" s="114">
        <v>1</v>
      </c>
      <c r="E52" s="113">
        <v>0</v>
      </c>
      <c r="F52" s="113">
        <v>1</v>
      </c>
      <c r="G52"/>
      <c r="H52"/>
    </row>
    <row r="53" spans="1:8" ht="15" customHeight="1" x14ac:dyDescent="0.15">
      <c r="A53">
        <v>52</v>
      </c>
      <c r="B53" s="186" t="s">
        <v>243</v>
      </c>
      <c r="C53" s="114">
        <v>0</v>
      </c>
      <c r="D53" s="114">
        <v>1</v>
      </c>
      <c r="E53" s="113">
        <v>0</v>
      </c>
      <c r="F53" s="113">
        <v>1</v>
      </c>
      <c r="G53"/>
      <c r="H53"/>
    </row>
    <row r="54" spans="1:8" ht="15" customHeight="1" x14ac:dyDescent="0.15">
      <c r="A54">
        <v>53</v>
      </c>
      <c r="B54" s="186" t="s">
        <v>244</v>
      </c>
      <c r="C54" s="114">
        <v>0</v>
      </c>
      <c r="D54" s="114">
        <v>1</v>
      </c>
      <c r="E54" s="113">
        <v>0</v>
      </c>
      <c r="F54" s="113">
        <v>1</v>
      </c>
      <c r="G54"/>
      <c r="H54"/>
    </row>
    <row r="55" spans="1:8" ht="15" customHeight="1" x14ac:dyDescent="0.15">
      <c r="A55">
        <v>54</v>
      </c>
      <c r="B55" s="186" t="s">
        <v>245</v>
      </c>
      <c r="C55" s="114">
        <v>0</v>
      </c>
      <c r="D55" s="114">
        <v>1</v>
      </c>
      <c r="E55" s="113">
        <v>0</v>
      </c>
      <c r="F55" s="113">
        <v>1</v>
      </c>
      <c r="G55"/>
      <c r="H55"/>
    </row>
    <row r="56" spans="1:8" ht="15" customHeight="1" x14ac:dyDescent="0.15">
      <c r="A56">
        <v>55</v>
      </c>
      <c r="B56" s="186" t="s">
        <v>246</v>
      </c>
      <c r="C56" s="114">
        <v>0</v>
      </c>
      <c r="D56" s="114">
        <v>1</v>
      </c>
      <c r="E56" s="113">
        <v>0</v>
      </c>
      <c r="F56" s="113">
        <v>1</v>
      </c>
      <c r="G56"/>
      <c r="H56"/>
    </row>
    <row r="57" spans="1:8" ht="15" customHeight="1" x14ac:dyDescent="0.15">
      <c r="C57"/>
      <c r="D57"/>
      <c r="E57"/>
      <c r="F57"/>
      <c r="G57"/>
      <c r="H57"/>
    </row>
    <row r="58" spans="1:8" ht="15" customHeight="1" x14ac:dyDescent="0.15">
      <c r="C58"/>
      <c r="D58"/>
      <c r="E58"/>
      <c r="F58"/>
      <c r="G58"/>
      <c r="H58"/>
    </row>
    <row r="59" spans="1:8" ht="15" customHeight="1" x14ac:dyDescent="0.15">
      <c r="C59"/>
      <c r="D59"/>
      <c r="E59"/>
      <c r="F59"/>
      <c r="G59"/>
      <c r="H59"/>
    </row>
    <row r="60" spans="1:8" ht="15" customHeight="1" x14ac:dyDescent="0.15">
      <c r="C60"/>
      <c r="D60"/>
      <c r="E60"/>
      <c r="F60"/>
      <c r="G60"/>
      <c r="H60"/>
    </row>
    <row r="61" spans="1:8" ht="15" customHeight="1" x14ac:dyDescent="0.15">
      <c r="C61"/>
      <c r="D61"/>
      <c r="E61"/>
      <c r="F61"/>
      <c r="G61"/>
      <c r="H61"/>
    </row>
    <row r="62" spans="1:8" ht="15" customHeight="1" x14ac:dyDescent="0.15">
      <c r="C62"/>
      <c r="D62"/>
      <c r="E62"/>
      <c r="F62"/>
      <c r="G62"/>
      <c r="H62"/>
    </row>
    <row r="63" spans="1:8" ht="15" customHeight="1" x14ac:dyDescent="0.15">
      <c r="C63"/>
      <c r="D63"/>
      <c r="E63"/>
      <c r="F63"/>
      <c r="G63"/>
      <c r="H63"/>
    </row>
    <row r="64" spans="1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T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41.83203125" bestFit="1" customWidth="1"/>
    <col min="3" max="5" width="7.83203125" bestFit="1" customWidth="1"/>
    <col min="6" max="20" width="7.83203125" customWidth="1"/>
  </cols>
  <sheetData>
    <row r="1" spans="1:20" s="115" customFormat="1" ht="112" x14ac:dyDescent="0.15">
      <c r="A1" s="5" t="s">
        <v>21</v>
      </c>
      <c r="B1" s="3" t="s">
        <v>0</v>
      </c>
      <c r="C1" s="189" t="s">
        <v>230</v>
      </c>
      <c r="D1" s="189" t="s">
        <v>231</v>
      </c>
      <c r="E1" s="189" t="s">
        <v>232</v>
      </c>
      <c r="F1" s="189" t="s">
        <v>233</v>
      </c>
      <c r="G1" s="189" t="s">
        <v>234</v>
      </c>
      <c r="H1" s="189" t="s">
        <v>235</v>
      </c>
      <c r="I1" s="189" t="s">
        <v>236</v>
      </c>
      <c r="J1" s="189" t="s">
        <v>237</v>
      </c>
      <c r="K1" s="189" t="s">
        <v>238</v>
      </c>
      <c r="L1" s="189" t="s">
        <v>239</v>
      </c>
      <c r="M1" s="189" t="s">
        <v>240</v>
      </c>
      <c r="N1" s="189" t="s">
        <v>241</v>
      </c>
      <c r="O1" s="189" t="s">
        <v>242</v>
      </c>
      <c r="P1" s="189" t="s">
        <v>243</v>
      </c>
      <c r="Q1" s="189" t="s">
        <v>244</v>
      </c>
      <c r="R1" s="189" t="s">
        <v>245</v>
      </c>
      <c r="S1" s="189" t="s">
        <v>246</v>
      </c>
      <c r="T1" s="189" t="s">
        <v>250</v>
      </c>
    </row>
    <row r="2" spans="1:20" ht="15" customHeight="1" x14ac:dyDescent="0.15">
      <c r="A2">
        <v>1</v>
      </c>
      <c r="B2" s="188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6.0000000000000002E-5</v>
      </c>
      <c r="L2">
        <v>8.3000000000000001E-4</v>
      </c>
      <c r="M2">
        <v>0</v>
      </c>
      <c r="N2">
        <v>0</v>
      </c>
      <c r="O2">
        <v>0</v>
      </c>
      <c r="P2">
        <v>5.5000000000000003E-4</v>
      </c>
      <c r="Q2">
        <v>2.63E-3</v>
      </c>
      <c r="R2">
        <v>0</v>
      </c>
      <c r="S2">
        <v>2.0000000000000001E-4</v>
      </c>
      <c r="T2">
        <v>4.2699999999999995E-3</v>
      </c>
    </row>
    <row r="3" spans="1:20" ht="15" customHeight="1" x14ac:dyDescent="0.15">
      <c r="A3">
        <v>2</v>
      </c>
      <c r="B3" s="188" t="s">
        <v>193</v>
      </c>
      <c r="C3">
        <v>4.0999999999999999E-4</v>
      </c>
      <c r="D3">
        <v>0</v>
      </c>
      <c r="E3">
        <v>0</v>
      </c>
      <c r="F3">
        <v>0</v>
      </c>
      <c r="G3">
        <v>0</v>
      </c>
      <c r="H3">
        <v>1.39E-3</v>
      </c>
      <c r="I3">
        <v>2.3120000000000002E-2</v>
      </c>
      <c r="J3">
        <v>0</v>
      </c>
      <c r="K3">
        <v>1E-4</v>
      </c>
      <c r="L3">
        <v>1.438E-2</v>
      </c>
      <c r="M3">
        <v>0</v>
      </c>
      <c r="N3">
        <v>0</v>
      </c>
      <c r="O3">
        <v>3.1700000000000001E-3</v>
      </c>
      <c r="P3">
        <v>1.4109999999999999E-2</v>
      </c>
      <c r="Q3">
        <v>2.3050000000000001E-2</v>
      </c>
      <c r="R3">
        <v>9.0000000000000006E-5</v>
      </c>
      <c r="S3">
        <v>6.9999999999999994E-5</v>
      </c>
      <c r="T3">
        <v>7.9890000000000003E-2</v>
      </c>
    </row>
    <row r="4" spans="1:20" ht="15" customHeight="1" x14ac:dyDescent="0.15">
      <c r="A4">
        <v>3</v>
      </c>
      <c r="B4" s="188" t="s">
        <v>194</v>
      </c>
      <c r="C4">
        <v>1.89E-3</v>
      </c>
      <c r="D4">
        <v>0</v>
      </c>
      <c r="E4">
        <v>0</v>
      </c>
      <c r="F4">
        <v>0</v>
      </c>
      <c r="G4">
        <v>0</v>
      </c>
      <c r="H4">
        <v>0</v>
      </c>
      <c r="I4">
        <v>2.3000000000000001E-4</v>
      </c>
      <c r="J4">
        <v>0</v>
      </c>
      <c r="K4">
        <v>0</v>
      </c>
      <c r="L4">
        <v>0</v>
      </c>
      <c r="M4">
        <v>0</v>
      </c>
      <c r="N4">
        <v>0</v>
      </c>
      <c r="O4">
        <v>4.3200000000000001E-3</v>
      </c>
      <c r="P4">
        <v>5.9000000000000003E-4</v>
      </c>
      <c r="Q4">
        <v>0</v>
      </c>
      <c r="R4">
        <v>0</v>
      </c>
      <c r="S4">
        <v>8.6199999999999992E-3</v>
      </c>
      <c r="T4">
        <v>1.5649999999999997E-2</v>
      </c>
    </row>
    <row r="5" spans="1:20" ht="15" customHeight="1" x14ac:dyDescent="0.15">
      <c r="A5">
        <v>4</v>
      </c>
      <c r="B5" s="188" t="s">
        <v>195</v>
      </c>
      <c r="C5">
        <v>1.753E-2</v>
      </c>
      <c r="D5">
        <v>0</v>
      </c>
      <c r="E5">
        <v>0</v>
      </c>
      <c r="F5">
        <v>3.0000000000000001E-5</v>
      </c>
      <c r="G5">
        <v>0</v>
      </c>
      <c r="H5">
        <v>5.0000000000000002E-5</v>
      </c>
      <c r="I5">
        <v>1.281E-2</v>
      </c>
      <c r="J5">
        <v>7.6999999999999996E-4</v>
      </c>
      <c r="K5">
        <v>1.24E-3</v>
      </c>
      <c r="L5">
        <v>3.2169999999999997E-2</v>
      </c>
      <c r="M5">
        <v>3.0000000000000001E-5</v>
      </c>
      <c r="N5">
        <v>0</v>
      </c>
      <c r="O5">
        <v>9.0600000000000003E-3</v>
      </c>
      <c r="P5">
        <v>4.7499999999999999E-3</v>
      </c>
      <c r="Q5">
        <v>3.7799999999999999E-3</v>
      </c>
      <c r="R5">
        <v>4.0800000000000003E-3</v>
      </c>
      <c r="S5">
        <v>1.58E-3</v>
      </c>
      <c r="T5">
        <v>8.788E-2</v>
      </c>
    </row>
    <row r="6" spans="1:20" ht="15" customHeight="1" x14ac:dyDescent="0.15">
      <c r="A6">
        <v>5</v>
      </c>
      <c r="B6" s="188" t="s">
        <v>196</v>
      </c>
      <c r="C6">
        <v>0.13771</v>
      </c>
      <c r="D6">
        <v>2.904E-2</v>
      </c>
      <c r="E6">
        <v>1.502E-2</v>
      </c>
      <c r="F6">
        <v>1.0000000000000001E-5</v>
      </c>
      <c r="G6">
        <v>0</v>
      </c>
      <c r="H6">
        <v>1.65E-3</v>
      </c>
      <c r="I6">
        <v>0.29886000000000001</v>
      </c>
      <c r="J6">
        <v>0</v>
      </c>
      <c r="K6">
        <v>0.15720999999999999</v>
      </c>
      <c r="L6">
        <v>0.24951000000000001</v>
      </c>
      <c r="M6">
        <v>2.5919999999999999E-2</v>
      </c>
      <c r="N6">
        <v>0</v>
      </c>
      <c r="O6">
        <v>0.14152999999999999</v>
      </c>
      <c r="P6">
        <v>2.65E-3</v>
      </c>
      <c r="Q6">
        <v>2.7629999999999998E-2</v>
      </c>
      <c r="R6">
        <v>3.0609999999999998E-2</v>
      </c>
      <c r="S6">
        <v>4.6010000000000002E-2</v>
      </c>
      <c r="T6">
        <v>1.1633600000000002</v>
      </c>
    </row>
    <row r="7" spans="1:20" ht="15" customHeight="1" x14ac:dyDescent="0.15">
      <c r="A7">
        <v>6</v>
      </c>
      <c r="B7" s="188" t="s">
        <v>197</v>
      </c>
      <c r="C7">
        <v>3.0000000000000001E-5</v>
      </c>
      <c r="D7">
        <v>0</v>
      </c>
      <c r="E7">
        <v>0</v>
      </c>
      <c r="F7">
        <v>0</v>
      </c>
      <c r="G7">
        <v>0</v>
      </c>
      <c r="H7">
        <v>0</v>
      </c>
      <c r="I7">
        <v>7.77E-3</v>
      </c>
      <c r="J7">
        <v>0</v>
      </c>
      <c r="K7">
        <v>0</v>
      </c>
      <c r="L7">
        <v>0</v>
      </c>
      <c r="M7">
        <v>0</v>
      </c>
      <c r="N7">
        <v>0</v>
      </c>
      <c r="O7">
        <v>1.8239999999999999E-2</v>
      </c>
      <c r="P7">
        <v>0</v>
      </c>
      <c r="Q7">
        <v>0</v>
      </c>
      <c r="R7">
        <v>0</v>
      </c>
      <c r="S7">
        <v>5.7099999999999998E-3</v>
      </c>
      <c r="T7">
        <v>3.175E-2</v>
      </c>
    </row>
    <row r="8" spans="1:20" ht="15" customHeight="1" x14ac:dyDescent="0.15">
      <c r="A8">
        <v>7</v>
      </c>
      <c r="B8" s="188" t="s">
        <v>198</v>
      </c>
      <c r="C8">
        <v>1.15E-3</v>
      </c>
      <c r="D8">
        <v>6.8900000000000003E-3</v>
      </c>
      <c r="E8">
        <v>0</v>
      </c>
      <c r="F8">
        <v>0</v>
      </c>
      <c r="G8">
        <v>0</v>
      </c>
      <c r="H8">
        <v>0</v>
      </c>
      <c r="I8">
        <v>1.1E-4</v>
      </c>
      <c r="J8">
        <v>0</v>
      </c>
      <c r="K8">
        <v>0</v>
      </c>
      <c r="L8">
        <v>7.0559999999999998E-2</v>
      </c>
      <c r="M8">
        <v>0</v>
      </c>
      <c r="N8">
        <v>0</v>
      </c>
      <c r="O8">
        <v>4.8379999999999999E-2</v>
      </c>
      <c r="P8">
        <v>3.4000000000000002E-4</v>
      </c>
      <c r="Q8">
        <v>3.3E-4</v>
      </c>
      <c r="R8">
        <v>4.8000000000000001E-4</v>
      </c>
      <c r="S8">
        <v>7.324E-2</v>
      </c>
      <c r="T8">
        <v>0.20148000000000002</v>
      </c>
    </row>
    <row r="9" spans="1:20" ht="15" customHeight="1" x14ac:dyDescent="0.15">
      <c r="A9">
        <v>8</v>
      </c>
      <c r="B9" s="188" t="s">
        <v>199</v>
      </c>
      <c r="C9">
        <v>1.6029999999999999E-2</v>
      </c>
      <c r="D9">
        <v>0</v>
      </c>
      <c r="E9">
        <v>6.7610000000000003E-2</v>
      </c>
      <c r="F9">
        <v>0</v>
      </c>
      <c r="G9">
        <v>0</v>
      </c>
      <c r="H9">
        <v>0</v>
      </c>
      <c r="I9">
        <v>3.2289999999999999E-2</v>
      </c>
      <c r="J9">
        <v>4.6000000000000001E-4</v>
      </c>
      <c r="K9">
        <v>0</v>
      </c>
      <c r="L9">
        <v>2.16E-3</v>
      </c>
      <c r="M9">
        <v>3.47E-3</v>
      </c>
      <c r="N9">
        <v>0</v>
      </c>
      <c r="O9">
        <v>0.16148000000000001</v>
      </c>
      <c r="P9">
        <v>0</v>
      </c>
      <c r="Q9">
        <v>2.4199999999999998E-3</v>
      </c>
      <c r="R9">
        <v>4.9300000000000004E-3</v>
      </c>
      <c r="S9">
        <v>1.209E-2</v>
      </c>
      <c r="T9">
        <v>0.30293999999999999</v>
      </c>
    </row>
    <row r="10" spans="1:20" ht="15" customHeight="1" x14ac:dyDescent="0.15">
      <c r="A10">
        <v>9</v>
      </c>
      <c r="B10" s="188" t="s">
        <v>200</v>
      </c>
      <c r="C10">
        <v>7.2100000000000003E-3</v>
      </c>
      <c r="D10">
        <v>2.0100000000000001E-3</v>
      </c>
      <c r="E10">
        <v>0.26255000000000001</v>
      </c>
      <c r="F10">
        <v>0</v>
      </c>
      <c r="G10">
        <v>0</v>
      </c>
      <c r="H10">
        <v>0</v>
      </c>
      <c r="I10">
        <v>1.2E-4</v>
      </c>
      <c r="J10">
        <v>0</v>
      </c>
      <c r="K10">
        <v>0</v>
      </c>
      <c r="L10">
        <v>0</v>
      </c>
      <c r="M10">
        <v>6.4999999999999997E-4</v>
      </c>
      <c r="N10">
        <v>0.69564999999999999</v>
      </c>
      <c r="O10">
        <v>0</v>
      </c>
      <c r="P10">
        <v>0</v>
      </c>
      <c r="Q10">
        <v>0</v>
      </c>
      <c r="R10">
        <v>3.46E-3</v>
      </c>
      <c r="S10">
        <v>0.63234999999999997</v>
      </c>
      <c r="T10">
        <v>1.6040000000000001</v>
      </c>
    </row>
    <row r="11" spans="1:20" ht="15" customHeight="1" x14ac:dyDescent="0.15">
      <c r="A11">
        <v>10</v>
      </c>
      <c r="B11" s="188" t="s">
        <v>201</v>
      </c>
      <c r="C11">
        <v>3.1900000000000001E-3</v>
      </c>
      <c r="D11">
        <v>1.0000000000000001E-5</v>
      </c>
      <c r="E11">
        <v>0.42714000000000002</v>
      </c>
      <c r="F11">
        <v>0</v>
      </c>
      <c r="G11">
        <v>0</v>
      </c>
      <c r="H11">
        <v>0</v>
      </c>
      <c r="I11">
        <v>1.14E-3</v>
      </c>
      <c r="J11">
        <v>0</v>
      </c>
      <c r="K11">
        <v>0</v>
      </c>
      <c r="L11">
        <v>1.9609999999999999E-2</v>
      </c>
      <c r="M11">
        <v>6.1500000000000001E-3</v>
      </c>
      <c r="N11">
        <v>0</v>
      </c>
      <c r="O11">
        <v>1.1000000000000001E-3</v>
      </c>
      <c r="P11">
        <v>0</v>
      </c>
      <c r="Q11">
        <v>0</v>
      </c>
      <c r="R11">
        <v>5.7400000000000003E-3</v>
      </c>
      <c r="S11">
        <v>0.16797000000000001</v>
      </c>
      <c r="T11">
        <v>0.63205</v>
      </c>
    </row>
    <row r="12" spans="1:20" ht="15" customHeight="1" x14ac:dyDescent="0.15">
      <c r="A12">
        <v>11</v>
      </c>
      <c r="B12" s="188" t="s">
        <v>202</v>
      </c>
      <c r="C12">
        <v>8.4999999999999995E-4</v>
      </c>
      <c r="D12">
        <v>0</v>
      </c>
      <c r="E12">
        <v>0</v>
      </c>
      <c r="F12">
        <v>0</v>
      </c>
      <c r="G12">
        <v>0</v>
      </c>
      <c r="H12">
        <v>0</v>
      </c>
      <c r="I12">
        <v>3.1E-4</v>
      </c>
      <c r="J12">
        <v>0</v>
      </c>
      <c r="K12">
        <v>0</v>
      </c>
      <c r="L12">
        <v>5.3E-3</v>
      </c>
      <c r="M12">
        <v>0</v>
      </c>
      <c r="N12">
        <v>0</v>
      </c>
      <c r="O12">
        <v>1.2999999999999999E-4</v>
      </c>
      <c r="P12">
        <v>0</v>
      </c>
      <c r="Q12">
        <v>0</v>
      </c>
      <c r="R12">
        <v>0</v>
      </c>
      <c r="S12">
        <v>0.16281000000000001</v>
      </c>
      <c r="T12">
        <v>0.16940000000000002</v>
      </c>
    </row>
    <row r="13" spans="1:20" ht="15" customHeight="1" x14ac:dyDescent="0.15">
      <c r="A13">
        <v>12</v>
      </c>
      <c r="B13" s="188" t="s">
        <v>203</v>
      </c>
      <c r="C13">
        <v>2.3999999999999998E-3</v>
      </c>
      <c r="D13">
        <v>0</v>
      </c>
      <c r="E13">
        <v>3.7289999999999997E-2</v>
      </c>
      <c r="F13">
        <v>0</v>
      </c>
      <c r="G13">
        <v>0</v>
      </c>
      <c r="H13">
        <v>0</v>
      </c>
      <c r="I13">
        <v>3.0779999999999998E-2</v>
      </c>
      <c r="J13">
        <v>0</v>
      </c>
      <c r="K13">
        <v>1.0300000000000001E-3</v>
      </c>
      <c r="L13">
        <v>3.9809999999999998E-2</v>
      </c>
      <c r="M13">
        <v>2.461E-2</v>
      </c>
      <c r="N13">
        <v>0</v>
      </c>
      <c r="O13">
        <v>0.92327000000000004</v>
      </c>
      <c r="P13">
        <v>8.0000000000000004E-4</v>
      </c>
      <c r="Q13">
        <v>6.9999999999999999E-4</v>
      </c>
      <c r="R13">
        <v>2.9219999999999999E-2</v>
      </c>
      <c r="S13">
        <v>0.18151999999999999</v>
      </c>
      <c r="T13">
        <v>1.2714299999999998</v>
      </c>
    </row>
    <row r="14" spans="1:20" ht="15" customHeight="1" x14ac:dyDescent="0.15">
      <c r="A14">
        <v>13</v>
      </c>
      <c r="B14" s="188" t="s">
        <v>204</v>
      </c>
      <c r="C14">
        <v>8.2699999999999996E-3</v>
      </c>
      <c r="D14">
        <v>0</v>
      </c>
      <c r="E14">
        <v>5.9549999999999999E-2</v>
      </c>
      <c r="F14">
        <v>0</v>
      </c>
      <c r="G14">
        <v>0</v>
      </c>
      <c r="H14">
        <v>0</v>
      </c>
      <c r="I14">
        <v>5.3449999999999998E-2</v>
      </c>
      <c r="J14">
        <v>0</v>
      </c>
      <c r="K14">
        <v>7.2999999999999996E-4</v>
      </c>
      <c r="L14">
        <v>3.1109999999999999E-2</v>
      </c>
      <c r="M14">
        <v>2E-3</v>
      </c>
      <c r="N14">
        <v>0</v>
      </c>
      <c r="O14">
        <v>0.30059000000000002</v>
      </c>
      <c r="P14">
        <v>5.6999999999999998E-4</v>
      </c>
      <c r="Q14">
        <v>1.1690000000000001E-2</v>
      </c>
      <c r="R14">
        <v>9.2599999999999991E-3</v>
      </c>
      <c r="S14">
        <v>9.7699999999999992E-3</v>
      </c>
      <c r="T14">
        <v>0.48698999999999998</v>
      </c>
    </row>
    <row r="15" spans="1:20" ht="15" customHeight="1" x14ac:dyDescent="0.15">
      <c r="A15">
        <v>14</v>
      </c>
      <c r="B15" s="188" t="s">
        <v>205</v>
      </c>
      <c r="C15">
        <v>1.89E-3</v>
      </c>
      <c r="D15">
        <v>0</v>
      </c>
      <c r="E15">
        <v>0</v>
      </c>
      <c r="F15">
        <v>0</v>
      </c>
      <c r="G15">
        <v>0</v>
      </c>
      <c r="H15">
        <v>0</v>
      </c>
      <c r="I15">
        <v>3.6999999999999999E-4</v>
      </c>
      <c r="J15">
        <v>0</v>
      </c>
      <c r="K15">
        <v>8.3400000000000002E-3</v>
      </c>
      <c r="L15">
        <v>4.6899999999999997E-3</v>
      </c>
      <c r="M15">
        <v>0</v>
      </c>
      <c r="N15">
        <v>0</v>
      </c>
      <c r="O15">
        <v>0</v>
      </c>
      <c r="P15">
        <v>4.0099999999999997E-3</v>
      </c>
      <c r="Q15">
        <v>1.0869999999999999E-2</v>
      </c>
      <c r="R15">
        <v>2.0000000000000002E-5</v>
      </c>
      <c r="S15">
        <v>6.9999999999999994E-5</v>
      </c>
      <c r="T15">
        <v>3.0259999999999995E-2</v>
      </c>
    </row>
    <row r="16" spans="1:20" ht="15" customHeight="1" x14ac:dyDescent="0.15">
      <c r="A16">
        <v>15</v>
      </c>
      <c r="B16" s="188" t="s">
        <v>206</v>
      </c>
      <c r="C16">
        <v>7.0000000000000001E-3</v>
      </c>
      <c r="D16">
        <v>0</v>
      </c>
      <c r="E16">
        <v>0</v>
      </c>
      <c r="F16">
        <v>2.0000000000000001E-4</v>
      </c>
      <c r="G16">
        <v>0</v>
      </c>
      <c r="H16">
        <v>1.1E-4</v>
      </c>
      <c r="I16">
        <v>1.4E-2</v>
      </c>
      <c r="J16">
        <v>0</v>
      </c>
      <c r="K16">
        <v>1.9800000000000002E-2</v>
      </c>
      <c r="L16">
        <v>5.0999999999999997E-2</v>
      </c>
      <c r="M16">
        <v>0</v>
      </c>
      <c r="N16">
        <v>0</v>
      </c>
      <c r="O16">
        <v>8.8000000000000005E-3</v>
      </c>
      <c r="P16">
        <v>3.1E-2</v>
      </c>
      <c r="Q16">
        <v>7.2999999999999995E-2</v>
      </c>
      <c r="R16">
        <v>0</v>
      </c>
      <c r="S16">
        <v>2.5000000000000001E-4</v>
      </c>
      <c r="T16">
        <v>0.20515999999999998</v>
      </c>
    </row>
    <row r="17" spans="1:20" ht="15" customHeight="1" x14ac:dyDescent="0.15">
      <c r="A17">
        <v>16</v>
      </c>
      <c r="B17" s="188" t="s">
        <v>207</v>
      </c>
      <c r="C17">
        <v>1.702E-2</v>
      </c>
      <c r="D17">
        <v>1.0300000000000001E-3</v>
      </c>
      <c r="E17">
        <v>0</v>
      </c>
      <c r="F17">
        <v>3.8999999999999999E-4</v>
      </c>
      <c r="G17">
        <v>0</v>
      </c>
      <c r="H17">
        <v>2.0000000000000002E-5</v>
      </c>
      <c r="I17">
        <v>1.2959999999999999E-2</v>
      </c>
      <c r="J17">
        <v>1.4999999999999999E-4</v>
      </c>
      <c r="K17">
        <v>3.0269999999999998E-2</v>
      </c>
      <c r="L17">
        <v>0.24</v>
      </c>
      <c r="M17">
        <v>0</v>
      </c>
      <c r="N17">
        <v>0</v>
      </c>
      <c r="O17">
        <v>9.1619999999999993E-2</v>
      </c>
      <c r="P17">
        <v>1.7780000000000001E-2</v>
      </c>
      <c r="Q17">
        <v>0.1183</v>
      </c>
      <c r="R17">
        <v>1.4999999999999999E-4</v>
      </c>
      <c r="S17">
        <v>2.66E-3</v>
      </c>
      <c r="T17">
        <v>0.53234999999999999</v>
      </c>
    </row>
    <row r="18" spans="1:20" ht="15" customHeight="1" x14ac:dyDescent="0.15">
      <c r="A18">
        <v>17</v>
      </c>
      <c r="B18" s="188" t="s">
        <v>208</v>
      </c>
      <c r="C18">
        <v>1.9890000000000001E-2</v>
      </c>
      <c r="D18">
        <v>2.1000000000000001E-4</v>
      </c>
      <c r="E18">
        <v>0</v>
      </c>
      <c r="F18">
        <v>0</v>
      </c>
      <c r="G18">
        <v>0</v>
      </c>
      <c r="H18">
        <v>3.0000000000000001E-5</v>
      </c>
      <c r="I18">
        <v>5.5900000000000004E-3</v>
      </c>
      <c r="J18">
        <v>0</v>
      </c>
      <c r="K18">
        <v>6.6400000000000001E-3</v>
      </c>
      <c r="L18">
        <v>4.1599999999999998E-2</v>
      </c>
      <c r="M18">
        <v>3.0000000000000001E-5</v>
      </c>
      <c r="N18">
        <v>0</v>
      </c>
      <c r="O18">
        <v>3.542E-2</v>
      </c>
      <c r="P18">
        <v>1.2500000000000001E-2</v>
      </c>
      <c r="Q18">
        <v>3.2960000000000003E-2</v>
      </c>
      <c r="R18">
        <v>0</v>
      </c>
      <c r="S18">
        <v>3.5799999999999998E-3</v>
      </c>
      <c r="T18">
        <v>0.15845000000000001</v>
      </c>
    </row>
    <row r="19" spans="1:20" ht="15" customHeight="1" x14ac:dyDescent="0.15">
      <c r="A19">
        <v>18</v>
      </c>
      <c r="B19" s="188" t="s">
        <v>209</v>
      </c>
      <c r="C19">
        <v>2.631E-2</v>
      </c>
      <c r="D19">
        <v>4.64E-3</v>
      </c>
      <c r="E19">
        <v>3.5300000000000002E-3</v>
      </c>
      <c r="F19">
        <v>5.1000000000000004E-4</v>
      </c>
      <c r="G19">
        <v>0</v>
      </c>
      <c r="H19">
        <v>4.0000000000000003E-5</v>
      </c>
      <c r="I19">
        <v>7.4609999999999996E-2</v>
      </c>
      <c r="J19">
        <v>0</v>
      </c>
      <c r="K19">
        <v>0.17008000000000001</v>
      </c>
      <c r="L19">
        <v>0.59560000000000002</v>
      </c>
      <c r="M19">
        <v>5.0000000000000002E-5</v>
      </c>
      <c r="N19">
        <v>0</v>
      </c>
      <c r="O19">
        <v>0.10952000000000001</v>
      </c>
      <c r="P19">
        <v>9.7170000000000006E-2</v>
      </c>
      <c r="Q19">
        <v>0.17648</v>
      </c>
      <c r="R19">
        <v>1.1E-4</v>
      </c>
      <c r="S19">
        <v>3.7699999999999999E-3</v>
      </c>
      <c r="T19">
        <v>1.2624200000000001</v>
      </c>
    </row>
    <row r="20" spans="1:20" ht="15" customHeight="1" x14ac:dyDescent="0.15">
      <c r="A20">
        <v>19</v>
      </c>
      <c r="B20" s="188" t="s">
        <v>210</v>
      </c>
      <c r="C20">
        <v>6.8000000000000005E-2</v>
      </c>
      <c r="D20">
        <v>5.4000000000000003E-3</v>
      </c>
      <c r="E20">
        <v>2.3400000000000001E-3</v>
      </c>
      <c r="F20">
        <v>0</v>
      </c>
      <c r="G20">
        <v>0</v>
      </c>
      <c r="H20">
        <v>1.1E-4</v>
      </c>
      <c r="I20">
        <v>1.2600000000000001E-3</v>
      </c>
      <c r="J20">
        <v>1.0300000000000001E-3</v>
      </c>
      <c r="K20">
        <v>5.645E-2</v>
      </c>
      <c r="L20">
        <v>4.6899999999999997E-2</v>
      </c>
      <c r="M20">
        <v>3.1E-4</v>
      </c>
      <c r="N20">
        <v>0</v>
      </c>
      <c r="O20">
        <v>0.18035999999999999</v>
      </c>
      <c r="P20">
        <v>0.13494999999999999</v>
      </c>
      <c r="Q20">
        <v>0.37480999999999998</v>
      </c>
      <c r="R20">
        <v>1.91E-3</v>
      </c>
      <c r="S20">
        <v>4.15E-3</v>
      </c>
      <c r="T20">
        <v>0.87797999999999987</v>
      </c>
    </row>
    <row r="21" spans="1:20" ht="15" customHeight="1" x14ac:dyDescent="0.15">
      <c r="A21">
        <v>20</v>
      </c>
      <c r="B21" s="188" t="s">
        <v>211</v>
      </c>
      <c r="C21">
        <v>1E-4</v>
      </c>
      <c r="D21">
        <v>0</v>
      </c>
      <c r="E21">
        <v>0</v>
      </c>
      <c r="F21">
        <v>0</v>
      </c>
      <c r="G21">
        <v>0</v>
      </c>
      <c r="H21">
        <v>0</v>
      </c>
      <c r="I21">
        <v>4.6000000000000001E-4</v>
      </c>
      <c r="J21">
        <v>0</v>
      </c>
      <c r="K21">
        <v>6.8500000000000002E-3</v>
      </c>
      <c r="L21">
        <v>6.13E-3</v>
      </c>
      <c r="M21">
        <v>0</v>
      </c>
      <c r="N21">
        <v>0</v>
      </c>
      <c r="O21">
        <v>6.6100000000000004E-3</v>
      </c>
      <c r="P21">
        <v>0</v>
      </c>
      <c r="Q21">
        <v>4.8000000000000001E-4</v>
      </c>
      <c r="R21">
        <v>0</v>
      </c>
      <c r="S21">
        <v>1.6000000000000001E-4</v>
      </c>
      <c r="T21">
        <v>2.0790000000000003E-2</v>
      </c>
    </row>
    <row r="22" spans="1:20" ht="15" customHeight="1" x14ac:dyDescent="0.15">
      <c r="A22">
        <v>21</v>
      </c>
      <c r="B22" s="188" t="s">
        <v>212</v>
      </c>
      <c r="C22">
        <v>9.5E-4</v>
      </c>
      <c r="D22">
        <v>0</v>
      </c>
      <c r="E22">
        <v>0</v>
      </c>
      <c r="F22">
        <v>0</v>
      </c>
      <c r="G22">
        <v>0</v>
      </c>
      <c r="H22">
        <v>2.0000000000000002E-5</v>
      </c>
      <c r="I22">
        <v>6.6E-4</v>
      </c>
      <c r="J22">
        <v>0</v>
      </c>
      <c r="K22">
        <v>1.1800000000000001E-3</v>
      </c>
      <c r="L22">
        <v>0</v>
      </c>
      <c r="M22">
        <v>0</v>
      </c>
      <c r="N22">
        <v>0</v>
      </c>
      <c r="O22">
        <v>2.4840000000000001E-2</v>
      </c>
      <c r="P22">
        <v>1.4400000000000001E-3</v>
      </c>
      <c r="Q22">
        <v>2.5520000000000001E-2</v>
      </c>
      <c r="R22">
        <v>1.3999999999999999E-4</v>
      </c>
      <c r="S22">
        <v>1.2E-4</v>
      </c>
      <c r="T22">
        <v>5.4870000000000009E-2</v>
      </c>
    </row>
    <row r="23" spans="1:20" ht="15" customHeight="1" x14ac:dyDescent="0.15">
      <c r="A23">
        <v>22</v>
      </c>
      <c r="B23" s="188" t="s">
        <v>213</v>
      </c>
      <c r="C23">
        <v>6.8409999999999999E-2</v>
      </c>
      <c r="D23">
        <v>9.8499999999999994E-3</v>
      </c>
      <c r="E23">
        <v>0</v>
      </c>
      <c r="F23">
        <v>0</v>
      </c>
      <c r="G23">
        <v>0</v>
      </c>
      <c r="H23">
        <v>1.1474599999999999</v>
      </c>
      <c r="I23">
        <v>1.6000000000000001E-4</v>
      </c>
      <c r="J23">
        <v>0.13075999999999999</v>
      </c>
      <c r="K23">
        <v>8.3400000000000002E-3</v>
      </c>
      <c r="L23">
        <v>1.2999999999999999E-4</v>
      </c>
      <c r="M23">
        <v>0</v>
      </c>
      <c r="N23">
        <v>6.6299999999999996E-3</v>
      </c>
      <c r="O23">
        <v>4.3699999999999998E-3</v>
      </c>
      <c r="P23">
        <v>8.7000000000000001E-4</v>
      </c>
      <c r="Q23">
        <v>1.3999999999999999E-4</v>
      </c>
      <c r="R23">
        <v>3.4000000000000002E-4</v>
      </c>
      <c r="S23">
        <v>8.1999999999999998E-4</v>
      </c>
      <c r="T23">
        <v>1.3782799999999997</v>
      </c>
    </row>
    <row r="24" spans="1:20" ht="15" customHeight="1" x14ac:dyDescent="0.15">
      <c r="A24">
        <v>23</v>
      </c>
      <c r="B24" s="188" t="s">
        <v>214</v>
      </c>
      <c r="C24">
        <v>5.4690000000000003E-2</v>
      </c>
      <c r="D24">
        <v>8.1600000000000006E-3</v>
      </c>
      <c r="E24">
        <v>0</v>
      </c>
      <c r="F24">
        <v>3.4160000000000003E-2</v>
      </c>
      <c r="G24">
        <v>0</v>
      </c>
      <c r="H24">
        <v>0</v>
      </c>
      <c r="I24">
        <v>7.3999999999999999E-4</v>
      </c>
      <c r="J24">
        <v>0</v>
      </c>
      <c r="K24">
        <v>1.0000000000000001E-5</v>
      </c>
      <c r="L24">
        <v>0</v>
      </c>
      <c r="M24">
        <v>4.0000000000000003E-5</v>
      </c>
      <c r="N24">
        <v>1.7389999999999999E-2</v>
      </c>
      <c r="O24">
        <v>4.8999999999999998E-4</v>
      </c>
      <c r="P24">
        <v>0</v>
      </c>
      <c r="Q24">
        <v>0</v>
      </c>
      <c r="R24">
        <v>0</v>
      </c>
      <c r="S24">
        <v>1.0000000000000001E-5</v>
      </c>
      <c r="T24">
        <v>0.11569000000000002</v>
      </c>
    </row>
    <row r="25" spans="1:20" ht="15" customHeight="1" x14ac:dyDescent="0.15">
      <c r="A25">
        <v>24</v>
      </c>
      <c r="B25" s="188" t="s">
        <v>215</v>
      </c>
      <c r="C25">
        <v>7.6000000000000004E-4</v>
      </c>
      <c r="D25">
        <v>0</v>
      </c>
      <c r="E25">
        <v>0</v>
      </c>
      <c r="F25">
        <v>0</v>
      </c>
      <c r="G25">
        <v>0</v>
      </c>
      <c r="H25">
        <v>9.0000000000000006E-5</v>
      </c>
      <c r="I25">
        <v>0</v>
      </c>
      <c r="J25">
        <v>1E-4</v>
      </c>
      <c r="K25">
        <v>0</v>
      </c>
      <c r="L25">
        <v>0</v>
      </c>
      <c r="M25">
        <v>0</v>
      </c>
      <c r="N25">
        <v>0</v>
      </c>
      <c r="O25">
        <v>0</v>
      </c>
      <c r="P25">
        <v>1E-4</v>
      </c>
      <c r="Q25">
        <v>6.9999999999999999E-4</v>
      </c>
      <c r="R25">
        <v>0</v>
      </c>
      <c r="S25">
        <v>0</v>
      </c>
      <c r="T25">
        <v>1.7500000000000003E-3</v>
      </c>
    </row>
    <row r="26" spans="1:20" ht="15" customHeight="1" x14ac:dyDescent="0.15">
      <c r="A26">
        <v>25</v>
      </c>
      <c r="B26" s="188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 ht="15" customHeight="1" x14ac:dyDescent="0.15">
      <c r="A27">
        <v>26</v>
      </c>
      <c r="B27" s="188" t="s">
        <v>217</v>
      </c>
      <c r="C27">
        <v>2.512E-2</v>
      </c>
      <c r="D27">
        <v>2.1839999999999998E-2</v>
      </c>
      <c r="E27">
        <v>0</v>
      </c>
      <c r="F27">
        <v>1.2E-4</v>
      </c>
      <c r="G27">
        <v>0.11960999999999999</v>
      </c>
      <c r="H27">
        <v>0</v>
      </c>
      <c r="I27">
        <v>0.12066</v>
      </c>
      <c r="J27">
        <v>5.1000000000000004E-4</v>
      </c>
      <c r="K27">
        <v>3.0000000000000001E-3</v>
      </c>
      <c r="L27">
        <v>2.5000000000000001E-4</v>
      </c>
      <c r="M27">
        <v>8.4999999999999995E-4</v>
      </c>
      <c r="N27">
        <v>0</v>
      </c>
      <c r="O27">
        <v>1.33E-3</v>
      </c>
      <c r="P27">
        <v>2.0910000000000002E-2</v>
      </c>
      <c r="Q27">
        <v>2.862E-2</v>
      </c>
      <c r="R27">
        <v>6.5100000000000002E-3</v>
      </c>
      <c r="S27">
        <v>4.7100000000000003E-2</v>
      </c>
      <c r="T27">
        <v>0.39642999999999995</v>
      </c>
    </row>
    <row r="28" spans="1:20" ht="15" customHeight="1" x14ac:dyDescent="0.15">
      <c r="A28">
        <v>27</v>
      </c>
      <c r="B28" s="188" t="s">
        <v>218</v>
      </c>
      <c r="C28">
        <v>1.47E-3</v>
      </c>
      <c r="D28">
        <v>2.0000000000000002E-5</v>
      </c>
      <c r="E28">
        <v>0</v>
      </c>
      <c r="F28">
        <v>0</v>
      </c>
      <c r="G28">
        <v>1.299E-2</v>
      </c>
      <c r="H28">
        <v>0</v>
      </c>
      <c r="I28">
        <v>5.2999999999999998E-4</v>
      </c>
      <c r="J28">
        <v>0</v>
      </c>
      <c r="K28">
        <v>3.2000000000000002E-3</v>
      </c>
      <c r="L28">
        <v>5.0000000000000001E-4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4.6999999999999999E-4</v>
      </c>
      <c r="T28">
        <v>1.9180000000000003E-2</v>
      </c>
    </row>
    <row r="29" spans="1:20" ht="15" customHeight="1" x14ac:dyDescent="0.15">
      <c r="A29">
        <v>28</v>
      </c>
      <c r="B29" s="188" t="s">
        <v>219</v>
      </c>
      <c r="C29">
        <v>1.4999999999999999E-4</v>
      </c>
      <c r="D29">
        <v>0</v>
      </c>
      <c r="E29">
        <v>0</v>
      </c>
      <c r="F29">
        <v>0</v>
      </c>
      <c r="G29">
        <v>0</v>
      </c>
      <c r="H29">
        <v>0</v>
      </c>
      <c r="I29">
        <v>2.0000000000000002E-5</v>
      </c>
      <c r="J29">
        <v>0.35011999999999999</v>
      </c>
      <c r="K29">
        <v>0</v>
      </c>
      <c r="L29">
        <v>0</v>
      </c>
      <c r="M29">
        <v>0</v>
      </c>
      <c r="N29">
        <v>0</v>
      </c>
      <c r="O29">
        <v>0</v>
      </c>
      <c r="P29">
        <v>1.2999999999999999E-3</v>
      </c>
      <c r="Q29">
        <v>1.4400000000000001E-3</v>
      </c>
      <c r="R29">
        <v>0</v>
      </c>
      <c r="S29">
        <v>0</v>
      </c>
      <c r="T29">
        <v>0.35303000000000001</v>
      </c>
    </row>
    <row r="30" spans="1:20" ht="15" customHeight="1" x14ac:dyDescent="0.15">
      <c r="A30">
        <v>29</v>
      </c>
      <c r="B30" s="188" t="s">
        <v>220</v>
      </c>
      <c r="C30">
        <v>5.5000000000000003E-4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1.9029999999999998E-2</v>
      </c>
      <c r="K30">
        <v>0</v>
      </c>
      <c r="L30">
        <v>0</v>
      </c>
      <c r="M30">
        <v>0</v>
      </c>
      <c r="N30">
        <v>0</v>
      </c>
      <c r="O30">
        <v>0</v>
      </c>
      <c r="P30">
        <v>4.7499999999999999E-3</v>
      </c>
      <c r="Q30">
        <v>0</v>
      </c>
      <c r="R30">
        <v>0</v>
      </c>
      <c r="S30">
        <v>0</v>
      </c>
      <c r="T30">
        <v>2.4329999999999997E-2</v>
      </c>
    </row>
    <row r="31" spans="1:20" ht="15" customHeight="1" x14ac:dyDescent="0.15">
      <c r="A31">
        <v>30</v>
      </c>
      <c r="B31" s="188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 ht="15" customHeight="1" x14ac:dyDescent="0.15">
      <c r="A32">
        <v>31</v>
      </c>
      <c r="B32" s="188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 ht="15" customHeight="1" x14ac:dyDescent="0.15">
      <c r="A33">
        <v>32</v>
      </c>
      <c r="B33" s="188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 ht="15" customHeight="1" x14ac:dyDescent="0.15">
      <c r="A34">
        <v>33</v>
      </c>
      <c r="B34" s="188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 ht="15" customHeight="1" x14ac:dyDescent="0.15">
      <c r="A35">
        <v>34</v>
      </c>
      <c r="B35" s="188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 ht="15" customHeight="1" x14ac:dyDescent="0.15">
      <c r="A36">
        <v>35</v>
      </c>
      <c r="B36" s="188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0" ht="15" customHeight="1" x14ac:dyDescent="0.15">
      <c r="A37">
        <v>36</v>
      </c>
      <c r="B37" s="188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 ht="15" customHeight="1" x14ac:dyDescent="0.15">
      <c r="A38">
        <v>37</v>
      </c>
      <c r="B38" s="188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1:20" ht="15" customHeight="1" x14ac:dyDescent="0.15">
      <c r="A39">
        <v>38</v>
      </c>
      <c r="B39" s="188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 ht="15" customHeight="1" x14ac:dyDescent="0.15"/>
    <row r="41" spans="1:20" ht="15" customHeight="1" x14ac:dyDescent="0.15"/>
    <row r="42" spans="1:20" ht="15" customHeight="1" x14ac:dyDescent="0.15"/>
    <row r="43" spans="1:20" ht="15" customHeight="1" x14ac:dyDescent="0.15"/>
    <row r="44" spans="1:20" ht="15" customHeight="1" x14ac:dyDescent="0.15"/>
    <row r="45" spans="1:20" ht="15" customHeight="1" x14ac:dyDescent="0.15"/>
    <row r="46" spans="1:20" ht="15" customHeight="1" x14ac:dyDescent="0.15"/>
    <row r="47" spans="1:20" ht="15" customHeight="1" x14ac:dyDescent="0.15"/>
    <row r="48" spans="1:20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T39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41.83203125" bestFit="1" customWidth="1"/>
    <col min="3" max="5" width="2.33203125" bestFit="1" customWidth="1"/>
    <col min="6" max="20" width="2.33203125" customWidth="1"/>
  </cols>
  <sheetData>
    <row r="1" spans="1:20" s="115" customFormat="1" ht="112" x14ac:dyDescent="0.15">
      <c r="A1" s="5" t="s">
        <v>22</v>
      </c>
      <c r="B1" s="3" t="s">
        <v>0</v>
      </c>
      <c r="C1" s="191" t="s">
        <v>230</v>
      </c>
      <c r="D1" s="191" t="s">
        <v>231</v>
      </c>
      <c r="E1" s="191" t="s">
        <v>232</v>
      </c>
      <c r="F1" s="191" t="s">
        <v>233</v>
      </c>
      <c r="G1" s="191" t="s">
        <v>234</v>
      </c>
      <c r="H1" s="191" t="s">
        <v>235</v>
      </c>
      <c r="I1" s="191" t="s">
        <v>236</v>
      </c>
      <c r="J1" s="191" t="s">
        <v>237</v>
      </c>
      <c r="K1" s="191" t="s">
        <v>238</v>
      </c>
      <c r="L1" s="191" t="s">
        <v>239</v>
      </c>
      <c r="M1" s="191" t="s">
        <v>240</v>
      </c>
      <c r="N1" s="191" t="s">
        <v>241</v>
      </c>
      <c r="O1" s="191" t="s">
        <v>242</v>
      </c>
      <c r="P1" s="191" t="s">
        <v>243</v>
      </c>
      <c r="Q1" s="191" t="s">
        <v>244</v>
      </c>
      <c r="R1" s="191" t="s">
        <v>245</v>
      </c>
      <c r="S1" s="191" t="s">
        <v>246</v>
      </c>
      <c r="T1" s="191" t="s">
        <v>250</v>
      </c>
    </row>
    <row r="2" spans="1:20" x14ac:dyDescent="0.15">
      <c r="A2">
        <v>1</v>
      </c>
      <c r="B2" s="190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</row>
    <row r="3" spans="1:20" x14ac:dyDescent="0.15">
      <c r="A3">
        <v>2</v>
      </c>
      <c r="B3" s="190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</row>
    <row r="4" spans="1:20" x14ac:dyDescent="0.15">
      <c r="A4">
        <v>3</v>
      </c>
      <c r="B4" s="190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15">
      <c r="A5">
        <v>4</v>
      </c>
      <c r="B5" s="190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15">
      <c r="A6">
        <v>5</v>
      </c>
      <c r="B6" s="190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15">
      <c r="A7">
        <v>6</v>
      </c>
      <c r="B7" s="190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</row>
    <row r="8" spans="1:20" x14ac:dyDescent="0.15">
      <c r="A8">
        <v>7</v>
      </c>
      <c r="B8" s="190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</row>
    <row r="9" spans="1:20" x14ac:dyDescent="0.15">
      <c r="A9">
        <v>8</v>
      </c>
      <c r="B9" s="190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 x14ac:dyDescent="0.15">
      <c r="A10">
        <v>9</v>
      </c>
      <c r="B10" s="190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 x14ac:dyDescent="0.15">
      <c r="A11">
        <v>10</v>
      </c>
      <c r="B11" s="190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 x14ac:dyDescent="0.15">
      <c r="A12">
        <v>11</v>
      </c>
      <c r="B12" s="190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 x14ac:dyDescent="0.15">
      <c r="A13">
        <v>12</v>
      </c>
      <c r="B13" s="190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 x14ac:dyDescent="0.15">
      <c r="A14">
        <v>13</v>
      </c>
      <c r="B14" s="190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 x14ac:dyDescent="0.15">
      <c r="A15">
        <v>14</v>
      </c>
      <c r="B15" s="190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 x14ac:dyDescent="0.15">
      <c r="A16">
        <v>15</v>
      </c>
      <c r="B16" s="190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 x14ac:dyDescent="0.15">
      <c r="A17">
        <v>16</v>
      </c>
      <c r="B17" s="190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 x14ac:dyDescent="0.15">
      <c r="A18">
        <v>17</v>
      </c>
      <c r="B18" s="190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 x14ac:dyDescent="0.15">
      <c r="A19">
        <v>18</v>
      </c>
      <c r="B19" s="190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 x14ac:dyDescent="0.15">
      <c r="A20">
        <v>19</v>
      </c>
      <c r="B20" s="190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 x14ac:dyDescent="0.15">
      <c r="A21">
        <v>20</v>
      </c>
      <c r="B21" s="190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</row>
    <row r="22" spans="1:20" x14ac:dyDescent="0.15">
      <c r="A22">
        <v>21</v>
      </c>
      <c r="B22" s="190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 x14ac:dyDescent="0.15">
      <c r="A23">
        <v>22</v>
      </c>
      <c r="B23" s="190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 x14ac:dyDescent="0.15">
      <c r="A24">
        <v>23</v>
      </c>
      <c r="B24" s="190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 x14ac:dyDescent="0.15">
      <c r="A25">
        <v>24</v>
      </c>
      <c r="B25" s="190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 x14ac:dyDescent="0.15">
      <c r="A26">
        <v>25</v>
      </c>
      <c r="B26" s="190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 x14ac:dyDescent="0.15">
      <c r="A27">
        <v>26</v>
      </c>
      <c r="B27" s="190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 x14ac:dyDescent="0.15">
      <c r="A28">
        <v>27</v>
      </c>
      <c r="B28" s="190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 x14ac:dyDescent="0.15">
      <c r="A29">
        <v>28</v>
      </c>
      <c r="B29" s="190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 x14ac:dyDescent="0.15">
      <c r="A30">
        <v>29</v>
      </c>
      <c r="B30" s="190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 x14ac:dyDescent="0.15">
      <c r="A31">
        <v>30</v>
      </c>
      <c r="B31" s="190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 x14ac:dyDescent="0.15">
      <c r="A32">
        <v>31</v>
      </c>
      <c r="B32" s="190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 x14ac:dyDescent="0.15">
      <c r="A33">
        <v>32</v>
      </c>
      <c r="B33" s="190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 x14ac:dyDescent="0.15">
      <c r="A34">
        <v>33</v>
      </c>
      <c r="B34" s="190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 x14ac:dyDescent="0.15">
      <c r="A35">
        <v>34</v>
      </c>
      <c r="B35" s="190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 x14ac:dyDescent="0.15">
      <c r="A36">
        <v>35</v>
      </c>
      <c r="B36" s="190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0" x14ac:dyDescent="0.15">
      <c r="A37">
        <v>36</v>
      </c>
      <c r="B37" s="190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 x14ac:dyDescent="0.15">
      <c r="A38">
        <v>37</v>
      </c>
      <c r="B38" s="190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1:20" x14ac:dyDescent="0.15">
      <c r="A39">
        <v>38</v>
      </c>
      <c r="B39" s="190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41.83203125" bestFit="1" customWidth="1"/>
    <col min="6" max="6" width="4.83203125" bestFit="1" customWidth="1"/>
    <col min="7" max="9" width="3.83203125" bestFit="1" customWidth="1"/>
    <col min="10" max="11" width="4.83203125" style="11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6" customFormat="1" ht="14" thickBot="1" x14ac:dyDescent="0.2">
      <c r="D1" s="117" t="s">
        <v>8</v>
      </c>
      <c r="E1" s="117" t="s">
        <v>0</v>
      </c>
      <c r="F1" s="118" t="s">
        <v>99</v>
      </c>
      <c r="G1" s="119" t="s">
        <v>84</v>
      </c>
      <c r="H1" s="119" t="s">
        <v>85</v>
      </c>
      <c r="I1" s="119" t="s">
        <v>86</v>
      </c>
      <c r="J1" s="119" t="s">
        <v>87</v>
      </c>
      <c r="K1" s="119" t="s">
        <v>88</v>
      </c>
      <c r="L1" s="120" t="s">
        <v>89</v>
      </c>
      <c r="M1" s="120" t="s">
        <v>93</v>
      </c>
      <c r="N1" s="120" t="s">
        <v>92</v>
      </c>
      <c r="O1" s="120" t="s">
        <v>90</v>
      </c>
      <c r="P1" s="120" t="s">
        <v>91</v>
      </c>
      <c r="Q1" s="121" t="s">
        <v>94</v>
      </c>
      <c r="R1" s="121" t="s">
        <v>95</v>
      </c>
      <c r="S1" s="121" t="s">
        <v>96</v>
      </c>
      <c r="T1" s="121" t="s">
        <v>97</v>
      </c>
      <c r="U1" s="121" t="s">
        <v>98</v>
      </c>
      <c r="V1" s="119" t="s">
        <v>100</v>
      </c>
      <c r="W1" s="119" t="s">
        <v>101</v>
      </c>
      <c r="X1" s="119" t="s">
        <v>102</v>
      </c>
      <c r="Y1" s="119" t="s">
        <v>134</v>
      </c>
      <c r="Z1" s="120" t="s">
        <v>103</v>
      </c>
      <c r="AA1" s="120" t="s">
        <v>104</v>
      </c>
      <c r="AB1" s="120" t="s">
        <v>105</v>
      </c>
      <c r="AC1" s="122" t="s">
        <v>135</v>
      </c>
      <c r="AD1" s="121" t="s">
        <v>106</v>
      </c>
      <c r="AE1" s="121" t="s">
        <v>107</v>
      </c>
      <c r="AF1" s="121" t="s">
        <v>108</v>
      </c>
      <c r="AG1" s="121" t="s">
        <v>136</v>
      </c>
      <c r="AH1" s="119" t="s">
        <v>109</v>
      </c>
      <c r="AI1" s="119" t="s">
        <v>111</v>
      </c>
      <c r="AJ1" s="119" t="s">
        <v>110</v>
      </c>
      <c r="AK1" s="120" t="s">
        <v>115</v>
      </c>
      <c r="AL1" s="120" t="s">
        <v>116</v>
      </c>
      <c r="AM1" s="120" t="s">
        <v>117</v>
      </c>
      <c r="AN1" s="121" t="s">
        <v>112</v>
      </c>
      <c r="AO1" s="121" t="s">
        <v>113</v>
      </c>
      <c r="AP1" s="121" t="s">
        <v>114</v>
      </c>
    </row>
    <row r="2" spans="1:42" x14ac:dyDescent="0.15">
      <c r="A2" s="123" t="s">
        <v>74</v>
      </c>
      <c r="B2" s="124">
        <v>1</v>
      </c>
      <c r="D2">
        <v>1</v>
      </c>
      <c r="E2" s="192" t="s">
        <v>192</v>
      </c>
      <c r="F2">
        <v>0.98</v>
      </c>
      <c r="G2">
        <v>0.8</v>
      </c>
      <c r="H2">
        <v>0.8</v>
      </c>
      <c r="I2">
        <v>0.8</v>
      </c>
      <c r="J2" s="114">
        <v>0.25</v>
      </c>
      <c r="K2" s="114">
        <v>0.05</v>
      </c>
    </row>
    <row r="3" spans="1:42" x14ac:dyDescent="0.15">
      <c r="A3" s="123" t="s">
        <v>75</v>
      </c>
      <c r="B3" s="125">
        <v>1</v>
      </c>
      <c r="D3">
        <v>2</v>
      </c>
      <c r="E3" s="192" t="s">
        <v>193</v>
      </c>
      <c r="F3">
        <v>0.98</v>
      </c>
      <c r="G3">
        <v>0.8</v>
      </c>
      <c r="H3">
        <v>0.8</v>
      </c>
      <c r="I3">
        <v>0.8</v>
      </c>
      <c r="J3" s="114">
        <v>0.25</v>
      </c>
      <c r="K3" s="114">
        <v>0.05</v>
      </c>
    </row>
    <row r="4" spans="1:42" x14ac:dyDescent="0.15">
      <c r="A4" s="123" t="s">
        <v>76</v>
      </c>
      <c r="B4" s="125">
        <v>1</v>
      </c>
      <c r="D4">
        <v>3</v>
      </c>
      <c r="E4" s="192" t="s">
        <v>194</v>
      </c>
      <c r="F4">
        <v>0.98</v>
      </c>
      <c r="G4">
        <v>0.8</v>
      </c>
      <c r="H4">
        <v>0.8</v>
      </c>
      <c r="I4">
        <v>0.8</v>
      </c>
      <c r="J4" s="114">
        <v>0.25</v>
      </c>
      <c r="K4" s="114">
        <v>0.05</v>
      </c>
    </row>
    <row r="5" spans="1:42" x14ac:dyDescent="0.15">
      <c r="A5" s="123" t="s">
        <v>77</v>
      </c>
      <c r="B5" s="125">
        <v>1</v>
      </c>
      <c r="D5">
        <v>4</v>
      </c>
      <c r="E5" s="192" t="s">
        <v>195</v>
      </c>
      <c r="F5">
        <v>0.98</v>
      </c>
      <c r="G5">
        <v>0.8</v>
      </c>
      <c r="H5">
        <v>0.8</v>
      </c>
      <c r="I5">
        <v>0.8</v>
      </c>
      <c r="J5" s="114">
        <v>0.25</v>
      </c>
      <c r="K5" s="114">
        <v>0.05</v>
      </c>
    </row>
    <row r="6" spans="1:42" x14ac:dyDescent="0.15">
      <c r="A6" s="123" t="s">
        <v>78</v>
      </c>
      <c r="B6" s="125">
        <v>1</v>
      </c>
      <c r="D6">
        <v>5</v>
      </c>
      <c r="E6" s="192" t="s">
        <v>196</v>
      </c>
      <c r="F6">
        <v>0.98</v>
      </c>
      <c r="G6">
        <v>0.8</v>
      </c>
      <c r="H6">
        <v>0.8</v>
      </c>
      <c r="I6">
        <v>0.8</v>
      </c>
      <c r="J6" s="114">
        <v>0.25</v>
      </c>
      <c r="K6" s="114">
        <v>0.05</v>
      </c>
    </row>
    <row r="7" spans="1:42" x14ac:dyDescent="0.15">
      <c r="A7" s="123" t="s">
        <v>79</v>
      </c>
      <c r="B7" s="125">
        <v>1</v>
      </c>
      <c r="D7">
        <v>6</v>
      </c>
      <c r="E7" s="192" t="s">
        <v>197</v>
      </c>
      <c r="F7">
        <v>0.98</v>
      </c>
      <c r="G7">
        <v>0.8</v>
      </c>
      <c r="H7">
        <v>0.8</v>
      </c>
      <c r="I7">
        <v>0.8</v>
      </c>
      <c r="J7" s="114">
        <v>0.25</v>
      </c>
      <c r="K7" s="114">
        <v>0.05</v>
      </c>
    </row>
    <row r="8" spans="1:42" x14ac:dyDescent="0.15">
      <c r="A8" s="123" t="s">
        <v>80</v>
      </c>
      <c r="B8" s="125">
        <v>1</v>
      </c>
      <c r="D8">
        <v>7</v>
      </c>
      <c r="E8" s="192" t="s">
        <v>198</v>
      </c>
      <c r="F8">
        <v>0.98</v>
      </c>
      <c r="G8">
        <v>0.8</v>
      </c>
      <c r="H8">
        <v>0.8</v>
      </c>
      <c r="I8">
        <v>0.8</v>
      </c>
      <c r="J8" s="114">
        <v>0.25</v>
      </c>
      <c r="K8" s="114">
        <v>0.05</v>
      </c>
    </row>
    <row r="9" spans="1:42" x14ac:dyDescent="0.15">
      <c r="A9" s="123" t="s">
        <v>81</v>
      </c>
      <c r="B9" s="125">
        <v>0.1</v>
      </c>
      <c r="C9" s="61" t="s">
        <v>150</v>
      </c>
      <c r="D9">
        <v>8</v>
      </c>
      <c r="E9" s="192" t="s">
        <v>199</v>
      </c>
      <c r="F9">
        <v>0.98</v>
      </c>
      <c r="G9">
        <v>0.8</v>
      </c>
      <c r="H9">
        <v>0.8</v>
      </c>
      <c r="I9">
        <v>0.8</v>
      </c>
      <c r="J9" s="114">
        <v>0.25</v>
      </c>
      <c r="K9" s="114">
        <v>0.05</v>
      </c>
    </row>
    <row r="10" spans="1:42" ht="14" thickBot="1" x14ac:dyDescent="0.2">
      <c r="A10" s="123" t="s">
        <v>149</v>
      </c>
      <c r="B10" s="126">
        <f>1/3</f>
        <v>0.33333333333333331</v>
      </c>
      <c r="C10" s="61" t="s">
        <v>150</v>
      </c>
      <c r="D10">
        <v>9</v>
      </c>
      <c r="E10" s="192" t="s">
        <v>200</v>
      </c>
      <c r="F10">
        <v>0.98</v>
      </c>
      <c r="G10">
        <v>0.8</v>
      </c>
      <c r="H10">
        <v>0.8</v>
      </c>
      <c r="I10">
        <v>0.8</v>
      </c>
      <c r="J10" s="114">
        <v>0.25</v>
      </c>
      <c r="K10" s="114">
        <v>0.05</v>
      </c>
    </row>
    <row r="11" spans="1:42" x14ac:dyDescent="0.15">
      <c r="D11">
        <v>10</v>
      </c>
      <c r="E11" s="192" t="s">
        <v>201</v>
      </c>
      <c r="F11">
        <v>0.98</v>
      </c>
      <c r="G11">
        <v>0.8</v>
      </c>
      <c r="H11">
        <v>0.8</v>
      </c>
      <c r="I11">
        <v>0.8</v>
      </c>
      <c r="J11" s="114">
        <v>0.25</v>
      </c>
      <c r="K11" s="114">
        <v>0.05</v>
      </c>
    </row>
    <row r="12" spans="1:42" x14ac:dyDescent="0.15">
      <c r="D12">
        <v>11</v>
      </c>
      <c r="E12" s="192" t="s">
        <v>202</v>
      </c>
      <c r="F12">
        <v>0.98</v>
      </c>
      <c r="G12">
        <v>0.8</v>
      </c>
      <c r="H12">
        <v>0.8</v>
      </c>
      <c r="I12">
        <v>0.8</v>
      </c>
      <c r="J12" s="114">
        <v>0.25</v>
      </c>
      <c r="K12" s="114">
        <v>0.05</v>
      </c>
    </row>
    <row r="13" spans="1:42" x14ac:dyDescent="0.15">
      <c r="D13">
        <v>12</v>
      </c>
      <c r="E13" s="192" t="s">
        <v>203</v>
      </c>
      <c r="F13">
        <v>0.98</v>
      </c>
      <c r="G13">
        <v>0.8</v>
      </c>
      <c r="H13">
        <v>0.8</v>
      </c>
      <c r="I13">
        <v>0.8</v>
      </c>
      <c r="J13" s="114">
        <v>0.25</v>
      </c>
      <c r="K13" s="114">
        <v>0.05</v>
      </c>
    </row>
    <row r="14" spans="1:42" x14ac:dyDescent="0.15">
      <c r="D14">
        <v>13</v>
      </c>
      <c r="E14" s="192" t="s">
        <v>204</v>
      </c>
      <c r="F14">
        <v>0.98</v>
      </c>
      <c r="G14">
        <v>0.8</v>
      </c>
      <c r="H14">
        <v>0.8</v>
      </c>
      <c r="I14">
        <v>0.8</v>
      </c>
      <c r="J14" s="114">
        <v>0.25</v>
      </c>
      <c r="K14" s="114">
        <v>0.05</v>
      </c>
    </row>
    <row r="15" spans="1:42" x14ac:dyDescent="0.15">
      <c r="D15">
        <v>14</v>
      </c>
      <c r="E15" s="192" t="s">
        <v>205</v>
      </c>
      <c r="F15">
        <v>0.98</v>
      </c>
      <c r="G15">
        <v>0.8</v>
      </c>
      <c r="H15">
        <v>0.8</v>
      </c>
      <c r="I15">
        <v>0.8</v>
      </c>
      <c r="J15" s="114">
        <v>0.25</v>
      </c>
      <c r="K15" s="114">
        <v>0.05</v>
      </c>
    </row>
    <row r="16" spans="1:42" x14ac:dyDescent="0.15">
      <c r="D16">
        <v>15</v>
      </c>
      <c r="E16" s="192" t="s">
        <v>206</v>
      </c>
      <c r="F16">
        <v>0.98</v>
      </c>
      <c r="G16">
        <v>0.8</v>
      </c>
      <c r="H16">
        <v>0.8</v>
      </c>
      <c r="I16">
        <v>0.8</v>
      </c>
      <c r="J16" s="114">
        <v>0.25</v>
      </c>
      <c r="K16" s="114">
        <v>0.05</v>
      </c>
    </row>
    <row r="17" spans="4:33" ht="15" customHeight="1" x14ac:dyDescent="0.15">
      <c r="D17">
        <v>16</v>
      </c>
      <c r="E17" s="192" t="s">
        <v>207</v>
      </c>
      <c r="F17">
        <v>0.98</v>
      </c>
      <c r="G17">
        <v>0.8</v>
      </c>
      <c r="H17">
        <v>0.8</v>
      </c>
      <c r="I17">
        <v>0.8</v>
      </c>
      <c r="J17" s="114">
        <v>0.25</v>
      </c>
      <c r="K17" s="114">
        <v>0.05</v>
      </c>
    </row>
    <row r="18" spans="4:33" ht="15" customHeight="1" x14ac:dyDescent="0.15">
      <c r="D18">
        <v>17</v>
      </c>
      <c r="E18" s="192" t="s">
        <v>208</v>
      </c>
      <c r="F18">
        <v>0.98</v>
      </c>
      <c r="G18">
        <v>0.8</v>
      </c>
      <c r="H18">
        <v>0.8</v>
      </c>
      <c r="I18">
        <v>0.8</v>
      </c>
      <c r="J18" s="114">
        <v>0.25</v>
      </c>
      <c r="K18" s="114">
        <v>0.05</v>
      </c>
    </row>
    <row r="19" spans="4:33" ht="15" customHeight="1" x14ac:dyDescent="0.15">
      <c r="D19">
        <v>18</v>
      </c>
      <c r="E19" s="192" t="s">
        <v>209</v>
      </c>
      <c r="F19">
        <v>0.98</v>
      </c>
      <c r="G19">
        <v>0.8</v>
      </c>
      <c r="H19">
        <v>0.8</v>
      </c>
      <c r="I19">
        <v>0.8</v>
      </c>
      <c r="J19" s="114">
        <v>0.25</v>
      </c>
      <c r="K19" s="114">
        <v>0.05</v>
      </c>
    </row>
    <row r="20" spans="4:33" ht="15" customHeight="1" x14ac:dyDescent="0.15">
      <c r="D20">
        <v>19</v>
      </c>
      <c r="E20" s="192" t="s">
        <v>210</v>
      </c>
      <c r="F20">
        <v>0.98</v>
      </c>
      <c r="G20">
        <v>0.8</v>
      </c>
      <c r="H20">
        <v>0.8</v>
      </c>
      <c r="I20">
        <v>0.8</v>
      </c>
      <c r="J20" s="114">
        <v>0.25</v>
      </c>
      <c r="K20" s="114">
        <v>0.05</v>
      </c>
    </row>
    <row r="21" spans="4:33" ht="15" customHeight="1" x14ac:dyDescent="0.15">
      <c r="D21">
        <v>20</v>
      </c>
      <c r="E21" s="192" t="s">
        <v>211</v>
      </c>
      <c r="F21">
        <v>0.98</v>
      </c>
      <c r="G21">
        <v>0.8</v>
      </c>
      <c r="H21">
        <v>0.8</v>
      </c>
      <c r="I21">
        <v>0.8</v>
      </c>
      <c r="J21" s="114">
        <v>0.25</v>
      </c>
      <c r="K21" s="114">
        <v>0.05</v>
      </c>
    </row>
    <row r="22" spans="4:33" ht="15" customHeight="1" x14ac:dyDescent="0.15">
      <c r="D22">
        <v>21</v>
      </c>
      <c r="E22" s="192" t="s">
        <v>212</v>
      </c>
      <c r="F22">
        <v>0.98</v>
      </c>
      <c r="G22">
        <v>0.8</v>
      </c>
      <c r="H22">
        <v>0.8</v>
      </c>
      <c r="I22">
        <v>0.8</v>
      </c>
      <c r="J22" s="114">
        <v>0.25</v>
      </c>
      <c r="K22" s="114">
        <v>0.05</v>
      </c>
    </row>
    <row r="23" spans="4:33" ht="15" customHeight="1" x14ac:dyDescent="0.15">
      <c r="D23">
        <v>22</v>
      </c>
      <c r="E23" s="192" t="s">
        <v>213</v>
      </c>
      <c r="F23">
        <v>0.98</v>
      </c>
      <c r="G23">
        <v>0.8</v>
      </c>
      <c r="H23">
        <v>0.8</v>
      </c>
      <c r="I23">
        <v>0.8</v>
      </c>
      <c r="J23" s="114">
        <v>0.25</v>
      </c>
      <c r="K23" s="114">
        <v>0.05</v>
      </c>
    </row>
    <row r="24" spans="4:33" ht="15" customHeight="1" x14ac:dyDescent="0.15">
      <c r="D24">
        <v>23</v>
      </c>
      <c r="E24" s="192" t="s">
        <v>214</v>
      </c>
      <c r="F24">
        <v>0.98</v>
      </c>
      <c r="G24">
        <v>0.8</v>
      </c>
      <c r="H24">
        <v>0.8</v>
      </c>
      <c r="I24">
        <v>0.8</v>
      </c>
      <c r="J24" s="114">
        <v>0.25</v>
      </c>
      <c r="K24" s="114">
        <v>0.05</v>
      </c>
    </row>
    <row r="25" spans="4:33" ht="15" customHeight="1" x14ac:dyDescent="0.15">
      <c r="D25">
        <v>24</v>
      </c>
      <c r="E25" s="192" t="s">
        <v>215</v>
      </c>
      <c r="F25">
        <v>0.98</v>
      </c>
      <c r="G25">
        <v>0.8</v>
      </c>
      <c r="H25">
        <v>0.8</v>
      </c>
      <c r="I25">
        <v>0.8</v>
      </c>
      <c r="J25" s="114">
        <v>0.25</v>
      </c>
      <c r="K25" s="114">
        <v>0.05</v>
      </c>
    </row>
    <row r="26" spans="4:33" ht="15" customHeight="1" x14ac:dyDescent="0.15">
      <c r="D26">
        <v>25</v>
      </c>
      <c r="E26" s="192" t="s">
        <v>216</v>
      </c>
      <c r="F26">
        <v>0.98</v>
      </c>
      <c r="G26">
        <v>0.8</v>
      </c>
      <c r="H26">
        <v>0.8</v>
      </c>
      <c r="I26">
        <v>0.8</v>
      </c>
      <c r="J26" s="114">
        <v>0.25</v>
      </c>
      <c r="K26" s="114">
        <v>0.05</v>
      </c>
    </row>
    <row r="27" spans="4:33" ht="15" customHeight="1" x14ac:dyDescent="0.15">
      <c r="D27">
        <v>26</v>
      </c>
      <c r="E27" s="192" t="s">
        <v>217</v>
      </c>
      <c r="F27">
        <v>0.98</v>
      </c>
      <c r="G27">
        <v>0.8</v>
      </c>
      <c r="H27">
        <v>0.8</v>
      </c>
      <c r="I27">
        <v>0.8</v>
      </c>
      <c r="J27" s="114">
        <v>0.25</v>
      </c>
      <c r="K27" s="114">
        <v>0.05</v>
      </c>
    </row>
    <row r="28" spans="4:33" ht="15" customHeight="1" x14ac:dyDescent="0.15">
      <c r="D28">
        <v>27</v>
      </c>
      <c r="E28" s="192" t="s">
        <v>218</v>
      </c>
      <c r="F28">
        <v>0.98</v>
      </c>
      <c r="G28">
        <v>0.8</v>
      </c>
      <c r="H28">
        <v>0.8</v>
      </c>
      <c r="I28">
        <v>0.8</v>
      </c>
      <c r="J28" s="114">
        <v>0.25</v>
      </c>
      <c r="K28" s="114">
        <v>0.05</v>
      </c>
    </row>
    <row r="29" spans="4:33" ht="15" customHeight="1" x14ac:dyDescent="0.15">
      <c r="D29">
        <v>28</v>
      </c>
      <c r="E29" s="192" t="s">
        <v>219</v>
      </c>
      <c r="F29">
        <v>0.98</v>
      </c>
      <c r="G29">
        <v>0.8</v>
      </c>
      <c r="H29">
        <v>0.8</v>
      </c>
      <c r="I29">
        <v>0.8</v>
      </c>
      <c r="J29" s="114">
        <v>0.25</v>
      </c>
      <c r="K29" s="114">
        <v>0.05</v>
      </c>
      <c r="Y29"/>
      <c r="AC29"/>
      <c r="AG29"/>
    </row>
    <row r="30" spans="4:33" ht="15" customHeight="1" x14ac:dyDescent="0.15">
      <c r="D30">
        <v>29</v>
      </c>
      <c r="E30" s="192" t="s">
        <v>220</v>
      </c>
      <c r="F30">
        <v>0.98</v>
      </c>
      <c r="G30">
        <v>0.8</v>
      </c>
      <c r="H30">
        <v>0.8</v>
      </c>
      <c r="I30">
        <v>0.8</v>
      </c>
      <c r="J30" s="114">
        <v>0.25</v>
      </c>
      <c r="K30" s="114">
        <v>0.05</v>
      </c>
      <c r="Y30"/>
      <c r="AC30"/>
      <c r="AG30"/>
    </row>
    <row r="31" spans="4:33" ht="15" customHeight="1" x14ac:dyDescent="0.15">
      <c r="D31">
        <v>30</v>
      </c>
      <c r="E31" s="192" t="s">
        <v>221</v>
      </c>
      <c r="F31">
        <v>0.98</v>
      </c>
      <c r="G31">
        <v>0.8</v>
      </c>
      <c r="H31">
        <v>0.8</v>
      </c>
      <c r="I31">
        <v>0.8</v>
      </c>
      <c r="J31" s="114">
        <v>0.25</v>
      </c>
      <c r="K31" s="114">
        <v>0.05</v>
      </c>
      <c r="Y31"/>
      <c r="AC31"/>
      <c r="AG31"/>
    </row>
    <row r="32" spans="4:33" ht="15" customHeight="1" x14ac:dyDescent="0.15">
      <c r="D32">
        <v>31</v>
      </c>
      <c r="E32" s="192" t="s">
        <v>222</v>
      </c>
      <c r="F32">
        <v>0.98</v>
      </c>
      <c r="G32">
        <v>0.8</v>
      </c>
      <c r="H32">
        <v>0.8</v>
      </c>
      <c r="I32">
        <v>0.8</v>
      </c>
      <c r="J32" s="114">
        <v>0.25</v>
      </c>
      <c r="K32" s="114">
        <v>0.05</v>
      </c>
      <c r="Y32"/>
      <c r="AC32"/>
      <c r="AG32"/>
    </row>
    <row r="33" spans="4:33" ht="15" customHeight="1" x14ac:dyDescent="0.15">
      <c r="D33">
        <v>32</v>
      </c>
      <c r="E33" s="192" t="s">
        <v>223</v>
      </c>
      <c r="F33">
        <v>0.98</v>
      </c>
      <c r="G33">
        <v>0.8</v>
      </c>
      <c r="H33">
        <v>0.8</v>
      </c>
      <c r="I33">
        <v>0.8</v>
      </c>
      <c r="J33" s="114">
        <v>0.25</v>
      </c>
      <c r="K33" s="114">
        <v>0.05</v>
      </c>
      <c r="Y33"/>
      <c r="AC33"/>
      <c r="AG33"/>
    </row>
    <row r="34" spans="4:33" ht="15" customHeight="1" x14ac:dyDescent="0.15">
      <c r="D34">
        <v>33</v>
      </c>
      <c r="E34" s="192" t="s">
        <v>224</v>
      </c>
      <c r="F34">
        <v>0.98</v>
      </c>
      <c r="G34">
        <v>0.8</v>
      </c>
      <c r="H34">
        <v>0.8</v>
      </c>
      <c r="I34">
        <v>0.8</v>
      </c>
      <c r="J34" s="114">
        <v>0.25</v>
      </c>
      <c r="K34" s="114">
        <v>0.05</v>
      </c>
      <c r="Y34"/>
      <c r="AC34"/>
      <c r="AG34"/>
    </row>
    <row r="35" spans="4:33" ht="15" customHeight="1" x14ac:dyDescent="0.15">
      <c r="D35">
        <v>34</v>
      </c>
      <c r="E35" s="192" t="s">
        <v>225</v>
      </c>
      <c r="F35">
        <v>0.98</v>
      </c>
      <c r="G35">
        <v>0.8</v>
      </c>
      <c r="H35">
        <v>0.8</v>
      </c>
      <c r="I35">
        <v>0.8</v>
      </c>
      <c r="J35" s="114">
        <v>0.25</v>
      </c>
      <c r="K35" s="114">
        <v>0.05</v>
      </c>
      <c r="Y35"/>
      <c r="AC35"/>
      <c r="AG35"/>
    </row>
    <row r="36" spans="4:33" ht="15" customHeight="1" x14ac:dyDescent="0.15">
      <c r="D36">
        <v>35</v>
      </c>
      <c r="E36" s="192" t="s">
        <v>226</v>
      </c>
      <c r="F36">
        <v>0.98</v>
      </c>
      <c r="G36">
        <v>0.8</v>
      </c>
      <c r="H36">
        <v>0.8</v>
      </c>
      <c r="I36">
        <v>0</v>
      </c>
      <c r="J36" s="114">
        <v>0</v>
      </c>
      <c r="K36" s="114">
        <v>0</v>
      </c>
      <c r="Y36"/>
      <c r="AC36"/>
      <c r="AG36"/>
    </row>
    <row r="37" spans="4:33" ht="15" customHeight="1" x14ac:dyDescent="0.15">
      <c r="D37">
        <v>36</v>
      </c>
      <c r="E37" s="192" t="s">
        <v>227</v>
      </c>
      <c r="F37">
        <v>0.98</v>
      </c>
      <c r="G37">
        <v>0.8</v>
      </c>
      <c r="H37">
        <v>0.8</v>
      </c>
      <c r="I37">
        <v>0</v>
      </c>
      <c r="J37" s="114">
        <v>0</v>
      </c>
      <c r="K37" s="114">
        <v>0</v>
      </c>
      <c r="Y37"/>
      <c r="AC37"/>
      <c r="AG37"/>
    </row>
    <row r="38" spans="4:33" ht="15" customHeight="1" x14ac:dyDescent="0.15">
      <c r="D38">
        <v>37</v>
      </c>
      <c r="E38" s="192" t="s">
        <v>228</v>
      </c>
      <c r="F38">
        <v>0.98</v>
      </c>
      <c r="G38">
        <v>0.8</v>
      </c>
      <c r="H38">
        <v>0</v>
      </c>
      <c r="I38">
        <v>0</v>
      </c>
      <c r="J38" s="114">
        <v>0</v>
      </c>
      <c r="K38" s="114">
        <v>0</v>
      </c>
      <c r="Y38"/>
      <c r="AC38"/>
      <c r="AG38"/>
    </row>
    <row r="39" spans="4:33" ht="15" customHeight="1" x14ac:dyDescent="0.15">
      <c r="D39">
        <v>38</v>
      </c>
      <c r="E39" s="192" t="s">
        <v>229</v>
      </c>
      <c r="F39">
        <v>0.98</v>
      </c>
      <c r="G39">
        <v>0.8</v>
      </c>
      <c r="H39">
        <v>0</v>
      </c>
      <c r="I39">
        <v>0</v>
      </c>
      <c r="J39" s="114">
        <v>0</v>
      </c>
      <c r="K39" s="114">
        <v>0</v>
      </c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M40"/>
  <sheetViews>
    <sheetView workbookViewId="0">
      <selection activeCell="A3" sqref="A3"/>
    </sheetView>
  </sheetViews>
  <sheetFormatPr baseColWidth="10" defaultRowHeight="13" x14ac:dyDescent="0.15"/>
  <cols>
    <col min="1" max="1" width="41.83203125" style="112" bestFit="1" customWidth="1"/>
    <col min="2" max="35" width="3.83203125" style="112" customWidth="1"/>
    <col min="36" max="39" width="2.33203125" style="112" customWidth="1"/>
    <col min="40" max="16384" width="10.83203125" style="112"/>
  </cols>
  <sheetData>
    <row r="1" spans="1:39" x14ac:dyDescent="0.15">
      <c r="A1" s="63" t="s">
        <v>118</v>
      </c>
      <c r="B1" s="194" t="s">
        <v>192</v>
      </c>
      <c r="C1" s="194" t="s">
        <v>193</v>
      </c>
      <c r="D1" s="194" t="s">
        <v>194</v>
      </c>
      <c r="E1" s="194" t="s">
        <v>195</v>
      </c>
      <c r="F1" s="194" t="s">
        <v>196</v>
      </c>
      <c r="G1" s="194" t="s">
        <v>197</v>
      </c>
      <c r="H1" s="194" t="s">
        <v>198</v>
      </c>
      <c r="I1" s="194" t="s">
        <v>199</v>
      </c>
      <c r="J1" s="194" t="s">
        <v>200</v>
      </c>
      <c r="K1" s="194" t="s">
        <v>201</v>
      </c>
      <c r="L1" s="194" t="s">
        <v>202</v>
      </c>
      <c r="M1" s="194" t="s">
        <v>203</v>
      </c>
      <c r="N1" s="194" t="s">
        <v>204</v>
      </c>
      <c r="O1" s="194" t="s">
        <v>205</v>
      </c>
      <c r="P1" s="194" t="s">
        <v>206</v>
      </c>
      <c r="Q1" s="194" t="s">
        <v>207</v>
      </c>
      <c r="R1" s="194" t="s">
        <v>208</v>
      </c>
      <c r="S1" s="194" t="s">
        <v>209</v>
      </c>
      <c r="T1" s="194" t="s">
        <v>210</v>
      </c>
      <c r="U1" s="194" t="s">
        <v>211</v>
      </c>
      <c r="V1" s="194" t="s">
        <v>212</v>
      </c>
      <c r="W1" s="194" t="s">
        <v>213</v>
      </c>
      <c r="X1" s="194" t="s">
        <v>214</v>
      </c>
      <c r="Y1" s="194" t="s">
        <v>215</v>
      </c>
      <c r="Z1" s="194" t="s">
        <v>216</v>
      </c>
      <c r="AA1" s="194" t="s">
        <v>217</v>
      </c>
      <c r="AB1" s="194" t="s">
        <v>218</v>
      </c>
      <c r="AC1" s="194" t="s">
        <v>219</v>
      </c>
      <c r="AD1" s="194" t="s">
        <v>220</v>
      </c>
      <c r="AE1" s="194" t="s">
        <v>221</v>
      </c>
      <c r="AF1" s="194" t="s">
        <v>222</v>
      </c>
      <c r="AG1" s="194" t="s">
        <v>223</v>
      </c>
      <c r="AH1" s="194" t="s">
        <v>224</v>
      </c>
      <c r="AI1" s="194" t="s">
        <v>225</v>
      </c>
      <c r="AJ1" s="194" t="s">
        <v>226</v>
      </c>
      <c r="AK1" s="194" t="s">
        <v>227</v>
      </c>
      <c r="AL1" s="194" t="s">
        <v>228</v>
      </c>
      <c r="AM1" s="194" t="s">
        <v>229</v>
      </c>
    </row>
    <row r="2" spans="1:39" customFormat="1" x14ac:dyDescent="0.15">
      <c r="A2" s="193" t="s">
        <v>192</v>
      </c>
      <c r="B2" s="112">
        <v>0.8</v>
      </c>
      <c r="C2" s="112">
        <v>0</v>
      </c>
      <c r="D2" s="112">
        <v>0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</row>
    <row r="3" spans="1:39" customFormat="1" x14ac:dyDescent="0.15">
      <c r="A3" s="193" t="s">
        <v>193</v>
      </c>
      <c r="B3" s="112">
        <v>0.8</v>
      </c>
      <c r="C3" s="112">
        <v>0</v>
      </c>
      <c r="D3" s="112">
        <v>0</v>
      </c>
      <c r="E3" s="112">
        <v>0</v>
      </c>
      <c r="F3" s="112">
        <v>0</v>
      </c>
      <c r="G3" s="112">
        <v>0</v>
      </c>
      <c r="H3" s="112">
        <v>0</v>
      </c>
      <c r="I3" s="112">
        <v>0.8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</row>
    <row r="4" spans="1:39" customFormat="1" x14ac:dyDescent="0.15">
      <c r="A4" s="193" t="s">
        <v>194</v>
      </c>
      <c r="B4" s="112">
        <v>0.8</v>
      </c>
      <c r="C4" s="112">
        <v>0</v>
      </c>
      <c r="D4" s="112">
        <v>0</v>
      </c>
      <c r="E4" s="112">
        <v>0.8</v>
      </c>
      <c r="F4" s="112">
        <v>0</v>
      </c>
      <c r="G4" s="112">
        <v>0</v>
      </c>
      <c r="H4" s="112">
        <v>0</v>
      </c>
      <c r="I4" s="112">
        <v>0.8</v>
      </c>
      <c r="J4" s="112">
        <v>0</v>
      </c>
      <c r="K4" s="112">
        <v>0</v>
      </c>
      <c r="L4" s="112">
        <v>0</v>
      </c>
      <c r="M4" s="112">
        <v>0</v>
      </c>
      <c r="N4" s="112">
        <v>0.8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112">
        <v>0</v>
      </c>
      <c r="AM4" s="112">
        <v>0</v>
      </c>
    </row>
    <row r="5" spans="1:39" customFormat="1" x14ac:dyDescent="0.15">
      <c r="A5" s="193" t="s">
        <v>195</v>
      </c>
      <c r="B5" s="112">
        <v>0.8</v>
      </c>
      <c r="C5" s="112">
        <v>0</v>
      </c>
      <c r="D5" s="112">
        <v>0</v>
      </c>
      <c r="E5" s="112">
        <v>0.8</v>
      </c>
      <c r="F5" s="112">
        <v>0.8</v>
      </c>
      <c r="G5" s="112">
        <v>0</v>
      </c>
      <c r="H5" s="112">
        <v>0</v>
      </c>
      <c r="I5" s="112">
        <v>0.8</v>
      </c>
      <c r="J5" s="112">
        <v>0</v>
      </c>
      <c r="K5" s="112">
        <v>0</v>
      </c>
      <c r="L5" s="112">
        <v>0</v>
      </c>
      <c r="M5" s="112">
        <v>0</v>
      </c>
      <c r="N5" s="112">
        <v>0.8</v>
      </c>
      <c r="O5" s="112">
        <v>0</v>
      </c>
      <c r="P5" s="112">
        <v>0.8</v>
      </c>
      <c r="Q5" s="112">
        <v>0.8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112">
        <v>0</v>
      </c>
    </row>
    <row r="6" spans="1:39" customFormat="1" x14ac:dyDescent="0.15">
      <c r="A6" s="193" t="s">
        <v>196</v>
      </c>
      <c r="B6" s="112">
        <v>0.8</v>
      </c>
      <c r="C6" s="112">
        <v>0.8</v>
      </c>
      <c r="D6" s="112">
        <v>0</v>
      </c>
      <c r="E6" s="112">
        <v>0.8</v>
      </c>
      <c r="F6" s="112">
        <v>0.8</v>
      </c>
      <c r="G6" s="112">
        <v>0</v>
      </c>
      <c r="H6" s="112">
        <v>0</v>
      </c>
      <c r="I6" s="112">
        <v>0.8</v>
      </c>
      <c r="J6" s="112">
        <v>0</v>
      </c>
      <c r="K6" s="112">
        <v>0</v>
      </c>
      <c r="L6" s="112">
        <v>0</v>
      </c>
      <c r="M6" s="112">
        <v>0</v>
      </c>
      <c r="N6" s="112">
        <v>0.8</v>
      </c>
      <c r="O6" s="112">
        <v>0</v>
      </c>
      <c r="P6" s="112">
        <v>0.8</v>
      </c>
      <c r="Q6" s="112">
        <v>0.8</v>
      </c>
      <c r="R6" s="112">
        <v>0.8</v>
      </c>
      <c r="S6" s="112">
        <v>0</v>
      </c>
      <c r="T6" s="112">
        <v>0</v>
      </c>
      <c r="U6" s="112">
        <v>0</v>
      </c>
      <c r="V6" s="112">
        <v>0</v>
      </c>
      <c r="W6" s="112">
        <v>0.8</v>
      </c>
      <c r="X6" s="112">
        <v>0</v>
      </c>
      <c r="Y6" s="112">
        <v>0</v>
      </c>
      <c r="Z6" s="112">
        <v>0</v>
      </c>
      <c r="AA6" s="112">
        <v>0.8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</row>
    <row r="7" spans="1:39" customFormat="1" x14ac:dyDescent="0.15">
      <c r="A7" s="193" t="s">
        <v>197</v>
      </c>
      <c r="B7" s="112">
        <v>0</v>
      </c>
      <c r="C7" s="112">
        <v>0</v>
      </c>
      <c r="D7" s="112">
        <v>0</v>
      </c>
      <c r="E7" s="112">
        <v>0</v>
      </c>
      <c r="F7" s="112">
        <v>0</v>
      </c>
      <c r="G7" s="112">
        <v>0.8</v>
      </c>
      <c r="H7" s="112">
        <v>0</v>
      </c>
      <c r="I7" s="112">
        <v>0.8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112">
        <v>0</v>
      </c>
      <c r="U7" s="112">
        <v>0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</row>
    <row r="8" spans="1:39" customFormat="1" x14ac:dyDescent="0.15">
      <c r="A8" s="193" t="s">
        <v>198</v>
      </c>
      <c r="B8" s="112">
        <v>0</v>
      </c>
      <c r="C8" s="112">
        <v>0</v>
      </c>
      <c r="D8" s="112">
        <v>0</v>
      </c>
      <c r="E8" s="112">
        <v>0</v>
      </c>
      <c r="F8" s="112">
        <v>0</v>
      </c>
      <c r="G8" s="112">
        <v>0.8</v>
      </c>
      <c r="H8" s="112">
        <v>0</v>
      </c>
      <c r="I8" s="112">
        <v>0.8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112">
        <v>0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</row>
    <row r="9" spans="1:39" customFormat="1" x14ac:dyDescent="0.15">
      <c r="A9" s="193" t="s">
        <v>199</v>
      </c>
      <c r="B9" s="112">
        <v>0.8</v>
      </c>
      <c r="C9" s="112">
        <v>0</v>
      </c>
      <c r="D9" s="112">
        <v>0</v>
      </c>
      <c r="E9" s="112">
        <v>0.8</v>
      </c>
      <c r="F9" s="112">
        <v>0</v>
      </c>
      <c r="G9" s="112">
        <v>0.8</v>
      </c>
      <c r="H9" s="112">
        <v>0</v>
      </c>
      <c r="I9" s="112">
        <v>0.8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</row>
    <row r="10" spans="1:39" customFormat="1" x14ac:dyDescent="0.15">
      <c r="A10" s="193" t="s">
        <v>200</v>
      </c>
      <c r="B10" s="112">
        <v>0</v>
      </c>
      <c r="C10" s="112">
        <v>0</v>
      </c>
      <c r="D10" s="112">
        <v>0</v>
      </c>
      <c r="E10" s="112">
        <v>0.8</v>
      </c>
      <c r="F10" s="112">
        <v>0.8</v>
      </c>
      <c r="G10" s="112">
        <v>0.8</v>
      </c>
      <c r="H10" s="112">
        <v>0.8</v>
      </c>
      <c r="I10" s="112">
        <v>0.8</v>
      </c>
      <c r="J10" s="112">
        <v>0.8</v>
      </c>
      <c r="K10" s="112">
        <v>0</v>
      </c>
      <c r="L10" s="112">
        <v>0.8</v>
      </c>
      <c r="M10" s="112">
        <v>0.8</v>
      </c>
      <c r="N10" s="112">
        <v>0.8</v>
      </c>
      <c r="O10" s="112">
        <v>0</v>
      </c>
      <c r="P10" s="112">
        <v>0.8</v>
      </c>
      <c r="Q10" s="112">
        <v>0.8</v>
      </c>
      <c r="R10" s="112">
        <v>0.8</v>
      </c>
      <c r="S10" s="112">
        <v>0.8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112">
        <v>0</v>
      </c>
      <c r="AA10" s="112">
        <v>0.8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</row>
    <row r="11" spans="1:39" customFormat="1" x14ac:dyDescent="0.15">
      <c r="A11" s="193" t="s">
        <v>201</v>
      </c>
      <c r="B11" s="112">
        <v>0</v>
      </c>
      <c r="C11" s="112">
        <v>0</v>
      </c>
      <c r="D11" s="112">
        <v>0</v>
      </c>
      <c r="E11" s="112">
        <v>0.8</v>
      </c>
      <c r="F11" s="112">
        <v>0</v>
      </c>
      <c r="G11" s="112">
        <v>0.8</v>
      </c>
      <c r="H11" s="112">
        <v>0.8</v>
      </c>
      <c r="I11" s="112">
        <v>0.8</v>
      </c>
      <c r="J11" s="112">
        <v>0</v>
      </c>
      <c r="K11" s="112">
        <v>0</v>
      </c>
      <c r="L11" s="112">
        <v>0</v>
      </c>
      <c r="M11" s="112">
        <v>0.8</v>
      </c>
      <c r="N11" s="112">
        <v>0</v>
      </c>
      <c r="O11" s="112">
        <v>0</v>
      </c>
      <c r="P11" s="112">
        <v>0</v>
      </c>
      <c r="Q11" s="112">
        <v>0</v>
      </c>
      <c r="R11" s="112">
        <v>0</v>
      </c>
      <c r="S11" s="112">
        <v>0</v>
      </c>
      <c r="T11" s="112">
        <v>0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0.8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</row>
    <row r="12" spans="1:39" customFormat="1" x14ac:dyDescent="0.15">
      <c r="A12" s="193" t="s">
        <v>202</v>
      </c>
      <c r="B12" s="112">
        <v>0.8</v>
      </c>
      <c r="C12" s="112">
        <v>0</v>
      </c>
      <c r="D12" s="112">
        <v>0</v>
      </c>
      <c r="E12" s="112">
        <v>0</v>
      </c>
      <c r="F12" s="112">
        <v>0</v>
      </c>
      <c r="G12" s="112">
        <v>0.8</v>
      </c>
      <c r="H12" s="112">
        <v>0</v>
      </c>
      <c r="I12" s="112">
        <v>0.8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</row>
    <row r="13" spans="1:39" customFormat="1" x14ac:dyDescent="0.15">
      <c r="A13" s="193" t="s">
        <v>203</v>
      </c>
      <c r="B13" s="112">
        <v>0.8</v>
      </c>
      <c r="C13" s="112">
        <v>0</v>
      </c>
      <c r="D13" s="112">
        <v>0</v>
      </c>
      <c r="E13" s="112">
        <v>0.8</v>
      </c>
      <c r="F13" s="112">
        <v>0</v>
      </c>
      <c r="G13" s="112">
        <v>0.8</v>
      </c>
      <c r="H13" s="112">
        <v>0</v>
      </c>
      <c r="I13" s="112">
        <v>0.8</v>
      </c>
      <c r="J13" s="112">
        <v>0</v>
      </c>
      <c r="K13" s="112">
        <v>0</v>
      </c>
      <c r="L13" s="112">
        <v>0</v>
      </c>
      <c r="M13" s="112">
        <v>0</v>
      </c>
      <c r="N13" s="112">
        <v>0.8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0.8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</row>
    <row r="14" spans="1:39" customFormat="1" x14ac:dyDescent="0.15">
      <c r="A14" s="193" t="s">
        <v>204</v>
      </c>
      <c r="B14" s="112">
        <v>0.8</v>
      </c>
      <c r="C14" s="112">
        <v>0</v>
      </c>
      <c r="D14" s="112">
        <v>0</v>
      </c>
      <c r="E14" s="112">
        <v>0.8</v>
      </c>
      <c r="F14" s="112">
        <v>0</v>
      </c>
      <c r="G14" s="112">
        <v>0.8</v>
      </c>
      <c r="H14" s="112">
        <v>0</v>
      </c>
      <c r="I14" s="112">
        <v>0.8</v>
      </c>
      <c r="J14" s="112">
        <v>0</v>
      </c>
      <c r="K14" s="112">
        <v>0</v>
      </c>
      <c r="L14" s="112">
        <v>0</v>
      </c>
      <c r="M14" s="112">
        <v>0</v>
      </c>
      <c r="N14" s="112">
        <v>0.8</v>
      </c>
      <c r="O14" s="112">
        <v>0</v>
      </c>
      <c r="P14" s="112">
        <v>0.8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</row>
    <row r="15" spans="1:39" customFormat="1" x14ac:dyDescent="0.15">
      <c r="A15" s="193" t="s">
        <v>205</v>
      </c>
      <c r="B15" s="112">
        <v>0.8</v>
      </c>
      <c r="C15" s="112">
        <v>0</v>
      </c>
      <c r="D15" s="112">
        <v>0</v>
      </c>
      <c r="E15" s="112">
        <v>0.8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0.8</v>
      </c>
      <c r="P15" s="112">
        <v>0.8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</row>
    <row r="16" spans="1:39" customFormat="1" x14ac:dyDescent="0.15">
      <c r="A16" s="193" t="s">
        <v>206</v>
      </c>
      <c r="B16" s="112">
        <v>0.8</v>
      </c>
      <c r="C16" s="112">
        <v>0</v>
      </c>
      <c r="D16" s="112">
        <v>0</v>
      </c>
      <c r="E16" s="112">
        <v>0.8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0.8</v>
      </c>
      <c r="P16" s="112">
        <v>0.8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</row>
    <row r="17" spans="1:39" customFormat="1" x14ac:dyDescent="0.15">
      <c r="A17" s="193" t="s">
        <v>207</v>
      </c>
      <c r="B17" s="112">
        <v>0.8</v>
      </c>
      <c r="C17" s="112">
        <v>0</v>
      </c>
      <c r="D17" s="112">
        <v>0</v>
      </c>
      <c r="E17" s="112">
        <v>0.8</v>
      </c>
      <c r="F17" s="112">
        <v>0</v>
      </c>
      <c r="G17" s="112">
        <v>0</v>
      </c>
      <c r="H17" s="112">
        <v>0</v>
      </c>
      <c r="I17" s="112">
        <v>0.8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0.8</v>
      </c>
      <c r="P17" s="112">
        <v>0.8</v>
      </c>
      <c r="Q17" s="112">
        <v>0.8</v>
      </c>
      <c r="R17" s="112">
        <v>0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</row>
    <row r="18" spans="1:39" customFormat="1" x14ac:dyDescent="0.15">
      <c r="A18" s="193" t="s">
        <v>208</v>
      </c>
      <c r="B18" s="112">
        <v>0.8</v>
      </c>
      <c r="C18" s="112">
        <v>0</v>
      </c>
      <c r="D18" s="112">
        <v>0</v>
      </c>
      <c r="E18" s="112">
        <v>0.8</v>
      </c>
      <c r="F18" s="112">
        <v>0</v>
      </c>
      <c r="G18" s="112">
        <v>0</v>
      </c>
      <c r="H18" s="112">
        <v>0</v>
      </c>
      <c r="I18" s="112">
        <v>0.8</v>
      </c>
      <c r="J18" s="112">
        <v>0</v>
      </c>
      <c r="K18" s="112">
        <v>0</v>
      </c>
      <c r="L18" s="112">
        <v>0</v>
      </c>
      <c r="M18" s="112">
        <v>0</v>
      </c>
      <c r="N18" s="112">
        <v>0.8</v>
      </c>
      <c r="O18" s="112">
        <v>0.8</v>
      </c>
      <c r="P18" s="112">
        <v>0.8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</row>
    <row r="19" spans="1:39" customFormat="1" x14ac:dyDescent="0.15">
      <c r="A19" s="193" t="s">
        <v>209</v>
      </c>
      <c r="B19" s="112">
        <v>0.8</v>
      </c>
      <c r="C19" s="112">
        <v>0.8</v>
      </c>
      <c r="D19" s="112">
        <v>0</v>
      </c>
      <c r="E19" s="112">
        <v>0.8</v>
      </c>
      <c r="F19" s="112">
        <v>0</v>
      </c>
      <c r="G19" s="112">
        <v>0.8</v>
      </c>
      <c r="H19" s="112">
        <v>0</v>
      </c>
      <c r="I19" s="112">
        <v>0.8</v>
      </c>
      <c r="J19" s="112">
        <v>0</v>
      </c>
      <c r="K19" s="112">
        <v>0</v>
      </c>
      <c r="L19" s="112">
        <v>0</v>
      </c>
      <c r="M19" s="112">
        <v>0</v>
      </c>
      <c r="N19" s="112">
        <v>0.8</v>
      </c>
      <c r="O19" s="112">
        <v>0.8</v>
      </c>
      <c r="P19" s="112">
        <v>0.8</v>
      </c>
      <c r="Q19" s="112">
        <v>0.8</v>
      </c>
      <c r="R19" s="112">
        <v>0.8</v>
      </c>
      <c r="S19" s="112">
        <v>0.8</v>
      </c>
      <c r="T19" s="112">
        <v>0</v>
      </c>
      <c r="U19" s="112">
        <v>0.8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0.8</v>
      </c>
      <c r="AB19" s="112">
        <v>0.8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</row>
    <row r="20" spans="1:39" customFormat="1" x14ac:dyDescent="0.15">
      <c r="A20" s="193" t="s">
        <v>210</v>
      </c>
      <c r="B20" s="112">
        <v>0.8</v>
      </c>
      <c r="C20" s="112">
        <v>0</v>
      </c>
      <c r="D20" s="112">
        <v>0</v>
      </c>
      <c r="E20" s="112">
        <v>0.8</v>
      </c>
      <c r="F20" s="112">
        <v>0</v>
      </c>
      <c r="G20" s="112">
        <v>0</v>
      </c>
      <c r="H20" s="112">
        <v>0</v>
      </c>
      <c r="I20" s="112">
        <v>0.8</v>
      </c>
      <c r="J20" s="112">
        <v>0</v>
      </c>
      <c r="K20" s="112">
        <v>0</v>
      </c>
      <c r="L20" s="112">
        <v>0</v>
      </c>
      <c r="M20" s="112">
        <v>0</v>
      </c>
      <c r="N20" s="112">
        <v>0.8</v>
      </c>
      <c r="O20" s="112">
        <v>0.8</v>
      </c>
      <c r="P20" s="112">
        <v>0.8</v>
      </c>
      <c r="Q20" s="112">
        <v>0.8</v>
      </c>
      <c r="R20" s="112">
        <v>0.8</v>
      </c>
      <c r="S20" s="112">
        <v>0.8</v>
      </c>
      <c r="T20" s="112">
        <v>0</v>
      </c>
      <c r="U20" s="112">
        <v>0</v>
      </c>
      <c r="V20" s="112">
        <v>0</v>
      </c>
      <c r="W20" s="112">
        <v>0.8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</row>
    <row r="21" spans="1:39" customFormat="1" x14ac:dyDescent="0.15">
      <c r="A21" s="193" t="s">
        <v>211</v>
      </c>
      <c r="B21" s="112">
        <v>0.8</v>
      </c>
      <c r="C21" s="112">
        <v>0</v>
      </c>
      <c r="D21" s="112">
        <v>0</v>
      </c>
      <c r="E21" s="112">
        <v>0</v>
      </c>
      <c r="F21" s="112">
        <v>0</v>
      </c>
      <c r="G21" s="112">
        <v>0</v>
      </c>
      <c r="H21" s="112">
        <v>0</v>
      </c>
      <c r="I21" s="112">
        <v>0.8</v>
      </c>
      <c r="J21" s="112">
        <v>0</v>
      </c>
      <c r="K21" s="112">
        <v>0</v>
      </c>
      <c r="L21" s="112">
        <v>0</v>
      </c>
      <c r="M21" s="112">
        <v>0</v>
      </c>
      <c r="N21" s="112">
        <v>0.8</v>
      </c>
      <c r="O21" s="112">
        <v>0.8</v>
      </c>
      <c r="P21" s="112">
        <v>0.8</v>
      </c>
      <c r="Q21" s="112">
        <v>0.8</v>
      </c>
      <c r="R21" s="112">
        <v>0.8</v>
      </c>
      <c r="S21" s="112">
        <v>0.8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</row>
    <row r="22" spans="1:39" customFormat="1" x14ac:dyDescent="0.15">
      <c r="A22" s="193" t="s">
        <v>212</v>
      </c>
      <c r="B22" s="112">
        <v>0.8</v>
      </c>
      <c r="C22" s="112">
        <v>0</v>
      </c>
      <c r="D22" s="112">
        <v>0</v>
      </c>
      <c r="E22" s="112">
        <v>0</v>
      </c>
      <c r="F22" s="112">
        <v>0</v>
      </c>
      <c r="G22" s="112">
        <v>0.8</v>
      </c>
      <c r="H22" s="112">
        <v>0</v>
      </c>
      <c r="I22" s="112">
        <v>0.8</v>
      </c>
      <c r="J22" s="112">
        <v>0</v>
      </c>
      <c r="K22" s="112">
        <v>0</v>
      </c>
      <c r="L22" s="112">
        <v>0</v>
      </c>
      <c r="M22" s="112">
        <v>0</v>
      </c>
      <c r="N22" s="112">
        <v>0.8</v>
      </c>
      <c r="O22" s="112">
        <v>0</v>
      </c>
      <c r="P22" s="112">
        <v>0.8</v>
      </c>
      <c r="Q22" s="112">
        <v>0</v>
      </c>
      <c r="R22" s="112">
        <v>0.8</v>
      </c>
      <c r="S22" s="112">
        <v>0.8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0.8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</row>
    <row r="23" spans="1:39" customFormat="1" x14ac:dyDescent="0.15">
      <c r="A23" s="193" t="s">
        <v>213</v>
      </c>
      <c r="B23" s="112">
        <v>0.8</v>
      </c>
      <c r="C23" s="112">
        <v>0.8</v>
      </c>
      <c r="D23" s="112">
        <v>0</v>
      </c>
      <c r="E23" s="112">
        <v>0.8</v>
      </c>
      <c r="F23" s="112">
        <v>0.8</v>
      </c>
      <c r="G23" s="112">
        <v>0</v>
      </c>
      <c r="H23" s="112">
        <v>0</v>
      </c>
      <c r="I23" s="112">
        <v>0.8</v>
      </c>
      <c r="J23" s="112">
        <v>0</v>
      </c>
      <c r="K23" s="112">
        <v>0</v>
      </c>
      <c r="L23" s="112">
        <v>0</v>
      </c>
      <c r="M23" s="112">
        <v>0.8</v>
      </c>
      <c r="N23" s="112">
        <v>0.8</v>
      </c>
      <c r="O23" s="112">
        <v>0.8</v>
      </c>
      <c r="P23" s="112">
        <v>0.8</v>
      </c>
      <c r="Q23" s="112">
        <v>0.8</v>
      </c>
      <c r="R23" s="112">
        <v>0.8</v>
      </c>
      <c r="S23" s="112">
        <v>0.8</v>
      </c>
      <c r="T23" s="112">
        <v>0</v>
      </c>
      <c r="U23" s="112">
        <v>0</v>
      </c>
      <c r="V23" s="112">
        <v>0</v>
      </c>
      <c r="W23" s="112">
        <v>0.8</v>
      </c>
      <c r="X23" s="112">
        <v>0</v>
      </c>
      <c r="Y23" s="112">
        <v>0</v>
      </c>
      <c r="Z23" s="112">
        <v>0</v>
      </c>
      <c r="AA23" s="112">
        <v>0.8</v>
      </c>
      <c r="AB23" s="112">
        <v>0.8</v>
      </c>
      <c r="AC23" s="112">
        <v>0</v>
      </c>
      <c r="AD23" s="112">
        <v>0</v>
      </c>
      <c r="AE23" s="112">
        <v>0.8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</row>
    <row r="24" spans="1:39" customFormat="1" x14ac:dyDescent="0.15">
      <c r="A24" s="193" t="s">
        <v>214</v>
      </c>
      <c r="B24" s="112">
        <v>0.8</v>
      </c>
      <c r="C24" s="112">
        <v>0.8</v>
      </c>
      <c r="D24" s="112">
        <v>0</v>
      </c>
      <c r="E24" s="112">
        <v>0.8</v>
      </c>
      <c r="F24" s="112">
        <v>0.8</v>
      </c>
      <c r="G24" s="112">
        <v>0.8</v>
      </c>
      <c r="H24" s="112">
        <v>0.8</v>
      </c>
      <c r="I24" s="112">
        <v>0.8</v>
      </c>
      <c r="J24" s="112">
        <v>0.8</v>
      </c>
      <c r="K24" s="112">
        <v>0.8</v>
      </c>
      <c r="L24" s="112">
        <v>0.8</v>
      </c>
      <c r="M24" s="112">
        <v>0.8</v>
      </c>
      <c r="N24" s="112">
        <v>0.8</v>
      </c>
      <c r="O24" s="112">
        <v>0.8</v>
      </c>
      <c r="P24" s="112">
        <v>0.8</v>
      </c>
      <c r="Q24" s="112">
        <v>0.8</v>
      </c>
      <c r="R24" s="112">
        <v>0.8</v>
      </c>
      <c r="S24" s="112">
        <v>0.8</v>
      </c>
      <c r="T24" s="112">
        <v>0</v>
      </c>
      <c r="U24" s="112">
        <v>0.8</v>
      </c>
      <c r="V24" s="112">
        <v>0.8</v>
      </c>
      <c r="W24" s="112">
        <v>0.8</v>
      </c>
      <c r="X24" s="112">
        <v>0.8</v>
      </c>
      <c r="Y24" s="112">
        <v>0</v>
      </c>
      <c r="Z24" s="112">
        <v>0</v>
      </c>
      <c r="AA24" s="112">
        <v>0.8</v>
      </c>
      <c r="AB24" s="112">
        <v>0.8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</row>
    <row r="25" spans="1:39" customFormat="1" x14ac:dyDescent="0.15">
      <c r="A25" s="193" t="s">
        <v>215</v>
      </c>
      <c r="B25" s="112">
        <v>0.8</v>
      </c>
      <c r="C25" s="112">
        <v>0.8</v>
      </c>
      <c r="D25" s="112">
        <v>0</v>
      </c>
      <c r="E25" s="112">
        <v>0.8</v>
      </c>
      <c r="F25" s="112">
        <v>0.8</v>
      </c>
      <c r="G25" s="112">
        <v>0</v>
      </c>
      <c r="H25" s="112">
        <v>0</v>
      </c>
      <c r="I25" s="112">
        <v>0.8</v>
      </c>
      <c r="J25" s="112">
        <v>0</v>
      </c>
      <c r="K25" s="112">
        <v>0</v>
      </c>
      <c r="L25" s="112">
        <v>0</v>
      </c>
      <c r="M25" s="112">
        <v>0</v>
      </c>
      <c r="N25" s="112">
        <v>0.8</v>
      </c>
      <c r="O25" s="112">
        <v>0</v>
      </c>
      <c r="P25" s="112">
        <v>0.8</v>
      </c>
      <c r="Q25" s="112">
        <v>0.8</v>
      </c>
      <c r="R25" s="112">
        <v>0.8</v>
      </c>
      <c r="S25" s="112">
        <v>0.8</v>
      </c>
      <c r="T25" s="112">
        <v>0</v>
      </c>
      <c r="U25" s="112">
        <v>0.8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0.8</v>
      </c>
      <c r="AB25" s="112">
        <v>0.8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</row>
    <row r="26" spans="1:39" customFormat="1" x14ac:dyDescent="0.15">
      <c r="A26" s="193" t="s">
        <v>216</v>
      </c>
      <c r="B26" s="112">
        <v>0.8</v>
      </c>
      <c r="C26" s="112">
        <v>0</v>
      </c>
      <c r="D26" s="112">
        <v>0.8</v>
      </c>
      <c r="E26" s="112">
        <v>0.8</v>
      </c>
      <c r="F26" s="112">
        <v>0.8</v>
      </c>
      <c r="G26" s="112">
        <v>0</v>
      </c>
      <c r="H26" s="112">
        <v>0</v>
      </c>
      <c r="I26" s="112">
        <v>0.8</v>
      </c>
      <c r="J26" s="112">
        <v>0.8</v>
      </c>
      <c r="K26" s="112">
        <v>0.8</v>
      </c>
      <c r="L26" s="112">
        <v>0.8</v>
      </c>
      <c r="M26" s="112">
        <v>0.8</v>
      </c>
      <c r="N26" s="112">
        <v>0.8</v>
      </c>
      <c r="O26" s="112">
        <v>0.8</v>
      </c>
      <c r="P26" s="112">
        <v>0.8</v>
      </c>
      <c r="Q26" s="112">
        <v>0.8</v>
      </c>
      <c r="R26" s="112">
        <v>0.8</v>
      </c>
      <c r="S26" s="112">
        <v>0.8</v>
      </c>
      <c r="T26" s="112">
        <v>0.8</v>
      </c>
      <c r="U26" s="112">
        <v>0.8</v>
      </c>
      <c r="V26" s="112">
        <v>0.8</v>
      </c>
      <c r="W26" s="112">
        <v>0.8</v>
      </c>
      <c r="X26" s="112">
        <v>0.8</v>
      </c>
      <c r="Y26" s="112">
        <v>0</v>
      </c>
      <c r="Z26" s="112">
        <v>0.8</v>
      </c>
      <c r="AA26" s="112">
        <v>0.8</v>
      </c>
      <c r="AB26" s="112">
        <v>0.8</v>
      </c>
      <c r="AC26" s="112">
        <v>0.8</v>
      </c>
      <c r="AD26" s="112">
        <v>0</v>
      </c>
      <c r="AE26" s="112">
        <v>0.8</v>
      </c>
      <c r="AF26" s="112">
        <v>0</v>
      </c>
      <c r="AG26" s="112">
        <v>0</v>
      </c>
      <c r="AH26" s="112">
        <v>0</v>
      </c>
      <c r="AI26" s="112">
        <v>0</v>
      </c>
      <c r="AJ26" s="112">
        <v>0</v>
      </c>
      <c r="AK26" s="112">
        <v>0</v>
      </c>
      <c r="AL26" s="112">
        <v>0</v>
      </c>
      <c r="AM26" s="112">
        <v>0</v>
      </c>
    </row>
    <row r="27" spans="1:39" customFormat="1" x14ac:dyDescent="0.15">
      <c r="A27" s="193" t="s">
        <v>217</v>
      </c>
      <c r="B27" s="112">
        <v>0.8</v>
      </c>
      <c r="C27" s="112">
        <v>0</v>
      </c>
      <c r="D27" s="112">
        <v>0</v>
      </c>
      <c r="E27" s="112">
        <v>0.8</v>
      </c>
      <c r="F27" s="112">
        <v>0.8</v>
      </c>
      <c r="G27" s="112">
        <v>0.8</v>
      </c>
      <c r="H27" s="112">
        <v>0</v>
      </c>
      <c r="I27" s="112">
        <v>0.8</v>
      </c>
      <c r="J27" s="112">
        <v>0</v>
      </c>
      <c r="K27" s="112">
        <v>0</v>
      </c>
      <c r="L27" s="112">
        <v>0</v>
      </c>
      <c r="M27" s="112">
        <v>0.8</v>
      </c>
      <c r="N27" s="112">
        <v>0.8</v>
      </c>
      <c r="O27" s="112">
        <v>0.8</v>
      </c>
      <c r="P27" s="112">
        <v>0.8</v>
      </c>
      <c r="Q27" s="112">
        <v>0.8</v>
      </c>
      <c r="R27" s="112">
        <v>0.8</v>
      </c>
      <c r="S27" s="112">
        <v>0.8</v>
      </c>
      <c r="T27" s="112">
        <v>0</v>
      </c>
      <c r="U27" s="112">
        <v>0</v>
      </c>
      <c r="V27" s="112">
        <v>0</v>
      </c>
      <c r="W27" s="112">
        <v>0</v>
      </c>
      <c r="X27" s="112">
        <v>0</v>
      </c>
      <c r="Y27" s="112">
        <v>0</v>
      </c>
      <c r="Z27" s="112">
        <v>0</v>
      </c>
      <c r="AA27" s="112">
        <v>0.8</v>
      </c>
      <c r="AB27" s="112">
        <v>0</v>
      </c>
      <c r="AC27" s="112">
        <v>0</v>
      </c>
      <c r="AD27" s="112">
        <v>0</v>
      </c>
      <c r="AE27" s="112">
        <v>0</v>
      </c>
      <c r="AF27" s="112">
        <v>0</v>
      </c>
      <c r="AG27" s="112">
        <v>0</v>
      </c>
      <c r="AH27" s="112">
        <v>0</v>
      </c>
      <c r="AI27" s="112">
        <v>0</v>
      </c>
      <c r="AJ27" s="112">
        <v>0</v>
      </c>
      <c r="AK27" s="112">
        <v>0</v>
      </c>
      <c r="AL27" s="112">
        <v>0</v>
      </c>
      <c r="AM27" s="112">
        <v>0</v>
      </c>
    </row>
    <row r="28" spans="1:39" customFormat="1" x14ac:dyDescent="0.15">
      <c r="A28" s="193" t="s">
        <v>218</v>
      </c>
      <c r="B28" s="112">
        <v>0.8</v>
      </c>
      <c r="C28" s="112">
        <v>0</v>
      </c>
      <c r="D28" s="112">
        <v>0</v>
      </c>
      <c r="E28" s="112">
        <v>0.8</v>
      </c>
      <c r="F28" s="112">
        <v>0.8</v>
      </c>
      <c r="G28" s="112">
        <v>0</v>
      </c>
      <c r="H28" s="112">
        <v>0</v>
      </c>
      <c r="I28" s="112">
        <v>0.8</v>
      </c>
      <c r="J28" s="112">
        <v>0</v>
      </c>
      <c r="K28" s="112">
        <v>0</v>
      </c>
      <c r="L28" s="112">
        <v>0</v>
      </c>
      <c r="M28" s="112">
        <v>0</v>
      </c>
      <c r="N28" s="112">
        <v>0.8</v>
      </c>
      <c r="O28" s="112">
        <v>0.8</v>
      </c>
      <c r="P28" s="112">
        <v>0.8</v>
      </c>
      <c r="Q28" s="112">
        <v>0</v>
      </c>
      <c r="R28" s="112">
        <v>0.8</v>
      </c>
      <c r="S28" s="112">
        <v>0.8</v>
      </c>
      <c r="T28" s="112">
        <v>0</v>
      </c>
      <c r="U28" s="112">
        <v>0</v>
      </c>
      <c r="V28" s="112">
        <v>0</v>
      </c>
      <c r="W28" s="112">
        <v>0</v>
      </c>
      <c r="X28" s="112">
        <v>0</v>
      </c>
      <c r="Y28" s="112">
        <v>0</v>
      </c>
      <c r="Z28" s="112">
        <v>0</v>
      </c>
      <c r="AA28" s="112">
        <v>0</v>
      </c>
      <c r="AB28" s="112">
        <v>0.8</v>
      </c>
      <c r="AC28" s="112">
        <v>0</v>
      </c>
      <c r="AD28" s="112">
        <v>0</v>
      </c>
      <c r="AE28" s="112">
        <v>0</v>
      </c>
      <c r="AF28" s="112">
        <v>0</v>
      </c>
      <c r="AG28" s="112">
        <v>0</v>
      </c>
      <c r="AH28" s="112">
        <v>0</v>
      </c>
      <c r="AI28" s="112">
        <v>0</v>
      </c>
      <c r="AJ28" s="112">
        <v>0</v>
      </c>
      <c r="AK28" s="112">
        <v>0</v>
      </c>
      <c r="AL28" s="112">
        <v>0</v>
      </c>
      <c r="AM28" s="112">
        <v>0</v>
      </c>
    </row>
    <row r="29" spans="1:39" customFormat="1" x14ac:dyDescent="0.15">
      <c r="A29" s="193" t="s">
        <v>219</v>
      </c>
      <c r="B29" s="112">
        <v>0.8</v>
      </c>
      <c r="C29" s="112">
        <v>0.8</v>
      </c>
      <c r="D29" s="112">
        <v>0</v>
      </c>
      <c r="E29" s="112">
        <v>0.8</v>
      </c>
      <c r="F29" s="112">
        <v>0.8</v>
      </c>
      <c r="G29" s="112">
        <v>0</v>
      </c>
      <c r="H29" s="112">
        <v>0</v>
      </c>
      <c r="I29" s="112">
        <v>0</v>
      </c>
      <c r="J29" s="112">
        <v>0.8</v>
      </c>
      <c r="K29" s="112">
        <v>0</v>
      </c>
      <c r="L29" s="112">
        <v>0.8</v>
      </c>
      <c r="M29" s="112">
        <v>0.8</v>
      </c>
      <c r="N29" s="112">
        <v>0.8</v>
      </c>
      <c r="O29" s="112">
        <v>0</v>
      </c>
      <c r="P29" s="112">
        <v>0.8</v>
      </c>
      <c r="Q29" s="112">
        <v>0.8</v>
      </c>
      <c r="R29" s="112">
        <v>0.8</v>
      </c>
      <c r="S29" s="112">
        <v>0.8</v>
      </c>
      <c r="T29" s="112">
        <v>0</v>
      </c>
      <c r="U29" s="112">
        <v>0.8</v>
      </c>
      <c r="V29" s="112">
        <v>0</v>
      </c>
      <c r="W29" s="112">
        <v>0.8</v>
      </c>
      <c r="X29" s="112">
        <v>0</v>
      </c>
      <c r="Y29" s="112">
        <v>0.8</v>
      </c>
      <c r="Z29" s="112">
        <v>0.8</v>
      </c>
      <c r="AA29" s="112">
        <v>0.8</v>
      </c>
      <c r="AB29" s="112">
        <v>0.8</v>
      </c>
      <c r="AC29" s="112">
        <v>0.8</v>
      </c>
      <c r="AD29" s="112">
        <v>0</v>
      </c>
      <c r="AE29" s="112">
        <v>0.8</v>
      </c>
      <c r="AF29" s="112">
        <v>0.8</v>
      </c>
      <c r="AG29" s="112">
        <v>0</v>
      </c>
      <c r="AH29" s="112">
        <v>0</v>
      </c>
      <c r="AI29" s="112">
        <v>0</v>
      </c>
      <c r="AJ29" s="112">
        <v>0</v>
      </c>
      <c r="AK29" s="112">
        <v>0</v>
      </c>
      <c r="AL29" s="112">
        <v>0</v>
      </c>
      <c r="AM29" s="112">
        <v>0</v>
      </c>
    </row>
    <row r="30" spans="1:39" customFormat="1" x14ac:dyDescent="0.15">
      <c r="A30" s="193" t="s">
        <v>220</v>
      </c>
      <c r="B30" s="112">
        <v>0</v>
      </c>
      <c r="C30" s="112">
        <v>0</v>
      </c>
      <c r="D30" s="112">
        <v>0</v>
      </c>
      <c r="E30" s="112">
        <v>0.8</v>
      </c>
      <c r="F30" s="112">
        <v>0</v>
      </c>
      <c r="G30" s="112">
        <v>0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2">
        <v>0</v>
      </c>
      <c r="N30" s="112">
        <v>0</v>
      </c>
      <c r="O30" s="112">
        <v>0</v>
      </c>
      <c r="P30" s="112">
        <v>0.8</v>
      </c>
      <c r="Q30" s="112">
        <v>0</v>
      </c>
      <c r="R30" s="112">
        <v>0.8</v>
      </c>
      <c r="S30" s="112">
        <v>0.8</v>
      </c>
      <c r="T30" s="112">
        <v>0</v>
      </c>
      <c r="U30" s="112">
        <v>0</v>
      </c>
      <c r="V30" s="112">
        <v>0</v>
      </c>
      <c r="W30" s="112">
        <v>0.8</v>
      </c>
      <c r="X30" s="112">
        <v>0</v>
      </c>
      <c r="Y30" s="112">
        <v>0</v>
      </c>
      <c r="Z30" s="112">
        <v>0</v>
      </c>
      <c r="AA30" s="112">
        <v>0</v>
      </c>
      <c r="AB30" s="112">
        <v>0</v>
      </c>
      <c r="AC30" s="112">
        <v>0</v>
      </c>
      <c r="AD30" s="112">
        <v>0</v>
      </c>
      <c r="AE30" s="112">
        <v>0.8</v>
      </c>
      <c r="AF30" s="112">
        <v>0</v>
      </c>
      <c r="AG30" s="112">
        <v>0</v>
      </c>
      <c r="AH30" s="112">
        <v>0</v>
      </c>
      <c r="AI30" s="112">
        <v>0</v>
      </c>
      <c r="AJ30" s="112">
        <v>0</v>
      </c>
      <c r="AK30" s="112">
        <v>0</v>
      </c>
      <c r="AL30" s="112">
        <v>0</v>
      </c>
      <c r="AM30" s="112">
        <v>0</v>
      </c>
    </row>
    <row r="31" spans="1:39" customFormat="1" x14ac:dyDescent="0.15">
      <c r="A31" s="193" t="s">
        <v>221</v>
      </c>
      <c r="B31" s="112">
        <v>0.8</v>
      </c>
      <c r="C31" s="112">
        <v>0</v>
      </c>
      <c r="D31" s="112">
        <v>0</v>
      </c>
      <c r="E31" s="112">
        <v>0.8</v>
      </c>
      <c r="F31" s="112">
        <v>0.8</v>
      </c>
      <c r="G31" s="112">
        <v>0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2">
        <v>0.8</v>
      </c>
      <c r="Q31" s="112">
        <v>0.8</v>
      </c>
      <c r="R31" s="112">
        <v>0.8</v>
      </c>
      <c r="S31" s="112">
        <v>0.8</v>
      </c>
      <c r="T31" s="112">
        <v>0</v>
      </c>
      <c r="U31" s="112">
        <v>0.8</v>
      </c>
      <c r="V31" s="112">
        <v>0</v>
      </c>
      <c r="W31" s="112">
        <v>0.8</v>
      </c>
      <c r="X31" s="112">
        <v>0</v>
      </c>
      <c r="Y31" s="112">
        <v>0.8</v>
      </c>
      <c r="Z31" s="112">
        <v>0.8</v>
      </c>
      <c r="AA31" s="112">
        <v>0</v>
      </c>
      <c r="AB31" s="112">
        <v>0</v>
      </c>
      <c r="AC31" s="112">
        <v>0</v>
      </c>
      <c r="AD31" s="112">
        <v>0</v>
      </c>
      <c r="AE31" s="112">
        <v>0.8</v>
      </c>
      <c r="AF31" s="112">
        <v>0</v>
      </c>
      <c r="AG31" s="112">
        <v>0</v>
      </c>
      <c r="AH31" s="112">
        <v>0</v>
      </c>
      <c r="AI31" s="112">
        <v>0</v>
      </c>
      <c r="AJ31" s="112">
        <v>0</v>
      </c>
      <c r="AK31" s="112">
        <v>0</v>
      </c>
      <c r="AL31" s="112">
        <v>0</v>
      </c>
      <c r="AM31" s="112">
        <v>0</v>
      </c>
    </row>
    <row r="32" spans="1:39" customFormat="1" x14ac:dyDescent="0.15">
      <c r="A32" s="193" t="s">
        <v>222</v>
      </c>
      <c r="B32" s="112">
        <v>0</v>
      </c>
      <c r="C32" s="112">
        <v>0.8</v>
      </c>
      <c r="D32" s="112">
        <v>0.8</v>
      </c>
      <c r="E32" s="112">
        <v>0.8</v>
      </c>
      <c r="F32" s="112">
        <v>0.8</v>
      </c>
      <c r="G32" s="112">
        <v>0</v>
      </c>
      <c r="H32" s="112">
        <v>0</v>
      </c>
      <c r="I32" s="112">
        <v>0.8</v>
      </c>
      <c r="J32" s="112">
        <v>0.8</v>
      </c>
      <c r="K32" s="112">
        <v>0</v>
      </c>
      <c r="L32" s="112">
        <v>0.8</v>
      </c>
      <c r="M32" s="112">
        <v>0.8</v>
      </c>
      <c r="N32" s="112">
        <v>0</v>
      </c>
      <c r="O32" s="112">
        <v>0.8</v>
      </c>
      <c r="P32" s="112">
        <v>0.8</v>
      </c>
      <c r="Q32" s="112">
        <v>0.8</v>
      </c>
      <c r="R32" s="112">
        <v>0.8</v>
      </c>
      <c r="S32" s="112">
        <v>0.8</v>
      </c>
      <c r="T32" s="112">
        <v>0.8</v>
      </c>
      <c r="U32" s="112">
        <v>0.8</v>
      </c>
      <c r="V32" s="112">
        <v>0.8</v>
      </c>
      <c r="W32" s="112">
        <v>0.8</v>
      </c>
      <c r="X32" s="112">
        <v>0.8</v>
      </c>
      <c r="Y32" s="112">
        <v>0.8</v>
      </c>
      <c r="Z32" s="112">
        <v>0.8</v>
      </c>
      <c r="AA32" s="112">
        <v>0</v>
      </c>
      <c r="AB32" s="112">
        <v>0</v>
      </c>
      <c r="AC32" s="112">
        <v>0.8</v>
      </c>
      <c r="AD32" s="112">
        <v>0</v>
      </c>
      <c r="AE32" s="112">
        <v>0.8</v>
      </c>
      <c r="AF32" s="112">
        <v>0</v>
      </c>
      <c r="AG32" s="112">
        <v>0</v>
      </c>
      <c r="AH32" s="112">
        <v>0</v>
      </c>
      <c r="AI32" s="112">
        <v>0</v>
      </c>
      <c r="AJ32" s="112">
        <v>0</v>
      </c>
      <c r="AK32" s="112">
        <v>0</v>
      </c>
      <c r="AL32" s="112">
        <v>0</v>
      </c>
      <c r="AM32" s="112">
        <v>0</v>
      </c>
    </row>
    <row r="33" spans="1:39" x14ac:dyDescent="0.15">
      <c r="A33" s="193" t="s">
        <v>223</v>
      </c>
      <c r="B33" s="112">
        <v>0</v>
      </c>
      <c r="C33" s="112">
        <v>0.8</v>
      </c>
      <c r="D33" s="112">
        <v>0</v>
      </c>
      <c r="E33" s="112">
        <v>0</v>
      </c>
      <c r="F33" s="112">
        <v>0.8</v>
      </c>
      <c r="G33" s="112">
        <v>0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2">
        <v>0</v>
      </c>
      <c r="Q33" s="112">
        <v>0.8</v>
      </c>
      <c r="R33" s="112">
        <v>0.8</v>
      </c>
      <c r="S33" s="112">
        <v>0.8</v>
      </c>
      <c r="T33" s="112">
        <v>0.8</v>
      </c>
      <c r="U33" s="112">
        <v>0</v>
      </c>
      <c r="V33" s="112">
        <v>0</v>
      </c>
      <c r="W33" s="112">
        <v>0</v>
      </c>
      <c r="X33" s="112">
        <v>0</v>
      </c>
      <c r="Y33" s="112">
        <v>0</v>
      </c>
      <c r="Z33" s="112">
        <v>0.8</v>
      </c>
      <c r="AA33" s="112">
        <v>0</v>
      </c>
      <c r="AB33" s="112">
        <v>0</v>
      </c>
      <c r="AC33" s="112">
        <v>0</v>
      </c>
      <c r="AD33" s="112">
        <v>0</v>
      </c>
      <c r="AE33" s="112">
        <v>0.8</v>
      </c>
      <c r="AF33" s="112">
        <v>0.8</v>
      </c>
      <c r="AG33" s="112">
        <v>0</v>
      </c>
      <c r="AH33" s="112">
        <v>0</v>
      </c>
      <c r="AI33" s="112">
        <v>0</v>
      </c>
      <c r="AJ33" s="112">
        <v>0</v>
      </c>
      <c r="AK33" s="112">
        <v>0</v>
      </c>
      <c r="AL33" s="112">
        <v>0</v>
      </c>
      <c r="AM33" s="112">
        <v>0</v>
      </c>
    </row>
    <row r="34" spans="1:39" x14ac:dyDescent="0.15">
      <c r="A34" s="193" t="s">
        <v>224</v>
      </c>
      <c r="B34" s="112">
        <v>0</v>
      </c>
      <c r="C34" s="112">
        <v>0</v>
      </c>
      <c r="D34" s="112">
        <v>0</v>
      </c>
      <c r="E34" s="112">
        <v>0</v>
      </c>
      <c r="F34" s="112">
        <v>0.8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0.8</v>
      </c>
      <c r="T34" s="112">
        <v>0.8</v>
      </c>
      <c r="U34" s="112">
        <v>0.8</v>
      </c>
      <c r="V34" s="112">
        <v>0</v>
      </c>
      <c r="W34" s="112">
        <v>0.8</v>
      </c>
      <c r="X34" s="112">
        <v>0</v>
      </c>
      <c r="Y34" s="112">
        <v>0</v>
      </c>
      <c r="Z34" s="112">
        <v>0.8</v>
      </c>
      <c r="AA34" s="112">
        <v>0</v>
      </c>
      <c r="AB34" s="112">
        <v>0</v>
      </c>
      <c r="AC34" s="112">
        <v>0</v>
      </c>
      <c r="AD34" s="112">
        <v>0</v>
      </c>
      <c r="AE34" s="112">
        <v>0.8</v>
      </c>
      <c r="AF34" s="112">
        <v>0.8</v>
      </c>
      <c r="AG34" s="112">
        <v>0</v>
      </c>
      <c r="AH34" s="112">
        <v>0</v>
      </c>
      <c r="AI34" s="112">
        <v>0</v>
      </c>
      <c r="AJ34" s="112">
        <v>0</v>
      </c>
      <c r="AK34" s="112">
        <v>0</v>
      </c>
      <c r="AL34" s="112">
        <v>0</v>
      </c>
      <c r="AM34" s="112">
        <v>0</v>
      </c>
    </row>
    <row r="35" spans="1:39" x14ac:dyDescent="0.15">
      <c r="A35" s="193" t="s">
        <v>225</v>
      </c>
      <c r="B35" s="112">
        <v>0</v>
      </c>
      <c r="C35" s="112">
        <v>0</v>
      </c>
      <c r="D35" s="112">
        <v>0.8</v>
      </c>
      <c r="E35" s="112">
        <v>0</v>
      </c>
      <c r="F35" s="112">
        <v>0.8</v>
      </c>
      <c r="G35" s="112">
        <v>0</v>
      </c>
      <c r="H35" s="112">
        <v>0.8</v>
      </c>
      <c r="I35" s="112">
        <v>0</v>
      </c>
      <c r="J35" s="112">
        <v>0.8</v>
      </c>
      <c r="K35" s="112">
        <v>0.8</v>
      </c>
      <c r="L35" s="112">
        <v>0.8</v>
      </c>
      <c r="M35" s="112">
        <v>0.8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0.8</v>
      </c>
      <c r="T35" s="112">
        <v>0.8</v>
      </c>
      <c r="U35" s="112">
        <v>0.8</v>
      </c>
      <c r="V35" s="112">
        <v>0.8</v>
      </c>
      <c r="W35" s="112">
        <v>0</v>
      </c>
      <c r="X35" s="112">
        <v>0.8</v>
      </c>
      <c r="Y35" s="112">
        <v>0</v>
      </c>
      <c r="Z35" s="112">
        <v>0.8</v>
      </c>
      <c r="AA35" s="112">
        <v>0.8</v>
      </c>
      <c r="AB35" s="112">
        <v>0</v>
      </c>
      <c r="AC35" s="112">
        <v>0.8</v>
      </c>
      <c r="AD35" s="112">
        <v>0</v>
      </c>
      <c r="AE35" s="112">
        <v>0.8</v>
      </c>
      <c r="AF35" s="112">
        <v>0.8</v>
      </c>
      <c r="AG35" s="112">
        <v>0.8</v>
      </c>
      <c r="AH35" s="112">
        <v>0</v>
      </c>
      <c r="AI35" s="112">
        <v>0.8</v>
      </c>
      <c r="AJ35" s="112">
        <v>0</v>
      </c>
      <c r="AK35" s="112">
        <v>0</v>
      </c>
      <c r="AL35" s="112">
        <v>0</v>
      </c>
      <c r="AM35" s="112">
        <v>0</v>
      </c>
    </row>
    <row r="36" spans="1:39" x14ac:dyDescent="0.15">
      <c r="A36" s="193" t="s">
        <v>226</v>
      </c>
      <c r="B36" s="112">
        <v>0</v>
      </c>
      <c r="C36" s="112">
        <v>0</v>
      </c>
      <c r="D36" s="112">
        <v>0.8</v>
      </c>
      <c r="E36" s="112">
        <v>0</v>
      </c>
      <c r="F36" s="112">
        <v>0.8</v>
      </c>
      <c r="G36" s="112">
        <v>0</v>
      </c>
      <c r="H36" s="112">
        <v>0</v>
      </c>
      <c r="I36" s="112">
        <v>0</v>
      </c>
      <c r="J36" s="112">
        <v>0.8</v>
      </c>
      <c r="K36" s="112">
        <v>0.8</v>
      </c>
      <c r="L36" s="112">
        <v>0.8</v>
      </c>
      <c r="M36" s="112">
        <v>0.8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0.8</v>
      </c>
      <c r="W36" s="112">
        <v>0</v>
      </c>
      <c r="X36" s="112">
        <v>0.8</v>
      </c>
      <c r="Y36" s="112">
        <v>0</v>
      </c>
      <c r="Z36" s="112">
        <v>0.8</v>
      </c>
      <c r="AA36" s="112">
        <v>0</v>
      </c>
      <c r="AB36" s="112">
        <v>0</v>
      </c>
      <c r="AC36" s="112">
        <v>0.8</v>
      </c>
      <c r="AD36" s="112">
        <v>0</v>
      </c>
      <c r="AE36" s="112">
        <v>0.8</v>
      </c>
      <c r="AF36" s="112">
        <v>0.8</v>
      </c>
      <c r="AG36" s="112">
        <v>0.8</v>
      </c>
      <c r="AH36" s="112">
        <v>0.8</v>
      </c>
      <c r="AI36" s="112">
        <v>0.8</v>
      </c>
      <c r="AJ36" s="112">
        <v>0</v>
      </c>
      <c r="AK36" s="112">
        <v>0</v>
      </c>
      <c r="AL36" s="112">
        <v>0</v>
      </c>
      <c r="AM36" s="112">
        <v>0</v>
      </c>
    </row>
    <row r="37" spans="1:39" x14ac:dyDescent="0.15">
      <c r="A37" s="193" t="s">
        <v>227</v>
      </c>
      <c r="B37" s="112">
        <v>0</v>
      </c>
      <c r="C37" s="112">
        <v>0</v>
      </c>
      <c r="D37" s="112">
        <v>0.8</v>
      </c>
      <c r="E37" s="112">
        <v>0</v>
      </c>
      <c r="F37" s="112">
        <v>0.8</v>
      </c>
      <c r="G37" s="112">
        <v>0</v>
      </c>
      <c r="H37" s="112">
        <v>0</v>
      </c>
      <c r="I37" s="112">
        <v>0</v>
      </c>
      <c r="J37" s="112">
        <v>0</v>
      </c>
      <c r="K37" s="112">
        <v>0.8</v>
      </c>
      <c r="L37" s="112">
        <v>0.8</v>
      </c>
      <c r="M37" s="112">
        <v>0</v>
      </c>
      <c r="N37" s="112">
        <v>0</v>
      </c>
      <c r="O37" s="112">
        <v>0</v>
      </c>
      <c r="P37" s="112">
        <v>0</v>
      </c>
      <c r="Q37" s="112">
        <v>0.8</v>
      </c>
      <c r="R37" s="112">
        <v>0</v>
      </c>
      <c r="S37" s="112">
        <v>0.8</v>
      </c>
      <c r="T37" s="112">
        <v>0.8</v>
      </c>
      <c r="U37" s="112">
        <v>0.8</v>
      </c>
      <c r="V37" s="112">
        <v>0.8</v>
      </c>
      <c r="W37" s="112">
        <v>0.8</v>
      </c>
      <c r="X37" s="112">
        <v>0.8</v>
      </c>
      <c r="Y37" s="112">
        <v>0.8</v>
      </c>
      <c r="Z37" s="112">
        <v>0.8</v>
      </c>
      <c r="AA37" s="112">
        <v>0</v>
      </c>
      <c r="AB37" s="112">
        <v>0</v>
      </c>
      <c r="AC37" s="112">
        <v>0.8</v>
      </c>
      <c r="AD37" s="112">
        <v>0.8</v>
      </c>
      <c r="AE37" s="112">
        <v>0.8</v>
      </c>
      <c r="AF37" s="112">
        <v>0.8</v>
      </c>
      <c r="AG37" s="112">
        <v>0.8</v>
      </c>
      <c r="AH37" s="112">
        <v>0</v>
      </c>
      <c r="AI37" s="112">
        <v>0</v>
      </c>
      <c r="AJ37" s="112">
        <v>0</v>
      </c>
      <c r="AK37" s="112">
        <v>0</v>
      </c>
      <c r="AL37" s="112">
        <v>0</v>
      </c>
      <c r="AM37" s="112">
        <v>0</v>
      </c>
    </row>
    <row r="38" spans="1:39" x14ac:dyDescent="0.15">
      <c r="A38" s="193" t="s">
        <v>228</v>
      </c>
      <c r="B38" s="112">
        <v>0</v>
      </c>
      <c r="C38" s="112">
        <v>0</v>
      </c>
      <c r="D38" s="112">
        <v>0.8</v>
      </c>
      <c r="E38" s="112">
        <v>0.8</v>
      </c>
      <c r="F38" s="112">
        <v>0.8</v>
      </c>
      <c r="G38" s="112">
        <v>0</v>
      </c>
      <c r="H38" s="112">
        <v>0</v>
      </c>
      <c r="I38" s="112">
        <v>0</v>
      </c>
      <c r="J38" s="112">
        <v>0.8</v>
      </c>
      <c r="K38" s="112">
        <v>0.8</v>
      </c>
      <c r="L38" s="112">
        <v>0</v>
      </c>
      <c r="M38" s="112">
        <v>0.8</v>
      </c>
      <c r="N38" s="112">
        <v>0.8</v>
      </c>
      <c r="O38" s="112">
        <v>0</v>
      </c>
      <c r="P38" s="112">
        <v>0</v>
      </c>
      <c r="Q38" s="112">
        <v>0</v>
      </c>
      <c r="R38" s="112">
        <v>0</v>
      </c>
      <c r="S38" s="112">
        <v>0.8</v>
      </c>
      <c r="T38" s="112">
        <v>0.8</v>
      </c>
      <c r="U38" s="112">
        <v>0</v>
      </c>
      <c r="V38" s="112">
        <v>0</v>
      </c>
      <c r="W38" s="112">
        <v>0.8</v>
      </c>
      <c r="X38" s="112">
        <v>0.8</v>
      </c>
      <c r="Y38" s="112">
        <v>0.8</v>
      </c>
      <c r="Z38" s="112">
        <v>0.8</v>
      </c>
      <c r="AA38" s="112">
        <v>0.8</v>
      </c>
      <c r="AB38" s="112">
        <v>0</v>
      </c>
      <c r="AC38" s="112">
        <v>0.8</v>
      </c>
      <c r="AD38" s="112">
        <v>0.8</v>
      </c>
      <c r="AE38" s="112">
        <v>0.8</v>
      </c>
      <c r="AF38" s="112">
        <v>0.8</v>
      </c>
      <c r="AG38" s="112">
        <v>0.8</v>
      </c>
      <c r="AH38" s="112">
        <v>0.8</v>
      </c>
      <c r="AI38" s="112">
        <v>0.8</v>
      </c>
      <c r="AJ38" s="112">
        <v>0</v>
      </c>
      <c r="AK38" s="112">
        <v>0</v>
      </c>
      <c r="AL38" s="112">
        <v>0</v>
      </c>
      <c r="AM38" s="112">
        <v>0</v>
      </c>
    </row>
    <row r="39" spans="1:39" x14ac:dyDescent="0.15">
      <c r="A39" s="193" t="s">
        <v>229</v>
      </c>
      <c r="B39" s="112">
        <v>0</v>
      </c>
      <c r="C39" s="112">
        <v>0</v>
      </c>
      <c r="D39" s="112">
        <v>0</v>
      </c>
      <c r="E39" s="112">
        <v>0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0</v>
      </c>
      <c r="AF39" s="112">
        <v>0</v>
      </c>
      <c r="AG39" s="112">
        <v>0</v>
      </c>
      <c r="AH39" s="112">
        <v>0</v>
      </c>
      <c r="AI39" s="112">
        <v>0</v>
      </c>
      <c r="AJ39" s="112">
        <v>0</v>
      </c>
      <c r="AK39" s="112">
        <v>0</v>
      </c>
      <c r="AL39" s="112">
        <v>0</v>
      </c>
      <c r="AM39" s="112">
        <v>0</v>
      </c>
    </row>
    <row r="40" spans="1:39" x14ac:dyDescent="0.15">
      <c r="A40" s="193" t="s">
        <v>247</v>
      </c>
      <c r="B40" s="112">
        <v>0</v>
      </c>
      <c r="C40" s="112">
        <v>0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M40"/>
  <sheetViews>
    <sheetView workbookViewId="0">
      <selection activeCell="A3" sqref="A3"/>
    </sheetView>
  </sheetViews>
  <sheetFormatPr baseColWidth="10" defaultRowHeight="13" x14ac:dyDescent="0.15"/>
  <cols>
    <col min="1" max="1" width="41.83203125" style="112" bestFit="1" customWidth="1"/>
    <col min="2" max="39" width="2.33203125" style="112" customWidth="1"/>
    <col min="40" max="16384" width="10.83203125" style="112"/>
  </cols>
  <sheetData>
    <row r="1" spans="1:39" x14ac:dyDescent="0.15">
      <c r="A1" s="63" t="s">
        <v>139</v>
      </c>
      <c r="B1" s="196" t="s">
        <v>192</v>
      </c>
      <c r="C1" s="196" t="s">
        <v>193</v>
      </c>
      <c r="D1" s="196" t="s">
        <v>194</v>
      </c>
      <c r="E1" s="196" t="s">
        <v>195</v>
      </c>
      <c r="F1" s="196" t="s">
        <v>196</v>
      </c>
      <c r="G1" s="196" t="s">
        <v>197</v>
      </c>
      <c r="H1" s="196" t="s">
        <v>198</v>
      </c>
      <c r="I1" s="196" t="s">
        <v>199</v>
      </c>
      <c r="J1" s="196" t="s">
        <v>200</v>
      </c>
      <c r="K1" s="196" t="s">
        <v>201</v>
      </c>
      <c r="L1" s="196" t="s">
        <v>202</v>
      </c>
      <c r="M1" s="196" t="s">
        <v>203</v>
      </c>
      <c r="N1" s="196" t="s">
        <v>204</v>
      </c>
      <c r="O1" s="196" t="s">
        <v>205</v>
      </c>
      <c r="P1" s="196" t="s">
        <v>206</v>
      </c>
      <c r="Q1" s="196" t="s">
        <v>207</v>
      </c>
      <c r="R1" s="196" t="s">
        <v>208</v>
      </c>
      <c r="S1" s="196" t="s">
        <v>209</v>
      </c>
      <c r="T1" s="196" t="s">
        <v>210</v>
      </c>
      <c r="U1" s="196" t="s">
        <v>211</v>
      </c>
      <c r="V1" s="196" t="s">
        <v>212</v>
      </c>
      <c r="W1" s="196" t="s">
        <v>213</v>
      </c>
      <c r="X1" s="196" t="s">
        <v>214</v>
      </c>
      <c r="Y1" s="196" t="s">
        <v>215</v>
      </c>
      <c r="Z1" s="196" t="s">
        <v>216</v>
      </c>
      <c r="AA1" s="196" t="s">
        <v>217</v>
      </c>
      <c r="AB1" s="196" t="s">
        <v>218</v>
      </c>
      <c r="AC1" s="196" t="s">
        <v>219</v>
      </c>
      <c r="AD1" s="196" t="s">
        <v>220</v>
      </c>
      <c r="AE1" s="196" t="s">
        <v>221</v>
      </c>
      <c r="AF1" s="196" t="s">
        <v>222</v>
      </c>
      <c r="AG1" s="196" t="s">
        <v>223</v>
      </c>
      <c r="AH1" s="196" t="s">
        <v>224</v>
      </c>
      <c r="AI1" s="196" t="s">
        <v>225</v>
      </c>
      <c r="AJ1" s="196" t="s">
        <v>226</v>
      </c>
      <c r="AK1" s="196" t="s">
        <v>227</v>
      </c>
      <c r="AL1" s="196" t="s">
        <v>228</v>
      </c>
      <c r="AM1" s="196" t="s">
        <v>229</v>
      </c>
    </row>
    <row r="2" spans="1:39" customFormat="1" x14ac:dyDescent="0.15">
      <c r="A2" s="195" t="s">
        <v>192</v>
      </c>
      <c r="B2" s="112">
        <v>1</v>
      </c>
      <c r="C2" s="112">
        <v>0</v>
      </c>
      <c r="D2" s="112">
        <v>0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</row>
    <row r="3" spans="1:39" customFormat="1" x14ac:dyDescent="0.15">
      <c r="A3" s="195" t="s">
        <v>193</v>
      </c>
      <c r="B3" s="112">
        <v>1</v>
      </c>
      <c r="C3" s="112">
        <v>0</v>
      </c>
      <c r="D3" s="112">
        <v>0</v>
      </c>
      <c r="E3" s="112">
        <v>0</v>
      </c>
      <c r="F3" s="112">
        <v>0</v>
      </c>
      <c r="G3" s="112">
        <v>0</v>
      </c>
      <c r="H3" s="112">
        <v>0</v>
      </c>
      <c r="I3" s="112">
        <v>1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</row>
    <row r="4" spans="1:39" customFormat="1" x14ac:dyDescent="0.15">
      <c r="A4" s="195" t="s">
        <v>194</v>
      </c>
      <c r="B4" s="112">
        <v>1</v>
      </c>
      <c r="C4" s="112">
        <v>0</v>
      </c>
      <c r="D4" s="112">
        <v>0</v>
      </c>
      <c r="E4" s="112">
        <v>1</v>
      </c>
      <c r="F4" s="112">
        <v>0</v>
      </c>
      <c r="G4" s="112">
        <v>0</v>
      </c>
      <c r="H4" s="112">
        <v>0</v>
      </c>
      <c r="I4" s="112">
        <v>1</v>
      </c>
      <c r="J4" s="112">
        <v>0</v>
      </c>
      <c r="K4" s="112">
        <v>0</v>
      </c>
      <c r="L4" s="112">
        <v>0</v>
      </c>
      <c r="M4" s="112">
        <v>0</v>
      </c>
      <c r="N4" s="112">
        <v>1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112">
        <v>0</v>
      </c>
      <c r="AM4" s="112">
        <v>0</v>
      </c>
    </row>
    <row r="5" spans="1:39" customFormat="1" x14ac:dyDescent="0.15">
      <c r="A5" s="195" t="s">
        <v>195</v>
      </c>
      <c r="B5" s="112">
        <v>1</v>
      </c>
      <c r="C5" s="112">
        <v>0</v>
      </c>
      <c r="D5" s="112">
        <v>0</v>
      </c>
      <c r="E5" s="112">
        <v>1</v>
      </c>
      <c r="F5" s="112">
        <v>1</v>
      </c>
      <c r="G5" s="112">
        <v>0</v>
      </c>
      <c r="H5" s="112">
        <v>0</v>
      </c>
      <c r="I5" s="112">
        <v>1</v>
      </c>
      <c r="J5" s="112">
        <v>0</v>
      </c>
      <c r="K5" s="112">
        <v>0</v>
      </c>
      <c r="L5" s="112">
        <v>0</v>
      </c>
      <c r="M5" s="112">
        <v>0</v>
      </c>
      <c r="N5" s="112">
        <v>1</v>
      </c>
      <c r="O5" s="112">
        <v>0</v>
      </c>
      <c r="P5" s="112">
        <v>1</v>
      </c>
      <c r="Q5" s="112">
        <v>1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112">
        <v>0</v>
      </c>
    </row>
    <row r="6" spans="1:39" customFormat="1" x14ac:dyDescent="0.15">
      <c r="A6" s="195" t="s">
        <v>196</v>
      </c>
      <c r="B6" s="112">
        <v>1</v>
      </c>
      <c r="C6" s="112">
        <v>1</v>
      </c>
      <c r="D6" s="112">
        <v>0</v>
      </c>
      <c r="E6" s="112">
        <v>1</v>
      </c>
      <c r="F6" s="112">
        <v>1</v>
      </c>
      <c r="G6" s="112">
        <v>0</v>
      </c>
      <c r="H6" s="112">
        <v>0</v>
      </c>
      <c r="I6" s="112">
        <v>1</v>
      </c>
      <c r="J6" s="112">
        <v>0</v>
      </c>
      <c r="K6" s="112">
        <v>0</v>
      </c>
      <c r="L6" s="112">
        <v>0</v>
      </c>
      <c r="M6" s="112">
        <v>0</v>
      </c>
      <c r="N6" s="112">
        <v>1</v>
      </c>
      <c r="O6" s="112">
        <v>0</v>
      </c>
      <c r="P6" s="112">
        <v>1</v>
      </c>
      <c r="Q6" s="112">
        <v>1</v>
      </c>
      <c r="R6" s="112">
        <v>1</v>
      </c>
      <c r="S6" s="112">
        <v>0</v>
      </c>
      <c r="T6" s="112">
        <v>0</v>
      </c>
      <c r="U6" s="112">
        <v>0</v>
      </c>
      <c r="V6" s="112">
        <v>0</v>
      </c>
      <c r="W6" s="112">
        <v>1</v>
      </c>
      <c r="X6" s="112">
        <v>0</v>
      </c>
      <c r="Y6" s="112">
        <v>0</v>
      </c>
      <c r="Z6" s="112">
        <v>0</v>
      </c>
      <c r="AA6" s="112">
        <v>1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</row>
    <row r="7" spans="1:39" customFormat="1" x14ac:dyDescent="0.15">
      <c r="A7" s="195" t="s">
        <v>197</v>
      </c>
      <c r="B7" s="112">
        <v>0</v>
      </c>
      <c r="C7" s="112">
        <v>0</v>
      </c>
      <c r="D7" s="112">
        <v>0</v>
      </c>
      <c r="E7" s="112">
        <v>0</v>
      </c>
      <c r="F7" s="112">
        <v>0</v>
      </c>
      <c r="G7" s="112">
        <v>1</v>
      </c>
      <c r="H7" s="112">
        <v>0</v>
      </c>
      <c r="I7" s="112">
        <v>1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112">
        <v>0</v>
      </c>
      <c r="U7" s="112">
        <v>0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</row>
    <row r="8" spans="1:39" customFormat="1" x14ac:dyDescent="0.15">
      <c r="A8" s="195" t="s">
        <v>198</v>
      </c>
      <c r="B8" s="112">
        <v>0</v>
      </c>
      <c r="C8" s="112">
        <v>0</v>
      </c>
      <c r="D8" s="112">
        <v>0</v>
      </c>
      <c r="E8" s="112">
        <v>0</v>
      </c>
      <c r="F8" s="112">
        <v>0</v>
      </c>
      <c r="G8" s="112">
        <v>1</v>
      </c>
      <c r="H8" s="112">
        <v>0</v>
      </c>
      <c r="I8" s="112">
        <v>1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112">
        <v>0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</row>
    <row r="9" spans="1:39" customFormat="1" x14ac:dyDescent="0.15">
      <c r="A9" s="195" t="s">
        <v>199</v>
      </c>
      <c r="B9" s="112">
        <v>1</v>
      </c>
      <c r="C9" s="112">
        <v>0</v>
      </c>
      <c r="D9" s="112">
        <v>0</v>
      </c>
      <c r="E9" s="112">
        <v>1</v>
      </c>
      <c r="F9" s="112">
        <v>0</v>
      </c>
      <c r="G9" s="112">
        <v>1</v>
      </c>
      <c r="H9" s="112">
        <v>0</v>
      </c>
      <c r="I9" s="112">
        <v>1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</row>
    <row r="10" spans="1:39" customFormat="1" x14ac:dyDescent="0.15">
      <c r="A10" s="195" t="s">
        <v>200</v>
      </c>
      <c r="B10" s="112">
        <v>0</v>
      </c>
      <c r="C10" s="112">
        <v>0</v>
      </c>
      <c r="D10" s="112">
        <v>0</v>
      </c>
      <c r="E10" s="112">
        <v>1</v>
      </c>
      <c r="F10" s="112">
        <v>1</v>
      </c>
      <c r="G10" s="112">
        <v>1</v>
      </c>
      <c r="H10" s="112">
        <v>1</v>
      </c>
      <c r="I10" s="112">
        <v>1</v>
      </c>
      <c r="J10" s="112">
        <v>1</v>
      </c>
      <c r="K10" s="112">
        <v>0</v>
      </c>
      <c r="L10" s="112">
        <v>1</v>
      </c>
      <c r="M10" s="112">
        <v>1</v>
      </c>
      <c r="N10" s="112">
        <v>1</v>
      </c>
      <c r="O10" s="112">
        <v>0</v>
      </c>
      <c r="P10" s="112">
        <v>1</v>
      </c>
      <c r="Q10" s="112">
        <v>1</v>
      </c>
      <c r="R10" s="112">
        <v>1</v>
      </c>
      <c r="S10" s="112">
        <v>1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112">
        <v>0</v>
      </c>
      <c r="AA10" s="112">
        <v>1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</row>
    <row r="11" spans="1:39" customFormat="1" x14ac:dyDescent="0.15">
      <c r="A11" s="195" t="s">
        <v>201</v>
      </c>
      <c r="B11" s="112">
        <v>0</v>
      </c>
      <c r="C11" s="112">
        <v>0</v>
      </c>
      <c r="D11" s="112">
        <v>0</v>
      </c>
      <c r="E11" s="112">
        <v>1</v>
      </c>
      <c r="F11" s="112">
        <v>0</v>
      </c>
      <c r="G11" s="112">
        <v>1</v>
      </c>
      <c r="H11" s="112">
        <v>1</v>
      </c>
      <c r="I11" s="112">
        <v>1</v>
      </c>
      <c r="J11" s="112">
        <v>0</v>
      </c>
      <c r="K11" s="112">
        <v>0</v>
      </c>
      <c r="L11" s="112">
        <v>0</v>
      </c>
      <c r="M11" s="112">
        <v>1</v>
      </c>
      <c r="N11" s="112">
        <v>0</v>
      </c>
      <c r="O11" s="112">
        <v>0</v>
      </c>
      <c r="P11" s="112">
        <v>0</v>
      </c>
      <c r="Q11" s="112">
        <v>0</v>
      </c>
      <c r="R11" s="112">
        <v>0</v>
      </c>
      <c r="S11" s="112">
        <v>0</v>
      </c>
      <c r="T11" s="112">
        <v>0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1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</row>
    <row r="12" spans="1:39" customFormat="1" x14ac:dyDescent="0.15">
      <c r="A12" s="195" t="s">
        <v>202</v>
      </c>
      <c r="B12" s="112">
        <v>1</v>
      </c>
      <c r="C12" s="112">
        <v>0</v>
      </c>
      <c r="D12" s="112">
        <v>0</v>
      </c>
      <c r="E12" s="112">
        <v>0</v>
      </c>
      <c r="F12" s="112">
        <v>0</v>
      </c>
      <c r="G12" s="112">
        <v>1</v>
      </c>
      <c r="H12" s="112">
        <v>0</v>
      </c>
      <c r="I12" s="112">
        <v>1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</row>
    <row r="13" spans="1:39" customFormat="1" x14ac:dyDescent="0.15">
      <c r="A13" s="195" t="s">
        <v>203</v>
      </c>
      <c r="B13" s="112">
        <v>1</v>
      </c>
      <c r="C13" s="112">
        <v>0</v>
      </c>
      <c r="D13" s="112">
        <v>0</v>
      </c>
      <c r="E13" s="112">
        <v>1</v>
      </c>
      <c r="F13" s="112">
        <v>0</v>
      </c>
      <c r="G13" s="112">
        <v>1</v>
      </c>
      <c r="H13" s="112">
        <v>0</v>
      </c>
      <c r="I13" s="112">
        <v>1</v>
      </c>
      <c r="J13" s="112">
        <v>0</v>
      </c>
      <c r="K13" s="112">
        <v>0</v>
      </c>
      <c r="L13" s="112">
        <v>0</v>
      </c>
      <c r="M13" s="112">
        <v>0</v>
      </c>
      <c r="N13" s="112">
        <v>1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1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</row>
    <row r="14" spans="1:39" customFormat="1" x14ac:dyDescent="0.15">
      <c r="A14" s="195" t="s">
        <v>204</v>
      </c>
      <c r="B14" s="112">
        <v>1</v>
      </c>
      <c r="C14" s="112">
        <v>0</v>
      </c>
      <c r="D14" s="112">
        <v>0</v>
      </c>
      <c r="E14" s="112">
        <v>1</v>
      </c>
      <c r="F14" s="112">
        <v>0</v>
      </c>
      <c r="G14" s="112">
        <v>1</v>
      </c>
      <c r="H14" s="112">
        <v>0</v>
      </c>
      <c r="I14" s="112">
        <v>1</v>
      </c>
      <c r="J14" s="112">
        <v>0</v>
      </c>
      <c r="K14" s="112">
        <v>0</v>
      </c>
      <c r="L14" s="112">
        <v>0</v>
      </c>
      <c r="M14" s="112">
        <v>0</v>
      </c>
      <c r="N14" s="112">
        <v>1</v>
      </c>
      <c r="O14" s="112">
        <v>0</v>
      </c>
      <c r="P14" s="112">
        <v>1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</row>
    <row r="15" spans="1:39" customFormat="1" x14ac:dyDescent="0.15">
      <c r="A15" s="195" t="s">
        <v>205</v>
      </c>
      <c r="B15" s="112">
        <v>1</v>
      </c>
      <c r="C15" s="112">
        <v>0</v>
      </c>
      <c r="D15" s="112">
        <v>0</v>
      </c>
      <c r="E15" s="112">
        <v>1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1</v>
      </c>
      <c r="P15" s="112">
        <v>1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</row>
    <row r="16" spans="1:39" customFormat="1" x14ac:dyDescent="0.15">
      <c r="A16" s="195" t="s">
        <v>206</v>
      </c>
      <c r="B16" s="112">
        <v>1</v>
      </c>
      <c r="C16" s="112">
        <v>0</v>
      </c>
      <c r="D16" s="112">
        <v>0</v>
      </c>
      <c r="E16" s="112">
        <v>1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1</v>
      </c>
      <c r="P16" s="112">
        <v>1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</row>
    <row r="17" spans="1:39" customFormat="1" x14ac:dyDescent="0.15">
      <c r="A17" s="195" t="s">
        <v>207</v>
      </c>
      <c r="B17" s="112">
        <v>1</v>
      </c>
      <c r="C17" s="112">
        <v>0</v>
      </c>
      <c r="D17" s="112">
        <v>0</v>
      </c>
      <c r="E17" s="112">
        <v>1</v>
      </c>
      <c r="F17" s="112">
        <v>0</v>
      </c>
      <c r="G17" s="112">
        <v>0</v>
      </c>
      <c r="H17" s="112">
        <v>0</v>
      </c>
      <c r="I17" s="112">
        <v>1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1</v>
      </c>
      <c r="P17" s="112">
        <v>1</v>
      </c>
      <c r="Q17" s="112">
        <v>1</v>
      </c>
      <c r="R17" s="112">
        <v>0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</row>
    <row r="18" spans="1:39" customFormat="1" x14ac:dyDescent="0.15">
      <c r="A18" s="195" t="s">
        <v>208</v>
      </c>
      <c r="B18" s="112">
        <v>1</v>
      </c>
      <c r="C18" s="112">
        <v>0</v>
      </c>
      <c r="D18" s="112">
        <v>0</v>
      </c>
      <c r="E18" s="112">
        <v>1</v>
      </c>
      <c r="F18" s="112">
        <v>0</v>
      </c>
      <c r="G18" s="112">
        <v>0</v>
      </c>
      <c r="H18" s="112">
        <v>0</v>
      </c>
      <c r="I18" s="112">
        <v>1</v>
      </c>
      <c r="J18" s="112">
        <v>0</v>
      </c>
      <c r="K18" s="112">
        <v>0</v>
      </c>
      <c r="L18" s="112">
        <v>0</v>
      </c>
      <c r="M18" s="112">
        <v>0</v>
      </c>
      <c r="N18" s="112">
        <v>1</v>
      </c>
      <c r="O18" s="112">
        <v>1</v>
      </c>
      <c r="P18" s="112">
        <v>1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</row>
    <row r="19" spans="1:39" customFormat="1" x14ac:dyDescent="0.15">
      <c r="A19" s="195" t="s">
        <v>209</v>
      </c>
      <c r="B19" s="112">
        <v>1</v>
      </c>
      <c r="C19" s="112">
        <v>1</v>
      </c>
      <c r="D19" s="112">
        <v>0</v>
      </c>
      <c r="E19" s="112">
        <v>1</v>
      </c>
      <c r="F19" s="112">
        <v>0</v>
      </c>
      <c r="G19" s="112">
        <v>1</v>
      </c>
      <c r="H19" s="112">
        <v>0</v>
      </c>
      <c r="I19" s="112">
        <v>1</v>
      </c>
      <c r="J19" s="112">
        <v>0</v>
      </c>
      <c r="K19" s="112">
        <v>0</v>
      </c>
      <c r="L19" s="112">
        <v>0</v>
      </c>
      <c r="M19" s="112">
        <v>0</v>
      </c>
      <c r="N19" s="112">
        <v>1</v>
      </c>
      <c r="O19" s="112">
        <v>1</v>
      </c>
      <c r="P19" s="112">
        <v>1</v>
      </c>
      <c r="Q19" s="112">
        <v>1</v>
      </c>
      <c r="R19" s="112">
        <v>1</v>
      </c>
      <c r="S19" s="112">
        <v>1</v>
      </c>
      <c r="T19" s="112">
        <v>0</v>
      </c>
      <c r="U19" s="112">
        <v>1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1</v>
      </c>
      <c r="AB19" s="112">
        <v>1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</row>
    <row r="20" spans="1:39" customFormat="1" x14ac:dyDescent="0.15">
      <c r="A20" s="195" t="s">
        <v>210</v>
      </c>
      <c r="B20" s="112">
        <v>1</v>
      </c>
      <c r="C20" s="112">
        <v>0</v>
      </c>
      <c r="D20" s="112">
        <v>0</v>
      </c>
      <c r="E20" s="112">
        <v>1</v>
      </c>
      <c r="F20" s="112">
        <v>0</v>
      </c>
      <c r="G20" s="112">
        <v>0</v>
      </c>
      <c r="H20" s="112">
        <v>0</v>
      </c>
      <c r="I20" s="112">
        <v>1</v>
      </c>
      <c r="J20" s="112">
        <v>0</v>
      </c>
      <c r="K20" s="112">
        <v>0</v>
      </c>
      <c r="L20" s="112">
        <v>0</v>
      </c>
      <c r="M20" s="112">
        <v>0</v>
      </c>
      <c r="N20" s="112">
        <v>1</v>
      </c>
      <c r="O20" s="112">
        <v>1</v>
      </c>
      <c r="P20" s="112">
        <v>1</v>
      </c>
      <c r="Q20" s="112">
        <v>1</v>
      </c>
      <c r="R20" s="112">
        <v>1</v>
      </c>
      <c r="S20" s="112">
        <v>1</v>
      </c>
      <c r="T20" s="112">
        <v>0</v>
      </c>
      <c r="U20" s="112">
        <v>0</v>
      </c>
      <c r="V20" s="112">
        <v>0</v>
      </c>
      <c r="W20" s="112">
        <v>1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</row>
    <row r="21" spans="1:39" customFormat="1" x14ac:dyDescent="0.15">
      <c r="A21" s="195" t="s">
        <v>211</v>
      </c>
      <c r="B21" s="112">
        <v>1</v>
      </c>
      <c r="C21" s="112">
        <v>0</v>
      </c>
      <c r="D21" s="112">
        <v>0</v>
      </c>
      <c r="E21" s="112">
        <v>0</v>
      </c>
      <c r="F21" s="112">
        <v>0</v>
      </c>
      <c r="G21" s="112">
        <v>0</v>
      </c>
      <c r="H21" s="112">
        <v>0</v>
      </c>
      <c r="I21" s="112">
        <v>1</v>
      </c>
      <c r="J21" s="112">
        <v>0</v>
      </c>
      <c r="K21" s="112">
        <v>0</v>
      </c>
      <c r="L21" s="112">
        <v>0</v>
      </c>
      <c r="M21" s="112">
        <v>0</v>
      </c>
      <c r="N21" s="112">
        <v>1</v>
      </c>
      <c r="O21" s="112">
        <v>1</v>
      </c>
      <c r="P21" s="112">
        <v>1</v>
      </c>
      <c r="Q21" s="112">
        <v>1</v>
      </c>
      <c r="R21" s="112">
        <v>1</v>
      </c>
      <c r="S21" s="112">
        <v>1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</row>
    <row r="22" spans="1:39" customFormat="1" x14ac:dyDescent="0.15">
      <c r="A22" s="195" t="s">
        <v>212</v>
      </c>
      <c r="B22" s="112">
        <v>1</v>
      </c>
      <c r="C22" s="112">
        <v>0</v>
      </c>
      <c r="D22" s="112">
        <v>0</v>
      </c>
      <c r="E22" s="112">
        <v>0</v>
      </c>
      <c r="F22" s="112">
        <v>0</v>
      </c>
      <c r="G22" s="112">
        <v>1</v>
      </c>
      <c r="H22" s="112">
        <v>0</v>
      </c>
      <c r="I22" s="112">
        <v>1</v>
      </c>
      <c r="J22" s="112">
        <v>0</v>
      </c>
      <c r="K22" s="112">
        <v>0</v>
      </c>
      <c r="L22" s="112">
        <v>0</v>
      </c>
      <c r="M22" s="112">
        <v>0</v>
      </c>
      <c r="N22" s="112">
        <v>1</v>
      </c>
      <c r="O22" s="112">
        <v>0</v>
      </c>
      <c r="P22" s="112">
        <v>1</v>
      </c>
      <c r="Q22" s="112">
        <v>0</v>
      </c>
      <c r="R22" s="112">
        <v>1</v>
      </c>
      <c r="S22" s="112">
        <v>1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1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</row>
    <row r="23" spans="1:39" customFormat="1" x14ac:dyDescent="0.15">
      <c r="A23" s="195" t="s">
        <v>213</v>
      </c>
      <c r="B23" s="112">
        <v>1</v>
      </c>
      <c r="C23" s="112">
        <v>1</v>
      </c>
      <c r="D23" s="112">
        <v>0</v>
      </c>
      <c r="E23" s="112">
        <v>1</v>
      </c>
      <c r="F23" s="112">
        <v>1</v>
      </c>
      <c r="G23" s="112">
        <v>0</v>
      </c>
      <c r="H23" s="112">
        <v>0</v>
      </c>
      <c r="I23" s="112">
        <v>1</v>
      </c>
      <c r="J23" s="112">
        <v>0</v>
      </c>
      <c r="K23" s="112">
        <v>0</v>
      </c>
      <c r="L23" s="112">
        <v>0</v>
      </c>
      <c r="M23" s="112">
        <v>1</v>
      </c>
      <c r="N23" s="112">
        <v>1</v>
      </c>
      <c r="O23" s="112">
        <v>1</v>
      </c>
      <c r="P23" s="112">
        <v>1</v>
      </c>
      <c r="Q23" s="112">
        <v>1</v>
      </c>
      <c r="R23" s="112">
        <v>1</v>
      </c>
      <c r="S23" s="112">
        <v>1</v>
      </c>
      <c r="T23" s="112">
        <v>0</v>
      </c>
      <c r="U23" s="112">
        <v>0</v>
      </c>
      <c r="V23" s="112">
        <v>0</v>
      </c>
      <c r="W23" s="112">
        <v>1</v>
      </c>
      <c r="X23" s="112">
        <v>0</v>
      </c>
      <c r="Y23" s="112">
        <v>0</v>
      </c>
      <c r="Z23" s="112">
        <v>0</v>
      </c>
      <c r="AA23" s="112">
        <v>1</v>
      </c>
      <c r="AB23" s="112">
        <v>1</v>
      </c>
      <c r="AC23" s="112">
        <v>0</v>
      </c>
      <c r="AD23" s="112">
        <v>0</v>
      </c>
      <c r="AE23" s="112">
        <v>1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</row>
    <row r="24" spans="1:39" customFormat="1" x14ac:dyDescent="0.15">
      <c r="A24" s="195" t="s">
        <v>214</v>
      </c>
      <c r="B24" s="112">
        <v>1</v>
      </c>
      <c r="C24" s="112">
        <v>1</v>
      </c>
      <c r="D24" s="112">
        <v>0</v>
      </c>
      <c r="E24" s="112">
        <v>1</v>
      </c>
      <c r="F24" s="112">
        <v>1</v>
      </c>
      <c r="G24" s="112">
        <v>1</v>
      </c>
      <c r="H24" s="112">
        <v>1</v>
      </c>
      <c r="I24" s="112">
        <v>1</v>
      </c>
      <c r="J24" s="112">
        <v>1</v>
      </c>
      <c r="K24" s="112">
        <v>1</v>
      </c>
      <c r="L24" s="112">
        <v>1</v>
      </c>
      <c r="M24" s="112">
        <v>1</v>
      </c>
      <c r="N24" s="112">
        <v>1</v>
      </c>
      <c r="O24" s="112">
        <v>1</v>
      </c>
      <c r="P24" s="112">
        <v>1</v>
      </c>
      <c r="Q24" s="112">
        <v>1</v>
      </c>
      <c r="R24" s="112">
        <v>1</v>
      </c>
      <c r="S24" s="112">
        <v>1</v>
      </c>
      <c r="T24" s="112">
        <v>0</v>
      </c>
      <c r="U24" s="112">
        <v>1</v>
      </c>
      <c r="V24" s="112">
        <v>1</v>
      </c>
      <c r="W24" s="112">
        <v>1</v>
      </c>
      <c r="X24" s="112">
        <v>1</v>
      </c>
      <c r="Y24" s="112">
        <v>0</v>
      </c>
      <c r="Z24" s="112">
        <v>0</v>
      </c>
      <c r="AA24" s="112">
        <v>1</v>
      </c>
      <c r="AB24" s="112">
        <v>1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</row>
    <row r="25" spans="1:39" customFormat="1" x14ac:dyDescent="0.15">
      <c r="A25" s="195" t="s">
        <v>215</v>
      </c>
      <c r="B25" s="112">
        <v>1</v>
      </c>
      <c r="C25" s="112">
        <v>1</v>
      </c>
      <c r="D25" s="112">
        <v>0</v>
      </c>
      <c r="E25" s="112">
        <v>1</v>
      </c>
      <c r="F25" s="112">
        <v>1</v>
      </c>
      <c r="G25" s="112">
        <v>0</v>
      </c>
      <c r="H25" s="112">
        <v>0</v>
      </c>
      <c r="I25" s="112">
        <v>1</v>
      </c>
      <c r="J25" s="112">
        <v>0</v>
      </c>
      <c r="K25" s="112">
        <v>0</v>
      </c>
      <c r="L25" s="112">
        <v>0</v>
      </c>
      <c r="M25" s="112">
        <v>0</v>
      </c>
      <c r="N25" s="112">
        <v>1</v>
      </c>
      <c r="O25" s="112">
        <v>0</v>
      </c>
      <c r="P25" s="112">
        <v>1</v>
      </c>
      <c r="Q25" s="112">
        <v>1</v>
      </c>
      <c r="R25" s="112">
        <v>1</v>
      </c>
      <c r="S25" s="112">
        <v>1</v>
      </c>
      <c r="T25" s="112">
        <v>0</v>
      </c>
      <c r="U25" s="112">
        <v>1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1</v>
      </c>
      <c r="AB25" s="112">
        <v>1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</row>
    <row r="26" spans="1:39" customFormat="1" x14ac:dyDescent="0.15">
      <c r="A26" s="195" t="s">
        <v>216</v>
      </c>
      <c r="B26" s="112">
        <v>1</v>
      </c>
      <c r="C26" s="112">
        <v>0</v>
      </c>
      <c r="D26" s="112">
        <v>1</v>
      </c>
      <c r="E26" s="112">
        <v>1</v>
      </c>
      <c r="F26" s="112">
        <v>1</v>
      </c>
      <c r="G26" s="112">
        <v>0</v>
      </c>
      <c r="H26" s="112">
        <v>0</v>
      </c>
      <c r="I26" s="112">
        <v>1</v>
      </c>
      <c r="J26" s="112">
        <v>1</v>
      </c>
      <c r="K26" s="112">
        <v>1</v>
      </c>
      <c r="L26" s="112">
        <v>1</v>
      </c>
      <c r="M26" s="112">
        <v>1</v>
      </c>
      <c r="N26" s="112">
        <v>1</v>
      </c>
      <c r="O26" s="112">
        <v>1</v>
      </c>
      <c r="P26" s="112">
        <v>1</v>
      </c>
      <c r="Q26" s="112">
        <v>1</v>
      </c>
      <c r="R26" s="112">
        <v>1</v>
      </c>
      <c r="S26" s="112">
        <v>1</v>
      </c>
      <c r="T26" s="112">
        <v>1</v>
      </c>
      <c r="U26" s="112">
        <v>1</v>
      </c>
      <c r="V26" s="112">
        <v>1</v>
      </c>
      <c r="W26" s="112">
        <v>1</v>
      </c>
      <c r="X26" s="112">
        <v>1</v>
      </c>
      <c r="Y26" s="112">
        <v>0</v>
      </c>
      <c r="Z26" s="112">
        <v>1</v>
      </c>
      <c r="AA26" s="112">
        <v>1</v>
      </c>
      <c r="AB26" s="112">
        <v>1</v>
      </c>
      <c r="AC26" s="112">
        <v>1</v>
      </c>
      <c r="AD26" s="112">
        <v>0</v>
      </c>
      <c r="AE26" s="112">
        <v>1</v>
      </c>
      <c r="AF26" s="112">
        <v>0</v>
      </c>
      <c r="AG26" s="112">
        <v>0</v>
      </c>
      <c r="AH26" s="112">
        <v>0</v>
      </c>
      <c r="AI26" s="112">
        <v>0</v>
      </c>
      <c r="AJ26" s="112">
        <v>0</v>
      </c>
      <c r="AK26" s="112">
        <v>0</v>
      </c>
      <c r="AL26" s="112">
        <v>0</v>
      </c>
      <c r="AM26" s="112">
        <v>0</v>
      </c>
    </row>
    <row r="27" spans="1:39" customFormat="1" x14ac:dyDescent="0.15">
      <c r="A27" s="195" t="s">
        <v>217</v>
      </c>
      <c r="B27" s="112">
        <v>1</v>
      </c>
      <c r="C27" s="112">
        <v>0</v>
      </c>
      <c r="D27" s="112">
        <v>0</v>
      </c>
      <c r="E27" s="112">
        <v>1</v>
      </c>
      <c r="F27" s="112">
        <v>1</v>
      </c>
      <c r="G27" s="112">
        <v>1</v>
      </c>
      <c r="H27" s="112">
        <v>0</v>
      </c>
      <c r="I27" s="112">
        <v>1</v>
      </c>
      <c r="J27" s="112">
        <v>0</v>
      </c>
      <c r="K27" s="112">
        <v>0</v>
      </c>
      <c r="L27" s="112">
        <v>0</v>
      </c>
      <c r="M27" s="112">
        <v>1</v>
      </c>
      <c r="N27" s="112">
        <v>1</v>
      </c>
      <c r="O27" s="112">
        <v>1</v>
      </c>
      <c r="P27" s="112">
        <v>1</v>
      </c>
      <c r="Q27" s="112">
        <v>1</v>
      </c>
      <c r="R27" s="112">
        <v>1</v>
      </c>
      <c r="S27" s="112">
        <v>1</v>
      </c>
      <c r="T27" s="112">
        <v>0</v>
      </c>
      <c r="U27" s="112">
        <v>0</v>
      </c>
      <c r="V27" s="112">
        <v>0</v>
      </c>
      <c r="W27" s="112">
        <v>0</v>
      </c>
      <c r="X27" s="112">
        <v>0</v>
      </c>
      <c r="Y27" s="112">
        <v>0</v>
      </c>
      <c r="Z27" s="112">
        <v>0</v>
      </c>
      <c r="AA27" s="112">
        <v>1</v>
      </c>
      <c r="AB27" s="112">
        <v>0</v>
      </c>
      <c r="AC27" s="112">
        <v>0</v>
      </c>
      <c r="AD27" s="112">
        <v>0</v>
      </c>
      <c r="AE27" s="112">
        <v>0</v>
      </c>
      <c r="AF27" s="112">
        <v>0</v>
      </c>
      <c r="AG27" s="112">
        <v>0</v>
      </c>
      <c r="AH27" s="112">
        <v>0</v>
      </c>
      <c r="AI27" s="112">
        <v>0</v>
      </c>
      <c r="AJ27" s="112">
        <v>0</v>
      </c>
      <c r="AK27" s="112">
        <v>0</v>
      </c>
      <c r="AL27" s="112">
        <v>0</v>
      </c>
      <c r="AM27" s="112">
        <v>0</v>
      </c>
    </row>
    <row r="28" spans="1:39" customFormat="1" x14ac:dyDescent="0.15">
      <c r="A28" s="195" t="s">
        <v>218</v>
      </c>
      <c r="B28" s="112">
        <v>1</v>
      </c>
      <c r="C28" s="112">
        <v>0</v>
      </c>
      <c r="D28" s="112">
        <v>0</v>
      </c>
      <c r="E28" s="112">
        <v>1</v>
      </c>
      <c r="F28" s="112">
        <v>1</v>
      </c>
      <c r="G28" s="112">
        <v>0</v>
      </c>
      <c r="H28" s="112">
        <v>0</v>
      </c>
      <c r="I28" s="112">
        <v>1</v>
      </c>
      <c r="J28" s="112">
        <v>0</v>
      </c>
      <c r="K28" s="112">
        <v>0</v>
      </c>
      <c r="L28" s="112">
        <v>0</v>
      </c>
      <c r="M28" s="112">
        <v>0</v>
      </c>
      <c r="N28" s="112">
        <v>1</v>
      </c>
      <c r="O28" s="112">
        <v>1</v>
      </c>
      <c r="P28" s="112">
        <v>1</v>
      </c>
      <c r="Q28" s="112">
        <v>0</v>
      </c>
      <c r="R28" s="112">
        <v>1</v>
      </c>
      <c r="S28" s="112">
        <v>1</v>
      </c>
      <c r="T28" s="112">
        <v>0</v>
      </c>
      <c r="U28" s="112">
        <v>0</v>
      </c>
      <c r="V28" s="112">
        <v>0</v>
      </c>
      <c r="W28" s="112">
        <v>0</v>
      </c>
      <c r="X28" s="112">
        <v>0</v>
      </c>
      <c r="Y28" s="112">
        <v>0</v>
      </c>
      <c r="Z28" s="112">
        <v>0</v>
      </c>
      <c r="AA28" s="112">
        <v>0</v>
      </c>
      <c r="AB28" s="112">
        <v>1</v>
      </c>
      <c r="AC28" s="112">
        <v>0</v>
      </c>
      <c r="AD28" s="112">
        <v>0</v>
      </c>
      <c r="AE28" s="112">
        <v>0</v>
      </c>
      <c r="AF28" s="112">
        <v>0</v>
      </c>
      <c r="AG28" s="112">
        <v>0</v>
      </c>
      <c r="AH28" s="112">
        <v>0</v>
      </c>
      <c r="AI28" s="112">
        <v>0</v>
      </c>
      <c r="AJ28" s="112">
        <v>0</v>
      </c>
      <c r="AK28" s="112">
        <v>0</v>
      </c>
      <c r="AL28" s="112">
        <v>0</v>
      </c>
      <c r="AM28" s="112">
        <v>0</v>
      </c>
    </row>
    <row r="29" spans="1:39" customFormat="1" x14ac:dyDescent="0.15">
      <c r="A29" s="195" t="s">
        <v>219</v>
      </c>
      <c r="B29" s="112">
        <v>1</v>
      </c>
      <c r="C29" s="112">
        <v>1</v>
      </c>
      <c r="D29" s="112">
        <v>0</v>
      </c>
      <c r="E29" s="112">
        <v>1</v>
      </c>
      <c r="F29" s="112">
        <v>1</v>
      </c>
      <c r="G29" s="112">
        <v>0</v>
      </c>
      <c r="H29" s="112">
        <v>0</v>
      </c>
      <c r="I29" s="112">
        <v>0</v>
      </c>
      <c r="J29" s="112">
        <v>1</v>
      </c>
      <c r="K29" s="112">
        <v>0</v>
      </c>
      <c r="L29" s="112">
        <v>1</v>
      </c>
      <c r="M29" s="112">
        <v>1</v>
      </c>
      <c r="N29" s="112">
        <v>1</v>
      </c>
      <c r="O29" s="112">
        <v>0</v>
      </c>
      <c r="P29" s="112">
        <v>1</v>
      </c>
      <c r="Q29" s="112">
        <v>1</v>
      </c>
      <c r="R29" s="112">
        <v>1</v>
      </c>
      <c r="S29" s="112">
        <v>1</v>
      </c>
      <c r="T29" s="112">
        <v>0</v>
      </c>
      <c r="U29" s="112">
        <v>1</v>
      </c>
      <c r="V29" s="112">
        <v>0</v>
      </c>
      <c r="W29" s="112">
        <v>1</v>
      </c>
      <c r="X29" s="112">
        <v>0</v>
      </c>
      <c r="Y29" s="112">
        <v>1</v>
      </c>
      <c r="Z29" s="112">
        <v>1</v>
      </c>
      <c r="AA29" s="112">
        <v>1</v>
      </c>
      <c r="AB29" s="112">
        <v>1</v>
      </c>
      <c r="AC29" s="112">
        <v>1</v>
      </c>
      <c r="AD29" s="112">
        <v>0</v>
      </c>
      <c r="AE29" s="112">
        <v>1</v>
      </c>
      <c r="AF29" s="112">
        <v>1</v>
      </c>
      <c r="AG29" s="112">
        <v>0</v>
      </c>
      <c r="AH29" s="112">
        <v>0</v>
      </c>
      <c r="AI29" s="112">
        <v>0</v>
      </c>
      <c r="AJ29" s="112">
        <v>0</v>
      </c>
      <c r="AK29" s="112">
        <v>0</v>
      </c>
      <c r="AL29" s="112">
        <v>0</v>
      </c>
      <c r="AM29" s="112">
        <v>0</v>
      </c>
    </row>
    <row r="30" spans="1:39" customFormat="1" x14ac:dyDescent="0.15">
      <c r="A30" s="195" t="s">
        <v>220</v>
      </c>
      <c r="B30" s="112">
        <v>0</v>
      </c>
      <c r="C30" s="112">
        <v>0</v>
      </c>
      <c r="D30" s="112">
        <v>0</v>
      </c>
      <c r="E30" s="112">
        <v>1</v>
      </c>
      <c r="F30" s="112">
        <v>0</v>
      </c>
      <c r="G30" s="112">
        <v>0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2">
        <v>0</v>
      </c>
      <c r="N30" s="112">
        <v>0</v>
      </c>
      <c r="O30" s="112">
        <v>0</v>
      </c>
      <c r="P30" s="112">
        <v>1</v>
      </c>
      <c r="Q30" s="112">
        <v>0</v>
      </c>
      <c r="R30" s="112">
        <v>1</v>
      </c>
      <c r="S30" s="112">
        <v>1</v>
      </c>
      <c r="T30" s="112">
        <v>0</v>
      </c>
      <c r="U30" s="112">
        <v>0</v>
      </c>
      <c r="V30" s="112">
        <v>0</v>
      </c>
      <c r="W30" s="112">
        <v>1</v>
      </c>
      <c r="X30" s="112">
        <v>0</v>
      </c>
      <c r="Y30" s="112">
        <v>0</v>
      </c>
      <c r="Z30" s="112">
        <v>0</v>
      </c>
      <c r="AA30" s="112">
        <v>0</v>
      </c>
      <c r="AB30" s="112">
        <v>0</v>
      </c>
      <c r="AC30" s="112">
        <v>0</v>
      </c>
      <c r="AD30" s="112">
        <v>0</v>
      </c>
      <c r="AE30" s="112">
        <v>1</v>
      </c>
      <c r="AF30" s="112">
        <v>0</v>
      </c>
      <c r="AG30" s="112">
        <v>0</v>
      </c>
      <c r="AH30" s="112">
        <v>0</v>
      </c>
      <c r="AI30" s="112">
        <v>0</v>
      </c>
      <c r="AJ30" s="112">
        <v>0</v>
      </c>
      <c r="AK30" s="112">
        <v>0</v>
      </c>
      <c r="AL30" s="112">
        <v>0</v>
      </c>
      <c r="AM30" s="112">
        <v>0</v>
      </c>
    </row>
    <row r="31" spans="1:39" customFormat="1" x14ac:dyDescent="0.15">
      <c r="A31" s="195" t="s">
        <v>221</v>
      </c>
      <c r="B31" s="112">
        <v>1</v>
      </c>
      <c r="C31" s="112">
        <v>0</v>
      </c>
      <c r="D31" s="112">
        <v>0</v>
      </c>
      <c r="E31" s="112">
        <v>1</v>
      </c>
      <c r="F31" s="112">
        <v>1</v>
      </c>
      <c r="G31" s="112">
        <v>0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2">
        <v>1</v>
      </c>
      <c r="Q31" s="112">
        <v>1</v>
      </c>
      <c r="R31" s="112">
        <v>1</v>
      </c>
      <c r="S31" s="112">
        <v>1</v>
      </c>
      <c r="T31" s="112">
        <v>0</v>
      </c>
      <c r="U31" s="112">
        <v>1</v>
      </c>
      <c r="V31" s="112">
        <v>0</v>
      </c>
      <c r="W31" s="112">
        <v>1</v>
      </c>
      <c r="X31" s="112">
        <v>0</v>
      </c>
      <c r="Y31" s="112">
        <v>1</v>
      </c>
      <c r="Z31" s="112">
        <v>1</v>
      </c>
      <c r="AA31" s="112">
        <v>0</v>
      </c>
      <c r="AB31" s="112">
        <v>0</v>
      </c>
      <c r="AC31" s="112">
        <v>0</v>
      </c>
      <c r="AD31" s="112">
        <v>0</v>
      </c>
      <c r="AE31" s="112">
        <v>1</v>
      </c>
      <c r="AF31" s="112">
        <v>0</v>
      </c>
      <c r="AG31" s="112">
        <v>0</v>
      </c>
      <c r="AH31" s="112">
        <v>0</v>
      </c>
      <c r="AI31" s="112">
        <v>0</v>
      </c>
      <c r="AJ31" s="112">
        <v>0</v>
      </c>
      <c r="AK31" s="112">
        <v>0</v>
      </c>
      <c r="AL31" s="112">
        <v>0</v>
      </c>
      <c r="AM31" s="112">
        <v>0</v>
      </c>
    </row>
    <row r="32" spans="1:39" x14ac:dyDescent="0.15">
      <c r="A32" s="195" t="s">
        <v>222</v>
      </c>
      <c r="B32" s="112">
        <v>0</v>
      </c>
      <c r="C32" s="112">
        <v>1</v>
      </c>
      <c r="D32" s="112">
        <v>1</v>
      </c>
      <c r="E32" s="112">
        <v>1</v>
      </c>
      <c r="F32" s="112">
        <v>1</v>
      </c>
      <c r="G32" s="112">
        <v>0</v>
      </c>
      <c r="H32" s="112">
        <v>0</v>
      </c>
      <c r="I32" s="112">
        <v>1</v>
      </c>
      <c r="J32" s="112">
        <v>1</v>
      </c>
      <c r="K32" s="112">
        <v>0</v>
      </c>
      <c r="L32" s="112">
        <v>1</v>
      </c>
      <c r="M32" s="112">
        <v>1</v>
      </c>
      <c r="N32" s="112">
        <v>0</v>
      </c>
      <c r="O32" s="112">
        <v>1</v>
      </c>
      <c r="P32" s="112">
        <v>1</v>
      </c>
      <c r="Q32" s="112">
        <v>1</v>
      </c>
      <c r="R32" s="112">
        <v>1</v>
      </c>
      <c r="S32" s="112">
        <v>1</v>
      </c>
      <c r="T32" s="112">
        <v>1</v>
      </c>
      <c r="U32" s="112">
        <v>1</v>
      </c>
      <c r="V32" s="112">
        <v>1</v>
      </c>
      <c r="W32" s="112">
        <v>1</v>
      </c>
      <c r="X32" s="112">
        <v>1</v>
      </c>
      <c r="Y32" s="112">
        <v>1</v>
      </c>
      <c r="Z32" s="112">
        <v>1</v>
      </c>
      <c r="AA32" s="112">
        <v>0</v>
      </c>
      <c r="AB32" s="112">
        <v>0</v>
      </c>
      <c r="AC32" s="112">
        <v>1</v>
      </c>
      <c r="AD32" s="112">
        <v>0</v>
      </c>
      <c r="AE32" s="112">
        <v>1</v>
      </c>
      <c r="AF32" s="112">
        <v>0</v>
      </c>
      <c r="AG32" s="112">
        <v>0</v>
      </c>
      <c r="AH32" s="112">
        <v>0</v>
      </c>
      <c r="AI32" s="112">
        <v>0</v>
      </c>
      <c r="AJ32" s="112">
        <v>0</v>
      </c>
      <c r="AK32" s="112">
        <v>0</v>
      </c>
      <c r="AL32" s="112">
        <v>0</v>
      </c>
      <c r="AM32" s="112">
        <v>0</v>
      </c>
    </row>
    <row r="33" spans="1:39" x14ac:dyDescent="0.15">
      <c r="A33" s="195" t="s">
        <v>223</v>
      </c>
      <c r="B33" s="112">
        <v>0</v>
      </c>
      <c r="C33" s="112">
        <v>1</v>
      </c>
      <c r="D33" s="112">
        <v>0</v>
      </c>
      <c r="E33" s="112">
        <v>0</v>
      </c>
      <c r="F33" s="112">
        <v>1</v>
      </c>
      <c r="G33" s="112">
        <v>0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2">
        <v>0</v>
      </c>
      <c r="Q33" s="112">
        <v>1</v>
      </c>
      <c r="R33" s="112">
        <v>1</v>
      </c>
      <c r="S33" s="112">
        <v>1</v>
      </c>
      <c r="T33" s="112">
        <v>1</v>
      </c>
      <c r="U33" s="112">
        <v>0</v>
      </c>
      <c r="V33" s="112">
        <v>0</v>
      </c>
      <c r="W33" s="112">
        <v>0</v>
      </c>
      <c r="X33" s="112">
        <v>0</v>
      </c>
      <c r="Y33" s="112">
        <v>0</v>
      </c>
      <c r="Z33" s="112">
        <v>1</v>
      </c>
      <c r="AA33" s="112">
        <v>0</v>
      </c>
      <c r="AB33" s="112">
        <v>0</v>
      </c>
      <c r="AC33" s="112">
        <v>0</v>
      </c>
      <c r="AD33" s="112">
        <v>0</v>
      </c>
      <c r="AE33" s="112">
        <v>1</v>
      </c>
      <c r="AF33" s="112">
        <v>1</v>
      </c>
      <c r="AG33" s="112">
        <v>0</v>
      </c>
      <c r="AH33" s="112">
        <v>0</v>
      </c>
      <c r="AI33" s="112">
        <v>0</v>
      </c>
      <c r="AJ33" s="112">
        <v>0</v>
      </c>
      <c r="AK33" s="112">
        <v>0</v>
      </c>
      <c r="AL33" s="112">
        <v>0</v>
      </c>
      <c r="AM33" s="112">
        <v>0</v>
      </c>
    </row>
    <row r="34" spans="1:39" x14ac:dyDescent="0.15">
      <c r="A34" s="195" t="s">
        <v>224</v>
      </c>
      <c r="B34" s="112">
        <v>0</v>
      </c>
      <c r="C34" s="112">
        <v>0</v>
      </c>
      <c r="D34" s="112">
        <v>0</v>
      </c>
      <c r="E34" s="112">
        <v>0</v>
      </c>
      <c r="F34" s="112">
        <v>1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1</v>
      </c>
      <c r="T34" s="112">
        <v>1</v>
      </c>
      <c r="U34" s="112">
        <v>1</v>
      </c>
      <c r="V34" s="112">
        <v>0</v>
      </c>
      <c r="W34" s="112">
        <v>1</v>
      </c>
      <c r="X34" s="112">
        <v>0</v>
      </c>
      <c r="Y34" s="112">
        <v>0</v>
      </c>
      <c r="Z34" s="112">
        <v>1</v>
      </c>
      <c r="AA34" s="112">
        <v>0</v>
      </c>
      <c r="AB34" s="112">
        <v>0</v>
      </c>
      <c r="AC34" s="112">
        <v>0</v>
      </c>
      <c r="AD34" s="112">
        <v>0</v>
      </c>
      <c r="AE34" s="112">
        <v>1</v>
      </c>
      <c r="AF34" s="112">
        <v>1</v>
      </c>
      <c r="AG34" s="112">
        <v>0</v>
      </c>
      <c r="AH34" s="112">
        <v>0</v>
      </c>
      <c r="AI34" s="112">
        <v>0</v>
      </c>
      <c r="AJ34" s="112">
        <v>0</v>
      </c>
      <c r="AK34" s="112">
        <v>0</v>
      </c>
      <c r="AL34" s="112">
        <v>0</v>
      </c>
      <c r="AM34" s="112">
        <v>0</v>
      </c>
    </row>
    <row r="35" spans="1:39" x14ac:dyDescent="0.15">
      <c r="A35" s="195" t="s">
        <v>225</v>
      </c>
      <c r="B35" s="112">
        <v>0</v>
      </c>
      <c r="C35" s="112">
        <v>0</v>
      </c>
      <c r="D35" s="112">
        <v>1</v>
      </c>
      <c r="E35" s="112">
        <v>0</v>
      </c>
      <c r="F35" s="112">
        <v>1</v>
      </c>
      <c r="G35" s="112">
        <v>0</v>
      </c>
      <c r="H35" s="112">
        <v>1</v>
      </c>
      <c r="I35" s="112">
        <v>0</v>
      </c>
      <c r="J35" s="112">
        <v>1</v>
      </c>
      <c r="K35" s="112">
        <v>1</v>
      </c>
      <c r="L35" s="112">
        <v>1</v>
      </c>
      <c r="M35" s="112">
        <v>1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1</v>
      </c>
      <c r="T35" s="112">
        <v>1</v>
      </c>
      <c r="U35" s="112">
        <v>1</v>
      </c>
      <c r="V35" s="112">
        <v>1</v>
      </c>
      <c r="W35" s="112">
        <v>0</v>
      </c>
      <c r="X35" s="112">
        <v>1</v>
      </c>
      <c r="Y35" s="112">
        <v>0</v>
      </c>
      <c r="Z35" s="112">
        <v>1</v>
      </c>
      <c r="AA35" s="112">
        <v>1</v>
      </c>
      <c r="AB35" s="112">
        <v>0</v>
      </c>
      <c r="AC35" s="112">
        <v>1</v>
      </c>
      <c r="AD35" s="112">
        <v>0</v>
      </c>
      <c r="AE35" s="112">
        <v>1</v>
      </c>
      <c r="AF35" s="112">
        <v>1</v>
      </c>
      <c r="AG35" s="112">
        <v>1</v>
      </c>
      <c r="AH35" s="112">
        <v>0</v>
      </c>
      <c r="AI35" s="112">
        <v>1</v>
      </c>
      <c r="AJ35" s="112">
        <v>0</v>
      </c>
      <c r="AK35" s="112">
        <v>0</v>
      </c>
      <c r="AL35" s="112">
        <v>0</v>
      </c>
      <c r="AM35" s="112">
        <v>0</v>
      </c>
    </row>
    <row r="36" spans="1:39" x14ac:dyDescent="0.15">
      <c r="A36" s="195" t="s">
        <v>226</v>
      </c>
      <c r="B36" s="112">
        <v>0</v>
      </c>
      <c r="C36" s="112">
        <v>0</v>
      </c>
      <c r="D36" s="112">
        <v>1</v>
      </c>
      <c r="E36" s="112">
        <v>0</v>
      </c>
      <c r="F36" s="112">
        <v>1</v>
      </c>
      <c r="G36" s="112">
        <v>0</v>
      </c>
      <c r="H36" s="112">
        <v>0</v>
      </c>
      <c r="I36" s="112">
        <v>0</v>
      </c>
      <c r="J36" s="112">
        <v>1</v>
      </c>
      <c r="K36" s="112">
        <v>1</v>
      </c>
      <c r="L36" s="112">
        <v>1</v>
      </c>
      <c r="M36" s="112">
        <v>1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1</v>
      </c>
      <c r="W36" s="112">
        <v>0</v>
      </c>
      <c r="X36" s="112">
        <v>1</v>
      </c>
      <c r="Y36" s="112">
        <v>0</v>
      </c>
      <c r="Z36" s="112">
        <v>1</v>
      </c>
      <c r="AA36" s="112">
        <v>0</v>
      </c>
      <c r="AB36" s="112">
        <v>0</v>
      </c>
      <c r="AC36" s="112">
        <v>1</v>
      </c>
      <c r="AD36" s="112">
        <v>0</v>
      </c>
      <c r="AE36" s="112">
        <v>1</v>
      </c>
      <c r="AF36" s="112">
        <v>1</v>
      </c>
      <c r="AG36" s="112">
        <v>1</v>
      </c>
      <c r="AH36" s="112">
        <v>1</v>
      </c>
      <c r="AI36" s="112">
        <v>1</v>
      </c>
      <c r="AJ36" s="112">
        <v>0</v>
      </c>
      <c r="AK36" s="112">
        <v>0</v>
      </c>
      <c r="AL36" s="112">
        <v>0</v>
      </c>
      <c r="AM36" s="112">
        <v>0</v>
      </c>
    </row>
    <row r="37" spans="1:39" x14ac:dyDescent="0.15">
      <c r="A37" s="195" t="s">
        <v>227</v>
      </c>
      <c r="B37" s="112">
        <v>0</v>
      </c>
      <c r="C37" s="112">
        <v>0</v>
      </c>
      <c r="D37" s="112">
        <v>1</v>
      </c>
      <c r="E37" s="112">
        <v>0</v>
      </c>
      <c r="F37" s="112">
        <v>1</v>
      </c>
      <c r="G37" s="112">
        <v>0</v>
      </c>
      <c r="H37" s="112">
        <v>0</v>
      </c>
      <c r="I37" s="112">
        <v>0</v>
      </c>
      <c r="J37" s="112">
        <v>0</v>
      </c>
      <c r="K37" s="112">
        <v>1</v>
      </c>
      <c r="L37" s="112">
        <v>1</v>
      </c>
      <c r="M37" s="112">
        <v>0</v>
      </c>
      <c r="N37" s="112">
        <v>0</v>
      </c>
      <c r="O37" s="112">
        <v>0</v>
      </c>
      <c r="P37" s="112">
        <v>0</v>
      </c>
      <c r="Q37" s="112">
        <v>1</v>
      </c>
      <c r="R37" s="112">
        <v>0</v>
      </c>
      <c r="S37" s="112">
        <v>1</v>
      </c>
      <c r="T37" s="112">
        <v>1</v>
      </c>
      <c r="U37" s="112">
        <v>1</v>
      </c>
      <c r="V37" s="112">
        <v>1</v>
      </c>
      <c r="W37" s="112">
        <v>1</v>
      </c>
      <c r="X37" s="112">
        <v>1</v>
      </c>
      <c r="Y37" s="112">
        <v>1</v>
      </c>
      <c r="Z37" s="112">
        <v>1</v>
      </c>
      <c r="AA37" s="112">
        <v>0</v>
      </c>
      <c r="AB37" s="112">
        <v>0</v>
      </c>
      <c r="AC37" s="112">
        <v>1</v>
      </c>
      <c r="AD37" s="112">
        <v>1</v>
      </c>
      <c r="AE37" s="112">
        <v>1</v>
      </c>
      <c r="AF37" s="112">
        <v>1</v>
      </c>
      <c r="AG37" s="112">
        <v>1</v>
      </c>
      <c r="AH37" s="112">
        <v>0</v>
      </c>
      <c r="AI37" s="112">
        <v>0</v>
      </c>
      <c r="AJ37" s="112">
        <v>0</v>
      </c>
      <c r="AK37" s="112">
        <v>0</v>
      </c>
      <c r="AL37" s="112">
        <v>0</v>
      </c>
      <c r="AM37" s="112">
        <v>0</v>
      </c>
    </row>
    <row r="38" spans="1:39" x14ac:dyDescent="0.15">
      <c r="A38" s="195" t="s">
        <v>228</v>
      </c>
      <c r="B38" s="112">
        <v>0</v>
      </c>
      <c r="C38" s="112">
        <v>0</v>
      </c>
      <c r="D38" s="112">
        <v>1</v>
      </c>
      <c r="E38" s="112">
        <v>1</v>
      </c>
      <c r="F38" s="112">
        <v>1</v>
      </c>
      <c r="G38" s="112">
        <v>0</v>
      </c>
      <c r="H38" s="112">
        <v>0</v>
      </c>
      <c r="I38" s="112">
        <v>0</v>
      </c>
      <c r="J38" s="112">
        <v>1</v>
      </c>
      <c r="K38" s="112">
        <v>1</v>
      </c>
      <c r="L38" s="112">
        <v>0</v>
      </c>
      <c r="M38" s="112">
        <v>1</v>
      </c>
      <c r="N38" s="112">
        <v>1</v>
      </c>
      <c r="O38" s="112">
        <v>0</v>
      </c>
      <c r="P38" s="112">
        <v>0</v>
      </c>
      <c r="Q38" s="112">
        <v>0</v>
      </c>
      <c r="R38" s="112">
        <v>0</v>
      </c>
      <c r="S38" s="112">
        <v>1</v>
      </c>
      <c r="T38" s="112">
        <v>1</v>
      </c>
      <c r="U38" s="112">
        <v>0</v>
      </c>
      <c r="V38" s="112">
        <v>0</v>
      </c>
      <c r="W38" s="112">
        <v>1</v>
      </c>
      <c r="X38" s="112">
        <v>1</v>
      </c>
      <c r="Y38" s="112">
        <v>1</v>
      </c>
      <c r="Z38" s="112">
        <v>1</v>
      </c>
      <c r="AA38" s="112">
        <v>1</v>
      </c>
      <c r="AB38" s="112">
        <v>0</v>
      </c>
      <c r="AC38" s="112">
        <v>1</v>
      </c>
      <c r="AD38" s="112">
        <v>1</v>
      </c>
      <c r="AE38" s="112">
        <v>1</v>
      </c>
      <c r="AF38" s="112">
        <v>1</v>
      </c>
      <c r="AG38" s="112">
        <v>1</v>
      </c>
      <c r="AH38" s="112">
        <v>1</v>
      </c>
      <c r="AI38" s="112">
        <v>1</v>
      </c>
      <c r="AJ38" s="112">
        <v>0</v>
      </c>
      <c r="AK38" s="112">
        <v>0</v>
      </c>
      <c r="AL38" s="112">
        <v>0</v>
      </c>
      <c r="AM38" s="112">
        <v>0</v>
      </c>
    </row>
    <row r="39" spans="1:39" x14ac:dyDescent="0.15">
      <c r="A39" s="195" t="s">
        <v>229</v>
      </c>
      <c r="B39" s="112">
        <v>0</v>
      </c>
      <c r="C39" s="112">
        <v>0</v>
      </c>
      <c r="D39" s="112">
        <v>0</v>
      </c>
      <c r="E39" s="112">
        <v>0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0</v>
      </c>
      <c r="AF39" s="112">
        <v>0</v>
      </c>
      <c r="AG39" s="112">
        <v>0</v>
      </c>
      <c r="AH39" s="112">
        <v>0</v>
      </c>
      <c r="AI39" s="112">
        <v>0</v>
      </c>
      <c r="AJ39" s="112">
        <v>0</v>
      </c>
      <c r="AK39" s="112">
        <v>0</v>
      </c>
      <c r="AL39" s="112">
        <v>0</v>
      </c>
      <c r="AM39" s="112">
        <v>0</v>
      </c>
    </row>
    <row r="40" spans="1:39" x14ac:dyDescent="0.15">
      <c r="A40" s="195" t="s">
        <v>247</v>
      </c>
      <c r="B40" s="112">
        <v>0</v>
      </c>
      <c r="C40" s="112">
        <v>0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S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41.83203125" bestFit="1" customWidth="1"/>
    <col min="3" max="4" width="3.83203125" bestFit="1" customWidth="1"/>
    <col min="5" max="19" width="3.83203125" customWidth="1"/>
  </cols>
  <sheetData>
    <row r="1" spans="1:19" ht="112" x14ac:dyDescent="0.15">
      <c r="A1" s="5" t="s">
        <v>83</v>
      </c>
      <c r="B1" s="3" t="s">
        <v>0</v>
      </c>
      <c r="C1" s="198" t="s">
        <v>230</v>
      </c>
      <c r="D1" s="198" t="s">
        <v>231</v>
      </c>
      <c r="E1" s="198" t="s">
        <v>232</v>
      </c>
      <c r="F1" s="198" t="s">
        <v>233</v>
      </c>
      <c r="G1" s="198" t="s">
        <v>234</v>
      </c>
      <c r="H1" s="198" t="s">
        <v>235</v>
      </c>
      <c r="I1" s="198" t="s">
        <v>236</v>
      </c>
      <c r="J1" s="198" t="s">
        <v>237</v>
      </c>
      <c r="K1" s="198" t="s">
        <v>238</v>
      </c>
      <c r="L1" s="198" t="s">
        <v>239</v>
      </c>
      <c r="M1" s="198" t="s">
        <v>240</v>
      </c>
      <c r="N1" s="198" t="s">
        <v>241</v>
      </c>
      <c r="O1" s="198" t="s">
        <v>242</v>
      </c>
      <c r="P1" s="198" t="s">
        <v>243</v>
      </c>
      <c r="Q1" s="198" t="s">
        <v>244</v>
      </c>
      <c r="R1" s="198" t="s">
        <v>245</v>
      </c>
      <c r="S1" s="198" t="s">
        <v>246</v>
      </c>
    </row>
    <row r="2" spans="1:19" x14ac:dyDescent="0.15">
      <c r="A2">
        <v>1</v>
      </c>
      <c r="B2" s="197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0.8</v>
      </c>
      <c r="L2">
        <v>0.8</v>
      </c>
      <c r="M2">
        <v>0</v>
      </c>
      <c r="N2">
        <v>0</v>
      </c>
      <c r="O2">
        <v>0</v>
      </c>
      <c r="P2">
        <v>0.8</v>
      </c>
      <c r="Q2">
        <v>0.8</v>
      </c>
      <c r="R2">
        <v>0</v>
      </c>
      <c r="S2">
        <v>0.8</v>
      </c>
    </row>
    <row r="3" spans="1:19" x14ac:dyDescent="0.15">
      <c r="A3">
        <v>2</v>
      </c>
      <c r="B3" s="197" t="s">
        <v>193</v>
      </c>
      <c r="C3">
        <v>0.8</v>
      </c>
      <c r="D3">
        <v>0</v>
      </c>
      <c r="E3">
        <v>0</v>
      </c>
      <c r="F3">
        <v>0</v>
      </c>
      <c r="G3">
        <v>0</v>
      </c>
      <c r="H3">
        <v>0.8</v>
      </c>
      <c r="I3">
        <v>0.8</v>
      </c>
      <c r="J3">
        <v>0</v>
      </c>
      <c r="K3">
        <v>0.8</v>
      </c>
      <c r="L3">
        <v>0.8</v>
      </c>
      <c r="M3">
        <v>0</v>
      </c>
      <c r="N3">
        <v>0</v>
      </c>
      <c r="O3">
        <v>0.8</v>
      </c>
      <c r="P3">
        <v>0.8</v>
      </c>
      <c r="Q3">
        <v>0.8</v>
      </c>
      <c r="R3">
        <v>0.8</v>
      </c>
      <c r="S3">
        <v>0.8</v>
      </c>
    </row>
    <row r="4" spans="1:19" x14ac:dyDescent="0.15">
      <c r="A4">
        <v>3</v>
      </c>
      <c r="B4" s="197" t="s">
        <v>194</v>
      </c>
      <c r="C4">
        <v>0.8</v>
      </c>
      <c r="D4">
        <v>0</v>
      </c>
      <c r="E4">
        <v>0</v>
      </c>
      <c r="F4">
        <v>0</v>
      </c>
      <c r="G4">
        <v>0</v>
      </c>
      <c r="H4">
        <v>0</v>
      </c>
      <c r="I4">
        <v>0.8</v>
      </c>
      <c r="J4">
        <v>0</v>
      </c>
      <c r="K4">
        <v>0</v>
      </c>
      <c r="L4">
        <v>0</v>
      </c>
      <c r="M4">
        <v>0</v>
      </c>
      <c r="N4">
        <v>0</v>
      </c>
      <c r="O4">
        <v>0.8</v>
      </c>
      <c r="P4">
        <v>0.8</v>
      </c>
      <c r="Q4">
        <v>0</v>
      </c>
      <c r="R4">
        <v>0</v>
      </c>
      <c r="S4">
        <v>0.8</v>
      </c>
    </row>
    <row r="5" spans="1:19" x14ac:dyDescent="0.15">
      <c r="A5">
        <v>4</v>
      </c>
      <c r="B5" s="197" t="s">
        <v>195</v>
      </c>
      <c r="C5">
        <v>0.8</v>
      </c>
      <c r="D5">
        <v>0</v>
      </c>
      <c r="E5">
        <v>0</v>
      </c>
      <c r="F5">
        <v>0.8</v>
      </c>
      <c r="G5">
        <v>0</v>
      </c>
      <c r="H5">
        <v>0.8</v>
      </c>
      <c r="I5">
        <v>0.8</v>
      </c>
      <c r="J5">
        <v>0.8</v>
      </c>
      <c r="K5">
        <v>0.8</v>
      </c>
      <c r="L5">
        <v>0.8</v>
      </c>
      <c r="M5">
        <v>0.8</v>
      </c>
      <c r="N5">
        <v>0</v>
      </c>
      <c r="O5">
        <v>0.8</v>
      </c>
      <c r="P5">
        <v>0.8</v>
      </c>
      <c r="Q5">
        <v>0.8</v>
      </c>
      <c r="R5">
        <v>0.8</v>
      </c>
      <c r="S5">
        <v>0.8</v>
      </c>
    </row>
    <row r="6" spans="1:19" x14ac:dyDescent="0.15">
      <c r="A6">
        <v>5</v>
      </c>
      <c r="B6" s="197" t="s">
        <v>196</v>
      </c>
      <c r="C6">
        <v>0.8</v>
      </c>
      <c r="D6">
        <v>0.8</v>
      </c>
      <c r="E6">
        <v>0.8</v>
      </c>
      <c r="F6">
        <v>0.8</v>
      </c>
      <c r="G6">
        <v>0</v>
      </c>
      <c r="H6">
        <v>0.8</v>
      </c>
      <c r="I6">
        <v>0.8</v>
      </c>
      <c r="J6">
        <v>0</v>
      </c>
      <c r="K6">
        <v>0.8</v>
      </c>
      <c r="L6">
        <v>0.8</v>
      </c>
      <c r="M6">
        <v>0.8</v>
      </c>
      <c r="N6">
        <v>0</v>
      </c>
      <c r="O6">
        <v>0.8</v>
      </c>
      <c r="P6">
        <v>0.8</v>
      </c>
      <c r="Q6">
        <v>0.8</v>
      </c>
      <c r="R6">
        <v>0.8</v>
      </c>
      <c r="S6">
        <v>0.8</v>
      </c>
    </row>
    <row r="7" spans="1:19" x14ac:dyDescent="0.15">
      <c r="A7">
        <v>6</v>
      </c>
      <c r="B7" s="197" t="s">
        <v>197</v>
      </c>
      <c r="C7">
        <v>0.8</v>
      </c>
      <c r="D7">
        <v>0</v>
      </c>
      <c r="E7">
        <v>0</v>
      </c>
      <c r="F7">
        <v>0</v>
      </c>
      <c r="G7">
        <v>0</v>
      </c>
      <c r="H7">
        <v>0</v>
      </c>
      <c r="I7">
        <v>0.8</v>
      </c>
      <c r="J7">
        <v>0</v>
      </c>
      <c r="K7">
        <v>0</v>
      </c>
      <c r="L7">
        <v>0</v>
      </c>
      <c r="M7">
        <v>0</v>
      </c>
      <c r="N7">
        <v>0</v>
      </c>
      <c r="O7">
        <v>0.8</v>
      </c>
      <c r="P7">
        <v>0</v>
      </c>
      <c r="Q7">
        <v>0</v>
      </c>
      <c r="R7">
        <v>0</v>
      </c>
      <c r="S7">
        <v>0.8</v>
      </c>
    </row>
    <row r="8" spans="1:19" x14ac:dyDescent="0.15">
      <c r="A8">
        <v>7</v>
      </c>
      <c r="B8" s="197" t="s">
        <v>198</v>
      </c>
      <c r="C8">
        <v>0.8</v>
      </c>
      <c r="D8">
        <v>0.8</v>
      </c>
      <c r="E8">
        <v>0</v>
      </c>
      <c r="F8">
        <v>0</v>
      </c>
      <c r="G8">
        <v>0</v>
      </c>
      <c r="H8">
        <v>0</v>
      </c>
      <c r="I8">
        <v>0.8</v>
      </c>
      <c r="J8">
        <v>0</v>
      </c>
      <c r="K8">
        <v>0</v>
      </c>
      <c r="L8">
        <v>0.8</v>
      </c>
      <c r="M8">
        <v>0</v>
      </c>
      <c r="N8">
        <v>0</v>
      </c>
      <c r="O8">
        <v>0.8</v>
      </c>
      <c r="P8">
        <v>0.8</v>
      </c>
      <c r="Q8">
        <v>0.8</v>
      </c>
      <c r="R8">
        <v>0.8</v>
      </c>
      <c r="S8">
        <v>0.8</v>
      </c>
    </row>
    <row r="9" spans="1:19" x14ac:dyDescent="0.15">
      <c r="A9">
        <v>8</v>
      </c>
      <c r="B9" s="197" t="s">
        <v>199</v>
      </c>
      <c r="C9">
        <v>0.8</v>
      </c>
      <c r="D9">
        <v>0</v>
      </c>
      <c r="E9">
        <v>0.8</v>
      </c>
      <c r="F9">
        <v>0</v>
      </c>
      <c r="G9">
        <v>0</v>
      </c>
      <c r="H9">
        <v>0</v>
      </c>
      <c r="I9">
        <v>0.8</v>
      </c>
      <c r="J9">
        <v>0.8</v>
      </c>
      <c r="K9">
        <v>0</v>
      </c>
      <c r="L9">
        <v>0.8</v>
      </c>
      <c r="M9">
        <v>0.8</v>
      </c>
      <c r="N9">
        <v>0</v>
      </c>
      <c r="O9">
        <v>0.8</v>
      </c>
      <c r="P9">
        <v>0</v>
      </c>
      <c r="Q9">
        <v>0.8</v>
      </c>
      <c r="R9">
        <v>0.8</v>
      </c>
      <c r="S9">
        <v>0.8</v>
      </c>
    </row>
    <row r="10" spans="1:19" x14ac:dyDescent="0.15">
      <c r="A10">
        <v>9</v>
      </c>
      <c r="B10" s="197" t="s">
        <v>200</v>
      </c>
      <c r="C10">
        <v>0.8</v>
      </c>
      <c r="D10">
        <v>0.8</v>
      </c>
      <c r="E10">
        <v>0.8</v>
      </c>
      <c r="F10">
        <v>0</v>
      </c>
      <c r="G10">
        <v>0</v>
      </c>
      <c r="H10">
        <v>0</v>
      </c>
      <c r="I10">
        <v>0.8</v>
      </c>
      <c r="J10">
        <v>0</v>
      </c>
      <c r="K10">
        <v>0</v>
      </c>
      <c r="L10">
        <v>0</v>
      </c>
      <c r="M10">
        <v>0.8</v>
      </c>
      <c r="N10">
        <v>0.8</v>
      </c>
      <c r="O10">
        <v>0</v>
      </c>
      <c r="P10">
        <v>0</v>
      </c>
      <c r="Q10">
        <v>0</v>
      </c>
      <c r="R10">
        <v>0.8</v>
      </c>
      <c r="S10">
        <v>0.8</v>
      </c>
    </row>
    <row r="11" spans="1:19" x14ac:dyDescent="0.15">
      <c r="A11">
        <v>10</v>
      </c>
      <c r="B11" s="197" t="s">
        <v>201</v>
      </c>
      <c r="C11">
        <v>0.8</v>
      </c>
      <c r="D11">
        <v>0.8</v>
      </c>
      <c r="E11">
        <v>0.8</v>
      </c>
      <c r="F11">
        <v>0</v>
      </c>
      <c r="G11">
        <v>0</v>
      </c>
      <c r="H11">
        <v>0</v>
      </c>
      <c r="I11">
        <v>0.8</v>
      </c>
      <c r="J11">
        <v>0</v>
      </c>
      <c r="K11">
        <v>0</v>
      </c>
      <c r="L11">
        <v>0.8</v>
      </c>
      <c r="M11">
        <v>0.8</v>
      </c>
      <c r="N11">
        <v>0</v>
      </c>
      <c r="O11">
        <v>0.8</v>
      </c>
      <c r="P11">
        <v>0</v>
      </c>
      <c r="Q11">
        <v>0</v>
      </c>
      <c r="R11">
        <v>0.8</v>
      </c>
      <c r="S11">
        <v>0.8</v>
      </c>
    </row>
    <row r="12" spans="1:19" x14ac:dyDescent="0.15">
      <c r="A12">
        <v>11</v>
      </c>
      <c r="B12" s="197" t="s">
        <v>202</v>
      </c>
      <c r="C12">
        <v>0.8</v>
      </c>
      <c r="D12">
        <v>0</v>
      </c>
      <c r="E12">
        <v>0</v>
      </c>
      <c r="F12">
        <v>0</v>
      </c>
      <c r="G12">
        <v>0</v>
      </c>
      <c r="H12">
        <v>0</v>
      </c>
      <c r="I12">
        <v>0.8</v>
      </c>
      <c r="J12">
        <v>0</v>
      </c>
      <c r="K12">
        <v>0</v>
      </c>
      <c r="L12">
        <v>0.8</v>
      </c>
      <c r="M12">
        <v>0</v>
      </c>
      <c r="N12">
        <v>0</v>
      </c>
      <c r="O12">
        <v>0.8</v>
      </c>
      <c r="P12">
        <v>0</v>
      </c>
      <c r="Q12">
        <v>0</v>
      </c>
      <c r="R12">
        <v>0</v>
      </c>
      <c r="S12">
        <v>0.8</v>
      </c>
    </row>
    <row r="13" spans="1:19" x14ac:dyDescent="0.15">
      <c r="A13">
        <v>12</v>
      </c>
      <c r="B13" s="197" t="s">
        <v>203</v>
      </c>
      <c r="C13">
        <v>0.8</v>
      </c>
      <c r="D13">
        <v>0</v>
      </c>
      <c r="E13">
        <v>0.8</v>
      </c>
      <c r="F13">
        <v>0</v>
      </c>
      <c r="G13">
        <v>0</v>
      </c>
      <c r="H13">
        <v>0</v>
      </c>
      <c r="I13">
        <v>0.8</v>
      </c>
      <c r="J13">
        <v>0</v>
      </c>
      <c r="K13">
        <v>0.8</v>
      </c>
      <c r="L13">
        <v>0.8</v>
      </c>
      <c r="M13">
        <v>0.8</v>
      </c>
      <c r="N13">
        <v>0</v>
      </c>
      <c r="O13">
        <v>0.8</v>
      </c>
      <c r="P13">
        <v>0.8</v>
      </c>
      <c r="Q13">
        <v>0.8</v>
      </c>
      <c r="R13">
        <v>0.8</v>
      </c>
      <c r="S13">
        <v>0.8</v>
      </c>
    </row>
    <row r="14" spans="1:19" x14ac:dyDescent="0.15">
      <c r="A14">
        <v>13</v>
      </c>
      <c r="B14" s="197" t="s">
        <v>204</v>
      </c>
      <c r="C14">
        <v>0.8</v>
      </c>
      <c r="D14">
        <v>0</v>
      </c>
      <c r="E14">
        <v>0.8</v>
      </c>
      <c r="F14">
        <v>0</v>
      </c>
      <c r="G14">
        <v>0</v>
      </c>
      <c r="H14">
        <v>0</v>
      </c>
      <c r="I14">
        <v>0.8</v>
      </c>
      <c r="J14">
        <v>0</v>
      </c>
      <c r="K14">
        <v>0.8</v>
      </c>
      <c r="L14">
        <v>0.8</v>
      </c>
      <c r="M14">
        <v>0.8</v>
      </c>
      <c r="N14">
        <v>0</v>
      </c>
      <c r="O14">
        <v>0.8</v>
      </c>
      <c r="P14">
        <v>0.8</v>
      </c>
      <c r="Q14">
        <v>0.8</v>
      </c>
      <c r="R14">
        <v>0.8</v>
      </c>
      <c r="S14">
        <v>0.8</v>
      </c>
    </row>
    <row r="15" spans="1:19" x14ac:dyDescent="0.15">
      <c r="A15">
        <v>14</v>
      </c>
      <c r="B15" s="197" t="s">
        <v>205</v>
      </c>
      <c r="C15">
        <v>0.8</v>
      </c>
      <c r="D15">
        <v>0</v>
      </c>
      <c r="E15">
        <v>0</v>
      </c>
      <c r="F15">
        <v>0</v>
      </c>
      <c r="G15">
        <v>0</v>
      </c>
      <c r="H15">
        <v>0</v>
      </c>
      <c r="I15">
        <v>0.8</v>
      </c>
      <c r="J15">
        <v>0</v>
      </c>
      <c r="K15">
        <v>0.8</v>
      </c>
      <c r="L15">
        <v>0.8</v>
      </c>
      <c r="M15">
        <v>0</v>
      </c>
      <c r="N15">
        <v>0</v>
      </c>
      <c r="O15">
        <v>0</v>
      </c>
      <c r="P15">
        <v>0.8</v>
      </c>
      <c r="Q15">
        <v>0.8</v>
      </c>
      <c r="R15">
        <v>0.8</v>
      </c>
      <c r="S15">
        <v>0.8</v>
      </c>
    </row>
    <row r="16" spans="1:19" x14ac:dyDescent="0.15">
      <c r="A16">
        <v>15</v>
      </c>
      <c r="B16" s="197" t="s">
        <v>206</v>
      </c>
      <c r="C16">
        <v>0.8</v>
      </c>
      <c r="D16">
        <v>0</v>
      </c>
      <c r="E16">
        <v>0</v>
      </c>
      <c r="F16">
        <v>0.8</v>
      </c>
      <c r="G16">
        <v>0</v>
      </c>
      <c r="H16">
        <v>0.8</v>
      </c>
      <c r="I16">
        <v>0.8</v>
      </c>
      <c r="J16">
        <v>0</v>
      </c>
      <c r="K16">
        <v>0.8</v>
      </c>
      <c r="L16">
        <v>0.8</v>
      </c>
      <c r="M16">
        <v>0</v>
      </c>
      <c r="N16">
        <v>0</v>
      </c>
      <c r="O16">
        <v>0.8</v>
      </c>
      <c r="P16">
        <v>0.8</v>
      </c>
      <c r="Q16">
        <v>0.8</v>
      </c>
      <c r="R16">
        <v>0</v>
      </c>
      <c r="S16">
        <v>0.8</v>
      </c>
    </row>
    <row r="17" spans="1:19" x14ac:dyDescent="0.15">
      <c r="A17">
        <v>16</v>
      </c>
      <c r="B17" s="197" t="s">
        <v>207</v>
      </c>
      <c r="C17">
        <v>0.8</v>
      </c>
      <c r="D17">
        <v>0.8</v>
      </c>
      <c r="E17">
        <v>0</v>
      </c>
      <c r="F17">
        <v>0.8</v>
      </c>
      <c r="G17">
        <v>0</v>
      </c>
      <c r="H17">
        <v>0.8</v>
      </c>
      <c r="I17">
        <v>0.8</v>
      </c>
      <c r="J17">
        <v>0.8</v>
      </c>
      <c r="K17">
        <v>0.8</v>
      </c>
      <c r="L17">
        <v>0.8</v>
      </c>
      <c r="M17">
        <v>0</v>
      </c>
      <c r="N17">
        <v>0</v>
      </c>
      <c r="O17">
        <v>0.8</v>
      </c>
      <c r="P17">
        <v>0.8</v>
      </c>
      <c r="Q17">
        <v>0.8</v>
      </c>
      <c r="R17">
        <v>0.8</v>
      </c>
      <c r="S17">
        <v>0.8</v>
      </c>
    </row>
    <row r="18" spans="1:19" x14ac:dyDescent="0.15">
      <c r="A18">
        <v>17</v>
      </c>
      <c r="B18" s="197" t="s">
        <v>208</v>
      </c>
      <c r="C18">
        <v>0.8</v>
      </c>
      <c r="D18">
        <v>0.8</v>
      </c>
      <c r="E18">
        <v>0</v>
      </c>
      <c r="F18">
        <v>0</v>
      </c>
      <c r="G18">
        <v>0</v>
      </c>
      <c r="H18">
        <v>0.8</v>
      </c>
      <c r="I18">
        <v>0.8</v>
      </c>
      <c r="J18">
        <v>0</v>
      </c>
      <c r="K18">
        <v>0.8</v>
      </c>
      <c r="L18">
        <v>0.8</v>
      </c>
      <c r="M18">
        <v>0.8</v>
      </c>
      <c r="N18">
        <v>0</v>
      </c>
      <c r="O18">
        <v>0.8</v>
      </c>
      <c r="P18">
        <v>0.8</v>
      </c>
      <c r="Q18">
        <v>0.8</v>
      </c>
      <c r="R18">
        <v>0</v>
      </c>
      <c r="S18">
        <v>0.8</v>
      </c>
    </row>
    <row r="19" spans="1:19" x14ac:dyDescent="0.15">
      <c r="A19">
        <v>18</v>
      </c>
      <c r="B19" s="197" t="s">
        <v>209</v>
      </c>
      <c r="C19">
        <v>0.8</v>
      </c>
      <c r="D19">
        <v>0.8</v>
      </c>
      <c r="E19">
        <v>0.8</v>
      </c>
      <c r="F19">
        <v>0.8</v>
      </c>
      <c r="G19">
        <v>0</v>
      </c>
      <c r="H19">
        <v>0.8</v>
      </c>
      <c r="I19">
        <v>0.8</v>
      </c>
      <c r="J19">
        <v>0</v>
      </c>
      <c r="K19">
        <v>0.8</v>
      </c>
      <c r="L19">
        <v>0.8</v>
      </c>
      <c r="M19">
        <v>0.8</v>
      </c>
      <c r="N19">
        <v>0</v>
      </c>
      <c r="O19">
        <v>0.8</v>
      </c>
      <c r="P19">
        <v>0.8</v>
      </c>
      <c r="Q19">
        <v>0.8</v>
      </c>
      <c r="R19">
        <v>0.8</v>
      </c>
      <c r="S19">
        <v>0.8</v>
      </c>
    </row>
    <row r="20" spans="1:19" x14ac:dyDescent="0.15">
      <c r="A20">
        <v>19</v>
      </c>
      <c r="B20" s="197" t="s">
        <v>210</v>
      </c>
      <c r="C20">
        <v>0.8</v>
      </c>
      <c r="D20">
        <v>0.8</v>
      </c>
      <c r="E20">
        <v>0.8</v>
      </c>
      <c r="F20">
        <v>0</v>
      </c>
      <c r="G20">
        <v>0</v>
      </c>
      <c r="H20">
        <v>0.8</v>
      </c>
      <c r="I20">
        <v>0.8</v>
      </c>
      <c r="J20">
        <v>0.8</v>
      </c>
      <c r="K20">
        <v>0.8</v>
      </c>
      <c r="L20">
        <v>0.8</v>
      </c>
      <c r="M20">
        <v>0.8</v>
      </c>
      <c r="N20">
        <v>0</v>
      </c>
      <c r="O20">
        <v>0.8</v>
      </c>
      <c r="P20">
        <v>0.8</v>
      </c>
      <c r="Q20">
        <v>0.8</v>
      </c>
      <c r="R20">
        <v>0.8</v>
      </c>
      <c r="S20">
        <v>0.8</v>
      </c>
    </row>
    <row r="21" spans="1:19" x14ac:dyDescent="0.15">
      <c r="A21">
        <v>20</v>
      </c>
      <c r="B21" s="197" t="s">
        <v>211</v>
      </c>
      <c r="C21">
        <v>0.8</v>
      </c>
      <c r="D21">
        <v>0</v>
      </c>
      <c r="E21">
        <v>0</v>
      </c>
      <c r="F21">
        <v>0</v>
      </c>
      <c r="G21">
        <v>0</v>
      </c>
      <c r="H21">
        <v>0</v>
      </c>
      <c r="I21">
        <v>0.8</v>
      </c>
      <c r="J21">
        <v>0</v>
      </c>
      <c r="K21">
        <v>0.8</v>
      </c>
      <c r="L21">
        <v>0.8</v>
      </c>
      <c r="M21">
        <v>0</v>
      </c>
      <c r="N21">
        <v>0</v>
      </c>
      <c r="O21">
        <v>0.8</v>
      </c>
      <c r="P21">
        <v>0</v>
      </c>
      <c r="Q21">
        <v>0.8</v>
      </c>
      <c r="R21">
        <v>0</v>
      </c>
      <c r="S21">
        <v>0.8</v>
      </c>
    </row>
    <row r="22" spans="1:19" x14ac:dyDescent="0.15">
      <c r="A22">
        <v>21</v>
      </c>
      <c r="B22" s="197" t="s">
        <v>212</v>
      </c>
      <c r="C22">
        <v>0.8</v>
      </c>
      <c r="D22">
        <v>0</v>
      </c>
      <c r="E22">
        <v>0</v>
      </c>
      <c r="F22">
        <v>0</v>
      </c>
      <c r="G22">
        <v>0</v>
      </c>
      <c r="H22">
        <v>0.8</v>
      </c>
      <c r="I22">
        <v>0.8</v>
      </c>
      <c r="J22">
        <v>0</v>
      </c>
      <c r="K22">
        <v>0.8</v>
      </c>
      <c r="L22">
        <v>0</v>
      </c>
      <c r="M22">
        <v>0</v>
      </c>
      <c r="N22">
        <v>0</v>
      </c>
      <c r="O22">
        <v>0.8</v>
      </c>
      <c r="P22">
        <v>0.8</v>
      </c>
      <c r="Q22">
        <v>0.8</v>
      </c>
      <c r="R22">
        <v>0.8</v>
      </c>
      <c r="S22">
        <v>0.8</v>
      </c>
    </row>
    <row r="23" spans="1:19" x14ac:dyDescent="0.15">
      <c r="A23">
        <v>22</v>
      </c>
      <c r="B23" s="197" t="s">
        <v>213</v>
      </c>
      <c r="C23">
        <v>0.8</v>
      </c>
      <c r="D23">
        <v>0.8</v>
      </c>
      <c r="E23">
        <v>0</v>
      </c>
      <c r="F23">
        <v>0</v>
      </c>
      <c r="G23">
        <v>0</v>
      </c>
      <c r="H23">
        <v>0.8</v>
      </c>
      <c r="I23">
        <v>0.8</v>
      </c>
      <c r="J23">
        <v>0.8</v>
      </c>
      <c r="K23">
        <v>0.8</v>
      </c>
      <c r="L23">
        <v>0.8</v>
      </c>
      <c r="M23">
        <v>0</v>
      </c>
      <c r="N23">
        <v>0.8</v>
      </c>
      <c r="O23">
        <v>0.8</v>
      </c>
      <c r="P23">
        <v>0.8</v>
      </c>
      <c r="Q23">
        <v>0.8</v>
      </c>
      <c r="R23">
        <v>0.8</v>
      </c>
      <c r="S23">
        <v>0.8</v>
      </c>
    </row>
    <row r="24" spans="1:19" x14ac:dyDescent="0.15">
      <c r="A24">
        <v>23</v>
      </c>
      <c r="B24" s="197" t="s">
        <v>214</v>
      </c>
      <c r="C24">
        <v>0.8</v>
      </c>
      <c r="D24">
        <v>0.8</v>
      </c>
      <c r="E24">
        <v>0</v>
      </c>
      <c r="F24">
        <v>0.8</v>
      </c>
      <c r="G24">
        <v>0</v>
      </c>
      <c r="H24">
        <v>0</v>
      </c>
      <c r="I24">
        <v>0.8</v>
      </c>
      <c r="J24">
        <v>0</v>
      </c>
      <c r="K24">
        <v>0.8</v>
      </c>
      <c r="L24">
        <v>0</v>
      </c>
      <c r="M24">
        <v>0.8</v>
      </c>
      <c r="N24">
        <v>0.8</v>
      </c>
      <c r="O24">
        <v>0.8</v>
      </c>
      <c r="P24">
        <v>0</v>
      </c>
      <c r="Q24">
        <v>0</v>
      </c>
      <c r="R24">
        <v>0</v>
      </c>
      <c r="S24">
        <v>0.8</v>
      </c>
    </row>
    <row r="25" spans="1:19" x14ac:dyDescent="0.15">
      <c r="A25">
        <v>24</v>
      </c>
      <c r="B25" s="197" t="s">
        <v>215</v>
      </c>
      <c r="C25">
        <v>0.8</v>
      </c>
      <c r="D25">
        <v>0</v>
      </c>
      <c r="E25">
        <v>0</v>
      </c>
      <c r="F25">
        <v>0</v>
      </c>
      <c r="G25">
        <v>0</v>
      </c>
      <c r="H25">
        <v>0.8</v>
      </c>
      <c r="I25">
        <v>0</v>
      </c>
      <c r="J25">
        <v>0.8</v>
      </c>
      <c r="K25">
        <v>0</v>
      </c>
      <c r="L25">
        <v>0</v>
      </c>
      <c r="M25">
        <v>0</v>
      </c>
      <c r="N25">
        <v>0</v>
      </c>
      <c r="O25">
        <v>0</v>
      </c>
      <c r="P25">
        <v>0.8</v>
      </c>
      <c r="Q25">
        <v>0.8</v>
      </c>
      <c r="R25">
        <v>0</v>
      </c>
      <c r="S25">
        <v>0</v>
      </c>
    </row>
    <row r="26" spans="1:19" x14ac:dyDescent="0.15">
      <c r="A26">
        <v>25</v>
      </c>
      <c r="B26" s="197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15">
      <c r="A27">
        <v>26</v>
      </c>
      <c r="B27" s="197" t="s">
        <v>217</v>
      </c>
      <c r="C27">
        <v>0.8</v>
      </c>
      <c r="D27">
        <v>0.8</v>
      </c>
      <c r="E27">
        <v>0</v>
      </c>
      <c r="F27">
        <v>0.8</v>
      </c>
      <c r="G27">
        <v>0.8</v>
      </c>
      <c r="H27">
        <v>0</v>
      </c>
      <c r="I27">
        <v>0.8</v>
      </c>
      <c r="J27">
        <v>0.8</v>
      </c>
      <c r="K27">
        <v>0.8</v>
      </c>
      <c r="L27">
        <v>0.8</v>
      </c>
      <c r="M27">
        <v>0.8</v>
      </c>
      <c r="N27">
        <v>0</v>
      </c>
      <c r="O27">
        <v>0.8</v>
      </c>
      <c r="P27">
        <v>0.8</v>
      </c>
      <c r="Q27">
        <v>0.8</v>
      </c>
      <c r="R27">
        <v>0.8</v>
      </c>
      <c r="S27">
        <v>0.8</v>
      </c>
    </row>
    <row r="28" spans="1:19" x14ac:dyDescent="0.15">
      <c r="A28">
        <v>27</v>
      </c>
      <c r="B28" s="197" t="s">
        <v>218</v>
      </c>
      <c r="C28">
        <v>0.8</v>
      </c>
      <c r="D28">
        <v>0.8</v>
      </c>
      <c r="E28">
        <v>0</v>
      </c>
      <c r="F28">
        <v>0</v>
      </c>
      <c r="G28">
        <v>0.8</v>
      </c>
      <c r="H28">
        <v>0</v>
      </c>
      <c r="I28">
        <v>0.8</v>
      </c>
      <c r="J28">
        <v>0</v>
      </c>
      <c r="K28">
        <v>0.8</v>
      </c>
      <c r="L28">
        <v>0.8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0.8</v>
      </c>
    </row>
    <row r="29" spans="1:19" x14ac:dyDescent="0.15">
      <c r="A29">
        <v>28</v>
      </c>
      <c r="B29" s="197" t="s">
        <v>219</v>
      </c>
      <c r="C29">
        <v>0.8</v>
      </c>
      <c r="D29">
        <v>0</v>
      </c>
      <c r="E29">
        <v>0</v>
      </c>
      <c r="F29">
        <v>0</v>
      </c>
      <c r="G29">
        <v>0</v>
      </c>
      <c r="H29">
        <v>0</v>
      </c>
      <c r="I29">
        <v>0.8</v>
      </c>
      <c r="J29">
        <v>0.8</v>
      </c>
      <c r="K29">
        <v>0</v>
      </c>
      <c r="L29">
        <v>0</v>
      </c>
      <c r="M29">
        <v>0</v>
      </c>
      <c r="N29">
        <v>0</v>
      </c>
      <c r="O29">
        <v>0</v>
      </c>
      <c r="P29">
        <v>0.8</v>
      </c>
      <c r="Q29">
        <v>0.8</v>
      </c>
      <c r="R29">
        <v>0</v>
      </c>
      <c r="S29">
        <v>0</v>
      </c>
    </row>
    <row r="30" spans="1:19" x14ac:dyDescent="0.15">
      <c r="A30">
        <v>29</v>
      </c>
      <c r="B30" s="197" t="s">
        <v>220</v>
      </c>
      <c r="C30">
        <v>0.8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0.8</v>
      </c>
      <c r="K30">
        <v>0</v>
      </c>
      <c r="L30">
        <v>0</v>
      </c>
      <c r="M30">
        <v>0</v>
      </c>
      <c r="N30">
        <v>0</v>
      </c>
      <c r="O30">
        <v>0</v>
      </c>
      <c r="P30">
        <v>0.8</v>
      </c>
      <c r="Q30">
        <v>0</v>
      </c>
      <c r="R30">
        <v>0</v>
      </c>
      <c r="S30">
        <v>0</v>
      </c>
    </row>
    <row r="31" spans="1:19" x14ac:dyDescent="0.15">
      <c r="A31">
        <v>30</v>
      </c>
      <c r="B31" s="197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15">
      <c r="A32">
        <v>31</v>
      </c>
      <c r="B32" s="197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15">
      <c r="A33">
        <v>32</v>
      </c>
      <c r="B33" s="197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15">
      <c r="A34">
        <v>33</v>
      </c>
      <c r="B34" s="197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</row>
    <row r="35" spans="1:19" x14ac:dyDescent="0.15">
      <c r="A35">
        <v>34</v>
      </c>
      <c r="B35" s="197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15">
      <c r="A36">
        <v>35</v>
      </c>
      <c r="B36" s="197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</row>
    <row r="37" spans="1:19" x14ac:dyDescent="0.15">
      <c r="A37">
        <v>36</v>
      </c>
      <c r="B37" s="197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15">
      <c r="A38">
        <v>37</v>
      </c>
      <c r="B38" s="197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15">
      <c r="A39">
        <v>38</v>
      </c>
      <c r="B39" s="197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S39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41.83203125" bestFit="1" customWidth="1"/>
    <col min="3" max="4" width="3.83203125" bestFit="1" customWidth="1"/>
    <col min="5" max="19" width="3.83203125" customWidth="1"/>
  </cols>
  <sheetData>
    <row r="1" spans="1:19" ht="112" x14ac:dyDescent="0.15">
      <c r="A1" s="5" t="s">
        <v>82</v>
      </c>
      <c r="B1" s="3" t="s">
        <v>0</v>
      </c>
      <c r="C1" s="200" t="s">
        <v>230</v>
      </c>
      <c r="D1" s="200" t="s">
        <v>231</v>
      </c>
      <c r="E1" s="200" t="s">
        <v>232</v>
      </c>
      <c r="F1" s="200" t="s">
        <v>233</v>
      </c>
      <c r="G1" s="200" t="s">
        <v>234</v>
      </c>
      <c r="H1" s="200" t="s">
        <v>235</v>
      </c>
      <c r="I1" s="200" t="s">
        <v>236</v>
      </c>
      <c r="J1" s="200" t="s">
        <v>237</v>
      </c>
      <c r="K1" s="200" t="s">
        <v>238</v>
      </c>
      <c r="L1" s="200" t="s">
        <v>239</v>
      </c>
      <c r="M1" s="200" t="s">
        <v>240</v>
      </c>
      <c r="N1" s="200" t="s">
        <v>241</v>
      </c>
      <c r="O1" s="200" t="s">
        <v>242</v>
      </c>
      <c r="P1" s="200" t="s">
        <v>243</v>
      </c>
      <c r="Q1" s="200" t="s">
        <v>244</v>
      </c>
      <c r="R1" s="200" t="s">
        <v>245</v>
      </c>
      <c r="S1" s="200" t="s">
        <v>246</v>
      </c>
    </row>
    <row r="2" spans="1:19" x14ac:dyDescent="0.15">
      <c r="A2">
        <v>1</v>
      </c>
      <c r="B2" s="199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0.8</v>
      </c>
      <c r="L2">
        <v>0.8</v>
      </c>
      <c r="M2">
        <v>0</v>
      </c>
      <c r="N2">
        <v>0</v>
      </c>
      <c r="O2">
        <v>0</v>
      </c>
      <c r="P2">
        <v>0.8</v>
      </c>
      <c r="Q2">
        <v>0.8</v>
      </c>
      <c r="R2">
        <v>0</v>
      </c>
      <c r="S2">
        <v>0.8</v>
      </c>
    </row>
    <row r="3" spans="1:19" x14ac:dyDescent="0.15">
      <c r="A3">
        <v>2</v>
      </c>
      <c r="B3" s="199" t="s">
        <v>193</v>
      </c>
      <c r="C3">
        <v>0.8</v>
      </c>
      <c r="D3">
        <v>0</v>
      </c>
      <c r="E3">
        <v>0</v>
      </c>
      <c r="F3">
        <v>0</v>
      </c>
      <c r="G3">
        <v>0</v>
      </c>
      <c r="H3">
        <v>0.8</v>
      </c>
      <c r="I3">
        <v>0.8</v>
      </c>
      <c r="J3">
        <v>0</v>
      </c>
      <c r="K3">
        <v>0.8</v>
      </c>
      <c r="L3">
        <v>0.8</v>
      </c>
      <c r="M3">
        <v>0</v>
      </c>
      <c r="N3">
        <v>0</v>
      </c>
      <c r="O3">
        <v>0.8</v>
      </c>
      <c r="P3">
        <v>0.8</v>
      </c>
      <c r="Q3">
        <v>0.8</v>
      </c>
      <c r="R3">
        <v>0.8</v>
      </c>
      <c r="S3">
        <v>0.8</v>
      </c>
    </row>
    <row r="4" spans="1:19" x14ac:dyDescent="0.15">
      <c r="A4">
        <v>3</v>
      </c>
      <c r="B4" s="199" t="s">
        <v>194</v>
      </c>
      <c r="C4">
        <v>0.8</v>
      </c>
      <c r="D4">
        <v>0</v>
      </c>
      <c r="E4">
        <v>0</v>
      </c>
      <c r="F4">
        <v>0</v>
      </c>
      <c r="G4">
        <v>0</v>
      </c>
      <c r="H4">
        <v>0</v>
      </c>
      <c r="I4">
        <v>0.8</v>
      </c>
      <c r="J4">
        <v>0</v>
      </c>
      <c r="K4">
        <v>0</v>
      </c>
      <c r="L4">
        <v>0</v>
      </c>
      <c r="M4">
        <v>0</v>
      </c>
      <c r="N4">
        <v>0</v>
      </c>
      <c r="O4">
        <v>0.8</v>
      </c>
      <c r="P4">
        <v>0.8</v>
      </c>
      <c r="Q4">
        <v>0</v>
      </c>
      <c r="R4">
        <v>0</v>
      </c>
      <c r="S4">
        <v>0.8</v>
      </c>
    </row>
    <row r="5" spans="1:19" x14ac:dyDescent="0.15">
      <c r="A5">
        <v>4</v>
      </c>
      <c r="B5" s="199" t="s">
        <v>195</v>
      </c>
      <c r="C5">
        <v>0.8</v>
      </c>
      <c r="D5">
        <v>0</v>
      </c>
      <c r="E5">
        <v>0</v>
      </c>
      <c r="F5">
        <v>0.8</v>
      </c>
      <c r="G5">
        <v>0</v>
      </c>
      <c r="H5">
        <v>0.8</v>
      </c>
      <c r="I5">
        <v>0.8</v>
      </c>
      <c r="J5">
        <v>0.8</v>
      </c>
      <c r="K5">
        <v>0.8</v>
      </c>
      <c r="L5">
        <v>0.8</v>
      </c>
      <c r="M5">
        <v>0.8</v>
      </c>
      <c r="N5">
        <v>0</v>
      </c>
      <c r="O5">
        <v>0.8</v>
      </c>
      <c r="P5">
        <v>0.8</v>
      </c>
      <c r="Q5">
        <v>0.8</v>
      </c>
      <c r="R5">
        <v>0.8</v>
      </c>
      <c r="S5">
        <v>0.8</v>
      </c>
    </row>
    <row r="6" spans="1:19" x14ac:dyDescent="0.15">
      <c r="A6">
        <v>5</v>
      </c>
      <c r="B6" s="199" t="s">
        <v>196</v>
      </c>
      <c r="C6">
        <v>0.8</v>
      </c>
      <c r="D6">
        <v>0.8</v>
      </c>
      <c r="E6">
        <v>0.8</v>
      </c>
      <c r="F6">
        <v>0.8</v>
      </c>
      <c r="G6">
        <v>0</v>
      </c>
      <c r="H6">
        <v>0.8</v>
      </c>
      <c r="I6">
        <v>0.8</v>
      </c>
      <c r="J6">
        <v>0</v>
      </c>
      <c r="K6">
        <v>0.8</v>
      </c>
      <c r="L6">
        <v>0.8</v>
      </c>
      <c r="M6">
        <v>0.8</v>
      </c>
      <c r="N6">
        <v>0</v>
      </c>
      <c r="O6">
        <v>0.8</v>
      </c>
      <c r="P6">
        <v>0.8</v>
      </c>
      <c r="Q6">
        <v>0.8</v>
      </c>
      <c r="R6">
        <v>0.8</v>
      </c>
      <c r="S6">
        <v>0.8</v>
      </c>
    </row>
    <row r="7" spans="1:19" x14ac:dyDescent="0.15">
      <c r="A7">
        <v>6</v>
      </c>
      <c r="B7" s="199" t="s">
        <v>197</v>
      </c>
      <c r="C7">
        <v>0.8</v>
      </c>
      <c r="D7">
        <v>0</v>
      </c>
      <c r="E7">
        <v>0</v>
      </c>
      <c r="F7">
        <v>0</v>
      </c>
      <c r="G7">
        <v>0</v>
      </c>
      <c r="H7">
        <v>0</v>
      </c>
      <c r="I7">
        <v>0.8</v>
      </c>
      <c r="J7">
        <v>0</v>
      </c>
      <c r="K7">
        <v>0</v>
      </c>
      <c r="L7">
        <v>0</v>
      </c>
      <c r="M7">
        <v>0</v>
      </c>
      <c r="N7">
        <v>0</v>
      </c>
      <c r="O7">
        <v>0.8</v>
      </c>
      <c r="P7">
        <v>0</v>
      </c>
      <c r="Q7">
        <v>0</v>
      </c>
      <c r="R7">
        <v>0</v>
      </c>
      <c r="S7">
        <v>0.8</v>
      </c>
    </row>
    <row r="8" spans="1:19" x14ac:dyDescent="0.15">
      <c r="A8">
        <v>7</v>
      </c>
      <c r="B8" s="199" t="s">
        <v>198</v>
      </c>
      <c r="C8">
        <v>0.8</v>
      </c>
      <c r="D8">
        <v>0.8</v>
      </c>
      <c r="E8">
        <v>0</v>
      </c>
      <c r="F8">
        <v>0</v>
      </c>
      <c r="G8">
        <v>0</v>
      </c>
      <c r="H8">
        <v>0</v>
      </c>
      <c r="I8">
        <v>0.8</v>
      </c>
      <c r="J8">
        <v>0</v>
      </c>
      <c r="K8">
        <v>0</v>
      </c>
      <c r="L8">
        <v>0.8</v>
      </c>
      <c r="M8">
        <v>0</v>
      </c>
      <c r="N8">
        <v>0</v>
      </c>
      <c r="O8">
        <v>0.8</v>
      </c>
      <c r="P8">
        <v>0.8</v>
      </c>
      <c r="Q8">
        <v>0.8</v>
      </c>
      <c r="R8">
        <v>0.8</v>
      </c>
      <c r="S8">
        <v>0.8</v>
      </c>
    </row>
    <row r="9" spans="1:19" x14ac:dyDescent="0.15">
      <c r="A9">
        <v>8</v>
      </c>
      <c r="B9" s="199" t="s">
        <v>199</v>
      </c>
      <c r="C9">
        <v>0.8</v>
      </c>
      <c r="D9">
        <v>0</v>
      </c>
      <c r="E9">
        <v>0.8</v>
      </c>
      <c r="F9">
        <v>0</v>
      </c>
      <c r="G9">
        <v>0</v>
      </c>
      <c r="H9">
        <v>0</v>
      </c>
      <c r="I9">
        <v>0.8</v>
      </c>
      <c r="J9">
        <v>0.8</v>
      </c>
      <c r="K9">
        <v>0</v>
      </c>
      <c r="L9">
        <v>0.8</v>
      </c>
      <c r="M9">
        <v>0.8</v>
      </c>
      <c r="N9">
        <v>0</v>
      </c>
      <c r="O9">
        <v>0.8</v>
      </c>
      <c r="P9">
        <v>0</v>
      </c>
      <c r="Q9">
        <v>0.8</v>
      </c>
      <c r="R9">
        <v>0.8</v>
      </c>
      <c r="S9">
        <v>0.8</v>
      </c>
    </row>
    <row r="10" spans="1:19" x14ac:dyDescent="0.15">
      <c r="A10">
        <v>9</v>
      </c>
      <c r="B10" s="199" t="s">
        <v>200</v>
      </c>
      <c r="C10">
        <v>0.8</v>
      </c>
      <c r="D10">
        <v>0.8</v>
      </c>
      <c r="E10">
        <v>0.8</v>
      </c>
      <c r="F10">
        <v>0</v>
      </c>
      <c r="G10">
        <v>0</v>
      </c>
      <c r="H10">
        <v>0</v>
      </c>
      <c r="I10">
        <v>0.8</v>
      </c>
      <c r="J10">
        <v>0</v>
      </c>
      <c r="K10">
        <v>0</v>
      </c>
      <c r="L10">
        <v>0</v>
      </c>
      <c r="M10">
        <v>0.8</v>
      </c>
      <c r="N10">
        <v>0.8</v>
      </c>
      <c r="O10">
        <v>0</v>
      </c>
      <c r="P10">
        <v>0</v>
      </c>
      <c r="Q10">
        <v>0</v>
      </c>
      <c r="R10">
        <v>0.8</v>
      </c>
      <c r="S10">
        <v>0.8</v>
      </c>
    </row>
    <row r="11" spans="1:19" x14ac:dyDescent="0.15">
      <c r="A11">
        <v>10</v>
      </c>
      <c r="B11" s="199" t="s">
        <v>201</v>
      </c>
      <c r="C11">
        <v>0.8</v>
      </c>
      <c r="D11">
        <v>0.8</v>
      </c>
      <c r="E11">
        <v>0.8</v>
      </c>
      <c r="F11">
        <v>0</v>
      </c>
      <c r="G11">
        <v>0</v>
      </c>
      <c r="H11">
        <v>0</v>
      </c>
      <c r="I11">
        <v>0.8</v>
      </c>
      <c r="J11">
        <v>0</v>
      </c>
      <c r="K11">
        <v>0</v>
      </c>
      <c r="L11">
        <v>0.8</v>
      </c>
      <c r="M11">
        <v>0.8</v>
      </c>
      <c r="N11">
        <v>0</v>
      </c>
      <c r="O11">
        <v>0.8</v>
      </c>
      <c r="P11">
        <v>0</v>
      </c>
      <c r="Q11">
        <v>0</v>
      </c>
      <c r="R11">
        <v>0.8</v>
      </c>
      <c r="S11">
        <v>0.8</v>
      </c>
    </row>
    <row r="12" spans="1:19" x14ac:dyDescent="0.15">
      <c r="A12">
        <v>11</v>
      </c>
      <c r="B12" s="199" t="s">
        <v>202</v>
      </c>
      <c r="C12">
        <v>0.8</v>
      </c>
      <c r="D12">
        <v>0</v>
      </c>
      <c r="E12">
        <v>0</v>
      </c>
      <c r="F12">
        <v>0</v>
      </c>
      <c r="G12">
        <v>0</v>
      </c>
      <c r="H12">
        <v>0</v>
      </c>
      <c r="I12">
        <v>0.8</v>
      </c>
      <c r="J12">
        <v>0</v>
      </c>
      <c r="K12">
        <v>0</v>
      </c>
      <c r="L12">
        <v>0.8</v>
      </c>
      <c r="M12">
        <v>0</v>
      </c>
      <c r="N12">
        <v>0</v>
      </c>
      <c r="O12">
        <v>0.8</v>
      </c>
      <c r="P12">
        <v>0</v>
      </c>
      <c r="Q12">
        <v>0</v>
      </c>
      <c r="R12">
        <v>0</v>
      </c>
      <c r="S12">
        <v>0.8</v>
      </c>
    </row>
    <row r="13" spans="1:19" x14ac:dyDescent="0.15">
      <c r="A13">
        <v>12</v>
      </c>
      <c r="B13" s="199" t="s">
        <v>203</v>
      </c>
      <c r="C13">
        <v>0.8</v>
      </c>
      <c r="D13">
        <v>0</v>
      </c>
      <c r="E13">
        <v>0.8</v>
      </c>
      <c r="F13">
        <v>0</v>
      </c>
      <c r="G13">
        <v>0</v>
      </c>
      <c r="H13">
        <v>0</v>
      </c>
      <c r="I13">
        <v>0.8</v>
      </c>
      <c r="J13">
        <v>0</v>
      </c>
      <c r="K13">
        <v>0.8</v>
      </c>
      <c r="L13">
        <v>0.8</v>
      </c>
      <c r="M13">
        <v>0.8</v>
      </c>
      <c r="N13">
        <v>0</v>
      </c>
      <c r="O13">
        <v>0.8</v>
      </c>
      <c r="P13">
        <v>0.8</v>
      </c>
      <c r="Q13">
        <v>0.8</v>
      </c>
      <c r="R13">
        <v>0.8</v>
      </c>
      <c r="S13">
        <v>0.8</v>
      </c>
    </row>
    <row r="14" spans="1:19" x14ac:dyDescent="0.15">
      <c r="A14">
        <v>13</v>
      </c>
      <c r="B14" s="199" t="s">
        <v>204</v>
      </c>
      <c r="C14">
        <v>0.8</v>
      </c>
      <c r="D14">
        <v>0</v>
      </c>
      <c r="E14">
        <v>0.8</v>
      </c>
      <c r="F14">
        <v>0</v>
      </c>
      <c r="G14">
        <v>0</v>
      </c>
      <c r="H14">
        <v>0</v>
      </c>
      <c r="I14">
        <v>0.8</v>
      </c>
      <c r="J14">
        <v>0</v>
      </c>
      <c r="K14">
        <v>0.8</v>
      </c>
      <c r="L14">
        <v>0.8</v>
      </c>
      <c r="M14">
        <v>0.8</v>
      </c>
      <c r="N14">
        <v>0</v>
      </c>
      <c r="O14">
        <v>0.8</v>
      </c>
      <c r="P14">
        <v>0.8</v>
      </c>
      <c r="Q14">
        <v>0.8</v>
      </c>
      <c r="R14">
        <v>0.8</v>
      </c>
      <c r="S14">
        <v>0.8</v>
      </c>
    </row>
    <row r="15" spans="1:19" x14ac:dyDescent="0.15">
      <c r="A15">
        <v>14</v>
      </c>
      <c r="B15" s="199" t="s">
        <v>205</v>
      </c>
      <c r="C15">
        <v>0.8</v>
      </c>
      <c r="D15">
        <v>0</v>
      </c>
      <c r="E15">
        <v>0</v>
      </c>
      <c r="F15">
        <v>0</v>
      </c>
      <c r="G15">
        <v>0</v>
      </c>
      <c r="H15">
        <v>0</v>
      </c>
      <c r="I15">
        <v>0.8</v>
      </c>
      <c r="J15">
        <v>0</v>
      </c>
      <c r="K15">
        <v>0.8</v>
      </c>
      <c r="L15">
        <v>0.8</v>
      </c>
      <c r="M15">
        <v>0</v>
      </c>
      <c r="N15">
        <v>0</v>
      </c>
      <c r="O15">
        <v>0</v>
      </c>
      <c r="P15">
        <v>0.8</v>
      </c>
      <c r="Q15">
        <v>0.8</v>
      </c>
      <c r="R15">
        <v>0.8</v>
      </c>
      <c r="S15">
        <v>0.8</v>
      </c>
    </row>
    <row r="16" spans="1:19" x14ac:dyDescent="0.15">
      <c r="A16">
        <v>15</v>
      </c>
      <c r="B16" s="199" t="s">
        <v>206</v>
      </c>
      <c r="C16">
        <v>0.8</v>
      </c>
      <c r="D16">
        <v>0</v>
      </c>
      <c r="E16">
        <v>0</v>
      </c>
      <c r="F16">
        <v>0.8</v>
      </c>
      <c r="G16">
        <v>0</v>
      </c>
      <c r="H16">
        <v>0.8</v>
      </c>
      <c r="I16">
        <v>0.8</v>
      </c>
      <c r="J16">
        <v>0</v>
      </c>
      <c r="K16">
        <v>0.8</v>
      </c>
      <c r="L16">
        <v>0.8</v>
      </c>
      <c r="M16">
        <v>0</v>
      </c>
      <c r="N16">
        <v>0</v>
      </c>
      <c r="O16">
        <v>0.8</v>
      </c>
      <c r="P16">
        <v>0.8</v>
      </c>
      <c r="Q16">
        <v>0.8</v>
      </c>
      <c r="R16">
        <v>0</v>
      </c>
      <c r="S16">
        <v>0.8</v>
      </c>
    </row>
    <row r="17" spans="1:19" x14ac:dyDescent="0.15">
      <c r="A17">
        <v>16</v>
      </c>
      <c r="B17" s="199" t="s">
        <v>207</v>
      </c>
      <c r="C17">
        <v>0.8</v>
      </c>
      <c r="D17">
        <v>0.8</v>
      </c>
      <c r="E17">
        <v>0</v>
      </c>
      <c r="F17">
        <v>0.8</v>
      </c>
      <c r="G17">
        <v>0</v>
      </c>
      <c r="H17">
        <v>0.8</v>
      </c>
      <c r="I17">
        <v>0.8</v>
      </c>
      <c r="J17">
        <v>0.8</v>
      </c>
      <c r="K17">
        <v>0.8</v>
      </c>
      <c r="L17">
        <v>0.8</v>
      </c>
      <c r="M17">
        <v>0</v>
      </c>
      <c r="N17">
        <v>0</v>
      </c>
      <c r="O17">
        <v>0.8</v>
      </c>
      <c r="P17">
        <v>0.8</v>
      </c>
      <c r="Q17">
        <v>0.8</v>
      </c>
      <c r="R17">
        <v>0.8</v>
      </c>
      <c r="S17">
        <v>0.8</v>
      </c>
    </row>
    <row r="18" spans="1:19" x14ac:dyDescent="0.15">
      <c r="A18">
        <v>17</v>
      </c>
      <c r="B18" s="199" t="s">
        <v>208</v>
      </c>
      <c r="C18">
        <v>0.8</v>
      </c>
      <c r="D18">
        <v>0.8</v>
      </c>
      <c r="E18">
        <v>0</v>
      </c>
      <c r="F18">
        <v>0</v>
      </c>
      <c r="G18">
        <v>0</v>
      </c>
      <c r="H18">
        <v>0.8</v>
      </c>
      <c r="I18">
        <v>0.8</v>
      </c>
      <c r="J18">
        <v>0</v>
      </c>
      <c r="K18">
        <v>0.8</v>
      </c>
      <c r="L18">
        <v>0.8</v>
      </c>
      <c r="M18">
        <v>0.8</v>
      </c>
      <c r="N18">
        <v>0</v>
      </c>
      <c r="O18">
        <v>0.8</v>
      </c>
      <c r="P18">
        <v>0.8</v>
      </c>
      <c r="Q18">
        <v>0.8</v>
      </c>
      <c r="R18">
        <v>0</v>
      </c>
      <c r="S18">
        <v>0.8</v>
      </c>
    </row>
    <row r="19" spans="1:19" x14ac:dyDescent="0.15">
      <c r="A19">
        <v>18</v>
      </c>
      <c r="B19" s="199" t="s">
        <v>209</v>
      </c>
      <c r="C19">
        <v>0.8</v>
      </c>
      <c r="D19">
        <v>0.8</v>
      </c>
      <c r="E19">
        <v>0.8</v>
      </c>
      <c r="F19">
        <v>0.8</v>
      </c>
      <c r="G19">
        <v>0</v>
      </c>
      <c r="H19">
        <v>0.8</v>
      </c>
      <c r="I19">
        <v>0.8</v>
      </c>
      <c r="J19">
        <v>0</v>
      </c>
      <c r="K19">
        <v>0.8</v>
      </c>
      <c r="L19">
        <v>0.8</v>
      </c>
      <c r="M19">
        <v>0.8</v>
      </c>
      <c r="N19">
        <v>0</v>
      </c>
      <c r="O19">
        <v>0.8</v>
      </c>
      <c r="P19">
        <v>0.8</v>
      </c>
      <c r="Q19">
        <v>0.8</v>
      </c>
      <c r="R19">
        <v>0.8</v>
      </c>
      <c r="S19">
        <v>0.8</v>
      </c>
    </row>
    <row r="20" spans="1:19" x14ac:dyDescent="0.15">
      <c r="A20">
        <v>19</v>
      </c>
      <c r="B20" s="199" t="s">
        <v>210</v>
      </c>
      <c r="C20">
        <v>0.8</v>
      </c>
      <c r="D20">
        <v>0.8</v>
      </c>
      <c r="E20">
        <v>0.8</v>
      </c>
      <c r="F20">
        <v>0</v>
      </c>
      <c r="G20">
        <v>0</v>
      </c>
      <c r="H20">
        <v>0.8</v>
      </c>
      <c r="I20">
        <v>0.8</v>
      </c>
      <c r="J20">
        <v>0.8</v>
      </c>
      <c r="K20">
        <v>0.8</v>
      </c>
      <c r="L20">
        <v>0.8</v>
      </c>
      <c r="M20">
        <v>0.8</v>
      </c>
      <c r="N20">
        <v>0</v>
      </c>
      <c r="O20">
        <v>0.8</v>
      </c>
      <c r="P20">
        <v>0.8</v>
      </c>
      <c r="Q20">
        <v>0.8</v>
      </c>
      <c r="R20">
        <v>0.8</v>
      </c>
      <c r="S20">
        <v>0.8</v>
      </c>
    </row>
    <row r="21" spans="1:19" x14ac:dyDescent="0.15">
      <c r="A21">
        <v>20</v>
      </c>
      <c r="B21" s="199" t="s">
        <v>211</v>
      </c>
      <c r="C21">
        <v>0.8</v>
      </c>
      <c r="D21">
        <v>0</v>
      </c>
      <c r="E21">
        <v>0</v>
      </c>
      <c r="F21">
        <v>0</v>
      </c>
      <c r="G21">
        <v>0</v>
      </c>
      <c r="H21">
        <v>0</v>
      </c>
      <c r="I21">
        <v>0.8</v>
      </c>
      <c r="J21">
        <v>0</v>
      </c>
      <c r="K21">
        <v>0.8</v>
      </c>
      <c r="L21">
        <v>0.8</v>
      </c>
      <c r="M21">
        <v>0</v>
      </c>
      <c r="N21">
        <v>0</v>
      </c>
      <c r="O21">
        <v>0.8</v>
      </c>
      <c r="P21">
        <v>0</v>
      </c>
      <c r="Q21">
        <v>0.8</v>
      </c>
      <c r="R21">
        <v>0</v>
      </c>
      <c r="S21">
        <v>0.8</v>
      </c>
    </row>
    <row r="22" spans="1:19" x14ac:dyDescent="0.15">
      <c r="A22">
        <v>21</v>
      </c>
      <c r="B22" s="199" t="s">
        <v>212</v>
      </c>
      <c r="C22">
        <v>0.8</v>
      </c>
      <c r="D22">
        <v>0</v>
      </c>
      <c r="E22">
        <v>0</v>
      </c>
      <c r="F22">
        <v>0</v>
      </c>
      <c r="G22">
        <v>0</v>
      </c>
      <c r="H22">
        <v>0.8</v>
      </c>
      <c r="I22">
        <v>0.8</v>
      </c>
      <c r="J22">
        <v>0</v>
      </c>
      <c r="K22">
        <v>0.8</v>
      </c>
      <c r="L22">
        <v>0</v>
      </c>
      <c r="M22">
        <v>0</v>
      </c>
      <c r="N22">
        <v>0</v>
      </c>
      <c r="O22">
        <v>0.8</v>
      </c>
      <c r="P22">
        <v>0.8</v>
      </c>
      <c r="Q22">
        <v>0.8</v>
      </c>
      <c r="R22">
        <v>0.8</v>
      </c>
      <c r="S22">
        <v>0.8</v>
      </c>
    </row>
    <row r="23" spans="1:19" x14ac:dyDescent="0.15">
      <c r="A23">
        <v>22</v>
      </c>
      <c r="B23" s="199" t="s">
        <v>213</v>
      </c>
      <c r="C23">
        <v>0.8</v>
      </c>
      <c r="D23">
        <v>0.8</v>
      </c>
      <c r="E23">
        <v>0</v>
      </c>
      <c r="F23">
        <v>0</v>
      </c>
      <c r="G23">
        <v>0</v>
      </c>
      <c r="H23">
        <v>0.8</v>
      </c>
      <c r="I23">
        <v>0.8</v>
      </c>
      <c r="J23">
        <v>0.8</v>
      </c>
      <c r="K23">
        <v>0.8</v>
      </c>
      <c r="L23">
        <v>0.8</v>
      </c>
      <c r="M23">
        <v>0</v>
      </c>
      <c r="N23">
        <v>0.8</v>
      </c>
      <c r="O23">
        <v>0.8</v>
      </c>
      <c r="P23">
        <v>0.8</v>
      </c>
      <c r="Q23">
        <v>0.8</v>
      </c>
      <c r="R23">
        <v>0.8</v>
      </c>
      <c r="S23">
        <v>0.8</v>
      </c>
    </row>
    <row r="24" spans="1:19" x14ac:dyDescent="0.15">
      <c r="A24">
        <v>23</v>
      </c>
      <c r="B24" s="199" t="s">
        <v>214</v>
      </c>
      <c r="C24">
        <v>0.8</v>
      </c>
      <c r="D24">
        <v>0.8</v>
      </c>
      <c r="E24">
        <v>0</v>
      </c>
      <c r="F24">
        <v>0.8</v>
      </c>
      <c r="G24">
        <v>0</v>
      </c>
      <c r="H24">
        <v>0</v>
      </c>
      <c r="I24">
        <v>0.8</v>
      </c>
      <c r="J24">
        <v>0</v>
      </c>
      <c r="K24">
        <v>0.8</v>
      </c>
      <c r="L24">
        <v>0</v>
      </c>
      <c r="M24">
        <v>0.8</v>
      </c>
      <c r="N24">
        <v>0.8</v>
      </c>
      <c r="O24">
        <v>0.8</v>
      </c>
      <c r="P24">
        <v>0</v>
      </c>
      <c r="Q24">
        <v>0</v>
      </c>
      <c r="R24">
        <v>0</v>
      </c>
      <c r="S24">
        <v>0.8</v>
      </c>
    </row>
    <row r="25" spans="1:19" x14ac:dyDescent="0.15">
      <c r="A25">
        <v>24</v>
      </c>
      <c r="B25" s="199" t="s">
        <v>215</v>
      </c>
      <c r="C25">
        <v>0.8</v>
      </c>
      <c r="D25">
        <v>0</v>
      </c>
      <c r="E25">
        <v>0</v>
      </c>
      <c r="F25">
        <v>0</v>
      </c>
      <c r="G25">
        <v>0</v>
      </c>
      <c r="H25">
        <v>0.8</v>
      </c>
      <c r="I25">
        <v>0</v>
      </c>
      <c r="J25">
        <v>0.8</v>
      </c>
      <c r="K25">
        <v>0</v>
      </c>
      <c r="L25">
        <v>0</v>
      </c>
      <c r="M25">
        <v>0</v>
      </c>
      <c r="N25">
        <v>0</v>
      </c>
      <c r="O25">
        <v>0</v>
      </c>
      <c r="P25">
        <v>0.8</v>
      </c>
      <c r="Q25">
        <v>0.8</v>
      </c>
      <c r="R25">
        <v>0</v>
      </c>
      <c r="S25">
        <v>0</v>
      </c>
    </row>
    <row r="26" spans="1:19" x14ac:dyDescent="0.15">
      <c r="A26">
        <v>25</v>
      </c>
      <c r="B26" s="199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15">
      <c r="A27">
        <v>26</v>
      </c>
      <c r="B27" s="199" t="s">
        <v>217</v>
      </c>
      <c r="C27">
        <v>0.8</v>
      </c>
      <c r="D27">
        <v>0.8</v>
      </c>
      <c r="E27">
        <v>0</v>
      </c>
      <c r="F27">
        <v>0.8</v>
      </c>
      <c r="G27">
        <v>0.8</v>
      </c>
      <c r="H27">
        <v>0</v>
      </c>
      <c r="I27">
        <v>0.8</v>
      </c>
      <c r="J27">
        <v>0.8</v>
      </c>
      <c r="K27">
        <v>0.8</v>
      </c>
      <c r="L27">
        <v>0.8</v>
      </c>
      <c r="M27">
        <v>0.8</v>
      </c>
      <c r="N27">
        <v>0</v>
      </c>
      <c r="O27">
        <v>0.8</v>
      </c>
      <c r="P27">
        <v>0.8</v>
      </c>
      <c r="Q27">
        <v>0.8</v>
      </c>
      <c r="R27">
        <v>0.8</v>
      </c>
      <c r="S27">
        <v>0.8</v>
      </c>
    </row>
    <row r="28" spans="1:19" x14ac:dyDescent="0.15">
      <c r="A28">
        <v>27</v>
      </c>
      <c r="B28" s="199" t="s">
        <v>218</v>
      </c>
      <c r="C28">
        <v>0.8</v>
      </c>
      <c r="D28">
        <v>0.8</v>
      </c>
      <c r="E28">
        <v>0</v>
      </c>
      <c r="F28">
        <v>0</v>
      </c>
      <c r="G28">
        <v>0.8</v>
      </c>
      <c r="H28">
        <v>0</v>
      </c>
      <c r="I28">
        <v>0.8</v>
      </c>
      <c r="J28">
        <v>0</v>
      </c>
      <c r="K28">
        <v>0.8</v>
      </c>
      <c r="L28">
        <v>0.8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0.8</v>
      </c>
    </row>
    <row r="29" spans="1:19" x14ac:dyDescent="0.15">
      <c r="A29">
        <v>28</v>
      </c>
      <c r="B29" s="199" t="s">
        <v>219</v>
      </c>
      <c r="C29">
        <v>0.8</v>
      </c>
      <c r="D29">
        <v>0</v>
      </c>
      <c r="E29">
        <v>0</v>
      </c>
      <c r="F29">
        <v>0</v>
      </c>
      <c r="G29">
        <v>0</v>
      </c>
      <c r="H29">
        <v>0</v>
      </c>
      <c r="I29">
        <v>0.8</v>
      </c>
      <c r="J29">
        <v>0.8</v>
      </c>
      <c r="K29">
        <v>0</v>
      </c>
      <c r="L29">
        <v>0</v>
      </c>
      <c r="M29">
        <v>0</v>
      </c>
      <c r="N29">
        <v>0</v>
      </c>
      <c r="O29">
        <v>0</v>
      </c>
      <c r="P29">
        <v>0.8</v>
      </c>
      <c r="Q29">
        <v>0.8</v>
      </c>
      <c r="R29">
        <v>0</v>
      </c>
      <c r="S29">
        <v>0</v>
      </c>
    </row>
    <row r="30" spans="1:19" x14ac:dyDescent="0.15">
      <c r="A30">
        <v>29</v>
      </c>
      <c r="B30" s="199" t="s">
        <v>220</v>
      </c>
      <c r="C30">
        <v>0.8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0.8</v>
      </c>
      <c r="K30">
        <v>0</v>
      </c>
      <c r="L30">
        <v>0</v>
      </c>
      <c r="M30">
        <v>0</v>
      </c>
      <c r="N30">
        <v>0</v>
      </c>
      <c r="O30">
        <v>0</v>
      </c>
      <c r="P30">
        <v>0.8</v>
      </c>
      <c r="Q30">
        <v>0</v>
      </c>
      <c r="R30">
        <v>0</v>
      </c>
      <c r="S30">
        <v>0</v>
      </c>
    </row>
    <row r="31" spans="1:19" x14ac:dyDescent="0.15">
      <c r="A31">
        <v>30</v>
      </c>
      <c r="B31" s="199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15">
      <c r="A32">
        <v>31</v>
      </c>
      <c r="B32" s="199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15">
      <c r="A33">
        <v>32</v>
      </c>
      <c r="B33" s="199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15">
      <c r="A34">
        <v>33</v>
      </c>
      <c r="B34" s="199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</row>
    <row r="35" spans="1:19" x14ac:dyDescent="0.15">
      <c r="A35">
        <v>34</v>
      </c>
      <c r="B35" s="199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15">
      <c r="A36">
        <v>35</v>
      </c>
      <c r="B36" s="199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</row>
    <row r="37" spans="1:19" x14ac:dyDescent="0.15">
      <c r="A37">
        <v>36</v>
      </c>
      <c r="B37" s="199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15">
      <c r="A38">
        <v>37</v>
      </c>
      <c r="B38" s="199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15">
      <c r="A39">
        <v>38</v>
      </c>
      <c r="B39" s="199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6" sqref="K6"/>
    </sheetView>
  </sheetViews>
  <sheetFormatPr baseColWidth="10" defaultColWidth="8.83203125" defaultRowHeight="15" customHeight="1" x14ac:dyDescent="0.15"/>
  <cols>
    <col min="1" max="1" width="8.83203125" style="85"/>
    <col min="2" max="2" width="41.83203125" style="85" bestFit="1" customWidth="1"/>
    <col min="3" max="3" width="9.33203125" style="85" bestFit="1" customWidth="1"/>
    <col min="4" max="4" width="13" style="85" bestFit="1" customWidth="1"/>
    <col min="5" max="6" width="9.33203125" style="85" bestFit="1" customWidth="1"/>
    <col min="7" max="7" width="9.33203125" style="101" bestFit="1" customWidth="1"/>
    <col min="8" max="8" width="9.33203125" style="85" bestFit="1" customWidth="1"/>
    <col min="9" max="9" width="11" style="85" customWidth="1"/>
    <col min="10" max="10" width="8.83203125" style="85"/>
    <col min="15" max="16384" width="8.83203125" style="85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52">
        <v>1</v>
      </c>
      <c r="B2" s="152" t="s">
        <v>192</v>
      </c>
      <c r="C2" s="8">
        <v>3.9120180606842041</v>
      </c>
      <c r="D2" s="9">
        <v>4.5162481255829334E-3</v>
      </c>
      <c r="E2" s="9">
        <v>1.6399999856948853</v>
      </c>
      <c r="F2" s="9">
        <v>7.7049999237060547</v>
      </c>
      <c r="G2" s="9">
        <v>0.60000002384185791</v>
      </c>
      <c r="H2" s="9">
        <v>0.21284879744052887</v>
      </c>
      <c r="I2">
        <v>4.2699999175965786E-3</v>
      </c>
      <c r="J2"/>
    </row>
    <row r="3" spans="1:10" ht="15" customHeight="1" x14ac:dyDescent="0.15">
      <c r="A3" s="153">
        <v>2</v>
      </c>
      <c r="B3" s="153" t="s">
        <v>193</v>
      </c>
      <c r="C3" s="8">
        <v>3.2105231285095215</v>
      </c>
      <c r="D3" s="9">
        <v>0.18600000441074371</v>
      </c>
      <c r="E3" s="9">
        <v>0.59500002861022949</v>
      </c>
      <c r="F3" s="9">
        <v>5.8255906105041504</v>
      </c>
      <c r="G3" s="9">
        <v>0.74790877103805542</v>
      </c>
      <c r="H3" s="9">
        <v>0.10213556885719299</v>
      </c>
      <c r="I3">
        <v>7.9889997839927673E-2</v>
      </c>
      <c r="J3"/>
    </row>
    <row r="4" spans="1:10" ht="15" customHeight="1" x14ac:dyDescent="0.15">
      <c r="A4" s="154">
        <v>3</v>
      </c>
      <c r="B4" s="154" t="s">
        <v>194</v>
      </c>
      <c r="C4" s="8">
        <v>2.0330007076263428</v>
      </c>
      <c r="D4" s="9">
        <v>6.9542013108730316E-2</v>
      </c>
      <c r="E4" s="9">
        <v>2.6730000972747803</v>
      </c>
      <c r="F4" s="9">
        <v>21.509000778198242</v>
      </c>
      <c r="G4" s="9">
        <v>0.69990545511245728</v>
      </c>
      <c r="H4" s="9">
        <v>0.12427356094121933</v>
      </c>
      <c r="I4">
        <v>1.5650000423192978E-2</v>
      </c>
      <c r="J4"/>
    </row>
    <row r="5" spans="1:10" ht="15" customHeight="1" x14ac:dyDescent="0.15">
      <c r="A5" s="155">
        <v>4</v>
      </c>
      <c r="B5" s="155" t="s">
        <v>195</v>
      </c>
      <c r="C5" s="8">
        <v>3.9447259902954102</v>
      </c>
      <c r="D5" s="9">
        <v>0.3580000102519989</v>
      </c>
      <c r="E5" s="9">
        <v>2.4479999542236328</v>
      </c>
      <c r="F5" s="9">
        <v>10.562999725341797</v>
      </c>
      <c r="G5" s="9">
        <v>0.60872912406921387</v>
      </c>
      <c r="H5" s="9">
        <v>0.23175235092639923</v>
      </c>
      <c r="I5">
        <v>8.7880007922649384E-2</v>
      </c>
      <c r="J5"/>
    </row>
    <row r="6" spans="1:10" ht="15" customHeight="1" x14ac:dyDescent="0.15">
      <c r="A6" s="156">
        <v>5</v>
      </c>
      <c r="B6" s="156" t="s">
        <v>196</v>
      </c>
      <c r="C6" s="8">
        <v>3.1629855632781982</v>
      </c>
      <c r="D6" s="9">
        <v>1.4179999828338623</v>
      </c>
      <c r="E6" s="9">
        <v>3.9749999046325684</v>
      </c>
      <c r="F6" s="9">
        <v>13.546999931335449</v>
      </c>
      <c r="G6" s="9">
        <v>0.73266428709030151</v>
      </c>
      <c r="H6" s="9">
        <v>0.2934228777885437</v>
      </c>
      <c r="I6">
        <v>1.1633599996566772</v>
      </c>
      <c r="J6"/>
    </row>
    <row r="7" spans="1:10" ht="15" customHeight="1" x14ac:dyDescent="0.15">
      <c r="A7" s="157">
        <v>6</v>
      </c>
      <c r="B7" s="157" t="s">
        <v>197</v>
      </c>
      <c r="C7" s="8">
        <v>4.0039725303649902</v>
      </c>
      <c r="D7" s="9">
        <v>3.4320414066314697E-2</v>
      </c>
      <c r="E7" s="9">
        <v>1.4759999513626099</v>
      </c>
      <c r="F7" s="9">
        <v>7.0146379470825195</v>
      </c>
      <c r="G7" s="9">
        <v>0.69999998807907104</v>
      </c>
      <c r="H7" s="9">
        <v>0.21041712164878845</v>
      </c>
      <c r="I7">
        <v>3.1750001013278961E-2</v>
      </c>
      <c r="J7"/>
    </row>
    <row r="8" spans="1:10" ht="15" customHeight="1" x14ac:dyDescent="0.15">
      <c r="A8" s="158">
        <v>7</v>
      </c>
      <c r="B8" s="158" t="s">
        <v>198</v>
      </c>
      <c r="C8" s="8">
        <v>3.5964667797088623</v>
      </c>
      <c r="D8" s="9">
        <v>0.20541051030158997</v>
      </c>
      <c r="E8" s="9">
        <v>1.5460000038146973</v>
      </c>
      <c r="F8" s="9">
        <v>8.3739995956420898</v>
      </c>
      <c r="G8" s="9">
        <v>0.64999997615814209</v>
      </c>
      <c r="H8" s="9">
        <v>0.18461906909942627</v>
      </c>
      <c r="I8">
        <v>0.20148000121116638</v>
      </c>
      <c r="J8"/>
    </row>
    <row r="9" spans="1:10" ht="15" customHeight="1" x14ac:dyDescent="0.15">
      <c r="A9" s="159">
        <v>8</v>
      </c>
      <c r="B9" s="159" t="s">
        <v>199</v>
      </c>
      <c r="C9" s="8">
        <v>3.8487491607666016</v>
      </c>
      <c r="D9" s="9">
        <v>0.34058868885040283</v>
      </c>
      <c r="E9" s="9">
        <v>2.3299999237060547</v>
      </c>
      <c r="F9" s="9">
        <v>10.807999610900879</v>
      </c>
      <c r="G9" s="9">
        <v>0.69999760389328003</v>
      </c>
      <c r="H9" s="9">
        <v>0.21558104455471039</v>
      </c>
      <c r="I9">
        <v>0.3029400110244751</v>
      </c>
      <c r="J9"/>
    </row>
    <row r="10" spans="1:10" ht="15" customHeight="1" x14ac:dyDescent="0.15">
      <c r="A10" s="160">
        <v>9</v>
      </c>
      <c r="B10" s="160" t="s">
        <v>200</v>
      </c>
      <c r="C10" s="8">
        <v>2.74558424949646</v>
      </c>
      <c r="D10" s="9">
        <v>2.3959035873413086</v>
      </c>
      <c r="E10" s="9">
        <v>5.8080000877380371</v>
      </c>
      <c r="F10" s="9">
        <v>23.688999176025391</v>
      </c>
      <c r="G10" s="9">
        <v>0.84999763965606689</v>
      </c>
      <c r="H10" s="9">
        <v>0.24517710506916046</v>
      </c>
      <c r="I10">
        <v>1.6039999723434448</v>
      </c>
      <c r="J10"/>
    </row>
    <row r="11" spans="1:10" ht="15" customHeight="1" x14ac:dyDescent="0.15">
      <c r="A11" s="161">
        <v>10</v>
      </c>
      <c r="B11" s="161" t="s">
        <v>201</v>
      </c>
      <c r="C11" s="8">
        <v>2.387601375579834</v>
      </c>
      <c r="D11" s="9">
        <v>1.0265812873840332</v>
      </c>
      <c r="E11" s="9">
        <v>3.3900001049041748</v>
      </c>
      <c r="F11" s="9">
        <v>15.844465255737305</v>
      </c>
      <c r="G11" s="9">
        <v>0.79999738931655884</v>
      </c>
      <c r="H11" s="9">
        <v>0.21395485103130341</v>
      </c>
      <c r="I11">
        <v>0.63204997777938843</v>
      </c>
      <c r="J11"/>
    </row>
    <row r="12" spans="1:10" ht="15" customHeight="1" x14ac:dyDescent="0.15">
      <c r="A12" s="162">
        <v>11</v>
      </c>
      <c r="B12" s="162" t="s">
        <v>202</v>
      </c>
      <c r="C12" s="8">
        <v>2.3412911891937256</v>
      </c>
      <c r="D12" s="9">
        <v>0.17773324251174927</v>
      </c>
      <c r="E12" s="9">
        <v>1.9600000381469727</v>
      </c>
      <c r="F12" s="9">
        <v>10.845293045043945</v>
      </c>
      <c r="G12" s="9">
        <v>0.64999997615814209</v>
      </c>
      <c r="H12" s="9">
        <v>0.18072356283664703</v>
      </c>
      <c r="I12">
        <v>0.16939999163150787</v>
      </c>
      <c r="J12"/>
    </row>
    <row r="13" spans="1:10" ht="15" customHeight="1" x14ac:dyDescent="0.15">
      <c r="A13" s="163">
        <v>12</v>
      </c>
      <c r="B13" s="163" t="s">
        <v>203</v>
      </c>
      <c r="C13" s="8">
        <v>3.0421080589294434</v>
      </c>
      <c r="D13" s="9">
        <v>1.3019936084747314</v>
      </c>
      <c r="E13" s="9">
        <v>2.9000000953674316</v>
      </c>
      <c r="F13" s="9">
        <v>13.968000411987305</v>
      </c>
      <c r="G13" s="9">
        <v>0.62999743223190308</v>
      </c>
      <c r="H13" s="9">
        <v>0.20761741697788239</v>
      </c>
      <c r="I13">
        <v>1.2714300155639648</v>
      </c>
      <c r="J13"/>
    </row>
    <row r="14" spans="1:10" ht="15" customHeight="1" x14ac:dyDescent="0.15">
      <c r="A14" s="164">
        <v>13</v>
      </c>
      <c r="B14" s="164" t="s">
        <v>204</v>
      </c>
      <c r="C14" s="8">
        <v>3.7927470207214355</v>
      </c>
      <c r="D14" s="9">
        <v>0.50553995370864868</v>
      </c>
      <c r="E14" s="9">
        <v>1.9600000381469727</v>
      </c>
      <c r="F14" s="9">
        <v>8.9700002670288086</v>
      </c>
      <c r="G14" s="9">
        <v>0.59999924898147583</v>
      </c>
      <c r="H14" s="9">
        <v>0.21850612759590149</v>
      </c>
      <c r="I14">
        <v>0.48699000477790833</v>
      </c>
      <c r="J14"/>
    </row>
    <row r="15" spans="1:10" ht="15" customHeight="1" x14ac:dyDescent="0.15">
      <c r="A15" s="165">
        <v>14</v>
      </c>
      <c r="B15" s="165" t="s">
        <v>205</v>
      </c>
      <c r="C15" s="8">
        <v>3.7318720817565918</v>
      </c>
      <c r="D15" s="9">
        <v>2.8166266158223152E-2</v>
      </c>
      <c r="E15" s="9">
        <v>1.8400000333786011</v>
      </c>
      <c r="F15" s="9">
        <v>9.107426643371582</v>
      </c>
      <c r="G15" s="9">
        <v>0.69998347759246826</v>
      </c>
      <c r="H15" s="9">
        <v>0.20203292369842529</v>
      </c>
      <c r="I15">
        <v>3.0260000377893448E-2</v>
      </c>
      <c r="J15"/>
    </row>
    <row r="16" spans="1:10" ht="15" customHeight="1" x14ac:dyDescent="0.15">
      <c r="A16" s="166">
        <v>15</v>
      </c>
      <c r="B16" s="166" t="s">
        <v>206</v>
      </c>
      <c r="C16" s="8">
        <v>3.7700796127319336</v>
      </c>
      <c r="D16" s="9">
        <v>0.10687999427318573</v>
      </c>
      <c r="E16" s="9">
        <v>2.1600000858306885</v>
      </c>
      <c r="F16" s="9">
        <v>10.119999885559082</v>
      </c>
      <c r="G16" s="9">
        <v>0.93499046564102173</v>
      </c>
      <c r="H16" s="9">
        <v>0.21343874931335449</v>
      </c>
      <c r="I16">
        <v>0.205159991979599</v>
      </c>
      <c r="J16"/>
    </row>
    <row r="17" spans="1:10" ht="15" customHeight="1" x14ac:dyDescent="0.15">
      <c r="A17" s="167">
        <v>16</v>
      </c>
      <c r="B17" s="167" t="s">
        <v>207</v>
      </c>
      <c r="C17" s="8">
        <v>3.4986298084259033</v>
      </c>
      <c r="D17" s="9">
        <v>0.4012315571308136</v>
      </c>
      <c r="E17" s="9">
        <v>2.2799999713897705</v>
      </c>
      <c r="F17" s="9">
        <v>11.077796936035156</v>
      </c>
      <c r="G17" s="9">
        <v>0.79999089241027832</v>
      </c>
      <c r="H17" s="9">
        <v>0.2058170884847641</v>
      </c>
      <c r="I17">
        <v>0.53235000371932983</v>
      </c>
      <c r="J17"/>
    </row>
    <row r="18" spans="1:10" ht="15" customHeight="1" x14ac:dyDescent="0.15">
      <c r="A18" s="168">
        <v>17</v>
      </c>
      <c r="B18" s="168" t="s">
        <v>208</v>
      </c>
      <c r="C18" s="8">
        <v>3.6105647087097168</v>
      </c>
      <c r="D18" s="9">
        <v>0.13567999005317688</v>
      </c>
      <c r="E18" s="9">
        <v>2.5680000782012939</v>
      </c>
      <c r="F18" s="9">
        <v>11.050000190734863</v>
      </c>
      <c r="G18" s="9">
        <v>0.91788333654403687</v>
      </c>
      <c r="H18" s="9">
        <v>0.23239819705486298</v>
      </c>
      <c r="I18">
        <v>0.15845000743865967</v>
      </c>
      <c r="J18"/>
    </row>
    <row r="19" spans="1:10" ht="15" customHeight="1" x14ac:dyDescent="0.15">
      <c r="A19" s="169">
        <v>18</v>
      </c>
      <c r="B19" s="169" t="s">
        <v>209</v>
      </c>
      <c r="C19" s="8">
        <v>3.3174710273742676</v>
      </c>
      <c r="D19" s="9">
        <v>0.64879995584487915</v>
      </c>
      <c r="E19" s="9">
        <v>3.9059998989105225</v>
      </c>
      <c r="F19" s="9">
        <v>14.060000419616699</v>
      </c>
      <c r="G19" s="9">
        <v>0.95981341600418091</v>
      </c>
      <c r="H19" s="9">
        <v>0.27780938148498535</v>
      </c>
      <c r="I19">
        <v>1.2624201774597168</v>
      </c>
      <c r="J19"/>
    </row>
    <row r="20" spans="1:10" ht="15" customHeight="1" x14ac:dyDescent="0.15">
      <c r="A20" s="170">
        <v>19</v>
      </c>
      <c r="B20" s="170" t="s">
        <v>210</v>
      </c>
      <c r="C20" s="8">
        <v>2.0063009262084961</v>
      </c>
      <c r="D20" s="9">
        <v>0.59296000003814697</v>
      </c>
      <c r="E20" s="9">
        <v>4.6719999313354492</v>
      </c>
      <c r="F20" s="9">
        <v>21.48052978515625</v>
      </c>
      <c r="G20" s="9">
        <v>0.89869868755340576</v>
      </c>
      <c r="H20" s="9">
        <v>0.21749928593635559</v>
      </c>
      <c r="I20">
        <v>0.87797993421554565</v>
      </c>
      <c r="J20"/>
    </row>
    <row r="21" spans="1:10" ht="15" customHeight="1" x14ac:dyDescent="0.15">
      <c r="A21" s="171">
        <v>20</v>
      </c>
      <c r="B21" s="171" t="s">
        <v>211</v>
      </c>
      <c r="C21" s="8">
        <v>2.4875712394714355</v>
      </c>
      <c r="D21" s="9">
        <v>0.21279999613761902</v>
      </c>
      <c r="E21" s="9">
        <v>3.1180000305175781</v>
      </c>
      <c r="F21" s="9">
        <v>16.011142730712891</v>
      </c>
      <c r="G21" s="9">
        <v>0.9146960973739624</v>
      </c>
      <c r="H21" s="9">
        <v>0.19473938643932343</v>
      </c>
      <c r="I21">
        <v>2.0789999514818192E-2</v>
      </c>
      <c r="J21"/>
    </row>
    <row r="22" spans="1:10" ht="15" customHeight="1" x14ac:dyDescent="0.15">
      <c r="A22" s="172">
        <v>21</v>
      </c>
      <c r="B22" s="172" t="s">
        <v>212</v>
      </c>
      <c r="C22" s="8">
        <v>2.7748994827270508</v>
      </c>
      <c r="D22" s="9">
        <v>0.31136000156402588</v>
      </c>
      <c r="E22" s="9">
        <v>3.815000057220459</v>
      </c>
      <c r="F22" s="9">
        <v>16.706716537475586</v>
      </c>
      <c r="G22" s="9">
        <v>0.91135716438293457</v>
      </c>
      <c r="H22" s="9">
        <v>0.22835128009319305</v>
      </c>
      <c r="I22">
        <v>5.4869998246431351E-2</v>
      </c>
      <c r="J22"/>
    </row>
    <row r="23" spans="1:10" ht="15" customHeight="1" x14ac:dyDescent="0.15">
      <c r="A23" s="173">
        <v>22</v>
      </c>
      <c r="B23" s="173" t="s">
        <v>213</v>
      </c>
      <c r="C23" s="8">
        <v>2.5104610919952393</v>
      </c>
      <c r="D23" s="9">
        <v>3.5277879238128662</v>
      </c>
      <c r="E23" s="9">
        <v>5.0500001907348633</v>
      </c>
      <c r="F23" s="9">
        <v>22</v>
      </c>
      <c r="G23" s="9">
        <v>0.89999836683273315</v>
      </c>
      <c r="H23" s="9">
        <v>0.22954545915126801</v>
      </c>
      <c r="I23">
        <v>1.3782798051834106</v>
      </c>
      <c r="J23"/>
    </row>
    <row r="24" spans="1:10" ht="15" customHeight="1" x14ac:dyDescent="0.15">
      <c r="A24" s="174">
        <v>23</v>
      </c>
      <c r="B24" s="174" t="s">
        <v>214</v>
      </c>
      <c r="C24" s="8">
        <v>2.6250872611999512</v>
      </c>
      <c r="D24" s="9">
        <v>2.5008144378662109</v>
      </c>
      <c r="E24" s="9">
        <v>5.7899999618530273</v>
      </c>
      <c r="F24" s="9">
        <v>25.940000534057617</v>
      </c>
      <c r="G24" s="9">
        <v>0.79999423027038574</v>
      </c>
      <c r="H24" s="9">
        <v>0.22320739924907684</v>
      </c>
      <c r="I24">
        <v>0.11569000035524368</v>
      </c>
      <c r="J24"/>
    </row>
    <row r="25" spans="1:10" ht="15" customHeight="1" x14ac:dyDescent="0.15">
      <c r="A25" s="175">
        <v>24</v>
      </c>
      <c r="B25" s="175" t="s">
        <v>215</v>
      </c>
      <c r="C25" s="8">
        <v>2.7648348808288574</v>
      </c>
      <c r="D25" s="9">
        <v>0.82492917776107788</v>
      </c>
      <c r="E25" s="9">
        <v>2.5</v>
      </c>
      <c r="F25" s="9">
        <v>12.149999618530273</v>
      </c>
      <c r="G25" s="9">
        <v>0.64999288320541382</v>
      </c>
      <c r="H25" s="9">
        <v>0.20576132833957672</v>
      </c>
      <c r="I25">
        <v>1.7499999376013875E-3</v>
      </c>
      <c r="J25"/>
    </row>
    <row r="26" spans="1:10" ht="15" customHeight="1" x14ac:dyDescent="0.15">
      <c r="A26" s="176">
        <v>25</v>
      </c>
      <c r="B26" s="176" t="s">
        <v>216</v>
      </c>
      <c r="C26" s="8">
        <v>2.2328338623046875</v>
      </c>
      <c r="D26" s="9">
        <v>9.9568653106689453</v>
      </c>
      <c r="E26" s="9">
        <v>8.3500003814697266</v>
      </c>
      <c r="F26" s="9">
        <v>33.400001525878906</v>
      </c>
      <c r="G26" s="9">
        <v>0.79999810457229614</v>
      </c>
      <c r="H26" s="9">
        <v>0.25</v>
      </c>
      <c r="I26">
        <v>0</v>
      </c>
      <c r="J26"/>
    </row>
    <row r="27" spans="1:10" ht="15" customHeight="1" x14ac:dyDescent="0.15">
      <c r="A27" s="177">
        <v>26</v>
      </c>
      <c r="B27" s="177" t="s">
        <v>217</v>
      </c>
      <c r="C27" s="8">
        <v>3.4658987522125244</v>
      </c>
      <c r="D27" s="9">
        <v>0.85789865255355835</v>
      </c>
      <c r="E27" s="9">
        <v>3.6400001049041748</v>
      </c>
      <c r="F27" s="9">
        <v>16.639999389648438</v>
      </c>
      <c r="G27" s="9">
        <v>0.69999170303344727</v>
      </c>
      <c r="H27" s="9">
        <v>0.21875001490116119</v>
      </c>
      <c r="I27">
        <v>0.39642998576164246</v>
      </c>
      <c r="J27"/>
    </row>
    <row r="28" spans="1:10" ht="15" customHeight="1" x14ac:dyDescent="0.15">
      <c r="A28" s="178">
        <v>27</v>
      </c>
      <c r="B28" s="178" t="s">
        <v>218</v>
      </c>
      <c r="C28" s="8">
        <v>3.2460658550262451</v>
      </c>
      <c r="D28" s="9">
        <v>6.9568678736686707E-2</v>
      </c>
      <c r="E28" s="9">
        <v>1.6399999856948853</v>
      </c>
      <c r="F28" s="9">
        <v>7.3000001907348633</v>
      </c>
      <c r="G28" s="9">
        <v>0.64999336004257202</v>
      </c>
      <c r="H28" s="9">
        <v>0.22465752065181732</v>
      </c>
      <c r="I28">
        <v>1.9179997965693474E-2</v>
      </c>
      <c r="J28"/>
    </row>
    <row r="29" spans="1:10" ht="15" customHeight="1" x14ac:dyDescent="0.15">
      <c r="A29" s="179">
        <v>28</v>
      </c>
      <c r="B29" s="179" t="s">
        <v>219</v>
      </c>
      <c r="C29" s="8">
        <v>2.084420919418335</v>
      </c>
      <c r="D29" s="9">
        <v>23.775766372680664</v>
      </c>
      <c r="E29" s="9">
        <v>3.5150001049041748</v>
      </c>
      <c r="F29" s="9">
        <v>12.75</v>
      </c>
      <c r="G29" s="9">
        <v>0.69999986886978149</v>
      </c>
      <c r="H29" s="9">
        <v>0.27568629384040833</v>
      </c>
      <c r="I29">
        <v>0.3530299961566925</v>
      </c>
      <c r="J29"/>
    </row>
    <row r="30" spans="1:10" ht="15" customHeight="1" x14ac:dyDescent="0.15">
      <c r="A30" s="180">
        <v>29</v>
      </c>
      <c r="B30" s="180" t="s">
        <v>220</v>
      </c>
      <c r="C30" s="8">
        <v>2</v>
      </c>
      <c r="D30" s="9">
        <v>0.21144355833530426</v>
      </c>
      <c r="E30" s="9">
        <v>0.97000002861022949</v>
      </c>
      <c r="F30" s="9">
        <v>3.880000114440918</v>
      </c>
      <c r="G30" s="9">
        <v>0.69999980926513672</v>
      </c>
      <c r="H30" s="9">
        <v>0.25</v>
      </c>
      <c r="I30">
        <v>2.4329999461770058E-2</v>
      </c>
      <c r="J30"/>
    </row>
    <row r="31" spans="1:10" ht="15" customHeight="1" x14ac:dyDescent="0.15">
      <c r="A31" s="181">
        <v>30</v>
      </c>
      <c r="B31" s="181" t="s">
        <v>221</v>
      </c>
      <c r="C31" s="8">
        <v>2.3370151519775391</v>
      </c>
      <c r="D31" s="9">
        <v>9.2997770309448242</v>
      </c>
      <c r="E31" s="9">
        <v>1.2374999523162842</v>
      </c>
      <c r="F31" s="9">
        <v>4.9499998092651367</v>
      </c>
      <c r="G31" s="9">
        <v>0.69999986886978149</v>
      </c>
      <c r="H31" s="9">
        <v>0.25</v>
      </c>
      <c r="I31">
        <v>0</v>
      </c>
      <c r="J31"/>
    </row>
    <row r="32" spans="1:10" ht="15" customHeight="1" x14ac:dyDescent="0.15">
      <c r="A32" s="209">
        <v>31</v>
      </c>
      <c r="B32" s="209" t="s">
        <v>222</v>
      </c>
      <c r="C32" s="8">
        <v>2.0614230632781982</v>
      </c>
      <c r="D32" s="9">
        <v>5.72540283203125</v>
      </c>
      <c r="E32" s="9">
        <v>7.1999998092651367</v>
      </c>
      <c r="F32" s="9">
        <v>26</v>
      </c>
      <c r="G32" s="9">
        <v>0.69999796152114868</v>
      </c>
      <c r="H32" s="9">
        <v>0.27692306041717529</v>
      </c>
      <c r="I32">
        <v>0</v>
      </c>
      <c r="J32"/>
    </row>
    <row r="33" spans="1:10" ht="15" customHeight="1" x14ac:dyDescent="0.15">
      <c r="A33" s="210">
        <v>32</v>
      </c>
      <c r="B33" s="210" t="s">
        <v>223</v>
      </c>
      <c r="C33" s="8">
        <v>2.151515007019043</v>
      </c>
      <c r="D33" s="9">
        <v>11.682170867919922</v>
      </c>
      <c r="E33" s="9">
        <v>2.0999999046325684</v>
      </c>
      <c r="F33" s="9">
        <v>7.3000001907348633</v>
      </c>
      <c r="G33" s="9">
        <v>0.60000002384185791</v>
      </c>
      <c r="H33" s="9">
        <v>0.28767120838165283</v>
      </c>
      <c r="I33">
        <v>0</v>
      </c>
      <c r="J33"/>
    </row>
    <row r="34" spans="1:10" ht="15" customHeight="1" x14ac:dyDescent="0.15">
      <c r="A34" s="211">
        <v>33</v>
      </c>
      <c r="B34" s="211" t="s">
        <v>224</v>
      </c>
      <c r="C34" s="8">
        <v>2</v>
      </c>
      <c r="D34" s="9">
        <v>14.79008674621582</v>
      </c>
      <c r="E34" s="9">
        <v>2.5</v>
      </c>
      <c r="F34" s="9">
        <v>7</v>
      </c>
      <c r="G34" s="9">
        <v>0.60000008344650269</v>
      </c>
      <c r="H34" s="9">
        <v>0.3571428656578064</v>
      </c>
      <c r="I34">
        <v>0</v>
      </c>
      <c r="J34"/>
    </row>
    <row r="35" spans="1:10" ht="15" customHeight="1" x14ac:dyDescent="0.15">
      <c r="A35" s="212">
        <v>34</v>
      </c>
      <c r="B35" s="212" t="s">
        <v>225</v>
      </c>
      <c r="C35" s="8">
        <v>2.0101010799407959</v>
      </c>
      <c r="D35" s="9">
        <v>2.2487339973449707</v>
      </c>
      <c r="E35" s="9">
        <v>40</v>
      </c>
      <c r="F35" s="9">
        <v>133</v>
      </c>
      <c r="G35" s="9">
        <v>0.94999986886978149</v>
      </c>
      <c r="H35" s="9">
        <v>0.30075186491012573</v>
      </c>
      <c r="I35">
        <v>0</v>
      </c>
      <c r="J35"/>
    </row>
    <row r="36" spans="1:10" ht="15" customHeight="1" x14ac:dyDescent="0.15">
      <c r="A36" s="213">
        <v>35</v>
      </c>
      <c r="B36" s="213" t="s">
        <v>226</v>
      </c>
      <c r="C36" s="8">
        <v>1</v>
      </c>
      <c r="D36" s="9">
        <v>2.5499999523162842</v>
      </c>
      <c r="E36" s="9">
        <v>180</v>
      </c>
      <c r="F36" s="10"/>
      <c r="G36" s="9">
        <v>0.84507030248641968</v>
      </c>
      <c r="H36" s="10"/>
      <c r="I36">
        <v>0</v>
      </c>
      <c r="J36"/>
    </row>
    <row r="37" spans="1:10" ht="15" customHeight="1" x14ac:dyDescent="0.15">
      <c r="A37" s="214">
        <v>36</v>
      </c>
      <c r="B37" s="214" t="s">
        <v>227</v>
      </c>
      <c r="C37" s="8">
        <v>1</v>
      </c>
      <c r="D37" s="9">
        <v>52.91046142578125</v>
      </c>
      <c r="E37" s="9">
        <v>15</v>
      </c>
      <c r="F37" s="10"/>
      <c r="G37" s="9">
        <v>0.50000005960464478</v>
      </c>
      <c r="H37" s="10"/>
      <c r="I37">
        <v>0</v>
      </c>
      <c r="J37"/>
    </row>
    <row r="38" spans="1:10" ht="15" customHeight="1" x14ac:dyDescent="0.15">
      <c r="A38" s="215">
        <v>37</v>
      </c>
      <c r="B38" s="215" t="s">
        <v>228</v>
      </c>
      <c r="C38" s="8">
        <v>1</v>
      </c>
      <c r="D38" s="9">
        <v>100</v>
      </c>
      <c r="E38" s="10"/>
      <c r="F38" s="10"/>
      <c r="G38" s="7">
        <v>0.59257429838180542</v>
      </c>
      <c r="H38" s="10"/>
      <c r="I38">
        <v>0</v>
      </c>
      <c r="J38"/>
    </row>
    <row r="39" spans="1:10" ht="15" customHeight="1" x14ac:dyDescent="0.15">
      <c r="A39" s="216">
        <v>38</v>
      </c>
      <c r="B39" s="216" t="s">
        <v>229</v>
      </c>
      <c r="C39" s="8">
        <v>1</v>
      </c>
      <c r="D39" s="9">
        <v>5</v>
      </c>
      <c r="E39" s="10"/>
      <c r="F39" s="10"/>
      <c r="G39" s="7">
        <v>0</v>
      </c>
      <c r="H39" s="10"/>
      <c r="I39">
        <v>0</v>
      </c>
      <c r="J39"/>
    </row>
    <row r="40" spans="1:10" ht="15" customHeight="1" x14ac:dyDescent="0.15">
      <c r="A40" s="217">
        <v>39</v>
      </c>
      <c r="B40" s="217" t="s">
        <v>230</v>
      </c>
      <c r="C40" s="8">
        <v>3.9570982456207275</v>
      </c>
      <c r="D40" s="10"/>
      <c r="E40" s="10"/>
      <c r="F40" s="10"/>
      <c r="G40" s="10"/>
      <c r="H40" s="10"/>
      <c r="I40">
        <v>0.4889799952507019</v>
      </c>
      <c r="J40"/>
    </row>
    <row r="41" spans="1:10" ht="15" customHeight="1" x14ac:dyDescent="0.15">
      <c r="A41" s="218">
        <v>40</v>
      </c>
      <c r="B41" s="218" t="s">
        <v>231</v>
      </c>
      <c r="C41" s="8">
        <v>4.0827503204345703</v>
      </c>
      <c r="D41" s="10"/>
      <c r="E41" s="10"/>
      <c r="F41" s="10"/>
      <c r="G41" s="10"/>
      <c r="H41" s="10"/>
      <c r="I41">
        <v>8.9099995791912079E-2</v>
      </c>
      <c r="J41"/>
    </row>
    <row r="42" spans="1:10" ht="15" customHeight="1" x14ac:dyDescent="0.15">
      <c r="A42" s="219">
        <v>41</v>
      </c>
      <c r="B42" s="219" t="s">
        <v>232</v>
      </c>
      <c r="C42" s="8">
        <v>3.7474699020385742</v>
      </c>
      <c r="D42" s="10"/>
      <c r="E42" s="10"/>
      <c r="F42" s="10"/>
      <c r="G42" s="10"/>
      <c r="H42" s="10"/>
      <c r="I42">
        <v>0.8750300407409668</v>
      </c>
      <c r="J42"/>
    </row>
    <row r="43" spans="1:10" ht="15" customHeight="1" x14ac:dyDescent="0.15">
      <c r="A43" s="220">
        <v>42</v>
      </c>
      <c r="B43" s="220" t="s">
        <v>233</v>
      </c>
      <c r="C43" s="8">
        <v>3.6552586555480957</v>
      </c>
      <c r="D43" s="10"/>
      <c r="E43" s="10"/>
      <c r="F43" s="10"/>
      <c r="G43" s="10"/>
      <c r="H43" s="10"/>
      <c r="I43">
        <v>3.5419996827840805E-2</v>
      </c>
      <c r="J43"/>
    </row>
    <row r="44" spans="1:10" ht="15" customHeight="1" x14ac:dyDescent="0.15">
      <c r="A44" s="221">
        <v>43</v>
      </c>
      <c r="B44" s="221" t="s">
        <v>234</v>
      </c>
      <c r="C44" s="8">
        <v>4.4443631172180176</v>
      </c>
      <c r="D44" s="10"/>
      <c r="E44" s="10"/>
      <c r="F44" s="10"/>
      <c r="G44" s="10"/>
      <c r="H44" s="10"/>
      <c r="I44">
        <v>0.13259999454021454</v>
      </c>
      <c r="J44"/>
    </row>
    <row r="45" spans="1:10" ht="15" customHeight="1" x14ac:dyDescent="0.15">
      <c r="A45" s="222">
        <v>44</v>
      </c>
      <c r="B45" s="222" t="s">
        <v>235</v>
      </c>
      <c r="C45" s="8">
        <v>3.5124747753143311</v>
      </c>
      <c r="D45" s="10"/>
      <c r="E45" s="10"/>
      <c r="F45" s="10"/>
      <c r="G45" s="10"/>
      <c r="H45" s="10"/>
      <c r="I45">
        <v>1.1509699821472168</v>
      </c>
      <c r="J45"/>
    </row>
    <row r="46" spans="1:10" ht="15" customHeight="1" x14ac:dyDescent="0.15">
      <c r="A46" s="223">
        <v>45</v>
      </c>
      <c r="B46" s="223" t="s">
        <v>236</v>
      </c>
      <c r="C46" s="8">
        <v>4.3497986793518066</v>
      </c>
      <c r="D46" s="10"/>
      <c r="E46" s="10"/>
      <c r="F46" s="10"/>
      <c r="G46" s="10"/>
      <c r="H46" s="10"/>
      <c r="I46">
        <v>0.69301003217697144</v>
      </c>
      <c r="J46"/>
    </row>
    <row r="47" spans="1:10" ht="15" customHeight="1" x14ac:dyDescent="0.15">
      <c r="A47" s="224">
        <v>46</v>
      </c>
      <c r="B47" s="224" t="s">
        <v>237</v>
      </c>
      <c r="C47" s="8">
        <v>3.1982557773590088</v>
      </c>
      <c r="D47" s="10"/>
      <c r="E47" s="10"/>
      <c r="F47" s="10"/>
      <c r="G47" s="10"/>
      <c r="H47" s="10"/>
      <c r="I47">
        <v>0.50292998552322388</v>
      </c>
      <c r="J47"/>
    </row>
    <row r="48" spans="1:10" ht="15" customHeight="1" x14ac:dyDescent="0.15">
      <c r="A48" s="225">
        <v>47</v>
      </c>
      <c r="B48" s="225" t="s">
        <v>238</v>
      </c>
      <c r="C48" s="8">
        <v>4.126894474029541</v>
      </c>
      <c r="D48" s="10"/>
      <c r="E48" s="10"/>
      <c r="F48" s="10"/>
      <c r="G48" s="10"/>
      <c r="H48" s="10"/>
      <c r="I48">
        <v>0.47453001141548157</v>
      </c>
      <c r="J48"/>
    </row>
    <row r="49" spans="1:10" ht="15" customHeight="1" x14ac:dyDescent="0.15">
      <c r="A49" s="226">
        <v>48</v>
      </c>
      <c r="B49" s="226" t="s">
        <v>239</v>
      </c>
      <c r="C49" s="8">
        <v>4.3146133422851562</v>
      </c>
      <c r="D49" s="10"/>
      <c r="E49" s="10"/>
      <c r="F49" s="10"/>
      <c r="G49" s="10"/>
      <c r="H49" s="10"/>
      <c r="I49">
        <v>1.452239990234375</v>
      </c>
      <c r="J49"/>
    </row>
    <row r="50" spans="1:10" ht="15" customHeight="1" x14ac:dyDescent="0.15">
      <c r="A50" s="227">
        <v>49</v>
      </c>
      <c r="B50" s="227" t="s">
        <v>240</v>
      </c>
      <c r="C50" s="8">
        <v>4.0935173034667969</v>
      </c>
      <c r="D50" s="10"/>
      <c r="E50" s="10"/>
      <c r="F50" s="10"/>
      <c r="G50" s="10"/>
      <c r="H50" s="10"/>
      <c r="I50">
        <v>6.410999596118927E-2</v>
      </c>
      <c r="J50"/>
    </row>
    <row r="51" spans="1:10" ht="15" customHeight="1" x14ac:dyDescent="0.15">
      <c r="A51" s="228">
        <v>50</v>
      </c>
      <c r="B51" s="228" t="s">
        <v>241</v>
      </c>
      <c r="C51" s="8">
        <v>3.7405064105987549</v>
      </c>
      <c r="D51" s="10"/>
      <c r="E51" s="10"/>
      <c r="F51" s="10"/>
      <c r="G51" s="10"/>
      <c r="H51" s="10"/>
      <c r="I51">
        <v>0.71966999769210815</v>
      </c>
      <c r="J51"/>
    </row>
    <row r="52" spans="1:10" ht="15" customHeight="1" x14ac:dyDescent="0.15">
      <c r="A52" s="229">
        <v>51</v>
      </c>
      <c r="B52" s="229" t="s">
        <v>242</v>
      </c>
      <c r="C52" s="8">
        <v>4.1965188980102539</v>
      </c>
      <c r="D52" s="10"/>
      <c r="E52" s="10"/>
      <c r="F52" s="10"/>
      <c r="G52" s="10"/>
      <c r="H52" s="10"/>
      <c r="I52">
        <v>2.0746300220489502</v>
      </c>
      <c r="J52"/>
    </row>
    <row r="53" spans="1:10" ht="15" customHeight="1" x14ac:dyDescent="0.15">
      <c r="A53" s="230">
        <v>52</v>
      </c>
      <c r="B53" s="230" t="s">
        <v>243</v>
      </c>
      <c r="C53" s="8">
        <v>3.8621382713317871</v>
      </c>
      <c r="D53" s="10"/>
      <c r="E53" s="10"/>
      <c r="F53" s="10"/>
      <c r="G53" s="10"/>
      <c r="H53" s="10"/>
      <c r="I53">
        <v>0.35113999247550964</v>
      </c>
      <c r="J53"/>
    </row>
    <row r="54" spans="1:10" ht="15" customHeight="1" x14ac:dyDescent="0.15">
      <c r="A54" s="231">
        <v>53</v>
      </c>
      <c r="B54" s="231" t="s">
        <v>244</v>
      </c>
      <c r="C54" s="8">
        <v>3.8465700149536133</v>
      </c>
      <c r="D54" s="10"/>
      <c r="E54" s="10"/>
      <c r="F54" s="10"/>
      <c r="G54" s="10"/>
      <c r="H54" s="10"/>
      <c r="I54">
        <v>0.91554999351501465</v>
      </c>
      <c r="J54"/>
    </row>
    <row r="55" spans="1:10" ht="15" customHeight="1" x14ac:dyDescent="0.15">
      <c r="A55" s="232">
        <v>54</v>
      </c>
      <c r="B55" s="232" t="s">
        <v>245</v>
      </c>
      <c r="C55" s="8">
        <v>4.191347599029541</v>
      </c>
      <c r="D55" s="10"/>
      <c r="E55" s="10"/>
      <c r="F55" s="10"/>
      <c r="G55" s="10"/>
      <c r="H55" s="10"/>
      <c r="I55">
        <v>9.7049996256828308E-2</v>
      </c>
      <c r="J55"/>
    </row>
    <row r="56" spans="1:10" ht="15" customHeight="1" x14ac:dyDescent="0.15">
      <c r="A56" s="233">
        <v>55</v>
      </c>
      <c r="B56" s="233" t="s">
        <v>246</v>
      </c>
      <c r="C56" s="8">
        <v>3.8002393245697021</v>
      </c>
      <c r="D56" s="10"/>
      <c r="E56" s="10"/>
      <c r="F56" s="10"/>
      <c r="G56" s="10"/>
      <c r="H56" s="10"/>
      <c r="I56">
        <v>1.3651001453399658</v>
      </c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5" bestFit="1" customWidth="1"/>
    <col min="2" max="4" width="9.5" style="85" bestFit="1" customWidth="1"/>
    <col min="5" max="7" width="9" style="85" bestFit="1" customWidth="1"/>
    <col min="8" max="16" width="12.6640625" style="85" bestFit="1" customWidth="1"/>
    <col min="17" max="17" width="12.33203125" style="85" bestFit="1" customWidth="1"/>
    <col min="18" max="18" width="8.83203125" style="85"/>
    <col min="19" max="21" width="9.33203125" style="85" bestFit="1" customWidth="1"/>
    <col min="22" max="23" width="8.83203125" style="85"/>
    <col min="24" max="24" width="9.33203125" style="85" bestFit="1" customWidth="1"/>
    <col min="25" max="27" width="8.83203125" style="85"/>
    <col min="28" max="58" width="9" style="85" bestFit="1" customWidth="1"/>
    <col min="59" max="59" width="12.33203125" style="85" bestFit="1" customWidth="1"/>
    <col min="60" max="60" width="9" style="85" bestFit="1" customWidth="1"/>
    <col min="61" max="61" width="11.33203125" style="85" bestFit="1" customWidth="1"/>
    <col min="62" max="77" width="9" style="85" bestFit="1" customWidth="1"/>
    <col min="78" max="78" width="12.33203125" style="85" bestFit="1" customWidth="1"/>
    <col min="79" max="79" width="9" style="85" bestFit="1" customWidth="1"/>
    <col min="80" max="80" width="12.33203125" style="85" bestFit="1" customWidth="1"/>
    <col min="81" max="107" width="9" style="85" bestFit="1" customWidth="1"/>
    <col min="108" max="108" width="11.33203125" style="85" bestFit="1" customWidth="1"/>
    <col min="109" max="124" width="9" style="85" bestFit="1" customWidth="1"/>
    <col min="125" max="125" width="10.33203125" style="85" bestFit="1" customWidth="1"/>
    <col min="126" max="129" width="9.33203125" style="85" bestFit="1" customWidth="1"/>
    <col min="130" max="130" width="9" style="85" bestFit="1" customWidth="1"/>
    <col min="131" max="134" width="9.33203125" style="85" bestFit="1" customWidth="1"/>
    <col min="135" max="165" width="9" style="85" bestFit="1" customWidth="1"/>
    <col min="166" max="166" width="12.33203125" style="85" bestFit="1" customWidth="1"/>
    <col min="167" max="170" width="9" style="85" bestFit="1" customWidth="1"/>
    <col min="171" max="176" width="8.83203125" style="85"/>
    <col min="177" max="177" width="13.83203125" style="85" bestFit="1" customWidth="1"/>
    <col min="178" max="16384" width="8.83203125" style="85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251</v>
      </c>
      <c r="E1" t="s">
        <v>252</v>
      </c>
      <c r="F1" t="s">
        <v>253</v>
      </c>
      <c r="G1" t="s">
        <v>254</v>
      </c>
      <c r="H1" t="s">
        <v>255</v>
      </c>
      <c r="I1" t="s">
        <v>256</v>
      </c>
      <c r="J1" t="s">
        <v>257</v>
      </c>
      <c r="K1" t="s">
        <v>258</v>
      </c>
      <c r="L1" t="s">
        <v>259</v>
      </c>
      <c r="M1" t="s">
        <v>260</v>
      </c>
      <c r="N1" t="s">
        <v>261</v>
      </c>
      <c r="O1" t="s">
        <v>262</v>
      </c>
      <c r="P1" t="s">
        <v>263</v>
      </c>
      <c r="Q1" t="s">
        <v>264</v>
      </c>
      <c r="R1" t="s">
        <v>265</v>
      </c>
      <c r="S1" t="s">
        <v>266</v>
      </c>
      <c r="T1" t="s">
        <v>267</v>
      </c>
      <c r="U1" t="s">
        <v>192</v>
      </c>
      <c r="V1" t="s">
        <v>193</v>
      </c>
      <c r="W1" t="s">
        <v>194</v>
      </c>
      <c r="X1" t="s">
        <v>195</v>
      </c>
      <c r="Y1" t="s">
        <v>196</v>
      </c>
      <c r="Z1" t="s">
        <v>197</v>
      </c>
      <c r="AA1" t="s">
        <v>198</v>
      </c>
      <c r="AB1" t="s">
        <v>199</v>
      </c>
      <c r="AC1" t="s">
        <v>200</v>
      </c>
      <c r="AD1" t="s">
        <v>201</v>
      </c>
      <c r="AE1" t="s">
        <v>202</v>
      </c>
      <c r="AF1" t="s">
        <v>203</v>
      </c>
      <c r="AG1" t="s">
        <v>204</v>
      </c>
      <c r="AH1" t="s">
        <v>205</v>
      </c>
      <c r="AI1" t="s">
        <v>206</v>
      </c>
      <c r="AJ1" t="s">
        <v>207</v>
      </c>
      <c r="AK1" t="s">
        <v>208</v>
      </c>
      <c r="AL1" t="s">
        <v>209</v>
      </c>
      <c r="AM1" t="s">
        <v>210</v>
      </c>
      <c r="AN1" t="s">
        <v>211</v>
      </c>
      <c r="AO1" t="s">
        <v>212</v>
      </c>
      <c r="AP1" t="s">
        <v>213</v>
      </c>
      <c r="AQ1" t="s">
        <v>214</v>
      </c>
      <c r="AR1" t="s">
        <v>215</v>
      </c>
      <c r="AS1" t="s">
        <v>216</v>
      </c>
      <c r="AT1" t="s">
        <v>217</v>
      </c>
      <c r="AU1" t="s">
        <v>218</v>
      </c>
      <c r="AV1" t="s">
        <v>219</v>
      </c>
      <c r="AW1" t="s">
        <v>220</v>
      </c>
      <c r="AX1" t="s">
        <v>221</v>
      </c>
      <c r="AY1" t="s">
        <v>222</v>
      </c>
      <c r="AZ1" t="s">
        <v>223</v>
      </c>
      <c r="BA1" t="s">
        <v>224</v>
      </c>
      <c r="BB1" t="s">
        <v>225</v>
      </c>
      <c r="BC1" t="s">
        <v>226</v>
      </c>
      <c r="BD1" t="s">
        <v>227</v>
      </c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1.6399999856948853</v>
      </c>
      <c r="C2">
        <v>0.65599995851516724</v>
      </c>
      <c r="D2"/>
      <c r="E2"/>
      <c r="F2"/>
      <c r="G2"/>
      <c r="H2"/>
      <c r="I2"/>
      <c r="J2"/>
      <c r="K2"/>
      <c r="L2" s="22">
        <v>1.3285364024341106E-2</v>
      </c>
      <c r="M2" s="245">
        <v>0.18378086388111115</v>
      </c>
      <c r="N2"/>
      <c r="O2"/>
      <c r="P2"/>
      <c r="Q2" s="256">
        <v>0.12178250402212143</v>
      </c>
      <c r="R2" s="259">
        <v>0.58234179019927979</v>
      </c>
      <c r="S2"/>
      <c r="T2" s="24">
        <v>4.4284544885158539E-2</v>
      </c>
      <c r="U2" s="234">
        <v>3.8524996489286423E-2</v>
      </c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0.59500002861022949</v>
      </c>
      <c r="C3">
        <v>0.14999428391456604</v>
      </c>
      <c r="D3" s="12">
        <v>2.204301068559289E-3</v>
      </c>
      <c r="E3"/>
      <c r="F3"/>
      <c r="G3"/>
      <c r="H3"/>
      <c r="I3" s="18">
        <v>7.4731181375682354E-3</v>
      </c>
      <c r="J3" s="239">
        <v>0.12430106848478317</v>
      </c>
      <c r="K3"/>
      <c r="L3" s="11">
        <v>5.3763436153531075E-4</v>
      </c>
      <c r="M3" s="141">
        <v>7.7311821281909943E-2</v>
      </c>
      <c r="N3"/>
      <c r="O3"/>
      <c r="P3" s="149">
        <v>1.7043009400367737E-2</v>
      </c>
      <c r="Q3" s="257">
        <v>7.5860209763050079E-2</v>
      </c>
      <c r="R3" s="260">
        <v>0.12392473220825195</v>
      </c>
      <c r="S3" s="11">
        <v>4.838709719479084E-4</v>
      </c>
      <c r="T3" s="11">
        <v>3.7634407635778189E-4</v>
      </c>
      <c r="U3" s="14">
        <v>9.3542173271998763E-4</v>
      </c>
      <c r="V3"/>
      <c r="W3"/>
      <c r="X3"/>
      <c r="Y3"/>
      <c r="Z3"/>
      <c r="AA3"/>
      <c r="AB3" s="234">
        <v>1.455420907586813E-2</v>
      </c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2.6730000972747803</v>
      </c>
      <c r="C4">
        <v>0.80215275287628174</v>
      </c>
      <c r="D4" s="15">
        <v>2.7177814394235611E-2</v>
      </c>
      <c r="E4"/>
      <c r="F4"/>
      <c r="G4"/>
      <c r="H4"/>
      <c r="I4"/>
      <c r="J4" s="14">
        <v>3.3073532395064831E-3</v>
      </c>
      <c r="K4"/>
      <c r="L4"/>
      <c r="M4"/>
      <c r="N4"/>
      <c r="O4"/>
      <c r="P4" s="234">
        <v>6.2120717018842697E-2</v>
      </c>
      <c r="Q4" s="12">
        <v>8.48408043384552E-3</v>
      </c>
      <c r="R4"/>
      <c r="S4"/>
      <c r="T4" s="29">
        <v>0.12395384907722473</v>
      </c>
      <c r="U4" s="14">
        <v>7.5057558715343475E-3</v>
      </c>
      <c r="V4"/>
      <c r="W4"/>
      <c r="X4" s="249">
        <v>0.63152748346328735</v>
      </c>
      <c r="Y4"/>
      <c r="Z4"/>
      <c r="AA4"/>
      <c r="AB4" s="23">
        <v>1.6607850790023804E-2</v>
      </c>
      <c r="AC4"/>
      <c r="AD4"/>
      <c r="AE4"/>
      <c r="AF4"/>
      <c r="AG4" s="269">
        <v>0.99016237258911133</v>
      </c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2.4479999542236328</v>
      </c>
      <c r="C5">
        <v>0.95783108472824097</v>
      </c>
      <c r="D5" s="21">
        <v>4.8966478556394577E-2</v>
      </c>
      <c r="E5"/>
      <c r="F5"/>
      <c r="G5" s="11">
        <v>8.3798877312801778E-5</v>
      </c>
      <c r="H5"/>
      <c r="I5" s="11">
        <v>1.3966480037197471E-4</v>
      </c>
      <c r="J5" s="17">
        <v>3.5782121121883392E-2</v>
      </c>
      <c r="K5" s="11">
        <v>2.1508377976715565E-3</v>
      </c>
      <c r="L5" s="14">
        <v>3.4636871423572302E-3</v>
      </c>
      <c r="M5" s="13">
        <v>8.9860334992408752E-2</v>
      </c>
      <c r="N5" s="11">
        <v>8.3798877312801778E-5</v>
      </c>
      <c r="O5"/>
      <c r="P5" s="15">
        <v>2.5307262316346169E-2</v>
      </c>
      <c r="Q5" s="23">
        <v>1.3268155977129936E-2</v>
      </c>
      <c r="R5" s="12">
        <v>1.055865827947855E-2</v>
      </c>
      <c r="S5" s="12">
        <v>1.1396647430956364E-2</v>
      </c>
      <c r="T5" s="14">
        <v>4.4134077616035938E-3</v>
      </c>
      <c r="U5" s="14">
        <v>2.4300063960254192E-3</v>
      </c>
      <c r="V5"/>
      <c r="W5"/>
      <c r="X5" s="273">
        <v>1.0747221708297729</v>
      </c>
      <c r="Y5" s="14">
        <v>6.6458391956984997E-3</v>
      </c>
      <c r="Z5"/>
      <c r="AA5"/>
      <c r="AB5" s="24">
        <v>6.5768375992774963E-2</v>
      </c>
      <c r="AC5"/>
      <c r="AD5"/>
      <c r="AE5"/>
      <c r="AF5"/>
      <c r="AG5" s="24">
        <v>6.7801743745803833E-2</v>
      </c>
      <c r="AH5"/>
      <c r="AI5" s="15">
        <v>2.4842623621225357E-2</v>
      </c>
      <c r="AJ5" s="14">
        <v>2.4831071496009827E-3</v>
      </c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3.9749999046325684</v>
      </c>
      <c r="C6">
        <v>1.0626593828201294</v>
      </c>
      <c r="D6" s="234">
        <v>9.7115658223628998E-2</v>
      </c>
      <c r="E6" s="23">
        <v>2.0479548722505569E-2</v>
      </c>
      <c r="F6" s="14">
        <v>1.0592383332550526E-2</v>
      </c>
      <c r="G6" s="11">
        <v>7.0521859925065655E-6</v>
      </c>
      <c r="H6"/>
      <c r="I6" s="11">
        <v>1.1636107228696346E-3</v>
      </c>
      <c r="J6" s="240">
        <v>0.2107616513967514</v>
      </c>
      <c r="K6"/>
      <c r="L6" s="24">
        <v>0.11086742579936981</v>
      </c>
      <c r="M6" s="246">
        <v>0.17595911026000977</v>
      </c>
      <c r="N6" s="12">
        <v>1.8279267475008965E-2</v>
      </c>
      <c r="O6"/>
      <c r="P6" s="26">
        <v>9.9809594452381134E-2</v>
      </c>
      <c r="Q6" s="11">
        <v>1.8688292475417256E-3</v>
      </c>
      <c r="R6" s="12">
        <v>1.9485190510749817E-2</v>
      </c>
      <c r="S6" s="23">
        <v>2.1586742252111435E-2</v>
      </c>
      <c r="T6" s="22">
        <v>3.2447107136249542E-2</v>
      </c>
      <c r="U6" s="11">
        <v>2.3312980774790049E-3</v>
      </c>
      <c r="V6" s="11">
        <v>1.8343109695706517E-4</v>
      </c>
      <c r="W6"/>
      <c r="X6" s="282">
        <v>1.3430559635162354</v>
      </c>
      <c r="Y6" s="250">
        <v>0.19141609966754913</v>
      </c>
      <c r="Z6"/>
      <c r="AA6"/>
      <c r="AB6" s="240">
        <v>0.20685634016990662</v>
      </c>
      <c r="AC6"/>
      <c r="AD6"/>
      <c r="AE6"/>
      <c r="AF6"/>
      <c r="AG6" s="24">
        <v>0.1064574271440506</v>
      </c>
      <c r="AH6"/>
      <c r="AI6" s="12">
        <v>1.7908172681927681E-2</v>
      </c>
      <c r="AJ6" s="11">
        <v>2.5957189500331879E-3</v>
      </c>
      <c r="AK6" s="22">
        <v>3.3944129943847656E-2</v>
      </c>
      <c r="AL6"/>
      <c r="AM6"/>
      <c r="AN6"/>
      <c r="AO6"/>
      <c r="AP6" s="28">
        <v>0.13683240115642548</v>
      </c>
      <c r="AQ6"/>
      <c r="AR6"/>
      <c r="AS6"/>
      <c r="AT6" s="18">
        <v>5.0336506217718124E-2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1.4759999513626099</v>
      </c>
      <c r="C7">
        <v>0.44280001521110535</v>
      </c>
      <c r="D7" s="11">
        <v>8.7411532877013087E-4</v>
      </c>
      <c r="E7"/>
      <c r="F7"/>
      <c r="G7"/>
      <c r="H7"/>
      <c r="I7"/>
      <c r="J7" s="241">
        <v>0.2263958752155304</v>
      </c>
      <c r="K7"/>
      <c r="L7"/>
      <c r="M7"/>
      <c r="N7"/>
      <c r="O7"/>
      <c r="P7" s="251">
        <v>0.53146207332611084</v>
      </c>
      <c r="Q7"/>
      <c r="R7"/>
      <c r="S7"/>
      <c r="T7" s="245">
        <v>0.16637328267097473</v>
      </c>
      <c r="U7"/>
      <c r="V7"/>
      <c r="W7"/>
      <c r="X7"/>
      <c r="Y7"/>
      <c r="Z7" s="234">
        <v>3.5073190927505493E-2</v>
      </c>
      <c r="AA7"/>
      <c r="AB7" s="250">
        <v>7.3021307587623596E-2</v>
      </c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1.5460000038146973</v>
      </c>
      <c r="C8">
        <v>0.54110002517700195</v>
      </c>
      <c r="D8" s="12">
        <v>5.5985450744628906E-3</v>
      </c>
      <c r="E8" s="65">
        <v>3.3542588353157043E-2</v>
      </c>
      <c r="F8"/>
      <c r="G8"/>
      <c r="H8"/>
      <c r="I8"/>
      <c r="J8" s="11">
        <v>5.3551298333331943E-4</v>
      </c>
      <c r="K8"/>
      <c r="L8"/>
      <c r="M8" s="80">
        <v>0.34350726008415222</v>
      </c>
      <c r="N8"/>
      <c r="O8"/>
      <c r="P8" s="241">
        <v>0.23552834987640381</v>
      </c>
      <c r="Q8" s="14">
        <v>1.6552220331504941E-3</v>
      </c>
      <c r="R8" s="14">
        <v>1.606539124622941E-3</v>
      </c>
      <c r="S8" s="14">
        <v>2.3367840331047773E-3</v>
      </c>
      <c r="T8" s="263">
        <v>0.35655426979064941</v>
      </c>
      <c r="U8"/>
      <c r="V8"/>
      <c r="W8"/>
      <c r="X8"/>
      <c r="Y8"/>
      <c r="Z8" s="12">
        <v>6.1142793856561184E-3</v>
      </c>
      <c r="AA8"/>
      <c r="AB8" s="18">
        <v>1.7920613288879395E-2</v>
      </c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2.3299999237060547</v>
      </c>
      <c r="C9">
        <v>0.69900554418563843</v>
      </c>
      <c r="D9" s="21">
        <v>4.7065570950508118E-2</v>
      </c>
      <c r="E9"/>
      <c r="F9" s="236">
        <v>0.19850924611091614</v>
      </c>
      <c r="G9"/>
      <c r="H9"/>
      <c r="I9"/>
      <c r="J9" s="66">
        <v>9.480644017457962E-2</v>
      </c>
      <c r="K9" s="11">
        <v>1.3506027171388268E-3</v>
      </c>
      <c r="L9"/>
      <c r="M9" s="14">
        <v>6.3419602811336517E-3</v>
      </c>
      <c r="N9" s="12">
        <v>1.0188242420554161E-2</v>
      </c>
      <c r="O9"/>
      <c r="P9" s="252">
        <v>0.47412025928497314</v>
      </c>
      <c r="Q9"/>
      <c r="R9" s="12">
        <v>7.1053449064493179E-3</v>
      </c>
      <c r="S9" s="23">
        <v>1.4474936760962009E-2</v>
      </c>
      <c r="T9" s="16">
        <v>3.5497363656759262E-2</v>
      </c>
      <c r="U9" s="11">
        <v>1.5325387939810753E-3</v>
      </c>
      <c r="V9"/>
      <c r="W9"/>
      <c r="X9" s="23">
        <v>1.4254678040742874E-2</v>
      </c>
      <c r="Y9"/>
      <c r="Z9" s="21">
        <v>4.5439928770065308E-2</v>
      </c>
      <c r="AA9"/>
      <c r="AB9" s="272">
        <v>0.68030720949172974</v>
      </c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5.8080000877380371</v>
      </c>
      <c r="C10">
        <v>0.87121373414993286</v>
      </c>
      <c r="D10" s="11">
        <v>3.0093030072748661E-3</v>
      </c>
      <c r="E10" s="11">
        <v>8.3893188275396824E-4</v>
      </c>
      <c r="F10" s="21">
        <v>0.10958287119865417</v>
      </c>
      <c r="G10"/>
      <c r="H10"/>
      <c r="I10"/>
      <c r="J10" s="11">
        <v>5.0085487600881606E-5</v>
      </c>
      <c r="K10"/>
      <c r="L10"/>
      <c r="M10"/>
      <c r="N10" s="11">
        <v>2.7129639056511223E-4</v>
      </c>
      <c r="O10" s="250">
        <v>0.29034975171089172</v>
      </c>
      <c r="P10"/>
      <c r="Q10"/>
      <c r="R10"/>
      <c r="S10" s="11">
        <v>1.4441316016018391E-3</v>
      </c>
      <c r="T10" s="246">
        <v>0.26392966508865356</v>
      </c>
      <c r="U10"/>
      <c r="V10"/>
      <c r="W10"/>
      <c r="X10" s="23">
        <v>3.4549541771411896E-2</v>
      </c>
      <c r="Y10" s="15">
        <v>5.6933179497718811E-2</v>
      </c>
      <c r="Z10" s="14">
        <v>9.8556512966752052E-3</v>
      </c>
      <c r="AA10" s="72">
        <v>0.41175967454910278</v>
      </c>
      <c r="AB10" s="243">
        <v>0.49611359834671021</v>
      </c>
      <c r="AC10" s="20">
        <v>0.24807578325271606</v>
      </c>
      <c r="AD10"/>
      <c r="AE10" s="11">
        <v>2.9979652026668191E-4</v>
      </c>
      <c r="AF10" s="248">
        <v>1.5233402252197266</v>
      </c>
      <c r="AG10" s="246">
        <v>0.25823527574539185</v>
      </c>
      <c r="AH10"/>
      <c r="AI10" s="11">
        <v>4.6634157188236713E-3</v>
      </c>
      <c r="AJ10" s="12">
        <v>1.8651459366083145E-2</v>
      </c>
      <c r="AK10" s="17">
        <v>8.166087418794632E-2</v>
      </c>
      <c r="AL10" s="22">
        <v>5.0683725625276566E-2</v>
      </c>
      <c r="AM10"/>
      <c r="AN10"/>
      <c r="AO10"/>
      <c r="AP10"/>
      <c r="AQ10"/>
      <c r="AR10"/>
      <c r="AS10"/>
      <c r="AT10" s="284">
        <v>1.0724881887435913</v>
      </c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3.3900001049041748</v>
      </c>
      <c r="C11">
        <v>0.67800885438919067</v>
      </c>
      <c r="D11" s="11">
        <v>3.1074013095349073E-3</v>
      </c>
      <c r="E11" s="11">
        <v>9.7410693342681043E-6</v>
      </c>
      <c r="F11" s="109">
        <v>0.4160800576210022</v>
      </c>
      <c r="G11"/>
      <c r="H11"/>
      <c r="I11"/>
      <c r="J11" s="11">
        <v>1.1104819132015109E-3</v>
      </c>
      <c r="K11"/>
      <c r="L11"/>
      <c r="M11" s="23">
        <v>1.9102238118648529E-2</v>
      </c>
      <c r="N11" s="14">
        <v>5.9907576069235802E-3</v>
      </c>
      <c r="O11"/>
      <c r="P11" s="11">
        <v>1.0715177049860358E-3</v>
      </c>
      <c r="Q11"/>
      <c r="R11"/>
      <c r="S11" s="14">
        <v>5.5913738906383514E-3</v>
      </c>
      <c r="T11" s="250">
        <v>0.16362075507640839</v>
      </c>
      <c r="U11"/>
      <c r="V11"/>
      <c r="W11"/>
      <c r="X11" s="23">
        <v>2.2330446168780327E-2</v>
      </c>
      <c r="Y11"/>
      <c r="Z11" s="22">
        <v>2.8175003826618195E-2</v>
      </c>
      <c r="AA11" s="277">
        <v>0.68281787633895874</v>
      </c>
      <c r="AB11" s="276">
        <v>0.66446369886398315</v>
      </c>
      <c r="AC11"/>
      <c r="AD11"/>
      <c r="AE11"/>
      <c r="AF11" s="11">
        <v>3.2299158629029989E-3</v>
      </c>
      <c r="AG11"/>
      <c r="AH11"/>
      <c r="AI11"/>
      <c r="AJ11"/>
      <c r="AK11"/>
      <c r="AL11"/>
      <c r="AM11"/>
      <c r="AN11"/>
      <c r="AO11"/>
      <c r="AP11"/>
      <c r="AQ11"/>
      <c r="AR11"/>
      <c r="AS11"/>
      <c r="AT11" s="278">
        <v>0.69528990983963013</v>
      </c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1.9600000381469727</v>
      </c>
      <c r="C12">
        <v>0.68600004911422729</v>
      </c>
      <c r="D12" s="14">
        <v>4.7824480570852757E-3</v>
      </c>
      <c r="E12"/>
      <c r="F12"/>
      <c r="G12"/>
      <c r="H12"/>
      <c r="I12"/>
      <c r="J12" s="11">
        <v>1.7441869713366032E-3</v>
      </c>
      <c r="K12"/>
      <c r="L12"/>
      <c r="M12" s="16">
        <v>2.9819969087839127E-2</v>
      </c>
      <c r="N12"/>
      <c r="O12"/>
      <c r="P12" s="11">
        <v>7.3143321787938476E-4</v>
      </c>
      <c r="Q12"/>
      <c r="R12"/>
      <c r="S12"/>
      <c r="T12" s="264">
        <v>0.91603571176528931</v>
      </c>
      <c r="U12" s="14">
        <v>2.9367909301072359E-3</v>
      </c>
      <c r="V12"/>
      <c r="W12"/>
      <c r="X12"/>
      <c r="Y12"/>
      <c r="Z12" s="12">
        <v>7.2802635841071606E-3</v>
      </c>
      <c r="AA12"/>
      <c r="AB12" s="267">
        <v>0.3106691837310791</v>
      </c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2.9000000953674316</v>
      </c>
      <c r="C13">
        <v>1.0730074644088745</v>
      </c>
      <c r="D13" s="11">
        <v>1.8433270743116736E-3</v>
      </c>
      <c r="E13"/>
      <c r="F13" s="15">
        <v>2.8640693053603172E-2</v>
      </c>
      <c r="G13"/>
      <c r="H13"/>
      <c r="I13"/>
      <c r="J13" s="22">
        <v>2.3640669882297516E-2</v>
      </c>
      <c r="K13"/>
      <c r="L13" s="11">
        <v>7.910945569165051E-4</v>
      </c>
      <c r="M13" s="15">
        <v>3.0576188117265701E-2</v>
      </c>
      <c r="N13" s="23">
        <v>1.8901782110333443E-2</v>
      </c>
      <c r="O13"/>
      <c r="P13" s="253">
        <v>0.70912021398544312</v>
      </c>
      <c r="Q13" s="11">
        <v>6.1444233870133758E-4</v>
      </c>
      <c r="R13" s="11">
        <v>5.3763703908771276E-4</v>
      </c>
      <c r="S13" s="22">
        <v>2.244250662624836E-2</v>
      </c>
      <c r="T13" s="250">
        <v>0.13941696286201477</v>
      </c>
      <c r="U13" s="11">
        <v>4.0089702815748751E-4</v>
      </c>
      <c r="V13"/>
      <c r="W13"/>
      <c r="X13" s="23">
        <v>1.865219883620739E-2</v>
      </c>
      <c r="Y13"/>
      <c r="Z13" s="20">
        <v>0.1234474778175354</v>
      </c>
      <c r="AA13"/>
      <c r="AB13" s="274">
        <v>0.31047117710113525</v>
      </c>
      <c r="AC13"/>
      <c r="AD13"/>
      <c r="AE13"/>
      <c r="AF13"/>
      <c r="AG13" s="234">
        <v>6.8566642701625824E-2</v>
      </c>
      <c r="AH13"/>
      <c r="AI13"/>
      <c r="AJ13"/>
      <c r="AK13"/>
      <c r="AL13"/>
      <c r="AM13"/>
      <c r="AN13"/>
      <c r="AO13"/>
      <c r="AP13"/>
      <c r="AQ13"/>
      <c r="AR13"/>
      <c r="AS13"/>
      <c r="AT13" s="238">
        <v>0.3289286196231842</v>
      </c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1.9600000381469727</v>
      </c>
      <c r="C14">
        <v>0.78400146961212158</v>
      </c>
      <c r="D14" s="22">
        <v>1.6358746215701103E-2</v>
      </c>
      <c r="E14"/>
      <c r="F14" s="150">
        <v>0.11779484152793884</v>
      </c>
      <c r="G14"/>
      <c r="H14"/>
      <c r="I14"/>
      <c r="J14" s="64">
        <v>0.10572853684425354</v>
      </c>
      <c r="K14"/>
      <c r="L14" s="11">
        <v>1.4440006343647838E-3</v>
      </c>
      <c r="M14" s="25">
        <v>6.153816357254982E-2</v>
      </c>
      <c r="N14" s="14">
        <v>3.9561660960316658E-3</v>
      </c>
      <c r="O14"/>
      <c r="P14" s="254">
        <v>0.59459197521209717</v>
      </c>
      <c r="Q14" s="11">
        <v>1.1275073047727346E-3</v>
      </c>
      <c r="R14" s="18">
        <v>2.3123791441321373E-2</v>
      </c>
      <c r="S14" s="15">
        <v>1.8317047506570816E-2</v>
      </c>
      <c r="T14" s="15">
        <v>1.9325871020555496E-2</v>
      </c>
      <c r="U14" s="11">
        <v>1.7208181088790298E-3</v>
      </c>
      <c r="V14"/>
      <c r="W14"/>
      <c r="X14" s="14">
        <v>3.7386170588433743E-3</v>
      </c>
      <c r="Y14"/>
      <c r="Z14" s="14">
        <v>2.4843481369316578E-3</v>
      </c>
      <c r="AA14"/>
      <c r="AB14" s="64">
        <v>0.10922230780124664</v>
      </c>
      <c r="AC14"/>
      <c r="AD14"/>
      <c r="AE14"/>
      <c r="AF14"/>
      <c r="AG14" s="29">
        <v>9.3386247754096985E-2</v>
      </c>
      <c r="AH14"/>
      <c r="AI14" s="14">
        <v>2.1395452786237001E-3</v>
      </c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1.8400000333786011</v>
      </c>
      <c r="C15">
        <v>0.55203038454055786</v>
      </c>
      <c r="D15" s="13">
        <v>6.7101545631885529E-2</v>
      </c>
      <c r="E15"/>
      <c r="F15"/>
      <c r="G15"/>
      <c r="H15"/>
      <c r="I15"/>
      <c r="J15" s="22">
        <v>1.3136281631886959E-2</v>
      </c>
      <c r="K15"/>
      <c r="L15" s="242">
        <v>0.29609888792037964</v>
      </c>
      <c r="M15" s="247">
        <v>0.16651123762130737</v>
      </c>
      <c r="N15"/>
      <c r="O15"/>
      <c r="P15"/>
      <c r="Q15" s="27">
        <v>0.14236888289451599</v>
      </c>
      <c r="R15" s="239">
        <v>0.38592267036437988</v>
      </c>
      <c r="S15" s="11">
        <v>7.1006926009431481E-4</v>
      </c>
      <c r="T15" s="14">
        <v>2.4852424394339323E-3</v>
      </c>
      <c r="U15" s="15">
        <v>1.8531579524278641E-2</v>
      </c>
      <c r="V15"/>
      <c r="W15"/>
      <c r="X15" s="66">
        <v>7.5422950088977814E-2</v>
      </c>
      <c r="Y15"/>
      <c r="Z15"/>
      <c r="AA15"/>
      <c r="AB15"/>
      <c r="AC15"/>
      <c r="AD15"/>
      <c r="AE15"/>
      <c r="AF15"/>
      <c r="AG15"/>
      <c r="AH15" s="250">
        <v>9.1074146330356598E-2</v>
      </c>
      <c r="AI15" s="16">
        <v>2.860616147518158E-2</v>
      </c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2.1600000858306885</v>
      </c>
      <c r="C16">
        <v>0.14042060077190399</v>
      </c>
      <c r="D16" s="149">
        <v>6.549401581287384E-2</v>
      </c>
      <c r="E16"/>
      <c r="F16"/>
      <c r="G16" s="11">
        <v>1.8712575547397137E-3</v>
      </c>
      <c r="H16"/>
      <c r="I16" s="11">
        <v>1.0291916551068425E-3</v>
      </c>
      <c r="J16" s="150">
        <v>0.13098803162574768</v>
      </c>
      <c r="K16"/>
      <c r="L16" s="243">
        <v>0.18525449931621552</v>
      </c>
      <c r="M16" s="80">
        <v>0.4771706759929657</v>
      </c>
      <c r="N16"/>
      <c r="O16"/>
      <c r="P16" s="13">
        <v>8.2335330545902252E-2</v>
      </c>
      <c r="Q16" s="258">
        <v>0.29004493355751038</v>
      </c>
      <c r="R16" s="261">
        <v>0.68300902843475342</v>
      </c>
      <c r="S16"/>
      <c r="T16" s="14">
        <v>2.3390720598399639E-3</v>
      </c>
      <c r="U16" s="22">
        <v>1.7906747758388519E-2</v>
      </c>
      <c r="V16"/>
      <c r="W16"/>
      <c r="X16" s="22">
        <v>1.7683574929833412E-2</v>
      </c>
      <c r="Y16"/>
      <c r="Z16"/>
      <c r="AA16"/>
      <c r="AB16"/>
      <c r="AC16"/>
      <c r="AD16"/>
      <c r="AE16"/>
      <c r="AF16"/>
      <c r="AG16"/>
      <c r="AH16" s="21">
        <v>4.4213157147169113E-2</v>
      </c>
      <c r="AI16" s="15">
        <v>2.0240001380443573E-2</v>
      </c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2.2799999713897705</v>
      </c>
      <c r="C17">
        <v>0.4560207724571228</v>
      </c>
      <c r="D17" s="19">
        <v>4.2419396340847015E-2</v>
      </c>
      <c r="E17" s="14">
        <v>2.5670963805168867E-3</v>
      </c>
      <c r="F17"/>
      <c r="G17" s="11">
        <v>9.7200728487223387E-4</v>
      </c>
      <c r="H17"/>
      <c r="I17" s="11">
        <v>4.9846526962937787E-5</v>
      </c>
      <c r="J17" s="17">
        <v>3.2300550490617752E-2</v>
      </c>
      <c r="K17" s="11">
        <v>3.7384897586889565E-4</v>
      </c>
      <c r="L17" s="244">
        <v>7.544272392988205E-2</v>
      </c>
      <c r="M17" s="248">
        <v>0.59815829992294312</v>
      </c>
      <c r="N17"/>
      <c r="O17"/>
      <c r="P17" s="146">
        <v>0.22834694385528564</v>
      </c>
      <c r="Q17" s="21">
        <v>4.4313564896583557E-2</v>
      </c>
      <c r="R17" s="141">
        <v>0.29484221339225769</v>
      </c>
      <c r="S17" s="11">
        <v>3.7384897586889565E-4</v>
      </c>
      <c r="T17" s="14">
        <v>6.6295880824327469E-3</v>
      </c>
      <c r="U17" s="11">
        <v>1.3009080430492759E-3</v>
      </c>
      <c r="V17"/>
      <c r="W17"/>
      <c r="X17" s="234">
        <v>5.1816020160913467E-2</v>
      </c>
      <c r="Y17"/>
      <c r="Z17"/>
      <c r="AA17"/>
      <c r="AB17" s="150">
        <v>0.13761690258979797</v>
      </c>
      <c r="AC17"/>
      <c r="AD17"/>
      <c r="AE17"/>
      <c r="AF17"/>
      <c r="AG17"/>
      <c r="AH17" s="25">
        <v>7.2884321212768555E-2</v>
      </c>
      <c r="AI17" s="146">
        <v>0.22913992404937744</v>
      </c>
      <c r="AJ17" s="14">
        <v>4.4311187230050564E-3</v>
      </c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2.5680000782012939</v>
      </c>
      <c r="C18">
        <v>0.21087560057640076</v>
      </c>
      <c r="D18" s="235">
        <v>0.14659492671489716</v>
      </c>
      <c r="E18" s="11">
        <v>1.5477595152333379E-3</v>
      </c>
      <c r="F18"/>
      <c r="G18"/>
      <c r="H18"/>
      <c r="I18" s="11">
        <v>2.2110850841272622E-4</v>
      </c>
      <c r="J18" s="16">
        <v>4.1199885308742523E-2</v>
      </c>
      <c r="K18"/>
      <c r="L18" s="21">
        <v>4.8938680440187454E-2</v>
      </c>
      <c r="M18" s="142">
        <v>0.30660378932952881</v>
      </c>
      <c r="N18" s="11">
        <v>2.2110850841272622E-4</v>
      </c>
      <c r="O18"/>
      <c r="P18" s="255">
        <v>0.26105543971061707</v>
      </c>
      <c r="Q18" s="28">
        <v>9.2128545045852661E-2</v>
      </c>
      <c r="R18" s="75">
        <v>0.24292455613613129</v>
      </c>
      <c r="S18"/>
      <c r="T18" s="15">
        <v>2.6385614648461342E-2</v>
      </c>
      <c r="U18" s="14">
        <v>3.8470327854156494E-3</v>
      </c>
      <c r="V18"/>
      <c r="W18"/>
      <c r="X18" s="67">
        <v>0.15322983264923096</v>
      </c>
      <c r="Y18"/>
      <c r="Z18"/>
      <c r="AA18"/>
      <c r="AB18" s="267">
        <v>0.40695935487747192</v>
      </c>
      <c r="AC18"/>
      <c r="AD18"/>
      <c r="AE18"/>
      <c r="AF18"/>
      <c r="AG18" s="78">
        <v>0.16710987687110901</v>
      </c>
      <c r="AH18" s="22">
        <v>1.9703105092048645E-2</v>
      </c>
      <c r="AI18" s="268">
        <v>0.43845373392105103</v>
      </c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3.9059998989105225</v>
      </c>
      <c r="C19">
        <v>0.15696878731250763</v>
      </c>
      <c r="D19" s="15">
        <v>4.0551792830228806E-2</v>
      </c>
      <c r="E19" s="14">
        <v>7.1516651660203934E-3</v>
      </c>
      <c r="F19" s="14">
        <v>5.440814420580864E-3</v>
      </c>
      <c r="G19" s="11">
        <v>7.860666373744607E-4</v>
      </c>
      <c r="H19"/>
      <c r="I19" s="11">
        <v>6.1652281146962196E-5</v>
      </c>
      <c r="J19" s="149">
        <v>0.11499693244695663</v>
      </c>
      <c r="K19"/>
      <c r="L19" s="111">
        <v>0.2621455192565918</v>
      </c>
      <c r="M19" s="249">
        <v>0.91800254583358765</v>
      </c>
      <c r="N19" s="11">
        <v>7.7065356890670955E-5</v>
      </c>
      <c r="O19"/>
      <c r="P19" s="20">
        <v>0.16880396008491516</v>
      </c>
      <c r="Q19" s="237">
        <v>0.14976881444454193</v>
      </c>
      <c r="R19" s="72">
        <v>0.27200987935066223</v>
      </c>
      <c r="S19" s="11">
        <v>1.6954378224909306E-4</v>
      </c>
      <c r="T19" s="14">
        <v>5.8107278309762478E-3</v>
      </c>
      <c r="U19" s="11">
        <v>8.0450897803530097E-4</v>
      </c>
      <c r="V19" s="11">
        <v>9.1510382480919361E-4</v>
      </c>
      <c r="W19"/>
      <c r="X19" s="22">
        <v>3.0272837728261948E-2</v>
      </c>
      <c r="Y19"/>
      <c r="Z19" s="14">
        <v>5.1649585366249084E-3</v>
      </c>
      <c r="AA19"/>
      <c r="AB19" s="270">
        <v>0.27044999599456787</v>
      </c>
      <c r="AC19"/>
      <c r="AD19"/>
      <c r="AE19"/>
      <c r="AF19"/>
      <c r="AG19" s="257">
        <v>0.49425643682479858</v>
      </c>
      <c r="AH19" s="21">
        <v>7.2973236441612244E-2</v>
      </c>
      <c r="AI19" s="243">
        <v>0.33929216861724854</v>
      </c>
      <c r="AJ19" s="65">
        <v>8.376629650592804E-2</v>
      </c>
      <c r="AK19" s="256">
        <v>0.28968608379364014</v>
      </c>
      <c r="AL19" s="16">
        <v>6.3534900546073914E-2</v>
      </c>
      <c r="AM19"/>
      <c r="AN19" s="15">
        <v>3.8209587335586548E-2</v>
      </c>
      <c r="AO19"/>
      <c r="AP19"/>
      <c r="AQ19"/>
      <c r="AR19"/>
      <c r="AS19"/>
      <c r="AT19" s="24">
        <v>0.11001413315534592</v>
      </c>
      <c r="AU19" s="14">
        <v>3.9137746207416058E-3</v>
      </c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4.6719999313354492</v>
      </c>
      <c r="C20">
        <v>0.47327971458435059</v>
      </c>
      <c r="D20" s="26">
        <v>0.11467890441417694</v>
      </c>
      <c r="E20" s="14">
        <v>9.1068539768457413E-3</v>
      </c>
      <c r="F20" s="11">
        <v>3.9463029243052006E-3</v>
      </c>
      <c r="G20"/>
      <c r="H20"/>
      <c r="I20" s="11">
        <v>1.8550998356658965E-4</v>
      </c>
      <c r="J20" s="11">
        <v>2.1249325945973396E-3</v>
      </c>
      <c r="K20" s="11">
        <v>1.7370481509715319E-3</v>
      </c>
      <c r="L20" s="21">
        <v>9.5200344920158386E-2</v>
      </c>
      <c r="M20" s="19">
        <v>7.9094715416431427E-2</v>
      </c>
      <c r="N20" s="11">
        <v>5.2280089585110545E-4</v>
      </c>
      <c r="O20"/>
      <c r="P20" s="78">
        <v>0.30416890978813171</v>
      </c>
      <c r="Q20" s="250">
        <v>0.2275870144367218</v>
      </c>
      <c r="R20" s="262">
        <v>0.63209998607635498</v>
      </c>
      <c r="S20" s="11">
        <v>3.2211279030889273E-3</v>
      </c>
      <c r="T20" s="14">
        <v>6.9987857714295387E-3</v>
      </c>
      <c r="U20" s="11">
        <v>4.401354119181633E-3</v>
      </c>
      <c r="V20"/>
      <c r="W20"/>
      <c r="X20" s="256">
        <v>0.34527534246444702</v>
      </c>
      <c r="Y20"/>
      <c r="Z20"/>
      <c r="AA20"/>
      <c r="AB20" s="236">
        <v>0.39520785212516785</v>
      </c>
      <c r="AC20"/>
      <c r="AD20"/>
      <c r="AE20"/>
      <c r="AF20"/>
      <c r="AG20" s="275">
        <v>0.82575500011444092</v>
      </c>
      <c r="AH20" s="24">
        <v>0.1258673220872879</v>
      </c>
      <c r="AI20" s="27">
        <v>0.35482406616210938</v>
      </c>
      <c r="AJ20" s="234">
        <v>0.1126302108168602</v>
      </c>
      <c r="AK20" s="24">
        <v>0.13090087473392487</v>
      </c>
      <c r="AL20" s="68">
        <v>0.29229703545570374</v>
      </c>
      <c r="AM20"/>
      <c r="AN20"/>
      <c r="AO20"/>
      <c r="AP20" s="24">
        <v>0.13088797032833099</v>
      </c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3.1180000305175781</v>
      </c>
      <c r="C21">
        <v>0.26597756147384644</v>
      </c>
      <c r="D21" s="11">
        <v>4.6992479474283755E-4</v>
      </c>
      <c r="E21"/>
      <c r="F21"/>
      <c r="G21"/>
      <c r="H21"/>
      <c r="I21"/>
      <c r="J21" s="11">
        <v>2.1616541780531406E-3</v>
      </c>
      <c r="K21"/>
      <c r="L21" s="15">
        <v>3.2189849764108658E-2</v>
      </c>
      <c r="M21" s="15">
        <v>2.8806392103433609E-2</v>
      </c>
      <c r="N21"/>
      <c r="O21"/>
      <c r="P21" s="15">
        <v>3.1062031164765358E-2</v>
      </c>
      <c r="Q21"/>
      <c r="R21" s="11">
        <v>2.255639061331749E-3</v>
      </c>
      <c r="S21"/>
      <c r="T21" s="11">
        <v>7.5187970651313663E-4</v>
      </c>
      <c r="U21" s="14">
        <v>4.0880749002099037E-3</v>
      </c>
      <c r="V21"/>
      <c r="W21"/>
      <c r="X21"/>
      <c r="Y21"/>
      <c r="Z21"/>
      <c r="AA21"/>
      <c r="AB21" s="75">
        <v>0.29376047849655151</v>
      </c>
      <c r="AC21"/>
      <c r="AD21"/>
      <c r="AE21"/>
      <c r="AF21"/>
      <c r="AG21" s="79">
        <v>0.44040337204933167</v>
      </c>
      <c r="AH21" s="12">
        <v>9.9106160923838615E-3</v>
      </c>
      <c r="AI21" s="256">
        <v>0.22998358309268951</v>
      </c>
      <c r="AJ21" s="146">
        <v>0.31358855962753296</v>
      </c>
      <c r="AK21" s="258">
        <v>0.41609027981758118</v>
      </c>
      <c r="AL21" s="271">
        <v>1.0465002059936523</v>
      </c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3.815000057220459</v>
      </c>
      <c r="C22">
        <v>0.33817243576049805</v>
      </c>
      <c r="D22" s="11">
        <v>3.0511305667459965E-3</v>
      </c>
      <c r="E22"/>
      <c r="F22"/>
      <c r="G22"/>
      <c r="H22"/>
      <c r="I22" s="11">
        <v>6.4234322053380311E-5</v>
      </c>
      <c r="J22" s="11">
        <v>2.1197327878326178E-3</v>
      </c>
      <c r="K22"/>
      <c r="L22" s="14">
        <v>3.789825364947319E-3</v>
      </c>
      <c r="M22"/>
      <c r="N22"/>
      <c r="O22"/>
      <c r="P22" s="65">
        <v>7.977902889251709E-2</v>
      </c>
      <c r="Q22" s="14">
        <v>4.6248715370893478E-3</v>
      </c>
      <c r="R22" s="65">
        <v>8.1963002681732178E-2</v>
      </c>
      <c r="S22" s="11">
        <v>4.4964029802940786E-4</v>
      </c>
      <c r="T22" s="11">
        <v>3.8540596142411232E-4</v>
      </c>
      <c r="U22" s="11">
        <v>1.6764047322794795E-3</v>
      </c>
      <c r="V22"/>
      <c r="W22"/>
      <c r="X22"/>
      <c r="Y22"/>
      <c r="Z22" s="11">
        <v>1.6768662317190319E-4</v>
      </c>
      <c r="AA22"/>
      <c r="AB22" s="19">
        <v>6.7741416394710541E-2</v>
      </c>
      <c r="AC22"/>
      <c r="AD22"/>
      <c r="AE22"/>
      <c r="AF22"/>
      <c r="AG22" s="256">
        <v>0.28769072890281677</v>
      </c>
      <c r="AH22"/>
      <c r="AI22" s="16">
        <v>6.0714256018400192E-2</v>
      </c>
      <c r="AJ22"/>
      <c r="AK22" s="65">
        <v>8.0577544867992401E-2</v>
      </c>
      <c r="AL22" s="280">
        <v>2.3435461521148682</v>
      </c>
      <c r="AM22"/>
      <c r="AN22"/>
      <c r="AO22"/>
      <c r="AP22"/>
      <c r="AQ22"/>
      <c r="AR22"/>
      <c r="AS22"/>
      <c r="AT22" s="142">
        <v>0.458486407995224</v>
      </c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5.0500001907348633</v>
      </c>
      <c r="C23">
        <v>0.5050082802772522</v>
      </c>
      <c r="D23" s="12">
        <v>1.9391756504774094E-2</v>
      </c>
      <c r="E23" s="11">
        <v>2.7921178843826056E-3</v>
      </c>
      <c r="F23"/>
      <c r="G23"/>
      <c r="H23"/>
      <c r="I23" s="78">
        <v>0.32526332139968872</v>
      </c>
      <c r="J23" s="11">
        <v>4.5354197936831042E-5</v>
      </c>
      <c r="K23" s="22">
        <v>3.7065718322992325E-2</v>
      </c>
      <c r="L23" s="11">
        <v>2.364087849855423E-3</v>
      </c>
      <c r="M23" s="11">
        <v>3.6850287870038301E-5</v>
      </c>
      <c r="N23"/>
      <c r="O23" s="11">
        <v>1.8793647177517414E-3</v>
      </c>
      <c r="P23" s="11">
        <v>1.238736673258245E-3</v>
      </c>
      <c r="Q23" s="11">
        <v>2.4661346105858684E-4</v>
      </c>
      <c r="R23" s="11">
        <v>3.9684924558969215E-5</v>
      </c>
      <c r="S23" s="11">
        <v>9.6377676527481526E-5</v>
      </c>
      <c r="T23" s="11">
        <v>2.3244027397595346E-4</v>
      </c>
      <c r="U23" s="11">
        <v>8.3843019092455506E-4</v>
      </c>
      <c r="V23" s="14">
        <v>6.5556480549275875E-3</v>
      </c>
      <c r="W23"/>
      <c r="X23" s="12">
        <v>1.9761029630899429E-2</v>
      </c>
      <c r="Y23" s="283">
        <v>0.70601755380630493</v>
      </c>
      <c r="Z23"/>
      <c r="AA23"/>
      <c r="AB23" s="14">
        <v>5.4089073091745377E-3</v>
      </c>
      <c r="AC23"/>
      <c r="AD23"/>
      <c r="AE23"/>
      <c r="AF23" s="11">
        <v>6.4340292010456324E-4</v>
      </c>
      <c r="AG23" s="24">
        <v>0.14115260541439056</v>
      </c>
      <c r="AH23" s="14">
        <v>1.4129618182778358E-2</v>
      </c>
      <c r="AI23" s="22">
        <v>4.2669318616390228E-2</v>
      </c>
      <c r="AJ23" s="243">
        <v>0.43816453218460083</v>
      </c>
      <c r="AK23" s="21">
        <v>0.10275288671255112</v>
      </c>
      <c r="AL23" s="78">
        <v>0.32918927073478699</v>
      </c>
      <c r="AM23"/>
      <c r="AN23"/>
      <c r="AO23"/>
      <c r="AP23" s="290">
        <v>2.0723998546600342</v>
      </c>
      <c r="AQ23"/>
      <c r="AR23"/>
      <c r="AS23"/>
      <c r="AT23" s="237">
        <v>0.20232836902141571</v>
      </c>
      <c r="AU23" s="23">
        <v>2.8791492804884911E-2</v>
      </c>
      <c r="AV23"/>
      <c r="AW23"/>
      <c r="AX23" s="22">
        <v>4.3496459722518921E-2</v>
      </c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5.7899999618530273</v>
      </c>
      <c r="C24">
        <v>1.1580333709716797</v>
      </c>
      <c r="D24" s="12">
        <v>2.1868875250220299E-2</v>
      </c>
      <c r="E24" s="11">
        <v>3.2629368361085653E-3</v>
      </c>
      <c r="F24"/>
      <c r="G24" s="14">
        <v>1.3659549877047539E-2</v>
      </c>
      <c r="H24"/>
      <c r="I24"/>
      <c r="J24" s="11">
        <v>2.9590359190478921E-4</v>
      </c>
      <c r="K24"/>
      <c r="L24" s="11">
        <v>3.9986971387406811E-6</v>
      </c>
      <c r="M24"/>
      <c r="N24" s="11">
        <v>1.5994788554962724E-5</v>
      </c>
      <c r="O24" s="14">
        <v>6.9537344388663769E-3</v>
      </c>
      <c r="P24" s="11">
        <v>1.9593616889324039E-4</v>
      </c>
      <c r="Q24"/>
      <c r="R24"/>
      <c r="S24"/>
      <c r="T24" s="11">
        <v>3.9986971387406811E-6</v>
      </c>
      <c r="U24" s="11">
        <v>6.9572718348354101E-4</v>
      </c>
      <c r="V24" s="16">
        <v>9.0969771146774292E-2</v>
      </c>
      <c r="W24"/>
      <c r="X24" s="17">
        <v>8.3646915853023529E-2</v>
      </c>
      <c r="Y24" s="262">
        <v>0.78640013933181763</v>
      </c>
      <c r="Z24" s="11">
        <v>2.5053035642486066E-5</v>
      </c>
      <c r="AA24" s="14">
        <v>1.1973699554800987E-2</v>
      </c>
      <c r="AB24" s="14">
        <v>8.0333203077316284E-3</v>
      </c>
      <c r="AC24" s="76">
        <v>0.45266321301460266</v>
      </c>
      <c r="AD24" s="11">
        <v>4.4344081543385983E-3</v>
      </c>
      <c r="AE24" s="11">
        <v>1.5415531815961003E-3</v>
      </c>
      <c r="AF24" s="17">
        <v>7.6205804944038391E-2</v>
      </c>
      <c r="AG24" s="76">
        <v>0.45162093639373779</v>
      </c>
      <c r="AH24" s="14">
        <v>1.1016190983355045E-2</v>
      </c>
      <c r="AI24" s="22">
        <v>4.3266281485557556E-2</v>
      </c>
      <c r="AJ24" s="22">
        <v>4.339347779750824E-2</v>
      </c>
      <c r="AK24" s="15">
        <v>5.9103593230247498E-2</v>
      </c>
      <c r="AL24" s="281">
        <v>0.4196796715259552</v>
      </c>
      <c r="AM24"/>
      <c r="AN24" s="12">
        <v>2.3115957155823708E-2</v>
      </c>
      <c r="AO24" s="14">
        <v>7.9419231042265892E-3</v>
      </c>
      <c r="AP24" s="15">
        <v>6.2068846076726913E-2</v>
      </c>
      <c r="AQ24" s="247">
        <v>0.51880002021789551</v>
      </c>
      <c r="AR24"/>
      <c r="AS24"/>
      <c r="AT24" s="288">
        <v>1.4270783662796021</v>
      </c>
      <c r="AU24" s="11">
        <v>2.0307439845055342E-3</v>
      </c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2.5</v>
      </c>
      <c r="C25">
        <v>0.87501776218414307</v>
      </c>
      <c r="D25" s="11">
        <v>9.2129124095663428E-4</v>
      </c>
      <c r="E25"/>
      <c r="F25"/>
      <c r="G25"/>
      <c r="H25"/>
      <c r="I25" s="11">
        <v>1.09100277768448E-4</v>
      </c>
      <c r="J25"/>
      <c r="K25" s="11">
        <v>1.2122252519475296E-4</v>
      </c>
      <c r="L25"/>
      <c r="M25"/>
      <c r="N25"/>
      <c r="O25"/>
      <c r="P25"/>
      <c r="Q25" s="11">
        <v>1.2122252519475296E-4</v>
      </c>
      <c r="R25" s="11">
        <v>8.4855768363922834E-4</v>
      </c>
      <c r="S25"/>
      <c r="T25"/>
      <c r="U25" s="14">
        <v>2.9527847655117512E-3</v>
      </c>
      <c r="V25" s="18">
        <v>2.740444615483284E-2</v>
      </c>
      <c r="W25"/>
      <c r="X25" s="19">
        <v>4.4512070715427399E-2</v>
      </c>
      <c r="Y25" s="12">
        <v>1.0589334182441235E-2</v>
      </c>
      <c r="Z25"/>
      <c r="AA25"/>
      <c r="AB25" s="11">
        <v>1.8607797392178327E-4</v>
      </c>
      <c r="AC25"/>
      <c r="AD25"/>
      <c r="AE25"/>
      <c r="AF25"/>
      <c r="AG25" s="14">
        <v>6.6338749602437019E-3</v>
      </c>
      <c r="AH25"/>
      <c r="AI25" s="15">
        <v>2.5648312643170357E-2</v>
      </c>
      <c r="AJ25" s="243">
        <v>0.21552209556102753</v>
      </c>
      <c r="AK25" s="237">
        <v>9.9959507584571838E-2</v>
      </c>
      <c r="AL25" s="70">
        <v>0.12870095670223236</v>
      </c>
      <c r="AM25"/>
      <c r="AN25" s="27">
        <v>0.19242116808891296</v>
      </c>
      <c r="AO25"/>
      <c r="AP25"/>
      <c r="AQ25"/>
      <c r="AR25"/>
      <c r="AS25"/>
      <c r="AT25" s="279">
        <v>0.86525195837020874</v>
      </c>
      <c r="AU25" s="14">
        <v>3.078151261433959E-3</v>
      </c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8.3500003814697266</v>
      </c>
      <c r="C26">
        <v>1.6700159311294556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 s="11">
        <v>1.2231954315211624E-4</v>
      </c>
      <c r="V26"/>
      <c r="W26" s="11">
        <v>4.9548817332834005E-4</v>
      </c>
      <c r="X26" s="23">
        <v>4.1979704052209854E-2</v>
      </c>
      <c r="Y26" s="66">
        <v>0.34610044956207275</v>
      </c>
      <c r="Z26"/>
      <c r="AA26"/>
      <c r="AB26" s="11">
        <v>4.1915409383364022E-4</v>
      </c>
      <c r="AC26" s="265">
        <v>1.2329666614532471</v>
      </c>
      <c r="AD26" s="11">
        <v>2.0622524607460946E-4</v>
      </c>
      <c r="AE26" s="11">
        <v>5.7423522230237722E-4</v>
      </c>
      <c r="AF26" s="65">
        <v>0.17626284062862396</v>
      </c>
      <c r="AG26" s="11">
        <v>5.8145644143223763E-3</v>
      </c>
      <c r="AH26" s="11">
        <v>1.7830975411925465E-4</v>
      </c>
      <c r="AI26" s="11">
        <v>5.762231070548296E-3</v>
      </c>
      <c r="AJ26" s="23">
        <v>4.1686270385980606E-2</v>
      </c>
      <c r="AK26" s="14">
        <v>1.4966505579650402E-2</v>
      </c>
      <c r="AL26" s="26">
        <v>0.21232502162456512</v>
      </c>
      <c r="AM26" s="11">
        <v>1.1162614682689309E-3</v>
      </c>
      <c r="AN26" s="12">
        <v>3.0178733170032501E-2</v>
      </c>
      <c r="AO26" s="11">
        <v>5.8514776173979044E-4</v>
      </c>
      <c r="AP26" s="25">
        <v>0.26580119132995605</v>
      </c>
      <c r="AQ26" s="296">
        <v>1.9545649290084839</v>
      </c>
      <c r="AR26"/>
      <c r="AS26" s="295">
        <v>1.6700000762939453</v>
      </c>
      <c r="AT26" s="26">
        <v>0.20789049565792084</v>
      </c>
      <c r="AU26" s="14">
        <v>1.9126929342746735E-2</v>
      </c>
      <c r="AV26" s="13">
        <v>0.3044542670249939</v>
      </c>
      <c r="AW26"/>
      <c r="AX26" s="19">
        <v>0.14640550315380096</v>
      </c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3.6400001049041748</v>
      </c>
      <c r="C27">
        <v>1.0920302867889404</v>
      </c>
      <c r="D27" s="22">
        <v>2.9280846938490868E-2</v>
      </c>
      <c r="E27" s="22">
        <v>2.5457553565502167E-2</v>
      </c>
      <c r="F27"/>
      <c r="G27" s="11">
        <v>1.398766617057845E-4</v>
      </c>
      <c r="H27" s="237">
        <v>0.13942205905914307</v>
      </c>
      <c r="I27"/>
      <c r="J27" s="237">
        <v>0.14064598083496094</v>
      </c>
      <c r="K27" s="11">
        <v>5.9447577223181725E-4</v>
      </c>
      <c r="L27" s="11">
        <v>3.4969164989888668E-3</v>
      </c>
      <c r="M27" s="11">
        <v>2.9140972765162587E-4</v>
      </c>
      <c r="N27" s="11">
        <v>9.9079299252480268E-4</v>
      </c>
      <c r="O27"/>
      <c r="P27" s="11">
        <v>1.5502996975556016E-3</v>
      </c>
      <c r="Q27" s="23">
        <v>2.4373508989810944E-2</v>
      </c>
      <c r="R27" s="15">
        <v>3.3360585570335388E-2</v>
      </c>
      <c r="S27" s="14">
        <v>7.5883092358708382E-3</v>
      </c>
      <c r="T27" s="16">
        <v>5.4901588708162308E-2</v>
      </c>
      <c r="U27" s="14">
        <v>6.0842311941087246E-3</v>
      </c>
      <c r="V27"/>
      <c r="W27"/>
      <c r="X27" s="21">
        <v>7.4923835694789886E-2</v>
      </c>
      <c r="Y27" s="250">
        <v>0.18046034872531891</v>
      </c>
      <c r="Z27" s="14">
        <v>4.1130352765321732E-3</v>
      </c>
      <c r="AA27"/>
      <c r="AB27" s="24">
        <v>0.10128241032361984</v>
      </c>
      <c r="AC27"/>
      <c r="AD27"/>
      <c r="AE27"/>
      <c r="AF27" s="14">
        <v>1.0561777278780937E-2</v>
      </c>
      <c r="AG27" s="151">
        <v>0.92537230253219604</v>
      </c>
      <c r="AH27" s="12">
        <v>1.4596806839108467E-2</v>
      </c>
      <c r="AI27" s="14">
        <v>5.2712420001626015E-3</v>
      </c>
      <c r="AJ27" s="110">
        <v>0.56841540336608887</v>
      </c>
      <c r="AK27" s="14">
        <v>7.1282028220593929E-3</v>
      </c>
      <c r="AL27" s="23">
        <v>2.1266216412186623E-2</v>
      </c>
      <c r="AM27"/>
      <c r="AN27"/>
      <c r="AO27"/>
      <c r="AP27"/>
      <c r="AQ27"/>
      <c r="AR27"/>
      <c r="AS27"/>
      <c r="AT27" s="246">
        <v>0.1664000004529953</v>
      </c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1.6399999856948853</v>
      </c>
      <c r="C28">
        <v>0.57401090860366821</v>
      </c>
      <c r="D28" s="17">
        <v>2.1130198612809181E-2</v>
      </c>
      <c r="E28" s="11">
        <v>2.8748568729497492E-4</v>
      </c>
      <c r="F28"/>
      <c r="G28"/>
      <c r="H28" s="238">
        <v>0.18672195076942444</v>
      </c>
      <c r="I28"/>
      <c r="J28" s="12">
        <v>7.6183713972568512E-3</v>
      </c>
      <c r="K28"/>
      <c r="L28" s="24">
        <v>4.5997709035873413E-2</v>
      </c>
      <c r="M28" s="12">
        <v>7.1871425025165081E-3</v>
      </c>
      <c r="N28"/>
      <c r="O28"/>
      <c r="P28"/>
      <c r="Q28"/>
      <c r="R28"/>
      <c r="S28"/>
      <c r="T28" s="12">
        <v>6.755913607776165E-3</v>
      </c>
      <c r="U28" s="16">
        <v>2.5009596720337868E-2</v>
      </c>
      <c r="V28"/>
      <c r="W28"/>
      <c r="X28" s="16">
        <v>2.7167690917849541E-2</v>
      </c>
      <c r="Y28" s="28">
        <v>5.9367123991250992E-2</v>
      </c>
      <c r="Z28"/>
      <c r="AA28"/>
      <c r="AB28" s="65">
        <v>3.6706652492284775E-2</v>
      </c>
      <c r="AC28"/>
      <c r="AD28"/>
      <c r="AE28"/>
      <c r="AF28"/>
      <c r="AG28" s="110">
        <v>0.25743710994720459</v>
      </c>
      <c r="AH28" s="15">
        <v>1.6981426626443863E-2</v>
      </c>
      <c r="AI28" s="265">
        <v>0.24134950339794159</v>
      </c>
      <c r="AJ28"/>
      <c r="AK28" s="26">
        <v>4.3101698160171509E-2</v>
      </c>
      <c r="AL28" s="149">
        <v>4.6669546514749527E-2</v>
      </c>
      <c r="AM28"/>
      <c r="AN28"/>
      <c r="AO28"/>
      <c r="AP28"/>
      <c r="AQ28"/>
      <c r="AR28"/>
      <c r="AS28"/>
      <c r="AT28"/>
      <c r="AU28" s="65">
        <v>3.6499999463558197E-2</v>
      </c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3.5150001049041748</v>
      </c>
      <c r="C29">
        <v>1.0545004606246948</v>
      </c>
      <c r="D29" s="11">
        <v>6.308945103228325E-6</v>
      </c>
      <c r="E29"/>
      <c r="F29"/>
      <c r="G29"/>
      <c r="H29"/>
      <c r="I29"/>
      <c r="J29" s="11">
        <v>8.4119261600790196E-7</v>
      </c>
      <c r="K29" s="12">
        <v>1.4725918881595135E-2</v>
      </c>
      <c r="L29"/>
      <c r="M29"/>
      <c r="N29"/>
      <c r="O29"/>
      <c r="P29"/>
      <c r="Q29" s="11">
        <v>5.4677522712154314E-5</v>
      </c>
      <c r="R29" s="11">
        <v>6.0565871535800397E-5</v>
      </c>
      <c r="S29"/>
      <c r="T29"/>
      <c r="U29" s="11">
        <v>1.6099358617793769E-4</v>
      </c>
      <c r="V29" s="14">
        <v>3.9428877644240856E-3</v>
      </c>
      <c r="W29"/>
      <c r="X29" s="11">
        <v>1.2446565087884665E-3</v>
      </c>
      <c r="Y29" s="65">
        <v>7.4227295815944672E-2</v>
      </c>
      <c r="Z29"/>
      <c r="AA29"/>
      <c r="AB29"/>
      <c r="AC29" s="23">
        <v>2.3849029093980789E-2</v>
      </c>
      <c r="AD29"/>
      <c r="AE29" s="11">
        <v>1.7278830637224019E-4</v>
      </c>
      <c r="AF29" s="70">
        <v>0.17672500014305115</v>
      </c>
      <c r="AG29" s="11">
        <v>2.475801738910377E-4</v>
      </c>
      <c r="AH29"/>
      <c r="AI29" s="11">
        <v>3.9125524926930666E-4</v>
      </c>
      <c r="AJ29" s="22">
        <v>2.829553559422493E-2</v>
      </c>
      <c r="AK29" s="11">
        <v>2.6793968863785267E-3</v>
      </c>
      <c r="AL29" s="17">
        <v>4.9856517463922501E-2</v>
      </c>
      <c r="AM29"/>
      <c r="AN29" s="11">
        <v>8.3453580737113953E-4</v>
      </c>
      <c r="AO29"/>
      <c r="AP29" s="263">
        <v>0.81281173229217529</v>
      </c>
      <c r="AQ29"/>
      <c r="AR29" s="76">
        <v>0.27401340007781982</v>
      </c>
      <c r="AS29" s="237">
        <v>0.13987322151660919</v>
      </c>
      <c r="AT29" s="11">
        <v>3.0020973645150661E-3</v>
      </c>
      <c r="AU29" s="14">
        <v>8.5440175607800484E-3</v>
      </c>
      <c r="AV29" s="247">
        <v>0.31874999403953552</v>
      </c>
      <c r="AW29"/>
      <c r="AX29" s="150">
        <v>0.21297852694988251</v>
      </c>
      <c r="AY29" s="291">
        <v>0.31305083632469177</v>
      </c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0.97000002861022949</v>
      </c>
      <c r="C30">
        <v>0.29100018739700317</v>
      </c>
      <c r="D30" s="14">
        <v>2.6011669542640448E-3</v>
      </c>
      <c r="E30"/>
      <c r="F30"/>
      <c r="G30"/>
      <c r="H30"/>
      <c r="I30"/>
      <c r="J30"/>
      <c r="K30" s="69">
        <v>9.0000376105308533E-2</v>
      </c>
      <c r="L30"/>
      <c r="M30"/>
      <c r="N30"/>
      <c r="O30"/>
      <c r="P30"/>
      <c r="Q30" s="234">
        <v>2.2464623674750328E-2</v>
      </c>
      <c r="R30"/>
      <c r="S30"/>
      <c r="T30"/>
      <c r="U30"/>
      <c r="V30"/>
      <c r="W30"/>
      <c r="X30" s="11">
        <v>4.5408352161757648E-4</v>
      </c>
      <c r="Y30"/>
      <c r="Z30"/>
      <c r="AA30"/>
      <c r="AB30"/>
      <c r="AC30"/>
      <c r="AD30"/>
      <c r="AE30"/>
      <c r="AF30"/>
      <c r="AG30"/>
      <c r="AH30"/>
      <c r="AI30" s="11">
        <v>5.8465311303734779E-4</v>
      </c>
      <c r="AJ30"/>
      <c r="AK30" s="17">
        <v>1.4181221835315228E-2</v>
      </c>
      <c r="AL30" s="11">
        <v>2.3210473591461778E-4</v>
      </c>
      <c r="AM30"/>
      <c r="AN30"/>
      <c r="AO30"/>
      <c r="AP30" s="144">
        <v>0.36705461144447327</v>
      </c>
      <c r="AQ30"/>
      <c r="AR30"/>
      <c r="AS30"/>
      <c r="AT30"/>
      <c r="AU30"/>
      <c r="AV30"/>
      <c r="AW30"/>
      <c r="AX30" s="266">
        <v>0.18142695724964142</v>
      </c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1.2374999523162842</v>
      </c>
      <c r="C31">
        <v>0.37125015258789062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 s="11">
        <v>1.8708884454099461E-5</v>
      </c>
      <c r="V31"/>
      <c r="W31"/>
      <c r="X31" s="11">
        <v>4.0646572597324848E-4</v>
      </c>
      <c r="Y31" s="14">
        <v>2.100624842569232E-3</v>
      </c>
      <c r="Z31"/>
      <c r="AA31"/>
      <c r="AB31"/>
      <c r="AC31"/>
      <c r="AD31"/>
      <c r="AE31"/>
      <c r="AF31"/>
      <c r="AG31"/>
      <c r="AH31"/>
      <c r="AI31" s="14">
        <v>1.5364834107458591E-3</v>
      </c>
      <c r="AJ31" s="70">
        <v>6.2421724200248718E-2</v>
      </c>
      <c r="AK31" s="14">
        <v>2.0186312031000853E-3</v>
      </c>
      <c r="AL31" s="240">
        <v>6.5060406923294067E-2</v>
      </c>
      <c r="AM31"/>
      <c r="AN31" s="11">
        <v>5.3212570492178202E-4</v>
      </c>
      <c r="AO31"/>
      <c r="AP31" s="21">
        <v>2.5036515668034554E-2</v>
      </c>
      <c r="AQ31"/>
      <c r="AR31" s="65">
        <v>2.6943899691104889E-2</v>
      </c>
      <c r="AS31" s="286">
        <v>0.35759922862052917</v>
      </c>
      <c r="AT31"/>
      <c r="AU31"/>
      <c r="AV31"/>
      <c r="AW31"/>
      <c r="AX31" s="285">
        <v>0.32257500290870667</v>
      </c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7.1999998092651367</v>
      </c>
      <c r="C32">
        <v>2.1600146293640137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6">
        <v>0.11754322052001953</v>
      </c>
      <c r="W32" s="11">
        <v>5.2004451863467693E-3</v>
      </c>
      <c r="X32" s="23">
        <v>3.5754889249801636E-2</v>
      </c>
      <c r="Y32" s="289">
        <v>1.1166915893554688</v>
      </c>
      <c r="Z32"/>
      <c r="AA32"/>
      <c r="AB32" s="11">
        <v>4.2176772694801912E-5</v>
      </c>
      <c r="AC32" s="23">
        <v>4.1481144726276398E-2</v>
      </c>
      <c r="AD32"/>
      <c r="AE32" s="11">
        <v>8.6095609003677964E-4</v>
      </c>
      <c r="AF32" s="11">
        <v>1.5821969136595726E-3</v>
      </c>
      <c r="AG32"/>
      <c r="AH32" s="11">
        <v>6.1350780015345663E-5</v>
      </c>
      <c r="AI32" s="11">
        <v>4.2695228330558166E-6</v>
      </c>
      <c r="AJ32" s="12">
        <v>3.4667696803808212E-2</v>
      </c>
      <c r="AK32" s="11">
        <v>5.4668141528964043E-3</v>
      </c>
      <c r="AL32" s="24">
        <v>0.20168682932853699</v>
      </c>
      <c r="AM32" s="11">
        <v>1.9412547117099166E-3</v>
      </c>
      <c r="AN32" s="14">
        <v>1.7032571136951447E-2</v>
      </c>
      <c r="AO32" s="11">
        <v>1.9512984436005354E-3</v>
      </c>
      <c r="AP32" s="281">
        <v>0.51646882295608521</v>
      </c>
      <c r="AQ32" s="16">
        <v>0.11330404132604599</v>
      </c>
      <c r="AR32" s="23">
        <v>4.3765000998973846E-2</v>
      </c>
      <c r="AS32" s="287">
        <v>0.58084875345230103</v>
      </c>
      <c r="AT32"/>
      <c r="AU32"/>
      <c r="AV32" s="292">
        <v>2.1178667545318604</v>
      </c>
      <c r="AW32"/>
      <c r="AX32" s="18">
        <v>8.5763104259967804E-2</v>
      </c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2.0999999046325684</v>
      </c>
      <c r="C33">
        <v>0.83999991416931152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4">
        <v>3.6591181997209787E-3</v>
      </c>
      <c r="W33"/>
      <c r="X33"/>
      <c r="Y33" s="14">
        <v>2.1129131782799959E-3</v>
      </c>
      <c r="Z33"/>
      <c r="AA33"/>
      <c r="AB33"/>
      <c r="AC33"/>
      <c r="AD33"/>
      <c r="AE33"/>
      <c r="AF33"/>
      <c r="AG33"/>
      <c r="AH33"/>
      <c r="AI33"/>
      <c r="AJ33" s="11">
        <v>1.4964229194447398E-3</v>
      </c>
      <c r="AK33" s="11">
        <v>7.3731743032112718E-4</v>
      </c>
      <c r="AL33" s="14">
        <v>3.998833242803812E-3</v>
      </c>
      <c r="AM33" s="11">
        <v>1.990125048905611E-3</v>
      </c>
      <c r="AN33"/>
      <c r="AO33"/>
      <c r="AP33"/>
      <c r="AQ33"/>
      <c r="AR33"/>
      <c r="AS33" s="145">
        <v>1.1386901140213013</v>
      </c>
      <c r="AT33"/>
      <c r="AU33"/>
      <c r="AV33"/>
      <c r="AW33"/>
      <c r="AX33" s="246">
        <v>9.4572603702545166E-2</v>
      </c>
      <c r="AY33" s="23">
        <v>1.2742536142468452E-2</v>
      </c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2.5</v>
      </c>
      <c r="C34">
        <v>0.9999997615814209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 s="11">
        <v>5.3773046238347888E-4</v>
      </c>
      <c r="Z34"/>
      <c r="AA34"/>
      <c r="AB34"/>
      <c r="AC34"/>
      <c r="AD34"/>
      <c r="AE34"/>
      <c r="AF34"/>
      <c r="AG34"/>
      <c r="AH34"/>
      <c r="AI34"/>
      <c r="AJ34"/>
      <c r="AK34"/>
      <c r="AL34" s="14">
        <v>3.2743315678089857E-3</v>
      </c>
      <c r="AM34" s="11">
        <v>2.6579120458336547E-5</v>
      </c>
      <c r="AN34" s="14">
        <v>7.2326636873185635E-3</v>
      </c>
      <c r="AO34"/>
      <c r="AP34" s="14">
        <v>5.2475240081548691E-3</v>
      </c>
      <c r="AQ34"/>
      <c r="AR34"/>
      <c r="AS34" s="297">
        <v>1.3491170406341553</v>
      </c>
      <c r="AT34"/>
      <c r="AU34"/>
      <c r="AV34"/>
      <c r="AW34"/>
      <c r="AX34" s="250">
        <v>0.12449930608272552</v>
      </c>
      <c r="AY34" s="12">
        <v>1.0064882226288319E-2</v>
      </c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40</v>
      </c>
      <c r="C35">
        <v>2.0000052452087402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 s="11">
        <v>5.1405346021056175E-3</v>
      </c>
      <c r="X35"/>
      <c r="Y35" s="18">
        <v>0.49875131249427795</v>
      </c>
      <c r="Z35"/>
      <c r="AA35" s="11">
        <v>1.1824518442153931E-3</v>
      </c>
      <c r="AB35"/>
      <c r="AC35" s="298">
        <v>10.318434715270996</v>
      </c>
      <c r="AD35" s="270">
        <v>2.7665283679962158</v>
      </c>
      <c r="AE35" s="22">
        <v>0.27894428372383118</v>
      </c>
      <c r="AF35" s="150">
        <v>2.4262974262237549</v>
      </c>
      <c r="AG35"/>
      <c r="AH35"/>
      <c r="AI35"/>
      <c r="AJ35"/>
      <c r="AK35"/>
      <c r="AL35" s="14">
        <v>8.0038443207740784E-2</v>
      </c>
      <c r="AM35" s="11">
        <v>1.2147980742156506E-2</v>
      </c>
      <c r="AN35" s="23">
        <v>0.27323693037033081</v>
      </c>
      <c r="AO35" s="20">
        <v>1.7519904375076294</v>
      </c>
      <c r="AP35"/>
      <c r="AQ35" s="294">
        <v>6.058046817779541</v>
      </c>
      <c r="AR35"/>
      <c r="AS35" s="245">
        <v>4.4366202354431152</v>
      </c>
      <c r="AT35" s="25">
        <v>1.269641637802124</v>
      </c>
      <c r="AU35"/>
      <c r="AV35" s="22">
        <v>0.33701297640800476</v>
      </c>
      <c r="AW35"/>
      <c r="AX35" s="12">
        <v>0.13647356629371643</v>
      </c>
      <c r="AY35" s="22">
        <v>0.33098727464675903</v>
      </c>
      <c r="AZ35" s="293">
        <v>5.6885242462158203</v>
      </c>
      <c r="BA35"/>
      <c r="BB35" s="244">
        <v>1.3299999237060547</v>
      </c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180</v>
      </c>
      <c r="C36">
        <v>27.887346267700195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 s="11">
        <v>1.6515374183654785E-2</v>
      </c>
      <c r="X36"/>
      <c r="Y36" s="11">
        <v>5.4264366626739502E-2</v>
      </c>
      <c r="Z36"/>
      <c r="AA36"/>
      <c r="AB36"/>
      <c r="AC36" s="66">
        <v>7.3072562217712402</v>
      </c>
      <c r="AD36" s="65">
        <v>3.9301567077636719</v>
      </c>
      <c r="AE36" s="14">
        <v>0.21784093976020813</v>
      </c>
      <c r="AF36" s="23">
        <v>1.1373471021652222</v>
      </c>
      <c r="AG36"/>
      <c r="AH36"/>
      <c r="AI36"/>
      <c r="AJ36"/>
      <c r="AK36"/>
      <c r="AL36"/>
      <c r="AM36"/>
      <c r="AN36"/>
      <c r="AO36" s="14">
        <v>0.40407302975654602</v>
      </c>
      <c r="AP36"/>
      <c r="AQ36" s="70">
        <v>9.1582775115966797</v>
      </c>
      <c r="AR36"/>
      <c r="AS36" s="22">
        <v>1.3041541576385498</v>
      </c>
      <c r="AT36"/>
      <c r="AU36"/>
      <c r="AV36" s="300">
        <v>35.663650512695312</v>
      </c>
      <c r="AW36"/>
      <c r="AX36" s="11">
        <v>0.15043748915195465</v>
      </c>
      <c r="AY36" s="12">
        <v>0.87564986944198608</v>
      </c>
      <c r="AZ36" s="15">
        <v>1.6721538305282593</v>
      </c>
      <c r="BA36" s="246">
        <v>8.1200475692749023</v>
      </c>
      <c r="BB36" s="143">
        <v>82.100837707519531</v>
      </c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15</v>
      </c>
      <c r="C37">
        <v>7.4999990463256836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 s="14">
        <v>1.4899718575179577E-2</v>
      </c>
      <c r="X37"/>
      <c r="Y37" s="11">
        <v>1.4474228955805302E-2</v>
      </c>
      <c r="Z37"/>
      <c r="AA37"/>
      <c r="AB37"/>
      <c r="AC37"/>
      <c r="AD37" s="11">
        <v>1.0636357728799339E-5</v>
      </c>
      <c r="AE37" s="11">
        <v>1.371136587113142E-2</v>
      </c>
      <c r="AF37"/>
      <c r="AG37"/>
      <c r="AH37"/>
      <c r="AI37"/>
      <c r="AJ37" s="11">
        <v>3.5341807233635336E-5</v>
      </c>
      <c r="AK37"/>
      <c r="AL37" s="11">
        <v>1.9949718844145536E-3</v>
      </c>
      <c r="AM37" s="16">
        <v>0.23850351572036743</v>
      </c>
      <c r="AN37" s="14">
        <v>3.8208607584238052E-2</v>
      </c>
      <c r="AO37" s="11">
        <v>3.6816385108977556E-3</v>
      </c>
      <c r="AP37" s="12">
        <v>4.8552505671977997E-2</v>
      </c>
      <c r="AQ37" s="12">
        <v>6.1302743852138519E-2</v>
      </c>
      <c r="AR37" s="14">
        <v>3.4097611904144287E-2</v>
      </c>
      <c r="AS37" s="151">
        <v>3.8340468406677246</v>
      </c>
      <c r="AT37"/>
      <c r="AU37"/>
      <c r="AV37" s="299">
        <v>1.5755633115768433</v>
      </c>
      <c r="AW37" s="11">
        <v>3.1010918319225311E-3</v>
      </c>
      <c r="AX37" s="234">
        <v>0.35033363103866577</v>
      </c>
      <c r="AY37" s="29">
        <v>0.70336031913757324</v>
      </c>
      <c r="AZ37" s="13">
        <v>0.56412184238433838</v>
      </c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/>
      <c r="C38">
        <v>0.59257429838180542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 s="9">
        <v>0.61904609203338623</v>
      </c>
      <c r="X38" s="9">
        <v>3.7800406571477652E-3</v>
      </c>
      <c r="Y38" s="9">
        <v>0.49208936095237732</v>
      </c>
      <c r="Z38"/>
      <c r="AA38"/>
      <c r="AB38"/>
      <c r="AC38" s="9">
        <v>0.11223927885293961</v>
      </c>
      <c r="AD38" s="9">
        <v>8.8399965316057205E-3</v>
      </c>
      <c r="AE38"/>
      <c r="AF38" s="9">
        <v>9.0587148442864418E-3</v>
      </c>
      <c r="AG38" s="9">
        <v>1.0719697922468185E-2</v>
      </c>
      <c r="AH38"/>
      <c r="AI38"/>
      <c r="AJ38"/>
      <c r="AK38"/>
      <c r="AL38" s="9">
        <v>5.527438223361969E-2</v>
      </c>
      <c r="AM38" s="9">
        <v>4.457445815205574E-2</v>
      </c>
      <c r="AN38"/>
      <c r="AO38"/>
      <c r="AP38" s="9">
        <v>41.98773193359375</v>
      </c>
      <c r="AQ38" s="9">
        <v>3.2435564994812012</v>
      </c>
      <c r="AR38" s="9">
        <v>1.2027467489242554</v>
      </c>
      <c r="AS38" s="9">
        <v>56.535083770751953</v>
      </c>
      <c r="AT38" s="9">
        <v>0.14275433123111725</v>
      </c>
      <c r="AU38"/>
      <c r="AV38" s="9">
        <v>105.34150695800781</v>
      </c>
      <c r="AW38" s="9">
        <v>0.65632081031799316</v>
      </c>
      <c r="AX38" s="9">
        <v>13.656723022460938</v>
      </c>
      <c r="AY38" s="9">
        <v>100.92739868164062</v>
      </c>
      <c r="AZ38" s="9">
        <v>38.375930786132812</v>
      </c>
      <c r="BA38" s="9">
        <v>82.824485778808594</v>
      </c>
      <c r="BB38" s="9">
        <v>86.733665466308594</v>
      </c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/>
      <c r="C39">
        <v>0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41.832031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41.832031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201" t="s">
        <v>192</v>
      </c>
      <c r="E5">
        <v>4</v>
      </c>
      <c r="F5">
        <v>3.12</v>
      </c>
      <c r="G5">
        <v>4</v>
      </c>
      <c r="H5" s="202" t="s">
        <v>192</v>
      </c>
      <c r="J5" s="57"/>
      <c r="K5" s="58"/>
    </row>
    <row r="6" spans="1:12" ht="14" thickBot="1" x14ac:dyDescent="0.2">
      <c r="A6" s="41" t="s">
        <v>121</v>
      </c>
      <c r="D6" s="201" t="s">
        <v>193</v>
      </c>
      <c r="E6">
        <v>5</v>
      </c>
      <c r="F6">
        <v>3.22</v>
      </c>
      <c r="G6">
        <v>5</v>
      </c>
      <c r="H6" s="202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201" t="s">
        <v>194</v>
      </c>
      <c r="E7">
        <v>6</v>
      </c>
      <c r="F7">
        <v>3.12</v>
      </c>
      <c r="G7">
        <v>6</v>
      </c>
      <c r="H7" s="202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201" t="s">
        <v>195</v>
      </c>
      <c r="E8">
        <v>7</v>
      </c>
      <c r="F8">
        <v>3</v>
      </c>
      <c r="G8">
        <v>7</v>
      </c>
      <c r="H8" s="202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201" t="s">
        <v>196</v>
      </c>
      <c r="E9">
        <v>8</v>
      </c>
      <c r="F9">
        <v>3.22</v>
      </c>
      <c r="G9">
        <v>8</v>
      </c>
      <c r="H9" s="202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201" t="s">
        <v>197</v>
      </c>
      <c r="E10">
        <v>9</v>
      </c>
      <c r="F10">
        <v>3.12</v>
      </c>
      <c r="G10">
        <v>9</v>
      </c>
      <c r="H10" s="202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201" t="s">
        <v>198</v>
      </c>
      <c r="E11">
        <v>10</v>
      </c>
      <c r="F11">
        <v>3.12</v>
      </c>
      <c r="G11">
        <v>10</v>
      </c>
      <c r="H11" s="202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201" t="s">
        <v>199</v>
      </c>
      <c r="E12">
        <v>11</v>
      </c>
      <c r="F12">
        <v>3.12</v>
      </c>
      <c r="G12">
        <v>11</v>
      </c>
      <c r="H12" s="202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201" t="s">
        <v>200</v>
      </c>
      <c r="E13">
        <v>12</v>
      </c>
      <c r="F13">
        <v>3.12</v>
      </c>
      <c r="G13">
        <v>12</v>
      </c>
      <c r="H13" s="202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201" t="s">
        <v>201</v>
      </c>
      <c r="E14">
        <v>13</v>
      </c>
      <c r="F14">
        <v>3.12</v>
      </c>
      <c r="G14">
        <v>13</v>
      </c>
      <c r="H14" s="202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201" t="s">
        <v>202</v>
      </c>
      <c r="E15">
        <v>14</v>
      </c>
      <c r="F15">
        <v>3.12</v>
      </c>
      <c r="G15">
        <v>14</v>
      </c>
      <c r="H15" s="202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201" t="s">
        <v>203</v>
      </c>
      <c r="E16">
        <v>15</v>
      </c>
      <c r="F16">
        <v>3.12</v>
      </c>
      <c r="G16">
        <v>15</v>
      </c>
      <c r="H16" s="202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201" t="s">
        <v>204</v>
      </c>
      <c r="E17">
        <v>16</v>
      </c>
      <c r="F17">
        <v>3.12</v>
      </c>
      <c r="G17">
        <v>16</v>
      </c>
      <c r="H17" s="202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201" t="s">
        <v>205</v>
      </c>
      <c r="E18">
        <v>17</v>
      </c>
      <c r="F18">
        <v>3.22</v>
      </c>
      <c r="G18">
        <v>17</v>
      </c>
      <c r="H18" s="202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201" t="s">
        <v>206</v>
      </c>
      <c r="E19">
        <v>18</v>
      </c>
      <c r="F19">
        <v>3.22</v>
      </c>
      <c r="G19">
        <v>18</v>
      </c>
      <c r="H19" s="202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201" t="s">
        <v>207</v>
      </c>
      <c r="E20">
        <v>19</v>
      </c>
      <c r="F20">
        <v>3</v>
      </c>
      <c r="G20">
        <v>19</v>
      </c>
      <c r="H20" s="202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201" t="s">
        <v>208</v>
      </c>
      <c r="E21">
        <v>20</v>
      </c>
      <c r="F21">
        <v>3.22</v>
      </c>
      <c r="G21">
        <v>20</v>
      </c>
      <c r="H21" s="202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201" t="s">
        <v>209</v>
      </c>
      <c r="E22">
        <v>21</v>
      </c>
      <c r="F22">
        <v>3</v>
      </c>
      <c r="G22">
        <v>21</v>
      </c>
      <c r="H22" s="202" t="s">
        <v>209</v>
      </c>
    </row>
    <row r="23" spans="1:12" x14ac:dyDescent="0.15">
      <c r="A23" s="36" t="s">
        <v>129</v>
      </c>
      <c r="B23" s="44">
        <v>4</v>
      </c>
      <c r="C23" s="38"/>
      <c r="D23" s="201" t="s">
        <v>210</v>
      </c>
      <c r="E23">
        <v>22</v>
      </c>
      <c r="F23">
        <v>3</v>
      </c>
      <c r="G23">
        <v>22</v>
      </c>
      <c r="H23" s="202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201" t="s">
        <v>211</v>
      </c>
      <c r="E24">
        <v>23</v>
      </c>
      <c r="F24">
        <v>3</v>
      </c>
      <c r="G24">
        <v>23</v>
      </c>
      <c r="H24" s="202" t="s">
        <v>211</v>
      </c>
    </row>
    <row r="25" spans="1:12" x14ac:dyDescent="0.15">
      <c r="A25" s="36" t="s">
        <v>70</v>
      </c>
      <c r="B25" s="44">
        <v>4.2</v>
      </c>
      <c r="C25" s="38"/>
      <c r="D25" s="201" t="s">
        <v>212</v>
      </c>
      <c r="E25">
        <v>24</v>
      </c>
      <c r="F25">
        <v>3</v>
      </c>
      <c r="G25">
        <v>24</v>
      </c>
      <c r="H25" s="202" t="s">
        <v>212</v>
      </c>
    </row>
    <row r="26" spans="1:12" x14ac:dyDescent="0.15">
      <c r="A26" s="36" t="s">
        <v>123</v>
      </c>
      <c r="B26" s="44">
        <v>4.3</v>
      </c>
      <c r="C26" s="38"/>
      <c r="D26" s="201" t="s">
        <v>213</v>
      </c>
      <c r="E26">
        <v>25</v>
      </c>
      <c r="F26">
        <v>3.21</v>
      </c>
      <c r="G26">
        <v>25</v>
      </c>
      <c r="H26" s="202" t="s">
        <v>213</v>
      </c>
    </row>
    <row r="27" spans="1:12" x14ac:dyDescent="0.15">
      <c r="A27" s="36" t="s">
        <v>125</v>
      </c>
      <c r="B27" s="44">
        <v>6.1</v>
      </c>
      <c r="D27" s="201" t="s">
        <v>214</v>
      </c>
      <c r="E27">
        <v>26</v>
      </c>
      <c r="F27">
        <v>3</v>
      </c>
      <c r="G27">
        <v>26</v>
      </c>
      <c r="H27" s="202" t="s">
        <v>214</v>
      </c>
    </row>
    <row r="28" spans="1:12" x14ac:dyDescent="0.15">
      <c r="A28" s="36" t="s">
        <v>124</v>
      </c>
      <c r="B28" s="44">
        <v>6.2</v>
      </c>
      <c r="D28" s="201" t="s">
        <v>215</v>
      </c>
      <c r="E28">
        <v>27</v>
      </c>
      <c r="F28">
        <v>3.21</v>
      </c>
      <c r="G28">
        <v>27</v>
      </c>
      <c r="H28" s="202" t="s">
        <v>215</v>
      </c>
    </row>
    <row r="29" spans="1:12" x14ac:dyDescent="0.15">
      <c r="A29" s="36" t="s">
        <v>44</v>
      </c>
      <c r="B29" s="44">
        <v>5</v>
      </c>
      <c r="D29" s="201" t="s">
        <v>216</v>
      </c>
      <c r="E29">
        <v>28</v>
      </c>
      <c r="F29">
        <v>3.21</v>
      </c>
      <c r="G29">
        <v>28</v>
      </c>
      <c r="H29" s="202" t="s">
        <v>216</v>
      </c>
    </row>
    <row r="30" spans="1:12" x14ac:dyDescent="0.15">
      <c r="A30" s="36" t="s">
        <v>73</v>
      </c>
      <c r="B30" s="44">
        <v>7</v>
      </c>
      <c r="D30" s="201" t="s">
        <v>217</v>
      </c>
      <c r="E30">
        <v>29</v>
      </c>
      <c r="F30">
        <v>3.12</v>
      </c>
      <c r="G30">
        <v>29</v>
      </c>
      <c r="H30" s="202" t="s">
        <v>217</v>
      </c>
    </row>
    <row r="31" spans="1:12" x14ac:dyDescent="0.15">
      <c r="A31" s="36" t="s">
        <v>169</v>
      </c>
      <c r="B31" s="44">
        <v>3.14</v>
      </c>
      <c r="D31" s="201" t="s">
        <v>218</v>
      </c>
      <c r="E31">
        <v>30</v>
      </c>
      <c r="F31">
        <v>3.21</v>
      </c>
      <c r="G31">
        <v>30</v>
      </c>
      <c r="H31" s="202" t="s">
        <v>218</v>
      </c>
    </row>
    <row r="32" spans="1:12" ht="12" customHeight="1" thickBot="1" x14ac:dyDescent="0.2">
      <c r="A32" s="42" t="s">
        <v>170</v>
      </c>
      <c r="B32" s="45">
        <v>9</v>
      </c>
      <c r="D32" s="201" t="s">
        <v>219</v>
      </c>
      <c r="E32">
        <v>31</v>
      </c>
      <c r="F32">
        <v>3.21</v>
      </c>
      <c r="G32">
        <v>31</v>
      </c>
      <c r="H32" s="202" t="s">
        <v>219</v>
      </c>
    </row>
    <row r="33" spans="4:8" customFormat="1" ht="12" customHeight="1" x14ac:dyDescent="0.15">
      <c r="D33" s="201" t="s">
        <v>220</v>
      </c>
      <c r="E33">
        <v>32</v>
      </c>
      <c r="F33">
        <v>3.21</v>
      </c>
      <c r="G33">
        <v>32</v>
      </c>
      <c r="H33" s="202" t="s">
        <v>220</v>
      </c>
    </row>
    <row r="34" spans="4:8" customFormat="1" ht="12" customHeight="1" x14ac:dyDescent="0.15">
      <c r="D34" s="201" t="s">
        <v>221</v>
      </c>
      <c r="E34">
        <v>33</v>
      </c>
      <c r="F34">
        <v>3.21</v>
      </c>
      <c r="G34">
        <v>33</v>
      </c>
      <c r="H34" s="202" t="s">
        <v>221</v>
      </c>
    </row>
    <row r="35" spans="4:8" customFormat="1" x14ac:dyDescent="0.15">
      <c r="D35" s="201" t="s">
        <v>222</v>
      </c>
      <c r="E35">
        <v>34</v>
      </c>
      <c r="F35">
        <v>3.21</v>
      </c>
      <c r="G35">
        <v>34</v>
      </c>
      <c r="H35" s="202" t="s">
        <v>222</v>
      </c>
    </row>
    <row r="36" spans="4:8" customFormat="1" x14ac:dyDescent="0.15">
      <c r="D36" s="201" t="s">
        <v>223</v>
      </c>
      <c r="E36">
        <v>35</v>
      </c>
      <c r="F36">
        <v>3.21</v>
      </c>
      <c r="G36">
        <v>35</v>
      </c>
      <c r="H36" s="202" t="s">
        <v>223</v>
      </c>
    </row>
    <row r="37" spans="4:8" customFormat="1" ht="12" customHeight="1" x14ac:dyDescent="0.15">
      <c r="D37" s="201" t="s">
        <v>224</v>
      </c>
      <c r="E37">
        <v>36</v>
      </c>
      <c r="F37">
        <v>3.21</v>
      </c>
      <c r="G37">
        <v>36</v>
      </c>
      <c r="H37" s="202" t="s">
        <v>224</v>
      </c>
    </row>
    <row r="38" spans="4:8" customFormat="1" x14ac:dyDescent="0.15">
      <c r="D38" s="201" t="s">
        <v>225</v>
      </c>
      <c r="E38">
        <v>37</v>
      </c>
      <c r="F38">
        <v>3.11</v>
      </c>
      <c r="G38">
        <v>37</v>
      </c>
      <c r="H38" s="202" t="s">
        <v>225</v>
      </c>
    </row>
    <row r="39" spans="4:8" customFormat="1" x14ac:dyDescent="0.15">
      <c r="D39" s="201" t="s">
        <v>226</v>
      </c>
      <c r="E39">
        <v>38</v>
      </c>
      <c r="F39">
        <v>2</v>
      </c>
      <c r="G39">
        <v>38</v>
      </c>
      <c r="H39" s="202" t="s">
        <v>226</v>
      </c>
    </row>
    <row r="40" spans="4:8" customFormat="1" x14ac:dyDescent="0.15">
      <c r="D40" s="201" t="s">
        <v>227</v>
      </c>
      <c r="E40">
        <v>39</v>
      </c>
      <c r="F40">
        <v>2</v>
      </c>
      <c r="G40">
        <v>39</v>
      </c>
      <c r="H40" s="202" t="s">
        <v>227</v>
      </c>
    </row>
    <row r="41" spans="4:8" customFormat="1" x14ac:dyDescent="0.15">
      <c r="D41" s="201" t="s">
        <v>228</v>
      </c>
      <c r="E41">
        <v>40</v>
      </c>
      <c r="F41">
        <v>4.0999999999999996</v>
      </c>
      <c r="G41">
        <v>40</v>
      </c>
      <c r="H41" s="202" t="s">
        <v>228</v>
      </c>
    </row>
    <row r="42" spans="4:8" customFormat="1" x14ac:dyDescent="0.15">
      <c r="D42" s="201" t="s">
        <v>229</v>
      </c>
      <c r="E42">
        <v>41</v>
      </c>
      <c r="F42">
        <v>4.3</v>
      </c>
      <c r="G42">
        <v>41</v>
      </c>
      <c r="H42" s="202" t="s">
        <v>229</v>
      </c>
    </row>
    <row r="43" spans="4:8" customFormat="1" x14ac:dyDescent="0.15">
      <c r="D43" s="201" t="s">
        <v>230</v>
      </c>
      <c r="E43">
        <v>42</v>
      </c>
      <c r="F43">
        <v>5</v>
      </c>
      <c r="G43">
        <v>42</v>
      </c>
      <c r="H43" s="202" t="s">
        <v>230</v>
      </c>
    </row>
    <row r="44" spans="4:8" customFormat="1" x14ac:dyDescent="0.15">
      <c r="D44" s="201" t="s">
        <v>231</v>
      </c>
      <c r="E44">
        <v>43</v>
      </c>
      <c r="F44">
        <v>5</v>
      </c>
      <c r="G44">
        <v>43</v>
      </c>
      <c r="H44" s="202" t="s">
        <v>231</v>
      </c>
    </row>
    <row r="45" spans="4:8" customFormat="1" x14ac:dyDescent="0.15">
      <c r="D45" s="201" t="s">
        <v>232</v>
      </c>
      <c r="E45">
        <v>44</v>
      </c>
      <c r="F45">
        <v>5</v>
      </c>
      <c r="G45">
        <v>44</v>
      </c>
      <c r="H45" s="202" t="s">
        <v>232</v>
      </c>
    </row>
    <row r="46" spans="4:8" customFormat="1" x14ac:dyDescent="0.15">
      <c r="D46" s="201" t="s">
        <v>233</v>
      </c>
      <c r="E46">
        <v>45</v>
      </c>
      <c r="F46">
        <v>5</v>
      </c>
      <c r="G46">
        <v>45</v>
      </c>
      <c r="H46" s="202" t="s">
        <v>233</v>
      </c>
    </row>
    <row r="47" spans="4:8" customFormat="1" x14ac:dyDescent="0.15">
      <c r="D47" s="201" t="s">
        <v>234</v>
      </c>
      <c r="E47">
        <v>46</v>
      </c>
      <c r="F47">
        <v>5</v>
      </c>
      <c r="G47">
        <v>46</v>
      </c>
      <c r="H47" s="202" t="s">
        <v>234</v>
      </c>
    </row>
    <row r="48" spans="4:8" customFormat="1" x14ac:dyDescent="0.15">
      <c r="D48" s="201" t="s">
        <v>235</v>
      </c>
      <c r="E48">
        <v>47</v>
      </c>
      <c r="F48">
        <v>5</v>
      </c>
      <c r="G48">
        <v>47</v>
      </c>
      <c r="H48" s="202" t="s">
        <v>235</v>
      </c>
    </row>
    <row r="49" spans="4:8" customFormat="1" x14ac:dyDescent="0.15">
      <c r="D49" s="201" t="s">
        <v>236</v>
      </c>
      <c r="E49">
        <v>48</v>
      </c>
      <c r="F49">
        <v>5</v>
      </c>
      <c r="G49">
        <v>48</v>
      </c>
      <c r="H49" s="202" t="s">
        <v>236</v>
      </c>
    </row>
    <row r="50" spans="4:8" customFormat="1" ht="12" customHeight="1" x14ac:dyDescent="0.15">
      <c r="D50" s="201" t="s">
        <v>237</v>
      </c>
      <c r="E50">
        <v>49</v>
      </c>
      <c r="F50">
        <v>5</v>
      </c>
      <c r="G50">
        <v>49</v>
      </c>
      <c r="H50" s="202" t="s">
        <v>237</v>
      </c>
    </row>
    <row r="51" spans="4:8" customFormat="1" x14ac:dyDescent="0.15">
      <c r="D51" s="201" t="s">
        <v>238</v>
      </c>
      <c r="E51">
        <v>50</v>
      </c>
      <c r="F51">
        <v>5</v>
      </c>
      <c r="G51">
        <v>50</v>
      </c>
      <c r="H51" s="202" t="s">
        <v>238</v>
      </c>
    </row>
    <row r="52" spans="4:8" customFormat="1" ht="12" customHeight="1" x14ac:dyDescent="0.15">
      <c r="D52" s="201" t="s">
        <v>239</v>
      </c>
      <c r="E52">
        <v>51</v>
      </c>
      <c r="F52">
        <v>5</v>
      </c>
      <c r="G52">
        <v>51</v>
      </c>
      <c r="H52" s="202" t="s">
        <v>239</v>
      </c>
    </row>
    <row r="53" spans="4:8" customFormat="1" x14ac:dyDescent="0.15">
      <c r="D53" s="201" t="s">
        <v>240</v>
      </c>
      <c r="E53">
        <v>52</v>
      </c>
      <c r="F53">
        <v>5</v>
      </c>
      <c r="G53">
        <v>52</v>
      </c>
      <c r="H53" s="202" t="s">
        <v>240</v>
      </c>
    </row>
    <row r="54" spans="4:8" customFormat="1" ht="12" customHeight="1" x14ac:dyDescent="0.15">
      <c r="D54" s="201" t="s">
        <v>241</v>
      </c>
      <c r="E54">
        <v>53</v>
      </c>
      <c r="F54">
        <v>5</v>
      </c>
      <c r="G54">
        <v>53</v>
      </c>
      <c r="H54" s="202" t="s">
        <v>241</v>
      </c>
    </row>
    <row r="55" spans="4:8" customFormat="1" ht="12" customHeight="1" x14ac:dyDescent="0.15">
      <c r="D55" s="201" t="s">
        <v>242</v>
      </c>
      <c r="E55">
        <v>54</v>
      </c>
      <c r="F55">
        <v>5</v>
      </c>
      <c r="G55">
        <v>54</v>
      </c>
      <c r="H55" s="202" t="s">
        <v>242</v>
      </c>
    </row>
    <row r="56" spans="4:8" customFormat="1" x14ac:dyDescent="0.15">
      <c r="D56" s="201" t="s">
        <v>243</v>
      </c>
      <c r="E56">
        <v>55</v>
      </c>
      <c r="F56">
        <v>5</v>
      </c>
      <c r="G56">
        <v>55</v>
      </c>
      <c r="H56" s="202" t="s">
        <v>243</v>
      </c>
    </row>
    <row r="57" spans="4:8" customFormat="1" x14ac:dyDescent="0.15">
      <c r="D57" s="201" t="s">
        <v>244</v>
      </c>
      <c r="E57">
        <v>56</v>
      </c>
      <c r="F57">
        <v>5</v>
      </c>
      <c r="G57">
        <v>56</v>
      </c>
      <c r="H57" s="202" t="s">
        <v>244</v>
      </c>
    </row>
    <row r="58" spans="4:8" customFormat="1" x14ac:dyDescent="0.15">
      <c r="D58" s="201" t="s">
        <v>245</v>
      </c>
      <c r="E58">
        <v>57</v>
      </c>
      <c r="F58">
        <v>5</v>
      </c>
      <c r="G58">
        <v>57</v>
      </c>
      <c r="H58" s="202" t="s">
        <v>245</v>
      </c>
    </row>
    <row r="59" spans="4:8" customFormat="1" x14ac:dyDescent="0.15">
      <c r="D59" s="201" t="s">
        <v>246</v>
      </c>
      <c r="E59">
        <v>58</v>
      </c>
      <c r="F59">
        <v>5</v>
      </c>
      <c r="G59">
        <v>58</v>
      </c>
      <c r="H59" s="202" t="s">
        <v>246</v>
      </c>
    </row>
    <row r="60" spans="4:8" customFormat="1" x14ac:dyDescent="0.15">
      <c r="D60" s="201" t="s">
        <v>138</v>
      </c>
      <c r="E60">
        <v>59</v>
      </c>
      <c r="F60">
        <v>6.1</v>
      </c>
      <c r="G60">
        <v>59</v>
      </c>
      <c r="H60" s="202" t="s">
        <v>138</v>
      </c>
    </row>
    <row r="61" spans="4:8" customFormat="1" x14ac:dyDescent="0.15">
      <c r="D61" s="201" t="s">
        <v>45</v>
      </c>
      <c r="E61">
        <v>60</v>
      </c>
      <c r="F61">
        <v>6.2</v>
      </c>
      <c r="G61">
        <v>60</v>
      </c>
      <c r="H61" s="202" t="s">
        <v>45</v>
      </c>
    </row>
    <row r="62" spans="4:8" customFormat="1" x14ac:dyDescent="0.15"/>
    <row r="63" spans="4:8" customFormat="1" x14ac:dyDescent="0.15"/>
    <row r="64" spans="4:8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86" bestFit="1" customWidth="1"/>
    <col min="2" max="2" width="12.83203125" style="85" customWidth="1"/>
    <col min="3" max="3" width="13.1640625" style="85" customWidth="1"/>
    <col min="4" max="4" width="4.33203125" style="85" customWidth="1"/>
    <col min="5" max="5" width="12.83203125" style="85" customWidth="1"/>
    <col min="6" max="6" width="41.83203125" style="85" bestFit="1" customWidth="1"/>
    <col min="7" max="9" width="2.33203125" style="85" customWidth="1"/>
    <col min="10" max="10" width="2.33203125" style="85" bestFit="1" customWidth="1"/>
    <col min="11" max="15" width="2.33203125" style="85" customWidth="1"/>
    <col min="16" max="16" width="2.33203125" style="73" customWidth="1"/>
    <col min="17" max="17" width="2.33203125" style="85" customWidth="1"/>
    <col min="18" max="18" width="2.33203125" style="74" customWidth="1"/>
    <col min="19" max="16384" width="11.5" style="85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7" t="s">
        <v>48</v>
      </c>
      <c r="L1" s="74"/>
      <c r="M1" s="87" t="s">
        <v>119</v>
      </c>
      <c r="N1" s="74"/>
      <c r="O1" s="87" t="s">
        <v>49</v>
      </c>
      <c r="P1" s="77"/>
      <c r="Q1" s="87" t="s">
        <v>50</v>
      </c>
      <c r="R1" s="71" t="s">
        <v>154</v>
      </c>
    </row>
    <row r="2" spans="1:23" ht="15" customHeight="1" x14ac:dyDescent="0.15">
      <c r="A2" s="87" t="s">
        <v>51</v>
      </c>
      <c r="B2" s="88">
        <v>0.5</v>
      </c>
      <c r="C2" s="86" t="s">
        <v>52</v>
      </c>
      <c r="D2" s="89"/>
      <c r="F2" s="1"/>
      <c r="G2" s="90"/>
      <c r="H2" s="90"/>
      <c r="I2" s="90" t="s">
        <v>133</v>
      </c>
      <c r="J2" s="90" t="s">
        <v>133</v>
      </c>
      <c r="K2" s="90" t="s">
        <v>52</v>
      </c>
      <c r="L2" s="90" t="s">
        <v>53</v>
      </c>
      <c r="M2" s="90" t="s">
        <v>52</v>
      </c>
      <c r="N2" s="90" t="s">
        <v>53</v>
      </c>
      <c r="O2" s="90" t="s">
        <v>52</v>
      </c>
      <c r="P2" s="91" t="s">
        <v>53</v>
      </c>
      <c r="Q2" s="90"/>
      <c r="R2" s="92" t="s">
        <v>155</v>
      </c>
    </row>
    <row r="3" spans="1:23" ht="15" customHeight="1" thickBot="1" x14ac:dyDescent="0.2">
      <c r="A3" s="87" t="s">
        <v>54</v>
      </c>
      <c r="B3" s="93">
        <v>0.5</v>
      </c>
      <c r="C3" s="86" t="s">
        <v>53</v>
      </c>
      <c r="D3" s="89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0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0">
        <v>0</v>
      </c>
      <c r="R4" s="113">
        <v>0</v>
      </c>
    </row>
    <row r="5" spans="1:23" ht="15" customHeight="1" x14ac:dyDescent="0.15">
      <c r="A5" s="87" t="s">
        <v>55</v>
      </c>
      <c r="B5" s="94">
        <v>0.5</v>
      </c>
      <c r="C5" s="86" t="s">
        <v>52</v>
      </c>
      <c r="D5" s="89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0">
        <v>0</v>
      </c>
      <c r="R5" s="113">
        <v>0</v>
      </c>
    </row>
    <row r="6" spans="1:23" ht="15" customHeight="1" thickBot="1" x14ac:dyDescent="0.2">
      <c r="A6" s="87"/>
      <c r="B6" s="95">
        <v>0.5</v>
      </c>
      <c r="C6" s="86" t="s">
        <v>53</v>
      </c>
      <c r="D6" s="89"/>
      <c r="F6" s="203" t="s">
        <v>192</v>
      </c>
      <c r="G6" s="85">
        <v>0</v>
      </c>
      <c r="H6" s="85">
        <v>0</v>
      </c>
      <c r="I6" s="85">
        <v>0</v>
      </c>
      <c r="J6" s="85">
        <v>0</v>
      </c>
      <c r="K6" s="85">
        <v>1</v>
      </c>
      <c r="L6" s="85">
        <v>0</v>
      </c>
      <c r="M6" s="85">
        <v>1</v>
      </c>
      <c r="N6" s="85">
        <v>0</v>
      </c>
      <c r="O6" s="85">
        <v>1</v>
      </c>
      <c r="P6" s="73">
        <v>0</v>
      </c>
      <c r="Q6" s="85">
        <v>0</v>
      </c>
      <c r="R6" s="74">
        <v>1</v>
      </c>
      <c r="S6"/>
      <c r="T6"/>
    </row>
    <row r="7" spans="1:23" ht="15" customHeight="1" thickBot="1" x14ac:dyDescent="0.2">
      <c r="F7" s="203" t="s">
        <v>193</v>
      </c>
      <c r="G7" s="85">
        <v>0</v>
      </c>
      <c r="H7" s="85">
        <v>0</v>
      </c>
      <c r="I7" s="85">
        <v>0</v>
      </c>
      <c r="J7" s="85">
        <v>0</v>
      </c>
      <c r="K7" s="85">
        <v>1</v>
      </c>
      <c r="L7" s="85">
        <v>0</v>
      </c>
      <c r="M7" s="85">
        <v>1</v>
      </c>
      <c r="N7" s="85">
        <v>0</v>
      </c>
      <c r="O7" s="85">
        <v>1</v>
      </c>
      <c r="P7" s="73">
        <v>0</v>
      </c>
      <c r="Q7" s="85">
        <v>0</v>
      </c>
      <c r="R7" s="74">
        <v>1</v>
      </c>
      <c r="S7"/>
      <c r="T7"/>
    </row>
    <row r="8" spans="1:23" ht="15" customHeight="1" x14ac:dyDescent="0.15">
      <c r="A8" s="87" t="s">
        <v>56</v>
      </c>
      <c r="B8" s="94">
        <v>0.36642116448646073</v>
      </c>
      <c r="C8" s="204" t="s">
        <v>226</v>
      </c>
      <c r="D8" s="89" t="s">
        <v>160</v>
      </c>
      <c r="F8" s="203" t="s">
        <v>194</v>
      </c>
      <c r="G8" s="85">
        <v>0</v>
      </c>
      <c r="H8" s="85">
        <v>0</v>
      </c>
      <c r="I8" s="85">
        <v>0</v>
      </c>
      <c r="J8" s="85">
        <v>0</v>
      </c>
      <c r="K8" s="85">
        <v>1</v>
      </c>
      <c r="L8" s="85">
        <v>0</v>
      </c>
      <c r="M8" s="85">
        <v>1</v>
      </c>
      <c r="N8" s="85">
        <v>0</v>
      </c>
      <c r="O8" s="85">
        <v>1</v>
      </c>
      <c r="P8" s="73">
        <v>0</v>
      </c>
      <c r="Q8" s="85">
        <v>0</v>
      </c>
      <c r="R8" s="74">
        <v>1</v>
      </c>
      <c r="S8"/>
      <c r="T8"/>
      <c r="W8"/>
    </row>
    <row r="9" spans="1:23" ht="15" customHeight="1" x14ac:dyDescent="0.15">
      <c r="A9" s="127" t="s">
        <v>168</v>
      </c>
      <c r="B9" s="96">
        <v>0.63357883551353922</v>
      </c>
      <c r="C9" s="204" t="s">
        <v>227</v>
      </c>
      <c r="D9" s="89" t="s">
        <v>160</v>
      </c>
      <c r="F9" s="203" t="s">
        <v>195</v>
      </c>
      <c r="G9" s="85">
        <v>0</v>
      </c>
      <c r="H9" s="85">
        <v>0</v>
      </c>
      <c r="I9" s="85">
        <v>0</v>
      </c>
      <c r="J9" s="85">
        <v>0</v>
      </c>
      <c r="K9" s="85">
        <v>1</v>
      </c>
      <c r="L9" s="85">
        <v>0</v>
      </c>
      <c r="M9" s="85">
        <v>1</v>
      </c>
      <c r="N9" s="85">
        <v>0</v>
      </c>
      <c r="O9" s="85">
        <v>1</v>
      </c>
      <c r="P9" s="73">
        <v>0</v>
      </c>
      <c r="Q9" s="85">
        <v>0</v>
      </c>
      <c r="R9" s="74">
        <v>1</v>
      </c>
      <c r="S9"/>
      <c r="T9"/>
      <c r="W9"/>
    </row>
    <row r="10" spans="1:23" ht="15" customHeight="1" x14ac:dyDescent="0.15">
      <c r="B10" s="96"/>
      <c r="C10" s="84"/>
      <c r="D10" s="89" t="s">
        <v>160</v>
      </c>
      <c r="F10" s="203" t="s">
        <v>196</v>
      </c>
      <c r="G10" s="85">
        <v>0</v>
      </c>
      <c r="H10" s="85">
        <v>0</v>
      </c>
      <c r="I10" s="85">
        <v>0</v>
      </c>
      <c r="J10" s="85">
        <v>0</v>
      </c>
      <c r="K10" s="85">
        <v>1</v>
      </c>
      <c r="L10" s="85">
        <v>0</v>
      </c>
      <c r="M10" s="85">
        <v>1</v>
      </c>
      <c r="N10" s="85">
        <v>0</v>
      </c>
      <c r="O10" s="85">
        <v>1</v>
      </c>
      <c r="P10" s="73">
        <v>0</v>
      </c>
      <c r="Q10" s="85">
        <v>0</v>
      </c>
      <c r="R10" s="74">
        <v>1</v>
      </c>
      <c r="S10"/>
      <c r="T10"/>
      <c r="W10"/>
    </row>
    <row r="11" spans="1:23" ht="15" customHeight="1" x14ac:dyDescent="0.15">
      <c r="A11" s="87"/>
      <c r="B11" s="96"/>
      <c r="C11" s="99"/>
      <c r="D11" s="89" t="s">
        <v>160</v>
      </c>
      <c r="F11" s="203" t="s">
        <v>197</v>
      </c>
      <c r="G11" s="85">
        <v>0</v>
      </c>
      <c r="H11" s="85">
        <v>0</v>
      </c>
      <c r="I11" s="85">
        <v>0</v>
      </c>
      <c r="J11" s="85">
        <v>0</v>
      </c>
      <c r="K11" s="85">
        <v>1</v>
      </c>
      <c r="L11" s="85">
        <v>0</v>
      </c>
      <c r="M11" s="85">
        <v>1</v>
      </c>
      <c r="N11" s="85">
        <v>0</v>
      </c>
      <c r="O11" s="85">
        <v>1</v>
      </c>
      <c r="P11" s="73">
        <v>0</v>
      </c>
      <c r="Q11" s="85">
        <v>0</v>
      </c>
      <c r="R11" s="74">
        <v>1</v>
      </c>
      <c r="S11"/>
      <c r="T11"/>
      <c r="W11"/>
    </row>
    <row r="12" spans="1:23" ht="15" customHeight="1" x14ac:dyDescent="0.15">
      <c r="B12" s="96"/>
      <c r="C12" s="100"/>
      <c r="D12" s="89" t="s">
        <v>160</v>
      </c>
      <c r="F12" s="203" t="s">
        <v>198</v>
      </c>
      <c r="G12" s="85">
        <v>0</v>
      </c>
      <c r="H12" s="85">
        <v>0</v>
      </c>
      <c r="I12" s="85">
        <v>0</v>
      </c>
      <c r="J12" s="85">
        <v>0</v>
      </c>
      <c r="K12" s="85">
        <v>1</v>
      </c>
      <c r="L12" s="85">
        <v>0</v>
      </c>
      <c r="M12" s="85">
        <v>1</v>
      </c>
      <c r="N12" s="85">
        <v>0</v>
      </c>
      <c r="O12" s="85">
        <v>1</v>
      </c>
      <c r="P12" s="73">
        <v>0</v>
      </c>
      <c r="Q12" s="85">
        <v>0</v>
      </c>
      <c r="R12" s="74">
        <v>1</v>
      </c>
      <c r="S12"/>
      <c r="T12"/>
      <c r="W12"/>
    </row>
    <row r="13" spans="1:23" ht="15" customHeight="1" x14ac:dyDescent="0.15">
      <c r="B13" s="96"/>
      <c r="C13" s="100"/>
      <c r="D13" s="89" t="s">
        <v>160</v>
      </c>
      <c r="F13" s="203" t="s">
        <v>199</v>
      </c>
      <c r="G13" s="85">
        <v>0</v>
      </c>
      <c r="H13" s="85">
        <v>0</v>
      </c>
      <c r="I13" s="85">
        <v>0</v>
      </c>
      <c r="J13" s="85">
        <v>0</v>
      </c>
      <c r="K13" s="85">
        <v>1</v>
      </c>
      <c r="L13" s="85">
        <v>0</v>
      </c>
      <c r="M13" s="85">
        <v>1</v>
      </c>
      <c r="N13" s="85">
        <v>0</v>
      </c>
      <c r="O13" s="85">
        <v>1</v>
      </c>
      <c r="P13" s="73">
        <v>0</v>
      </c>
      <c r="Q13" s="85">
        <v>0</v>
      </c>
      <c r="R13" s="74">
        <v>1</v>
      </c>
      <c r="S13"/>
      <c r="T13"/>
      <c r="W13"/>
    </row>
    <row r="14" spans="1:23" ht="15" customHeight="1" x14ac:dyDescent="0.15">
      <c r="B14" s="96"/>
      <c r="C14" s="84"/>
      <c r="D14" s="89" t="s">
        <v>160</v>
      </c>
      <c r="F14" s="203" t="s">
        <v>200</v>
      </c>
      <c r="G14" s="85">
        <v>0</v>
      </c>
      <c r="H14" s="85">
        <v>0</v>
      </c>
      <c r="I14" s="85">
        <v>0</v>
      </c>
      <c r="J14" s="85">
        <v>0</v>
      </c>
      <c r="K14" s="85">
        <v>1</v>
      </c>
      <c r="L14" s="85">
        <v>0</v>
      </c>
      <c r="M14" s="85">
        <v>1</v>
      </c>
      <c r="N14" s="85">
        <v>0</v>
      </c>
      <c r="O14" s="85">
        <v>1</v>
      </c>
      <c r="P14" s="73">
        <v>0</v>
      </c>
      <c r="Q14" s="85">
        <v>0</v>
      </c>
      <c r="R14" s="74">
        <v>1</v>
      </c>
      <c r="S14"/>
      <c r="T14"/>
      <c r="W14"/>
    </row>
    <row r="15" spans="1:23" ht="15" customHeight="1" x14ac:dyDescent="0.15">
      <c r="B15" s="96"/>
      <c r="C15" s="84"/>
      <c r="D15" s="89" t="s">
        <v>160</v>
      </c>
      <c r="F15" s="203" t="s">
        <v>201</v>
      </c>
      <c r="G15" s="85">
        <v>0</v>
      </c>
      <c r="H15" s="85">
        <v>0</v>
      </c>
      <c r="I15" s="85">
        <v>0</v>
      </c>
      <c r="J15" s="85">
        <v>0</v>
      </c>
      <c r="K15" s="85">
        <v>1</v>
      </c>
      <c r="L15" s="85">
        <v>0</v>
      </c>
      <c r="M15" s="85">
        <v>1</v>
      </c>
      <c r="N15" s="85">
        <v>0</v>
      </c>
      <c r="O15" s="85">
        <v>1</v>
      </c>
      <c r="P15" s="73">
        <v>0</v>
      </c>
      <c r="Q15" s="85">
        <v>0</v>
      </c>
      <c r="R15" s="74">
        <v>1</v>
      </c>
      <c r="S15"/>
      <c r="T15"/>
      <c r="W15"/>
    </row>
    <row r="16" spans="1:23" ht="15" customHeight="1" x14ac:dyDescent="0.15">
      <c r="B16" s="96"/>
      <c r="C16" s="84"/>
      <c r="D16" s="89" t="s">
        <v>160</v>
      </c>
      <c r="F16" s="203" t="s">
        <v>202</v>
      </c>
      <c r="G16" s="85">
        <v>0</v>
      </c>
      <c r="H16" s="85">
        <v>0</v>
      </c>
      <c r="I16" s="85">
        <v>0</v>
      </c>
      <c r="J16" s="85">
        <v>0</v>
      </c>
      <c r="K16" s="85">
        <v>1</v>
      </c>
      <c r="L16" s="85">
        <v>0</v>
      </c>
      <c r="M16" s="85">
        <v>1</v>
      </c>
      <c r="N16" s="85">
        <v>0</v>
      </c>
      <c r="O16" s="85">
        <v>1</v>
      </c>
      <c r="P16" s="73">
        <v>0</v>
      </c>
      <c r="Q16" s="85">
        <v>0</v>
      </c>
      <c r="R16" s="74">
        <v>1</v>
      </c>
      <c r="S16"/>
      <c r="T16"/>
    </row>
    <row r="17" spans="1:20" ht="15" customHeight="1" thickBot="1" x14ac:dyDescent="0.2">
      <c r="B17" s="95"/>
      <c r="C17" s="84"/>
      <c r="D17" s="89" t="s">
        <v>160</v>
      </c>
      <c r="F17" s="203" t="s">
        <v>203</v>
      </c>
      <c r="G17" s="85">
        <v>0</v>
      </c>
      <c r="H17" s="85">
        <v>0</v>
      </c>
      <c r="I17" s="85">
        <v>0</v>
      </c>
      <c r="J17" s="85">
        <v>0</v>
      </c>
      <c r="K17" s="85">
        <v>1</v>
      </c>
      <c r="L17" s="85">
        <v>0</v>
      </c>
      <c r="M17" s="85">
        <v>1</v>
      </c>
      <c r="N17" s="85">
        <v>0</v>
      </c>
      <c r="O17" s="85">
        <v>1</v>
      </c>
      <c r="P17" s="73">
        <v>0</v>
      </c>
      <c r="Q17" s="85">
        <v>0</v>
      </c>
      <c r="R17" s="74">
        <v>1</v>
      </c>
      <c r="S17"/>
      <c r="T17"/>
    </row>
    <row r="18" spans="1:20" ht="15" customHeight="1" thickBot="1" x14ac:dyDescent="0.2">
      <c r="B18" s="97"/>
      <c r="F18" s="203" t="s">
        <v>204</v>
      </c>
      <c r="G18" s="85">
        <v>0</v>
      </c>
      <c r="H18" s="85">
        <v>0</v>
      </c>
      <c r="I18" s="85">
        <v>0</v>
      </c>
      <c r="J18" s="85">
        <v>0</v>
      </c>
      <c r="K18" s="85">
        <v>1</v>
      </c>
      <c r="L18" s="85">
        <v>0</v>
      </c>
      <c r="M18" s="85">
        <v>1</v>
      </c>
      <c r="N18" s="85">
        <v>0</v>
      </c>
      <c r="O18" s="85">
        <v>1</v>
      </c>
      <c r="P18" s="73">
        <v>0</v>
      </c>
      <c r="Q18" s="85">
        <v>0</v>
      </c>
      <c r="R18" s="74">
        <v>1</v>
      </c>
      <c r="S18"/>
      <c r="T18"/>
    </row>
    <row r="19" spans="1:20" ht="15" customHeight="1" x14ac:dyDescent="0.15">
      <c r="A19" s="87" t="s">
        <v>57</v>
      </c>
      <c r="B19" s="94">
        <v>0.36642116448646073</v>
      </c>
      <c r="C19" s="205" t="s">
        <v>226</v>
      </c>
      <c r="D19" s="89" t="s">
        <v>160</v>
      </c>
      <c r="F19" s="203" t="s">
        <v>205</v>
      </c>
      <c r="G19" s="85">
        <v>0</v>
      </c>
      <c r="H19" s="85">
        <v>0</v>
      </c>
      <c r="I19" s="85">
        <v>0</v>
      </c>
      <c r="J19" s="85">
        <v>0</v>
      </c>
      <c r="K19" s="85">
        <v>1</v>
      </c>
      <c r="L19" s="85">
        <v>0</v>
      </c>
      <c r="M19" s="85">
        <v>1</v>
      </c>
      <c r="N19" s="85">
        <v>0</v>
      </c>
      <c r="O19" s="85">
        <v>1</v>
      </c>
      <c r="P19" s="73">
        <v>0</v>
      </c>
      <c r="Q19" s="85">
        <v>0</v>
      </c>
      <c r="R19" s="74">
        <v>1</v>
      </c>
      <c r="S19"/>
      <c r="T19"/>
    </row>
    <row r="20" spans="1:20" ht="15" customHeight="1" x14ac:dyDescent="0.15">
      <c r="A20" s="127" t="s">
        <v>168</v>
      </c>
      <c r="B20" s="96">
        <v>0.63357883551353922</v>
      </c>
      <c r="C20" s="205" t="s">
        <v>227</v>
      </c>
      <c r="D20" s="89" t="s">
        <v>160</v>
      </c>
      <c r="F20" s="203" t="s">
        <v>206</v>
      </c>
      <c r="G20" s="85">
        <v>0</v>
      </c>
      <c r="H20" s="85">
        <v>0</v>
      </c>
      <c r="I20" s="85">
        <v>0</v>
      </c>
      <c r="J20" s="85">
        <v>0</v>
      </c>
      <c r="K20" s="85">
        <v>1</v>
      </c>
      <c r="L20" s="85">
        <v>0</v>
      </c>
      <c r="M20" s="85">
        <v>1</v>
      </c>
      <c r="N20" s="85">
        <v>0</v>
      </c>
      <c r="O20" s="85">
        <v>1</v>
      </c>
      <c r="P20" s="73">
        <v>0</v>
      </c>
      <c r="Q20" s="85">
        <v>0</v>
      </c>
      <c r="R20" s="74">
        <v>1</v>
      </c>
      <c r="S20"/>
      <c r="T20"/>
    </row>
    <row r="21" spans="1:20" ht="15" customHeight="1" x14ac:dyDescent="0.15">
      <c r="B21" s="96"/>
      <c r="C21" s="84"/>
      <c r="D21" s="89" t="s">
        <v>160</v>
      </c>
      <c r="F21" s="203" t="s">
        <v>207</v>
      </c>
      <c r="G21" s="85">
        <v>0</v>
      </c>
      <c r="H21" s="85">
        <v>0</v>
      </c>
      <c r="I21" s="85">
        <v>0</v>
      </c>
      <c r="J21" s="85">
        <v>0</v>
      </c>
      <c r="K21" s="85">
        <v>1</v>
      </c>
      <c r="L21" s="85">
        <v>0</v>
      </c>
      <c r="M21" s="85">
        <v>1</v>
      </c>
      <c r="N21" s="85">
        <v>0</v>
      </c>
      <c r="O21" s="85">
        <v>1</v>
      </c>
      <c r="P21" s="73">
        <v>0</v>
      </c>
      <c r="Q21" s="85">
        <v>0</v>
      </c>
      <c r="R21" s="74">
        <v>1</v>
      </c>
      <c r="S21"/>
      <c r="T21"/>
    </row>
    <row r="22" spans="1:20" ht="15" customHeight="1" x14ac:dyDescent="0.15">
      <c r="A22" s="85"/>
      <c r="B22" s="96"/>
      <c r="C22" s="99"/>
      <c r="D22" s="89" t="s">
        <v>160</v>
      </c>
      <c r="F22" s="203" t="s">
        <v>208</v>
      </c>
      <c r="G22" s="85">
        <v>0</v>
      </c>
      <c r="H22" s="85">
        <v>0</v>
      </c>
      <c r="I22" s="85">
        <v>0</v>
      </c>
      <c r="J22" s="85">
        <v>0</v>
      </c>
      <c r="K22" s="85">
        <v>1</v>
      </c>
      <c r="L22" s="85">
        <v>0</v>
      </c>
      <c r="M22" s="85">
        <v>1</v>
      </c>
      <c r="N22" s="85">
        <v>0</v>
      </c>
      <c r="O22" s="85">
        <v>1</v>
      </c>
      <c r="P22" s="73">
        <v>0</v>
      </c>
      <c r="Q22" s="85">
        <v>0</v>
      </c>
      <c r="R22" s="74">
        <v>1</v>
      </c>
      <c r="S22"/>
      <c r="T22"/>
    </row>
    <row r="23" spans="1:20" ht="15" customHeight="1" x14ac:dyDescent="0.15">
      <c r="A23" s="85"/>
      <c r="B23" s="96"/>
      <c r="C23" s="100"/>
      <c r="D23" s="89" t="s">
        <v>160</v>
      </c>
      <c r="F23" s="203" t="s">
        <v>209</v>
      </c>
      <c r="G23" s="85">
        <v>0</v>
      </c>
      <c r="H23" s="85">
        <v>0</v>
      </c>
      <c r="I23" s="85">
        <v>0</v>
      </c>
      <c r="J23" s="85">
        <v>0</v>
      </c>
      <c r="K23" s="85">
        <v>1</v>
      </c>
      <c r="L23" s="85">
        <v>0</v>
      </c>
      <c r="M23" s="85">
        <v>1</v>
      </c>
      <c r="N23" s="85">
        <v>0</v>
      </c>
      <c r="O23" s="85">
        <v>1</v>
      </c>
      <c r="P23" s="73">
        <v>0</v>
      </c>
      <c r="Q23" s="85">
        <v>0</v>
      </c>
      <c r="R23" s="74">
        <v>1</v>
      </c>
      <c r="S23"/>
      <c r="T23"/>
    </row>
    <row r="24" spans="1:20" ht="15" customHeight="1" x14ac:dyDescent="0.15">
      <c r="A24" s="85"/>
      <c r="B24" s="96"/>
      <c r="C24" s="100"/>
      <c r="D24" s="89" t="s">
        <v>160</v>
      </c>
      <c r="F24" s="203" t="s">
        <v>210</v>
      </c>
      <c r="G24" s="85">
        <v>0</v>
      </c>
      <c r="H24" s="85">
        <v>0</v>
      </c>
      <c r="I24" s="85">
        <v>0</v>
      </c>
      <c r="J24" s="85">
        <v>0</v>
      </c>
      <c r="K24" s="85">
        <v>1</v>
      </c>
      <c r="L24" s="85">
        <v>0</v>
      </c>
      <c r="M24" s="85">
        <v>1</v>
      </c>
      <c r="N24" s="85">
        <v>0</v>
      </c>
      <c r="O24" s="85">
        <v>1</v>
      </c>
      <c r="P24" s="73">
        <v>0</v>
      </c>
      <c r="Q24" s="85">
        <v>0</v>
      </c>
      <c r="R24" s="74">
        <v>1</v>
      </c>
      <c r="S24"/>
      <c r="T24"/>
    </row>
    <row r="25" spans="1:20" ht="15" customHeight="1" x14ac:dyDescent="0.15">
      <c r="A25" s="85"/>
      <c r="B25" s="96"/>
      <c r="C25" s="84"/>
      <c r="D25" s="89" t="s">
        <v>160</v>
      </c>
      <c r="F25" s="203" t="s">
        <v>211</v>
      </c>
      <c r="G25" s="85">
        <v>0</v>
      </c>
      <c r="H25" s="85">
        <v>0</v>
      </c>
      <c r="I25" s="85">
        <v>0</v>
      </c>
      <c r="J25" s="85">
        <v>0</v>
      </c>
      <c r="K25" s="85">
        <v>1</v>
      </c>
      <c r="L25" s="85">
        <v>0</v>
      </c>
      <c r="M25" s="85">
        <v>1</v>
      </c>
      <c r="N25" s="85">
        <v>0</v>
      </c>
      <c r="O25" s="85">
        <v>1</v>
      </c>
      <c r="P25" s="73">
        <v>0</v>
      </c>
      <c r="Q25" s="85">
        <v>0</v>
      </c>
      <c r="R25" s="74">
        <v>1</v>
      </c>
      <c r="S25"/>
      <c r="T25"/>
    </row>
    <row r="26" spans="1:20" ht="15" customHeight="1" x14ac:dyDescent="0.15">
      <c r="B26" s="96"/>
      <c r="C26" s="84"/>
      <c r="D26" s="89" t="s">
        <v>160</v>
      </c>
      <c r="F26" s="203" t="s">
        <v>212</v>
      </c>
      <c r="G26" s="85">
        <v>0</v>
      </c>
      <c r="H26" s="85">
        <v>0</v>
      </c>
      <c r="I26" s="85">
        <v>0</v>
      </c>
      <c r="J26" s="85">
        <v>0</v>
      </c>
      <c r="K26" s="85">
        <v>1</v>
      </c>
      <c r="L26" s="85">
        <v>0</v>
      </c>
      <c r="M26" s="85">
        <v>1</v>
      </c>
      <c r="N26" s="85">
        <v>0</v>
      </c>
      <c r="O26" s="85">
        <v>1</v>
      </c>
      <c r="P26" s="73">
        <v>0</v>
      </c>
      <c r="Q26" s="85">
        <v>0</v>
      </c>
      <c r="R26" s="74">
        <v>1</v>
      </c>
      <c r="S26"/>
      <c r="T26"/>
    </row>
    <row r="27" spans="1:20" ht="15" customHeight="1" x14ac:dyDescent="0.15">
      <c r="B27" s="96"/>
      <c r="C27" s="84"/>
      <c r="D27" s="89" t="s">
        <v>160</v>
      </c>
      <c r="F27" s="203" t="s">
        <v>213</v>
      </c>
      <c r="G27" s="85">
        <v>0</v>
      </c>
      <c r="H27" s="85">
        <v>0</v>
      </c>
      <c r="I27" s="85">
        <v>0</v>
      </c>
      <c r="J27" s="85">
        <v>0</v>
      </c>
      <c r="K27" s="85">
        <v>1</v>
      </c>
      <c r="L27" s="85">
        <v>0</v>
      </c>
      <c r="M27" s="85">
        <v>1</v>
      </c>
      <c r="N27" s="85">
        <v>0</v>
      </c>
      <c r="O27" s="85">
        <v>1</v>
      </c>
      <c r="P27" s="73">
        <v>0</v>
      </c>
      <c r="Q27" s="85">
        <v>0</v>
      </c>
      <c r="R27" s="74">
        <v>1</v>
      </c>
      <c r="S27"/>
      <c r="T27"/>
    </row>
    <row r="28" spans="1:20" ht="15" customHeight="1" thickBot="1" x14ac:dyDescent="0.2">
      <c r="B28" s="95"/>
      <c r="C28" s="84"/>
      <c r="D28" s="89" t="s">
        <v>160</v>
      </c>
      <c r="F28" s="203" t="s">
        <v>214</v>
      </c>
      <c r="G28" s="85">
        <v>0</v>
      </c>
      <c r="H28" s="85">
        <v>0</v>
      </c>
      <c r="I28" s="85">
        <v>0</v>
      </c>
      <c r="J28" s="85">
        <v>0</v>
      </c>
      <c r="K28" s="85">
        <v>1</v>
      </c>
      <c r="L28" s="85">
        <v>0</v>
      </c>
      <c r="M28" s="85">
        <v>1</v>
      </c>
      <c r="N28" s="85">
        <v>0</v>
      </c>
      <c r="O28" s="85">
        <v>1</v>
      </c>
      <c r="P28" s="73">
        <v>0</v>
      </c>
      <c r="Q28" s="85">
        <v>0</v>
      </c>
      <c r="R28" s="74">
        <v>1</v>
      </c>
      <c r="S28"/>
      <c r="T28"/>
    </row>
    <row r="29" spans="1:20" ht="15" customHeight="1" x14ac:dyDescent="0.15">
      <c r="F29" s="203" t="s">
        <v>215</v>
      </c>
      <c r="G29" s="85">
        <v>0</v>
      </c>
      <c r="H29" s="85">
        <v>0</v>
      </c>
      <c r="I29" s="85">
        <v>0</v>
      </c>
      <c r="J29" s="85">
        <v>0</v>
      </c>
      <c r="K29" s="85">
        <v>1</v>
      </c>
      <c r="L29" s="85">
        <v>0</v>
      </c>
      <c r="M29" s="85">
        <v>1</v>
      </c>
      <c r="N29" s="85">
        <v>0</v>
      </c>
      <c r="O29" s="85">
        <v>1</v>
      </c>
      <c r="P29" s="73">
        <v>0</v>
      </c>
      <c r="Q29" s="85">
        <v>0</v>
      </c>
      <c r="R29" s="74">
        <v>1</v>
      </c>
      <c r="S29"/>
      <c r="T29"/>
    </row>
    <row r="30" spans="1:20" ht="15" customHeight="1" x14ac:dyDescent="0.15">
      <c r="F30" s="203" t="s">
        <v>216</v>
      </c>
      <c r="G30" s="85">
        <v>0</v>
      </c>
      <c r="H30" s="85">
        <v>0</v>
      </c>
      <c r="I30" s="85">
        <v>0</v>
      </c>
      <c r="J30" s="85">
        <v>0</v>
      </c>
      <c r="K30" s="85">
        <v>1</v>
      </c>
      <c r="L30" s="85">
        <v>0</v>
      </c>
      <c r="M30" s="85">
        <v>1</v>
      </c>
      <c r="N30" s="85">
        <v>0</v>
      </c>
      <c r="O30" s="85">
        <v>1</v>
      </c>
      <c r="P30" s="73">
        <v>0</v>
      </c>
      <c r="Q30" s="85">
        <v>0</v>
      </c>
      <c r="R30" s="74">
        <v>1</v>
      </c>
      <c r="S30"/>
      <c r="T30"/>
    </row>
    <row r="31" spans="1:20" ht="15" customHeight="1" x14ac:dyDescent="0.15">
      <c r="A31" s="128"/>
      <c r="B31" s="138" t="s">
        <v>17</v>
      </c>
      <c r="C31" s="138" t="s">
        <v>1</v>
      </c>
      <c r="D31" s="138" t="s">
        <v>161</v>
      </c>
      <c r="E31" s="139" t="s">
        <v>163</v>
      </c>
      <c r="F31" s="203" t="s">
        <v>217</v>
      </c>
      <c r="G31" s="85">
        <v>0</v>
      </c>
      <c r="H31" s="85">
        <v>0</v>
      </c>
      <c r="I31" s="85">
        <v>0</v>
      </c>
      <c r="J31" s="85">
        <v>0</v>
      </c>
      <c r="K31" s="85">
        <v>1</v>
      </c>
      <c r="L31" s="85">
        <v>0</v>
      </c>
      <c r="M31" s="85">
        <v>1</v>
      </c>
      <c r="N31" s="85">
        <v>0</v>
      </c>
      <c r="O31" s="85">
        <v>1</v>
      </c>
      <c r="P31" s="73">
        <v>0</v>
      </c>
      <c r="Q31" s="85">
        <v>0</v>
      </c>
      <c r="R31" s="74">
        <v>1</v>
      </c>
      <c r="S31"/>
      <c r="T31"/>
    </row>
    <row r="32" spans="1:20" ht="15" customHeight="1" x14ac:dyDescent="0.15">
      <c r="A32" s="206" t="s">
        <v>226</v>
      </c>
      <c r="B32" s="97">
        <v>2.5499999999999998</v>
      </c>
      <c r="C32" s="97">
        <v>180</v>
      </c>
      <c r="D32" s="97">
        <v>458.99999999999994</v>
      </c>
      <c r="E32" s="129">
        <v>0.36642116448646073</v>
      </c>
      <c r="F32" s="203" t="s">
        <v>218</v>
      </c>
      <c r="G32" s="85">
        <v>0</v>
      </c>
      <c r="H32" s="85">
        <v>0</v>
      </c>
      <c r="I32" s="85">
        <v>0</v>
      </c>
      <c r="J32" s="85">
        <v>0</v>
      </c>
      <c r="K32" s="85">
        <v>1</v>
      </c>
      <c r="L32" s="85">
        <v>0</v>
      </c>
      <c r="M32" s="85">
        <v>1</v>
      </c>
      <c r="N32" s="85">
        <v>0</v>
      </c>
      <c r="O32" s="85">
        <v>1</v>
      </c>
      <c r="P32" s="73">
        <v>0</v>
      </c>
      <c r="Q32" s="85">
        <v>0</v>
      </c>
      <c r="R32" s="74">
        <v>1</v>
      </c>
      <c r="S32"/>
      <c r="T32"/>
    </row>
    <row r="33" spans="1:20" ht="15" customHeight="1" x14ac:dyDescent="0.15">
      <c r="A33" s="206" t="s">
        <v>227</v>
      </c>
      <c r="B33" s="97">
        <v>52.91046</v>
      </c>
      <c r="C33" s="97">
        <v>15</v>
      </c>
      <c r="D33" s="97">
        <v>793.65689999999995</v>
      </c>
      <c r="E33" s="129">
        <v>0.63357883551353922</v>
      </c>
      <c r="F33" s="203" t="s">
        <v>219</v>
      </c>
      <c r="G33" s="85">
        <v>0</v>
      </c>
      <c r="H33" s="85">
        <v>0</v>
      </c>
      <c r="I33" s="85">
        <v>0</v>
      </c>
      <c r="J33" s="85">
        <v>0</v>
      </c>
      <c r="K33" s="85">
        <v>1</v>
      </c>
      <c r="L33" s="85">
        <v>0</v>
      </c>
      <c r="M33" s="85">
        <v>1</v>
      </c>
      <c r="N33" s="85">
        <v>0</v>
      </c>
      <c r="O33" s="85">
        <v>1</v>
      </c>
      <c r="P33" s="73">
        <v>0</v>
      </c>
      <c r="Q33" s="85">
        <v>0</v>
      </c>
      <c r="R33" s="74">
        <v>1</v>
      </c>
      <c r="S33"/>
      <c r="T33"/>
    </row>
    <row r="34" spans="1:20" ht="15" customHeight="1" x14ac:dyDescent="0.15">
      <c r="A34" s="130"/>
      <c r="B34" s="97"/>
      <c r="C34" s="97"/>
      <c r="D34" s="97"/>
      <c r="E34" s="129"/>
      <c r="F34" s="203" t="s">
        <v>220</v>
      </c>
      <c r="G34" s="85">
        <v>0</v>
      </c>
      <c r="H34" s="85">
        <v>0</v>
      </c>
      <c r="I34" s="85">
        <v>0</v>
      </c>
      <c r="J34" s="85">
        <v>0</v>
      </c>
      <c r="K34" s="85">
        <v>1</v>
      </c>
      <c r="L34" s="85">
        <v>0</v>
      </c>
      <c r="M34" s="85">
        <v>1</v>
      </c>
      <c r="N34" s="85">
        <v>0</v>
      </c>
      <c r="O34" s="85">
        <v>1</v>
      </c>
      <c r="P34" s="73">
        <v>0</v>
      </c>
      <c r="Q34" s="85">
        <v>0</v>
      </c>
      <c r="R34" s="74">
        <v>1</v>
      </c>
      <c r="S34"/>
      <c r="T34"/>
    </row>
    <row r="35" spans="1:20" ht="15" customHeight="1" x14ac:dyDescent="0.15">
      <c r="A35" s="131"/>
      <c r="B35" s="97"/>
      <c r="C35" s="97"/>
      <c r="D35" s="97"/>
      <c r="E35" s="129"/>
      <c r="F35" s="203" t="s">
        <v>221</v>
      </c>
      <c r="G35" s="85">
        <v>0</v>
      </c>
      <c r="H35" s="85">
        <v>0</v>
      </c>
      <c r="I35" s="85">
        <v>0</v>
      </c>
      <c r="J35" s="85">
        <v>0</v>
      </c>
      <c r="K35" s="85">
        <v>1</v>
      </c>
      <c r="L35" s="85">
        <v>0</v>
      </c>
      <c r="M35" s="85">
        <v>1</v>
      </c>
      <c r="N35" s="85">
        <v>0</v>
      </c>
      <c r="O35" s="85">
        <v>1</v>
      </c>
      <c r="P35" s="73">
        <v>0</v>
      </c>
      <c r="Q35" s="85">
        <v>0</v>
      </c>
      <c r="R35" s="74">
        <v>1</v>
      </c>
      <c r="S35"/>
      <c r="T35"/>
    </row>
    <row r="36" spans="1:20" ht="15" customHeight="1" x14ac:dyDescent="0.15">
      <c r="A36" s="132"/>
      <c r="B36" s="97"/>
      <c r="C36" s="97"/>
      <c r="D36" s="97"/>
      <c r="E36" s="129"/>
      <c r="F36" s="203" t="s">
        <v>222</v>
      </c>
      <c r="G36" s="85">
        <v>0</v>
      </c>
      <c r="H36" s="85">
        <v>0</v>
      </c>
      <c r="I36" s="85">
        <v>0</v>
      </c>
      <c r="J36" s="85">
        <v>0</v>
      </c>
      <c r="K36" s="85">
        <v>1</v>
      </c>
      <c r="L36" s="85">
        <v>0</v>
      </c>
      <c r="M36" s="85">
        <v>1</v>
      </c>
      <c r="N36" s="85">
        <v>0</v>
      </c>
      <c r="O36" s="85">
        <v>1</v>
      </c>
      <c r="P36" s="73">
        <v>0</v>
      </c>
      <c r="Q36" s="85">
        <v>0</v>
      </c>
      <c r="R36" s="74">
        <v>1</v>
      </c>
      <c r="S36"/>
      <c r="T36"/>
    </row>
    <row r="37" spans="1:20" ht="15" customHeight="1" x14ac:dyDescent="0.15">
      <c r="A37" s="132"/>
      <c r="B37" s="97"/>
      <c r="C37" s="97"/>
      <c r="D37" s="97"/>
      <c r="E37" s="129"/>
      <c r="F37" s="203" t="s">
        <v>223</v>
      </c>
      <c r="G37" s="85">
        <v>0</v>
      </c>
      <c r="H37" s="85">
        <v>0</v>
      </c>
      <c r="I37" s="85">
        <v>0</v>
      </c>
      <c r="J37" s="85">
        <v>0</v>
      </c>
      <c r="K37" s="85">
        <v>1</v>
      </c>
      <c r="L37" s="85">
        <v>0</v>
      </c>
      <c r="M37" s="85">
        <v>1</v>
      </c>
      <c r="N37" s="85">
        <v>0</v>
      </c>
      <c r="O37" s="85">
        <v>1</v>
      </c>
      <c r="P37" s="73">
        <v>0</v>
      </c>
      <c r="Q37" s="85">
        <v>0</v>
      </c>
      <c r="R37" s="74">
        <v>1</v>
      </c>
      <c r="S37"/>
      <c r="T37"/>
    </row>
    <row r="38" spans="1:20" ht="15" customHeight="1" x14ac:dyDescent="0.15">
      <c r="A38" s="133"/>
      <c r="B38" s="97"/>
      <c r="C38" s="97"/>
      <c r="D38" s="97"/>
      <c r="E38" s="129"/>
      <c r="F38" s="203" t="s">
        <v>224</v>
      </c>
      <c r="G38" s="85">
        <v>0</v>
      </c>
      <c r="H38" s="85">
        <v>0</v>
      </c>
      <c r="I38" s="85">
        <v>0</v>
      </c>
      <c r="J38" s="85">
        <v>0</v>
      </c>
      <c r="K38" s="85">
        <v>1</v>
      </c>
      <c r="L38" s="85">
        <v>0</v>
      </c>
      <c r="M38" s="85">
        <v>1</v>
      </c>
      <c r="N38" s="85">
        <v>0</v>
      </c>
      <c r="O38" s="85">
        <v>1</v>
      </c>
      <c r="P38" s="73">
        <v>0</v>
      </c>
      <c r="Q38" s="85">
        <v>0</v>
      </c>
      <c r="R38" s="74">
        <v>1</v>
      </c>
      <c r="S38"/>
      <c r="T38"/>
    </row>
    <row r="39" spans="1:20" ht="15" customHeight="1" x14ac:dyDescent="0.15">
      <c r="A39" s="133"/>
      <c r="B39" s="97"/>
      <c r="C39" s="97"/>
      <c r="D39" s="97"/>
      <c r="E39" s="129"/>
      <c r="F39" s="203" t="s">
        <v>225</v>
      </c>
      <c r="G39" s="85">
        <v>0</v>
      </c>
      <c r="H39" s="85">
        <v>0</v>
      </c>
      <c r="I39" s="85">
        <v>0</v>
      </c>
      <c r="J39" s="85">
        <v>0</v>
      </c>
      <c r="K39" s="85">
        <v>1</v>
      </c>
      <c r="L39" s="85">
        <v>0</v>
      </c>
      <c r="M39" s="85">
        <v>1</v>
      </c>
      <c r="N39" s="85">
        <v>0</v>
      </c>
      <c r="O39" s="85">
        <v>1</v>
      </c>
      <c r="P39" s="73">
        <v>0</v>
      </c>
      <c r="Q39" s="85">
        <v>0</v>
      </c>
      <c r="R39" s="74">
        <v>1</v>
      </c>
      <c r="S39"/>
      <c r="T39"/>
    </row>
    <row r="40" spans="1:20" ht="15" customHeight="1" x14ac:dyDescent="0.15">
      <c r="A40" s="133"/>
      <c r="B40" s="97"/>
      <c r="C40" s="97"/>
      <c r="D40" s="97"/>
      <c r="E40" s="129"/>
      <c r="F40" s="203" t="s">
        <v>226</v>
      </c>
      <c r="G40" s="85">
        <v>0</v>
      </c>
      <c r="H40" s="85">
        <v>0</v>
      </c>
      <c r="I40" s="85">
        <v>0</v>
      </c>
      <c r="J40" s="85">
        <v>0</v>
      </c>
      <c r="K40" s="85">
        <v>0</v>
      </c>
      <c r="L40" s="85">
        <v>0</v>
      </c>
      <c r="M40" s="85">
        <v>1</v>
      </c>
      <c r="N40" s="85">
        <v>0</v>
      </c>
      <c r="O40" s="85">
        <v>0</v>
      </c>
      <c r="P40" s="73">
        <v>0</v>
      </c>
      <c r="Q40" s="85">
        <v>0</v>
      </c>
      <c r="R40" s="74">
        <v>1</v>
      </c>
      <c r="S40"/>
      <c r="T40"/>
    </row>
    <row r="41" spans="1:20" ht="15" customHeight="1" thickBot="1" x14ac:dyDescent="0.2">
      <c r="A41" s="133"/>
      <c r="B41" s="97"/>
      <c r="C41" s="97"/>
      <c r="D41" s="98"/>
      <c r="E41" s="134"/>
      <c r="F41" s="203" t="s">
        <v>227</v>
      </c>
      <c r="G41" s="85">
        <v>0</v>
      </c>
      <c r="H41" s="85">
        <v>0</v>
      </c>
      <c r="I41" s="85">
        <v>0</v>
      </c>
      <c r="J41" s="85">
        <v>0</v>
      </c>
      <c r="K41" s="85">
        <v>0</v>
      </c>
      <c r="L41" s="85">
        <v>0</v>
      </c>
      <c r="M41" s="85">
        <v>1</v>
      </c>
      <c r="N41" s="85">
        <v>0</v>
      </c>
      <c r="O41" s="85">
        <v>0</v>
      </c>
      <c r="P41" s="73">
        <v>0</v>
      </c>
      <c r="Q41" s="85">
        <v>0</v>
      </c>
      <c r="R41" s="74">
        <v>1</v>
      </c>
      <c r="S41"/>
      <c r="T41"/>
    </row>
    <row r="42" spans="1:20" ht="15" customHeight="1" x14ac:dyDescent="0.15">
      <c r="A42" s="135"/>
      <c r="B42" s="136"/>
      <c r="C42" s="136" t="s">
        <v>162</v>
      </c>
      <c r="D42" s="136">
        <f>SUM(D32:D41)</f>
        <v>1252.6569</v>
      </c>
      <c r="E42" s="137">
        <f>SUM(E32:E41)</f>
        <v>1</v>
      </c>
      <c r="F42" s="203" t="s">
        <v>228</v>
      </c>
      <c r="G42" s="85">
        <v>0</v>
      </c>
      <c r="H42" s="85">
        <v>0</v>
      </c>
      <c r="I42" s="85">
        <v>0</v>
      </c>
      <c r="J42" s="85">
        <v>0</v>
      </c>
      <c r="K42" s="85">
        <v>0</v>
      </c>
      <c r="L42" s="85">
        <v>1</v>
      </c>
      <c r="M42" s="85">
        <v>0</v>
      </c>
      <c r="N42" s="85">
        <v>1</v>
      </c>
      <c r="O42" s="85">
        <v>0</v>
      </c>
      <c r="P42" s="73">
        <v>1</v>
      </c>
      <c r="Q42" s="85">
        <v>0</v>
      </c>
      <c r="R42" s="74">
        <v>1</v>
      </c>
      <c r="S42"/>
      <c r="T42"/>
    </row>
    <row r="43" spans="1:20" ht="15" customHeight="1" x14ac:dyDescent="0.15">
      <c r="A43" s="85"/>
      <c r="F43" s="203" t="s">
        <v>229</v>
      </c>
      <c r="G43" s="85">
        <v>0</v>
      </c>
      <c r="H43" s="85">
        <v>0</v>
      </c>
      <c r="I43" s="85">
        <v>0</v>
      </c>
      <c r="J43" s="85">
        <v>0</v>
      </c>
      <c r="K43" s="85">
        <v>0</v>
      </c>
      <c r="L43" s="85">
        <v>1</v>
      </c>
      <c r="M43" s="85">
        <v>0</v>
      </c>
      <c r="N43" s="85">
        <v>1</v>
      </c>
      <c r="O43" s="85">
        <v>0</v>
      </c>
      <c r="P43" s="73">
        <v>1</v>
      </c>
      <c r="Q43" s="85">
        <v>0</v>
      </c>
      <c r="R43" s="74">
        <v>1</v>
      </c>
      <c r="S43"/>
      <c r="T43"/>
    </row>
    <row r="44" spans="1:20" ht="15" customHeight="1" x14ac:dyDescent="0.15">
      <c r="A44" s="85"/>
      <c r="F44" s="203" t="s">
        <v>230</v>
      </c>
      <c r="G44" s="85">
        <v>0</v>
      </c>
      <c r="H44" s="85">
        <v>0</v>
      </c>
      <c r="I44" s="85">
        <v>0</v>
      </c>
      <c r="J44" s="85">
        <v>0</v>
      </c>
      <c r="K44" s="85">
        <v>0</v>
      </c>
      <c r="L44" s="85">
        <v>1</v>
      </c>
      <c r="M44" s="85">
        <v>0</v>
      </c>
      <c r="N44" s="85">
        <v>0</v>
      </c>
      <c r="O44" s="85">
        <v>0</v>
      </c>
      <c r="P44" s="73">
        <v>0</v>
      </c>
      <c r="Q44" s="85">
        <v>0</v>
      </c>
      <c r="R44" s="74">
        <v>1</v>
      </c>
    </row>
    <row r="45" spans="1:20" ht="15" customHeight="1" x14ac:dyDescent="0.15">
      <c r="A45" s="85"/>
      <c r="F45" s="203" t="s">
        <v>231</v>
      </c>
      <c r="G45" s="85">
        <v>0</v>
      </c>
      <c r="H45" s="85">
        <v>0</v>
      </c>
      <c r="I45" s="85">
        <v>0</v>
      </c>
      <c r="J45" s="85">
        <v>0</v>
      </c>
      <c r="K45" s="85">
        <v>0</v>
      </c>
      <c r="L45" s="85">
        <v>1</v>
      </c>
      <c r="M45" s="85">
        <v>0</v>
      </c>
      <c r="N45" s="85">
        <v>0</v>
      </c>
      <c r="O45" s="85">
        <v>0</v>
      </c>
      <c r="P45" s="73">
        <v>0</v>
      </c>
      <c r="Q45" s="85">
        <v>0</v>
      </c>
      <c r="R45" s="74">
        <v>1</v>
      </c>
    </row>
    <row r="46" spans="1:20" ht="15" customHeight="1" x14ac:dyDescent="0.15">
      <c r="A46" s="85"/>
      <c r="F46" s="203" t="s">
        <v>232</v>
      </c>
      <c r="G46" s="85">
        <v>0</v>
      </c>
      <c r="H46" s="85">
        <v>0</v>
      </c>
      <c r="I46" s="85">
        <v>0</v>
      </c>
      <c r="J46" s="85">
        <v>0</v>
      </c>
      <c r="K46" s="85">
        <v>0</v>
      </c>
      <c r="L46" s="85">
        <v>1</v>
      </c>
      <c r="M46" s="85">
        <v>0</v>
      </c>
      <c r="N46" s="85">
        <v>0</v>
      </c>
      <c r="O46" s="85">
        <v>0</v>
      </c>
      <c r="P46" s="73">
        <v>0</v>
      </c>
      <c r="Q46" s="85">
        <v>0</v>
      </c>
      <c r="R46" s="74">
        <v>1</v>
      </c>
    </row>
    <row r="47" spans="1:20" ht="15" customHeight="1" x14ac:dyDescent="0.15">
      <c r="A47" s="85"/>
      <c r="F47" s="203" t="s">
        <v>233</v>
      </c>
      <c r="G47" s="85">
        <v>0</v>
      </c>
      <c r="H47" s="85">
        <v>0</v>
      </c>
      <c r="I47" s="85">
        <v>0</v>
      </c>
      <c r="J47" s="85">
        <v>0</v>
      </c>
      <c r="K47" s="85">
        <v>0</v>
      </c>
      <c r="L47" s="85">
        <v>1</v>
      </c>
      <c r="M47" s="85">
        <v>0</v>
      </c>
      <c r="N47" s="85">
        <v>0</v>
      </c>
      <c r="O47" s="85">
        <v>0</v>
      </c>
      <c r="P47" s="73">
        <v>0</v>
      </c>
      <c r="Q47" s="85">
        <v>0</v>
      </c>
      <c r="R47" s="74">
        <v>1</v>
      </c>
    </row>
    <row r="48" spans="1:20" ht="15" customHeight="1" x14ac:dyDescent="0.15">
      <c r="A48" s="85"/>
      <c r="F48" s="203" t="s">
        <v>234</v>
      </c>
      <c r="G48" s="85">
        <v>0</v>
      </c>
      <c r="H48" s="85">
        <v>0</v>
      </c>
      <c r="I48" s="85">
        <v>0</v>
      </c>
      <c r="J48" s="85">
        <v>0</v>
      </c>
      <c r="K48" s="85">
        <v>0</v>
      </c>
      <c r="L48" s="85">
        <v>1</v>
      </c>
      <c r="M48" s="85">
        <v>0</v>
      </c>
      <c r="N48" s="85">
        <v>0</v>
      </c>
      <c r="O48" s="85">
        <v>0</v>
      </c>
      <c r="P48" s="73">
        <v>0</v>
      </c>
      <c r="Q48" s="85">
        <v>0</v>
      </c>
      <c r="R48" s="74">
        <v>1</v>
      </c>
    </row>
    <row r="49" spans="6:18" s="85" customFormat="1" ht="15" customHeight="1" x14ac:dyDescent="0.15">
      <c r="F49" s="203" t="s">
        <v>235</v>
      </c>
      <c r="G49" s="85">
        <v>0</v>
      </c>
      <c r="H49" s="85">
        <v>0</v>
      </c>
      <c r="I49" s="85">
        <v>0</v>
      </c>
      <c r="J49" s="85">
        <v>0</v>
      </c>
      <c r="K49" s="85">
        <v>0</v>
      </c>
      <c r="L49" s="85">
        <v>1</v>
      </c>
      <c r="M49" s="85">
        <v>0</v>
      </c>
      <c r="N49" s="85">
        <v>0</v>
      </c>
      <c r="O49" s="85">
        <v>0</v>
      </c>
      <c r="P49" s="73">
        <v>0</v>
      </c>
      <c r="Q49" s="85">
        <v>0</v>
      </c>
      <c r="R49" s="74">
        <v>1</v>
      </c>
    </row>
    <row r="50" spans="6:18" s="85" customFormat="1" ht="15" customHeight="1" x14ac:dyDescent="0.15">
      <c r="F50" s="203" t="s">
        <v>236</v>
      </c>
      <c r="G50" s="85">
        <v>0</v>
      </c>
      <c r="H50" s="85">
        <v>0</v>
      </c>
      <c r="I50" s="85">
        <v>0</v>
      </c>
      <c r="J50" s="85">
        <v>0</v>
      </c>
      <c r="K50" s="85">
        <v>0</v>
      </c>
      <c r="L50" s="85">
        <v>1</v>
      </c>
      <c r="M50" s="85">
        <v>0</v>
      </c>
      <c r="N50" s="85">
        <v>0</v>
      </c>
      <c r="O50" s="85">
        <v>0</v>
      </c>
      <c r="P50" s="73">
        <v>0</v>
      </c>
      <c r="Q50" s="85">
        <v>0</v>
      </c>
      <c r="R50" s="74">
        <v>1</v>
      </c>
    </row>
    <row r="51" spans="6:18" s="85" customFormat="1" ht="15" customHeight="1" x14ac:dyDescent="0.15">
      <c r="F51" s="203" t="s">
        <v>237</v>
      </c>
      <c r="G51" s="85">
        <v>0</v>
      </c>
      <c r="H51" s="85">
        <v>0</v>
      </c>
      <c r="I51" s="85">
        <v>0</v>
      </c>
      <c r="J51" s="85">
        <v>0</v>
      </c>
      <c r="K51" s="85">
        <v>0</v>
      </c>
      <c r="L51" s="85">
        <v>1</v>
      </c>
      <c r="M51" s="85">
        <v>0</v>
      </c>
      <c r="N51" s="85">
        <v>0</v>
      </c>
      <c r="O51" s="85">
        <v>0</v>
      </c>
      <c r="P51" s="73">
        <v>0</v>
      </c>
      <c r="Q51" s="85">
        <v>0</v>
      </c>
      <c r="R51" s="74">
        <v>1</v>
      </c>
    </row>
    <row r="52" spans="6:18" s="85" customFormat="1" ht="15" customHeight="1" x14ac:dyDescent="0.15">
      <c r="F52" s="203" t="s">
        <v>238</v>
      </c>
      <c r="G52" s="85">
        <v>0</v>
      </c>
      <c r="H52" s="85">
        <v>0</v>
      </c>
      <c r="I52" s="85">
        <v>0</v>
      </c>
      <c r="J52" s="85">
        <v>0</v>
      </c>
      <c r="K52" s="85">
        <v>0</v>
      </c>
      <c r="L52" s="85">
        <v>1</v>
      </c>
      <c r="M52" s="85">
        <v>0</v>
      </c>
      <c r="N52" s="85">
        <v>0</v>
      </c>
      <c r="O52" s="85">
        <v>0</v>
      </c>
      <c r="P52" s="73">
        <v>0</v>
      </c>
      <c r="Q52" s="85">
        <v>0</v>
      </c>
      <c r="R52" s="74">
        <v>1</v>
      </c>
    </row>
    <row r="53" spans="6:18" s="85" customFormat="1" ht="15" customHeight="1" x14ac:dyDescent="0.15">
      <c r="F53" s="203" t="s">
        <v>239</v>
      </c>
      <c r="G53" s="85">
        <v>0</v>
      </c>
      <c r="H53" s="85">
        <v>0</v>
      </c>
      <c r="I53" s="85">
        <v>0</v>
      </c>
      <c r="J53" s="85">
        <v>0</v>
      </c>
      <c r="K53" s="85">
        <v>0</v>
      </c>
      <c r="L53" s="85">
        <v>1</v>
      </c>
      <c r="M53" s="85">
        <v>0</v>
      </c>
      <c r="N53" s="85">
        <v>0</v>
      </c>
      <c r="O53" s="85">
        <v>0</v>
      </c>
      <c r="P53" s="73">
        <v>0</v>
      </c>
      <c r="Q53" s="85">
        <v>0</v>
      </c>
      <c r="R53" s="74">
        <v>1</v>
      </c>
    </row>
    <row r="54" spans="6:18" s="85" customFormat="1" ht="15" customHeight="1" x14ac:dyDescent="0.15">
      <c r="F54" s="203" t="s">
        <v>240</v>
      </c>
      <c r="G54" s="85">
        <v>0</v>
      </c>
      <c r="H54" s="85">
        <v>0</v>
      </c>
      <c r="I54" s="85">
        <v>0</v>
      </c>
      <c r="J54" s="85">
        <v>0</v>
      </c>
      <c r="K54" s="85">
        <v>0</v>
      </c>
      <c r="L54" s="85">
        <v>1</v>
      </c>
      <c r="M54" s="85">
        <v>0</v>
      </c>
      <c r="N54" s="85">
        <v>0</v>
      </c>
      <c r="O54" s="85">
        <v>0</v>
      </c>
      <c r="P54" s="73">
        <v>0</v>
      </c>
      <c r="Q54" s="85">
        <v>0</v>
      </c>
      <c r="R54" s="74">
        <v>1</v>
      </c>
    </row>
    <row r="55" spans="6:18" s="85" customFormat="1" ht="15" customHeight="1" x14ac:dyDescent="0.15">
      <c r="F55" s="203" t="s">
        <v>241</v>
      </c>
      <c r="G55" s="85">
        <v>0</v>
      </c>
      <c r="H55" s="85">
        <v>0</v>
      </c>
      <c r="I55" s="85">
        <v>0</v>
      </c>
      <c r="J55" s="85">
        <v>0</v>
      </c>
      <c r="K55" s="85">
        <v>0</v>
      </c>
      <c r="L55" s="85">
        <v>1</v>
      </c>
      <c r="M55" s="85">
        <v>0</v>
      </c>
      <c r="N55" s="85">
        <v>0</v>
      </c>
      <c r="O55" s="85">
        <v>0</v>
      </c>
      <c r="P55" s="73">
        <v>0</v>
      </c>
      <c r="Q55" s="85">
        <v>0</v>
      </c>
      <c r="R55" s="74">
        <v>1</v>
      </c>
    </row>
    <row r="56" spans="6:18" s="85" customFormat="1" ht="15" customHeight="1" x14ac:dyDescent="0.15">
      <c r="F56" s="203" t="s">
        <v>242</v>
      </c>
      <c r="G56" s="85">
        <v>0</v>
      </c>
      <c r="H56" s="85">
        <v>0</v>
      </c>
      <c r="I56" s="85">
        <v>0</v>
      </c>
      <c r="J56" s="85">
        <v>0</v>
      </c>
      <c r="K56" s="85">
        <v>0</v>
      </c>
      <c r="L56" s="85">
        <v>1</v>
      </c>
      <c r="M56" s="85">
        <v>0</v>
      </c>
      <c r="N56" s="85">
        <v>0</v>
      </c>
      <c r="O56" s="85">
        <v>0</v>
      </c>
      <c r="P56" s="73">
        <v>0</v>
      </c>
      <c r="Q56" s="85">
        <v>0</v>
      </c>
      <c r="R56" s="74">
        <v>1</v>
      </c>
    </row>
    <row r="57" spans="6:18" s="85" customFormat="1" ht="15" customHeight="1" x14ac:dyDescent="0.15">
      <c r="F57" s="203" t="s">
        <v>243</v>
      </c>
      <c r="G57" s="85">
        <v>0</v>
      </c>
      <c r="H57" s="85">
        <v>0</v>
      </c>
      <c r="I57" s="85">
        <v>0</v>
      </c>
      <c r="J57" s="85">
        <v>0</v>
      </c>
      <c r="K57" s="85">
        <v>0</v>
      </c>
      <c r="L57" s="85">
        <v>1</v>
      </c>
      <c r="M57" s="85">
        <v>0</v>
      </c>
      <c r="N57" s="85">
        <v>0</v>
      </c>
      <c r="O57" s="85">
        <v>0</v>
      </c>
      <c r="P57" s="73">
        <v>0</v>
      </c>
      <c r="Q57" s="85">
        <v>0</v>
      </c>
      <c r="R57" s="74">
        <v>1</v>
      </c>
    </row>
    <row r="58" spans="6:18" s="85" customFormat="1" ht="15" customHeight="1" x14ac:dyDescent="0.15">
      <c r="F58" s="203" t="s">
        <v>244</v>
      </c>
      <c r="G58" s="85">
        <v>0</v>
      </c>
      <c r="H58" s="85">
        <v>0</v>
      </c>
      <c r="I58" s="85">
        <v>0</v>
      </c>
      <c r="J58" s="85">
        <v>0</v>
      </c>
      <c r="K58" s="85">
        <v>0</v>
      </c>
      <c r="L58" s="85">
        <v>1</v>
      </c>
      <c r="M58" s="85">
        <v>0</v>
      </c>
      <c r="N58" s="85">
        <v>0</v>
      </c>
      <c r="O58" s="85">
        <v>0</v>
      </c>
      <c r="P58" s="73">
        <v>0</v>
      </c>
      <c r="Q58" s="85">
        <v>0</v>
      </c>
      <c r="R58" s="74">
        <v>1</v>
      </c>
    </row>
    <row r="59" spans="6:18" s="85" customFormat="1" ht="15" customHeight="1" x14ac:dyDescent="0.15">
      <c r="F59" s="203" t="s">
        <v>245</v>
      </c>
      <c r="G59" s="85">
        <v>0</v>
      </c>
      <c r="H59" s="85">
        <v>0</v>
      </c>
      <c r="I59" s="85">
        <v>0</v>
      </c>
      <c r="J59" s="85">
        <v>0</v>
      </c>
      <c r="K59" s="85">
        <v>0</v>
      </c>
      <c r="L59" s="85">
        <v>1</v>
      </c>
      <c r="M59" s="85">
        <v>0</v>
      </c>
      <c r="N59" s="85">
        <v>0</v>
      </c>
      <c r="O59" s="85">
        <v>0</v>
      </c>
      <c r="P59" s="73">
        <v>0</v>
      </c>
      <c r="Q59" s="85">
        <v>0</v>
      </c>
      <c r="R59" s="74">
        <v>1</v>
      </c>
    </row>
    <row r="60" spans="6:18" s="85" customFormat="1" ht="15" customHeight="1" x14ac:dyDescent="0.15">
      <c r="F60" s="203" t="s">
        <v>246</v>
      </c>
      <c r="G60" s="85">
        <v>0</v>
      </c>
      <c r="H60" s="85">
        <v>0</v>
      </c>
      <c r="I60" s="85">
        <v>0</v>
      </c>
      <c r="J60" s="85">
        <v>0</v>
      </c>
      <c r="K60" s="85">
        <v>0</v>
      </c>
      <c r="L60" s="85">
        <v>1</v>
      </c>
      <c r="M60" s="85">
        <v>0</v>
      </c>
      <c r="N60" s="85">
        <v>0</v>
      </c>
      <c r="O60" s="85">
        <v>0</v>
      </c>
      <c r="P60" s="73">
        <v>0</v>
      </c>
      <c r="Q60" s="85">
        <v>0</v>
      </c>
      <c r="R60" s="74">
        <v>1</v>
      </c>
    </row>
    <row r="61" spans="6:18" s="85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5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5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5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5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5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5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5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5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5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5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5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5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5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5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5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5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5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5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5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5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5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5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5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5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5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5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5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5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5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5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5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5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5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5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5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5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5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5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5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5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5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5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5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5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5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5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5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5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5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5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5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5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5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5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5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5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5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5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5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5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5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5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5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5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5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5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5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5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5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5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5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5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5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5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5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5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5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5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5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5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5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5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5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5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5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5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5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5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5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5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5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5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5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5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5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5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5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5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5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5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5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5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5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5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5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5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K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41.83203125" bestFit="1" customWidth="1"/>
    <col min="2" max="2" width="2.33203125" style="113" customWidth="1"/>
    <col min="3" max="5" width="7.83203125" style="113" customWidth="1"/>
    <col min="6" max="8" width="8.83203125" style="6"/>
    <col min="9" max="9" width="16.1640625" style="6" customWidth="1"/>
    <col min="10" max="10" width="5.5" style="6" customWidth="1"/>
    <col min="11" max="11" width="26.1640625" style="6" customWidth="1"/>
    <col min="12" max="12" width="22.1640625" style="6" customWidth="1"/>
    <col min="13" max="13" width="28.83203125" style="6" customWidth="1"/>
    <col min="14" max="14" width="25.1640625" style="6" customWidth="1"/>
    <col min="15" max="15" width="20.1640625" style="6" customWidth="1"/>
    <col min="16" max="16" width="40.83203125" style="6" customWidth="1"/>
    <col min="17" max="17" width="41.83203125" style="6" customWidth="1"/>
    <col min="18" max="18" width="19.33203125" style="6" customWidth="1"/>
    <col min="19" max="19" width="30.5" style="6" customWidth="1"/>
    <col min="20" max="20" width="26.6640625" style="6" customWidth="1"/>
    <col min="21" max="21" width="24.5" style="6" customWidth="1"/>
    <col min="22" max="22" width="24.33203125" style="6" customWidth="1"/>
    <col min="23" max="23" width="35.33203125" style="6" customWidth="1"/>
    <col min="24" max="25" width="17.5" style="6" customWidth="1"/>
    <col min="26" max="26" width="25.6640625" style="6" customWidth="1"/>
    <col min="27" max="27" width="30.5" style="6" customWidth="1"/>
    <col min="28" max="28" width="18.33203125" style="6" customWidth="1"/>
    <col min="29" max="29" width="19.5" style="6" customWidth="1"/>
    <col min="30" max="30" width="12.5" style="6" customWidth="1"/>
    <col min="31" max="31" width="14.5" style="6" customWidth="1"/>
    <col min="32" max="32" width="28.6640625" style="6" customWidth="1"/>
    <col min="33" max="33" width="29.5" style="6" customWidth="1"/>
    <col min="34" max="34" width="24" style="6" customWidth="1"/>
    <col min="35" max="35" width="14.6640625" style="6" customWidth="1"/>
    <col min="36" max="36" width="12.83203125" style="6" customWidth="1"/>
    <col min="37" max="37" width="20.6640625" style="6" customWidth="1"/>
    <col min="38" max="38" width="23.5" style="6" customWidth="1"/>
    <col min="39" max="39" width="13.6640625" customWidth="1"/>
    <col min="40" max="40" width="26.6640625" customWidth="1"/>
    <col min="41" max="41" width="15" customWidth="1"/>
    <col min="42" max="42" width="11.33203125" customWidth="1"/>
    <col min="43" max="43" width="13.1640625" customWidth="1"/>
    <col min="44" max="44" width="12.5" customWidth="1"/>
    <col min="45" max="45" width="7.6640625" customWidth="1"/>
    <col min="46" max="46" width="21.6640625" customWidth="1"/>
    <col min="47" max="47" width="14.5" customWidth="1"/>
    <col min="48" max="48" width="12.5" customWidth="1"/>
    <col min="49" max="49" width="11.5" customWidth="1"/>
    <col min="50" max="50" width="12.6640625" customWidth="1"/>
    <col min="51" max="51" width="14.6640625" customWidth="1"/>
    <col min="52" max="52" width="16.1640625" customWidth="1"/>
    <col min="53" max="53" width="13" customWidth="1"/>
    <col min="54" max="54" width="24.1640625" customWidth="1"/>
    <col min="55" max="55" width="9" customWidth="1"/>
    <col min="56" max="56" width="3.5" customWidth="1"/>
    <col min="57" max="57" width="4.83203125" customWidth="1"/>
    <col min="58" max="58" width="18" customWidth="1"/>
    <col min="59" max="59" width="15.1640625" customWidth="1"/>
    <col min="60" max="60" width="19.5" customWidth="1"/>
    <col min="61" max="61" width="20.83203125" customWidth="1"/>
    <col min="62" max="62" width="10.33203125" customWidth="1"/>
    <col min="63" max="63" width="18.83203125" customWidth="1"/>
    <col min="81" max="81" width="22.1640625" bestFit="1" customWidth="1"/>
  </cols>
  <sheetData>
    <row r="1" spans="1:63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8" t="s">
        <v>192</v>
      </c>
      <c r="J1" s="208" t="s">
        <v>193</v>
      </c>
      <c r="K1" s="208" t="s">
        <v>194</v>
      </c>
      <c r="L1" s="208" t="s">
        <v>195</v>
      </c>
      <c r="M1" s="208" t="s">
        <v>196</v>
      </c>
      <c r="N1" s="208" t="s">
        <v>197</v>
      </c>
      <c r="O1" s="208" t="s">
        <v>198</v>
      </c>
      <c r="P1" s="208" t="s">
        <v>199</v>
      </c>
      <c r="Q1" s="208" t="s">
        <v>200</v>
      </c>
      <c r="R1" s="208" t="s">
        <v>201</v>
      </c>
      <c r="S1" s="208" t="s">
        <v>202</v>
      </c>
      <c r="T1" s="208" t="s">
        <v>203</v>
      </c>
      <c r="U1" s="208" t="s">
        <v>204</v>
      </c>
      <c r="V1" s="208" t="s">
        <v>205</v>
      </c>
      <c r="W1" s="208" t="s">
        <v>206</v>
      </c>
      <c r="X1" s="208" t="s">
        <v>207</v>
      </c>
      <c r="Y1" s="208" t="s">
        <v>208</v>
      </c>
      <c r="Z1" s="208" t="s">
        <v>209</v>
      </c>
      <c r="AA1" s="208" t="s">
        <v>210</v>
      </c>
      <c r="AB1" s="208" t="s">
        <v>211</v>
      </c>
      <c r="AC1" s="208" t="s">
        <v>212</v>
      </c>
      <c r="AD1" s="208" t="s">
        <v>213</v>
      </c>
      <c r="AE1" s="208" t="s">
        <v>214</v>
      </c>
      <c r="AF1" s="208" t="s">
        <v>215</v>
      </c>
      <c r="AG1" s="208" t="s">
        <v>216</v>
      </c>
      <c r="AH1" s="208" t="s">
        <v>217</v>
      </c>
      <c r="AI1" s="208" t="s">
        <v>218</v>
      </c>
      <c r="AJ1" s="208" t="s">
        <v>219</v>
      </c>
      <c r="AK1" s="208" t="s">
        <v>220</v>
      </c>
      <c r="AL1" s="208" t="s">
        <v>221</v>
      </c>
      <c r="AM1" s="208" t="s">
        <v>222</v>
      </c>
      <c r="AN1" s="208" t="s">
        <v>223</v>
      </c>
      <c r="AO1" s="208" t="s">
        <v>224</v>
      </c>
      <c r="AP1" s="208" t="s">
        <v>225</v>
      </c>
      <c r="AQ1" s="208" t="s">
        <v>226</v>
      </c>
      <c r="AR1" s="208" t="s">
        <v>227</v>
      </c>
      <c r="AS1" s="208" t="s">
        <v>228</v>
      </c>
      <c r="AT1" s="208" t="s">
        <v>229</v>
      </c>
      <c r="AU1" s="208" t="s">
        <v>230</v>
      </c>
      <c r="AV1" s="208" t="s">
        <v>231</v>
      </c>
      <c r="AW1" s="208" t="s">
        <v>232</v>
      </c>
      <c r="AX1" s="208" t="s">
        <v>233</v>
      </c>
      <c r="AY1" s="208" t="s">
        <v>234</v>
      </c>
      <c r="AZ1" s="208" t="s">
        <v>235</v>
      </c>
      <c r="BA1" s="208" t="s">
        <v>236</v>
      </c>
      <c r="BB1" s="208" t="s">
        <v>237</v>
      </c>
      <c r="BC1" s="208" t="s">
        <v>238</v>
      </c>
      <c r="BD1" s="208" t="s">
        <v>239</v>
      </c>
      <c r="BE1" s="208" t="s">
        <v>240</v>
      </c>
      <c r="BF1" s="208" t="s">
        <v>241</v>
      </c>
      <c r="BG1" s="208" t="s">
        <v>242</v>
      </c>
      <c r="BH1" s="208" t="s">
        <v>243</v>
      </c>
      <c r="BI1" s="208" t="s">
        <v>244</v>
      </c>
      <c r="BJ1" s="208" t="s">
        <v>245</v>
      </c>
      <c r="BK1" s="208" t="s">
        <v>246</v>
      </c>
    </row>
    <row r="2" spans="1:63" x14ac:dyDescent="0.15">
      <c r="A2" t="s">
        <v>38</v>
      </c>
      <c r="B2" s="11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63" x14ac:dyDescent="0.15">
      <c r="A3" t="s">
        <v>40</v>
      </c>
      <c r="B3" s="11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63" x14ac:dyDescent="0.15">
      <c r="A4" t="s">
        <v>41</v>
      </c>
      <c r="B4" s="11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63" x14ac:dyDescent="0.15">
      <c r="A5" s="207" t="s">
        <v>192</v>
      </c>
      <c r="B5" s="11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63" x14ac:dyDescent="0.15">
      <c r="A6" s="207" t="s">
        <v>193</v>
      </c>
      <c r="B6" s="11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63" x14ac:dyDescent="0.15">
      <c r="A7" s="207" t="s">
        <v>194</v>
      </c>
      <c r="B7" s="11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63" x14ac:dyDescent="0.15">
      <c r="A8" s="207" t="s">
        <v>195</v>
      </c>
      <c r="B8" s="11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63" x14ac:dyDescent="0.15">
      <c r="A9" s="207" t="s">
        <v>196</v>
      </c>
      <c r="B9" s="11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63" x14ac:dyDescent="0.15">
      <c r="A10" s="207" t="s">
        <v>197</v>
      </c>
      <c r="B10" s="11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63" x14ac:dyDescent="0.15">
      <c r="A11" s="207" t="s">
        <v>198</v>
      </c>
      <c r="B11" s="11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63" x14ac:dyDescent="0.15">
      <c r="A12" s="207" t="s">
        <v>199</v>
      </c>
      <c r="B12" s="11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63" x14ac:dyDescent="0.15">
      <c r="A13" s="207" t="s">
        <v>200</v>
      </c>
      <c r="B13" s="11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63" x14ac:dyDescent="0.15">
      <c r="A14" s="207" t="s">
        <v>201</v>
      </c>
      <c r="B14" s="11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63" x14ac:dyDescent="0.15">
      <c r="A15" s="207" t="s">
        <v>202</v>
      </c>
      <c r="B15" s="11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63" x14ac:dyDescent="0.15">
      <c r="A16" s="207" t="s">
        <v>203</v>
      </c>
      <c r="B16" s="11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7" t="s">
        <v>204</v>
      </c>
      <c r="B17" s="11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7" t="s">
        <v>205</v>
      </c>
      <c r="B18" s="11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7" t="s">
        <v>206</v>
      </c>
      <c r="B19" s="11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7" t="s">
        <v>207</v>
      </c>
      <c r="B20" s="11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7" t="s">
        <v>208</v>
      </c>
      <c r="B21" s="11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7" t="s">
        <v>209</v>
      </c>
      <c r="B22" s="11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7" t="s">
        <v>210</v>
      </c>
      <c r="B23" s="11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7" t="s">
        <v>211</v>
      </c>
      <c r="B24" s="11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7" t="s">
        <v>212</v>
      </c>
      <c r="B25" s="11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7" t="s">
        <v>213</v>
      </c>
      <c r="B26" s="11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7" t="s">
        <v>214</v>
      </c>
      <c r="B27" s="113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7" t="s">
        <v>215</v>
      </c>
      <c r="B28" s="113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7" t="s">
        <v>216</v>
      </c>
      <c r="B29" s="113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7" t="s">
        <v>217</v>
      </c>
      <c r="B30" s="113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7" t="s">
        <v>218</v>
      </c>
      <c r="B31" s="113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7" t="s">
        <v>219</v>
      </c>
      <c r="B32" s="113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7" t="s">
        <v>220</v>
      </c>
      <c r="B33" s="113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7" t="s">
        <v>221</v>
      </c>
      <c r="B34" s="113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7" t="s">
        <v>222</v>
      </c>
      <c r="B35" s="113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7" t="s">
        <v>223</v>
      </c>
      <c r="B36" s="113">
        <v>0</v>
      </c>
      <c r="C36"/>
      <c r="D36"/>
    </row>
    <row r="37" spans="1:38" ht="15" customHeight="1" x14ac:dyDescent="0.15">
      <c r="A37" s="207" t="s">
        <v>224</v>
      </c>
      <c r="B37" s="113">
        <v>0</v>
      </c>
      <c r="C37"/>
      <c r="D37"/>
    </row>
    <row r="38" spans="1:38" ht="15" customHeight="1" x14ac:dyDescent="0.15">
      <c r="A38" s="207" t="s">
        <v>225</v>
      </c>
      <c r="B38" s="113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7" t="s">
        <v>226</v>
      </c>
      <c r="B39" s="113">
        <v>0</v>
      </c>
      <c r="C39"/>
      <c r="D39"/>
    </row>
    <row r="40" spans="1:38" ht="15" customHeight="1" x14ac:dyDescent="0.15">
      <c r="A40" s="207" t="s">
        <v>227</v>
      </c>
      <c r="B40" s="113">
        <v>0</v>
      </c>
      <c r="C40"/>
      <c r="D40"/>
    </row>
    <row r="41" spans="1:38" ht="15" customHeight="1" x14ac:dyDescent="0.15">
      <c r="A41" s="207" t="s">
        <v>228</v>
      </c>
      <c r="B41" s="113">
        <v>0</v>
      </c>
      <c r="C41"/>
      <c r="D41"/>
    </row>
    <row r="42" spans="1:38" ht="15" customHeight="1" x14ac:dyDescent="0.15">
      <c r="A42" s="207" t="s">
        <v>229</v>
      </c>
      <c r="B42" s="113">
        <v>0</v>
      </c>
    </row>
    <row r="43" spans="1:38" ht="15" customHeight="1" x14ac:dyDescent="0.15">
      <c r="A43" s="207" t="s">
        <v>230</v>
      </c>
      <c r="B43" s="113">
        <v>0</v>
      </c>
    </row>
    <row r="44" spans="1:38" ht="15" customHeight="1" x14ac:dyDescent="0.15">
      <c r="A44" s="207" t="s">
        <v>231</v>
      </c>
      <c r="B44" s="113">
        <v>0</v>
      </c>
    </row>
    <row r="45" spans="1:38" ht="15" customHeight="1" x14ac:dyDescent="0.15">
      <c r="A45" s="207" t="s">
        <v>232</v>
      </c>
      <c r="B45" s="113">
        <v>0</v>
      </c>
    </row>
    <row r="46" spans="1:38" ht="15" customHeight="1" x14ac:dyDescent="0.15">
      <c r="A46" s="207" t="s">
        <v>233</v>
      </c>
      <c r="B46" s="113">
        <v>0</v>
      </c>
    </row>
    <row r="47" spans="1:38" ht="15" customHeight="1" x14ac:dyDescent="0.15">
      <c r="A47" s="207" t="s">
        <v>234</v>
      </c>
      <c r="B47" s="113">
        <v>0</v>
      </c>
    </row>
    <row r="48" spans="1:38" ht="15" customHeight="1" x14ac:dyDescent="0.15">
      <c r="A48" s="207" t="s">
        <v>235</v>
      </c>
      <c r="B48" s="113">
        <v>0</v>
      </c>
    </row>
    <row r="49" spans="1:38" ht="15" customHeight="1" x14ac:dyDescent="0.15">
      <c r="A49" s="207" t="s">
        <v>236</v>
      </c>
      <c r="B49" s="113">
        <v>0</v>
      </c>
    </row>
    <row r="50" spans="1:38" ht="15" customHeight="1" x14ac:dyDescent="0.15">
      <c r="A50" s="207" t="s">
        <v>237</v>
      </c>
      <c r="B50" s="113">
        <v>0</v>
      </c>
    </row>
    <row r="51" spans="1:38" ht="15" customHeight="1" x14ac:dyDescent="0.15">
      <c r="A51" s="207" t="s">
        <v>238</v>
      </c>
      <c r="B51" s="113">
        <v>0</v>
      </c>
    </row>
    <row r="52" spans="1:38" ht="15" customHeight="1" x14ac:dyDescent="0.15">
      <c r="A52" s="207" t="s">
        <v>239</v>
      </c>
      <c r="B52" s="113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207" t="s">
        <v>240</v>
      </c>
      <c r="B53" s="113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207" t="s">
        <v>241</v>
      </c>
      <c r="B54" s="113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207" t="s">
        <v>242</v>
      </c>
      <c r="B55" s="113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207" t="s">
        <v>243</v>
      </c>
      <c r="B56" s="113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207" t="s">
        <v>244</v>
      </c>
      <c r="B57" s="113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207" t="s">
        <v>245</v>
      </c>
      <c r="B58" s="113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207" t="s">
        <v>246</v>
      </c>
      <c r="B59" s="113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2022-10-23T22:55:15Z</dcterms:modified>
</cp:coreProperties>
</file>