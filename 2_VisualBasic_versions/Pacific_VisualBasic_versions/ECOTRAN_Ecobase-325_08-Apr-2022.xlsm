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Pacific/Pacific_ECOTRAN_K-path_versions/"/>
    </mc:Choice>
  </mc:AlternateContent>
  <xr:revisionPtr revIDLastSave="0" documentId="13_ncr:1_{657932E3-616E-274B-99FA-BD7A9B8D5EAC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Main!$C$2:$N$41</definedName>
    <definedName name="matDetritus">Detritus!$C$2:$E$41</definedName>
    <definedName name="matDiet">Diets!$B$2:$AK$40</definedName>
    <definedName name="matDiscards">Discards!$C$2:$D$39</definedName>
    <definedName name="matFishery">Fishing!$C$2:$D$39</definedName>
    <definedName name="matFishing">Fishing!#REF!</definedName>
    <definedName name="matMort">Mortalities!$A$1:$AQ$39</definedName>
    <definedName name="matOut">MainOutputs!$A$2:$I$41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<sst xmlns="http://schemas.openxmlformats.org/spreadsheetml/2006/main" count="1116" uniqueCount="238">
  <si>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</si>
  <si>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</si>
  <si>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</si>
  <si>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</si>
  <si>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</si>
  <si>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</si>
  <si>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</si>
  <si>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</si>
  <si>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</si>
  <si>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</si>
  <si>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</si>
  <si>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</si>
  <si>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</si>
  <si>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</si>
  <si>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</si>
  <si>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</si>
  <si>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</si>
  <si>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</si>
  <si>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</si>
  <si>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</si>
  <si>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</si>
  <si>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</si>
  <si>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</si>
  <si>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</si>
  <si>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</si>
  <si>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</si>
  <si>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</si>
  <si>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</si>
  <si>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</si>
  <si>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</si>
  <si>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</si>
  <si>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</si>
  <si>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</si>
  <si>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</si>
  <si>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</si>
  <si>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</si>
  <si>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</si>
  <si>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</si>
  <si>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</si>
  <si>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</si>
  <si>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</si>
  <si>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</si>
  <si>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</si>
  <si>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</si>
  <si>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</si>
  <si>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</si>
  <si>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</si>
  <si>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</si>
  <si>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</si>
  <si>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</si>
  <si>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</si>
  <si>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</si>
  <si>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</si>
  <si>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</si>
  <si>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</si>
  <si>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</si>
  <si>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</si>
  <si>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</si>
  <si>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</si>
  <si>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</si>
  <si>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</si>
  <si>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</si>
  <si>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</si>
  <si>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</si>
  <si>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</si>
  <si>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</si>
  <si>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</si>
  <si>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</si>
  <si>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</si>
  <si>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</si>
  <si>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</si>
  <si>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</si>
  <si>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</si>
  <si>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</si>
  <si>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</si>
  <si>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</si>
  <si>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</si>
  <si>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</si>
  <si>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</si>
  <si>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</si>
  <si>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</si>
  <si>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</si>
  <si>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</si>
  <si>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</si>
  <si>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</si>
  <si>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</si>
  <si>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</si>
  <si>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</si>
  <si>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</si>
  <si>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</si>
  <si>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</si>
  <si>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</si>
  <si>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</si>
  <si>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</si>
  <si>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</si>
  <si>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</si>
  <si>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</si>
  <si>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</si>
  <si>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</si>
  <si>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</si>
  <si>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</si>
  <si>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</si>
  <si>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</si>
  <si>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</si>
  <si>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</si>
  <si>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</si>
  <si>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</si>
  <si>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</si>
  <si>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</si>
  <si>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</si>
  <si>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</si>
  <si>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</si>
  <si>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</si>
  <si>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</si>
  <si>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</si>
  <si>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</si>
  <si>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</si>
  <si>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</si>
  <si>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</si>
  <si>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</si>
  <si>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</si>
  <si>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</si>
  <si>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</si>
  <si>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</si>
  <si>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</si>
  <si>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</si>
  <si>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</si>
  <si>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</si>
  <si>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</si>
  <si>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</si>
  <si>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</si>
  <si>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</si>
  <si>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</si>
  <si>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</si>
  <si>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</si>
  <si>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</si>
  <si>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</si>
  <si>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</si>
  <si>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</si>
  <si>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</si>
  <si>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</si>
  <si>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</si>
  <si>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</si>
  <si>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</si>
  <si>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</si>
  <si>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</si>
  <si>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</si>
  <si>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</si>
  <si>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</si>
  <si>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</si>
  <si>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</si>
  <si>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</si>
  <si>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</si>
  <si>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</si>
  <si>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</si>
  <si>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</si>
  <si>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</si>
  <si>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</si>
  <si>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</si>
  <si>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</si>
  <si>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</si>
  <si>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</si>
  <si>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</si>
  <si>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</si>
  <si>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</si>
  <si>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</si>
  <si>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</si>
  <si>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</si>
  <si>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</si>
  <si>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</si>
  <si>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</si>
  <si>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</si>
  <si>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</si>
  <si>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</si>
  <si>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</si>
  <si>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</si>
  <si>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</si>
  <si>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</si>
  <si>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</si>
  <si>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</si>
  <si>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</si>
  <si>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</si>
  <si>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</si>
  <si>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</si>
  <si>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</si>
  <si>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Sinaloa sur MEXICO</t>
  </si>
  <si>
    <t>Mexico</t>
  </si>
  <si>
    <t>BOX(-107.45 22.367,-105.833 24.167)</t>
  </si>
  <si>
    <t>continental shelf</t>
  </si>
  <si>
    <t>WetWeight</t>
  </si>
  <si>
    <t>Modelo usado en la tesis, no se consideraron los descartes de la flota camaronera, se asumió que nada se regresaba al mar y todo se aprovechaba; 23/03/2007 01:19:44 a.m.; 24/04/2007 10:03:34 p.m.</t>
  </si>
  <si>
    <t xml:space="preserve">Salcido Guevara L.A.(2006). Estructura y flujos de biomasa en un ecosistema bentonico explotado en el Sur de Sinaloa, Mexico </t>
  </si>
  <si>
    <t>Aves</t>
  </si>
  <si>
    <t>Sciaenidae</t>
  </si>
  <si>
    <t>Haemulidae</t>
  </si>
  <si>
    <t>Centropomidae</t>
  </si>
  <si>
    <t>Lutjanidae</t>
  </si>
  <si>
    <t>Pleuronectiform</t>
  </si>
  <si>
    <t>Scombridae</t>
  </si>
  <si>
    <t>Coryphaenidae</t>
  </si>
  <si>
    <t>Carangidae</t>
  </si>
  <si>
    <t>Scorp./Triglida</t>
  </si>
  <si>
    <t>Serranidae</t>
  </si>
  <si>
    <t>Rajiformes</t>
  </si>
  <si>
    <t>Ariidae</t>
  </si>
  <si>
    <t>Poly./Mullidae</t>
  </si>
  <si>
    <t>Tetraodontidae</t>
  </si>
  <si>
    <t>Synodontidae</t>
  </si>
  <si>
    <t>Cheloniidae</t>
  </si>
  <si>
    <t>Gerreidae</t>
  </si>
  <si>
    <t>Clupeidae</t>
  </si>
  <si>
    <t>Mugilidae</t>
  </si>
  <si>
    <t>Otros peces</t>
  </si>
  <si>
    <t>Celenterata</t>
  </si>
  <si>
    <t>Cephalopoda</t>
  </si>
  <si>
    <t>Gastropoda</t>
  </si>
  <si>
    <t>Bivalvia</t>
  </si>
  <si>
    <t>Echinodermata</t>
  </si>
  <si>
    <t>Porifera</t>
  </si>
  <si>
    <t>Palinura</t>
  </si>
  <si>
    <t>Portunidae</t>
  </si>
  <si>
    <t>Stomatopoda</t>
  </si>
  <si>
    <t>Penaeidae</t>
  </si>
  <si>
    <t>Polychaeta</t>
  </si>
  <si>
    <t>Macrocrustáceos</t>
  </si>
  <si>
    <t>Zooplancton</t>
  </si>
  <si>
    <t>Fitoplancton</t>
  </si>
  <si>
    <t>Macrofitas</t>
  </si>
  <si>
    <t>Detritus</t>
  </si>
  <si>
    <t>detritus_TerminalBenthic</t>
  </si>
  <si>
    <t>Industrial</t>
  </si>
  <si>
    <t>Escama/Rib.</t>
  </si>
  <si>
    <t>Import</t>
  </si>
  <si>
    <t>export</t>
  </si>
  <si>
    <t>sum</t>
  </si>
  <si>
    <t>TOTAL</t>
  </si>
  <si>
    <t>F Industrial</t>
  </si>
  <si>
    <t>F Escama/Rib.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</si>
</sst>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53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94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BF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FFB6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9C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7B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FF78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E1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FFF8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85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FFC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7A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A3FF00"/>
        <bgColor indexed="64"/>
      </patternFill>
    </fill>
    <fill>
      <patternFill patternType="solid">
        <fgColor rgb="FFFFFC00"/>
        <bgColor indexed="64"/>
      </patternFill>
    </fill>
    <fill>
      <patternFill patternType="solid">
        <fgColor rgb="FF93FF00"/>
        <bgColor indexed="64"/>
      </patternFill>
    </fill>
    <fill>
      <patternFill patternType="solid">
        <fgColor rgb="FF96FF00"/>
        <bgColor indexed="64"/>
      </patternFill>
    </fill>
    <fill>
      <patternFill patternType="solid">
        <fgColor rgb="FFFFD8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FFF500"/>
        <bgColor indexed="64"/>
      </patternFill>
    </fill>
    <fill>
      <patternFill patternType="solid">
        <fgColor rgb="FFFCFF00"/>
        <bgColor indexed="64"/>
      </patternFill>
    </fill>
    <fill>
      <patternFill patternType="solid">
        <fgColor rgb="FFFF5300"/>
        <bgColor indexed="64"/>
      </patternFill>
    </fill>
    <fill>
      <patternFill patternType="solid">
        <fgColor rgb="FFFF4200"/>
        <bgColor indexed="64"/>
      </patternFill>
    </fill>
    <fill>
      <patternFill patternType="solid">
        <fgColor rgb="FFE2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99FF00"/>
        <bgColor indexed="64"/>
      </patternFill>
    </fill>
    <fill>
      <patternFill patternType="solid">
        <fgColor rgb="FFE3FF00"/>
        <bgColor indexed="64"/>
      </patternFill>
    </fill>
    <fill>
      <patternFill patternType="solid">
        <fgColor rgb="FFB0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FFF6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7D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DAFF00"/>
        <bgColor indexed="64"/>
      </patternFill>
    </fill>
    <fill>
      <patternFill patternType="solid">
        <fgColor rgb="FFFF3600"/>
        <bgColor indexed="64"/>
      </patternFill>
    </fill>
    <fill>
      <patternFill patternType="solid">
        <fgColor rgb="FF90FF00"/>
        <bgColor indexed="64"/>
      </patternFill>
    </fill>
    <fill>
      <patternFill patternType="solid">
        <fgColor rgb="FFBEFF00"/>
        <bgColor indexed="64"/>
      </patternFill>
    </fill>
    <fill>
      <patternFill patternType="solid">
        <fgColor rgb="FFFFBA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75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4" borderId="2" xfId="0" applyFont="1" applyFill="1" applyBorder="1" applyAlignment="1">
      <alignment horizontal="center"/>
    </xf>
    <xf numFmtId="0" fontId="1" fillId="24" borderId="4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4" borderId="5" xfId="0" applyFill="1" applyBorder="1"/>
    <xf numFmtId="0" fontId="0" fillId="24" borderId="6" xfId="0" applyFill="1" applyBorder="1"/>
    <xf numFmtId="0" fontId="0" fillId="24" borderId="7" xfId="0" applyFill="1" applyBorder="1"/>
    <xf numFmtId="0" fontId="0" fillId="24" borderId="8" xfId="0" applyFill="1" applyBorder="1"/>
    <xf numFmtId="0" fontId="0" fillId="24" borderId="9" xfId="0" applyFill="1" applyBorder="1"/>
    <xf numFmtId="0" fontId="0" fillId="24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1" fillId="0" borderId="0" xfId="0" applyFont="1" applyAlignment="1">
      <alignment horizontal="center"/>
    </xf>
    <xf numFmtId="0" fontId="0" fillId="35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0" fillId="37" borderId="0" xfId="0" applyFill="1"/>
    <xf numFmtId="0" fontId="0" fillId="38" borderId="0" xfId="0" applyFill="1"/>
    <xf numFmtId="0" fontId="0" fillId="39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6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6" borderId="3" xfId="0" applyNumberFormat="1" applyFont="1" applyFill="1" applyBorder="1"/>
    <xf numFmtId="0" fontId="0" fillId="36" borderId="2" xfId="0" applyFont="1" applyFill="1" applyBorder="1"/>
    <xf numFmtId="0" fontId="0" fillId="36" borderId="3" xfId="0" applyFont="1" applyFill="1" applyBorder="1"/>
    <xf numFmtId="0" fontId="0" fillId="36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0" borderId="0" xfId="0" applyBorder="1"/>
    <xf numFmtId="0" fontId="0" fillId="43" borderId="0" xfId="0" applyFill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4" borderId="2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4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68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1" t="s">
        <v>164</v>
      </c>
    </row>
    <row r="6" spans="2:4" ht="14" thickBot="1" x14ac:dyDescent="0.2">
      <c r="B6" s="45" t="s">
        <v>141</v>
      </c>
    </row>
    <row r="7" spans="2:4" x14ac:dyDescent="0.15">
      <c r="B7" s="61" t="s">
        <v>143</v>
      </c>
    </row>
    <row r="8" spans="2:4" x14ac:dyDescent="0.15">
      <c r="B8" s="61" t="s">
        <v>142</v>
      </c>
    </row>
    <row r="9" spans="2:4" x14ac:dyDescent="0.15">
      <c r="B9" s="61" t="s">
        <v>144</v>
      </c>
    </row>
    <row r="10" spans="2:4" x14ac:dyDescent="0.15">
      <c r="B10" s="61" t="s">
        <v>147</v>
      </c>
    </row>
    <row r="11" spans="2:4" x14ac:dyDescent="0.15">
      <c r="B11" s="61" t="s">
        <v>151</v>
      </c>
    </row>
    <row r="12" spans="2:4" x14ac:dyDescent="0.15">
      <c r="B12" s="61" t="s">
        <v>153</v>
      </c>
    </row>
    <row r="13" spans="2:4" x14ac:dyDescent="0.15">
      <c r="B13" s="61" t="s">
        <v>165</v>
      </c>
    </row>
    <row r="15" spans="2:4" ht="14" thickBot="1" x14ac:dyDescent="0.2"/>
    <row r="16" spans="2:4" ht="14" thickBot="1" x14ac:dyDescent="0.2">
      <c r="B16" s="46" t="s">
        <v>137</v>
      </c>
      <c r="C16" s="47"/>
      <c r="D16" s="29">
        <v>41373</v>
      </c>
    </row>
    <row r="17" spans="2:4" x14ac:dyDescent="0.15">
      <c r="B17" s="48" t="s">
        <v>58</v>
      </c>
      <c r="C17" s="32">
        <v>0</v>
      </c>
    </row>
    <row r="18" spans="2:4" x14ac:dyDescent="0.15">
      <c r="B18" s="48" t="s">
        <v>59</v>
      </c>
      <c r="C18" s="32">
        <v>1</v>
      </c>
    </row>
    <row r="19" spans="2:4" x14ac:dyDescent="0.15">
      <c r="B19" s="48" t="s">
        <v>60</v>
      </c>
      <c r="C19" s="32">
        <v>2</v>
      </c>
    </row>
    <row r="20" spans="2:4" ht="14" thickBot="1" x14ac:dyDescent="0.2">
      <c r="B20" s="49" t="s">
        <v>44</v>
      </c>
      <c r="C20" s="33">
        <v>3</v>
      </c>
    </row>
    <row r="21" spans="2:4" x14ac:dyDescent="0.15">
      <c r="B21" s="50" t="s">
        <v>140</v>
      </c>
    </row>
    <row r="22" spans="2:4" ht="14" thickBot="1" x14ac:dyDescent="0.2"/>
    <row r="23" spans="2:4" ht="14" thickBot="1" x14ac:dyDescent="0.2">
      <c r="B23" s="46" t="s">
        <v>65</v>
      </c>
      <c r="C23" s="47"/>
      <c r="D23" s="29" t="s">
        <v>148</v>
      </c>
    </row>
    <row r="24" spans="2:4" x14ac:dyDescent="0.15">
      <c r="B24" s="52" t="s">
        <v>38</v>
      </c>
      <c r="C24" s="30">
        <v>1</v>
      </c>
    </row>
    <row r="25" spans="2:4" x14ac:dyDescent="0.15">
      <c r="B25" s="48" t="s">
        <v>40</v>
      </c>
      <c r="C25" s="32">
        <v>1.1000000000000001</v>
      </c>
    </row>
    <row r="26" spans="2:4" x14ac:dyDescent="0.15">
      <c r="B26" s="48" t="s">
        <v>41</v>
      </c>
      <c r="C26" s="32">
        <v>1.2</v>
      </c>
    </row>
    <row r="27" spans="2:4" x14ac:dyDescent="0.15">
      <c r="B27" s="48"/>
      <c r="C27" s="32"/>
    </row>
    <row r="28" spans="2:4" x14ac:dyDescent="0.15">
      <c r="B28" s="48" t="s">
        <v>42</v>
      </c>
      <c r="C28" s="32">
        <v>2.1</v>
      </c>
    </row>
    <row r="29" spans="2:4" x14ac:dyDescent="0.15">
      <c r="B29" s="48" t="s">
        <v>43</v>
      </c>
      <c r="C29" s="32">
        <v>2.2000000000000002</v>
      </c>
    </row>
    <row r="30" spans="2:4" x14ac:dyDescent="0.15">
      <c r="B30" s="48" t="s">
        <v>67</v>
      </c>
      <c r="C30" s="32">
        <v>2.2999999999999998</v>
      </c>
    </row>
    <row r="31" spans="2:4" x14ac:dyDescent="0.15">
      <c r="B31" s="48"/>
      <c r="C31" s="32"/>
    </row>
    <row r="32" spans="2:4" x14ac:dyDescent="0.15">
      <c r="B32" s="48" t="s">
        <v>62</v>
      </c>
      <c r="C32" s="32">
        <v>3.11</v>
      </c>
    </row>
    <row r="33" spans="2:3" x14ac:dyDescent="0.15">
      <c r="B33" s="48" t="s">
        <v>61</v>
      </c>
      <c r="C33" s="32">
        <v>3.12</v>
      </c>
    </row>
    <row r="34" spans="2:3" x14ac:dyDescent="0.15">
      <c r="B34" s="48" t="s">
        <v>68</v>
      </c>
      <c r="C34" s="32">
        <v>3.13</v>
      </c>
    </row>
    <row r="35" spans="2:3" x14ac:dyDescent="0.15">
      <c r="B35" s="48"/>
      <c r="C35" s="32"/>
    </row>
    <row r="36" spans="2:3" x14ac:dyDescent="0.15">
      <c r="B36" s="48" t="s">
        <v>66</v>
      </c>
      <c r="C36" s="32">
        <v>3.21</v>
      </c>
    </row>
    <row r="37" spans="2:3" x14ac:dyDescent="0.15">
      <c r="B37" s="48" t="s">
        <v>63</v>
      </c>
      <c r="C37" s="32">
        <v>3.22</v>
      </c>
    </row>
    <row r="38" spans="2:3" x14ac:dyDescent="0.15">
      <c r="B38" s="48" t="s">
        <v>69</v>
      </c>
      <c r="C38" s="32">
        <v>3.23</v>
      </c>
    </row>
    <row r="39" spans="2:3" x14ac:dyDescent="0.15">
      <c r="B39" s="48"/>
      <c r="C39" s="32"/>
    </row>
    <row r="40" spans="2:3" x14ac:dyDescent="0.15">
      <c r="B40" s="48" t="s">
        <v>64</v>
      </c>
      <c r="C40" s="32">
        <v>8</v>
      </c>
    </row>
    <row r="41" spans="2:3" x14ac:dyDescent="0.15">
      <c r="B41" s="48"/>
      <c r="C41" s="32"/>
    </row>
    <row r="42" spans="2:3" x14ac:dyDescent="0.15">
      <c r="B42" s="48" t="s">
        <v>71</v>
      </c>
      <c r="C42" s="32">
        <v>4.0999999999999996</v>
      </c>
    </row>
    <row r="43" spans="2:3" x14ac:dyDescent="0.15">
      <c r="B43" s="48" t="s">
        <v>70</v>
      </c>
      <c r="C43" s="32">
        <v>4.2</v>
      </c>
    </row>
    <row r="44" spans="2:3" x14ac:dyDescent="0.15">
      <c r="B44" s="48" t="s">
        <v>72</v>
      </c>
      <c r="C44" s="32">
        <v>4.3</v>
      </c>
    </row>
    <row r="45" spans="2:3" x14ac:dyDescent="0.15">
      <c r="B45" s="31"/>
      <c r="C45" s="32"/>
    </row>
    <row r="46" spans="2:3" x14ac:dyDescent="0.15">
      <c r="B46" s="48" t="s">
        <v>138</v>
      </c>
      <c r="C46" s="32">
        <v>6.1</v>
      </c>
    </row>
    <row r="47" spans="2:3" x14ac:dyDescent="0.15">
      <c r="B47" s="48" t="s">
        <v>45</v>
      </c>
      <c r="C47" s="32">
        <v>6.2</v>
      </c>
    </row>
    <row r="48" spans="2:3" x14ac:dyDescent="0.15">
      <c r="B48" s="48"/>
      <c r="C48" s="32"/>
    </row>
    <row r="49" spans="2:4" x14ac:dyDescent="0.15">
      <c r="B49" s="48" t="s">
        <v>44</v>
      </c>
      <c r="C49" s="32">
        <v>5</v>
      </c>
    </row>
    <row r="50" spans="2:4" x14ac:dyDescent="0.15">
      <c r="B50" s="48"/>
      <c r="C50" s="32"/>
    </row>
    <row r="51" spans="2:4" ht="14" thickBot="1" x14ac:dyDescent="0.2">
      <c r="B51" s="49" t="s">
        <v>73</v>
      </c>
      <c r="C51" s="33">
        <v>7</v>
      </c>
    </row>
    <row r="53" spans="2:4" x14ac:dyDescent="0.15">
      <c r="B53" s="176" t="s">
        <v>171</v>
      </c>
      <c r="C53" s="107">
        <v>325</v>
      </c>
      <c r="D53" s="107"/>
    </row>
    <row r="54" spans="2:4" x14ac:dyDescent="0.15">
      <c r="B54" s="176" t="s">
        <v>172</v>
      </c>
      <c r="C54" s="176" t="s">
        <v>185</v>
      </c>
      <c r="D54" s="107"/>
    </row>
    <row r="55" spans="2:4" x14ac:dyDescent="0.15">
      <c r="B55" s="176" t="s">
        <v>173</v>
      </c>
      <c r="C55" s="176" t="s">
        <v>186</v>
      </c>
      <c r="D55" s="107"/>
    </row>
    <row r="56" spans="2:4" x14ac:dyDescent="0.15">
      <c r="B56" s="176" t="s">
        <v>174</v>
      </c>
      <c r="C56" s="107">
        <v>6250</v>
      </c>
      <c r="D56" s="107"/>
    </row>
    <row r="57" spans="2:4" x14ac:dyDescent="0.15">
      <c r="B57" s="176" t="s">
        <v>175</v>
      </c>
      <c r="C57" s="176" t="s">
        <v>187</v>
      </c>
      <c r="D57" s="107"/>
    </row>
    <row r="58" spans="2:4" x14ac:dyDescent="0.15">
      <c r="B58" s="176" t="s">
        <v>176</v>
      </c>
      <c r="C58" s="176" t="s">
        <v>188</v>
      </c>
      <c r="D58" s="107"/>
    </row>
    <row r="59" spans="2:4" x14ac:dyDescent="0.15">
      <c r="B59" s="176" t="s">
        <v>177</v>
      </c>
      <c r="C59" s="176" t="s">
        <v>189</v>
      </c>
      <c r="D59" s="107"/>
    </row>
    <row r="60" spans="2:4" x14ac:dyDescent="0.15">
      <c r="B60" s="176" t="s">
        <v>178</v>
      </c>
      <c r="C60" s="176" t="s">
        <v>190</v>
      </c>
      <c r="D60" s="107"/>
    </row>
    <row r="61" spans="2:4" x14ac:dyDescent="0.15">
      <c r="B61" s="176" t="s">
        <v>179</v>
      </c>
      <c r="C61" s="107">
        <v>37</v>
      </c>
      <c r="D61" s="107"/>
    </row>
    <row r="62" spans="2:4" x14ac:dyDescent="0.15">
      <c r="B62" s="176" t="s">
        <v>180</v>
      </c>
      <c r="C62" s="107">
        <v>2</v>
      </c>
      <c r="D62" s="107"/>
    </row>
    <row r="63" spans="2:4" x14ac:dyDescent="0.15">
      <c r="B63" s="176" t="s">
        <v>181</v>
      </c>
      <c r="C63" s="107">
        <v>1994</v>
      </c>
      <c r="D63" s="107"/>
    </row>
    <row r="64" spans="2:4" x14ac:dyDescent="0.15">
      <c r="B64" s="176" t="s">
        <v>182</v>
      </c>
      <c r="C64" s="107">
        <v>3</v>
      </c>
      <c r="D64" s="107"/>
    </row>
    <row r="65" spans="2:4" x14ac:dyDescent="0.15">
      <c r="B65" s="176" t="s">
        <v>183</v>
      </c>
      <c r="C65" s="176" t="s">
        <v>191</v>
      </c>
      <c r="D65" s="107"/>
    </row>
    <row r="66" spans="2:4" x14ac:dyDescent="0.15">
      <c r="B66" s="176" t="s">
        <v>184</v>
      </c>
      <c r="D66" s="107"/>
    </row>
    <row r="67" spans="2:4" x14ac:dyDescent="0.15">
      <c r="B67" s="107"/>
      <c r="C67" s="107"/>
      <c r="D67" s="107"/>
    </row>
    <row r="68" spans="2:4" x14ac:dyDescent="0.15">
      <c r="B68" s="107"/>
      <c r="C68" s="107"/>
      <c r="D68" s="107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6" sqref="Q6"/>
    </sheetView>
  </sheetViews>
  <sheetFormatPr baseColWidth="10" defaultColWidth="8.83203125" defaultRowHeight="15" customHeight="1" x14ac:dyDescent="0.15"/>
  <cols>
    <col min="1" max="1" width="22.5" style="80" customWidth="1"/>
    <col min="2" max="3" width="3.33203125" style="80" customWidth="1"/>
    <col min="4" max="4" width="14.33203125" style="80" customWidth="1"/>
    <col min="5" max="5" width="21.6640625" style="80" bestFit="1" customWidth="1"/>
    <col min="6" max="6" width="2.33203125" style="80" bestFit="1" customWidth="1"/>
    <col min="7" max="7" width="12.83203125" style="80" bestFit="1" customWidth="1"/>
    <col min="8" max="8" width="11.83203125" style="80" customWidth="1"/>
    <col min="9" max="9" width="10.83203125" style="80" customWidth="1"/>
    <col min="10" max="10" width="11.83203125" style="80" customWidth="1"/>
    <col min="11" max="11" width="13.83203125" style="80" customWidth="1"/>
    <col min="12" max="12" width="2.33203125" style="80" customWidth="1"/>
    <col min="13" max="13" width="3.83203125" style="80" customWidth="1"/>
    <col min="14" max="14" width="5.83203125" style="80" customWidth="1"/>
    <col min="16" max="25" width="8.83203125" style="80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0"/>
  </cols>
  <sheetData>
    <row r="1" spans="1:46" s="97" customFormat="1" ht="15" customHeight="1" x14ac:dyDescent="0.15">
      <c r="A1" s="76" t="s">
        <v>18</v>
      </c>
      <c r="C1" s="77" t="s">
        <v>8</v>
      </c>
      <c r="D1" s="76" t="s">
        <v>23</v>
      </c>
      <c r="E1" s="76" t="s">
        <v>0</v>
      </c>
      <c r="F1" s="76" t="s">
        <v>7</v>
      </c>
      <c r="G1" s="78" t="s">
        <v>13</v>
      </c>
      <c r="H1" s="76" t="s">
        <v>1</v>
      </c>
      <c r="I1" s="76" t="s">
        <v>2</v>
      </c>
      <c r="J1" s="76" t="s">
        <v>14</v>
      </c>
      <c r="K1" s="76" t="s">
        <v>3</v>
      </c>
      <c r="L1" s="76" t="s">
        <v>4</v>
      </c>
      <c r="M1" s="76" t="s">
        <v>5</v>
      </c>
      <c r="N1" s="76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7">
        <v>1</v>
      </c>
      <c r="D2"/>
      <c r="E2" s="177" t="s">
        <v>192</v>
      </c>
      <c r="F2" s="80">
        <v>0</v>
      </c>
      <c r="G2" s="80">
        <v>2.08772887E-2</v>
      </c>
      <c r="H2" s="80">
        <v>0.40579530000000003</v>
      </c>
      <c r="I2" s="6">
        <v>87.541560000000004</v>
      </c>
      <c r="J2" s="6">
        <v>0.76522849999999998</v>
      </c>
      <c r="K2" s="6">
        <v>4.6354592800000004E-3</v>
      </c>
      <c r="L2" s="6">
        <v>0</v>
      </c>
      <c r="M2" s="80">
        <v>0.2</v>
      </c>
      <c r="N2" s="80">
        <v>0</v>
      </c>
    </row>
    <row r="3" spans="1:46" ht="15" customHeight="1" x14ac:dyDescent="0.15">
      <c r="A3" s="1" t="s">
        <v>9</v>
      </c>
      <c r="B3" s="4">
        <v>36</v>
      </c>
      <c r="C3" s="80">
        <v>2</v>
      </c>
      <c r="D3"/>
      <c r="E3" s="177" t="s">
        <v>193</v>
      </c>
      <c r="F3" s="80">
        <v>0</v>
      </c>
      <c r="G3" s="80">
        <v>1.3791192800000001</v>
      </c>
      <c r="H3" s="80">
        <v>0.86486700000000005</v>
      </c>
      <c r="I3" s="80">
        <v>6.8816533099999999</v>
      </c>
      <c r="J3" s="80">
        <v>0.71704449999999997</v>
      </c>
      <c r="K3" s="80">
        <v>0.12567721300000001</v>
      </c>
      <c r="L3" s="80">
        <v>0</v>
      </c>
      <c r="M3" s="80">
        <v>0.2</v>
      </c>
      <c r="N3" s="80">
        <v>0</v>
      </c>
    </row>
    <row r="4" spans="1:46" ht="15" customHeight="1" x14ac:dyDescent="0.15">
      <c r="A4" s="1" t="s">
        <v>10</v>
      </c>
      <c r="B4" s="4">
        <v>2</v>
      </c>
      <c r="C4" s="80">
        <v>3</v>
      </c>
      <c r="D4"/>
      <c r="E4" s="177" t="s">
        <v>194</v>
      </c>
      <c r="F4" s="80">
        <v>0</v>
      </c>
      <c r="G4" s="80">
        <v>1.303709</v>
      </c>
      <c r="H4" s="80">
        <v>2.1045155499999999</v>
      </c>
      <c r="I4" s="80">
        <v>9.6273309999999999</v>
      </c>
      <c r="J4" s="80">
        <v>0.69666329999999999</v>
      </c>
      <c r="K4" s="80">
        <v>0.21859803799999999</v>
      </c>
      <c r="L4" s="80">
        <v>0</v>
      </c>
      <c r="M4" s="80">
        <v>0.2</v>
      </c>
      <c r="N4" s="80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2</v>
      </c>
      <c r="C5" s="80">
        <v>4</v>
      </c>
      <c r="D5"/>
      <c r="E5" s="177" t="s">
        <v>195</v>
      </c>
      <c r="F5" s="80">
        <v>0</v>
      </c>
      <c r="G5" s="80">
        <v>1.3976947099999999</v>
      </c>
      <c r="H5" s="80">
        <v>0.70747490000000002</v>
      </c>
      <c r="I5" s="80">
        <v>2.4725790000000001</v>
      </c>
      <c r="J5" s="80">
        <v>0.88782369999999999</v>
      </c>
      <c r="K5" s="80">
        <v>0.2861283</v>
      </c>
      <c r="L5" s="80">
        <v>0</v>
      </c>
      <c r="M5" s="80">
        <v>0.2</v>
      </c>
      <c r="N5" s="80">
        <v>0</v>
      </c>
      <c r="P5" s="70"/>
      <c r="Q5" s="70"/>
      <c r="R5" s="70"/>
    </row>
    <row r="6" spans="1:46" ht="15" customHeight="1" thickBot="1" x14ac:dyDescent="0.2">
      <c r="B6" s="1"/>
      <c r="C6" s="80">
        <v>5</v>
      </c>
      <c r="D6"/>
      <c r="E6" s="177" t="s">
        <v>196</v>
      </c>
      <c r="F6" s="80">
        <v>0</v>
      </c>
      <c r="G6" s="80">
        <v>0.67811250000000001</v>
      </c>
      <c r="H6" s="80">
        <v>0.74385120000000005</v>
      </c>
      <c r="I6" s="80">
        <v>3.2004783200000002</v>
      </c>
      <c r="J6" s="80">
        <v>0.73787199999999997</v>
      </c>
      <c r="K6" s="80">
        <v>0.232418761</v>
      </c>
      <c r="L6" s="80">
        <v>0</v>
      </c>
      <c r="M6" s="80">
        <v>0.2</v>
      </c>
      <c r="N6" s="80">
        <v>0</v>
      </c>
      <c r="P6" s="70"/>
      <c r="Q6" s="70"/>
      <c r="R6" s="70"/>
      <c r="W6" s="35" t="s">
        <v>31</v>
      </c>
      <c r="X6" s="51">
        <f>MAX(MainOutputs!G:G)</f>
        <v>0.98629260063171387</v>
      </c>
    </row>
    <row r="7" spans="1:46" ht="15" customHeight="1" x14ac:dyDescent="0.15">
      <c r="A7" s="2" t="s">
        <v>27</v>
      </c>
      <c r="B7" s="80">
        <f ca="1">COUNTIF(OFFSET(cornerDiets,1,1,NumLiving+NumDead+1,NumLiving+NumDead),"&gt;0")+NumLiving+NumDead+1</f>
        <v>350</v>
      </c>
      <c r="C7" s="80">
        <v>6</v>
      </c>
      <c r="D7"/>
      <c r="E7" s="177" t="s">
        <v>197</v>
      </c>
      <c r="F7" s="80">
        <v>0</v>
      </c>
      <c r="G7" s="80">
        <v>2.6008596399999999</v>
      </c>
      <c r="H7" s="80">
        <v>1.48761261</v>
      </c>
      <c r="I7" s="80">
        <v>5.0375075300000001</v>
      </c>
      <c r="J7" s="80">
        <v>0.83002054700000005</v>
      </c>
      <c r="K7" s="80">
        <v>0.29530727899999998</v>
      </c>
      <c r="L7" s="80">
        <v>0</v>
      </c>
      <c r="M7" s="80">
        <v>0.2</v>
      </c>
      <c r="N7" s="80">
        <v>0</v>
      </c>
      <c r="P7" s="70"/>
      <c r="Q7" s="70"/>
      <c r="R7" s="70"/>
    </row>
    <row r="8" spans="1:46" ht="15" customHeight="1" x14ac:dyDescent="0.15">
      <c r="A8" s="2" t="s">
        <v>28</v>
      </c>
      <c r="B8" s="80">
        <f ca="1">COUNTIF(OFFSET(cornerFishing,1,2,NumLiving+NumDead,NumGears),"&gt;0")+NumDead*COUNTIF(OFFSET(cornerDiscards,1,2,NumLiving+NumDead,NumGears),"&gt;0")+NumLiving+NumDead+1</f>
        <v>84</v>
      </c>
      <c r="C8" s="80">
        <v>7</v>
      </c>
      <c r="D8"/>
      <c r="E8" s="177" t="s">
        <v>198</v>
      </c>
      <c r="F8" s="80">
        <v>0</v>
      </c>
      <c r="G8" s="80">
        <v>1.3805593300000001</v>
      </c>
      <c r="H8" s="80">
        <v>0.89643289999999998</v>
      </c>
      <c r="I8" s="80">
        <v>5.4528999999999996</v>
      </c>
      <c r="J8" s="80">
        <v>0.819657266</v>
      </c>
      <c r="K8" s="80">
        <v>0.16439561499999999</v>
      </c>
      <c r="L8" s="80">
        <v>0</v>
      </c>
      <c r="M8" s="80">
        <v>0.2</v>
      </c>
      <c r="N8" s="80">
        <v>0</v>
      </c>
      <c r="P8" s="70"/>
      <c r="Q8" s="70"/>
      <c r="R8" s="70"/>
    </row>
    <row r="9" spans="1:46" ht="15" customHeight="1" x14ac:dyDescent="0.15">
      <c r="B9" s="1"/>
      <c r="C9" s="80">
        <v>8</v>
      </c>
      <c r="D9"/>
      <c r="E9" s="177" t="s">
        <v>199</v>
      </c>
      <c r="F9" s="80">
        <v>0</v>
      </c>
      <c r="G9" s="80">
        <v>0.34675326899999998</v>
      </c>
      <c r="H9" s="80">
        <v>0.83328820000000003</v>
      </c>
      <c r="I9" s="80">
        <v>7.2684984200000002</v>
      </c>
      <c r="J9" s="80">
        <v>0.78115219999999996</v>
      </c>
      <c r="K9" s="80">
        <v>0.11464379</v>
      </c>
      <c r="L9" s="80">
        <v>0</v>
      </c>
      <c r="M9" s="80">
        <v>0.2</v>
      </c>
      <c r="N9" s="80">
        <v>0</v>
      </c>
      <c r="P9" s="70"/>
      <c r="Q9" s="70"/>
      <c r="R9" s="70"/>
    </row>
    <row r="10" spans="1:46" ht="15" customHeight="1" x14ac:dyDescent="0.15">
      <c r="B10" s="1"/>
      <c r="C10" s="80">
        <v>9</v>
      </c>
      <c r="D10"/>
      <c r="E10" s="177" t="s">
        <v>200</v>
      </c>
      <c r="F10" s="80">
        <v>0</v>
      </c>
      <c r="G10" s="80">
        <v>1.0223215800000001</v>
      </c>
      <c r="H10" s="80">
        <v>2.877049</v>
      </c>
      <c r="I10" s="80">
        <v>12.0005112</v>
      </c>
      <c r="J10" s="80">
        <v>0.81623303899999999</v>
      </c>
      <c r="K10" s="80">
        <v>0.239743873</v>
      </c>
      <c r="L10" s="80">
        <v>0</v>
      </c>
      <c r="M10" s="80">
        <v>0.2</v>
      </c>
      <c r="N10" s="80">
        <v>0</v>
      </c>
    </row>
    <row r="11" spans="1:46" ht="15" customHeight="1" x14ac:dyDescent="0.15">
      <c r="C11" s="80">
        <v>10</v>
      </c>
      <c r="D11"/>
      <c r="E11" s="177" t="s">
        <v>201</v>
      </c>
      <c r="F11" s="80">
        <v>0</v>
      </c>
      <c r="G11" s="80">
        <v>0.56384889999999999</v>
      </c>
      <c r="H11" s="80">
        <v>1.1891386500000001</v>
      </c>
      <c r="I11" s="80">
        <v>8.7482369999999996</v>
      </c>
      <c r="J11" s="80">
        <v>0.116795987</v>
      </c>
      <c r="K11" s="80">
        <v>0.13592895899999999</v>
      </c>
      <c r="L11" s="80">
        <v>0</v>
      </c>
      <c r="M11" s="80">
        <v>0.2</v>
      </c>
      <c r="N11" s="80">
        <v>0</v>
      </c>
    </row>
    <row r="12" spans="1:46" ht="15" customHeight="1" x14ac:dyDescent="0.15">
      <c r="C12" s="80">
        <v>11</v>
      </c>
      <c r="D12"/>
      <c r="E12" s="177" t="s">
        <v>202</v>
      </c>
      <c r="F12" s="80">
        <v>0</v>
      </c>
      <c r="G12" s="80">
        <v>2.7935385699999999</v>
      </c>
      <c r="H12" s="80">
        <v>1.1318271200000001</v>
      </c>
      <c r="I12" s="80">
        <v>5.8342852599999997</v>
      </c>
      <c r="J12" s="80">
        <v>0.610160649</v>
      </c>
      <c r="K12" s="80">
        <v>0.193995848</v>
      </c>
      <c r="L12" s="80">
        <v>0</v>
      </c>
      <c r="M12" s="80">
        <v>0.2</v>
      </c>
      <c r="N12" s="80">
        <v>0</v>
      </c>
    </row>
    <row r="13" spans="1:46" ht="15" customHeight="1" x14ac:dyDescent="0.15">
      <c r="C13" s="80">
        <v>12</v>
      </c>
      <c r="D13"/>
      <c r="E13" s="177" t="s">
        <v>203</v>
      </c>
      <c r="F13" s="80">
        <v>0</v>
      </c>
      <c r="G13" s="80">
        <v>1.02099669</v>
      </c>
      <c r="H13" s="80">
        <v>1.1390790900000001</v>
      </c>
      <c r="I13" s="80">
        <v>6.3976220000000001</v>
      </c>
      <c r="J13" s="80">
        <v>0.84507149999999998</v>
      </c>
      <c r="K13" s="80">
        <v>0.17804725499999999</v>
      </c>
      <c r="L13" s="80">
        <v>0</v>
      </c>
      <c r="M13" s="80">
        <v>0.2</v>
      </c>
      <c r="N13" s="80">
        <v>0</v>
      </c>
    </row>
    <row r="14" spans="1:46" ht="15" customHeight="1" x14ac:dyDescent="0.15">
      <c r="C14" s="80">
        <v>13</v>
      </c>
      <c r="D14"/>
      <c r="E14" s="177" t="s">
        <v>204</v>
      </c>
      <c r="F14" s="80">
        <v>0</v>
      </c>
      <c r="G14" s="80">
        <v>0.95959859999999997</v>
      </c>
      <c r="H14" s="80">
        <v>1.98697448</v>
      </c>
      <c r="I14" s="80">
        <v>6.19242954</v>
      </c>
      <c r="J14" s="80">
        <v>0.91717939999999998</v>
      </c>
      <c r="K14" s="80">
        <v>0.320871562</v>
      </c>
      <c r="L14" s="80">
        <v>0</v>
      </c>
      <c r="M14" s="80">
        <v>0.2</v>
      </c>
      <c r="N14" s="80">
        <v>0</v>
      </c>
    </row>
    <row r="15" spans="1:46" ht="15" customHeight="1" x14ac:dyDescent="0.15">
      <c r="C15" s="80">
        <v>14</v>
      </c>
      <c r="D15"/>
      <c r="E15" s="177" t="s">
        <v>205</v>
      </c>
      <c r="F15" s="80">
        <v>0</v>
      </c>
      <c r="G15" s="80">
        <v>0.71834089999999995</v>
      </c>
      <c r="H15" s="80">
        <v>2.0968119999999999</v>
      </c>
      <c r="I15" s="80">
        <v>11.0298023</v>
      </c>
      <c r="J15" s="80">
        <v>0.86511683500000003</v>
      </c>
      <c r="K15" s="80">
        <v>0.19010423100000001</v>
      </c>
      <c r="L15" s="80">
        <v>0</v>
      </c>
      <c r="M15" s="80">
        <v>0.2</v>
      </c>
      <c r="N15" s="80">
        <v>0</v>
      </c>
    </row>
    <row r="16" spans="1:46" ht="15" customHeight="1" x14ac:dyDescent="0.15">
      <c r="C16" s="80">
        <v>15</v>
      </c>
      <c r="D16"/>
      <c r="E16" s="177" t="s">
        <v>206</v>
      </c>
      <c r="F16" s="80">
        <v>0</v>
      </c>
      <c r="G16" s="80">
        <v>0.72577440000000004</v>
      </c>
      <c r="H16" s="80">
        <v>2.1999084899999999</v>
      </c>
      <c r="I16" s="80">
        <v>6.03084373</v>
      </c>
      <c r="J16" s="80">
        <v>0.87796379999999996</v>
      </c>
      <c r="K16" s="80">
        <v>0.36477625400000002</v>
      </c>
      <c r="L16" s="80">
        <v>0</v>
      </c>
      <c r="M16" s="80">
        <v>0.2</v>
      </c>
      <c r="N16" s="80">
        <v>0</v>
      </c>
    </row>
    <row r="17" spans="1:22" ht="15" customHeight="1" x14ac:dyDescent="0.15">
      <c r="C17" s="80">
        <v>16</v>
      </c>
      <c r="D17"/>
      <c r="E17" s="177" t="s">
        <v>207</v>
      </c>
      <c r="F17" s="80">
        <v>0</v>
      </c>
      <c r="G17" s="80">
        <v>0.56087070000000006</v>
      </c>
      <c r="H17" s="80">
        <v>1.728151</v>
      </c>
      <c r="I17" s="80">
        <v>6.7396510000000003</v>
      </c>
      <c r="J17" s="80">
        <v>0.89892030000000001</v>
      </c>
      <c r="K17" s="80">
        <v>0.25641550000000002</v>
      </c>
      <c r="L17" s="80">
        <v>0</v>
      </c>
      <c r="M17" s="80">
        <v>0.2</v>
      </c>
      <c r="N17" s="80">
        <v>0</v>
      </c>
      <c r="V17" s="1" t="s">
        <v>30</v>
      </c>
    </row>
    <row r="18" spans="1:22" ht="15" customHeight="1" x14ac:dyDescent="0.15">
      <c r="C18" s="80">
        <v>17</v>
      </c>
      <c r="D18"/>
      <c r="E18" s="177" t="s">
        <v>208</v>
      </c>
      <c r="F18" s="80">
        <v>0</v>
      </c>
      <c r="G18" s="80">
        <v>0.83977985399999999</v>
      </c>
      <c r="H18" s="80">
        <v>0.103788696</v>
      </c>
      <c r="I18" s="80">
        <v>2.7884824300000002</v>
      </c>
      <c r="J18" s="80">
        <v>0.53372359999999996</v>
      </c>
      <c r="K18" s="80">
        <v>3.7220496700000001E-2</v>
      </c>
      <c r="L18" s="80">
        <v>0</v>
      </c>
      <c r="M18" s="80">
        <v>0.2</v>
      </c>
      <c r="N18" s="80">
        <v>0</v>
      </c>
      <c r="V18" s="1"/>
    </row>
    <row r="19" spans="1:22" ht="15" customHeight="1" x14ac:dyDescent="0.15">
      <c r="C19" s="80">
        <v>18</v>
      </c>
      <c r="D19"/>
      <c r="E19" s="177" t="s">
        <v>209</v>
      </c>
      <c r="F19" s="80">
        <v>0</v>
      </c>
      <c r="G19" s="80">
        <v>2.0037941899999998</v>
      </c>
      <c r="H19" s="80">
        <v>3.6358285000000001</v>
      </c>
      <c r="I19" s="80">
        <v>12.2809744</v>
      </c>
      <c r="J19" s="80">
        <v>0.8126544</v>
      </c>
      <c r="K19" s="80">
        <v>0.29605373699999998</v>
      </c>
      <c r="L19" s="80">
        <v>0</v>
      </c>
      <c r="M19" s="80">
        <v>0.2</v>
      </c>
      <c r="N19" s="80">
        <v>0</v>
      </c>
    </row>
    <row r="20" spans="1:22" ht="15" customHeight="1" thickBot="1" x14ac:dyDescent="0.2">
      <c r="C20" s="80">
        <v>19</v>
      </c>
      <c r="D20"/>
      <c r="E20" s="177" t="s">
        <v>210</v>
      </c>
      <c r="F20" s="80">
        <v>0</v>
      </c>
      <c r="G20" s="80">
        <v>10.476567299999999</v>
      </c>
      <c r="H20" s="80">
        <v>3.4844590000000002</v>
      </c>
      <c r="I20" s="80">
        <v>16.0299263</v>
      </c>
      <c r="J20" s="80">
        <v>0.91968536400000001</v>
      </c>
      <c r="K20" s="80">
        <v>0.21737210000000001</v>
      </c>
      <c r="L20" s="80">
        <v>0</v>
      </c>
      <c r="M20" s="80">
        <v>0.2</v>
      </c>
      <c r="N20" s="80">
        <v>0</v>
      </c>
    </row>
    <row r="21" spans="1:22" ht="15" customHeight="1" thickBot="1" x14ac:dyDescent="0.2">
      <c r="A21" s="46" t="s">
        <v>137</v>
      </c>
      <c r="B21" s="98"/>
      <c r="C21" s="80">
        <v>20</v>
      </c>
      <c r="D21"/>
      <c r="E21" s="177" t="s">
        <v>211</v>
      </c>
      <c r="F21" s="80">
        <v>0</v>
      </c>
      <c r="G21" s="80">
        <v>1.028559</v>
      </c>
      <c r="H21" s="80">
        <v>1.0200394399999999</v>
      </c>
      <c r="I21" s="80">
        <v>16.3880348</v>
      </c>
      <c r="J21" s="80">
        <v>0.95835495000000004</v>
      </c>
      <c r="K21" s="80">
        <v>6.2242939999999997E-2</v>
      </c>
      <c r="L21" s="80">
        <v>0</v>
      </c>
      <c r="M21" s="80">
        <v>0.2</v>
      </c>
      <c r="N21" s="80">
        <v>0</v>
      </c>
    </row>
    <row r="22" spans="1:22" ht="15" customHeight="1" x14ac:dyDescent="0.15">
      <c r="A22" s="99" t="s">
        <v>58</v>
      </c>
      <c r="B22" s="100">
        <v>0</v>
      </c>
      <c r="C22" s="80">
        <v>21</v>
      </c>
      <c r="D22"/>
      <c r="E22" s="177" t="s">
        <v>212</v>
      </c>
      <c r="F22" s="80">
        <v>0</v>
      </c>
      <c r="G22" s="80">
        <v>5.8266270000000002</v>
      </c>
      <c r="H22" s="80">
        <v>3.2587280000000001</v>
      </c>
      <c r="I22" s="80">
        <v>10.8357668</v>
      </c>
      <c r="J22" s="80">
        <v>0.88072806599999998</v>
      </c>
      <c r="K22" s="80">
        <v>0.30073810000000001</v>
      </c>
      <c r="L22" s="80">
        <v>0</v>
      </c>
      <c r="M22" s="80">
        <v>0.2</v>
      </c>
      <c r="N22" s="80">
        <v>0</v>
      </c>
    </row>
    <row r="23" spans="1:22" ht="15" customHeight="1" x14ac:dyDescent="0.15">
      <c r="A23" s="99" t="s">
        <v>59</v>
      </c>
      <c r="B23" s="100">
        <v>1</v>
      </c>
      <c r="C23" s="80">
        <v>22</v>
      </c>
      <c r="D23"/>
      <c r="E23" s="177" t="s">
        <v>213</v>
      </c>
      <c r="F23" s="80">
        <v>0</v>
      </c>
      <c r="G23" s="80">
        <v>0.71017634900000004</v>
      </c>
      <c r="H23" s="80">
        <v>3.1471779999999998</v>
      </c>
      <c r="I23" s="80">
        <v>11.045501700000001</v>
      </c>
      <c r="J23" s="80">
        <v>0.81489199999999995</v>
      </c>
      <c r="K23" s="80">
        <v>0.28492847100000002</v>
      </c>
      <c r="L23" s="80">
        <v>0</v>
      </c>
      <c r="M23" s="80">
        <v>0.2</v>
      </c>
      <c r="N23" s="80">
        <v>0</v>
      </c>
    </row>
    <row r="24" spans="1:22" ht="15" customHeight="1" x14ac:dyDescent="0.15">
      <c r="A24" s="99" t="s">
        <v>60</v>
      </c>
      <c r="B24" s="100">
        <v>2</v>
      </c>
      <c r="C24" s="80">
        <v>23</v>
      </c>
      <c r="D24"/>
      <c r="E24" s="177" t="s">
        <v>214</v>
      </c>
      <c r="F24" s="80">
        <v>0</v>
      </c>
      <c r="G24" s="80">
        <v>2.9592230000000002</v>
      </c>
      <c r="H24" s="80">
        <v>3.277406</v>
      </c>
      <c r="I24" s="80">
        <v>18.090250000000001</v>
      </c>
      <c r="J24" s="80">
        <v>0.90575740000000005</v>
      </c>
      <c r="K24" s="80">
        <v>0.18116974799999999</v>
      </c>
      <c r="L24" s="80">
        <v>0</v>
      </c>
      <c r="M24" s="80">
        <v>0.2</v>
      </c>
      <c r="N24" s="80">
        <v>0</v>
      </c>
    </row>
    <row r="25" spans="1:22" ht="15" customHeight="1" thickBot="1" x14ac:dyDescent="0.2">
      <c r="A25" s="101" t="s">
        <v>44</v>
      </c>
      <c r="B25" s="102">
        <v>3</v>
      </c>
      <c r="C25" s="80">
        <v>24</v>
      </c>
      <c r="D25"/>
      <c r="E25" s="177" t="s">
        <v>215</v>
      </c>
      <c r="F25" s="80">
        <v>0</v>
      </c>
      <c r="G25" s="80">
        <v>3.8463814300000001</v>
      </c>
      <c r="H25" s="80">
        <v>3.55702162</v>
      </c>
      <c r="I25" s="80">
        <v>15.711574600000001</v>
      </c>
      <c r="J25" s="80">
        <v>0.77296569999999998</v>
      </c>
      <c r="K25" s="80">
        <v>0.226394981</v>
      </c>
      <c r="L25" s="80">
        <v>0</v>
      </c>
      <c r="M25" s="80">
        <v>0.2</v>
      </c>
      <c r="N25" s="80">
        <v>0</v>
      </c>
    </row>
    <row r="26" spans="1:22" ht="15" customHeight="1" x14ac:dyDescent="0.15">
      <c r="A26" s="103" t="s">
        <v>140</v>
      </c>
      <c r="C26" s="80">
        <v>25</v>
      </c>
      <c r="D26"/>
      <c r="E26" s="177" t="s">
        <v>216</v>
      </c>
      <c r="F26" s="80">
        <v>0</v>
      </c>
      <c r="G26" s="80">
        <v>6.6797604599999998</v>
      </c>
      <c r="H26" s="80">
        <v>2.4423558700000001</v>
      </c>
      <c r="I26" s="80">
        <v>10.907819999999999</v>
      </c>
      <c r="J26" s="80">
        <v>0.64507099999999995</v>
      </c>
      <c r="K26" s="80">
        <v>0.22390870700000001</v>
      </c>
      <c r="L26" s="80">
        <v>0</v>
      </c>
      <c r="M26" s="80">
        <v>0.2</v>
      </c>
      <c r="N26" s="80">
        <v>0</v>
      </c>
    </row>
    <row r="27" spans="1:22" ht="15" customHeight="1" x14ac:dyDescent="0.15">
      <c r="C27" s="80">
        <v>26</v>
      </c>
      <c r="D27"/>
      <c r="E27" s="177" t="s">
        <v>217</v>
      </c>
      <c r="F27" s="80">
        <v>0</v>
      </c>
      <c r="G27" s="80">
        <v>8.2276740000000004</v>
      </c>
      <c r="H27" s="80">
        <v>0.94769024800000001</v>
      </c>
      <c r="I27" s="80">
        <v>3.1838571999999998</v>
      </c>
      <c r="J27" s="80">
        <v>0.90116286300000004</v>
      </c>
      <c r="K27" s="80">
        <v>0.29765474800000002</v>
      </c>
      <c r="L27" s="80">
        <v>0</v>
      </c>
      <c r="M27" s="80">
        <v>0.2</v>
      </c>
      <c r="N27" s="80">
        <v>0</v>
      </c>
    </row>
    <row r="28" spans="1:22" ht="15" customHeight="1" x14ac:dyDescent="0.15">
      <c r="C28" s="80">
        <v>27</v>
      </c>
      <c r="D28"/>
      <c r="E28" s="177" t="s">
        <v>218</v>
      </c>
      <c r="F28" s="80">
        <v>0</v>
      </c>
      <c r="G28" s="80">
        <v>4.2895216899999999</v>
      </c>
      <c r="H28" s="80">
        <v>1.8455432700000001</v>
      </c>
      <c r="I28" s="80">
        <v>4.7354316699999996</v>
      </c>
      <c r="J28" s="80">
        <v>0.73191863300000004</v>
      </c>
      <c r="K28" s="80">
        <v>0.38973072199999997</v>
      </c>
      <c r="L28" s="80">
        <v>0</v>
      </c>
      <c r="M28" s="80">
        <v>0.2</v>
      </c>
      <c r="N28" s="80">
        <v>0</v>
      </c>
    </row>
    <row r="29" spans="1:22" customFormat="1" ht="15" customHeight="1" x14ac:dyDescent="0.15">
      <c r="C29" s="80">
        <v>28</v>
      </c>
      <c r="E29" s="177" t="s">
        <v>219</v>
      </c>
      <c r="F29" s="80">
        <v>0</v>
      </c>
      <c r="G29" s="80">
        <v>3.7229793099999999</v>
      </c>
      <c r="H29" s="80">
        <v>1.14468825</v>
      </c>
      <c r="I29" s="80">
        <v>7.9285817099999996</v>
      </c>
      <c r="J29" s="80">
        <v>0.94606469999999998</v>
      </c>
      <c r="K29" s="80">
        <v>0.1443749</v>
      </c>
      <c r="L29" s="80">
        <v>0</v>
      </c>
      <c r="M29" s="80">
        <v>0.2</v>
      </c>
      <c r="N29" s="80">
        <v>0</v>
      </c>
    </row>
    <row r="30" spans="1:22" customFormat="1" ht="15" customHeight="1" x14ac:dyDescent="0.15">
      <c r="C30" s="80">
        <v>29</v>
      </c>
      <c r="E30" s="177" t="s">
        <v>220</v>
      </c>
      <c r="F30" s="80">
        <v>0</v>
      </c>
      <c r="G30" s="80">
        <v>1.2049509300000001</v>
      </c>
      <c r="H30" s="80">
        <v>3.1080946900000002</v>
      </c>
      <c r="I30" s="80">
        <v>9.1326199999999993</v>
      </c>
      <c r="J30" s="80">
        <v>0.85243630000000004</v>
      </c>
      <c r="K30" s="80">
        <v>0.34032893199999997</v>
      </c>
      <c r="L30" s="80">
        <v>0</v>
      </c>
      <c r="M30" s="80">
        <v>0.2</v>
      </c>
      <c r="N30" s="80">
        <v>0</v>
      </c>
    </row>
    <row r="31" spans="1:22" customFormat="1" ht="15" customHeight="1" x14ac:dyDescent="0.15">
      <c r="C31" s="80">
        <v>30</v>
      </c>
      <c r="E31" s="177" t="s">
        <v>221</v>
      </c>
      <c r="F31" s="80">
        <v>0</v>
      </c>
      <c r="G31" s="80">
        <v>0.81405989999999995</v>
      </c>
      <c r="H31" s="80">
        <v>2.3023739999999999</v>
      </c>
      <c r="I31" s="80">
        <v>8.591215</v>
      </c>
      <c r="J31" s="80">
        <v>0.87746080000000004</v>
      </c>
      <c r="K31" s="80">
        <v>0.26799163199999998</v>
      </c>
      <c r="L31" s="80">
        <v>0</v>
      </c>
      <c r="M31" s="80">
        <v>0.2</v>
      </c>
      <c r="N31" s="80">
        <v>0</v>
      </c>
    </row>
    <row r="32" spans="1:22" customFormat="1" ht="15" customHeight="1" x14ac:dyDescent="0.15">
      <c r="C32" s="80">
        <v>31</v>
      </c>
      <c r="E32" s="177" t="s">
        <v>222</v>
      </c>
      <c r="F32" s="80">
        <v>0</v>
      </c>
      <c r="G32" s="80">
        <v>1.00495</v>
      </c>
      <c r="H32" s="80">
        <v>5.4833197599999997</v>
      </c>
      <c r="I32" s="80">
        <v>21.058696699999999</v>
      </c>
      <c r="J32" s="80">
        <v>0.98631259999999998</v>
      </c>
      <c r="K32" s="80">
        <v>0.26038268199999998</v>
      </c>
      <c r="L32" s="80">
        <v>0</v>
      </c>
      <c r="M32" s="80">
        <v>0.2</v>
      </c>
      <c r="N32" s="80">
        <v>0</v>
      </c>
    </row>
    <row r="33" spans="3:14" customFormat="1" ht="15" customHeight="1" x14ac:dyDescent="0.15">
      <c r="C33" s="80">
        <v>32</v>
      </c>
      <c r="E33" s="177" t="s">
        <v>223</v>
      </c>
      <c r="F33" s="80">
        <v>0</v>
      </c>
      <c r="G33" s="80">
        <v>6.3060202600000004</v>
      </c>
      <c r="H33" s="80">
        <v>6.0995499999999998</v>
      </c>
      <c r="I33" s="80">
        <v>25.0928459</v>
      </c>
      <c r="J33" s="80">
        <v>0.75002990000000003</v>
      </c>
      <c r="K33" s="80">
        <v>0.24307923000000001</v>
      </c>
      <c r="L33" s="80">
        <v>0</v>
      </c>
      <c r="M33" s="80">
        <v>0.2</v>
      </c>
      <c r="N33" s="80">
        <v>0</v>
      </c>
    </row>
    <row r="34" spans="3:14" customFormat="1" ht="15" customHeight="1" x14ac:dyDescent="0.15">
      <c r="C34" s="80">
        <v>33</v>
      </c>
      <c r="E34" s="177" t="s">
        <v>224</v>
      </c>
      <c r="F34" s="80">
        <v>0</v>
      </c>
      <c r="G34" s="80">
        <v>6.7597475100000004</v>
      </c>
      <c r="H34" s="80">
        <v>1.27634406</v>
      </c>
      <c r="I34" s="80">
        <v>6.6115180000000002</v>
      </c>
      <c r="J34" s="80">
        <v>0.89267070000000004</v>
      </c>
      <c r="K34" s="80">
        <v>0.193048567</v>
      </c>
      <c r="L34" s="80">
        <v>0</v>
      </c>
      <c r="M34" s="80">
        <v>0.2</v>
      </c>
      <c r="N34" s="80">
        <v>0</v>
      </c>
    </row>
    <row r="35" spans="3:14" customFormat="1" ht="15" customHeight="1" x14ac:dyDescent="0.15">
      <c r="C35" s="80">
        <v>34</v>
      </c>
      <c r="E35" s="177" t="s">
        <v>225</v>
      </c>
      <c r="F35" s="80">
        <v>0</v>
      </c>
      <c r="G35" s="80">
        <v>25.3970032</v>
      </c>
      <c r="H35" s="80">
        <v>19.053899999999999</v>
      </c>
      <c r="I35" s="80">
        <v>86.506349999999998</v>
      </c>
      <c r="J35" s="80">
        <v>0.83886919999999998</v>
      </c>
      <c r="K35" s="80">
        <v>0.220260128</v>
      </c>
      <c r="L35" s="80">
        <v>0</v>
      </c>
      <c r="M35" s="80">
        <v>0.2</v>
      </c>
      <c r="N35" s="80">
        <v>0</v>
      </c>
    </row>
    <row r="36" spans="3:14" customFormat="1" ht="15" customHeight="1" x14ac:dyDescent="0.15">
      <c r="C36" s="80">
        <v>35</v>
      </c>
      <c r="E36" s="177" t="s">
        <v>226</v>
      </c>
      <c r="F36" s="80">
        <v>1</v>
      </c>
      <c r="G36" s="80">
        <v>124.624</v>
      </c>
      <c r="H36" s="80">
        <v>21.350999999999999</v>
      </c>
      <c r="I36" s="80">
        <v>0</v>
      </c>
      <c r="J36" s="80">
        <v>0.67352380000000001</v>
      </c>
      <c r="K36" s="80">
        <v>0</v>
      </c>
      <c r="L36" s="80">
        <v>0</v>
      </c>
      <c r="M36" s="80">
        <v>0</v>
      </c>
      <c r="N36" s="80">
        <v>0</v>
      </c>
    </row>
    <row r="37" spans="3:14" customFormat="1" ht="15" customHeight="1" x14ac:dyDescent="0.15">
      <c r="C37" s="80">
        <v>36</v>
      </c>
      <c r="E37" s="177" t="s">
        <v>227</v>
      </c>
      <c r="F37" s="80">
        <v>1</v>
      </c>
      <c r="G37" s="80">
        <v>109.321259</v>
      </c>
      <c r="H37" s="80">
        <v>7.6115555800000001</v>
      </c>
      <c r="I37" s="80">
        <v>0</v>
      </c>
      <c r="J37" s="80">
        <v>0.147978783</v>
      </c>
      <c r="K37" s="80">
        <v>0</v>
      </c>
      <c r="L37" s="80">
        <v>0</v>
      </c>
      <c r="M37" s="80">
        <v>0</v>
      </c>
      <c r="N37" s="80">
        <v>0</v>
      </c>
    </row>
    <row r="38" spans="3:14" customFormat="1" ht="15" customHeight="1" x14ac:dyDescent="0.15">
      <c r="C38" s="80">
        <v>37</v>
      </c>
      <c r="E38" s="177" t="s">
        <v>228</v>
      </c>
      <c r="F38" s="80">
        <v>2</v>
      </c>
      <c r="G38" s="80">
        <v>4.1185</v>
      </c>
      <c r="H38" s="80">
        <v>0</v>
      </c>
      <c r="I38" s="80">
        <v>0</v>
      </c>
      <c r="J38" s="80">
        <v>0.26661732799999999</v>
      </c>
      <c r="K38" s="80">
        <v>0</v>
      </c>
      <c r="L38" s="80">
        <v>0</v>
      </c>
      <c r="M38" s="80">
        <v>0</v>
      </c>
      <c r="N38" s="80">
        <v>1.0000000000000001E-30</v>
      </c>
    </row>
    <row r="39" spans="3:14" customFormat="1" ht="15" customHeight="1" x14ac:dyDescent="0.15">
      <c r="C39" s="80">
        <v>38</v>
      </c>
      <c r="E39" s="177" t="s">
        <v>229</v>
      </c>
      <c r="F39" s="80">
        <v>2</v>
      </c>
      <c r="G39" s="80">
        <v>5</v>
      </c>
      <c r="H39" s="80">
        <v>0</v>
      </c>
      <c r="I39" s="80">
        <v>0</v>
      </c>
      <c r="J39" s="80">
        <v>0</v>
      </c>
      <c r="K39" s="80">
        <v>0</v>
      </c>
      <c r="L39" s="80">
        <v>0</v>
      </c>
      <c r="M39" s="80">
        <v>0</v>
      </c>
      <c r="N39" s="80">
        <v>0</v>
      </c>
    </row>
    <row r="40" spans="3:14" customFormat="1" ht="15" customHeight="1" x14ac:dyDescent="0.15">
      <c r="C40" s="80">
        <v>39</v>
      </c>
      <c r="E40" s="177" t="s">
        <v>230</v>
      </c>
      <c r="F40" s="80">
        <v>3</v>
      </c>
      <c r="G40" s="80">
        <v>0</v>
      </c>
      <c r="H40" s="80">
        <v>0</v>
      </c>
      <c r="I40" s="80">
        <v>0</v>
      </c>
      <c r="J40" s="80">
        <v>0</v>
      </c>
      <c r="K40" s="80">
        <v>0</v>
      </c>
      <c r="L40" s="80">
        <v>0</v>
      </c>
      <c r="M40" s="80">
        <v>0</v>
      </c>
      <c r="N40" s="80">
        <v>0</v>
      </c>
    </row>
    <row r="41" spans="3:14" customFormat="1" ht="15" customHeight="1" x14ac:dyDescent="0.15">
      <c r="C41" s="80">
        <v>40</v>
      </c>
      <c r="E41" s="177" t="s">
        <v>231</v>
      </c>
      <c r="F41" s="80">
        <v>3</v>
      </c>
      <c r="G41" s="80">
        <v>0</v>
      </c>
      <c r="H41" s="80">
        <v>0</v>
      </c>
      <c r="I41" s="80">
        <v>0</v>
      </c>
      <c r="J41" s="80">
        <v>0</v>
      </c>
      <c r="K41" s="80">
        <v>0</v>
      </c>
      <c r="L41" s="80">
        <v>0</v>
      </c>
      <c r="M41" s="80">
        <v>0</v>
      </c>
      <c r="N41" s="80">
        <v>0</v>
      </c>
    </row>
    <row r="42" spans="3:14" customFormat="1" ht="15" customHeight="1" x14ac:dyDescent="0.15"/>
    <row r="43" spans="3:14" customFormat="1" ht="15" customHeight="1" x14ac:dyDescent="0.15"/>
    <row r="44" spans="3:14" customFormat="1" ht="15" customHeight="1" x14ac:dyDescent="0.15"/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M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42" bestFit="1" customWidth="1"/>
    <col min="2" max="2" width="15.83203125" style="142" bestFit="1" customWidth="1"/>
    <col min="3" max="5" width="14.83203125" style="142" bestFit="1" customWidth="1"/>
    <col min="6" max="6" width="15.5" style="142" bestFit="1" customWidth="1"/>
    <col min="7" max="7" width="14.83203125" style="142" bestFit="1" customWidth="1"/>
    <col min="8" max="8" width="15.5" style="142" bestFit="1" customWidth="1"/>
    <col min="9" max="10" width="15.83203125" style="142" bestFit="1" customWidth="1"/>
    <col min="11" max="11" width="13.83203125" style="142" bestFit="1" customWidth="1"/>
    <col min="12" max="12" width="15.83203125" style="142" bestFit="1" customWidth="1"/>
    <col min="13" max="13" width="14.83203125" style="142" bestFit="1" customWidth="1"/>
    <col min="14" max="14" width="15.83203125" style="142" bestFit="1" customWidth="1"/>
    <col min="15" max="16" width="13.83203125" style="142" bestFit="1" customWidth="1"/>
    <col min="17" max="17" width="14.83203125" style="142" bestFit="1" customWidth="1"/>
    <col min="18" max="18" width="15.83203125" style="142" bestFit="1" customWidth="1"/>
    <col min="19" max="21" width="14.83203125" style="142" bestFit="1" customWidth="1"/>
    <col min="22" max="22" width="15.83203125" style="142" bestFit="1" customWidth="1"/>
    <col min="23" max="23" width="13.83203125" style="142" bestFit="1" customWidth="1"/>
    <col min="24" max="24" width="14.83203125" style="142" bestFit="1" customWidth="1"/>
    <col min="25" max="26" width="9.83203125" style="142" bestFit="1" customWidth="1"/>
    <col min="27" max="27" width="14.83203125" style="142" bestFit="1" customWidth="1"/>
    <col min="28" max="29" width="13.83203125" style="142" bestFit="1" customWidth="1"/>
    <col min="30" max="30" width="14.83203125" style="142" customWidth="1"/>
    <col min="31" max="31" width="13.83203125" style="142" customWidth="1"/>
    <col min="32" max="33" width="15.83203125" style="142" customWidth="1"/>
    <col min="34" max="34" width="14.83203125" style="142" customWidth="1"/>
    <col min="35" max="35" width="15.83203125" style="142" customWidth="1"/>
    <col min="36" max="39" width="2.33203125" style="142" customWidth="1"/>
    <col min="40" max="16384" width="8.83203125" style="142"/>
  </cols>
  <sheetData>
    <row r="1" spans="1:39" x14ac:dyDescent="0.15">
      <c r="A1" s="141" t="s">
        <v>19</v>
      </c>
      <c r="B1" s="179" t="s">
        <v>192</v>
      </c>
      <c r="C1" s="179" t="s">
        <v>193</v>
      </c>
      <c r="D1" s="179" t="s">
        <v>194</v>
      </c>
      <c r="E1" s="179" t="s">
        <v>195</v>
      </c>
      <c r="F1" s="179" t="s">
        <v>196</v>
      </c>
      <c r="G1" s="179" t="s">
        <v>197</v>
      </c>
      <c r="H1" s="179" t="s">
        <v>198</v>
      </c>
      <c r="I1" s="179" t="s">
        <v>199</v>
      </c>
      <c r="J1" s="179" t="s">
        <v>200</v>
      </c>
      <c r="K1" s="179" t="s">
        <v>201</v>
      </c>
      <c r="L1" s="179" t="s">
        <v>202</v>
      </c>
      <c r="M1" s="179" t="s">
        <v>203</v>
      </c>
      <c r="N1" s="179" t="s">
        <v>204</v>
      </c>
      <c r="O1" s="179" t="s">
        <v>205</v>
      </c>
      <c r="P1" s="179" t="s">
        <v>206</v>
      </c>
      <c r="Q1" s="179" t="s">
        <v>207</v>
      </c>
      <c r="R1" s="179" t="s">
        <v>208</v>
      </c>
      <c r="S1" s="179" t="s">
        <v>209</v>
      </c>
      <c r="T1" s="179" t="s">
        <v>210</v>
      </c>
      <c r="U1" s="179" t="s">
        <v>211</v>
      </c>
      <c r="V1" s="179" t="s">
        <v>212</v>
      </c>
      <c r="W1" s="179" t="s">
        <v>213</v>
      </c>
      <c r="X1" s="179" t="s">
        <v>214</v>
      </c>
      <c r="Y1" s="179" t="s">
        <v>215</v>
      </c>
      <c r="Z1" s="179" t="s">
        <v>216</v>
      </c>
      <c r="AA1" s="179" t="s">
        <v>217</v>
      </c>
      <c r="AB1" s="179" t="s">
        <v>218</v>
      </c>
      <c r="AC1" s="179" t="s">
        <v>219</v>
      </c>
      <c r="AD1" s="179" t="s">
        <v>220</v>
      </c>
      <c r="AE1" s="179" t="s">
        <v>221</v>
      </c>
      <c r="AF1" s="179" t="s">
        <v>222</v>
      </c>
      <c r="AG1" s="179" t="s">
        <v>223</v>
      </c>
      <c r="AH1" s="179" t="s">
        <v>224</v>
      </c>
      <c r="AI1" s="179" t="s">
        <v>225</v>
      </c>
      <c r="AJ1" s="179" t="s">
        <v>226</v>
      </c>
      <c r="AK1" s="179" t="s">
        <v>227</v>
      </c>
      <c r="AL1" s="179" t="s">
        <v>228</v>
      </c>
      <c r="AM1" s="179" t="s">
        <v>229</v>
      </c>
    </row>
    <row r="2" spans="1:39" customFormat="1" x14ac:dyDescent="0.15">
      <c r="A2" s="178" t="s">
        <v>192</v>
      </c>
      <c r="B2" s="142">
        <v>0</v>
      </c>
      <c r="C2" s="142">
        <v>0</v>
      </c>
      <c r="D2" s="142">
        <v>0</v>
      </c>
      <c r="E2" s="142">
        <v>0</v>
      </c>
      <c r="F2" s="142">
        <v>0</v>
      </c>
      <c r="G2" s="142">
        <v>0</v>
      </c>
      <c r="H2" s="142">
        <v>0</v>
      </c>
      <c r="I2" s="142">
        <v>0</v>
      </c>
      <c r="J2" s="142">
        <v>0</v>
      </c>
      <c r="K2" s="142">
        <v>0</v>
      </c>
      <c r="L2" s="142">
        <v>0</v>
      </c>
      <c r="M2" s="142">
        <v>0</v>
      </c>
      <c r="N2" s="142">
        <v>1.0909918483521333E-3</v>
      </c>
      <c r="O2" s="142">
        <v>0</v>
      </c>
      <c r="P2" s="142">
        <v>0</v>
      </c>
      <c r="Q2" s="142">
        <v>0</v>
      </c>
      <c r="R2" s="142">
        <v>0</v>
      </c>
      <c r="S2" s="142">
        <v>0</v>
      </c>
      <c r="T2" s="142">
        <v>0</v>
      </c>
      <c r="U2" s="142">
        <v>0</v>
      </c>
      <c r="V2" s="142">
        <v>0</v>
      </c>
      <c r="W2" s="142">
        <v>0</v>
      </c>
      <c r="X2" s="142">
        <v>0</v>
      </c>
      <c r="Y2" s="142">
        <v>0</v>
      </c>
      <c r="Z2" s="142">
        <v>0</v>
      </c>
      <c r="AA2" s="142">
        <v>0</v>
      </c>
      <c r="AB2" s="142">
        <v>0</v>
      </c>
      <c r="AC2" s="142">
        <v>0</v>
      </c>
      <c r="AD2" s="142">
        <v>0</v>
      </c>
      <c r="AE2" s="142">
        <v>0</v>
      </c>
      <c r="AF2" s="142">
        <v>0</v>
      </c>
      <c r="AG2" s="142">
        <v>0</v>
      </c>
      <c r="AH2" s="142">
        <v>0</v>
      </c>
      <c r="AI2" s="142">
        <v>0</v>
      </c>
      <c r="AJ2" s="142">
        <v>0</v>
      </c>
      <c r="AK2" s="142">
        <v>0</v>
      </c>
      <c r="AL2" s="142">
        <v>0</v>
      </c>
      <c r="AM2" s="142">
        <v>0</v>
      </c>
    </row>
    <row r="3" spans="1:39" customFormat="1" x14ac:dyDescent="0.15">
      <c r="A3" s="178" t="s">
        <v>193</v>
      </c>
      <c r="B3" s="142">
        <v>0</v>
      </c>
      <c r="C3" s="142">
        <v>0</v>
      </c>
      <c r="D3" s="142">
        <v>0</v>
      </c>
      <c r="E3" s="142">
        <v>4.4500459866498615E-2</v>
      </c>
      <c r="F3" s="142">
        <v>0</v>
      </c>
      <c r="G3" s="142">
        <v>4.5969228942707725E-2</v>
      </c>
      <c r="H3" s="142">
        <v>0</v>
      </c>
      <c r="I3" s="142">
        <v>6.0255258148958464E-3</v>
      </c>
      <c r="J3" s="142">
        <v>0</v>
      </c>
      <c r="K3" s="142">
        <v>0</v>
      </c>
      <c r="L3" s="142">
        <v>0</v>
      </c>
      <c r="M3" s="142">
        <v>0</v>
      </c>
      <c r="N3" s="142">
        <v>0</v>
      </c>
      <c r="O3" s="142">
        <v>0</v>
      </c>
      <c r="P3" s="142">
        <v>0</v>
      </c>
      <c r="Q3" s="142">
        <v>0</v>
      </c>
      <c r="R3" s="142">
        <v>0</v>
      </c>
      <c r="S3" s="142">
        <v>0</v>
      </c>
      <c r="T3" s="142">
        <v>0</v>
      </c>
      <c r="U3" s="142">
        <v>0</v>
      </c>
      <c r="V3" s="142">
        <v>0</v>
      </c>
      <c r="W3" s="142">
        <v>0</v>
      </c>
      <c r="X3" s="142">
        <v>0</v>
      </c>
      <c r="Y3" s="142">
        <v>0</v>
      </c>
      <c r="Z3" s="142">
        <v>0</v>
      </c>
      <c r="AA3" s="142">
        <v>0</v>
      </c>
      <c r="AB3" s="142">
        <v>0</v>
      </c>
      <c r="AC3" s="142">
        <v>0</v>
      </c>
      <c r="AD3" s="142">
        <v>0</v>
      </c>
      <c r="AE3" s="142">
        <v>0</v>
      </c>
      <c r="AF3" s="142">
        <v>0</v>
      </c>
      <c r="AG3" s="142">
        <v>0</v>
      </c>
      <c r="AH3" s="142">
        <v>0</v>
      </c>
      <c r="AI3" s="142">
        <v>0</v>
      </c>
      <c r="AJ3" s="142">
        <v>0</v>
      </c>
      <c r="AK3" s="142">
        <v>0</v>
      </c>
      <c r="AL3" s="142">
        <v>0</v>
      </c>
      <c r="AM3" s="142">
        <v>0</v>
      </c>
    </row>
    <row r="4" spans="1:39" customFormat="1" x14ac:dyDescent="0.15">
      <c r="A4" s="178" t="s">
        <v>194</v>
      </c>
      <c r="B4" s="142">
        <v>0</v>
      </c>
      <c r="C4" s="142">
        <v>3.9137290039137289E-2</v>
      </c>
      <c r="D4" s="142">
        <v>1.3616989169363661E-2</v>
      </c>
      <c r="E4" s="142">
        <v>0</v>
      </c>
      <c r="F4" s="142">
        <v>0</v>
      </c>
      <c r="G4" s="142">
        <v>6.3773208533216197E-3</v>
      </c>
      <c r="H4" s="142">
        <v>0</v>
      </c>
      <c r="I4" s="142">
        <v>1.9162859411316957E-2</v>
      </c>
      <c r="J4" s="142">
        <v>0</v>
      </c>
      <c r="K4" s="142">
        <v>0</v>
      </c>
      <c r="L4" s="142">
        <v>0</v>
      </c>
      <c r="M4" s="142">
        <v>0</v>
      </c>
      <c r="N4" s="142">
        <v>0</v>
      </c>
      <c r="O4" s="142">
        <v>0</v>
      </c>
      <c r="P4" s="142">
        <v>0</v>
      </c>
      <c r="Q4" s="142">
        <v>0</v>
      </c>
      <c r="R4" s="142">
        <v>0</v>
      </c>
      <c r="S4" s="142">
        <v>0</v>
      </c>
      <c r="T4" s="142">
        <v>0</v>
      </c>
      <c r="U4" s="142">
        <v>0</v>
      </c>
      <c r="V4" s="142">
        <v>1.9345852307960182E-2</v>
      </c>
      <c r="W4" s="142">
        <v>0</v>
      </c>
      <c r="X4" s="142">
        <v>0</v>
      </c>
      <c r="Y4" s="142">
        <v>0</v>
      </c>
      <c r="Z4" s="142">
        <v>0</v>
      </c>
      <c r="AA4" s="142">
        <v>0</v>
      </c>
      <c r="AB4" s="142">
        <v>0</v>
      </c>
      <c r="AC4" s="142">
        <v>0</v>
      </c>
      <c r="AD4" s="142">
        <v>0</v>
      </c>
      <c r="AE4" s="142">
        <v>0</v>
      </c>
      <c r="AF4" s="142">
        <v>0</v>
      </c>
      <c r="AG4" s="142">
        <v>0</v>
      </c>
      <c r="AH4" s="142">
        <v>0</v>
      </c>
      <c r="AI4" s="142">
        <v>0</v>
      </c>
      <c r="AJ4" s="142">
        <v>0</v>
      </c>
      <c r="AK4" s="142">
        <v>0</v>
      </c>
      <c r="AL4" s="142">
        <v>0</v>
      </c>
      <c r="AM4" s="142">
        <v>0</v>
      </c>
    </row>
    <row r="5" spans="1:39" customFormat="1" x14ac:dyDescent="0.15">
      <c r="A5" s="178" t="s">
        <v>195</v>
      </c>
      <c r="B5" s="142">
        <v>0</v>
      </c>
      <c r="C5" s="142">
        <v>8.7262590087262601E-2</v>
      </c>
      <c r="D5" s="142">
        <v>0</v>
      </c>
      <c r="E5" s="142">
        <v>0</v>
      </c>
      <c r="F5" s="142">
        <v>1.5773969382606834E-2</v>
      </c>
      <c r="G5" s="142">
        <v>0</v>
      </c>
      <c r="H5" s="142">
        <v>0</v>
      </c>
      <c r="I5" s="142">
        <v>0</v>
      </c>
      <c r="J5" s="142">
        <v>0</v>
      </c>
      <c r="K5" s="142">
        <v>0</v>
      </c>
      <c r="L5" s="142">
        <v>0</v>
      </c>
      <c r="M5" s="142">
        <v>0</v>
      </c>
      <c r="N5" s="142">
        <v>0</v>
      </c>
      <c r="O5" s="142">
        <v>0</v>
      </c>
      <c r="P5" s="142">
        <v>0</v>
      </c>
      <c r="Q5" s="142">
        <v>0</v>
      </c>
      <c r="R5" s="142">
        <v>0</v>
      </c>
      <c r="S5" s="142">
        <v>0</v>
      </c>
      <c r="T5" s="142">
        <v>0</v>
      </c>
      <c r="U5" s="142">
        <v>0</v>
      </c>
      <c r="V5" s="142">
        <v>0</v>
      </c>
      <c r="W5" s="142">
        <v>0</v>
      </c>
      <c r="X5" s="142">
        <v>0</v>
      </c>
      <c r="Y5" s="142">
        <v>0</v>
      </c>
      <c r="Z5" s="142">
        <v>0</v>
      </c>
      <c r="AA5" s="142">
        <v>0</v>
      </c>
      <c r="AB5" s="142">
        <v>0</v>
      </c>
      <c r="AC5" s="142">
        <v>0</v>
      </c>
      <c r="AD5" s="142">
        <v>0</v>
      </c>
      <c r="AE5" s="142">
        <v>0</v>
      </c>
      <c r="AF5" s="142">
        <v>0</v>
      </c>
      <c r="AG5" s="142">
        <v>0</v>
      </c>
      <c r="AH5" s="142">
        <v>0</v>
      </c>
      <c r="AI5" s="142">
        <v>0</v>
      </c>
      <c r="AJ5" s="142">
        <v>0</v>
      </c>
      <c r="AK5" s="142">
        <v>0</v>
      </c>
      <c r="AL5" s="142">
        <v>0</v>
      </c>
      <c r="AM5" s="142">
        <v>0</v>
      </c>
    </row>
    <row r="6" spans="1:39" customFormat="1" x14ac:dyDescent="0.15">
      <c r="A6" s="178" t="s">
        <v>196</v>
      </c>
      <c r="B6" s="142">
        <v>0</v>
      </c>
      <c r="C6" s="142">
        <v>0</v>
      </c>
      <c r="D6" s="142">
        <v>2.3845738545409952E-2</v>
      </c>
      <c r="E6" s="142">
        <v>0</v>
      </c>
      <c r="F6" s="142">
        <v>0</v>
      </c>
      <c r="G6" s="142">
        <v>0</v>
      </c>
      <c r="H6" s="142">
        <v>0</v>
      </c>
      <c r="I6" s="142">
        <v>0</v>
      </c>
      <c r="J6" s="142">
        <v>0</v>
      </c>
      <c r="K6" s="142">
        <v>0</v>
      </c>
      <c r="L6" s="142">
        <v>0</v>
      </c>
      <c r="M6" s="142">
        <v>0</v>
      </c>
      <c r="N6" s="142">
        <v>0</v>
      </c>
      <c r="O6" s="142">
        <v>0</v>
      </c>
      <c r="P6" s="142">
        <v>0</v>
      </c>
      <c r="Q6" s="142">
        <v>0</v>
      </c>
      <c r="R6" s="142">
        <v>0</v>
      </c>
      <c r="S6" s="142">
        <v>0</v>
      </c>
      <c r="T6" s="142">
        <v>0</v>
      </c>
      <c r="U6" s="142">
        <v>0</v>
      </c>
      <c r="V6" s="142">
        <v>0</v>
      </c>
      <c r="W6" s="142">
        <v>0</v>
      </c>
      <c r="X6" s="142">
        <v>0</v>
      </c>
      <c r="Y6" s="142">
        <v>0</v>
      </c>
      <c r="Z6" s="142">
        <v>0</v>
      </c>
      <c r="AA6" s="142">
        <v>0</v>
      </c>
      <c r="AB6" s="142">
        <v>0</v>
      </c>
      <c r="AC6" s="142">
        <v>0</v>
      </c>
      <c r="AD6" s="142">
        <v>0</v>
      </c>
      <c r="AE6" s="142">
        <v>0</v>
      </c>
      <c r="AF6" s="142">
        <v>0</v>
      </c>
      <c r="AG6" s="142">
        <v>0</v>
      </c>
      <c r="AH6" s="142">
        <v>0</v>
      </c>
      <c r="AI6" s="142">
        <v>0</v>
      </c>
      <c r="AJ6" s="142">
        <v>0</v>
      </c>
      <c r="AK6" s="142">
        <v>0</v>
      </c>
      <c r="AL6" s="142">
        <v>0</v>
      </c>
      <c r="AM6" s="142">
        <v>0</v>
      </c>
    </row>
    <row r="7" spans="1:39" customFormat="1" x14ac:dyDescent="0.15">
      <c r="A7" s="178" t="s">
        <v>197</v>
      </c>
      <c r="B7" s="142">
        <v>0</v>
      </c>
      <c r="C7" s="142">
        <v>2.0847200020847202E-2</v>
      </c>
      <c r="D7" s="142">
        <v>0</v>
      </c>
      <c r="E7" s="142">
        <v>0</v>
      </c>
      <c r="F7" s="142">
        <v>0</v>
      </c>
      <c r="G7" s="142">
        <v>0.10203499765319504</v>
      </c>
      <c r="H7" s="142">
        <v>0</v>
      </c>
      <c r="I7" s="142">
        <v>0</v>
      </c>
      <c r="J7" s="142">
        <v>0</v>
      </c>
      <c r="K7" s="142">
        <v>0</v>
      </c>
      <c r="L7" s="142">
        <v>0</v>
      </c>
      <c r="M7" s="142">
        <v>7.7338435127678573E-2</v>
      </c>
      <c r="N7" s="142">
        <v>0</v>
      </c>
      <c r="O7" s="142">
        <v>0</v>
      </c>
      <c r="P7" s="142">
        <v>0</v>
      </c>
      <c r="Q7" s="142">
        <v>0.30772903354246461</v>
      </c>
      <c r="R7" s="142">
        <v>0</v>
      </c>
      <c r="S7" s="142">
        <v>0</v>
      </c>
      <c r="T7" s="142">
        <v>0</v>
      </c>
      <c r="U7" s="142">
        <v>0</v>
      </c>
      <c r="V7" s="142">
        <v>0</v>
      </c>
      <c r="W7" s="142">
        <v>0</v>
      </c>
      <c r="X7" s="142">
        <v>0</v>
      </c>
      <c r="Y7" s="142">
        <v>0</v>
      </c>
      <c r="Z7" s="142">
        <v>0</v>
      </c>
      <c r="AA7" s="142">
        <v>0</v>
      </c>
      <c r="AB7" s="142">
        <v>0</v>
      </c>
      <c r="AC7" s="142">
        <v>0</v>
      </c>
      <c r="AD7" s="142">
        <v>0</v>
      </c>
      <c r="AE7" s="142">
        <v>0</v>
      </c>
      <c r="AF7" s="142">
        <v>0</v>
      </c>
      <c r="AG7" s="142">
        <v>0</v>
      </c>
      <c r="AH7" s="142">
        <v>0</v>
      </c>
      <c r="AI7" s="142">
        <v>0</v>
      </c>
      <c r="AJ7" s="142">
        <v>0</v>
      </c>
      <c r="AK7" s="142">
        <v>0</v>
      </c>
      <c r="AL7" s="142">
        <v>0</v>
      </c>
      <c r="AM7" s="142">
        <v>0</v>
      </c>
    </row>
    <row r="8" spans="1:39" customFormat="1" x14ac:dyDescent="0.15">
      <c r="A8" s="178" t="s">
        <v>198</v>
      </c>
      <c r="B8" s="142">
        <v>0</v>
      </c>
      <c r="C8" s="142">
        <v>0</v>
      </c>
      <c r="D8" s="142">
        <v>0</v>
      </c>
      <c r="E8" s="142">
        <v>0</v>
      </c>
      <c r="F8" s="142">
        <v>0</v>
      </c>
      <c r="G8" s="142">
        <v>0</v>
      </c>
      <c r="H8" s="142">
        <v>0</v>
      </c>
      <c r="I8" s="142">
        <v>3.1096479044716161E-2</v>
      </c>
      <c r="J8" s="142">
        <v>1.3190489252099258E-2</v>
      </c>
      <c r="K8" s="142">
        <v>0</v>
      </c>
      <c r="L8" s="142">
        <v>1.9098321480119911E-2</v>
      </c>
      <c r="M8" s="142">
        <v>0</v>
      </c>
      <c r="N8" s="142">
        <v>0</v>
      </c>
      <c r="O8" s="142">
        <v>0</v>
      </c>
      <c r="P8" s="142">
        <v>0</v>
      </c>
      <c r="Q8" s="142">
        <v>0</v>
      </c>
      <c r="R8" s="142">
        <v>0</v>
      </c>
      <c r="S8" s="142">
        <v>0</v>
      </c>
      <c r="T8" s="142">
        <v>0</v>
      </c>
      <c r="U8" s="142">
        <v>0</v>
      </c>
      <c r="V8" s="142">
        <v>3.8142994550459251E-3</v>
      </c>
      <c r="W8" s="142">
        <v>0</v>
      </c>
      <c r="X8" s="142">
        <v>0</v>
      </c>
      <c r="Y8" s="142">
        <v>0</v>
      </c>
      <c r="Z8" s="142">
        <v>0</v>
      </c>
      <c r="AA8" s="142">
        <v>0</v>
      </c>
      <c r="AB8" s="142">
        <v>0</v>
      </c>
      <c r="AC8" s="142">
        <v>0</v>
      </c>
      <c r="AD8" s="142">
        <v>0</v>
      </c>
      <c r="AE8" s="142">
        <v>0</v>
      </c>
      <c r="AF8" s="142">
        <v>0</v>
      </c>
      <c r="AG8" s="142">
        <v>0</v>
      </c>
      <c r="AH8" s="142">
        <v>0</v>
      </c>
      <c r="AI8" s="142">
        <v>0</v>
      </c>
      <c r="AJ8" s="142">
        <v>0</v>
      </c>
      <c r="AK8" s="142">
        <v>0</v>
      </c>
      <c r="AL8" s="142">
        <v>0</v>
      </c>
      <c r="AM8" s="142">
        <v>0</v>
      </c>
    </row>
    <row r="9" spans="1:39" customFormat="1" x14ac:dyDescent="0.15">
      <c r="A9" s="178" t="s">
        <v>199</v>
      </c>
      <c r="B9" s="142">
        <v>0</v>
      </c>
      <c r="C9" s="142">
        <v>0</v>
      </c>
      <c r="D9" s="142">
        <v>0</v>
      </c>
      <c r="E9" s="142">
        <v>0</v>
      </c>
      <c r="F9" s="142">
        <v>0</v>
      </c>
      <c r="G9" s="142">
        <v>0</v>
      </c>
      <c r="H9" s="142">
        <v>1.9725600629049406E-2</v>
      </c>
      <c r="I9" s="142">
        <v>1.1261139654057789E-2</v>
      </c>
      <c r="J9" s="142">
        <v>3.9559157756995757E-3</v>
      </c>
      <c r="K9" s="142">
        <v>0</v>
      </c>
      <c r="L9" s="142">
        <v>0</v>
      </c>
      <c r="M9" s="142">
        <v>0</v>
      </c>
      <c r="N9" s="142">
        <v>0</v>
      </c>
      <c r="O9" s="142">
        <v>0</v>
      </c>
      <c r="P9" s="142">
        <v>0</v>
      </c>
      <c r="Q9" s="142">
        <v>0</v>
      </c>
      <c r="R9" s="142">
        <v>0</v>
      </c>
      <c r="S9" s="142">
        <v>0</v>
      </c>
      <c r="T9" s="142">
        <v>0</v>
      </c>
      <c r="U9" s="142">
        <v>0</v>
      </c>
      <c r="V9" s="142">
        <v>0</v>
      </c>
      <c r="W9" s="142">
        <v>0</v>
      </c>
      <c r="X9" s="142">
        <v>0</v>
      </c>
      <c r="Y9" s="142">
        <v>0</v>
      </c>
      <c r="Z9" s="142">
        <v>0</v>
      </c>
      <c r="AA9" s="142">
        <v>0</v>
      </c>
      <c r="AB9" s="142">
        <v>0</v>
      </c>
      <c r="AC9" s="142">
        <v>0</v>
      </c>
      <c r="AD9" s="142">
        <v>0</v>
      </c>
      <c r="AE9" s="142">
        <v>0</v>
      </c>
      <c r="AF9" s="142">
        <v>0</v>
      </c>
      <c r="AG9" s="142">
        <v>0</v>
      </c>
      <c r="AH9" s="142">
        <v>0</v>
      </c>
      <c r="AI9" s="142">
        <v>0</v>
      </c>
      <c r="AJ9" s="142">
        <v>0</v>
      </c>
      <c r="AK9" s="142">
        <v>0</v>
      </c>
      <c r="AL9" s="142">
        <v>0</v>
      </c>
      <c r="AM9" s="142">
        <v>0</v>
      </c>
    </row>
    <row r="10" spans="1:39" customFormat="1" x14ac:dyDescent="0.15">
      <c r="A10" s="178" t="s">
        <v>200</v>
      </c>
      <c r="B10" s="142">
        <v>0.1464685091249881</v>
      </c>
      <c r="C10" s="142">
        <v>3.7131640037131645E-2</v>
      </c>
      <c r="D10" s="142">
        <v>0</v>
      </c>
      <c r="E10" s="142">
        <v>2.9147619912557137E-2</v>
      </c>
      <c r="F10" s="142">
        <v>0</v>
      </c>
      <c r="G10" s="142">
        <v>0</v>
      </c>
      <c r="H10" s="142">
        <v>9.7712363116047266E-2</v>
      </c>
      <c r="I10" s="142">
        <v>9.5816247056524889E-2</v>
      </c>
      <c r="J10" s="142">
        <v>0</v>
      </c>
      <c r="K10" s="142">
        <v>0</v>
      </c>
      <c r="L10" s="142">
        <v>0</v>
      </c>
      <c r="M10" s="142">
        <v>0</v>
      </c>
      <c r="N10" s="142">
        <v>0</v>
      </c>
      <c r="O10" s="142">
        <v>0</v>
      </c>
      <c r="P10" s="142">
        <v>0</v>
      </c>
      <c r="Q10" s="142">
        <v>0</v>
      </c>
      <c r="R10" s="142">
        <v>0</v>
      </c>
      <c r="S10" s="142">
        <v>0</v>
      </c>
      <c r="T10" s="142">
        <v>0</v>
      </c>
      <c r="U10" s="142">
        <v>0</v>
      </c>
      <c r="V10" s="142">
        <v>1.1072301320925548E-2</v>
      </c>
      <c r="W10" s="142">
        <v>0</v>
      </c>
      <c r="X10" s="142">
        <v>0</v>
      </c>
      <c r="Y10" s="142">
        <v>0</v>
      </c>
      <c r="Z10" s="142">
        <v>0</v>
      </c>
      <c r="AA10" s="142">
        <v>0</v>
      </c>
      <c r="AB10" s="142">
        <v>0</v>
      </c>
      <c r="AC10" s="142">
        <v>0</v>
      </c>
      <c r="AD10" s="142">
        <v>0</v>
      </c>
      <c r="AE10" s="142">
        <v>0</v>
      </c>
      <c r="AF10" s="142">
        <v>0</v>
      </c>
      <c r="AG10" s="142">
        <v>0</v>
      </c>
      <c r="AH10" s="142">
        <v>0</v>
      </c>
      <c r="AI10" s="142">
        <v>0</v>
      </c>
      <c r="AJ10" s="142">
        <v>0</v>
      </c>
      <c r="AK10" s="142">
        <v>0</v>
      </c>
      <c r="AL10" s="142">
        <v>0</v>
      </c>
      <c r="AM10" s="142">
        <v>0</v>
      </c>
    </row>
    <row r="11" spans="1:39" customFormat="1" x14ac:dyDescent="0.15">
      <c r="A11" s="178" t="s">
        <v>201</v>
      </c>
      <c r="B11" s="142">
        <v>0</v>
      </c>
      <c r="C11" s="142">
        <v>0</v>
      </c>
      <c r="D11" s="142">
        <v>0</v>
      </c>
      <c r="E11" s="142">
        <v>0</v>
      </c>
      <c r="F11" s="142">
        <v>4.2675258329690378E-3</v>
      </c>
      <c r="G11" s="142">
        <v>0</v>
      </c>
      <c r="H11" s="142">
        <v>0</v>
      </c>
      <c r="I11" s="142">
        <v>9.9305716949328355E-5</v>
      </c>
      <c r="J11" s="142">
        <v>6.2486156457034923E-4</v>
      </c>
      <c r="K11" s="142">
        <v>1.1116259221861853E-2</v>
      </c>
      <c r="L11" s="142">
        <v>0</v>
      </c>
      <c r="M11" s="142">
        <v>0</v>
      </c>
      <c r="N11" s="142">
        <v>0</v>
      </c>
      <c r="O11" s="142">
        <v>0</v>
      </c>
      <c r="P11" s="142">
        <v>0</v>
      </c>
      <c r="Q11" s="142">
        <v>0</v>
      </c>
      <c r="R11" s="142">
        <v>0</v>
      </c>
      <c r="S11" s="142">
        <v>0</v>
      </c>
      <c r="T11" s="142">
        <v>0</v>
      </c>
      <c r="U11" s="142">
        <v>0</v>
      </c>
      <c r="V11" s="142">
        <v>0</v>
      </c>
      <c r="W11" s="142">
        <v>0</v>
      </c>
      <c r="X11" s="142">
        <v>0</v>
      </c>
      <c r="Y11" s="142">
        <v>0</v>
      </c>
      <c r="Z11" s="142">
        <v>0</v>
      </c>
      <c r="AA11" s="142">
        <v>0</v>
      </c>
      <c r="AB11" s="142">
        <v>0</v>
      </c>
      <c r="AC11" s="142">
        <v>0</v>
      </c>
      <c r="AD11" s="142">
        <v>0</v>
      </c>
      <c r="AE11" s="142">
        <v>0</v>
      </c>
      <c r="AF11" s="142">
        <v>0</v>
      </c>
      <c r="AG11" s="142">
        <v>0</v>
      </c>
      <c r="AH11" s="142">
        <v>0</v>
      </c>
      <c r="AI11" s="142">
        <v>0</v>
      </c>
      <c r="AJ11" s="142">
        <v>0</v>
      </c>
      <c r="AK11" s="142">
        <v>0</v>
      </c>
      <c r="AL11" s="142">
        <v>0</v>
      </c>
      <c r="AM11" s="142">
        <v>0</v>
      </c>
    </row>
    <row r="12" spans="1:39" customFormat="1" x14ac:dyDescent="0.15">
      <c r="A12" s="178" t="s">
        <v>202</v>
      </c>
      <c r="B12" s="142">
        <v>0</v>
      </c>
      <c r="C12" s="142">
        <v>0</v>
      </c>
      <c r="D12" s="142">
        <v>1.1852679276986565E-2</v>
      </c>
      <c r="E12" s="142">
        <v>0</v>
      </c>
      <c r="F12" s="142">
        <v>0</v>
      </c>
      <c r="G12" s="142">
        <v>0</v>
      </c>
      <c r="H12" s="142">
        <v>0</v>
      </c>
      <c r="I12" s="142">
        <v>1.9719919394204075E-3</v>
      </c>
      <c r="J12" s="142">
        <v>0</v>
      </c>
      <c r="K12" s="142">
        <v>0</v>
      </c>
      <c r="L12" s="142">
        <v>7.9390296152747949E-3</v>
      </c>
      <c r="M12" s="142">
        <v>0</v>
      </c>
      <c r="N12" s="142">
        <v>0</v>
      </c>
      <c r="O12" s="142">
        <v>0</v>
      </c>
      <c r="P12" s="142">
        <v>0</v>
      </c>
      <c r="Q12" s="142">
        <v>0</v>
      </c>
      <c r="R12" s="142">
        <v>0</v>
      </c>
      <c r="S12" s="142">
        <v>0</v>
      </c>
      <c r="T12" s="142">
        <v>0</v>
      </c>
      <c r="U12" s="142">
        <v>0</v>
      </c>
      <c r="V12" s="142">
        <v>0</v>
      </c>
      <c r="W12" s="142">
        <v>0</v>
      </c>
      <c r="X12" s="142">
        <v>0</v>
      </c>
      <c r="Y12" s="142">
        <v>0</v>
      </c>
      <c r="Z12" s="142">
        <v>0</v>
      </c>
      <c r="AA12" s="142">
        <v>0</v>
      </c>
      <c r="AB12" s="142">
        <v>0</v>
      </c>
      <c r="AC12" s="142">
        <v>5.5396097230195125E-2</v>
      </c>
      <c r="AD12" s="142">
        <v>0</v>
      </c>
      <c r="AE12" s="142">
        <v>0</v>
      </c>
      <c r="AF12" s="142">
        <v>0</v>
      </c>
      <c r="AG12" s="142">
        <v>0</v>
      </c>
      <c r="AH12" s="142">
        <v>0</v>
      </c>
      <c r="AI12" s="142">
        <v>0</v>
      </c>
      <c r="AJ12" s="142">
        <v>0</v>
      </c>
      <c r="AK12" s="142">
        <v>0</v>
      </c>
      <c r="AL12" s="142">
        <v>0</v>
      </c>
      <c r="AM12" s="142">
        <v>0</v>
      </c>
    </row>
    <row r="13" spans="1:39" customFormat="1" x14ac:dyDescent="0.15">
      <c r="A13" s="178" t="s">
        <v>203</v>
      </c>
      <c r="B13" s="142">
        <v>0</v>
      </c>
      <c r="C13" s="142">
        <v>1.8660130018660131E-3</v>
      </c>
      <c r="D13" s="142">
        <v>2.2807278608756006E-3</v>
      </c>
      <c r="E13" s="142">
        <v>0</v>
      </c>
      <c r="F13" s="142">
        <v>0</v>
      </c>
      <c r="G13" s="142">
        <v>0</v>
      </c>
      <c r="H13" s="142">
        <v>5.0909961623518685E-3</v>
      </c>
      <c r="I13" s="142">
        <v>0</v>
      </c>
      <c r="J13" s="142">
        <v>0</v>
      </c>
      <c r="K13" s="142">
        <v>0</v>
      </c>
      <c r="L13" s="142">
        <v>4.1098213185111518E-2</v>
      </c>
      <c r="M13" s="142">
        <v>1.9988208740742846E-2</v>
      </c>
      <c r="N13" s="142">
        <v>0</v>
      </c>
      <c r="O13" s="142">
        <v>0</v>
      </c>
      <c r="P13" s="142">
        <v>0</v>
      </c>
      <c r="Q13" s="142">
        <v>0</v>
      </c>
      <c r="R13" s="142">
        <v>0</v>
      </c>
      <c r="S13" s="142">
        <v>0</v>
      </c>
      <c r="T13" s="142">
        <v>0</v>
      </c>
      <c r="U13" s="142">
        <v>0</v>
      </c>
      <c r="V13" s="142">
        <v>0</v>
      </c>
      <c r="W13" s="142">
        <v>0</v>
      </c>
      <c r="X13" s="142">
        <v>0</v>
      </c>
      <c r="Y13" s="142">
        <v>0</v>
      </c>
      <c r="Z13" s="142">
        <v>0</v>
      </c>
      <c r="AA13" s="142">
        <v>0</v>
      </c>
      <c r="AB13" s="142">
        <v>0</v>
      </c>
      <c r="AC13" s="142">
        <v>0</v>
      </c>
      <c r="AD13" s="142">
        <v>0</v>
      </c>
      <c r="AE13" s="142">
        <v>1.3206180264123605E-2</v>
      </c>
      <c r="AF13" s="142">
        <v>0</v>
      </c>
      <c r="AG13" s="142">
        <v>0</v>
      </c>
      <c r="AH13" s="142">
        <v>0</v>
      </c>
      <c r="AI13" s="142">
        <v>0</v>
      </c>
      <c r="AJ13" s="142">
        <v>0</v>
      </c>
      <c r="AK13" s="142">
        <v>0</v>
      </c>
      <c r="AL13" s="142">
        <v>0</v>
      </c>
      <c r="AM13" s="142">
        <v>0</v>
      </c>
    </row>
    <row r="14" spans="1:39" customFormat="1" x14ac:dyDescent="0.15">
      <c r="A14" s="178" t="s">
        <v>204</v>
      </c>
      <c r="B14" s="142">
        <v>0</v>
      </c>
      <c r="C14" s="142">
        <v>0</v>
      </c>
      <c r="D14" s="142">
        <v>0</v>
      </c>
      <c r="E14" s="142">
        <v>0</v>
      </c>
      <c r="F14" s="142">
        <v>0</v>
      </c>
      <c r="G14" s="142">
        <v>0</v>
      </c>
      <c r="H14" s="142">
        <v>9.3206962972370057E-3</v>
      </c>
      <c r="I14" s="142">
        <v>1.9935859387570396E-2</v>
      </c>
      <c r="J14" s="142">
        <v>2.2153948743871103E-2</v>
      </c>
      <c r="K14" s="142">
        <v>0</v>
      </c>
      <c r="L14" s="142">
        <v>1.7659611368619876E-2</v>
      </c>
      <c r="M14" s="142">
        <v>0</v>
      </c>
      <c r="N14" s="142">
        <v>3.3848885295004946E-2</v>
      </c>
      <c r="O14" s="142">
        <v>0</v>
      </c>
      <c r="P14" s="142">
        <v>0</v>
      </c>
      <c r="Q14" s="142">
        <v>0</v>
      </c>
      <c r="R14" s="142">
        <v>0</v>
      </c>
      <c r="S14" s="142">
        <v>0</v>
      </c>
      <c r="T14" s="142">
        <v>0</v>
      </c>
      <c r="U14" s="142">
        <v>0</v>
      </c>
      <c r="V14" s="142">
        <v>1.341103159993607E-2</v>
      </c>
      <c r="W14" s="142">
        <v>0</v>
      </c>
      <c r="X14" s="142">
        <v>0</v>
      </c>
      <c r="Y14" s="142">
        <v>0</v>
      </c>
      <c r="Z14" s="142">
        <v>0</v>
      </c>
      <c r="AA14" s="142">
        <v>0</v>
      </c>
      <c r="AB14" s="142">
        <v>0</v>
      </c>
      <c r="AC14" s="142">
        <v>0</v>
      </c>
      <c r="AD14" s="142">
        <v>0</v>
      </c>
      <c r="AE14" s="142">
        <v>0</v>
      </c>
      <c r="AF14" s="142">
        <v>0</v>
      </c>
      <c r="AG14" s="142">
        <v>0</v>
      </c>
      <c r="AH14" s="142">
        <v>0</v>
      </c>
      <c r="AI14" s="142">
        <v>0</v>
      </c>
      <c r="AJ14" s="142">
        <v>0</v>
      </c>
      <c r="AK14" s="142">
        <v>0</v>
      </c>
      <c r="AL14" s="142">
        <v>0</v>
      </c>
      <c r="AM14" s="142">
        <v>0</v>
      </c>
    </row>
    <row r="15" spans="1:39" customFormat="1" x14ac:dyDescent="0.15">
      <c r="A15" s="178" t="s">
        <v>205</v>
      </c>
      <c r="B15" s="142">
        <v>0</v>
      </c>
      <c r="C15" s="142">
        <v>0</v>
      </c>
      <c r="D15" s="142">
        <v>0</v>
      </c>
      <c r="E15" s="142">
        <v>0</v>
      </c>
      <c r="F15" s="142">
        <v>1.1277159558611973E-2</v>
      </c>
      <c r="G15" s="142">
        <v>0</v>
      </c>
      <c r="H15" s="142">
        <v>0</v>
      </c>
      <c r="I15" s="142">
        <v>0</v>
      </c>
      <c r="J15" s="142">
        <v>6.3815906381638116E-2</v>
      </c>
      <c r="K15" s="142">
        <v>0</v>
      </c>
      <c r="L15" s="142">
        <v>0</v>
      </c>
      <c r="M15" s="142">
        <v>0</v>
      </c>
      <c r="N15" s="142">
        <v>0</v>
      </c>
      <c r="O15" s="142">
        <v>6.0827630433435184E-2</v>
      </c>
      <c r="P15" s="142">
        <v>0</v>
      </c>
      <c r="Q15" s="142">
        <v>0</v>
      </c>
      <c r="R15" s="142">
        <v>0</v>
      </c>
      <c r="S15" s="142">
        <v>0</v>
      </c>
      <c r="T15" s="142">
        <v>0</v>
      </c>
      <c r="U15" s="142">
        <v>0</v>
      </c>
      <c r="V15" s="142">
        <v>0</v>
      </c>
      <c r="W15" s="142">
        <v>0</v>
      </c>
      <c r="X15" s="142">
        <v>0</v>
      </c>
      <c r="Y15" s="142">
        <v>0</v>
      </c>
      <c r="Z15" s="142">
        <v>0</v>
      </c>
      <c r="AA15" s="142">
        <v>0</v>
      </c>
      <c r="AB15" s="142">
        <v>0</v>
      </c>
      <c r="AC15" s="142">
        <v>0</v>
      </c>
      <c r="AD15" s="142">
        <v>0</v>
      </c>
      <c r="AE15" s="142">
        <v>0</v>
      </c>
      <c r="AF15" s="142">
        <v>0</v>
      </c>
      <c r="AG15" s="142">
        <v>0</v>
      </c>
      <c r="AH15" s="142">
        <v>0</v>
      </c>
      <c r="AI15" s="142">
        <v>0</v>
      </c>
      <c r="AJ15" s="142">
        <v>0</v>
      </c>
      <c r="AK15" s="142">
        <v>0</v>
      </c>
      <c r="AL15" s="142">
        <v>0</v>
      </c>
      <c r="AM15" s="142">
        <v>0</v>
      </c>
    </row>
    <row r="16" spans="1:39" customFormat="1" x14ac:dyDescent="0.15">
      <c r="A16" s="178" t="s">
        <v>206</v>
      </c>
      <c r="B16" s="142">
        <v>0</v>
      </c>
      <c r="C16" s="142">
        <v>0</v>
      </c>
      <c r="D16" s="142">
        <v>0</v>
      </c>
      <c r="E16" s="142">
        <v>0</v>
      </c>
      <c r="F16" s="142">
        <v>1.9999039217237603E-2</v>
      </c>
      <c r="G16" s="142">
        <v>0</v>
      </c>
      <c r="H16" s="142">
        <v>0</v>
      </c>
      <c r="I16" s="142">
        <v>1.6862959481969884E-2</v>
      </c>
      <c r="J16" s="142">
        <v>1.186140932745809E-2</v>
      </c>
      <c r="K16" s="142">
        <v>0</v>
      </c>
      <c r="L16" s="142">
        <v>4.8333343745834138E-2</v>
      </c>
      <c r="M16" s="142">
        <v>0</v>
      </c>
      <c r="N16" s="142">
        <v>0</v>
      </c>
      <c r="O16" s="142">
        <v>0</v>
      </c>
      <c r="P16" s="142">
        <v>0</v>
      </c>
      <c r="Q16" s="142">
        <v>0</v>
      </c>
      <c r="R16" s="142">
        <v>0.16296349018144976</v>
      </c>
      <c r="S16" s="142">
        <v>0</v>
      </c>
      <c r="T16" s="142">
        <v>0</v>
      </c>
      <c r="U16" s="142">
        <v>0</v>
      </c>
      <c r="V16" s="142">
        <v>0</v>
      </c>
      <c r="W16" s="142">
        <v>0</v>
      </c>
      <c r="X16" s="142">
        <v>0</v>
      </c>
      <c r="Y16" s="142">
        <v>0</v>
      </c>
      <c r="Z16" s="142">
        <v>0</v>
      </c>
      <c r="AA16" s="142">
        <v>0</v>
      </c>
      <c r="AB16" s="142">
        <v>0</v>
      </c>
      <c r="AC16" s="142">
        <v>0</v>
      </c>
      <c r="AD16" s="142">
        <v>0</v>
      </c>
      <c r="AE16" s="142">
        <v>0</v>
      </c>
      <c r="AF16" s="142">
        <v>0</v>
      </c>
      <c r="AG16" s="142">
        <v>0</v>
      </c>
      <c r="AH16" s="142">
        <v>0</v>
      </c>
      <c r="AI16" s="142">
        <v>0</v>
      </c>
      <c r="AJ16" s="142">
        <v>0</v>
      </c>
      <c r="AK16" s="142">
        <v>0</v>
      </c>
      <c r="AL16" s="142">
        <v>0</v>
      </c>
      <c r="AM16" s="142">
        <v>0</v>
      </c>
    </row>
    <row r="17" spans="1:39" customFormat="1" x14ac:dyDescent="0.15">
      <c r="A17" s="178" t="s">
        <v>207</v>
      </c>
      <c r="B17" s="142">
        <v>0</v>
      </c>
      <c r="C17" s="142">
        <v>0</v>
      </c>
      <c r="D17" s="142">
        <v>0</v>
      </c>
      <c r="E17" s="142">
        <v>0</v>
      </c>
      <c r="F17" s="142">
        <v>0</v>
      </c>
      <c r="G17" s="142">
        <v>0</v>
      </c>
      <c r="H17" s="142">
        <v>0.11213540357599802</v>
      </c>
      <c r="I17" s="142">
        <v>0</v>
      </c>
      <c r="J17" s="142">
        <v>1.2173299309773929E-3</v>
      </c>
      <c r="K17" s="142">
        <v>0</v>
      </c>
      <c r="L17" s="142">
        <v>0</v>
      </c>
      <c r="M17" s="142">
        <v>0</v>
      </c>
      <c r="N17" s="142">
        <v>0</v>
      </c>
      <c r="O17" s="142">
        <v>0</v>
      </c>
      <c r="P17" s="142">
        <v>0</v>
      </c>
      <c r="Q17" s="142">
        <v>0</v>
      </c>
      <c r="R17" s="142">
        <v>0</v>
      </c>
      <c r="S17" s="142">
        <v>0</v>
      </c>
      <c r="T17" s="142">
        <v>0</v>
      </c>
      <c r="U17" s="142">
        <v>0</v>
      </c>
      <c r="V17" s="142">
        <v>0</v>
      </c>
      <c r="W17" s="142">
        <v>0</v>
      </c>
      <c r="X17" s="142">
        <v>0</v>
      </c>
      <c r="Y17" s="142">
        <v>0</v>
      </c>
      <c r="Z17" s="142">
        <v>0</v>
      </c>
      <c r="AA17" s="142">
        <v>0</v>
      </c>
      <c r="AB17" s="142">
        <v>0</v>
      </c>
      <c r="AC17" s="142">
        <v>0</v>
      </c>
      <c r="AD17" s="142">
        <v>0</v>
      </c>
      <c r="AE17" s="142">
        <v>0</v>
      </c>
      <c r="AF17" s="142">
        <v>0</v>
      </c>
      <c r="AG17" s="142">
        <v>0</v>
      </c>
      <c r="AH17" s="142">
        <v>0</v>
      </c>
      <c r="AI17" s="142">
        <v>0</v>
      </c>
      <c r="AJ17" s="142">
        <v>0</v>
      </c>
      <c r="AK17" s="142">
        <v>0</v>
      </c>
      <c r="AL17" s="142">
        <v>0</v>
      </c>
      <c r="AM17" s="142">
        <v>0</v>
      </c>
    </row>
    <row r="18" spans="1:39" customFormat="1" x14ac:dyDescent="0.15">
      <c r="A18" s="178" t="s">
        <v>208</v>
      </c>
      <c r="B18" s="142">
        <v>1.0223770636940909E-4</v>
      </c>
      <c r="C18" s="142">
        <v>0</v>
      </c>
      <c r="D18" s="142">
        <v>0</v>
      </c>
      <c r="E18" s="142">
        <v>0</v>
      </c>
      <c r="F18" s="142">
        <v>9.5478136262985741E-5</v>
      </c>
      <c r="G18" s="142">
        <v>0</v>
      </c>
      <c r="H18" s="142">
        <v>0</v>
      </c>
      <c r="I18" s="142">
        <v>0</v>
      </c>
      <c r="J18" s="142">
        <v>1.0971279377928458E-4</v>
      </c>
      <c r="K18" s="142">
        <v>0</v>
      </c>
      <c r="L18" s="142">
        <v>2.0013261551027768E-4</v>
      </c>
      <c r="M18" s="142">
        <v>0</v>
      </c>
      <c r="N18" s="142">
        <v>4.0832994324213791E-4</v>
      </c>
      <c r="O18" s="142">
        <v>0</v>
      </c>
      <c r="P18" s="142">
        <v>0</v>
      </c>
      <c r="Q18" s="142">
        <v>0</v>
      </c>
      <c r="R18" s="142">
        <v>0</v>
      </c>
      <c r="S18" s="142">
        <v>0</v>
      </c>
      <c r="T18" s="142">
        <v>0</v>
      </c>
      <c r="U18" s="142">
        <v>0</v>
      </c>
      <c r="V18" s="142">
        <v>6.08066772542366E-4</v>
      </c>
      <c r="W18" s="142">
        <v>0</v>
      </c>
      <c r="X18" s="142">
        <v>0</v>
      </c>
      <c r="Y18" s="142">
        <v>0</v>
      </c>
      <c r="Z18" s="142">
        <v>0</v>
      </c>
      <c r="AA18" s="142">
        <v>0</v>
      </c>
      <c r="AB18" s="142">
        <v>0</v>
      </c>
      <c r="AC18" s="142">
        <v>0</v>
      </c>
      <c r="AD18" s="142">
        <v>0</v>
      </c>
      <c r="AE18" s="142">
        <v>0</v>
      </c>
      <c r="AF18" s="142">
        <v>0</v>
      </c>
      <c r="AG18" s="142">
        <v>0</v>
      </c>
      <c r="AH18" s="142">
        <v>0</v>
      </c>
      <c r="AI18" s="142">
        <v>0</v>
      </c>
      <c r="AJ18" s="142">
        <v>0</v>
      </c>
      <c r="AK18" s="142">
        <v>0</v>
      </c>
      <c r="AL18" s="142">
        <v>0</v>
      </c>
      <c r="AM18" s="142">
        <v>0</v>
      </c>
    </row>
    <row r="19" spans="1:39" customFormat="1" x14ac:dyDescent="0.15">
      <c r="A19" s="178" t="s">
        <v>209</v>
      </c>
      <c r="B19" s="142">
        <v>0</v>
      </c>
      <c r="C19" s="142">
        <v>7.4175150074175147E-2</v>
      </c>
      <c r="D19" s="142">
        <v>0</v>
      </c>
      <c r="E19" s="142">
        <v>0.13706999958878999</v>
      </c>
      <c r="F19" s="142">
        <v>1.8855759261985579E-2</v>
      </c>
      <c r="G19" s="142">
        <v>0</v>
      </c>
      <c r="H19" s="142">
        <v>0</v>
      </c>
      <c r="I19" s="142">
        <v>6.0955148127457845E-3</v>
      </c>
      <c r="J19" s="142">
        <v>0.11016619375357682</v>
      </c>
      <c r="K19" s="142">
        <v>0</v>
      </c>
      <c r="L19" s="142">
        <v>0.19149471484084035</v>
      </c>
      <c r="M19" s="142">
        <v>0</v>
      </c>
      <c r="N19" s="142">
        <v>0</v>
      </c>
      <c r="O19" s="142">
        <v>0</v>
      </c>
      <c r="P19" s="142">
        <v>0</v>
      </c>
      <c r="Q19" s="142">
        <v>0</v>
      </c>
      <c r="R19" s="142">
        <v>0</v>
      </c>
      <c r="S19" s="142">
        <v>0</v>
      </c>
      <c r="T19" s="142">
        <v>0</v>
      </c>
      <c r="U19" s="142">
        <v>0</v>
      </c>
      <c r="V19" s="142">
        <v>0</v>
      </c>
      <c r="W19" s="142">
        <v>0</v>
      </c>
      <c r="X19" s="142">
        <v>0</v>
      </c>
      <c r="Y19" s="142">
        <v>0</v>
      </c>
      <c r="Z19" s="142">
        <v>0</v>
      </c>
      <c r="AA19" s="142">
        <v>0</v>
      </c>
      <c r="AB19" s="142">
        <v>0</v>
      </c>
      <c r="AC19" s="142">
        <v>0</v>
      </c>
      <c r="AD19" s="142">
        <v>0</v>
      </c>
      <c r="AE19" s="142">
        <v>0</v>
      </c>
      <c r="AF19" s="142">
        <v>0</v>
      </c>
      <c r="AG19" s="142">
        <v>0</v>
      </c>
      <c r="AH19" s="142">
        <v>0</v>
      </c>
      <c r="AI19" s="142">
        <v>0</v>
      </c>
      <c r="AJ19" s="142">
        <v>0</v>
      </c>
      <c r="AK19" s="142">
        <v>0</v>
      </c>
      <c r="AL19" s="142">
        <v>0</v>
      </c>
      <c r="AM19" s="142">
        <v>0</v>
      </c>
    </row>
    <row r="20" spans="1:39" customFormat="1" x14ac:dyDescent="0.15">
      <c r="A20" s="178" t="s">
        <v>210</v>
      </c>
      <c r="B20" s="142">
        <v>0.41119442561741271</v>
      </c>
      <c r="C20" s="142">
        <v>0.31600950031600955</v>
      </c>
      <c r="D20" s="142">
        <v>0</v>
      </c>
      <c r="E20" s="142">
        <v>0.45849539862451377</v>
      </c>
      <c r="F20" s="142">
        <v>0.20288419205911268</v>
      </c>
      <c r="G20" s="142">
        <v>0.23736709454055679</v>
      </c>
      <c r="H20" s="142">
        <v>0.66682702126511373</v>
      </c>
      <c r="I20" s="142">
        <v>3.2355689006033229E-2</v>
      </c>
      <c r="J20" s="142">
        <v>0.27005898468765555</v>
      </c>
      <c r="K20" s="142">
        <v>0</v>
      </c>
      <c r="L20" s="142">
        <v>0.22861211771743911</v>
      </c>
      <c r="M20" s="142">
        <v>0</v>
      </c>
      <c r="N20" s="142">
        <v>0</v>
      </c>
      <c r="O20" s="142">
        <v>0</v>
      </c>
      <c r="P20" s="142">
        <v>0</v>
      </c>
      <c r="Q20" s="142">
        <v>0</v>
      </c>
      <c r="R20" s="142">
        <v>0</v>
      </c>
      <c r="S20" s="142">
        <v>0</v>
      </c>
      <c r="T20" s="142">
        <v>0</v>
      </c>
      <c r="U20" s="142">
        <v>0</v>
      </c>
      <c r="V20" s="142">
        <v>5.6327596719882286E-2</v>
      </c>
      <c r="W20" s="142">
        <v>0</v>
      </c>
      <c r="X20" s="142">
        <v>7.8882450078882449E-2</v>
      </c>
      <c r="Y20" s="142">
        <v>0</v>
      </c>
      <c r="Z20" s="142">
        <v>0</v>
      </c>
      <c r="AA20" s="142">
        <v>0</v>
      </c>
      <c r="AB20" s="142">
        <v>0</v>
      </c>
      <c r="AC20" s="142">
        <v>0</v>
      </c>
      <c r="AD20" s="142">
        <v>0</v>
      </c>
      <c r="AE20" s="142">
        <v>0</v>
      </c>
      <c r="AF20" s="142">
        <v>0</v>
      </c>
      <c r="AG20" s="142">
        <v>0</v>
      </c>
      <c r="AH20" s="142">
        <v>0</v>
      </c>
      <c r="AI20" s="142">
        <v>0</v>
      </c>
      <c r="AJ20" s="142">
        <v>0</v>
      </c>
      <c r="AK20" s="142">
        <v>0</v>
      </c>
      <c r="AL20" s="142">
        <v>0</v>
      </c>
      <c r="AM20" s="142">
        <v>0</v>
      </c>
    </row>
    <row r="21" spans="1:39" customFormat="1" x14ac:dyDescent="0.15">
      <c r="A21" s="178" t="s">
        <v>211</v>
      </c>
      <c r="B21" s="142">
        <v>0</v>
      </c>
      <c r="C21" s="142">
        <v>3.2176330032176334E-2</v>
      </c>
      <c r="D21" s="142">
        <v>0</v>
      </c>
      <c r="E21" s="142">
        <v>7.9309429762071712E-2</v>
      </c>
      <c r="F21" s="142">
        <v>0</v>
      </c>
      <c r="G21" s="142">
        <v>0</v>
      </c>
      <c r="H21" s="142">
        <v>0</v>
      </c>
      <c r="I21" s="142">
        <v>1.475552954671013E-2</v>
      </c>
      <c r="J21" s="142">
        <v>1.1019639375186447E-2</v>
      </c>
      <c r="K21" s="142">
        <v>0</v>
      </c>
      <c r="L21" s="142">
        <v>0</v>
      </c>
      <c r="M21" s="142">
        <v>0</v>
      </c>
      <c r="N21" s="142">
        <v>0</v>
      </c>
      <c r="O21" s="142">
        <v>0</v>
      </c>
      <c r="P21" s="142">
        <v>0</v>
      </c>
      <c r="Q21" s="142">
        <v>0</v>
      </c>
      <c r="R21" s="142">
        <v>0</v>
      </c>
      <c r="S21" s="142">
        <v>0</v>
      </c>
      <c r="T21" s="142">
        <v>0</v>
      </c>
      <c r="U21" s="142">
        <v>0</v>
      </c>
      <c r="V21" s="142">
        <v>0</v>
      </c>
      <c r="W21" s="142">
        <v>0</v>
      </c>
      <c r="X21" s="142">
        <v>0</v>
      </c>
      <c r="Y21" s="142">
        <v>0</v>
      </c>
      <c r="Z21" s="142">
        <v>0</v>
      </c>
      <c r="AA21" s="142">
        <v>0</v>
      </c>
      <c r="AB21" s="142">
        <v>0</v>
      </c>
      <c r="AC21" s="142">
        <v>0</v>
      </c>
      <c r="AD21" s="142">
        <v>0</v>
      </c>
      <c r="AE21" s="142">
        <v>0</v>
      </c>
      <c r="AF21" s="142">
        <v>0</v>
      </c>
      <c r="AG21" s="142">
        <v>0</v>
      </c>
      <c r="AH21" s="142">
        <v>0</v>
      </c>
      <c r="AI21" s="142">
        <v>0</v>
      </c>
      <c r="AJ21" s="142">
        <v>0</v>
      </c>
      <c r="AK21" s="142">
        <v>0</v>
      </c>
      <c r="AL21" s="142">
        <v>0</v>
      </c>
      <c r="AM21" s="142">
        <v>0</v>
      </c>
    </row>
    <row r="22" spans="1:39" customFormat="1" x14ac:dyDescent="0.15">
      <c r="A22" s="178" t="s">
        <v>212</v>
      </c>
      <c r="B22" s="142">
        <v>3.284200204605673E-2</v>
      </c>
      <c r="C22" s="142">
        <v>4.0182330040182339E-2</v>
      </c>
      <c r="D22" s="142">
        <v>8.4824674825694835E-2</v>
      </c>
      <c r="E22" s="142">
        <v>5.6165079831504757E-3</v>
      </c>
      <c r="F22" s="142">
        <v>1.9597649232948006E-2</v>
      </c>
      <c r="G22" s="142">
        <v>0.40801339061569197</v>
      </c>
      <c r="H22" s="142">
        <v>9.647411307655948E-5</v>
      </c>
      <c r="I22" s="142">
        <v>9.591769705340833E-2</v>
      </c>
      <c r="J22" s="142">
        <v>4.5248607434403955E-3</v>
      </c>
      <c r="K22" s="142">
        <v>0.27166218098364736</v>
      </c>
      <c r="L22" s="142">
        <v>4.0256523119880532E-2</v>
      </c>
      <c r="M22" s="142">
        <v>2.0474658710096499E-2</v>
      </c>
      <c r="N22" s="142">
        <v>0.11485168403561592</v>
      </c>
      <c r="O22" s="142">
        <v>7.6821548273114396E-2</v>
      </c>
      <c r="P22" s="142">
        <v>0</v>
      </c>
      <c r="Q22" s="142">
        <v>0.63199236888716814</v>
      </c>
      <c r="R22" s="142">
        <v>6.1191306313223802E-2</v>
      </c>
      <c r="S22" s="142">
        <v>0</v>
      </c>
      <c r="T22" s="142">
        <v>0</v>
      </c>
      <c r="U22" s="142">
        <v>0</v>
      </c>
      <c r="V22" s="142">
        <v>4.8316295764134085E-2</v>
      </c>
      <c r="W22" s="142">
        <v>0</v>
      </c>
      <c r="X22" s="142">
        <v>0</v>
      </c>
      <c r="Y22" s="142">
        <v>0</v>
      </c>
      <c r="Z22" s="142">
        <v>0</v>
      </c>
      <c r="AA22" s="142">
        <v>0</v>
      </c>
      <c r="AB22" s="142">
        <v>0</v>
      </c>
      <c r="AC22" s="142">
        <v>0</v>
      </c>
      <c r="AD22" s="142">
        <v>3.5447381134316197E-2</v>
      </c>
      <c r="AE22" s="142">
        <v>1.4368800287376004E-2</v>
      </c>
      <c r="AF22" s="142">
        <v>0</v>
      </c>
      <c r="AG22" s="142">
        <v>0</v>
      </c>
      <c r="AH22" s="142">
        <v>0</v>
      </c>
      <c r="AI22" s="142">
        <v>0</v>
      </c>
      <c r="AJ22" s="142">
        <v>0</v>
      </c>
      <c r="AK22" s="142">
        <v>0</v>
      </c>
      <c r="AL22" s="142">
        <v>0</v>
      </c>
      <c r="AM22" s="142">
        <v>0</v>
      </c>
    </row>
    <row r="23" spans="1:39" customFormat="1" x14ac:dyDescent="0.15">
      <c r="A23" s="178" t="s">
        <v>213</v>
      </c>
      <c r="B23" s="142">
        <v>0</v>
      </c>
      <c r="C23" s="142">
        <v>0</v>
      </c>
      <c r="D23" s="142">
        <v>0</v>
      </c>
      <c r="E23" s="142">
        <v>0</v>
      </c>
      <c r="F23" s="142">
        <v>0</v>
      </c>
      <c r="G23" s="142">
        <v>0</v>
      </c>
      <c r="H23" s="142">
        <v>8.7546732791865325E-2</v>
      </c>
      <c r="I23" s="142">
        <v>0</v>
      </c>
      <c r="J23" s="142">
        <v>0</v>
      </c>
      <c r="K23" s="142">
        <v>0</v>
      </c>
      <c r="L23" s="142">
        <v>0</v>
      </c>
      <c r="M23" s="142">
        <v>0</v>
      </c>
      <c r="N23" s="142">
        <v>0</v>
      </c>
      <c r="O23" s="142">
        <v>0</v>
      </c>
      <c r="P23" s="142">
        <v>4.1731388748058339E-2</v>
      </c>
      <c r="Q23" s="142">
        <v>0</v>
      </c>
      <c r="R23" s="142">
        <v>1.04881593680884E-4</v>
      </c>
      <c r="S23" s="142">
        <v>0</v>
      </c>
      <c r="T23" s="142">
        <v>0</v>
      </c>
      <c r="U23" s="142">
        <v>0</v>
      </c>
      <c r="V23" s="142">
        <v>0</v>
      </c>
      <c r="W23" s="142">
        <v>4.2061209579387908E-2</v>
      </c>
      <c r="X23" s="142">
        <v>1.2073750012073749E-2</v>
      </c>
      <c r="Y23" s="142">
        <v>0</v>
      </c>
      <c r="Z23" s="142">
        <v>0</v>
      </c>
      <c r="AA23" s="142">
        <v>0</v>
      </c>
      <c r="AB23" s="142">
        <v>0</v>
      </c>
      <c r="AC23" s="142">
        <v>0</v>
      </c>
      <c r="AD23" s="142">
        <v>0</v>
      </c>
      <c r="AE23" s="142">
        <v>0</v>
      </c>
      <c r="AF23" s="142">
        <v>0</v>
      </c>
      <c r="AG23" s="142">
        <v>0</v>
      </c>
      <c r="AH23" s="142">
        <v>0</v>
      </c>
      <c r="AI23" s="142">
        <v>0</v>
      </c>
      <c r="AJ23" s="142">
        <v>0</v>
      </c>
      <c r="AK23" s="142">
        <v>0</v>
      </c>
      <c r="AL23" s="142">
        <v>0</v>
      </c>
      <c r="AM23" s="142">
        <v>0</v>
      </c>
    </row>
    <row r="24" spans="1:39" customFormat="1" x14ac:dyDescent="0.15">
      <c r="A24" s="178" t="s">
        <v>214</v>
      </c>
      <c r="B24" s="142">
        <v>0.13755710856980785</v>
      </c>
      <c r="C24" s="142">
        <v>0</v>
      </c>
      <c r="D24" s="142">
        <v>0</v>
      </c>
      <c r="E24" s="142">
        <v>0</v>
      </c>
      <c r="F24" s="142">
        <v>9.9671106098872895E-3</v>
      </c>
      <c r="G24" s="142">
        <v>0.11675259731469025</v>
      </c>
      <c r="H24" s="142">
        <v>1.5447120492608673E-3</v>
      </c>
      <c r="I24" s="142">
        <v>0.64032098032933948</v>
      </c>
      <c r="J24" s="142">
        <v>0</v>
      </c>
      <c r="K24" s="142">
        <v>0</v>
      </c>
      <c r="L24" s="142">
        <v>0.15558431205778417</v>
      </c>
      <c r="M24" s="142">
        <v>2.1379498653091582E-3</v>
      </c>
      <c r="N24" s="142">
        <v>0</v>
      </c>
      <c r="O24" s="142">
        <v>0</v>
      </c>
      <c r="P24" s="142">
        <v>0</v>
      </c>
      <c r="Q24" s="142">
        <v>3.4476543757943269E-2</v>
      </c>
      <c r="R24" s="142">
        <v>0</v>
      </c>
      <c r="S24" s="142">
        <v>0</v>
      </c>
      <c r="T24" s="142">
        <v>0</v>
      </c>
      <c r="U24" s="142">
        <v>0</v>
      </c>
      <c r="V24" s="142">
        <v>0</v>
      </c>
      <c r="W24" s="142">
        <v>0</v>
      </c>
      <c r="X24" s="142">
        <v>4.4268140044268135E-2</v>
      </c>
      <c r="Y24" s="142">
        <v>0</v>
      </c>
      <c r="Z24" s="142">
        <v>0</v>
      </c>
      <c r="AA24" s="142">
        <v>0</v>
      </c>
      <c r="AB24" s="142">
        <v>0</v>
      </c>
      <c r="AC24" s="142">
        <v>0</v>
      </c>
      <c r="AD24" s="142">
        <v>0</v>
      </c>
      <c r="AE24" s="142">
        <v>0</v>
      </c>
      <c r="AF24" s="142">
        <v>0</v>
      </c>
      <c r="AG24" s="142">
        <v>0</v>
      </c>
      <c r="AH24" s="142">
        <v>0</v>
      </c>
      <c r="AI24" s="142">
        <v>0</v>
      </c>
      <c r="AJ24" s="142">
        <v>0</v>
      </c>
      <c r="AK24" s="142">
        <v>0</v>
      </c>
      <c r="AL24" s="142">
        <v>0</v>
      </c>
      <c r="AM24" s="142">
        <v>0</v>
      </c>
    </row>
    <row r="25" spans="1:39" customFormat="1" x14ac:dyDescent="0.15">
      <c r="A25" s="178" t="s">
        <v>215</v>
      </c>
      <c r="B25" s="142">
        <v>0</v>
      </c>
      <c r="C25" s="142">
        <v>0</v>
      </c>
      <c r="D25" s="142">
        <v>3.1283728091692588E-2</v>
      </c>
      <c r="E25" s="142">
        <v>0</v>
      </c>
      <c r="F25" s="142">
        <v>0</v>
      </c>
      <c r="G25" s="142">
        <v>0</v>
      </c>
      <c r="H25" s="142">
        <v>0</v>
      </c>
      <c r="I25" s="142">
        <v>0</v>
      </c>
      <c r="J25" s="142">
        <v>9.4742074628124368E-2</v>
      </c>
      <c r="K25" s="142">
        <v>0</v>
      </c>
      <c r="L25" s="142">
        <v>1.641477127214477E-2</v>
      </c>
      <c r="M25" s="142">
        <v>3.7691427625440054E-3</v>
      </c>
      <c r="N25" s="142">
        <v>0</v>
      </c>
      <c r="O25" s="142">
        <v>0.1458699546011975</v>
      </c>
      <c r="P25" s="142">
        <v>0.26238739212837819</v>
      </c>
      <c r="Q25" s="142">
        <v>0</v>
      </c>
      <c r="R25" s="142">
        <v>4.3971027350745609E-2</v>
      </c>
      <c r="S25" s="142">
        <v>1.3719968545683336E-2</v>
      </c>
      <c r="T25" s="142">
        <v>0</v>
      </c>
      <c r="U25" s="142">
        <v>1.8877358905113186E-2</v>
      </c>
      <c r="V25" s="142">
        <v>0</v>
      </c>
      <c r="W25" s="142">
        <v>0</v>
      </c>
      <c r="X25" s="142">
        <v>0</v>
      </c>
      <c r="Y25" s="142">
        <v>0</v>
      </c>
      <c r="Z25" s="142">
        <v>0</v>
      </c>
      <c r="AA25" s="142">
        <v>1.6680992352019922E-2</v>
      </c>
      <c r="AB25" s="142">
        <v>0</v>
      </c>
      <c r="AC25" s="142">
        <v>0.15974529201273538</v>
      </c>
      <c r="AD25" s="142">
        <v>4.6133151476260847E-2</v>
      </c>
      <c r="AE25" s="142">
        <v>0</v>
      </c>
      <c r="AF25" s="142">
        <v>0</v>
      </c>
      <c r="AG25" s="142">
        <v>0</v>
      </c>
      <c r="AH25" s="142">
        <v>0</v>
      </c>
      <c r="AI25" s="142">
        <v>0</v>
      </c>
      <c r="AJ25" s="142">
        <v>0</v>
      </c>
      <c r="AK25" s="142">
        <v>0</v>
      </c>
      <c r="AL25" s="142">
        <v>0</v>
      </c>
      <c r="AM25" s="142">
        <v>0</v>
      </c>
    </row>
    <row r="26" spans="1:39" customFormat="1" x14ac:dyDescent="0.15">
      <c r="A26" s="178" t="s">
        <v>216</v>
      </c>
      <c r="B26" s="142">
        <v>0</v>
      </c>
      <c r="C26" s="142">
        <v>0</v>
      </c>
      <c r="D26" s="142">
        <v>5.2844526776483873E-2</v>
      </c>
      <c r="E26" s="142">
        <v>7.8261199765216408E-3</v>
      </c>
      <c r="F26" s="142">
        <v>3.605899858865079E-3</v>
      </c>
      <c r="G26" s="142">
        <v>2.0530469527799198E-3</v>
      </c>
      <c r="H26" s="142">
        <v>0</v>
      </c>
      <c r="I26" s="142">
        <v>0</v>
      </c>
      <c r="J26" s="142">
        <v>1.4924499153780899E-2</v>
      </c>
      <c r="K26" s="142">
        <v>0</v>
      </c>
      <c r="L26" s="142">
        <v>1.3006201007980576E-2</v>
      </c>
      <c r="M26" s="142">
        <v>1.4265919101247094E-2</v>
      </c>
      <c r="N26" s="142">
        <v>1.7866507516555455E-2</v>
      </c>
      <c r="O26" s="142">
        <v>0</v>
      </c>
      <c r="P26" s="142">
        <v>0.19476179415714617</v>
      </c>
      <c r="Q26" s="142">
        <v>0</v>
      </c>
      <c r="R26" s="142">
        <v>6.2587066229129263E-3</v>
      </c>
      <c r="S26" s="142">
        <v>1.5576608348879516E-2</v>
      </c>
      <c r="T26" s="142">
        <v>0</v>
      </c>
      <c r="U26" s="142">
        <v>1.7445278988173819E-3</v>
      </c>
      <c r="V26" s="142">
        <v>1.5017641791604665E-2</v>
      </c>
      <c r="W26" s="142">
        <v>0</v>
      </c>
      <c r="X26" s="142">
        <v>0</v>
      </c>
      <c r="Y26" s="142">
        <v>0</v>
      </c>
      <c r="Z26" s="142">
        <v>0</v>
      </c>
      <c r="AA26" s="142">
        <v>3.4152054815439732E-3</v>
      </c>
      <c r="AB26" s="142">
        <v>0</v>
      </c>
      <c r="AC26" s="142">
        <v>0.20561398971930048</v>
      </c>
      <c r="AD26" s="142">
        <v>5.5684451781902462E-2</v>
      </c>
      <c r="AE26" s="142">
        <v>0</v>
      </c>
      <c r="AF26" s="142">
        <v>0</v>
      </c>
      <c r="AG26" s="142">
        <v>0</v>
      </c>
      <c r="AH26" s="142">
        <v>0</v>
      </c>
      <c r="AI26" s="142">
        <v>0</v>
      </c>
      <c r="AJ26" s="142">
        <v>0</v>
      </c>
      <c r="AK26" s="142">
        <v>0</v>
      </c>
      <c r="AL26" s="142">
        <v>0</v>
      </c>
      <c r="AM26" s="142">
        <v>0</v>
      </c>
    </row>
    <row r="27" spans="1:39" customFormat="1" x14ac:dyDescent="0.15">
      <c r="A27" s="178" t="s">
        <v>217</v>
      </c>
      <c r="B27" s="142">
        <v>0</v>
      </c>
      <c r="C27" s="142">
        <v>0</v>
      </c>
      <c r="D27" s="142">
        <v>0</v>
      </c>
      <c r="E27" s="142">
        <v>0</v>
      </c>
      <c r="F27" s="142">
        <v>0.35811038598355943</v>
      </c>
      <c r="G27" s="142">
        <v>0</v>
      </c>
      <c r="H27" s="142">
        <v>0</v>
      </c>
      <c r="I27" s="142">
        <v>0</v>
      </c>
      <c r="J27" s="142">
        <v>0</v>
      </c>
      <c r="K27" s="142">
        <v>0</v>
      </c>
      <c r="L27" s="142">
        <v>2.3473511819197164E-3</v>
      </c>
      <c r="M27" s="142">
        <v>0</v>
      </c>
      <c r="N27" s="142">
        <v>0.15177407890340303</v>
      </c>
      <c r="O27" s="142">
        <v>0</v>
      </c>
      <c r="P27" s="142">
        <v>0</v>
      </c>
      <c r="Q27" s="142">
        <v>0</v>
      </c>
      <c r="R27" s="142">
        <v>0</v>
      </c>
      <c r="S27" s="142">
        <v>7.5382032009504607E-2</v>
      </c>
      <c r="T27" s="142">
        <v>0</v>
      </c>
      <c r="U27" s="142">
        <v>0</v>
      </c>
      <c r="V27" s="142">
        <v>7.7897219293138267E-3</v>
      </c>
      <c r="W27" s="142">
        <v>0</v>
      </c>
      <c r="X27" s="142">
        <v>0</v>
      </c>
      <c r="Y27" s="142">
        <v>0</v>
      </c>
      <c r="Z27" s="142">
        <v>0</v>
      </c>
      <c r="AA27" s="142">
        <v>5.9470368385321944E-2</v>
      </c>
      <c r="AB27" s="142">
        <v>0</v>
      </c>
      <c r="AC27" s="142">
        <v>4.7112427644378611E-2</v>
      </c>
      <c r="AD27" s="142">
        <v>0</v>
      </c>
      <c r="AE27" s="142">
        <v>0</v>
      </c>
      <c r="AF27" s="142">
        <v>0</v>
      </c>
      <c r="AG27" s="142">
        <v>0</v>
      </c>
      <c r="AH27" s="142">
        <v>0</v>
      </c>
      <c r="AI27" s="142">
        <v>0</v>
      </c>
      <c r="AJ27" s="142">
        <v>0</v>
      </c>
      <c r="AK27" s="142">
        <v>0</v>
      </c>
      <c r="AL27" s="142">
        <v>0</v>
      </c>
      <c r="AM27" s="142">
        <v>0</v>
      </c>
    </row>
    <row r="28" spans="1:39" customFormat="1" x14ac:dyDescent="0.15">
      <c r="A28" s="178" t="s">
        <v>218</v>
      </c>
      <c r="B28" s="142">
        <v>0</v>
      </c>
      <c r="C28" s="142">
        <v>0</v>
      </c>
      <c r="D28" s="142">
        <v>0</v>
      </c>
      <c r="E28" s="142">
        <v>0</v>
      </c>
      <c r="F28" s="142">
        <v>0</v>
      </c>
      <c r="G28" s="142">
        <v>0</v>
      </c>
      <c r="H28" s="142">
        <v>0</v>
      </c>
      <c r="I28" s="142">
        <v>0</v>
      </c>
      <c r="J28" s="142">
        <v>0</v>
      </c>
      <c r="K28" s="142">
        <v>0</v>
      </c>
      <c r="L28" s="142">
        <v>0</v>
      </c>
      <c r="M28" s="142">
        <v>0</v>
      </c>
      <c r="N28" s="142">
        <v>0</v>
      </c>
      <c r="O28" s="142">
        <v>0</v>
      </c>
      <c r="P28" s="142">
        <v>7.3549087793527354E-2</v>
      </c>
      <c r="Q28" s="142">
        <v>0</v>
      </c>
      <c r="R28" s="142">
        <v>0</v>
      </c>
      <c r="S28" s="142">
        <v>1.5451508362140116E-2</v>
      </c>
      <c r="T28" s="142">
        <v>0</v>
      </c>
      <c r="U28" s="142">
        <v>0</v>
      </c>
      <c r="V28" s="142">
        <v>0</v>
      </c>
      <c r="W28" s="142">
        <v>0</v>
      </c>
      <c r="X28" s="142">
        <v>0</v>
      </c>
      <c r="Y28" s="142">
        <v>0</v>
      </c>
      <c r="Z28" s="142">
        <v>0</v>
      </c>
      <c r="AA28" s="142">
        <v>0.19436852740596236</v>
      </c>
      <c r="AB28" s="142">
        <v>0</v>
      </c>
      <c r="AC28" s="142">
        <v>0</v>
      </c>
      <c r="AD28" s="142">
        <v>0</v>
      </c>
      <c r="AE28" s="142">
        <v>0</v>
      </c>
      <c r="AF28" s="142">
        <v>0</v>
      </c>
      <c r="AG28" s="142">
        <v>0</v>
      </c>
      <c r="AH28" s="142">
        <v>0</v>
      </c>
      <c r="AI28" s="142">
        <v>0</v>
      </c>
      <c r="AJ28" s="142">
        <v>0</v>
      </c>
      <c r="AK28" s="142">
        <v>0</v>
      </c>
      <c r="AL28" s="142">
        <v>0</v>
      </c>
      <c r="AM28" s="142">
        <v>0</v>
      </c>
    </row>
    <row r="29" spans="1:39" customFormat="1" x14ac:dyDescent="0.15">
      <c r="A29" s="178" t="s">
        <v>219</v>
      </c>
      <c r="B29" s="142">
        <v>0</v>
      </c>
      <c r="C29" s="142">
        <v>0</v>
      </c>
      <c r="D29" s="142">
        <v>0</v>
      </c>
      <c r="E29" s="142">
        <v>0</v>
      </c>
      <c r="F29" s="142">
        <v>3.1249498776894616E-3</v>
      </c>
      <c r="G29" s="142">
        <v>0</v>
      </c>
      <c r="H29" s="142">
        <v>0</v>
      </c>
      <c r="I29" s="142">
        <v>0</v>
      </c>
      <c r="J29" s="142">
        <v>0</v>
      </c>
      <c r="K29" s="142">
        <v>0</v>
      </c>
      <c r="L29" s="142">
        <v>0</v>
      </c>
      <c r="M29" s="142">
        <v>0</v>
      </c>
      <c r="N29" s="142">
        <v>0</v>
      </c>
      <c r="O29" s="142">
        <v>0</v>
      </c>
      <c r="P29" s="142">
        <v>0</v>
      </c>
      <c r="Q29" s="142">
        <v>0</v>
      </c>
      <c r="R29" s="142">
        <v>0</v>
      </c>
      <c r="S29" s="142">
        <v>0</v>
      </c>
      <c r="T29" s="142">
        <v>0</v>
      </c>
      <c r="U29" s="142">
        <v>0</v>
      </c>
      <c r="V29" s="142">
        <v>6.0415117207523482E-2</v>
      </c>
      <c r="W29" s="142">
        <v>0</v>
      </c>
      <c r="X29" s="142">
        <v>0</v>
      </c>
      <c r="Y29" s="142">
        <v>0</v>
      </c>
      <c r="Z29" s="142">
        <v>0</v>
      </c>
      <c r="AA29" s="142">
        <v>7.6746060821194576E-3</v>
      </c>
      <c r="AB29" s="142">
        <v>0</v>
      </c>
      <c r="AC29" s="142">
        <v>0</v>
      </c>
      <c r="AD29" s="142">
        <v>0</v>
      </c>
      <c r="AE29" s="142">
        <v>0</v>
      </c>
      <c r="AF29" s="142">
        <v>0</v>
      </c>
      <c r="AG29" s="142">
        <v>0</v>
      </c>
      <c r="AH29" s="142">
        <v>0</v>
      </c>
      <c r="AI29" s="142">
        <v>0</v>
      </c>
      <c r="AJ29" s="142">
        <v>0</v>
      </c>
      <c r="AK29" s="142">
        <v>0</v>
      </c>
      <c r="AL29" s="142">
        <v>0</v>
      </c>
      <c r="AM29" s="142">
        <v>0</v>
      </c>
    </row>
    <row r="30" spans="1:39" customFormat="1" x14ac:dyDescent="0.15">
      <c r="A30" s="178" t="s">
        <v>220</v>
      </c>
      <c r="B30" s="142">
        <v>0</v>
      </c>
      <c r="C30" s="142">
        <v>3.2884740032884746E-2</v>
      </c>
      <c r="D30" s="142">
        <v>2.102170871767577E-2</v>
      </c>
      <c r="E30" s="142">
        <v>0</v>
      </c>
      <c r="F30" s="142">
        <v>6.3327777521350784E-2</v>
      </c>
      <c r="G30" s="142">
        <v>0</v>
      </c>
      <c r="H30" s="142">
        <v>0</v>
      </c>
      <c r="I30" s="142">
        <v>4.0676308750423794E-4</v>
      </c>
      <c r="J30" s="142">
        <v>4.0533067701775055E-3</v>
      </c>
      <c r="K30" s="142">
        <v>0</v>
      </c>
      <c r="L30" s="142">
        <v>2.5817722000873452E-2</v>
      </c>
      <c r="M30" s="142">
        <v>8.9589014355892088E-2</v>
      </c>
      <c r="N30" s="142">
        <v>0</v>
      </c>
      <c r="O30" s="142">
        <v>0</v>
      </c>
      <c r="P30" s="142">
        <v>0</v>
      </c>
      <c r="Q30" s="142">
        <v>0</v>
      </c>
      <c r="R30" s="142">
        <v>1.0810459348669826E-4</v>
      </c>
      <c r="S30" s="142">
        <v>0</v>
      </c>
      <c r="T30" s="142">
        <v>0</v>
      </c>
      <c r="U30" s="142">
        <v>0</v>
      </c>
      <c r="V30" s="142">
        <v>1.0489261251368867E-3</v>
      </c>
      <c r="W30" s="142">
        <v>0</v>
      </c>
      <c r="X30" s="142">
        <v>0</v>
      </c>
      <c r="Y30" s="142">
        <v>0</v>
      </c>
      <c r="Z30" s="142">
        <v>0</v>
      </c>
      <c r="AA30" s="142">
        <v>0</v>
      </c>
      <c r="AB30" s="142">
        <v>0</v>
      </c>
      <c r="AC30" s="142">
        <v>0</v>
      </c>
      <c r="AD30" s="142">
        <v>4.2607601363443243E-2</v>
      </c>
      <c r="AE30" s="142">
        <v>0</v>
      </c>
      <c r="AF30" s="142">
        <v>0</v>
      </c>
      <c r="AG30" s="142">
        <v>0</v>
      </c>
      <c r="AH30" s="142">
        <v>0</v>
      </c>
      <c r="AI30" s="142">
        <v>0</v>
      </c>
      <c r="AJ30" s="142">
        <v>0</v>
      </c>
      <c r="AK30" s="142">
        <v>0</v>
      </c>
      <c r="AL30" s="142">
        <v>0</v>
      </c>
      <c r="AM30" s="142">
        <v>0</v>
      </c>
    </row>
    <row r="31" spans="1:39" customFormat="1" x14ac:dyDescent="0.15">
      <c r="A31" s="178" t="s">
        <v>221</v>
      </c>
      <c r="B31" s="142">
        <v>0</v>
      </c>
      <c r="C31" s="142">
        <v>8.5350960085350969E-3</v>
      </c>
      <c r="D31" s="142">
        <v>9.4853974213907587E-3</v>
      </c>
      <c r="E31" s="142">
        <v>1.6830339949508978E-2</v>
      </c>
      <c r="F31" s="142">
        <v>2.4986479022029207E-2</v>
      </c>
      <c r="G31" s="142">
        <v>1.9649469548062196E-2</v>
      </c>
      <c r="H31" s="142">
        <v>0</v>
      </c>
      <c r="I31" s="142">
        <v>6.4958908004462343E-3</v>
      </c>
      <c r="J31" s="142">
        <v>0</v>
      </c>
      <c r="K31" s="142">
        <v>8.7621073866524832E-2</v>
      </c>
      <c r="L31" s="142">
        <v>4.0384393129790465E-4</v>
      </c>
      <c r="M31" s="142">
        <v>4.631139708238198E-2</v>
      </c>
      <c r="N31" s="142">
        <v>1.5071907905004803E-2</v>
      </c>
      <c r="O31" s="142">
        <v>2.4238042986432912E-2</v>
      </c>
      <c r="P31" s="142">
        <v>0</v>
      </c>
      <c r="Q31" s="142">
        <v>5.2795975754761351E-3</v>
      </c>
      <c r="R31" s="142">
        <v>6.2514386233508239E-3</v>
      </c>
      <c r="S31" s="142">
        <v>0</v>
      </c>
      <c r="T31" s="142">
        <v>0</v>
      </c>
      <c r="U31" s="142">
        <v>0</v>
      </c>
      <c r="V31" s="142">
        <v>0</v>
      </c>
      <c r="W31" s="142">
        <v>0</v>
      </c>
      <c r="X31" s="142">
        <v>0</v>
      </c>
      <c r="Y31" s="142">
        <v>0</v>
      </c>
      <c r="Z31" s="142">
        <v>0</v>
      </c>
      <c r="AA31" s="142">
        <v>0</v>
      </c>
      <c r="AB31" s="142">
        <v>0</v>
      </c>
      <c r="AC31" s="142">
        <v>0</v>
      </c>
      <c r="AD31" s="142">
        <v>0</v>
      </c>
      <c r="AE31" s="142">
        <v>0</v>
      </c>
      <c r="AF31" s="142">
        <v>0</v>
      </c>
      <c r="AG31" s="142">
        <v>0</v>
      </c>
      <c r="AH31" s="142">
        <v>0</v>
      </c>
      <c r="AI31" s="142">
        <v>0</v>
      </c>
      <c r="AJ31" s="142">
        <v>0</v>
      </c>
      <c r="AK31" s="142">
        <v>0</v>
      </c>
      <c r="AL31" s="142">
        <v>0</v>
      </c>
      <c r="AM31" s="142">
        <v>0</v>
      </c>
    </row>
    <row r="32" spans="1:39" customFormat="1" x14ac:dyDescent="0.15">
      <c r="A32" s="178" t="s">
        <v>222</v>
      </c>
      <c r="B32" s="142">
        <v>0</v>
      </c>
      <c r="C32" s="142">
        <v>2.2722700022722701E-2</v>
      </c>
      <c r="D32" s="142">
        <v>5.2899046773158152E-3</v>
      </c>
      <c r="E32" s="142">
        <v>5.6555139830334576E-2</v>
      </c>
      <c r="F32" s="142">
        <v>2.4250179050847989E-2</v>
      </c>
      <c r="G32" s="142">
        <v>1.6189379627644267E-2</v>
      </c>
      <c r="H32" s="142">
        <v>0</v>
      </c>
      <c r="I32" s="142">
        <v>4.1840488714660183E-4</v>
      </c>
      <c r="J32" s="142">
        <v>1.1952839322274009E-2</v>
      </c>
      <c r="K32" s="142">
        <v>5.1256496412045251E-2</v>
      </c>
      <c r="L32" s="142">
        <v>1.0621200823143063E-2</v>
      </c>
      <c r="M32" s="142">
        <v>3.9356187520560179E-2</v>
      </c>
      <c r="N32" s="142">
        <v>6.4736961001562419E-3</v>
      </c>
      <c r="O32" s="142">
        <v>3.0221428774120984E-2</v>
      </c>
      <c r="P32" s="142">
        <v>0</v>
      </c>
      <c r="Q32" s="142">
        <v>6.1707546726122589E-3</v>
      </c>
      <c r="R32" s="142">
        <v>9.4938044279982843E-5</v>
      </c>
      <c r="S32" s="142">
        <v>0</v>
      </c>
      <c r="T32" s="142">
        <v>0</v>
      </c>
      <c r="U32" s="142">
        <v>0</v>
      </c>
      <c r="V32" s="142">
        <v>3.1125413713261854E-3</v>
      </c>
      <c r="W32" s="142">
        <v>0</v>
      </c>
      <c r="X32" s="142">
        <v>3.0505590030505589E-3</v>
      </c>
      <c r="Y32" s="142">
        <v>0</v>
      </c>
      <c r="Z32" s="142">
        <v>0</v>
      </c>
      <c r="AA32" s="142">
        <v>1.4968112110503807E-3</v>
      </c>
      <c r="AB32" s="142">
        <v>0</v>
      </c>
      <c r="AC32" s="142">
        <v>0</v>
      </c>
      <c r="AD32" s="142">
        <v>1.0458330334666571E-2</v>
      </c>
      <c r="AE32" s="142">
        <v>0</v>
      </c>
      <c r="AF32" s="142">
        <v>0</v>
      </c>
      <c r="AG32" s="142">
        <v>0</v>
      </c>
      <c r="AH32" s="142">
        <v>0</v>
      </c>
      <c r="AI32" s="142">
        <v>0</v>
      </c>
      <c r="AJ32" s="142">
        <v>0</v>
      </c>
      <c r="AK32" s="142">
        <v>0</v>
      </c>
      <c r="AL32" s="142">
        <v>0</v>
      </c>
      <c r="AM32" s="142">
        <v>0</v>
      </c>
    </row>
    <row r="33" spans="1:39" customFormat="1" x14ac:dyDescent="0.15">
      <c r="A33" s="178" t="s">
        <v>223</v>
      </c>
      <c r="B33" s="142">
        <v>0</v>
      </c>
      <c r="C33" s="142">
        <v>0.2467208002467208</v>
      </c>
      <c r="D33" s="142">
        <v>0.68148635842933225</v>
      </c>
      <c r="E33" s="142">
        <v>8.9619799731140593E-2</v>
      </c>
      <c r="F33" s="142">
        <v>9.337196634542122E-2</v>
      </c>
      <c r="G33" s="142">
        <v>5.0158778846348074E-3</v>
      </c>
      <c r="H33" s="142">
        <v>0</v>
      </c>
      <c r="I33" s="142">
        <v>0</v>
      </c>
      <c r="J33" s="142">
        <v>0</v>
      </c>
      <c r="K33" s="142">
        <v>3.4161827608672063E-2</v>
      </c>
      <c r="L33" s="142">
        <v>0.10395380805642011</v>
      </c>
      <c r="M33" s="142">
        <v>0.14297939099229837</v>
      </c>
      <c r="N33" s="142">
        <v>0.18195277470856433</v>
      </c>
      <c r="O33" s="142">
        <v>0.25039464084287361</v>
      </c>
      <c r="P33" s="142">
        <v>0.1153776965386691</v>
      </c>
      <c r="Q33" s="142">
        <v>0</v>
      </c>
      <c r="R33" s="142">
        <v>0</v>
      </c>
      <c r="S33" s="142">
        <v>0.14027958513036401</v>
      </c>
      <c r="T33" s="142">
        <v>2.9724181456484895E-3</v>
      </c>
      <c r="U33" s="142">
        <v>0.17092009008663478</v>
      </c>
      <c r="V33" s="142">
        <v>1.365892162950935E-2</v>
      </c>
      <c r="W33" s="142">
        <v>0</v>
      </c>
      <c r="X33" s="142">
        <v>0</v>
      </c>
      <c r="Y33" s="142">
        <v>0</v>
      </c>
      <c r="Z33" s="142">
        <v>0</v>
      </c>
      <c r="AA33" s="142">
        <v>1.6199572284139693E-2</v>
      </c>
      <c r="AB33" s="142">
        <v>0</v>
      </c>
      <c r="AC33" s="142">
        <v>0</v>
      </c>
      <c r="AD33" s="142">
        <v>0.13742740439767695</v>
      </c>
      <c r="AE33" s="142">
        <v>0</v>
      </c>
      <c r="AF33" s="142">
        <v>2.0586239265071256E-2</v>
      </c>
      <c r="AG33" s="142">
        <v>5.9463578382590665E-3</v>
      </c>
      <c r="AH33" s="142">
        <v>0</v>
      </c>
      <c r="AI33" s="142">
        <v>0</v>
      </c>
      <c r="AJ33" s="142">
        <v>0</v>
      </c>
      <c r="AK33" s="142">
        <v>0</v>
      </c>
      <c r="AL33" s="142">
        <v>0</v>
      </c>
      <c r="AM33" s="142">
        <v>0</v>
      </c>
    </row>
    <row r="34" spans="1:39" customFormat="1" x14ac:dyDescent="0.15">
      <c r="A34" s="178" t="s">
        <v>224</v>
      </c>
      <c r="B34" s="142">
        <v>0</v>
      </c>
      <c r="C34" s="142">
        <v>4.0348620040348622E-2</v>
      </c>
      <c r="D34" s="142">
        <v>1.1626879290760363E-2</v>
      </c>
      <c r="E34" s="142">
        <v>4.8934929853195211E-2</v>
      </c>
      <c r="F34" s="142">
        <v>9.9006696124877905E-2</v>
      </c>
      <c r="G34" s="142">
        <v>3.5208479190204978E-2</v>
      </c>
      <c r="H34" s="142">
        <v>0</v>
      </c>
      <c r="I34" s="142">
        <v>1.0011629692442735E-3</v>
      </c>
      <c r="J34" s="142">
        <v>7.5974765692230781E-3</v>
      </c>
      <c r="K34" s="142">
        <v>0.34748717567589771</v>
      </c>
      <c r="L34" s="142">
        <v>8.1724466333646124E-3</v>
      </c>
      <c r="M34" s="142">
        <v>7.8173425075074215E-2</v>
      </c>
      <c r="N34" s="142">
        <v>3.8241084684489231E-2</v>
      </c>
      <c r="O34" s="142">
        <v>4.7903179687358112E-2</v>
      </c>
      <c r="P34" s="142">
        <v>4.1793048746208532E-2</v>
      </c>
      <c r="Q34" s="142">
        <v>1.435170156433547E-2</v>
      </c>
      <c r="R34" s="142">
        <v>1.5734899051972335E-3</v>
      </c>
      <c r="S34" s="142">
        <v>9.4946249935697526E-3</v>
      </c>
      <c r="T34" s="142">
        <v>6.8208333342208343E-3</v>
      </c>
      <c r="U34" s="142">
        <v>1.9459218871365307E-2</v>
      </c>
      <c r="V34" s="142">
        <v>4.450627530959865E-3</v>
      </c>
      <c r="W34" s="142">
        <v>0</v>
      </c>
      <c r="X34" s="142">
        <v>0</v>
      </c>
      <c r="Y34" s="142">
        <v>0</v>
      </c>
      <c r="Z34" s="142">
        <v>0</v>
      </c>
      <c r="AA34" s="142">
        <v>1.4747132079345623E-3</v>
      </c>
      <c r="AB34" s="142">
        <v>0</v>
      </c>
      <c r="AC34" s="142">
        <v>1.2801119359944029E-2</v>
      </c>
      <c r="AD34" s="142">
        <v>6.0206581926610624E-3</v>
      </c>
      <c r="AE34" s="142">
        <v>0</v>
      </c>
      <c r="AF34" s="142">
        <v>8.0719567118311454E-4</v>
      </c>
      <c r="AG34" s="142">
        <v>2.9116919208019797E-4</v>
      </c>
      <c r="AH34" s="142">
        <v>4.7198994767098466E-3</v>
      </c>
      <c r="AI34" s="142">
        <v>1.2586490441785815E-4</v>
      </c>
      <c r="AJ34" s="142">
        <v>0</v>
      </c>
      <c r="AK34" s="142">
        <v>0</v>
      </c>
      <c r="AL34" s="142">
        <v>0</v>
      </c>
      <c r="AM34" s="142">
        <v>0</v>
      </c>
    </row>
    <row r="35" spans="1:39" customFormat="1" x14ac:dyDescent="0.15">
      <c r="A35" s="178" t="s">
        <v>225</v>
      </c>
      <c r="B35" s="142">
        <v>0.27183571693536518</v>
      </c>
      <c r="C35" s="142">
        <v>0</v>
      </c>
      <c r="D35" s="142">
        <v>1.6818238974087425E-2</v>
      </c>
      <c r="E35" s="142">
        <v>1.705727994882816E-2</v>
      </c>
      <c r="F35" s="142">
        <v>1.9345469242818332E-2</v>
      </c>
      <c r="G35" s="142">
        <v>5.3691168765103107E-3</v>
      </c>
      <c r="H35" s="142">
        <v>0</v>
      </c>
      <c r="I35" s="142">
        <v>0</v>
      </c>
      <c r="J35" s="142">
        <v>0.3253125815547766</v>
      </c>
      <c r="K35" s="142">
        <v>0.19669498623135098</v>
      </c>
      <c r="L35" s="142">
        <v>2.9209052263701546E-2</v>
      </c>
      <c r="M35" s="142">
        <v>0.26396408337026273</v>
      </c>
      <c r="N35" s="142">
        <v>6.441661104609106E-2</v>
      </c>
      <c r="O35" s="142">
        <v>0.3637235744014673</v>
      </c>
      <c r="P35" s="142">
        <v>0.12378179628654611</v>
      </c>
      <c r="Q35" s="142">
        <v>0</v>
      </c>
      <c r="R35" s="142">
        <v>0.68437165876660766</v>
      </c>
      <c r="S35" s="142">
        <v>3.7415846033920327E-2</v>
      </c>
      <c r="T35" s="142">
        <v>0.70444213451766458</v>
      </c>
      <c r="U35" s="142">
        <v>4.4359447427152053E-2</v>
      </c>
      <c r="V35" s="142">
        <v>0.27397123268476808</v>
      </c>
      <c r="W35" s="142">
        <v>0.83565799164342014</v>
      </c>
      <c r="X35" s="142">
        <v>0.86172510086172505</v>
      </c>
      <c r="Y35" s="142">
        <v>0</v>
      </c>
      <c r="Z35" s="142">
        <v>0.28432390000000002</v>
      </c>
      <c r="AA35" s="142">
        <v>1.098167154841569E-2</v>
      </c>
      <c r="AB35" s="142">
        <v>2.3962867124455948E-2</v>
      </c>
      <c r="AC35" s="142">
        <v>0</v>
      </c>
      <c r="AD35" s="142">
        <v>0</v>
      </c>
      <c r="AE35" s="142">
        <v>0</v>
      </c>
      <c r="AF35" s="142">
        <v>0</v>
      </c>
      <c r="AG35" s="142">
        <v>0</v>
      </c>
      <c r="AH35" s="142">
        <v>0</v>
      </c>
      <c r="AI35" s="142">
        <v>8.2404202892387521E-2</v>
      </c>
      <c r="AJ35" s="142">
        <v>0</v>
      </c>
      <c r="AK35" s="142">
        <v>0</v>
      </c>
      <c r="AL35" s="142">
        <v>0</v>
      </c>
      <c r="AM35" s="142">
        <v>0</v>
      </c>
    </row>
    <row r="36" spans="1:39" customFormat="1" x14ac:dyDescent="0.15">
      <c r="A36" s="178" t="s">
        <v>226</v>
      </c>
      <c r="B36" s="142">
        <v>0</v>
      </c>
      <c r="C36" s="142">
        <v>0</v>
      </c>
      <c r="D36" s="142">
        <v>0</v>
      </c>
      <c r="E36" s="142">
        <v>0</v>
      </c>
      <c r="F36" s="142">
        <v>0</v>
      </c>
      <c r="G36" s="142">
        <v>0</v>
      </c>
      <c r="H36" s="142">
        <v>0</v>
      </c>
      <c r="I36" s="142">
        <v>0</v>
      </c>
      <c r="J36" s="142">
        <v>6.2593026450975396E-4</v>
      </c>
      <c r="K36" s="142">
        <v>0</v>
      </c>
      <c r="L36" s="142">
        <v>0</v>
      </c>
      <c r="M36" s="142">
        <v>0</v>
      </c>
      <c r="N36" s="142">
        <v>0.26399456330475574</v>
      </c>
      <c r="O36" s="142">
        <v>0</v>
      </c>
      <c r="P36" s="142">
        <v>0</v>
      </c>
      <c r="Q36" s="142">
        <v>0</v>
      </c>
      <c r="R36" s="142">
        <v>0</v>
      </c>
      <c r="S36" s="142">
        <v>0</v>
      </c>
      <c r="T36" s="142">
        <v>0.28576461400246606</v>
      </c>
      <c r="U36" s="142">
        <v>0</v>
      </c>
      <c r="V36" s="142">
        <v>0</v>
      </c>
      <c r="W36" s="142">
        <v>0</v>
      </c>
      <c r="X36" s="142">
        <v>0</v>
      </c>
      <c r="Y36" s="142">
        <v>0</v>
      </c>
      <c r="Z36" s="142">
        <v>0.53978870000000001</v>
      </c>
      <c r="AA36" s="142">
        <v>2.9138354108507931E-3</v>
      </c>
      <c r="AB36" s="142">
        <v>1.047599874288015E-2</v>
      </c>
      <c r="AC36" s="142">
        <v>0</v>
      </c>
      <c r="AD36" s="142">
        <v>0</v>
      </c>
      <c r="AE36" s="142">
        <v>0</v>
      </c>
      <c r="AF36" s="142">
        <v>0.13881909504415829</v>
      </c>
      <c r="AG36" s="142">
        <v>0</v>
      </c>
      <c r="AH36" s="142">
        <v>0.20020852022106053</v>
      </c>
      <c r="AI36" s="142">
        <v>0.76971802701710279</v>
      </c>
      <c r="AJ36" s="142">
        <v>0</v>
      </c>
      <c r="AK36" s="142">
        <v>0</v>
      </c>
      <c r="AL36" s="142">
        <v>0</v>
      </c>
      <c r="AM36" s="142">
        <v>0</v>
      </c>
    </row>
    <row r="37" spans="1:39" customFormat="1" x14ac:dyDescent="0.15">
      <c r="A37" s="178" t="s">
        <v>227</v>
      </c>
      <c r="B37" s="142">
        <v>0</v>
      </c>
      <c r="C37" s="142">
        <v>0</v>
      </c>
      <c r="D37" s="142">
        <v>3.3722447942930681E-2</v>
      </c>
      <c r="E37" s="142">
        <v>9.0369749728890746E-3</v>
      </c>
      <c r="F37" s="142">
        <v>8.1523136809184427E-3</v>
      </c>
      <c r="G37" s="142">
        <v>0</v>
      </c>
      <c r="H37" s="142">
        <v>0</v>
      </c>
      <c r="I37" s="142">
        <v>0</v>
      </c>
      <c r="J37" s="142">
        <v>6.6779106213624671E-3</v>
      </c>
      <c r="K37" s="142">
        <v>0</v>
      </c>
      <c r="L37" s="142">
        <v>3.977728308273943E-2</v>
      </c>
      <c r="M37" s="142">
        <v>0.20165218729591219</v>
      </c>
      <c r="N37" s="142">
        <v>0.11000888470876503</v>
      </c>
      <c r="O37" s="142">
        <v>0</v>
      </c>
      <c r="P37" s="142">
        <v>0.14661779560146612</v>
      </c>
      <c r="Q37" s="142">
        <v>0</v>
      </c>
      <c r="R37" s="142">
        <v>3.3110958005064785E-2</v>
      </c>
      <c r="S37" s="142">
        <v>0</v>
      </c>
      <c r="T37" s="142">
        <v>0</v>
      </c>
      <c r="U37" s="142">
        <v>0.1182268931428402</v>
      </c>
      <c r="V37" s="142">
        <v>0.45882735473810343</v>
      </c>
      <c r="W37" s="142">
        <v>0</v>
      </c>
      <c r="X37" s="142">
        <v>0</v>
      </c>
      <c r="Y37" s="142">
        <v>0.56569550000000002</v>
      </c>
      <c r="Z37" s="142">
        <v>0</v>
      </c>
      <c r="AA37" s="142">
        <v>0.55334207802123303</v>
      </c>
      <c r="AB37" s="142">
        <v>8.2275440126947194E-2</v>
      </c>
      <c r="AC37" s="142">
        <v>0.51933107403344625</v>
      </c>
      <c r="AD37" s="142">
        <v>0.20347220651111059</v>
      </c>
      <c r="AE37" s="142">
        <v>0</v>
      </c>
      <c r="AF37" s="142">
        <v>0.11575929586739313</v>
      </c>
      <c r="AG37" s="142">
        <v>0.1131758969216156</v>
      </c>
      <c r="AH37" s="142">
        <v>0</v>
      </c>
      <c r="AI37" s="142">
        <v>0</v>
      </c>
      <c r="AJ37" s="142">
        <v>0</v>
      </c>
      <c r="AK37" s="142">
        <v>0</v>
      </c>
      <c r="AL37" s="142">
        <v>0</v>
      </c>
      <c r="AM37" s="142">
        <v>0</v>
      </c>
    </row>
    <row r="38" spans="1:39" customFormat="1" x14ac:dyDescent="0.15">
      <c r="A38" s="178" t="s">
        <v>228</v>
      </c>
      <c r="B38" s="142">
        <v>0</v>
      </c>
      <c r="C38" s="142">
        <v>0</v>
      </c>
      <c r="D38" s="142">
        <v>0</v>
      </c>
      <c r="E38" s="142">
        <v>0</v>
      </c>
      <c r="F38" s="142">
        <v>0</v>
      </c>
      <c r="G38" s="142">
        <v>0</v>
      </c>
      <c r="H38" s="142">
        <v>0</v>
      </c>
      <c r="I38" s="142">
        <v>0</v>
      </c>
      <c r="J38" s="142">
        <v>2.1414128785818897E-2</v>
      </c>
      <c r="K38" s="142">
        <v>0</v>
      </c>
      <c r="L38" s="142">
        <v>0</v>
      </c>
      <c r="M38" s="142">
        <v>0</v>
      </c>
      <c r="N38" s="142">
        <v>0</v>
      </c>
      <c r="O38" s="142">
        <v>0</v>
      </c>
      <c r="P38" s="142">
        <v>0</v>
      </c>
      <c r="Q38" s="142">
        <v>0</v>
      </c>
      <c r="R38" s="142">
        <v>0</v>
      </c>
      <c r="S38" s="142">
        <v>0.69267982657593852</v>
      </c>
      <c r="T38" s="142">
        <v>0</v>
      </c>
      <c r="U38" s="142">
        <v>0.62641246366807724</v>
      </c>
      <c r="V38" s="142">
        <v>8.812471051327795E-3</v>
      </c>
      <c r="W38" s="142">
        <v>0.12228079877719202</v>
      </c>
      <c r="X38" s="142">
        <v>0</v>
      </c>
      <c r="Y38" s="142">
        <v>0.43430449999999998</v>
      </c>
      <c r="Z38" s="142">
        <v>0.1758874</v>
      </c>
      <c r="AA38" s="142">
        <v>0.13198161860940824</v>
      </c>
      <c r="AB38" s="142">
        <v>0.88328569400571677</v>
      </c>
      <c r="AC38" s="142">
        <v>0</v>
      </c>
      <c r="AD38" s="142">
        <v>0.46274881480796209</v>
      </c>
      <c r="AE38" s="142">
        <v>0.97242501944850035</v>
      </c>
      <c r="AF38" s="142">
        <v>0.72402817415219412</v>
      </c>
      <c r="AG38" s="142">
        <v>0.88058657604804513</v>
      </c>
      <c r="AH38" s="142">
        <v>0.79507158030222957</v>
      </c>
      <c r="AI38" s="142">
        <v>0.14775190518609185</v>
      </c>
      <c r="AJ38" s="142">
        <v>0</v>
      </c>
      <c r="AK38" s="142">
        <v>0</v>
      </c>
      <c r="AL38" s="142">
        <v>0</v>
      </c>
      <c r="AM38" s="142">
        <v>0</v>
      </c>
    </row>
    <row r="39" spans="1:39" x14ac:dyDescent="0.15">
      <c r="A39" s="178" t="s">
        <v>229</v>
      </c>
      <c r="B39" s="142">
        <v>0</v>
      </c>
      <c r="C39" s="142">
        <v>0</v>
      </c>
      <c r="D39" s="142">
        <v>0</v>
      </c>
      <c r="E39" s="142">
        <v>0</v>
      </c>
      <c r="F39" s="142">
        <v>0</v>
      </c>
      <c r="G39" s="142">
        <v>0</v>
      </c>
      <c r="H39" s="142">
        <v>0</v>
      </c>
      <c r="I39" s="142">
        <v>0</v>
      </c>
      <c r="J39" s="142">
        <v>0</v>
      </c>
      <c r="K39" s="142">
        <v>0</v>
      </c>
      <c r="L39" s="142">
        <v>0</v>
      </c>
      <c r="M39" s="142">
        <v>0</v>
      </c>
      <c r="N39" s="142">
        <v>0</v>
      </c>
      <c r="O39" s="142">
        <v>0</v>
      </c>
      <c r="P39" s="142">
        <v>0</v>
      </c>
      <c r="Q39" s="142">
        <v>0</v>
      </c>
      <c r="R39" s="142">
        <v>0</v>
      </c>
      <c r="S39" s="142">
        <v>0</v>
      </c>
      <c r="T39" s="142">
        <v>0</v>
      </c>
      <c r="U39" s="142">
        <v>0</v>
      </c>
      <c r="V39" s="142">
        <v>0</v>
      </c>
      <c r="W39" s="142">
        <v>0</v>
      </c>
      <c r="X39" s="142">
        <v>0</v>
      </c>
      <c r="Y39" s="142">
        <v>0</v>
      </c>
      <c r="Z39" s="142">
        <v>0</v>
      </c>
      <c r="AA39" s="142">
        <v>0</v>
      </c>
      <c r="AB39" s="142">
        <v>0</v>
      </c>
      <c r="AC39" s="142">
        <v>0</v>
      </c>
      <c r="AD39" s="142">
        <v>0</v>
      </c>
      <c r="AE39" s="142">
        <v>0</v>
      </c>
      <c r="AF39" s="142">
        <v>0</v>
      </c>
      <c r="AG39" s="142">
        <v>0</v>
      </c>
      <c r="AH39" s="142">
        <v>0</v>
      </c>
      <c r="AI39" s="142">
        <v>0</v>
      </c>
      <c r="AJ39" s="142">
        <v>0</v>
      </c>
      <c r="AK39" s="142">
        <v>0</v>
      </c>
      <c r="AL39" s="142">
        <v>0</v>
      </c>
      <c r="AM39" s="142">
        <v>0</v>
      </c>
    </row>
    <row r="40" spans="1:39" x14ac:dyDescent="0.15">
      <c r="A40" s="178" t="s">
        <v>232</v>
      </c>
      <c r="B40" s="142">
        <v>0</v>
      </c>
      <c r="C40" s="142">
        <v>0</v>
      </c>
      <c r="D40" s="142">
        <v>0</v>
      </c>
      <c r="E40" s="142">
        <v>0</v>
      </c>
      <c r="F40" s="142">
        <v>0</v>
      </c>
      <c r="G40" s="142">
        <v>0</v>
      </c>
      <c r="H40" s="142">
        <v>0</v>
      </c>
      <c r="I40" s="142">
        <v>0</v>
      </c>
      <c r="J40" s="142">
        <v>0</v>
      </c>
      <c r="K40" s="142">
        <v>0</v>
      </c>
      <c r="L40" s="142">
        <v>0</v>
      </c>
      <c r="M40" s="142">
        <v>0</v>
      </c>
      <c r="N40" s="142">
        <v>0</v>
      </c>
      <c r="O40" s="142">
        <v>0</v>
      </c>
      <c r="P40" s="142">
        <v>0</v>
      </c>
      <c r="Q40" s="142">
        <v>0</v>
      </c>
      <c r="R40" s="142">
        <v>0</v>
      </c>
      <c r="S40" s="142">
        <v>0</v>
      </c>
      <c r="T40" s="142">
        <v>0</v>
      </c>
      <c r="U40" s="142">
        <v>0</v>
      </c>
      <c r="V40" s="142">
        <v>0</v>
      </c>
      <c r="W40" s="142">
        <v>0</v>
      </c>
      <c r="X40" s="142">
        <v>0</v>
      </c>
      <c r="Y40" s="142">
        <v>0</v>
      </c>
      <c r="Z40" s="142">
        <v>0</v>
      </c>
      <c r="AA40" s="142">
        <v>0</v>
      </c>
      <c r="AB40" s="142">
        <v>0</v>
      </c>
      <c r="AC40" s="142">
        <v>0</v>
      </c>
      <c r="AD40" s="142">
        <v>0</v>
      </c>
      <c r="AE40" s="142">
        <v>0</v>
      </c>
      <c r="AF40" s="142">
        <v>0</v>
      </c>
      <c r="AG40" s="142">
        <v>0</v>
      </c>
      <c r="AH40" s="142">
        <v>0</v>
      </c>
      <c r="AI40" s="142">
        <v>0</v>
      </c>
      <c r="AJ40" s="142">
        <v>0</v>
      </c>
      <c r="AK40" s="142">
        <v>0</v>
      </c>
      <c r="AL40" s="142">
        <v>0</v>
      </c>
      <c r="AM40" s="142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110" customWidth="1"/>
    <col min="5" max="6" width="2.33203125" style="109" bestFit="1" customWidth="1"/>
    <col min="7" max="8" width="8.83203125" style="110"/>
  </cols>
  <sheetData>
    <row r="1" spans="1:8" ht="70" x14ac:dyDescent="0.15">
      <c r="A1" s="5" t="s">
        <v>20</v>
      </c>
      <c r="B1" s="1" t="s">
        <v>0</v>
      </c>
      <c r="C1" s="181" t="s">
        <v>228</v>
      </c>
      <c r="D1" s="181" t="s">
        <v>229</v>
      </c>
      <c r="E1" s="181" t="s">
        <v>233</v>
      </c>
      <c r="F1" s="181" t="s">
        <v>234</v>
      </c>
      <c r="G1"/>
      <c r="H1"/>
    </row>
    <row r="2" spans="1:8" x14ac:dyDescent="0.15">
      <c r="A2">
        <v>1</v>
      </c>
      <c r="B2" s="180" t="s">
        <v>192</v>
      </c>
      <c r="C2" s="110">
        <v>1</v>
      </c>
      <c r="D2" s="110">
        <v>0</v>
      </c>
      <c r="E2" s="109">
        <v>0</v>
      </c>
      <c r="F2" s="109">
        <v>1</v>
      </c>
      <c r="G2"/>
      <c r="H2"/>
    </row>
    <row r="3" spans="1:8" x14ac:dyDescent="0.15">
      <c r="A3">
        <v>2</v>
      </c>
      <c r="B3" s="180" t="s">
        <v>193</v>
      </c>
      <c r="C3" s="110">
        <v>1</v>
      </c>
      <c r="D3" s="110">
        <v>0</v>
      </c>
      <c r="E3" s="109">
        <v>0</v>
      </c>
      <c r="F3" s="109">
        <v>1</v>
      </c>
      <c r="G3"/>
      <c r="H3"/>
    </row>
    <row r="4" spans="1:8" x14ac:dyDescent="0.15">
      <c r="A4">
        <v>3</v>
      </c>
      <c r="B4" s="180" t="s">
        <v>194</v>
      </c>
      <c r="C4" s="110">
        <v>1</v>
      </c>
      <c r="D4" s="110">
        <v>0</v>
      </c>
      <c r="E4" s="109">
        <v>0</v>
      </c>
      <c r="F4" s="109">
        <v>1</v>
      </c>
      <c r="G4"/>
      <c r="H4"/>
    </row>
    <row r="5" spans="1:8" x14ac:dyDescent="0.15">
      <c r="A5">
        <v>4</v>
      </c>
      <c r="B5" s="180" t="s">
        <v>195</v>
      </c>
      <c r="C5" s="110">
        <v>1</v>
      </c>
      <c r="D5" s="110">
        <v>0</v>
      </c>
      <c r="E5" s="109">
        <v>0</v>
      </c>
      <c r="F5" s="109">
        <v>1</v>
      </c>
      <c r="G5"/>
      <c r="H5"/>
    </row>
    <row r="6" spans="1:8" x14ac:dyDescent="0.15">
      <c r="A6">
        <v>5</v>
      </c>
      <c r="B6" s="180" t="s">
        <v>196</v>
      </c>
      <c r="C6" s="110">
        <v>1</v>
      </c>
      <c r="D6" s="110">
        <v>0</v>
      </c>
      <c r="E6" s="109">
        <v>0</v>
      </c>
      <c r="F6" s="109">
        <v>1</v>
      </c>
      <c r="G6"/>
      <c r="H6"/>
    </row>
    <row r="7" spans="1:8" x14ac:dyDescent="0.15">
      <c r="A7">
        <v>6</v>
      </c>
      <c r="B7" s="180" t="s">
        <v>197</v>
      </c>
      <c r="C7" s="110">
        <v>1</v>
      </c>
      <c r="D7" s="110">
        <v>0</v>
      </c>
      <c r="E7" s="109">
        <v>0</v>
      </c>
      <c r="F7" s="109">
        <v>1</v>
      </c>
      <c r="G7"/>
      <c r="H7"/>
    </row>
    <row r="8" spans="1:8" x14ac:dyDescent="0.15">
      <c r="A8">
        <v>7</v>
      </c>
      <c r="B8" s="180" t="s">
        <v>198</v>
      </c>
      <c r="C8" s="110">
        <v>1</v>
      </c>
      <c r="D8" s="110">
        <v>0</v>
      </c>
      <c r="E8" s="109">
        <v>0</v>
      </c>
      <c r="F8" s="109">
        <v>1</v>
      </c>
      <c r="G8"/>
      <c r="H8"/>
    </row>
    <row r="9" spans="1:8" x14ac:dyDescent="0.15">
      <c r="A9">
        <v>8</v>
      </c>
      <c r="B9" s="180" t="s">
        <v>199</v>
      </c>
      <c r="C9" s="110">
        <v>1</v>
      </c>
      <c r="D9" s="110">
        <v>0</v>
      </c>
      <c r="E9" s="109">
        <v>0</v>
      </c>
      <c r="F9" s="109">
        <v>1</v>
      </c>
      <c r="G9"/>
      <c r="H9"/>
    </row>
    <row r="10" spans="1:8" x14ac:dyDescent="0.15">
      <c r="A10">
        <v>9</v>
      </c>
      <c r="B10" s="180" t="s">
        <v>200</v>
      </c>
      <c r="C10" s="110">
        <v>1</v>
      </c>
      <c r="D10" s="110">
        <v>0</v>
      </c>
      <c r="E10" s="109">
        <v>0</v>
      </c>
      <c r="F10" s="109">
        <v>1</v>
      </c>
      <c r="G10"/>
      <c r="H10"/>
    </row>
    <row r="11" spans="1:8" x14ac:dyDescent="0.15">
      <c r="A11">
        <v>10</v>
      </c>
      <c r="B11" s="180" t="s">
        <v>201</v>
      </c>
      <c r="C11" s="110">
        <v>1</v>
      </c>
      <c r="D11" s="110">
        <v>0</v>
      </c>
      <c r="E11" s="109">
        <v>0</v>
      </c>
      <c r="F11" s="109">
        <v>1</v>
      </c>
      <c r="G11"/>
      <c r="H11"/>
    </row>
    <row r="12" spans="1:8" x14ac:dyDescent="0.15">
      <c r="A12">
        <v>11</v>
      </c>
      <c r="B12" s="180" t="s">
        <v>202</v>
      </c>
      <c r="C12" s="110">
        <v>1</v>
      </c>
      <c r="D12" s="110">
        <v>0</v>
      </c>
      <c r="E12" s="109">
        <v>0</v>
      </c>
      <c r="F12" s="109">
        <v>1</v>
      </c>
      <c r="G12"/>
      <c r="H12"/>
    </row>
    <row r="13" spans="1:8" x14ac:dyDescent="0.15">
      <c r="A13">
        <v>12</v>
      </c>
      <c r="B13" s="180" t="s">
        <v>203</v>
      </c>
      <c r="C13" s="110">
        <v>1</v>
      </c>
      <c r="D13" s="110">
        <v>0</v>
      </c>
      <c r="E13" s="109">
        <v>0</v>
      </c>
      <c r="F13" s="109">
        <v>1</v>
      </c>
      <c r="G13"/>
      <c r="H13"/>
    </row>
    <row r="14" spans="1:8" x14ac:dyDescent="0.15">
      <c r="A14">
        <v>13</v>
      </c>
      <c r="B14" s="180" t="s">
        <v>204</v>
      </c>
      <c r="C14" s="110">
        <v>1</v>
      </c>
      <c r="D14" s="110">
        <v>0</v>
      </c>
      <c r="E14" s="109">
        <v>0</v>
      </c>
      <c r="F14" s="109">
        <v>1</v>
      </c>
      <c r="G14"/>
      <c r="H14"/>
    </row>
    <row r="15" spans="1:8" x14ac:dyDescent="0.15">
      <c r="A15">
        <v>14</v>
      </c>
      <c r="B15" s="180" t="s">
        <v>205</v>
      </c>
      <c r="C15" s="110">
        <v>1</v>
      </c>
      <c r="D15" s="110">
        <v>0</v>
      </c>
      <c r="E15" s="109">
        <v>0</v>
      </c>
      <c r="F15" s="109">
        <v>1</v>
      </c>
      <c r="G15"/>
      <c r="H15"/>
    </row>
    <row r="16" spans="1:8" x14ac:dyDescent="0.15">
      <c r="A16">
        <v>15</v>
      </c>
      <c r="B16" s="180" t="s">
        <v>206</v>
      </c>
      <c r="C16" s="110">
        <v>1</v>
      </c>
      <c r="D16" s="110">
        <v>0</v>
      </c>
      <c r="E16" s="109">
        <v>0</v>
      </c>
      <c r="F16" s="109">
        <v>1</v>
      </c>
      <c r="G16"/>
      <c r="H16"/>
    </row>
    <row r="17" spans="1:8" ht="15" customHeight="1" x14ac:dyDescent="0.15">
      <c r="A17">
        <v>16</v>
      </c>
      <c r="B17" s="180" t="s">
        <v>207</v>
      </c>
      <c r="C17" s="110">
        <v>1</v>
      </c>
      <c r="D17" s="110">
        <v>0</v>
      </c>
      <c r="E17" s="109">
        <v>0</v>
      </c>
      <c r="F17" s="109">
        <v>1</v>
      </c>
      <c r="G17"/>
      <c r="H17"/>
    </row>
    <row r="18" spans="1:8" ht="15" customHeight="1" x14ac:dyDescent="0.15">
      <c r="A18">
        <v>17</v>
      </c>
      <c r="B18" s="180" t="s">
        <v>208</v>
      </c>
      <c r="C18" s="110">
        <v>1</v>
      </c>
      <c r="D18" s="110">
        <v>0</v>
      </c>
      <c r="E18" s="109">
        <v>0</v>
      </c>
      <c r="F18" s="109">
        <v>1</v>
      </c>
      <c r="G18"/>
      <c r="H18"/>
    </row>
    <row r="19" spans="1:8" ht="15" customHeight="1" x14ac:dyDescent="0.15">
      <c r="A19">
        <v>18</v>
      </c>
      <c r="B19" s="180" t="s">
        <v>209</v>
      </c>
      <c r="C19" s="110">
        <v>1</v>
      </c>
      <c r="D19" s="110">
        <v>0</v>
      </c>
      <c r="E19" s="109">
        <v>0</v>
      </c>
      <c r="F19" s="109">
        <v>1</v>
      </c>
      <c r="G19"/>
      <c r="H19"/>
    </row>
    <row r="20" spans="1:8" ht="15" customHeight="1" x14ac:dyDescent="0.15">
      <c r="A20">
        <v>19</v>
      </c>
      <c r="B20" s="180" t="s">
        <v>210</v>
      </c>
      <c r="C20" s="110">
        <v>1</v>
      </c>
      <c r="D20" s="110">
        <v>0</v>
      </c>
      <c r="E20" s="109">
        <v>0</v>
      </c>
      <c r="F20" s="109">
        <v>1</v>
      </c>
      <c r="G20"/>
      <c r="H20"/>
    </row>
    <row r="21" spans="1:8" ht="15" customHeight="1" x14ac:dyDescent="0.15">
      <c r="A21">
        <v>20</v>
      </c>
      <c r="B21" s="180" t="s">
        <v>211</v>
      </c>
      <c r="C21" s="110">
        <v>1</v>
      </c>
      <c r="D21" s="110">
        <v>0</v>
      </c>
      <c r="E21" s="109">
        <v>0</v>
      </c>
      <c r="F21" s="109">
        <v>1</v>
      </c>
      <c r="G21"/>
      <c r="H21"/>
    </row>
    <row r="22" spans="1:8" ht="15" customHeight="1" x14ac:dyDescent="0.15">
      <c r="A22">
        <v>21</v>
      </c>
      <c r="B22" s="180" t="s">
        <v>212</v>
      </c>
      <c r="C22" s="110">
        <v>1</v>
      </c>
      <c r="D22" s="110">
        <v>0</v>
      </c>
      <c r="E22" s="109">
        <v>0</v>
      </c>
      <c r="F22" s="109">
        <v>1</v>
      </c>
      <c r="G22"/>
      <c r="H22"/>
    </row>
    <row r="23" spans="1:8" ht="15" customHeight="1" x14ac:dyDescent="0.15">
      <c r="A23">
        <v>22</v>
      </c>
      <c r="B23" s="180" t="s">
        <v>213</v>
      </c>
      <c r="C23" s="110">
        <v>1</v>
      </c>
      <c r="D23" s="110">
        <v>0</v>
      </c>
      <c r="E23" s="109">
        <v>0</v>
      </c>
      <c r="F23" s="109">
        <v>1</v>
      </c>
      <c r="G23"/>
      <c r="H23"/>
    </row>
    <row r="24" spans="1:8" ht="15" customHeight="1" x14ac:dyDescent="0.15">
      <c r="A24">
        <v>23</v>
      </c>
      <c r="B24" s="180" t="s">
        <v>214</v>
      </c>
      <c r="C24" s="110">
        <v>1</v>
      </c>
      <c r="D24" s="110">
        <v>0</v>
      </c>
      <c r="E24" s="109">
        <v>0</v>
      </c>
      <c r="F24" s="109">
        <v>1</v>
      </c>
      <c r="G24"/>
      <c r="H24"/>
    </row>
    <row r="25" spans="1:8" ht="15" customHeight="1" x14ac:dyDescent="0.15">
      <c r="A25">
        <v>24</v>
      </c>
      <c r="B25" s="180" t="s">
        <v>215</v>
      </c>
      <c r="C25" s="110">
        <v>1</v>
      </c>
      <c r="D25" s="110">
        <v>0</v>
      </c>
      <c r="E25" s="109">
        <v>0</v>
      </c>
      <c r="F25" s="109">
        <v>1</v>
      </c>
      <c r="G25"/>
      <c r="H25"/>
    </row>
    <row r="26" spans="1:8" ht="15" customHeight="1" x14ac:dyDescent="0.15">
      <c r="A26">
        <v>25</v>
      </c>
      <c r="B26" s="180" t="s">
        <v>216</v>
      </c>
      <c r="C26" s="110">
        <v>1</v>
      </c>
      <c r="D26" s="110">
        <v>0</v>
      </c>
      <c r="E26" s="109">
        <v>0</v>
      </c>
      <c r="F26" s="109">
        <v>1</v>
      </c>
      <c r="G26"/>
      <c r="H26"/>
    </row>
    <row r="27" spans="1:8" ht="15" customHeight="1" x14ac:dyDescent="0.15">
      <c r="A27">
        <v>26</v>
      </c>
      <c r="B27" s="180" t="s">
        <v>217</v>
      </c>
      <c r="C27" s="110">
        <v>1</v>
      </c>
      <c r="D27" s="110">
        <v>0</v>
      </c>
      <c r="E27" s="109">
        <v>0</v>
      </c>
      <c r="F27" s="109">
        <v>1</v>
      </c>
      <c r="G27"/>
      <c r="H27"/>
    </row>
    <row r="28" spans="1:8" ht="15" customHeight="1" x14ac:dyDescent="0.15">
      <c r="A28">
        <v>27</v>
      </c>
      <c r="B28" s="180" t="s">
        <v>218</v>
      </c>
      <c r="C28" s="110">
        <v>1</v>
      </c>
      <c r="D28" s="110">
        <v>0</v>
      </c>
      <c r="E28" s="109">
        <v>0</v>
      </c>
      <c r="F28" s="109">
        <v>1</v>
      </c>
      <c r="G28"/>
      <c r="H28"/>
    </row>
    <row r="29" spans="1:8" ht="15" customHeight="1" x14ac:dyDescent="0.15">
      <c r="A29">
        <v>28</v>
      </c>
      <c r="B29" s="180" t="s">
        <v>219</v>
      </c>
      <c r="C29" s="110">
        <v>1</v>
      </c>
      <c r="D29" s="110">
        <v>0</v>
      </c>
      <c r="E29" s="109">
        <v>0</v>
      </c>
      <c r="F29" s="109">
        <v>1</v>
      </c>
      <c r="G29"/>
      <c r="H29"/>
    </row>
    <row r="30" spans="1:8" ht="15" customHeight="1" x14ac:dyDescent="0.15">
      <c r="A30">
        <v>29</v>
      </c>
      <c r="B30" s="180" t="s">
        <v>220</v>
      </c>
      <c r="C30" s="110">
        <v>1</v>
      </c>
      <c r="D30" s="110">
        <v>0</v>
      </c>
      <c r="E30" s="109">
        <v>0</v>
      </c>
      <c r="F30" s="109">
        <v>1</v>
      </c>
      <c r="G30"/>
      <c r="H30"/>
    </row>
    <row r="31" spans="1:8" ht="15" customHeight="1" x14ac:dyDescent="0.15">
      <c r="A31">
        <v>30</v>
      </c>
      <c r="B31" s="180" t="s">
        <v>221</v>
      </c>
      <c r="C31" s="110">
        <v>1</v>
      </c>
      <c r="D31" s="110">
        <v>0</v>
      </c>
      <c r="E31" s="109">
        <v>0</v>
      </c>
      <c r="F31" s="109">
        <v>1</v>
      </c>
      <c r="G31"/>
      <c r="H31"/>
    </row>
    <row r="32" spans="1:8" ht="15" customHeight="1" x14ac:dyDescent="0.15">
      <c r="A32">
        <v>31</v>
      </c>
      <c r="B32" s="180" t="s">
        <v>222</v>
      </c>
      <c r="C32" s="110">
        <v>1</v>
      </c>
      <c r="D32" s="110">
        <v>0</v>
      </c>
      <c r="E32" s="109">
        <v>0</v>
      </c>
      <c r="F32" s="109">
        <v>1</v>
      </c>
    </row>
    <row r="33" spans="1:8" ht="15" customHeight="1" x14ac:dyDescent="0.15">
      <c r="A33">
        <v>32</v>
      </c>
      <c r="B33" s="180" t="s">
        <v>223</v>
      </c>
      <c r="C33" s="110">
        <v>1</v>
      </c>
      <c r="D33" s="110">
        <v>0</v>
      </c>
      <c r="E33" s="109">
        <v>0</v>
      </c>
      <c r="F33" s="109">
        <v>1</v>
      </c>
    </row>
    <row r="34" spans="1:8" ht="15" customHeight="1" x14ac:dyDescent="0.15">
      <c r="A34">
        <v>33</v>
      </c>
      <c r="B34" s="180" t="s">
        <v>224</v>
      </c>
      <c r="C34" s="110">
        <v>1</v>
      </c>
      <c r="D34" s="110">
        <v>0</v>
      </c>
      <c r="E34" s="109">
        <v>0</v>
      </c>
      <c r="F34" s="109">
        <v>1</v>
      </c>
    </row>
    <row r="35" spans="1:8" ht="15" customHeight="1" x14ac:dyDescent="0.15">
      <c r="A35">
        <v>34</v>
      </c>
      <c r="B35" s="180" t="s">
        <v>225</v>
      </c>
      <c r="C35" s="110">
        <v>1</v>
      </c>
      <c r="D35" s="110">
        <v>0</v>
      </c>
      <c r="E35" s="109">
        <v>0</v>
      </c>
      <c r="F35" s="109">
        <v>1</v>
      </c>
    </row>
    <row r="36" spans="1:8" ht="15" customHeight="1" x14ac:dyDescent="0.15">
      <c r="A36">
        <v>35</v>
      </c>
      <c r="B36" s="180" t="s">
        <v>226</v>
      </c>
      <c r="C36" s="110">
        <v>1</v>
      </c>
      <c r="D36" s="110">
        <v>0</v>
      </c>
      <c r="E36" s="110">
        <v>0</v>
      </c>
      <c r="F36" s="110">
        <v>1</v>
      </c>
      <c r="G36"/>
      <c r="H36"/>
    </row>
    <row r="37" spans="1:8" ht="15" customHeight="1" x14ac:dyDescent="0.15">
      <c r="A37">
        <v>36</v>
      </c>
      <c r="B37" s="180" t="s">
        <v>227</v>
      </c>
      <c r="C37" s="110">
        <v>1</v>
      </c>
      <c r="D37" s="110">
        <v>0</v>
      </c>
      <c r="E37" s="110">
        <v>0</v>
      </c>
      <c r="F37" s="110">
        <v>1</v>
      </c>
      <c r="G37"/>
      <c r="H37"/>
    </row>
    <row r="38" spans="1:8" ht="15" customHeight="1" x14ac:dyDescent="0.15">
      <c r="A38">
        <v>37</v>
      </c>
      <c r="B38" s="180" t="s">
        <v>228</v>
      </c>
      <c r="C38" s="110">
        <v>0</v>
      </c>
      <c r="D38" s="110">
        <v>1</v>
      </c>
      <c r="E38" s="110">
        <v>0</v>
      </c>
      <c r="F38" s="110">
        <v>1</v>
      </c>
      <c r="G38"/>
      <c r="H38"/>
    </row>
    <row r="39" spans="1:8" ht="15" customHeight="1" x14ac:dyDescent="0.15">
      <c r="A39">
        <v>38</v>
      </c>
      <c r="B39" s="180" t="s">
        <v>229</v>
      </c>
      <c r="C39" s="110">
        <v>0</v>
      </c>
      <c r="D39" s="110">
        <v>0</v>
      </c>
      <c r="E39" s="110">
        <v>1</v>
      </c>
      <c r="F39" s="110">
        <v>1</v>
      </c>
      <c r="G39"/>
      <c r="H39"/>
    </row>
    <row r="40" spans="1:8" ht="15" customHeight="1" x14ac:dyDescent="0.15">
      <c r="A40">
        <v>39</v>
      </c>
      <c r="B40" s="180" t="s">
        <v>230</v>
      </c>
      <c r="C40" s="110">
        <v>0</v>
      </c>
      <c r="D40" s="110">
        <v>1</v>
      </c>
      <c r="E40" s="110">
        <v>0</v>
      </c>
      <c r="F40" s="110">
        <v>1</v>
      </c>
      <c r="G40"/>
      <c r="H40"/>
    </row>
    <row r="41" spans="1:8" ht="15" customHeight="1" x14ac:dyDescent="0.15">
      <c r="A41">
        <v>40</v>
      </c>
      <c r="B41" s="180" t="s">
        <v>231</v>
      </c>
      <c r="C41" s="110">
        <v>0</v>
      </c>
      <c r="D41" s="110">
        <v>1</v>
      </c>
      <c r="E41" s="110">
        <v>0</v>
      </c>
      <c r="F41" s="110">
        <v>1</v>
      </c>
      <c r="G41"/>
      <c r="H41"/>
    </row>
    <row r="42" spans="1:8" ht="15" customHeight="1" x14ac:dyDescent="0.15">
      <c r="C42"/>
      <c r="D42"/>
      <c r="E42" s="110"/>
      <c r="F42" s="110"/>
      <c r="G42"/>
      <c r="H42"/>
    </row>
    <row r="43" spans="1:8" ht="15" customHeight="1" x14ac:dyDescent="0.15">
      <c r="C43"/>
      <c r="D43"/>
      <c r="E43" s="110"/>
      <c r="F43" s="110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10"/>
      <c r="F46" s="110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.5" bestFit="1" customWidth="1"/>
    <col min="3" max="3" width="8.83203125" bestFit="1" customWidth="1"/>
    <col min="4" max="4" width="6.83203125" bestFit="1" customWidth="1"/>
    <col min="5" max="5" width="10.83203125" bestFit="1" customWidth="1"/>
  </cols>
  <sheetData>
    <row r="1" spans="1:5" s="111" customFormat="1" ht="112" x14ac:dyDescent="0.15">
      <c r="A1" s="5" t="s">
        <v>21</v>
      </c>
      <c r="B1" s="3" t="s">
        <v>0</v>
      </c>
      <c r="C1" s="183" t="s">
        <v>230</v>
      </c>
      <c r="D1" s="183" t="s">
        <v>231</v>
      </c>
      <c r="E1" s="183" t="s">
        <v>235</v>
      </c>
    </row>
    <row r="2" spans="1:5" ht="15" customHeight="1" x14ac:dyDescent="0.15">
      <c r="A2">
        <v>1</v>
      </c>
      <c r="B2" s="182" t="s">
        <v>192</v>
      </c>
      <c r="C2">
        <v>0</v>
      </c>
      <c r="D2">
        <v>0</v>
      </c>
      <c r="E2">
        <v>0</v>
      </c>
    </row>
    <row r="3" spans="1:5" ht="15" customHeight="1" x14ac:dyDescent="0.15">
      <c r="A3">
        <v>2</v>
      </c>
      <c r="B3" s="182" t="s">
        <v>193</v>
      </c>
      <c r="C3">
        <v>2.1000000000000001E-2</v>
      </c>
      <c r="D3">
        <v>6.3E-2</v>
      </c>
      <c r="E3">
        <v>8.4000000000000005E-2</v>
      </c>
    </row>
    <row r="4" spans="1:5" ht="15" customHeight="1" x14ac:dyDescent="0.15">
      <c r="A4">
        <v>3</v>
      </c>
      <c r="B4" s="182" t="s">
        <v>194</v>
      </c>
      <c r="C4">
        <v>1.5800000000000002E-2</v>
      </c>
      <c r="D4">
        <v>0</v>
      </c>
      <c r="E4">
        <v>1.5800000000000002E-2</v>
      </c>
    </row>
    <row r="5" spans="1:5" ht="15" customHeight="1" x14ac:dyDescent="0.15">
      <c r="A5">
        <v>4</v>
      </c>
      <c r="B5" s="182" t="s">
        <v>195</v>
      </c>
      <c r="C5">
        <v>4.4999999999999997E-3</v>
      </c>
      <c r="D5">
        <v>1.0999999999999999E-2</v>
      </c>
      <c r="E5">
        <v>1.55E-2</v>
      </c>
    </row>
    <row r="6" spans="1:5" ht="15" customHeight="1" x14ac:dyDescent="0.15">
      <c r="A6">
        <v>5</v>
      </c>
      <c r="B6" s="182" t="s">
        <v>196</v>
      </c>
      <c r="C6">
        <v>8.9999999999999998E-4</v>
      </c>
      <c r="D6">
        <v>7.1999999999999995E-2</v>
      </c>
      <c r="E6">
        <v>7.2899999999999993E-2</v>
      </c>
    </row>
    <row r="7" spans="1:5" ht="15" customHeight="1" x14ac:dyDescent="0.15">
      <c r="A7">
        <v>6</v>
      </c>
      <c r="B7" s="182" t="s">
        <v>197</v>
      </c>
      <c r="C7">
        <v>8.3000000000000001E-3</v>
      </c>
      <c r="D7">
        <v>0</v>
      </c>
      <c r="E7">
        <v>8.3000000000000001E-3</v>
      </c>
    </row>
    <row r="8" spans="1:5" ht="15" customHeight="1" x14ac:dyDescent="0.15">
      <c r="A8">
        <v>7</v>
      </c>
      <c r="B8" s="182" t="s">
        <v>198</v>
      </c>
      <c r="C8">
        <v>1.1999999999999999E-3</v>
      </c>
      <c r="D8">
        <v>0.22090000000000001</v>
      </c>
      <c r="E8">
        <v>0.22210000000000002</v>
      </c>
    </row>
    <row r="9" spans="1:5" ht="15" customHeight="1" x14ac:dyDescent="0.15">
      <c r="A9">
        <v>8</v>
      </c>
      <c r="B9" s="182" t="s">
        <v>199</v>
      </c>
      <c r="C9">
        <v>2.9999999999999997E-4</v>
      </c>
      <c r="D9">
        <v>0</v>
      </c>
      <c r="E9">
        <v>2.9999999999999997E-4</v>
      </c>
    </row>
    <row r="10" spans="1:5" ht="15" customHeight="1" x14ac:dyDescent="0.15">
      <c r="A10">
        <v>9</v>
      </c>
      <c r="B10" s="182" t="s">
        <v>200</v>
      </c>
      <c r="C10">
        <v>3.8E-3</v>
      </c>
      <c r="D10">
        <v>0</v>
      </c>
      <c r="E10">
        <v>3.8E-3</v>
      </c>
    </row>
    <row r="11" spans="1:5" ht="15" customHeight="1" x14ac:dyDescent="0.15">
      <c r="A11">
        <v>10</v>
      </c>
      <c r="B11" s="182" t="s">
        <v>201</v>
      </c>
      <c r="C11">
        <v>6.3E-3</v>
      </c>
      <c r="D11">
        <v>0</v>
      </c>
      <c r="E11">
        <v>6.3E-3</v>
      </c>
    </row>
    <row r="12" spans="1:5" ht="15" customHeight="1" x14ac:dyDescent="0.15">
      <c r="A12">
        <v>11</v>
      </c>
      <c r="B12" s="182" t="s">
        <v>202</v>
      </c>
      <c r="C12">
        <v>1.09E-2</v>
      </c>
      <c r="D12">
        <v>0</v>
      </c>
      <c r="E12">
        <v>1.09E-2</v>
      </c>
    </row>
    <row r="13" spans="1:5" ht="15" customHeight="1" x14ac:dyDescent="0.15">
      <c r="A13">
        <v>12</v>
      </c>
      <c r="B13" s="182" t="s">
        <v>203</v>
      </c>
      <c r="C13">
        <v>5.4000000000000003E-3</v>
      </c>
      <c r="D13">
        <v>0</v>
      </c>
      <c r="E13">
        <v>5.4000000000000003E-3</v>
      </c>
    </row>
    <row r="14" spans="1:5" ht="15" customHeight="1" x14ac:dyDescent="0.15">
      <c r="A14">
        <v>13</v>
      </c>
      <c r="B14" s="182" t="s">
        <v>204</v>
      </c>
      <c r="C14">
        <v>1.8E-3</v>
      </c>
      <c r="D14">
        <v>1.9099999999999999E-2</v>
      </c>
      <c r="E14">
        <v>2.0899999999999998E-2</v>
      </c>
    </row>
    <row r="15" spans="1:5" ht="15" customHeight="1" x14ac:dyDescent="0.15">
      <c r="A15">
        <v>14</v>
      </c>
      <c r="B15" s="182" t="s">
        <v>205</v>
      </c>
      <c r="C15">
        <v>1.35E-2</v>
      </c>
      <c r="D15">
        <v>0</v>
      </c>
      <c r="E15">
        <v>1.35E-2</v>
      </c>
    </row>
    <row r="16" spans="1:5" ht="15" customHeight="1" x14ac:dyDescent="0.15">
      <c r="A16">
        <v>15</v>
      </c>
      <c r="B16" s="182" t="s">
        <v>206</v>
      </c>
      <c r="C16">
        <v>1E-3</v>
      </c>
      <c r="D16">
        <v>0</v>
      </c>
      <c r="E16">
        <v>1E-3</v>
      </c>
    </row>
    <row r="17" spans="1:5" ht="15" customHeight="1" x14ac:dyDescent="0.15">
      <c r="A17">
        <v>16</v>
      </c>
      <c r="B17" s="182" t="s">
        <v>207</v>
      </c>
      <c r="C17">
        <v>1.2200000000000001E-2</v>
      </c>
      <c r="D17">
        <v>0</v>
      </c>
      <c r="E17">
        <v>1.2200000000000001E-2</v>
      </c>
    </row>
    <row r="18" spans="1:5" ht="15" customHeight="1" x14ac:dyDescent="0.15">
      <c r="A18">
        <v>17</v>
      </c>
      <c r="B18" s="182" t="s">
        <v>208</v>
      </c>
      <c r="C18">
        <v>6.9999999999999999E-4</v>
      </c>
      <c r="D18">
        <v>0</v>
      </c>
      <c r="E18">
        <v>6.9999999999999999E-4</v>
      </c>
    </row>
    <row r="19" spans="1:5" ht="15" customHeight="1" x14ac:dyDescent="0.15">
      <c r="A19">
        <v>18</v>
      </c>
      <c r="B19" s="182" t="s">
        <v>209</v>
      </c>
      <c r="C19">
        <v>1.12E-2</v>
      </c>
      <c r="D19">
        <v>0.20280000000000001</v>
      </c>
      <c r="E19">
        <v>0.214</v>
      </c>
    </row>
    <row r="20" spans="1:5" ht="15" customHeight="1" x14ac:dyDescent="0.15">
      <c r="A20">
        <v>19</v>
      </c>
      <c r="B20" s="182" t="s">
        <v>210</v>
      </c>
      <c r="C20">
        <v>1.2999999999999999E-3</v>
      </c>
      <c r="D20">
        <v>4.7667999999999999</v>
      </c>
      <c r="E20">
        <v>4.7680999999999996</v>
      </c>
    </row>
    <row r="21" spans="1:5" ht="15" customHeight="1" x14ac:dyDescent="0.15">
      <c r="A21">
        <v>20</v>
      </c>
      <c r="B21" s="182" t="s">
        <v>211</v>
      </c>
      <c r="C21">
        <v>3.5599999999999998E-5</v>
      </c>
      <c r="D21">
        <v>0.25359999999999999</v>
      </c>
      <c r="E21">
        <v>0.25363560000000002</v>
      </c>
    </row>
    <row r="22" spans="1:5" ht="15" customHeight="1" x14ac:dyDescent="0.15">
      <c r="A22">
        <v>21</v>
      </c>
      <c r="B22" s="182" t="s">
        <v>212</v>
      </c>
      <c r="C22">
        <v>1.6400000000000001E-2</v>
      </c>
      <c r="D22">
        <v>0</v>
      </c>
      <c r="E22">
        <v>1.6400000000000001E-2</v>
      </c>
    </row>
    <row r="23" spans="1:5" ht="15" customHeight="1" x14ac:dyDescent="0.15">
      <c r="A23">
        <v>22</v>
      </c>
      <c r="B23" s="182" t="s">
        <v>213</v>
      </c>
      <c r="C23">
        <v>3.0799999999999998E-3</v>
      </c>
      <c r="D23">
        <v>0</v>
      </c>
      <c r="E23">
        <v>3.0799999999999998E-3</v>
      </c>
    </row>
    <row r="24" spans="1:5" ht="15" customHeight="1" x14ac:dyDescent="0.15">
      <c r="A24">
        <v>23</v>
      </c>
      <c r="B24" s="182" t="s">
        <v>214</v>
      </c>
      <c r="C24">
        <v>3.5100000000000001E-3</v>
      </c>
      <c r="D24">
        <v>0.30299999999999999</v>
      </c>
      <c r="E24">
        <v>0.30651</v>
      </c>
    </row>
    <row r="25" spans="1:5" ht="15" customHeight="1" x14ac:dyDescent="0.15">
      <c r="A25">
        <v>24</v>
      </c>
      <c r="B25" s="182" t="s">
        <v>215</v>
      </c>
      <c r="C25">
        <v>3.7800000000000003E-4</v>
      </c>
      <c r="D25">
        <v>4.4000000000000003E-3</v>
      </c>
      <c r="E25">
        <v>4.7780000000000001E-3</v>
      </c>
    </row>
    <row r="26" spans="1:5" ht="15" customHeight="1" x14ac:dyDescent="0.15">
      <c r="A26">
        <v>25</v>
      </c>
      <c r="B26" s="182" t="s">
        <v>216</v>
      </c>
      <c r="C26">
        <v>0</v>
      </c>
      <c r="D26">
        <v>0.2049</v>
      </c>
      <c r="E26">
        <v>0.2049</v>
      </c>
    </row>
    <row r="27" spans="1:5" ht="15" customHeight="1" x14ac:dyDescent="0.15">
      <c r="A27">
        <v>26</v>
      </c>
      <c r="B27" s="182" t="s">
        <v>217</v>
      </c>
      <c r="C27">
        <v>1.3899999999999999E-2</v>
      </c>
      <c r="D27">
        <v>0</v>
      </c>
      <c r="E27">
        <v>1.3899999999999999E-2</v>
      </c>
    </row>
    <row r="28" spans="1:5" ht="15" customHeight="1" x14ac:dyDescent="0.15">
      <c r="A28">
        <v>27</v>
      </c>
      <c r="B28" s="182" t="s">
        <v>218</v>
      </c>
      <c r="C28">
        <v>4.4000000000000002E-4</v>
      </c>
      <c r="D28">
        <v>0</v>
      </c>
      <c r="E28">
        <v>4.4000000000000002E-4</v>
      </c>
    </row>
    <row r="29" spans="1:5" ht="15" customHeight="1" x14ac:dyDescent="0.15">
      <c r="A29">
        <v>28</v>
      </c>
      <c r="B29" s="182" t="s">
        <v>219</v>
      </c>
      <c r="C29">
        <v>6.64E-6</v>
      </c>
      <c r="D29">
        <v>9.5999999999999992E-3</v>
      </c>
      <c r="E29">
        <v>9.6066399999999996E-3</v>
      </c>
    </row>
    <row r="30" spans="1:5" ht="15" customHeight="1" x14ac:dyDescent="0.15">
      <c r="A30">
        <v>29</v>
      </c>
      <c r="B30" s="182" t="s">
        <v>220</v>
      </c>
      <c r="C30">
        <v>2.2499999999999999E-2</v>
      </c>
      <c r="D30">
        <v>0.86450000000000005</v>
      </c>
      <c r="E30">
        <v>0.88700000000000001</v>
      </c>
    </row>
    <row r="31" spans="1:5" ht="15" customHeight="1" x14ac:dyDescent="0.15">
      <c r="A31">
        <v>30</v>
      </c>
      <c r="B31" s="182" t="s">
        <v>221</v>
      </c>
      <c r="C31">
        <v>7.5299999999999998E-4</v>
      </c>
      <c r="D31">
        <v>0</v>
      </c>
      <c r="E31">
        <v>7.5299999999999998E-4</v>
      </c>
    </row>
    <row r="32" spans="1:5" ht="15" customHeight="1" x14ac:dyDescent="0.15">
      <c r="A32">
        <v>31</v>
      </c>
      <c r="B32" s="182" t="s">
        <v>222</v>
      </c>
      <c r="C32">
        <v>1.6882999999999999</v>
      </c>
      <c r="D32">
        <v>1.3581000000000001</v>
      </c>
      <c r="E32">
        <v>3.0464000000000002</v>
      </c>
    </row>
    <row r="33" spans="1:5" ht="15" customHeight="1" x14ac:dyDescent="0.15">
      <c r="A33">
        <v>32</v>
      </c>
      <c r="B33" s="182" t="s">
        <v>223</v>
      </c>
      <c r="C33">
        <v>2.6499999999999999E-4</v>
      </c>
      <c r="D33">
        <v>0</v>
      </c>
      <c r="E33">
        <v>2.6499999999999999E-4</v>
      </c>
    </row>
    <row r="34" spans="1:5" ht="15" customHeight="1" x14ac:dyDescent="0.15">
      <c r="A34">
        <v>33</v>
      </c>
      <c r="B34" s="182" t="s">
        <v>224</v>
      </c>
      <c r="C34">
        <v>4.6800000000000001E-3</v>
      </c>
      <c r="D34">
        <v>0</v>
      </c>
      <c r="E34">
        <v>4.6800000000000001E-3</v>
      </c>
    </row>
    <row r="35" spans="1:5" ht="15" customHeight="1" x14ac:dyDescent="0.15">
      <c r="A35">
        <v>34</v>
      </c>
      <c r="B35" s="182" t="s">
        <v>225</v>
      </c>
      <c r="C35">
        <v>0</v>
      </c>
      <c r="D35">
        <v>0</v>
      </c>
      <c r="E35">
        <v>0</v>
      </c>
    </row>
    <row r="36" spans="1:5" ht="15" customHeight="1" x14ac:dyDescent="0.15">
      <c r="A36">
        <v>35</v>
      </c>
      <c r="B36" s="182" t="s">
        <v>226</v>
      </c>
      <c r="C36">
        <v>0</v>
      </c>
      <c r="D36">
        <v>0</v>
      </c>
      <c r="E36">
        <v>0</v>
      </c>
    </row>
    <row r="37" spans="1:5" ht="15" customHeight="1" x14ac:dyDescent="0.15">
      <c r="A37">
        <v>36</v>
      </c>
      <c r="B37" s="182" t="s">
        <v>227</v>
      </c>
      <c r="C37">
        <v>0</v>
      </c>
      <c r="D37">
        <v>0</v>
      </c>
      <c r="E37">
        <v>0</v>
      </c>
    </row>
    <row r="38" spans="1:5" ht="15" customHeight="1" x14ac:dyDescent="0.15">
      <c r="A38">
        <v>37</v>
      </c>
      <c r="B38" s="182" t="s">
        <v>228</v>
      </c>
      <c r="C38">
        <v>0</v>
      </c>
      <c r="D38">
        <v>0</v>
      </c>
      <c r="E38">
        <v>0</v>
      </c>
    </row>
    <row r="39" spans="1:5" ht="15" customHeight="1" x14ac:dyDescent="0.15">
      <c r="A39">
        <v>38</v>
      </c>
      <c r="B39" s="182" t="s">
        <v>229</v>
      </c>
      <c r="C39">
        <v>0</v>
      </c>
      <c r="D39">
        <v>0</v>
      </c>
      <c r="E39">
        <v>0</v>
      </c>
    </row>
    <row r="40" spans="1:5" ht="15" customHeight="1" x14ac:dyDescent="0.15"/>
    <row r="41" spans="1:5" ht="15" customHeight="1" x14ac:dyDescent="0.15"/>
    <row r="42" spans="1:5" ht="15" customHeight="1" x14ac:dyDescent="0.15"/>
    <row r="43" spans="1:5" ht="15" customHeight="1" x14ac:dyDescent="0.15"/>
    <row r="44" spans="1:5" ht="15" customHeight="1" x14ac:dyDescent="0.15"/>
    <row r="45" spans="1:5" ht="15" customHeight="1" x14ac:dyDescent="0.15"/>
    <row r="46" spans="1:5" ht="15" customHeight="1" x14ac:dyDescent="0.15"/>
    <row r="47" spans="1:5" ht="15" customHeight="1" x14ac:dyDescent="0.15"/>
    <row r="48" spans="1:5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E39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.5" bestFit="1" customWidth="1"/>
    <col min="3" max="5" width="2.33203125" bestFit="1" customWidth="1"/>
  </cols>
  <sheetData>
    <row r="1" spans="1:5" s="111" customFormat="1" ht="112" x14ac:dyDescent="0.15">
      <c r="A1" s="5" t="s">
        <v>22</v>
      </c>
      <c r="B1" s="3" t="s">
        <v>0</v>
      </c>
      <c r="C1" s="185" t="s">
        <v>230</v>
      </c>
      <c r="D1" s="185" t="s">
        <v>231</v>
      </c>
      <c r="E1" s="185" t="s">
        <v>235</v>
      </c>
    </row>
    <row r="2" spans="1:5" x14ac:dyDescent="0.15">
      <c r="A2">
        <v>1</v>
      </c>
      <c r="B2" s="184" t="s">
        <v>192</v>
      </c>
      <c r="C2">
        <v>0</v>
      </c>
      <c r="D2">
        <v>0</v>
      </c>
      <c r="E2">
        <v>0</v>
      </c>
    </row>
    <row r="3" spans="1:5" x14ac:dyDescent="0.15">
      <c r="A3">
        <v>2</v>
      </c>
      <c r="B3" s="184" t="s">
        <v>193</v>
      </c>
      <c r="C3">
        <v>0</v>
      </c>
      <c r="D3">
        <v>0</v>
      </c>
      <c r="E3">
        <v>0</v>
      </c>
    </row>
    <row r="4" spans="1:5" x14ac:dyDescent="0.15">
      <c r="A4">
        <v>3</v>
      </c>
      <c r="B4" s="184" t="s">
        <v>194</v>
      </c>
      <c r="C4">
        <v>0</v>
      </c>
      <c r="D4">
        <v>0</v>
      </c>
      <c r="E4">
        <v>0</v>
      </c>
    </row>
    <row r="5" spans="1:5" x14ac:dyDescent="0.15">
      <c r="A5">
        <v>4</v>
      </c>
      <c r="B5" s="184" t="s">
        <v>195</v>
      </c>
      <c r="C5">
        <v>0</v>
      </c>
      <c r="D5">
        <v>0</v>
      </c>
      <c r="E5">
        <v>0</v>
      </c>
    </row>
    <row r="6" spans="1:5" x14ac:dyDescent="0.15">
      <c r="A6">
        <v>5</v>
      </c>
      <c r="B6" s="184" t="s">
        <v>196</v>
      </c>
      <c r="C6">
        <v>0</v>
      </c>
      <c r="D6">
        <v>0</v>
      </c>
      <c r="E6">
        <v>0</v>
      </c>
    </row>
    <row r="7" spans="1:5" x14ac:dyDescent="0.15">
      <c r="A7">
        <v>6</v>
      </c>
      <c r="B7" s="184" t="s">
        <v>197</v>
      </c>
      <c r="C7">
        <v>0</v>
      </c>
      <c r="D7">
        <v>0</v>
      </c>
      <c r="E7">
        <v>0</v>
      </c>
    </row>
    <row r="8" spans="1:5" x14ac:dyDescent="0.15">
      <c r="A8">
        <v>7</v>
      </c>
      <c r="B8" s="184" t="s">
        <v>198</v>
      </c>
      <c r="C8">
        <v>0</v>
      </c>
      <c r="D8">
        <v>0</v>
      </c>
      <c r="E8">
        <v>0</v>
      </c>
    </row>
    <row r="9" spans="1:5" x14ac:dyDescent="0.15">
      <c r="A9">
        <v>8</v>
      </c>
      <c r="B9" s="184" t="s">
        <v>199</v>
      </c>
      <c r="C9">
        <v>0</v>
      </c>
      <c r="D9">
        <v>0</v>
      </c>
      <c r="E9">
        <v>0</v>
      </c>
    </row>
    <row r="10" spans="1:5" x14ac:dyDescent="0.15">
      <c r="A10">
        <v>9</v>
      </c>
      <c r="B10" s="184" t="s">
        <v>200</v>
      </c>
      <c r="C10">
        <v>0</v>
      </c>
      <c r="D10">
        <v>0</v>
      </c>
      <c r="E10">
        <v>0</v>
      </c>
    </row>
    <row r="11" spans="1:5" x14ac:dyDescent="0.15">
      <c r="A11">
        <v>10</v>
      </c>
      <c r="B11" s="184" t="s">
        <v>201</v>
      </c>
      <c r="C11">
        <v>0</v>
      </c>
      <c r="D11">
        <v>0</v>
      </c>
      <c r="E11">
        <v>0</v>
      </c>
    </row>
    <row r="12" spans="1:5" x14ac:dyDescent="0.15">
      <c r="A12">
        <v>11</v>
      </c>
      <c r="B12" s="184" t="s">
        <v>202</v>
      </c>
      <c r="C12">
        <v>0</v>
      </c>
      <c r="D12">
        <v>0</v>
      </c>
      <c r="E12">
        <v>0</v>
      </c>
    </row>
    <row r="13" spans="1:5" x14ac:dyDescent="0.15">
      <c r="A13">
        <v>12</v>
      </c>
      <c r="B13" s="184" t="s">
        <v>203</v>
      </c>
      <c r="C13">
        <v>0</v>
      </c>
      <c r="D13">
        <v>0</v>
      </c>
      <c r="E13">
        <v>0</v>
      </c>
    </row>
    <row r="14" spans="1:5" x14ac:dyDescent="0.15">
      <c r="A14">
        <v>13</v>
      </c>
      <c r="B14" s="184" t="s">
        <v>204</v>
      </c>
      <c r="C14">
        <v>0</v>
      </c>
      <c r="D14">
        <v>0</v>
      </c>
      <c r="E14">
        <v>0</v>
      </c>
    </row>
    <row r="15" spans="1:5" x14ac:dyDescent="0.15">
      <c r="A15">
        <v>14</v>
      </c>
      <c r="B15" s="184" t="s">
        <v>205</v>
      </c>
      <c r="C15">
        <v>0</v>
      </c>
      <c r="D15">
        <v>0</v>
      </c>
      <c r="E15">
        <v>0</v>
      </c>
    </row>
    <row r="16" spans="1:5" x14ac:dyDescent="0.15">
      <c r="A16">
        <v>15</v>
      </c>
      <c r="B16" s="184" t="s">
        <v>206</v>
      </c>
      <c r="C16">
        <v>0</v>
      </c>
      <c r="D16">
        <v>0</v>
      </c>
      <c r="E16">
        <v>0</v>
      </c>
    </row>
    <row r="17" spans="1:5" x14ac:dyDescent="0.15">
      <c r="A17">
        <v>16</v>
      </c>
      <c r="B17" s="184" t="s">
        <v>207</v>
      </c>
      <c r="C17">
        <v>0</v>
      </c>
      <c r="D17">
        <v>0</v>
      </c>
      <c r="E17">
        <v>0</v>
      </c>
    </row>
    <row r="18" spans="1:5" x14ac:dyDescent="0.15">
      <c r="A18">
        <v>17</v>
      </c>
      <c r="B18" s="184" t="s">
        <v>208</v>
      </c>
      <c r="C18">
        <v>0</v>
      </c>
      <c r="D18">
        <v>0</v>
      </c>
      <c r="E18">
        <v>0</v>
      </c>
    </row>
    <row r="19" spans="1:5" x14ac:dyDescent="0.15">
      <c r="A19">
        <v>18</v>
      </c>
      <c r="B19" s="184" t="s">
        <v>209</v>
      </c>
      <c r="C19">
        <v>0</v>
      </c>
      <c r="D19">
        <v>0</v>
      </c>
      <c r="E19">
        <v>0</v>
      </c>
    </row>
    <row r="20" spans="1:5" x14ac:dyDescent="0.15">
      <c r="A20">
        <v>19</v>
      </c>
      <c r="B20" s="184" t="s">
        <v>210</v>
      </c>
      <c r="C20">
        <v>0</v>
      </c>
      <c r="D20">
        <v>0</v>
      </c>
      <c r="E20">
        <v>0</v>
      </c>
    </row>
    <row r="21" spans="1:5" x14ac:dyDescent="0.15">
      <c r="A21">
        <v>20</v>
      </c>
      <c r="B21" s="184" t="s">
        <v>211</v>
      </c>
      <c r="C21">
        <v>0</v>
      </c>
      <c r="D21">
        <v>0</v>
      </c>
      <c r="E21">
        <v>0</v>
      </c>
    </row>
    <row r="22" spans="1:5" x14ac:dyDescent="0.15">
      <c r="A22">
        <v>21</v>
      </c>
      <c r="B22" s="184" t="s">
        <v>212</v>
      </c>
      <c r="C22">
        <v>0</v>
      </c>
      <c r="D22">
        <v>0</v>
      </c>
      <c r="E22">
        <v>0</v>
      </c>
    </row>
    <row r="23" spans="1:5" x14ac:dyDescent="0.15">
      <c r="A23">
        <v>22</v>
      </c>
      <c r="B23" s="184" t="s">
        <v>213</v>
      </c>
      <c r="C23">
        <v>0</v>
      </c>
      <c r="D23">
        <v>0</v>
      </c>
      <c r="E23">
        <v>0</v>
      </c>
    </row>
    <row r="24" spans="1:5" x14ac:dyDescent="0.15">
      <c r="A24">
        <v>23</v>
      </c>
      <c r="B24" s="184" t="s">
        <v>214</v>
      </c>
      <c r="C24">
        <v>0</v>
      </c>
      <c r="D24">
        <v>0</v>
      </c>
      <c r="E24">
        <v>0</v>
      </c>
    </row>
    <row r="25" spans="1:5" x14ac:dyDescent="0.15">
      <c r="A25">
        <v>24</v>
      </c>
      <c r="B25" s="184" t="s">
        <v>215</v>
      </c>
      <c r="C25">
        <v>0</v>
      </c>
      <c r="D25">
        <v>0</v>
      </c>
      <c r="E25">
        <v>0</v>
      </c>
    </row>
    <row r="26" spans="1:5" x14ac:dyDescent="0.15">
      <c r="A26">
        <v>25</v>
      </c>
      <c r="B26" s="184" t="s">
        <v>216</v>
      </c>
      <c r="C26">
        <v>0</v>
      </c>
      <c r="D26">
        <v>0</v>
      </c>
      <c r="E26">
        <v>0</v>
      </c>
    </row>
    <row r="27" spans="1:5" x14ac:dyDescent="0.15">
      <c r="A27">
        <v>26</v>
      </c>
      <c r="B27" s="184" t="s">
        <v>217</v>
      </c>
      <c r="C27">
        <v>0</v>
      </c>
      <c r="D27">
        <v>0</v>
      </c>
      <c r="E27">
        <v>0</v>
      </c>
    </row>
    <row r="28" spans="1:5" x14ac:dyDescent="0.15">
      <c r="A28">
        <v>27</v>
      </c>
      <c r="B28" s="184" t="s">
        <v>218</v>
      </c>
      <c r="C28">
        <v>0</v>
      </c>
      <c r="D28">
        <v>0</v>
      </c>
      <c r="E28">
        <v>0</v>
      </c>
    </row>
    <row r="29" spans="1:5" x14ac:dyDescent="0.15">
      <c r="A29">
        <v>28</v>
      </c>
      <c r="B29" s="184" t="s">
        <v>219</v>
      </c>
      <c r="C29">
        <v>0</v>
      </c>
      <c r="D29">
        <v>0</v>
      </c>
      <c r="E29">
        <v>0</v>
      </c>
    </row>
    <row r="30" spans="1:5" x14ac:dyDescent="0.15">
      <c r="A30">
        <v>29</v>
      </c>
      <c r="B30" s="184" t="s">
        <v>220</v>
      </c>
      <c r="C30">
        <v>0</v>
      </c>
      <c r="D30">
        <v>0</v>
      </c>
      <c r="E30">
        <v>0</v>
      </c>
    </row>
    <row r="31" spans="1:5" x14ac:dyDescent="0.15">
      <c r="A31">
        <v>30</v>
      </c>
      <c r="B31" s="184" t="s">
        <v>221</v>
      </c>
      <c r="C31">
        <v>0</v>
      </c>
      <c r="D31">
        <v>0</v>
      </c>
      <c r="E31">
        <v>0</v>
      </c>
    </row>
    <row r="32" spans="1:5" x14ac:dyDescent="0.15">
      <c r="A32">
        <v>31</v>
      </c>
      <c r="B32" s="184" t="s">
        <v>222</v>
      </c>
      <c r="C32">
        <v>0</v>
      </c>
      <c r="D32">
        <v>0</v>
      </c>
      <c r="E32">
        <v>0</v>
      </c>
    </row>
    <row r="33" spans="1:5" x14ac:dyDescent="0.15">
      <c r="A33">
        <v>32</v>
      </c>
      <c r="B33" s="184" t="s">
        <v>223</v>
      </c>
      <c r="C33">
        <v>0</v>
      </c>
      <c r="D33">
        <v>0</v>
      </c>
      <c r="E33">
        <v>0</v>
      </c>
    </row>
    <row r="34" spans="1:5" x14ac:dyDescent="0.15">
      <c r="A34">
        <v>33</v>
      </c>
      <c r="B34" s="184" t="s">
        <v>224</v>
      </c>
      <c r="C34">
        <v>0</v>
      </c>
      <c r="D34">
        <v>0</v>
      </c>
      <c r="E34">
        <v>0</v>
      </c>
    </row>
    <row r="35" spans="1:5" x14ac:dyDescent="0.15">
      <c r="A35">
        <v>34</v>
      </c>
      <c r="B35" s="184" t="s">
        <v>225</v>
      </c>
      <c r="C35">
        <v>0</v>
      </c>
      <c r="D35">
        <v>0</v>
      </c>
      <c r="E35">
        <v>0</v>
      </c>
    </row>
    <row r="36" spans="1:5" x14ac:dyDescent="0.15">
      <c r="A36">
        <v>35</v>
      </c>
      <c r="B36" s="184" t="s">
        <v>226</v>
      </c>
      <c r="C36">
        <v>0</v>
      </c>
      <c r="D36">
        <v>0</v>
      </c>
      <c r="E36">
        <v>0</v>
      </c>
    </row>
    <row r="37" spans="1:5" x14ac:dyDescent="0.15">
      <c r="A37">
        <v>36</v>
      </c>
      <c r="B37" s="184" t="s">
        <v>227</v>
      </c>
      <c r="C37">
        <v>0</v>
      </c>
      <c r="D37">
        <v>0</v>
      </c>
      <c r="E37">
        <v>0</v>
      </c>
    </row>
    <row r="38" spans="1:5" x14ac:dyDescent="0.15">
      <c r="A38">
        <v>37</v>
      </c>
      <c r="B38" s="184" t="s">
        <v>228</v>
      </c>
      <c r="C38">
        <v>0</v>
      </c>
      <c r="D38">
        <v>0</v>
      </c>
      <c r="E38">
        <v>0</v>
      </c>
    </row>
    <row r="39" spans="1:5" x14ac:dyDescent="0.15">
      <c r="A39">
        <v>38</v>
      </c>
      <c r="B39" s="184" t="s">
        <v>229</v>
      </c>
      <c r="C39">
        <v>0</v>
      </c>
      <c r="D39">
        <v>0</v>
      </c>
      <c r="E39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5.5" bestFit="1" customWidth="1"/>
    <col min="6" max="6" width="4.83203125" bestFit="1" customWidth="1"/>
    <col min="7" max="9" width="3.83203125" bestFit="1" customWidth="1"/>
    <col min="10" max="11" width="4.83203125" style="110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2" customFormat="1" ht="14" thickBot="1" x14ac:dyDescent="0.2">
      <c r="D1" s="113" t="s">
        <v>8</v>
      </c>
      <c r="E1" s="113" t="s">
        <v>0</v>
      </c>
      <c r="F1" s="114" t="s">
        <v>99</v>
      </c>
      <c r="G1" s="115" t="s">
        <v>84</v>
      </c>
      <c r="H1" s="115" t="s">
        <v>85</v>
      </c>
      <c r="I1" s="115" t="s">
        <v>86</v>
      </c>
      <c r="J1" s="115" t="s">
        <v>87</v>
      </c>
      <c r="K1" s="115" t="s">
        <v>88</v>
      </c>
      <c r="L1" s="116" t="s">
        <v>89</v>
      </c>
      <c r="M1" s="116" t="s">
        <v>93</v>
      </c>
      <c r="N1" s="116" t="s">
        <v>92</v>
      </c>
      <c r="O1" s="116" t="s">
        <v>90</v>
      </c>
      <c r="P1" s="116" t="s">
        <v>91</v>
      </c>
      <c r="Q1" s="117" t="s">
        <v>94</v>
      </c>
      <c r="R1" s="117" t="s">
        <v>95</v>
      </c>
      <c r="S1" s="117" t="s">
        <v>96</v>
      </c>
      <c r="T1" s="117" t="s">
        <v>97</v>
      </c>
      <c r="U1" s="117" t="s">
        <v>98</v>
      </c>
      <c r="V1" s="115" t="s">
        <v>100</v>
      </c>
      <c r="W1" s="115" t="s">
        <v>101</v>
      </c>
      <c r="X1" s="115" t="s">
        <v>102</v>
      </c>
      <c r="Y1" s="115" t="s">
        <v>134</v>
      </c>
      <c r="Z1" s="116" t="s">
        <v>103</v>
      </c>
      <c r="AA1" s="116" t="s">
        <v>104</v>
      </c>
      <c r="AB1" s="116" t="s">
        <v>105</v>
      </c>
      <c r="AC1" s="118" t="s">
        <v>135</v>
      </c>
      <c r="AD1" s="117" t="s">
        <v>106</v>
      </c>
      <c r="AE1" s="117" t="s">
        <v>107</v>
      </c>
      <c r="AF1" s="117" t="s">
        <v>108</v>
      </c>
      <c r="AG1" s="117" t="s">
        <v>136</v>
      </c>
      <c r="AH1" s="115" t="s">
        <v>109</v>
      </c>
      <c r="AI1" s="115" t="s">
        <v>111</v>
      </c>
      <c r="AJ1" s="115" t="s">
        <v>110</v>
      </c>
      <c r="AK1" s="116" t="s">
        <v>115</v>
      </c>
      <c r="AL1" s="116" t="s">
        <v>116</v>
      </c>
      <c r="AM1" s="116" t="s">
        <v>117</v>
      </c>
      <c r="AN1" s="117" t="s">
        <v>112</v>
      </c>
      <c r="AO1" s="117" t="s">
        <v>113</v>
      </c>
      <c r="AP1" s="117" t="s">
        <v>114</v>
      </c>
    </row>
    <row r="2" spans="1:42" x14ac:dyDescent="0.15">
      <c r="A2" s="119" t="s">
        <v>74</v>
      </c>
      <c r="B2" s="120">
        <v>1</v>
      </c>
      <c r="D2">
        <v>1</v>
      </c>
      <c r="E2" s="186" t="s">
        <v>192</v>
      </c>
      <c r="F2">
        <v>0.98</v>
      </c>
      <c r="G2">
        <v>0.8</v>
      </c>
      <c r="H2">
        <v>0.8</v>
      </c>
      <c r="I2">
        <v>0.8</v>
      </c>
      <c r="J2" s="110">
        <v>0.25</v>
      </c>
      <c r="K2" s="110">
        <v>0.05</v>
      </c>
    </row>
    <row r="3" spans="1:42" x14ac:dyDescent="0.15">
      <c r="A3" s="119" t="s">
        <v>75</v>
      </c>
      <c r="B3" s="121">
        <v>1</v>
      </c>
      <c r="D3">
        <v>2</v>
      </c>
      <c r="E3" s="186" t="s">
        <v>193</v>
      </c>
      <c r="F3">
        <v>0.98</v>
      </c>
      <c r="G3">
        <v>0.8</v>
      </c>
      <c r="H3">
        <v>0.8</v>
      </c>
      <c r="I3">
        <v>0.8</v>
      </c>
      <c r="J3" s="110">
        <v>0.25</v>
      </c>
      <c r="K3" s="110">
        <v>0.05</v>
      </c>
    </row>
    <row r="4" spans="1:42" x14ac:dyDescent="0.15">
      <c r="A4" s="119" t="s">
        <v>76</v>
      </c>
      <c r="B4" s="121">
        <v>1</v>
      </c>
      <c r="D4">
        <v>3</v>
      </c>
      <c r="E4" s="186" t="s">
        <v>194</v>
      </c>
      <c r="F4">
        <v>0.98</v>
      </c>
      <c r="G4">
        <v>0.8</v>
      </c>
      <c r="H4">
        <v>0.8</v>
      </c>
      <c r="I4">
        <v>0.8</v>
      </c>
      <c r="J4" s="110">
        <v>0.25</v>
      </c>
      <c r="K4" s="110">
        <v>0.05</v>
      </c>
    </row>
    <row r="5" spans="1:42" x14ac:dyDescent="0.15">
      <c r="A5" s="119" t="s">
        <v>77</v>
      </c>
      <c r="B5" s="121">
        <v>1</v>
      </c>
      <c r="D5">
        <v>4</v>
      </c>
      <c r="E5" s="186" t="s">
        <v>195</v>
      </c>
      <c r="F5">
        <v>0.98</v>
      </c>
      <c r="G5">
        <v>0.8</v>
      </c>
      <c r="H5">
        <v>0.8</v>
      </c>
      <c r="I5">
        <v>0.8</v>
      </c>
      <c r="J5" s="110">
        <v>0.25</v>
      </c>
      <c r="K5" s="110">
        <v>0.05</v>
      </c>
    </row>
    <row r="6" spans="1:42" x14ac:dyDescent="0.15">
      <c r="A6" s="119" t="s">
        <v>78</v>
      </c>
      <c r="B6" s="121">
        <v>1</v>
      </c>
      <c r="D6">
        <v>5</v>
      </c>
      <c r="E6" s="186" t="s">
        <v>196</v>
      </c>
      <c r="F6">
        <v>0.98</v>
      </c>
      <c r="G6">
        <v>0.8</v>
      </c>
      <c r="H6">
        <v>0.8</v>
      </c>
      <c r="I6">
        <v>0.8</v>
      </c>
      <c r="J6" s="110">
        <v>0.25</v>
      </c>
      <c r="K6" s="110">
        <v>0.05</v>
      </c>
    </row>
    <row r="7" spans="1:42" x14ac:dyDescent="0.15">
      <c r="A7" s="119" t="s">
        <v>79</v>
      </c>
      <c r="B7" s="121">
        <v>1</v>
      </c>
      <c r="D7">
        <v>6</v>
      </c>
      <c r="E7" s="186" t="s">
        <v>197</v>
      </c>
      <c r="F7">
        <v>0.98</v>
      </c>
      <c r="G7">
        <v>0.8</v>
      </c>
      <c r="H7">
        <v>0.8</v>
      </c>
      <c r="I7">
        <v>0.8</v>
      </c>
      <c r="J7" s="110">
        <v>0.25</v>
      </c>
      <c r="K7" s="110">
        <v>0.05</v>
      </c>
    </row>
    <row r="8" spans="1:42" x14ac:dyDescent="0.15">
      <c r="A8" s="119" t="s">
        <v>80</v>
      </c>
      <c r="B8" s="121">
        <v>1</v>
      </c>
      <c r="D8">
        <v>7</v>
      </c>
      <c r="E8" s="186" t="s">
        <v>198</v>
      </c>
      <c r="F8">
        <v>0.98</v>
      </c>
      <c r="G8">
        <v>0.8</v>
      </c>
      <c r="H8">
        <v>0.8</v>
      </c>
      <c r="I8">
        <v>0.8</v>
      </c>
      <c r="J8" s="110">
        <v>0.25</v>
      </c>
      <c r="K8" s="110">
        <v>0.05</v>
      </c>
    </row>
    <row r="9" spans="1:42" x14ac:dyDescent="0.15">
      <c r="A9" s="119" t="s">
        <v>81</v>
      </c>
      <c r="B9" s="121">
        <v>0.1</v>
      </c>
      <c r="C9" s="60" t="s">
        <v>150</v>
      </c>
      <c r="D9">
        <v>8</v>
      </c>
      <c r="E9" s="186" t="s">
        <v>199</v>
      </c>
      <c r="F9">
        <v>0.98</v>
      </c>
      <c r="G9">
        <v>0.8</v>
      </c>
      <c r="H9">
        <v>0.8</v>
      </c>
      <c r="I9">
        <v>0.8</v>
      </c>
      <c r="J9" s="110">
        <v>0.25</v>
      </c>
      <c r="K9" s="110">
        <v>0.05</v>
      </c>
    </row>
    <row r="10" spans="1:42" ht="14" thickBot="1" x14ac:dyDescent="0.2">
      <c r="A10" s="119" t="s">
        <v>149</v>
      </c>
      <c r="B10" s="122">
        <f>1/3</f>
        <v>0.33333333333333331</v>
      </c>
      <c r="C10" s="60" t="s">
        <v>150</v>
      </c>
      <c r="D10">
        <v>9</v>
      </c>
      <c r="E10" s="186" t="s">
        <v>200</v>
      </c>
      <c r="F10">
        <v>0.98</v>
      </c>
      <c r="G10">
        <v>0.8</v>
      </c>
      <c r="H10">
        <v>0.8</v>
      </c>
      <c r="I10">
        <v>0.8</v>
      </c>
      <c r="J10" s="110">
        <v>0.25</v>
      </c>
      <c r="K10" s="110">
        <v>0.05</v>
      </c>
    </row>
    <row r="11" spans="1:42" x14ac:dyDescent="0.15">
      <c r="D11">
        <v>10</v>
      </c>
      <c r="E11" s="186" t="s">
        <v>201</v>
      </c>
      <c r="F11">
        <v>0.98</v>
      </c>
      <c r="G11">
        <v>0.8</v>
      </c>
      <c r="H11">
        <v>0.8</v>
      </c>
      <c r="I11">
        <v>0.8</v>
      </c>
      <c r="J11" s="110">
        <v>0.25</v>
      </c>
      <c r="K11" s="110">
        <v>0.05</v>
      </c>
    </row>
    <row r="12" spans="1:42" x14ac:dyDescent="0.15">
      <c r="D12">
        <v>11</v>
      </c>
      <c r="E12" s="186" t="s">
        <v>202</v>
      </c>
      <c r="F12">
        <v>0.98</v>
      </c>
      <c r="G12">
        <v>0.8</v>
      </c>
      <c r="H12">
        <v>0.8</v>
      </c>
      <c r="I12">
        <v>0.8</v>
      </c>
      <c r="J12" s="110">
        <v>0.25</v>
      </c>
      <c r="K12" s="110">
        <v>0.05</v>
      </c>
    </row>
    <row r="13" spans="1:42" x14ac:dyDescent="0.15">
      <c r="D13">
        <v>12</v>
      </c>
      <c r="E13" s="186" t="s">
        <v>203</v>
      </c>
      <c r="F13">
        <v>0.98</v>
      </c>
      <c r="G13">
        <v>0.8</v>
      </c>
      <c r="H13">
        <v>0.8</v>
      </c>
      <c r="I13">
        <v>0.8</v>
      </c>
      <c r="J13" s="110">
        <v>0.25</v>
      </c>
      <c r="K13" s="110">
        <v>0.05</v>
      </c>
    </row>
    <row r="14" spans="1:42" x14ac:dyDescent="0.15">
      <c r="D14">
        <v>13</v>
      </c>
      <c r="E14" s="186" t="s">
        <v>204</v>
      </c>
      <c r="F14">
        <v>0.98</v>
      </c>
      <c r="G14">
        <v>0.8</v>
      </c>
      <c r="H14">
        <v>0.8</v>
      </c>
      <c r="I14">
        <v>0.8</v>
      </c>
      <c r="J14" s="110">
        <v>0.25</v>
      </c>
      <c r="K14" s="110">
        <v>0.05</v>
      </c>
    </row>
    <row r="15" spans="1:42" x14ac:dyDescent="0.15">
      <c r="D15">
        <v>14</v>
      </c>
      <c r="E15" s="186" t="s">
        <v>205</v>
      </c>
      <c r="F15">
        <v>0.98</v>
      </c>
      <c r="G15">
        <v>0.8</v>
      </c>
      <c r="H15">
        <v>0.8</v>
      </c>
      <c r="I15">
        <v>0.8</v>
      </c>
      <c r="J15" s="110">
        <v>0.25</v>
      </c>
      <c r="K15" s="110">
        <v>0.05</v>
      </c>
    </row>
    <row r="16" spans="1:42" x14ac:dyDescent="0.15">
      <c r="D16">
        <v>15</v>
      </c>
      <c r="E16" s="186" t="s">
        <v>206</v>
      </c>
      <c r="F16">
        <v>0.98</v>
      </c>
      <c r="G16">
        <v>0.8</v>
      </c>
      <c r="H16">
        <v>0.8</v>
      </c>
      <c r="I16">
        <v>0.8</v>
      </c>
      <c r="J16" s="110">
        <v>0.25</v>
      </c>
      <c r="K16" s="110">
        <v>0.05</v>
      </c>
    </row>
    <row r="17" spans="4:33" ht="15" customHeight="1" x14ac:dyDescent="0.15">
      <c r="D17">
        <v>16</v>
      </c>
      <c r="E17" s="186" t="s">
        <v>207</v>
      </c>
      <c r="F17">
        <v>0.98</v>
      </c>
      <c r="G17">
        <v>0.8</v>
      </c>
      <c r="H17">
        <v>0.8</v>
      </c>
      <c r="I17">
        <v>0.8</v>
      </c>
      <c r="J17" s="110">
        <v>0.25</v>
      </c>
      <c r="K17" s="110">
        <v>0.05</v>
      </c>
    </row>
    <row r="18" spans="4:33" ht="15" customHeight="1" x14ac:dyDescent="0.15">
      <c r="D18">
        <v>17</v>
      </c>
      <c r="E18" s="186" t="s">
        <v>208</v>
      </c>
      <c r="F18">
        <v>0.98</v>
      </c>
      <c r="G18">
        <v>0.8</v>
      </c>
      <c r="H18">
        <v>0.8</v>
      </c>
      <c r="I18">
        <v>0.8</v>
      </c>
      <c r="J18" s="110">
        <v>0.25</v>
      </c>
      <c r="K18" s="110">
        <v>0.05</v>
      </c>
    </row>
    <row r="19" spans="4:33" ht="15" customHeight="1" x14ac:dyDescent="0.15">
      <c r="D19">
        <v>18</v>
      </c>
      <c r="E19" s="186" t="s">
        <v>209</v>
      </c>
      <c r="F19">
        <v>0.98</v>
      </c>
      <c r="G19">
        <v>0.8</v>
      </c>
      <c r="H19">
        <v>0.8</v>
      </c>
      <c r="I19">
        <v>0.8</v>
      </c>
      <c r="J19" s="110">
        <v>0.25</v>
      </c>
      <c r="K19" s="110">
        <v>0.05</v>
      </c>
    </row>
    <row r="20" spans="4:33" ht="15" customHeight="1" x14ac:dyDescent="0.15">
      <c r="D20">
        <v>19</v>
      </c>
      <c r="E20" s="186" t="s">
        <v>210</v>
      </c>
      <c r="F20">
        <v>0.98</v>
      </c>
      <c r="G20">
        <v>0.8</v>
      </c>
      <c r="H20">
        <v>0.8</v>
      </c>
      <c r="I20">
        <v>0.8</v>
      </c>
      <c r="J20" s="110">
        <v>0.25</v>
      </c>
      <c r="K20" s="110">
        <v>0.05</v>
      </c>
    </row>
    <row r="21" spans="4:33" ht="15" customHeight="1" x14ac:dyDescent="0.15">
      <c r="D21">
        <v>20</v>
      </c>
      <c r="E21" s="186" t="s">
        <v>211</v>
      </c>
      <c r="F21">
        <v>0.98</v>
      </c>
      <c r="G21">
        <v>0.8</v>
      </c>
      <c r="H21">
        <v>0.8</v>
      </c>
      <c r="I21">
        <v>0.8</v>
      </c>
      <c r="J21" s="110">
        <v>0.25</v>
      </c>
      <c r="K21" s="110">
        <v>0.05</v>
      </c>
    </row>
    <row r="22" spans="4:33" ht="15" customHeight="1" x14ac:dyDescent="0.15">
      <c r="D22">
        <v>21</v>
      </c>
      <c r="E22" s="186" t="s">
        <v>212</v>
      </c>
      <c r="F22">
        <v>0.98</v>
      </c>
      <c r="G22">
        <v>0.8</v>
      </c>
      <c r="H22">
        <v>0.8</v>
      </c>
      <c r="I22">
        <v>0.8</v>
      </c>
      <c r="J22" s="110">
        <v>0.25</v>
      </c>
      <c r="K22" s="110">
        <v>0.05</v>
      </c>
    </row>
    <row r="23" spans="4:33" ht="15" customHeight="1" x14ac:dyDescent="0.15">
      <c r="D23">
        <v>22</v>
      </c>
      <c r="E23" s="186" t="s">
        <v>213</v>
      </c>
      <c r="F23">
        <v>0.98</v>
      </c>
      <c r="G23">
        <v>0.8</v>
      </c>
      <c r="H23">
        <v>0.8</v>
      </c>
      <c r="I23">
        <v>0.8</v>
      </c>
      <c r="J23" s="110">
        <v>0.25</v>
      </c>
      <c r="K23" s="110">
        <v>0.05</v>
      </c>
    </row>
    <row r="24" spans="4:33" ht="15" customHeight="1" x14ac:dyDescent="0.15">
      <c r="D24">
        <v>23</v>
      </c>
      <c r="E24" s="186" t="s">
        <v>214</v>
      </c>
      <c r="F24">
        <v>0.98</v>
      </c>
      <c r="G24">
        <v>0.8</v>
      </c>
      <c r="H24">
        <v>0.8</v>
      </c>
      <c r="I24">
        <v>0.8</v>
      </c>
      <c r="J24" s="110">
        <v>0.25</v>
      </c>
      <c r="K24" s="110">
        <v>0.05</v>
      </c>
    </row>
    <row r="25" spans="4:33" ht="15" customHeight="1" x14ac:dyDescent="0.15">
      <c r="D25">
        <v>24</v>
      </c>
      <c r="E25" s="186" t="s">
        <v>215</v>
      </c>
      <c r="F25">
        <v>0.98</v>
      </c>
      <c r="G25">
        <v>0.8</v>
      </c>
      <c r="H25">
        <v>0.8</v>
      </c>
      <c r="I25">
        <v>0.8</v>
      </c>
      <c r="J25" s="110">
        <v>0.25</v>
      </c>
      <c r="K25" s="110">
        <v>0.05</v>
      </c>
    </row>
    <row r="26" spans="4:33" ht="15" customHeight="1" x14ac:dyDescent="0.15">
      <c r="D26">
        <v>25</v>
      </c>
      <c r="E26" s="186" t="s">
        <v>216</v>
      </c>
      <c r="F26">
        <v>0.98</v>
      </c>
      <c r="G26">
        <v>0.8</v>
      </c>
      <c r="H26">
        <v>0.8</v>
      </c>
      <c r="I26">
        <v>0.8</v>
      </c>
      <c r="J26" s="110">
        <v>0.25</v>
      </c>
      <c r="K26" s="110">
        <v>0.05</v>
      </c>
    </row>
    <row r="27" spans="4:33" ht="15" customHeight="1" x14ac:dyDescent="0.15">
      <c r="D27">
        <v>26</v>
      </c>
      <c r="E27" s="186" t="s">
        <v>217</v>
      </c>
      <c r="F27">
        <v>0.98</v>
      </c>
      <c r="G27">
        <v>0.8</v>
      </c>
      <c r="H27">
        <v>0.8</v>
      </c>
      <c r="I27">
        <v>0.8</v>
      </c>
      <c r="J27" s="110">
        <v>0.25</v>
      </c>
      <c r="K27" s="110">
        <v>0.05</v>
      </c>
    </row>
    <row r="28" spans="4:33" ht="15" customHeight="1" x14ac:dyDescent="0.15">
      <c r="D28">
        <v>27</v>
      </c>
      <c r="E28" s="186" t="s">
        <v>218</v>
      </c>
      <c r="F28">
        <v>0.98</v>
      </c>
      <c r="G28">
        <v>0.8</v>
      </c>
      <c r="H28">
        <v>0.8</v>
      </c>
      <c r="I28">
        <v>0.8</v>
      </c>
      <c r="J28" s="110">
        <v>0.25</v>
      </c>
      <c r="K28" s="110">
        <v>0.05</v>
      </c>
    </row>
    <row r="29" spans="4:33" ht="15" customHeight="1" x14ac:dyDescent="0.15">
      <c r="D29">
        <v>28</v>
      </c>
      <c r="E29" s="186" t="s">
        <v>219</v>
      </c>
      <c r="F29">
        <v>0.98</v>
      </c>
      <c r="G29">
        <v>0.8</v>
      </c>
      <c r="H29">
        <v>0.8</v>
      </c>
      <c r="I29">
        <v>0.8</v>
      </c>
      <c r="J29" s="110">
        <v>0.25</v>
      </c>
      <c r="K29" s="110">
        <v>0.05</v>
      </c>
      <c r="Y29"/>
      <c r="AC29"/>
      <c r="AG29"/>
    </row>
    <row r="30" spans="4:33" ht="15" customHeight="1" x14ac:dyDescent="0.15">
      <c r="D30">
        <v>29</v>
      </c>
      <c r="E30" s="186" t="s">
        <v>220</v>
      </c>
      <c r="F30">
        <v>0.98</v>
      </c>
      <c r="G30">
        <v>0.8</v>
      </c>
      <c r="H30">
        <v>0.8</v>
      </c>
      <c r="I30">
        <v>0.8</v>
      </c>
      <c r="J30" s="110">
        <v>0.25</v>
      </c>
      <c r="K30" s="110">
        <v>0.05</v>
      </c>
      <c r="Y30"/>
      <c r="AC30"/>
      <c r="AG30"/>
    </row>
    <row r="31" spans="4:33" ht="15" customHeight="1" x14ac:dyDescent="0.15">
      <c r="D31">
        <v>30</v>
      </c>
      <c r="E31" s="186" t="s">
        <v>221</v>
      </c>
      <c r="F31">
        <v>0.98</v>
      </c>
      <c r="G31">
        <v>0.8</v>
      </c>
      <c r="H31">
        <v>0.8</v>
      </c>
      <c r="I31">
        <v>0.8</v>
      </c>
      <c r="J31" s="110">
        <v>0.25</v>
      </c>
      <c r="K31" s="110">
        <v>0.05</v>
      </c>
      <c r="Y31"/>
      <c r="AC31"/>
      <c r="AG31"/>
    </row>
    <row r="32" spans="4:33" ht="15" customHeight="1" x14ac:dyDescent="0.15">
      <c r="D32">
        <v>31</v>
      </c>
      <c r="E32" s="186" t="s">
        <v>222</v>
      </c>
      <c r="F32">
        <v>0.98</v>
      </c>
      <c r="G32">
        <v>0.8</v>
      </c>
      <c r="H32">
        <v>0.8</v>
      </c>
      <c r="I32">
        <v>0.8</v>
      </c>
      <c r="J32" s="110">
        <v>0.25</v>
      </c>
      <c r="K32" s="110">
        <v>0.05</v>
      </c>
      <c r="Y32"/>
      <c r="AC32"/>
      <c r="AG32"/>
    </row>
    <row r="33" spans="4:33" ht="15" customHeight="1" x14ac:dyDescent="0.15">
      <c r="D33">
        <v>32</v>
      </c>
      <c r="E33" s="186" t="s">
        <v>223</v>
      </c>
      <c r="F33">
        <v>0.98</v>
      </c>
      <c r="G33">
        <v>0.8</v>
      </c>
      <c r="H33">
        <v>0.8</v>
      </c>
      <c r="I33">
        <v>0.8</v>
      </c>
      <c r="J33" s="110">
        <v>0.25</v>
      </c>
      <c r="K33" s="110">
        <v>0.05</v>
      </c>
      <c r="Y33"/>
      <c r="AC33"/>
      <c r="AG33"/>
    </row>
    <row r="34" spans="4:33" ht="15" customHeight="1" x14ac:dyDescent="0.15">
      <c r="D34">
        <v>33</v>
      </c>
      <c r="E34" s="186" t="s">
        <v>224</v>
      </c>
      <c r="F34">
        <v>0.98</v>
      </c>
      <c r="G34">
        <v>0.8</v>
      </c>
      <c r="H34">
        <v>0.8</v>
      </c>
      <c r="I34">
        <v>0.8</v>
      </c>
      <c r="J34" s="110">
        <v>0.25</v>
      </c>
      <c r="K34" s="110">
        <v>0.05</v>
      </c>
      <c r="Y34"/>
      <c r="AC34"/>
      <c r="AG34"/>
    </row>
    <row r="35" spans="4:33" ht="15" customHeight="1" x14ac:dyDescent="0.15">
      <c r="D35">
        <v>34</v>
      </c>
      <c r="E35" s="186" t="s">
        <v>225</v>
      </c>
      <c r="F35">
        <v>0.98</v>
      </c>
      <c r="G35">
        <v>0.8</v>
      </c>
      <c r="H35">
        <v>0.8</v>
      </c>
      <c r="I35">
        <v>0.8</v>
      </c>
      <c r="J35" s="110">
        <v>0.25</v>
      </c>
      <c r="K35" s="110">
        <v>0.05</v>
      </c>
      <c r="Y35"/>
      <c r="AC35"/>
      <c r="AG35"/>
    </row>
    <row r="36" spans="4:33" ht="15" customHeight="1" x14ac:dyDescent="0.15">
      <c r="D36">
        <v>35</v>
      </c>
      <c r="E36" s="186" t="s">
        <v>226</v>
      </c>
      <c r="F36">
        <v>0.98</v>
      </c>
      <c r="G36">
        <v>0.8</v>
      </c>
      <c r="H36">
        <v>0.8</v>
      </c>
      <c r="I36">
        <v>0</v>
      </c>
      <c r="J36" s="110">
        <v>0</v>
      </c>
      <c r="K36" s="110">
        <v>0</v>
      </c>
      <c r="Y36"/>
      <c r="AC36"/>
      <c r="AG36"/>
    </row>
    <row r="37" spans="4:33" ht="15" customHeight="1" x14ac:dyDescent="0.15">
      <c r="D37">
        <v>36</v>
      </c>
      <c r="E37" s="186" t="s">
        <v>227</v>
      </c>
      <c r="F37">
        <v>0.98</v>
      </c>
      <c r="G37">
        <v>0.8</v>
      </c>
      <c r="H37">
        <v>0.8</v>
      </c>
      <c r="I37">
        <v>0</v>
      </c>
      <c r="J37" s="110">
        <v>0</v>
      </c>
      <c r="K37" s="110">
        <v>0</v>
      </c>
      <c r="Y37"/>
      <c r="AC37"/>
      <c r="AG37"/>
    </row>
    <row r="38" spans="4:33" ht="15" customHeight="1" x14ac:dyDescent="0.15">
      <c r="D38">
        <v>37</v>
      </c>
      <c r="E38" s="186" t="s">
        <v>228</v>
      </c>
      <c r="F38">
        <v>0.98</v>
      </c>
      <c r="G38">
        <v>0.8</v>
      </c>
      <c r="H38">
        <v>0</v>
      </c>
      <c r="I38">
        <v>0</v>
      </c>
      <c r="J38" s="110">
        <v>0</v>
      </c>
      <c r="K38" s="110">
        <v>0</v>
      </c>
      <c r="Y38"/>
      <c r="AC38"/>
      <c r="AG38"/>
    </row>
    <row r="39" spans="4:33" ht="15" customHeight="1" x14ac:dyDescent="0.15">
      <c r="D39">
        <v>38</v>
      </c>
      <c r="E39" s="186" t="s">
        <v>229</v>
      </c>
      <c r="F39">
        <v>0.98</v>
      </c>
      <c r="G39">
        <v>0.8</v>
      </c>
      <c r="H39">
        <v>0</v>
      </c>
      <c r="I39">
        <v>0</v>
      </c>
      <c r="J39" s="110">
        <v>0</v>
      </c>
      <c r="K39" s="110">
        <v>0</v>
      </c>
    </row>
    <row r="40" spans="4:33" ht="15" customHeight="1" x14ac:dyDescent="0.15">
      <c r="J40"/>
      <c r="K40"/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M40"/>
  <sheetViews>
    <sheetView workbookViewId="0">
      <selection activeCell="A3" sqref="A3"/>
    </sheetView>
  </sheetViews>
  <sheetFormatPr baseColWidth="10" defaultRowHeight="13" x14ac:dyDescent="0.15"/>
  <cols>
    <col min="1" max="1" width="21.6640625" style="107" bestFit="1" customWidth="1"/>
    <col min="2" max="35" width="3.83203125" style="107" customWidth="1"/>
    <col min="36" max="39" width="2.33203125" style="107" customWidth="1"/>
    <col min="40" max="16384" width="10.83203125" style="107"/>
  </cols>
  <sheetData>
    <row r="1" spans="1:39" x14ac:dyDescent="0.15">
      <c r="A1" s="62" t="s">
        <v>118</v>
      </c>
      <c r="B1" s="188" t="s">
        <v>192</v>
      </c>
      <c r="C1" s="188" t="s">
        <v>193</v>
      </c>
      <c r="D1" s="188" t="s">
        <v>194</v>
      </c>
      <c r="E1" s="188" t="s">
        <v>195</v>
      </c>
      <c r="F1" s="188" t="s">
        <v>196</v>
      </c>
      <c r="G1" s="188" t="s">
        <v>197</v>
      </c>
      <c r="H1" s="188" t="s">
        <v>198</v>
      </c>
      <c r="I1" s="188" t="s">
        <v>199</v>
      </c>
      <c r="J1" s="188" t="s">
        <v>200</v>
      </c>
      <c r="K1" s="188" t="s">
        <v>201</v>
      </c>
      <c r="L1" s="188" t="s">
        <v>202</v>
      </c>
      <c r="M1" s="188" t="s">
        <v>203</v>
      </c>
      <c r="N1" s="188" t="s">
        <v>204</v>
      </c>
      <c r="O1" s="188" t="s">
        <v>205</v>
      </c>
      <c r="P1" s="188" t="s">
        <v>206</v>
      </c>
      <c r="Q1" s="188" t="s">
        <v>207</v>
      </c>
      <c r="R1" s="188" t="s">
        <v>208</v>
      </c>
      <c r="S1" s="188" t="s">
        <v>209</v>
      </c>
      <c r="T1" s="188" t="s">
        <v>210</v>
      </c>
      <c r="U1" s="188" t="s">
        <v>211</v>
      </c>
      <c r="V1" s="188" t="s">
        <v>212</v>
      </c>
      <c r="W1" s="188" t="s">
        <v>213</v>
      </c>
      <c r="X1" s="188" t="s">
        <v>214</v>
      </c>
      <c r="Y1" s="188" t="s">
        <v>215</v>
      </c>
      <c r="Z1" s="188" t="s">
        <v>216</v>
      </c>
      <c r="AA1" s="188" t="s">
        <v>217</v>
      </c>
      <c r="AB1" s="188" t="s">
        <v>218</v>
      </c>
      <c r="AC1" s="188" t="s">
        <v>219</v>
      </c>
      <c r="AD1" s="188" t="s">
        <v>220</v>
      </c>
      <c r="AE1" s="188" t="s">
        <v>221</v>
      </c>
      <c r="AF1" s="188" t="s">
        <v>222</v>
      </c>
      <c r="AG1" s="188" t="s">
        <v>223</v>
      </c>
      <c r="AH1" s="188" t="s">
        <v>224</v>
      </c>
      <c r="AI1" s="188" t="s">
        <v>225</v>
      </c>
      <c r="AJ1" s="188" t="s">
        <v>226</v>
      </c>
      <c r="AK1" s="188" t="s">
        <v>227</v>
      </c>
      <c r="AL1" s="188" t="s">
        <v>228</v>
      </c>
      <c r="AM1" s="188" t="s">
        <v>229</v>
      </c>
    </row>
    <row r="2" spans="1:39" customFormat="1" x14ac:dyDescent="0.15">
      <c r="A2" s="187" t="s">
        <v>192</v>
      </c>
      <c r="B2" s="107">
        <v>0</v>
      </c>
      <c r="C2" s="107">
        <v>0</v>
      </c>
      <c r="D2" s="107">
        <v>0</v>
      </c>
      <c r="E2" s="107">
        <v>0</v>
      </c>
      <c r="F2" s="107">
        <v>0</v>
      </c>
      <c r="G2" s="107">
        <v>0</v>
      </c>
      <c r="H2" s="107">
        <v>0</v>
      </c>
      <c r="I2" s="107">
        <v>0</v>
      </c>
      <c r="J2" s="107">
        <v>0</v>
      </c>
      <c r="K2" s="107">
        <v>0</v>
      </c>
      <c r="L2" s="107">
        <v>0</v>
      </c>
      <c r="M2" s="107">
        <v>0</v>
      </c>
      <c r="N2" s="107">
        <v>0.8</v>
      </c>
      <c r="O2" s="107">
        <v>0</v>
      </c>
      <c r="P2" s="107">
        <v>0</v>
      </c>
      <c r="Q2" s="107">
        <v>0</v>
      </c>
      <c r="R2" s="107">
        <v>0</v>
      </c>
      <c r="S2" s="107">
        <v>0</v>
      </c>
      <c r="T2" s="107">
        <v>0</v>
      </c>
      <c r="U2" s="107">
        <v>0</v>
      </c>
      <c r="V2" s="107">
        <v>0</v>
      </c>
      <c r="W2" s="107">
        <v>0</v>
      </c>
      <c r="X2" s="107">
        <v>0</v>
      </c>
      <c r="Y2" s="107">
        <v>0</v>
      </c>
      <c r="Z2" s="107">
        <v>0</v>
      </c>
      <c r="AA2" s="107">
        <v>0</v>
      </c>
      <c r="AB2" s="107">
        <v>0</v>
      </c>
      <c r="AC2" s="107">
        <v>0</v>
      </c>
      <c r="AD2" s="107">
        <v>0</v>
      </c>
      <c r="AE2" s="107">
        <v>0</v>
      </c>
      <c r="AF2" s="107">
        <v>0</v>
      </c>
      <c r="AG2" s="107">
        <v>0</v>
      </c>
      <c r="AH2" s="107">
        <v>0</v>
      </c>
      <c r="AI2" s="107">
        <v>0</v>
      </c>
      <c r="AJ2" s="107">
        <v>0</v>
      </c>
      <c r="AK2" s="107">
        <v>0</v>
      </c>
      <c r="AL2" s="107">
        <v>0</v>
      </c>
      <c r="AM2" s="107">
        <v>0</v>
      </c>
    </row>
    <row r="3" spans="1:39" customFormat="1" x14ac:dyDescent="0.15">
      <c r="A3" s="187" t="s">
        <v>193</v>
      </c>
      <c r="B3" s="107">
        <v>0</v>
      </c>
      <c r="C3" s="107">
        <v>0</v>
      </c>
      <c r="D3" s="107">
        <v>0</v>
      </c>
      <c r="E3" s="107">
        <v>0.8</v>
      </c>
      <c r="F3" s="107">
        <v>0</v>
      </c>
      <c r="G3" s="107">
        <v>0.8</v>
      </c>
      <c r="H3" s="107">
        <v>0</v>
      </c>
      <c r="I3" s="107">
        <v>0.8</v>
      </c>
      <c r="J3" s="107">
        <v>0</v>
      </c>
      <c r="K3" s="107">
        <v>0</v>
      </c>
      <c r="L3" s="107">
        <v>0</v>
      </c>
      <c r="M3" s="107">
        <v>0</v>
      </c>
      <c r="N3" s="107">
        <v>0</v>
      </c>
      <c r="O3" s="107">
        <v>0</v>
      </c>
      <c r="P3" s="107">
        <v>0</v>
      </c>
      <c r="Q3" s="107">
        <v>0</v>
      </c>
      <c r="R3" s="107">
        <v>0</v>
      </c>
      <c r="S3" s="107">
        <v>0</v>
      </c>
      <c r="T3" s="107">
        <v>0</v>
      </c>
      <c r="U3" s="107">
        <v>0</v>
      </c>
      <c r="V3" s="107">
        <v>0</v>
      </c>
      <c r="W3" s="107">
        <v>0</v>
      </c>
      <c r="X3" s="107">
        <v>0</v>
      </c>
      <c r="Y3" s="107">
        <v>0</v>
      </c>
      <c r="Z3" s="107">
        <v>0</v>
      </c>
      <c r="AA3" s="107">
        <v>0</v>
      </c>
      <c r="AB3" s="107">
        <v>0</v>
      </c>
      <c r="AC3" s="107">
        <v>0</v>
      </c>
      <c r="AD3" s="107">
        <v>0</v>
      </c>
      <c r="AE3" s="107">
        <v>0</v>
      </c>
      <c r="AF3" s="107">
        <v>0</v>
      </c>
      <c r="AG3" s="107">
        <v>0</v>
      </c>
      <c r="AH3" s="107">
        <v>0</v>
      </c>
      <c r="AI3" s="107">
        <v>0</v>
      </c>
      <c r="AJ3" s="107">
        <v>0</v>
      </c>
      <c r="AK3" s="107">
        <v>0</v>
      </c>
      <c r="AL3" s="107">
        <v>0</v>
      </c>
      <c r="AM3" s="107">
        <v>0</v>
      </c>
    </row>
    <row r="4" spans="1:39" customFormat="1" x14ac:dyDescent="0.15">
      <c r="A4" s="187" t="s">
        <v>194</v>
      </c>
      <c r="B4" s="107">
        <v>0</v>
      </c>
      <c r="C4" s="107">
        <v>0.8</v>
      </c>
      <c r="D4" s="107">
        <v>0.8</v>
      </c>
      <c r="E4" s="107">
        <v>0</v>
      </c>
      <c r="F4" s="107">
        <v>0</v>
      </c>
      <c r="G4" s="107">
        <v>0.8</v>
      </c>
      <c r="H4" s="107">
        <v>0</v>
      </c>
      <c r="I4" s="107">
        <v>0.8</v>
      </c>
      <c r="J4" s="107">
        <v>0</v>
      </c>
      <c r="K4" s="107">
        <v>0</v>
      </c>
      <c r="L4" s="107">
        <v>0</v>
      </c>
      <c r="M4" s="107">
        <v>0</v>
      </c>
      <c r="N4" s="107">
        <v>0</v>
      </c>
      <c r="O4" s="107">
        <v>0</v>
      </c>
      <c r="P4" s="107">
        <v>0</v>
      </c>
      <c r="Q4" s="107">
        <v>0</v>
      </c>
      <c r="R4" s="107">
        <v>0</v>
      </c>
      <c r="S4" s="107">
        <v>0</v>
      </c>
      <c r="T4" s="107">
        <v>0</v>
      </c>
      <c r="U4" s="107">
        <v>0</v>
      </c>
      <c r="V4" s="107">
        <v>0.8</v>
      </c>
      <c r="W4" s="107">
        <v>0</v>
      </c>
      <c r="X4" s="107">
        <v>0</v>
      </c>
      <c r="Y4" s="107">
        <v>0</v>
      </c>
      <c r="Z4" s="107">
        <v>0</v>
      </c>
      <c r="AA4" s="107">
        <v>0</v>
      </c>
      <c r="AB4" s="107">
        <v>0</v>
      </c>
      <c r="AC4" s="107">
        <v>0</v>
      </c>
      <c r="AD4" s="107">
        <v>0</v>
      </c>
      <c r="AE4" s="107">
        <v>0</v>
      </c>
      <c r="AF4" s="107">
        <v>0</v>
      </c>
      <c r="AG4" s="107">
        <v>0</v>
      </c>
      <c r="AH4" s="107">
        <v>0</v>
      </c>
      <c r="AI4" s="107">
        <v>0</v>
      </c>
      <c r="AJ4" s="107">
        <v>0</v>
      </c>
      <c r="AK4" s="107">
        <v>0</v>
      </c>
      <c r="AL4" s="107">
        <v>0</v>
      </c>
      <c r="AM4" s="107">
        <v>0</v>
      </c>
    </row>
    <row r="5" spans="1:39" customFormat="1" x14ac:dyDescent="0.15">
      <c r="A5" s="187" t="s">
        <v>195</v>
      </c>
      <c r="B5" s="107">
        <v>0</v>
      </c>
      <c r="C5" s="107">
        <v>0.8</v>
      </c>
      <c r="D5" s="107">
        <v>0</v>
      </c>
      <c r="E5" s="107">
        <v>0</v>
      </c>
      <c r="F5" s="107">
        <v>0.8</v>
      </c>
      <c r="G5" s="107">
        <v>0</v>
      </c>
      <c r="H5" s="107">
        <v>0</v>
      </c>
      <c r="I5" s="107">
        <v>0</v>
      </c>
      <c r="J5" s="107">
        <v>0</v>
      </c>
      <c r="K5" s="107">
        <v>0</v>
      </c>
      <c r="L5" s="107">
        <v>0</v>
      </c>
      <c r="M5" s="107">
        <v>0</v>
      </c>
      <c r="N5" s="107">
        <v>0</v>
      </c>
      <c r="O5" s="107">
        <v>0</v>
      </c>
      <c r="P5" s="107">
        <v>0</v>
      </c>
      <c r="Q5" s="107">
        <v>0</v>
      </c>
      <c r="R5" s="107">
        <v>0</v>
      </c>
      <c r="S5" s="107">
        <v>0</v>
      </c>
      <c r="T5" s="107">
        <v>0</v>
      </c>
      <c r="U5" s="107">
        <v>0</v>
      </c>
      <c r="V5" s="107">
        <v>0</v>
      </c>
      <c r="W5" s="107">
        <v>0</v>
      </c>
      <c r="X5" s="107">
        <v>0</v>
      </c>
      <c r="Y5" s="107">
        <v>0</v>
      </c>
      <c r="Z5" s="107">
        <v>0</v>
      </c>
      <c r="AA5" s="107">
        <v>0</v>
      </c>
      <c r="AB5" s="107">
        <v>0</v>
      </c>
      <c r="AC5" s="107">
        <v>0</v>
      </c>
      <c r="AD5" s="107">
        <v>0</v>
      </c>
      <c r="AE5" s="107">
        <v>0</v>
      </c>
      <c r="AF5" s="107">
        <v>0</v>
      </c>
      <c r="AG5" s="107">
        <v>0</v>
      </c>
      <c r="AH5" s="107">
        <v>0</v>
      </c>
      <c r="AI5" s="107">
        <v>0</v>
      </c>
      <c r="AJ5" s="107">
        <v>0</v>
      </c>
      <c r="AK5" s="107">
        <v>0</v>
      </c>
      <c r="AL5" s="107">
        <v>0</v>
      </c>
      <c r="AM5" s="107">
        <v>0</v>
      </c>
    </row>
    <row r="6" spans="1:39" customFormat="1" x14ac:dyDescent="0.15">
      <c r="A6" s="187" t="s">
        <v>196</v>
      </c>
      <c r="B6" s="107">
        <v>0</v>
      </c>
      <c r="C6" s="107">
        <v>0</v>
      </c>
      <c r="D6" s="107">
        <v>0.8</v>
      </c>
      <c r="E6" s="107">
        <v>0</v>
      </c>
      <c r="F6" s="107">
        <v>0</v>
      </c>
      <c r="G6" s="107">
        <v>0</v>
      </c>
      <c r="H6" s="107">
        <v>0</v>
      </c>
      <c r="I6" s="107">
        <v>0</v>
      </c>
      <c r="J6" s="107">
        <v>0</v>
      </c>
      <c r="K6" s="107">
        <v>0</v>
      </c>
      <c r="L6" s="107">
        <v>0</v>
      </c>
      <c r="M6" s="107">
        <v>0</v>
      </c>
      <c r="N6" s="107">
        <v>0</v>
      </c>
      <c r="O6" s="107">
        <v>0</v>
      </c>
      <c r="P6" s="107">
        <v>0</v>
      </c>
      <c r="Q6" s="107">
        <v>0</v>
      </c>
      <c r="R6" s="107">
        <v>0</v>
      </c>
      <c r="S6" s="107">
        <v>0</v>
      </c>
      <c r="T6" s="107">
        <v>0</v>
      </c>
      <c r="U6" s="107">
        <v>0</v>
      </c>
      <c r="V6" s="107">
        <v>0</v>
      </c>
      <c r="W6" s="107">
        <v>0</v>
      </c>
      <c r="X6" s="107">
        <v>0</v>
      </c>
      <c r="Y6" s="107">
        <v>0</v>
      </c>
      <c r="Z6" s="107">
        <v>0</v>
      </c>
      <c r="AA6" s="107">
        <v>0</v>
      </c>
      <c r="AB6" s="107">
        <v>0</v>
      </c>
      <c r="AC6" s="107">
        <v>0</v>
      </c>
      <c r="AD6" s="107">
        <v>0</v>
      </c>
      <c r="AE6" s="107">
        <v>0</v>
      </c>
      <c r="AF6" s="107">
        <v>0</v>
      </c>
      <c r="AG6" s="107">
        <v>0</v>
      </c>
      <c r="AH6" s="107">
        <v>0</v>
      </c>
      <c r="AI6" s="107">
        <v>0</v>
      </c>
      <c r="AJ6" s="107">
        <v>0</v>
      </c>
      <c r="AK6" s="107">
        <v>0</v>
      </c>
      <c r="AL6" s="107">
        <v>0</v>
      </c>
      <c r="AM6" s="107">
        <v>0</v>
      </c>
    </row>
    <row r="7" spans="1:39" customFormat="1" x14ac:dyDescent="0.15">
      <c r="A7" s="187" t="s">
        <v>197</v>
      </c>
      <c r="B7" s="107">
        <v>0</v>
      </c>
      <c r="C7" s="107">
        <v>0.8</v>
      </c>
      <c r="D7" s="107">
        <v>0</v>
      </c>
      <c r="E7" s="107">
        <v>0</v>
      </c>
      <c r="F7" s="107">
        <v>0</v>
      </c>
      <c r="G7" s="107">
        <v>0.8</v>
      </c>
      <c r="H7" s="107">
        <v>0</v>
      </c>
      <c r="I7" s="107">
        <v>0</v>
      </c>
      <c r="J7" s="107">
        <v>0</v>
      </c>
      <c r="K7" s="107">
        <v>0</v>
      </c>
      <c r="L7" s="107">
        <v>0</v>
      </c>
      <c r="M7" s="107">
        <v>0.8</v>
      </c>
      <c r="N7" s="107">
        <v>0</v>
      </c>
      <c r="O7" s="107">
        <v>0</v>
      </c>
      <c r="P7" s="107">
        <v>0</v>
      </c>
      <c r="Q7" s="107">
        <v>0.8</v>
      </c>
      <c r="R7" s="107">
        <v>0</v>
      </c>
      <c r="S7" s="107">
        <v>0</v>
      </c>
      <c r="T7" s="107">
        <v>0</v>
      </c>
      <c r="U7" s="107">
        <v>0</v>
      </c>
      <c r="V7" s="107">
        <v>0</v>
      </c>
      <c r="W7" s="107">
        <v>0</v>
      </c>
      <c r="X7" s="107">
        <v>0</v>
      </c>
      <c r="Y7" s="107">
        <v>0</v>
      </c>
      <c r="Z7" s="107">
        <v>0</v>
      </c>
      <c r="AA7" s="107">
        <v>0</v>
      </c>
      <c r="AB7" s="107">
        <v>0</v>
      </c>
      <c r="AC7" s="107">
        <v>0</v>
      </c>
      <c r="AD7" s="107">
        <v>0</v>
      </c>
      <c r="AE7" s="107">
        <v>0</v>
      </c>
      <c r="AF7" s="107">
        <v>0</v>
      </c>
      <c r="AG7" s="107">
        <v>0</v>
      </c>
      <c r="AH7" s="107">
        <v>0</v>
      </c>
      <c r="AI7" s="107">
        <v>0</v>
      </c>
      <c r="AJ7" s="107">
        <v>0</v>
      </c>
      <c r="AK7" s="107">
        <v>0</v>
      </c>
      <c r="AL7" s="107">
        <v>0</v>
      </c>
      <c r="AM7" s="107">
        <v>0</v>
      </c>
    </row>
    <row r="8" spans="1:39" customFormat="1" x14ac:dyDescent="0.15">
      <c r="A8" s="187" t="s">
        <v>198</v>
      </c>
      <c r="B8" s="107">
        <v>0</v>
      </c>
      <c r="C8" s="107">
        <v>0</v>
      </c>
      <c r="D8" s="107">
        <v>0</v>
      </c>
      <c r="E8" s="107">
        <v>0</v>
      </c>
      <c r="F8" s="107">
        <v>0</v>
      </c>
      <c r="G8" s="107">
        <v>0</v>
      </c>
      <c r="H8" s="107">
        <v>0</v>
      </c>
      <c r="I8" s="107">
        <v>0.8</v>
      </c>
      <c r="J8" s="107">
        <v>0.8</v>
      </c>
      <c r="K8" s="107">
        <v>0</v>
      </c>
      <c r="L8" s="107">
        <v>0.8</v>
      </c>
      <c r="M8" s="107">
        <v>0</v>
      </c>
      <c r="N8" s="107">
        <v>0</v>
      </c>
      <c r="O8" s="107">
        <v>0</v>
      </c>
      <c r="P8" s="107">
        <v>0</v>
      </c>
      <c r="Q8" s="107">
        <v>0</v>
      </c>
      <c r="R8" s="107">
        <v>0</v>
      </c>
      <c r="S8" s="107">
        <v>0</v>
      </c>
      <c r="T8" s="107">
        <v>0</v>
      </c>
      <c r="U8" s="107">
        <v>0</v>
      </c>
      <c r="V8" s="107">
        <v>0.8</v>
      </c>
      <c r="W8" s="107">
        <v>0</v>
      </c>
      <c r="X8" s="107">
        <v>0</v>
      </c>
      <c r="Y8" s="107">
        <v>0</v>
      </c>
      <c r="Z8" s="107">
        <v>0</v>
      </c>
      <c r="AA8" s="107">
        <v>0</v>
      </c>
      <c r="AB8" s="107">
        <v>0</v>
      </c>
      <c r="AC8" s="107">
        <v>0</v>
      </c>
      <c r="AD8" s="107">
        <v>0</v>
      </c>
      <c r="AE8" s="107">
        <v>0</v>
      </c>
      <c r="AF8" s="107">
        <v>0</v>
      </c>
      <c r="AG8" s="107">
        <v>0</v>
      </c>
      <c r="AH8" s="107">
        <v>0</v>
      </c>
      <c r="AI8" s="107">
        <v>0</v>
      </c>
      <c r="AJ8" s="107">
        <v>0</v>
      </c>
      <c r="AK8" s="107">
        <v>0</v>
      </c>
      <c r="AL8" s="107">
        <v>0</v>
      </c>
      <c r="AM8" s="107">
        <v>0</v>
      </c>
    </row>
    <row r="9" spans="1:39" customFormat="1" x14ac:dyDescent="0.15">
      <c r="A9" s="187" t="s">
        <v>199</v>
      </c>
      <c r="B9" s="107">
        <v>0</v>
      </c>
      <c r="C9" s="107">
        <v>0</v>
      </c>
      <c r="D9" s="107">
        <v>0</v>
      </c>
      <c r="E9" s="107">
        <v>0</v>
      </c>
      <c r="F9" s="107">
        <v>0</v>
      </c>
      <c r="G9" s="107">
        <v>0</v>
      </c>
      <c r="H9" s="107">
        <v>0.8</v>
      </c>
      <c r="I9" s="107">
        <v>0.8</v>
      </c>
      <c r="J9" s="107">
        <v>0.8</v>
      </c>
      <c r="K9" s="107">
        <v>0</v>
      </c>
      <c r="L9" s="107">
        <v>0</v>
      </c>
      <c r="M9" s="107">
        <v>0</v>
      </c>
      <c r="N9" s="107">
        <v>0</v>
      </c>
      <c r="O9" s="107">
        <v>0</v>
      </c>
      <c r="P9" s="107">
        <v>0</v>
      </c>
      <c r="Q9" s="107">
        <v>0</v>
      </c>
      <c r="R9" s="107">
        <v>0</v>
      </c>
      <c r="S9" s="107">
        <v>0</v>
      </c>
      <c r="T9" s="107">
        <v>0</v>
      </c>
      <c r="U9" s="107">
        <v>0</v>
      </c>
      <c r="V9" s="107">
        <v>0</v>
      </c>
      <c r="W9" s="107">
        <v>0</v>
      </c>
      <c r="X9" s="107">
        <v>0</v>
      </c>
      <c r="Y9" s="107">
        <v>0</v>
      </c>
      <c r="Z9" s="107">
        <v>0</v>
      </c>
      <c r="AA9" s="107">
        <v>0</v>
      </c>
      <c r="AB9" s="107">
        <v>0</v>
      </c>
      <c r="AC9" s="107">
        <v>0</v>
      </c>
      <c r="AD9" s="107">
        <v>0</v>
      </c>
      <c r="AE9" s="107">
        <v>0</v>
      </c>
      <c r="AF9" s="107">
        <v>0</v>
      </c>
      <c r="AG9" s="107">
        <v>0</v>
      </c>
      <c r="AH9" s="107">
        <v>0</v>
      </c>
      <c r="AI9" s="107">
        <v>0</v>
      </c>
      <c r="AJ9" s="107">
        <v>0</v>
      </c>
      <c r="AK9" s="107">
        <v>0</v>
      </c>
      <c r="AL9" s="107">
        <v>0</v>
      </c>
      <c r="AM9" s="107">
        <v>0</v>
      </c>
    </row>
    <row r="10" spans="1:39" customFormat="1" x14ac:dyDescent="0.15">
      <c r="A10" s="187" t="s">
        <v>200</v>
      </c>
      <c r="B10" s="107">
        <v>0.8</v>
      </c>
      <c r="C10" s="107">
        <v>0.8</v>
      </c>
      <c r="D10" s="107">
        <v>0</v>
      </c>
      <c r="E10" s="107">
        <v>0.8</v>
      </c>
      <c r="F10" s="107">
        <v>0</v>
      </c>
      <c r="G10" s="107">
        <v>0</v>
      </c>
      <c r="H10" s="107">
        <v>0.8</v>
      </c>
      <c r="I10" s="107">
        <v>0.8</v>
      </c>
      <c r="J10" s="107">
        <v>0</v>
      </c>
      <c r="K10" s="107">
        <v>0</v>
      </c>
      <c r="L10" s="107">
        <v>0</v>
      </c>
      <c r="M10" s="107">
        <v>0</v>
      </c>
      <c r="N10" s="107">
        <v>0</v>
      </c>
      <c r="O10" s="107">
        <v>0</v>
      </c>
      <c r="P10" s="107">
        <v>0</v>
      </c>
      <c r="Q10" s="107">
        <v>0</v>
      </c>
      <c r="R10" s="107">
        <v>0</v>
      </c>
      <c r="S10" s="107">
        <v>0</v>
      </c>
      <c r="T10" s="107">
        <v>0</v>
      </c>
      <c r="U10" s="107">
        <v>0</v>
      </c>
      <c r="V10" s="107">
        <v>0.8</v>
      </c>
      <c r="W10" s="107">
        <v>0</v>
      </c>
      <c r="X10" s="107">
        <v>0</v>
      </c>
      <c r="Y10" s="107">
        <v>0</v>
      </c>
      <c r="Z10" s="107">
        <v>0</v>
      </c>
      <c r="AA10" s="107">
        <v>0</v>
      </c>
      <c r="AB10" s="107">
        <v>0</v>
      </c>
      <c r="AC10" s="107">
        <v>0</v>
      </c>
      <c r="AD10" s="107">
        <v>0</v>
      </c>
      <c r="AE10" s="107">
        <v>0</v>
      </c>
      <c r="AF10" s="107">
        <v>0</v>
      </c>
      <c r="AG10" s="107">
        <v>0</v>
      </c>
      <c r="AH10" s="107">
        <v>0</v>
      </c>
      <c r="AI10" s="107">
        <v>0</v>
      </c>
      <c r="AJ10" s="107">
        <v>0</v>
      </c>
      <c r="AK10" s="107">
        <v>0</v>
      </c>
      <c r="AL10" s="107">
        <v>0</v>
      </c>
      <c r="AM10" s="107">
        <v>0</v>
      </c>
    </row>
    <row r="11" spans="1:39" customFormat="1" x14ac:dyDescent="0.15">
      <c r="A11" s="187" t="s">
        <v>201</v>
      </c>
      <c r="B11" s="107">
        <v>0</v>
      </c>
      <c r="C11" s="107">
        <v>0</v>
      </c>
      <c r="D11" s="107">
        <v>0</v>
      </c>
      <c r="E11" s="107">
        <v>0</v>
      </c>
      <c r="F11" s="107">
        <v>0.8</v>
      </c>
      <c r="G11" s="107">
        <v>0</v>
      </c>
      <c r="H11" s="107">
        <v>0</v>
      </c>
      <c r="I11" s="107">
        <v>0.8</v>
      </c>
      <c r="J11" s="107">
        <v>0.8</v>
      </c>
      <c r="K11" s="107">
        <v>0.8</v>
      </c>
      <c r="L11" s="107">
        <v>0</v>
      </c>
      <c r="M11" s="107">
        <v>0</v>
      </c>
      <c r="N11" s="107">
        <v>0</v>
      </c>
      <c r="O11" s="107">
        <v>0</v>
      </c>
      <c r="P11" s="107">
        <v>0</v>
      </c>
      <c r="Q11" s="107">
        <v>0</v>
      </c>
      <c r="R11" s="107">
        <v>0</v>
      </c>
      <c r="S11" s="107">
        <v>0</v>
      </c>
      <c r="T11" s="107">
        <v>0</v>
      </c>
      <c r="U11" s="107">
        <v>0</v>
      </c>
      <c r="V11" s="107">
        <v>0</v>
      </c>
      <c r="W11" s="107">
        <v>0</v>
      </c>
      <c r="X11" s="107">
        <v>0</v>
      </c>
      <c r="Y11" s="107">
        <v>0</v>
      </c>
      <c r="Z11" s="107">
        <v>0</v>
      </c>
      <c r="AA11" s="107">
        <v>0</v>
      </c>
      <c r="AB11" s="107">
        <v>0</v>
      </c>
      <c r="AC11" s="107">
        <v>0</v>
      </c>
      <c r="AD11" s="107">
        <v>0</v>
      </c>
      <c r="AE11" s="107">
        <v>0</v>
      </c>
      <c r="AF11" s="107">
        <v>0</v>
      </c>
      <c r="AG11" s="107">
        <v>0</v>
      </c>
      <c r="AH11" s="107">
        <v>0</v>
      </c>
      <c r="AI11" s="107">
        <v>0</v>
      </c>
      <c r="AJ11" s="107">
        <v>0</v>
      </c>
      <c r="AK11" s="107">
        <v>0</v>
      </c>
      <c r="AL11" s="107">
        <v>0</v>
      </c>
      <c r="AM11" s="107">
        <v>0</v>
      </c>
    </row>
    <row r="12" spans="1:39" customFormat="1" x14ac:dyDescent="0.15">
      <c r="A12" s="187" t="s">
        <v>202</v>
      </c>
      <c r="B12" s="107">
        <v>0</v>
      </c>
      <c r="C12" s="107">
        <v>0</v>
      </c>
      <c r="D12" s="107">
        <v>0.8</v>
      </c>
      <c r="E12" s="107">
        <v>0</v>
      </c>
      <c r="F12" s="107">
        <v>0</v>
      </c>
      <c r="G12" s="107">
        <v>0</v>
      </c>
      <c r="H12" s="107">
        <v>0</v>
      </c>
      <c r="I12" s="107">
        <v>0.8</v>
      </c>
      <c r="J12" s="107">
        <v>0</v>
      </c>
      <c r="K12" s="107">
        <v>0</v>
      </c>
      <c r="L12" s="107">
        <v>0.8</v>
      </c>
      <c r="M12" s="107">
        <v>0</v>
      </c>
      <c r="N12" s="107">
        <v>0</v>
      </c>
      <c r="O12" s="107">
        <v>0</v>
      </c>
      <c r="P12" s="107">
        <v>0</v>
      </c>
      <c r="Q12" s="107">
        <v>0</v>
      </c>
      <c r="R12" s="107">
        <v>0</v>
      </c>
      <c r="S12" s="107">
        <v>0</v>
      </c>
      <c r="T12" s="107">
        <v>0</v>
      </c>
      <c r="U12" s="107">
        <v>0</v>
      </c>
      <c r="V12" s="107">
        <v>0</v>
      </c>
      <c r="W12" s="107">
        <v>0</v>
      </c>
      <c r="X12" s="107">
        <v>0</v>
      </c>
      <c r="Y12" s="107">
        <v>0</v>
      </c>
      <c r="Z12" s="107">
        <v>0</v>
      </c>
      <c r="AA12" s="107">
        <v>0</v>
      </c>
      <c r="AB12" s="107">
        <v>0</v>
      </c>
      <c r="AC12" s="107">
        <v>0.8</v>
      </c>
      <c r="AD12" s="107">
        <v>0</v>
      </c>
      <c r="AE12" s="107">
        <v>0</v>
      </c>
      <c r="AF12" s="107">
        <v>0</v>
      </c>
      <c r="AG12" s="107">
        <v>0</v>
      </c>
      <c r="AH12" s="107">
        <v>0</v>
      </c>
      <c r="AI12" s="107">
        <v>0</v>
      </c>
      <c r="AJ12" s="107">
        <v>0</v>
      </c>
      <c r="AK12" s="107">
        <v>0</v>
      </c>
      <c r="AL12" s="107">
        <v>0</v>
      </c>
      <c r="AM12" s="107">
        <v>0</v>
      </c>
    </row>
    <row r="13" spans="1:39" customFormat="1" x14ac:dyDescent="0.15">
      <c r="A13" s="187" t="s">
        <v>203</v>
      </c>
      <c r="B13" s="107">
        <v>0</v>
      </c>
      <c r="C13" s="107">
        <v>0.8</v>
      </c>
      <c r="D13" s="107">
        <v>0.8</v>
      </c>
      <c r="E13" s="107">
        <v>0</v>
      </c>
      <c r="F13" s="107">
        <v>0</v>
      </c>
      <c r="G13" s="107">
        <v>0</v>
      </c>
      <c r="H13" s="107">
        <v>0.8</v>
      </c>
      <c r="I13" s="107">
        <v>0</v>
      </c>
      <c r="J13" s="107">
        <v>0</v>
      </c>
      <c r="K13" s="107">
        <v>0</v>
      </c>
      <c r="L13" s="107">
        <v>0.8</v>
      </c>
      <c r="M13" s="107">
        <v>0.8</v>
      </c>
      <c r="N13" s="107">
        <v>0</v>
      </c>
      <c r="O13" s="107">
        <v>0</v>
      </c>
      <c r="P13" s="107">
        <v>0</v>
      </c>
      <c r="Q13" s="107">
        <v>0</v>
      </c>
      <c r="R13" s="107">
        <v>0</v>
      </c>
      <c r="S13" s="107">
        <v>0</v>
      </c>
      <c r="T13" s="107">
        <v>0</v>
      </c>
      <c r="U13" s="107">
        <v>0</v>
      </c>
      <c r="V13" s="107">
        <v>0</v>
      </c>
      <c r="W13" s="107">
        <v>0</v>
      </c>
      <c r="X13" s="107">
        <v>0</v>
      </c>
      <c r="Y13" s="107">
        <v>0</v>
      </c>
      <c r="Z13" s="107">
        <v>0</v>
      </c>
      <c r="AA13" s="107">
        <v>0</v>
      </c>
      <c r="AB13" s="107">
        <v>0</v>
      </c>
      <c r="AC13" s="107">
        <v>0</v>
      </c>
      <c r="AD13" s="107">
        <v>0</v>
      </c>
      <c r="AE13" s="107">
        <v>0.8</v>
      </c>
      <c r="AF13" s="107">
        <v>0</v>
      </c>
      <c r="AG13" s="107">
        <v>0</v>
      </c>
      <c r="AH13" s="107">
        <v>0</v>
      </c>
      <c r="AI13" s="107">
        <v>0</v>
      </c>
      <c r="AJ13" s="107">
        <v>0</v>
      </c>
      <c r="AK13" s="107">
        <v>0</v>
      </c>
      <c r="AL13" s="107">
        <v>0</v>
      </c>
      <c r="AM13" s="107">
        <v>0</v>
      </c>
    </row>
    <row r="14" spans="1:39" customFormat="1" x14ac:dyDescent="0.15">
      <c r="A14" s="187" t="s">
        <v>204</v>
      </c>
      <c r="B14" s="107">
        <v>0</v>
      </c>
      <c r="C14" s="107">
        <v>0</v>
      </c>
      <c r="D14" s="107">
        <v>0</v>
      </c>
      <c r="E14" s="107">
        <v>0</v>
      </c>
      <c r="F14" s="107">
        <v>0</v>
      </c>
      <c r="G14" s="107">
        <v>0</v>
      </c>
      <c r="H14" s="107">
        <v>0.8</v>
      </c>
      <c r="I14" s="107">
        <v>0.8</v>
      </c>
      <c r="J14" s="107">
        <v>0.8</v>
      </c>
      <c r="K14" s="107">
        <v>0</v>
      </c>
      <c r="L14" s="107">
        <v>0.8</v>
      </c>
      <c r="M14" s="107">
        <v>0</v>
      </c>
      <c r="N14" s="107">
        <v>0.8</v>
      </c>
      <c r="O14" s="107">
        <v>0</v>
      </c>
      <c r="P14" s="107">
        <v>0</v>
      </c>
      <c r="Q14" s="107">
        <v>0</v>
      </c>
      <c r="R14" s="107">
        <v>0</v>
      </c>
      <c r="S14" s="107">
        <v>0</v>
      </c>
      <c r="T14" s="107">
        <v>0</v>
      </c>
      <c r="U14" s="107">
        <v>0</v>
      </c>
      <c r="V14" s="107">
        <v>0.8</v>
      </c>
      <c r="W14" s="107">
        <v>0</v>
      </c>
      <c r="X14" s="107">
        <v>0</v>
      </c>
      <c r="Y14" s="107">
        <v>0</v>
      </c>
      <c r="Z14" s="107">
        <v>0</v>
      </c>
      <c r="AA14" s="107">
        <v>0</v>
      </c>
      <c r="AB14" s="107">
        <v>0</v>
      </c>
      <c r="AC14" s="107">
        <v>0</v>
      </c>
      <c r="AD14" s="107">
        <v>0</v>
      </c>
      <c r="AE14" s="107">
        <v>0</v>
      </c>
      <c r="AF14" s="107">
        <v>0</v>
      </c>
      <c r="AG14" s="107">
        <v>0</v>
      </c>
      <c r="AH14" s="107">
        <v>0</v>
      </c>
      <c r="AI14" s="107">
        <v>0</v>
      </c>
      <c r="AJ14" s="107">
        <v>0</v>
      </c>
      <c r="AK14" s="107">
        <v>0</v>
      </c>
      <c r="AL14" s="107">
        <v>0</v>
      </c>
      <c r="AM14" s="107">
        <v>0</v>
      </c>
    </row>
    <row r="15" spans="1:39" customFormat="1" x14ac:dyDescent="0.15">
      <c r="A15" s="187" t="s">
        <v>205</v>
      </c>
      <c r="B15" s="107">
        <v>0</v>
      </c>
      <c r="C15" s="107">
        <v>0</v>
      </c>
      <c r="D15" s="107">
        <v>0</v>
      </c>
      <c r="E15" s="107">
        <v>0</v>
      </c>
      <c r="F15" s="107">
        <v>0.8</v>
      </c>
      <c r="G15" s="107">
        <v>0</v>
      </c>
      <c r="H15" s="107">
        <v>0</v>
      </c>
      <c r="I15" s="107">
        <v>0</v>
      </c>
      <c r="J15" s="107">
        <v>0.8</v>
      </c>
      <c r="K15" s="107">
        <v>0</v>
      </c>
      <c r="L15" s="107">
        <v>0</v>
      </c>
      <c r="M15" s="107">
        <v>0</v>
      </c>
      <c r="N15" s="107">
        <v>0</v>
      </c>
      <c r="O15" s="107">
        <v>0.8</v>
      </c>
      <c r="P15" s="107">
        <v>0</v>
      </c>
      <c r="Q15" s="107">
        <v>0</v>
      </c>
      <c r="R15" s="107">
        <v>0</v>
      </c>
      <c r="S15" s="107">
        <v>0</v>
      </c>
      <c r="T15" s="107">
        <v>0</v>
      </c>
      <c r="U15" s="107">
        <v>0</v>
      </c>
      <c r="V15" s="107">
        <v>0</v>
      </c>
      <c r="W15" s="107">
        <v>0</v>
      </c>
      <c r="X15" s="107">
        <v>0</v>
      </c>
      <c r="Y15" s="107">
        <v>0</v>
      </c>
      <c r="Z15" s="107">
        <v>0</v>
      </c>
      <c r="AA15" s="107">
        <v>0</v>
      </c>
      <c r="AB15" s="107">
        <v>0</v>
      </c>
      <c r="AC15" s="107">
        <v>0</v>
      </c>
      <c r="AD15" s="107">
        <v>0</v>
      </c>
      <c r="AE15" s="107">
        <v>0</v>
      </c>
      <c r="AF15" s="107">
        <v>0</v>
      </c>
      <c r="AG15" s="107">
        <v>0</v>
      </c>
      <c r="AH15" s="107">
        <v>0</v>
      </c>
      <c r="AI15" s="107">
        <v>0</v>
      </c>
      <c r="AJ15" s="107">
        <v>0</v>
      </c>
      <c r="AK15" s="107">
        <v>0</v>
      </c>
      <c r="AL15" s="107">
        <v>0</v>
      </c>
      <c r="AM15" s="107">
        <v>0</v>
      </c>
    </row>
    <row r="16" spans="1:39" customFormat="1" x14ac:dyDescent="0.15">
      <c r="A16" s="187" t="s">
        <v>206</v>
      </c>
      <c r="B16" s="107">
        <v>0</v>
      </c>
      <c r="C16" s="107">
        <v>0</v>
      </c>
      <c r="D16" s="107">
        <v>0</v>
      </c>
      <c r="E16" s="107">
        <v>0</v>
      </c>
      <c r="F16" s="107">
        <v>0.8</v>
      </c>
      <c r="G16" s="107">
        <v>0</v>
      </c>
      <c r="H16" s="107">
        <v>0</v>
      </c>
      <c r="I16" s="107">
        <v>0.8</v>
      </c>
      <c r="J16" s="107">
        <v>0.8</v>
      </c>
      <c r="K16" s="107">
        <v>0</v>
      </c>
      <c r="L16" s="107">
        <v>0.8</v>
      </c>
      <c r="M16" s="107">
        <v>0</v>
      </c>
      <c r="N16" s="107">
        <v>0</v>
      </c>
      <c r="O16" s="107">
        <v>0</v>
      </c>
      <c r="P16" s="107">
        <v>0</v>
      </c>
      <c r="Q16" s="107">
        <v>0</v>
      </c>
      <c r="R16" s="107">
        <v>0.8</v>
      </c>
      <c r="S16" s="107">
        <v>0</v>
      </c>
      <c r="T16" s="107">
        <v>0</v>
      </c>
      <c r="U16" s="107">
        <v>0</v>
      </c>
      <c r="V16" s="107">
        <v>0</v>
      </c>
      <c r="W16" s="107">
        <v>0</v>
      </c>
      <c r="X16" s="107">
        <v>0</v>
      </c>
      <c r="Y16" s="107">
        <v>0</v>
      </c>
      <c r="Z16" s="107">
        <v>0</v>
      </c>
      <c r="AA16" s="107">
        <v>0</v>
      </c>
      <c r="AB16" s="107">
        <v>0</v>
      </c>
      <c r="AC16" s="107">
        <v>0</v>
      </c>
      <c r="AD16" s="107">
        <v>0</v>
      </c>
      <c r="AE16" s="107">
        <v>0</v>
      </c>
      <c r="AF16" s="107">
        <v>0</v>
      </c>
      <c r="AG16" s="107">
        <v>0</v>
      </c>
      <c r="AH16" s="107">
        <v>0</v>
      </c>
      <c r="AI16" s="107">
        <v>0</v>
      </c>
      <c r="AJ16" s="107">
        <v>0</v>
      </c>
      <c r="AK16" s="107">
        <v>0</v>
      </c>
      <c r="AL16" s="107">
        <v>0</v>
      </c>
      <c r="AM16" s="107">
        <v>0</v>
      </c>
    </row>
    <row r="17" spans="1:39" customFormat="1" x14ac:dyDescent="0.15">
      <c r="A17" s="187" t="s">
        <v>207</v>
      </c>
      <c r="B17" s="107">
        <v>0</v>
      </c>
      <c r="C17" s="107">
        <v>0</v>
      </c>
      <c r="D17" s="107">
        <v>0</v>
      </c>
      <c r="E17" s="107">
        <v>0</v>
      </c>
      <c r="F17" s="107">
        <v>0</v>
      </c>
      <c r="G17" s="107">
        <v>0</v>
      </c>
      <c r="H17" s="107">
        <v>0.8</v>
      </c>
      <c r="I17" s="107">
        <v>0</v>
      </c>
      <c r="J17" s="107">
        <v>0.8</v>
      </c>
      <c r="K17" s="107">
        <v>0</v>
      </c>
      <c r="L17" s="107">
        <v>0</v>
      </c>
      <c r="M17" s="107">
        <v>0</v>
      </c>
      <c r="N17" s="107">
        <v>0</v>
      </c>
      <c r="O17" s="107">
        <v>0</v>
      </c>
      <c r="P17" s="107">
        <v>0</v>
      </c>
      <c r="Q17" s="107">
        <v>0</v>
      </c>
      <c r="R17" s="107">
        <v>0</v>
      </c>
      <c r="S17" s="107">
        <v>0</v>
      </c>
      <c r="T17" s="107">
        <v>0</v>
      </c>
      <c r="U17" s="107">
        <v>0</v>
      </c>
      <c r="V17" s="107">
        <v>0</v>
      </c>
      <c r="W17" s="107">
        <v>0</v>
      </c>
      <c r="X17" s="107">
        <v>0</v>
      </c>
      <c r="Y17" s="107">
        <v>0</v>
      </c>
      <c r="Z17" s="107">
        <v>0</v>
      </c>
      <c r="AA17" s="107">
        <v>0</v>
      </c>
      <c r="AB17" s="107">
        <v>0</v>
      </c>
      <c r="AC17" s="107">
        <v>0</v>
      </c>
      <c r="AD17" s="107">
        <v>0</v>
      </c>
      <c r="AE17" s="107">
        <v>0</v>
      </c>
      <c r="AF17" s="107">
        <v>0</v>
      </c>
      <c r="AG17" s="107">
        <v>0</v>
      </c>
      <c r="AH17" s="107">
        <v>0</v>
      </c>
      <c r="AI17" s="107">
        <v>0</v>
      </c>
      <c r="AJ17" s="107">
        <v>0</v>
      </c>
      <c r="AK17" s="107">
        <v>0</v>
      </c>
      <c r="AL17" s="107">
        <v>0</v>
      </c>
      <c r="AM17" s="107">
        <v>0</v>
      </c>
    </row>
    <row r="18" spans="1:39" customFormat="1" x14ac:dyDescent="0.15">
      <c r="A18" s="187" t="s">
        <v>208</v>
      </c>
      <c r="B18" s="107">
        <v>0.8</v>
      </c>
      <c r="C18" s="107">
        <v>0</v>
      </c>
      <c r="D18" s="107">
        <v>0</v>
      </c>
      <c r="E18" s="107">
        <v>0</v>
      </c>
      <c r="F18" s="107">
        <v>0.8</v>
      </c>
      <c r="G18" s="107">
        <v>0</v>
      </c>
      <c r="H18" s="107">
        <v>0</v>
      </c>
      <c r="I18" s="107">
        <v>0</v>
      </c>
      <c r="J18" s="107">
        <v>0.8</v>
      </c>
      <c r="K18" s="107">
        <v>0</v>
      </c>
      <c r="L18" s="107">
        <v>0.8</v>
      </c>
      <c r="M18" s="107">
        <v>0</v>
      </c>
      <c r="N18" s="107">
        <v>0.8</v>
      </c>
      <c r="O18" s="107">
        <v>0</v>
      </c>
      <c r="P18" s="107">
        <v>0</v>
      </c>
      <c r="Q18" s="107">
        <v>0</v>
      </c>
      <c r="R18" s="107">
        <v>0</v>
      </c>
      <c r="S18" s="107">
        <v>0</v>
      </c>
      <c r="T18" s="107">
        <v>0</v>
      </c>
      <c r="U18" s="107">
        <v>0</v>
      </c>
      <c r="V18" s="107">
        <v>0.8</v>
      </c>
      <c r="W18" s="107">
        <v>0</v>
      </c>
      <c r="X18" s="107">
        <v>0</v>
      </c>
      <c r="Y18" s="107">
        <v>0</v>
      </c>
      <c r="Z18" s="107">
        <v>0</v>
      </c>
      <c r="AA18" s="107">
        <v>0</v>
      </c>
      <c r="AB18" s="107">
        <v>0</v>
      </c>
      <c r="AC18" s="107">
        <v>0</v>
      </c>
      <c r="AD18" s="107">
        <v>0</v>
      </c>
      <c r="AE18" s="107">
        <v>0</v>
      </c>
      <c r="AF18" s="107">
        <v>0</v>
      </c>
      <c r="AG18" s="107">
        <v>0</v>
      </c>
      <c r="AH18" s="107">
        <v>0</v>
      </c>
      <c r="AI18" s="107">
        <v>0</v>
      </c>
      <c r="AJ18" s="107">
        <v>0</v>
      </c>
      <c r="AK18" s="107">
        <v>0</v>
      </c>
      <c r="AL18" s="107">
        <v>0</v>
      </c>
      <c r="AM18" s="107">
        <v>0</v>
      </c>
    </row>
    <row r="19" spans="1:39" customFormat="1" x14ac:dyDescent="0.15">
      <c r="A19" s="187" t="s">
        <v>209</v>
      </c>
      <c r="B19" s="107">
        <v>0</v>
      </c>
      <c r="C19" s="107">
        <v>0.8</v>
      </c>
      <c r="D19" s="107">
        <v>0</v>
      </c>
      <c r="E19" s="107">
        <v>0.8</v>
      </c>
      <c r="F19" s="107">
        <v>0.8</v>
      </c>
      <c r="G19" s="107">
        <v>0</v>
      </c>
      <c r="H19" s="107">
        <v>0</v>
      </c>
      <c r="I19" s="107">
        <v>0.8</v>
      </c>
      <c r="J19" s="107">
        <v>0.8</v>
      </c>
      <c r="K19" s="107">
        <v>0</v>
      </c>
      <c r="L19" s="107">
        <v>0.8</v>
      </c>
      <c r="M19" s="107">
        <v>0</v>
      </c>
      <c r="N19" s="107">
        <v>0</v>
      </c>
      <c r="O19" s="107">
        <v>0</v>
      </c>
      <c r="P19" s="107">
        <v>0</v>
      </c>
      <c r="Q19" s="107">
        <v>0</v>
      </c>
      <c r="R19" s="107">
        <v>0</v>
      </c>
      <c r="S19" s="107">
        <v>0</v>
      </c>
      <c r="T19" s="107">
        <v>0</v>
      </c>
      <c r="U19" s="107">
        <v>0</v>
      </c>
      <c r="V19" s="107">
        <v>0</v>
      </c>
      <c r="W19" s="107">
        <v>0</v>
      </c>
      <c r="X19" s="107">
        <v>0</v>
      </c>
      <c r="Y19" s="107">
        <v>0</v>
      </c>
      <c r="Z19" s="107">
        <v>0</v>
      </c>
      <c r="AA19" s="107">
        <v>0</v>
      </c>
      <c r="AB19" s="107">
        <v>0</v>
      </c>
      <c r="AC19" s="107">
        <v>0</v>
      </c>
      <c r="AD19" s="107">
        <v>0</v>
      </c>
      <c r="AE19" s="107">
        <v>0</v>
      </c>
      <c r="AF19" s="107">
        <v>0</v>
      </c>
      <c r="AG19" s="107">
        <v>0</v>
      </c>
      <c r="AH19" s="107">
        <v>0</v>
      </c>
      <c r="AI19" s="107">
        <v>0</v>
      </c>
      <c r="AJ19" s="107">
        <v>0</v>
      </c>
      <c r="AK19" s="107">
        <v>0</v>
      </c>
      <c r="AL19" s="107">
        <v>0</v>
      </c>
      <c r="AM19" s="107">
        <v>0</v>
      </c>
    </row>
    <row r="20" spans="1:39" customFormat="1" x14ac:dyDescent="0.15">
      <c r="A20" s="187" t="s">
        <v>210</v>
      </c>
      <c r="B20" s="107">
        <v>0.8</v>
      </c>
      <c r="C20" s="107">
        <v>0.8</v>
      </c>
      <c r="D20" s="107">
        <v>0</v>
      </c>
      <c r="E20" s="107">
        <v>0.8</v>
      </c>
      <c r="F20" s="107">
        <v>0.8</v>
      </c>
      <c r="G20" s="107">
        <v>0.8</v>
      </c>
      <c r="H20" s="107">
        <v>0.8</v>
      </c>
      <c r="I20" s="107">
        <v>0.8</v>
      </c>
      <c r="J20" s="107">
        <v>0.8</v>
      </c>
      <c r="K20" s="107">
        <v>0</v>
      </c>
      <c r="L20" s="107">
        <v>0.8</v>
      </c>
      <c r="M20" s="107">
        <v>0</v>
      </c>
      <c r="N20" s="107">
        <v>0</v>
      </c>
      <c r="O20" s="107">
        <v>0</v>
      </c>
      <c r="P20" s="107">
        <v>0</v>
      </c>
      <c r="Q20" s="107">
        <v>0</v>
      </c>
      <c r="R20" s="107">
        <v>0</v>
      </c>
      <c r="S20" s="107">
        <v>0</v>
      </c>
      <c r="T20" s="107">
        <v>0</v>
      </c>
      <c r="U20" s="107">
        <v>0</v>
      </c>
      <c r="V20" s="107">
        <v>0.8</v>
      </c>
      <c r="W20" s="107">
        <v>0</v>
      </c>
      <c r="X20" s="107">
        <v>0.8</v>
      </c>
      <c r="Y20" s="107">
        <v>0</v>
      </c>
      <c r="Z20" s="107">
        <v>0</v>
      </c>
      <c r="AA20" s="107">
        <v>0</v>
      </c>
      <c r="AB20" s="107">
        <v>0</v>
      </c>
      <c r="AC20" s="107">
        <v>0</v>
      </c>
      <c r="AD20" s="107">
        <v>0</v>
      </c>
      <c r="AE20" s="107">
        <v>0</v>
      </c>
      <c r="AF20" s="107">
        <v>0</v>
      </c>
      <c r="AG20" s="107">
        <v>0</v>
      </c>
      <c r="AH20" s="107">
        <v>0</v>
      </c>
      <c r="AI20" s="107">
        <v>0</v>
      </c>
      <c r="AJ20" s="107">
        <v>0</v>
      </c>
      <c r="AK20" s="107">
        <v>0</v>
      </c>
      <c r="AL20" s="107">
        <v>0</v>
      </c>
      <c r="AM20" s="107">
        <v>0</v>
      </c>
    </row>
    <row r="21" spans="1:39" customFormat="1" x14ac:dyDescent="0.15">
      <c r="A21" s="187" t="s">
        <v>211</v>
      </c>
      <c r="B21" s="107">
        <v>0</v>
      </c>
      <c r="C21" s="107">
        <v>0.8</v>
      </c>
      <c r="D21" s="107">
        <v>0</v>
      </c>
      <c r="E21" s="107">
        <v>0.8</v>
      </c>
      <c r="F21" s="107">
        <v>0</v>
      </c>
      <c r="G21" s="107">
        <v>0</v>
      </c>
      <c r="H21" s="107">
        <v>0</v>
      </c>
      <c r="I21" s="107">
        <v>0.8</v>
      </c>
      <c r="J21" s="107">
        <v>0.8</v>
      </c>
      <c r="K21" s="107">
        <v>0</v>
      </c>
      <c r="L21" s="107">
        <v>0</v>
      </c>
      <c r="M21" s="107">
        <v>0</v>
      </c>
      <c r="N21" s="107">
        <v>0</v>
      </c>
      <c r="O21" s="107">
        <v>0</v>
      </c>
      <c r="P21" s="107">
        <v>0</v>
      </c>
      <c r="Q21" s="107">
        <v>0</v>
      </c>
      <c r="R21" s="107">
        <v>0</v>
      </c>
      <c r="S21" s="107">
        <v>0</v>
      </c>
      <c r="T21" s="107">
        <v>0</v>
      </c>
      <c r="U21" s="107">
        <v>0</v>
      </c>
      <c r="V21" s="107">
        <v>0</v>
      </c>
      <c r="W21" s="107">
        <v>0</v>
      </c>
      <c r="X21" s="107">
        <v>0</v>
      </c>
      <c r="Y21" s="107">
        <v>0</v>
      </c>
      <c r="Z21" s="107">
        <v>0</v>
      </c>
      <c r="AA21" s="107">
        <v>0</v>
      </c>
      <c r="AB21" s="107">
        <v>0</v>
      </c>
      <c r="AC21" s="107">
        <v>0</v>
      </c>
      <c r="AD21" s="107">
        <v>0</v>
      </c>
      <c r="AE21" s="107">
        <v>0</v>
      </c>
      <c r="AF21" s="107">
        <v>0</v>
      </c>
      <c r="AG21" s="107">
        <v>0</v>
      </c>
      <c r="AH21" s="107">
        <v>0</v>
      </c>
      <c r="AI21" s="107">
        <v>0</v>
      </c>
      <c r="AJ21" s="107">
        <v>0</v>
      </c>
      <c r="AK21" s="107">
        <v>0</v>
      </c>
      <c r="AL21" s="107">
        <v>0</v>
      </c>
      <c r="AM21" s="107">
        <v>0</v>
      </c>
    </row>
    <row r="22" spans="1:39" customFormat="1" x14ac:dyDescent="0.15">
      <c r="A22" s="187" t="s">
        <v>212</v>
      </c>
      <c r="B22" s="107">
        <v>0.8</v>
      </c>
      <c r="C22" s="107">
        <v>0.8</v>
      </c>
      <c r="D22" s="107">
        <v>0.8</v>
      </c>
      <c r="E22" s="107">
        <v>0.8</v>
      </c>
      <c r="F22" s="107">
        <v>0.8</v>
      </c>
      <c r="G22" s="107">
        <v>0.8</v>
      </c>
      <c r="H22" s="107">
        <v>0.8</v>
      </c>
      <c r="I22" s="107">
        <v>0.8</v>
      </c>
      <c r="J22" s="107">
        <v>0.8</v>
      </c>
      <c r="K22" s="107">
        <v>0.8</v>
      </c>
      <c r="L22" s="107">
        <v>0.8</v>
      </c>
      <c r="M22" s="107">
        <v>0.8</v>
      </c>
      <c r="N22" s="107">
        <v>0.8</v>
      </c>
      <c r="O22" s="107">
        <v>0.8</v>
      </c>
      <c r="P22" s="107">
        <v>0</v>
      </c>
      <c r="Q22" s="107">
        <v>0.8</v>
      </c>
      <c r="R22" s="107">
        <v>0.8</v>
      </c>
      <c r="S22" s="107">
        <v>0</v>
      </c>
      <c r="T22" s="107">
        <v>0</v>
      </c>
      <c r="U22" s="107">
        <v>0</v>
      </c>
      <c r="V22" s="107">
        <v>0.8</v>
      </c>
      <c r="W22" s="107">
        <v>0</v>
      </c>
      <c r="X22" s="107">
        <v>0</v>
      </c>
      <c r="Y22" s="107">
        <v>0</v>
      </c>
      <c r="Z22" s="107">
        <v>0</v>
      </c>
      <c r="AA22" s="107">
        <v>0</v>
      </c>
      <c r="AB22" s="107">
        <v>0</v>
      </c>
      <c r="AC22" s="107">
        <v>0</v>
      </c>
      <c r="AD22" s="107">
        <v>0.8</v>
      </c>
      <c r="AE22" s="107">
        <v>0.8</v>
      </c>
      <c r="AF22" s="107">
        <v>0</v>
      </c>
      <c r="AG22" s="107">
        <v>0</v>
      </c>
      <c r="AH22" s="107">
        <v>0</v>
      </c>
      <c r="AI22" s="107">
        <v>0</v>
      </c>
      <c r="AJ22" s="107">
        <v>0</v>
      </c>
      <c r="AK22" s="107">
        <v>0</v>
      </c>
      <c r="AL22" s="107">
        <v>0</v>
      </c>
      <c r="AM22" s="107">
        <v>0</v>
      </c>
    </row>
    <row r="23" spans="1:39" customFormat="1" x14ac:dyDescent="0.15">
      <c r="A23" s="187" t="s">
        <v>213</v>
      </c>
      <c r="B23" s="107">
        <v>0</v>
      </c>
      <c r="C23" s="107">
        <v>0</v>
      </c>
      <c r="D23" s="107">
        <v>0</v>
      </c>
      <c r="E23" s="107">
        <v>0</v>
      </c>
      <c r="F23" s="107">
        <v>0</v>
      </c>
      <c r="G23" s="107">
        <v>0</v>
      </c>
      <c r="H23" s="107">
        <v>0.8</v>
      </c>
      <c r="I23" s="107">
        <v>0</v>
      </c>
      <c r="J23" s="107">
        <v>0</v>
      </c>
      <c r="K23" s="107">
        <v>0</v>
      </c>
      <c r="L23" s="107">
        <v>0</v>
      </c>
      <c r="M23" s="107">
        <v>0</v>
      </c>
      <c r="N23" s="107">
        <v>0</v>
      </c>
      <c r="O23" s="107">
        <v>0</v>
      </c>
      <c r="P23" s="107">
        <v>0.8</v>
      </c>
      <c r="Q23" s="107">
        <v>0</v>
      </c>
      <c r="R23" s="107">
        <v>0.8</v>
      </c>
      <c r="S23" s="107">
        <v>0</v>
      </c>
      <c r="T23" s="107">
        <v>0</v>
      </c>
      <c r="U23" s="107">
        <v>0</v>
      </c>
      <c r="V23" s="107">
        <v>0</v>
      </c>
      <c r="W23" s="107">
        <v>0.8</v>
      </c>
      <c r="X23" s="107">
        <v>0.8</v>
      </c>
      <c r="Y23" s="107">
        <v>0</v>
      </c>
      <c r="Z23" s="107">
        <v>0</v>
      </c>
      <c r="AA23" s="107">
        <v>0</v>
      </c>
      <c r="AB23" s="107">
        <v>0</v>
      </c>
      <c r="AC23" s="107">
        <v>0</v>
      </c>
      <c r="AD23" s="107">
        <v>0</v>
      </c>
      <c r="AE23" s="107">
        <v>0</v>
      </c>
      <c r="AF23" s="107">
        <v>0</v>
      </c>
      <c r="AG23" s="107">
        <v>0</v>
      </c>
      <c r="AH23" s="107">
        <v>0</v>
      </c>
      <c r="AI23" s="107">
        <v>0</v>
      </c>
      <c r="AJ23" s="107">
        <v>0</v>
      </c>
      <c r="AK23" s="107">
        <v>0</v>
      </c>
      <c r="AL23" s="107">
        <v>0</v>
      </c>
      <c r="AM23" s="107">
        <v>0</v>
      </c>
    </row>
    <row r="24" spans="1:39" customFormat="1" x14ac:dyDescent="0.15">
      <c r="A24" s="187" t="s">
        <v>214</v>
      </c>
      <c r="B24" s="107">
        <v>0.8</v>
      </c>
      <c r="C24" s="107">
        <v>0</v>
      </c>
      <c r="D24" s="107">
        <v>0</v>
      </c>
      <c r="E24" s="107">
        <v>0</v>
      </c>
      <c r="F24" s="107">
        <v>0.8</v>
      </c>
      <c r="G24" s="107">
        <v>0.8</v>
      </c>
      <c r="H24" s="107">
        <v>0.8</v>
      </c>
      <c r="I24" s="107">
        <v>0.8</v>
      </c>
      <c r="J24" s="107">
        <v>0</v>
      </c>
      <c r="K24" s="107">
        <v>0</v>
      </c>
      <c r="L24" s="107">
        <v>0.8</v>
      </c>
      <c r="M24" s="107">
        <v>0.8</v>
      </c>
      <c r="N24" s="107">
        <v>0</v>
      </c>
      <c r="O24" s="107">
        <v>0</v>
      </c>
      <c r="P24" s="107">
        <v>0</v>
      </c>
      <c r="Q24" s="107">
        <v>0.8</v>
      </c>
      <c r="R24" s="107">
        <v>0</v>
      </c>
      <c r="S24" s="107">
        <v>0</v>
      </c>
      <c r="T24" s="107">
        <v>0</v>
      </c>
      <c r="U24" s="107">
        <v>0</v>
      </c>
      <c r="V24" s="107">
        <v>0</v>
      </c>
      <c r="W24" s="107">
        <v>0</v>
      </c>
      <c r="X24" s="107">
        <v>0.8</v>
      </c>
      <c r="Y24" s="107">
        <v>0</v>
      </c>
      <c r="Z24" s="107">
        <v>0</v>
      </c>
      <c r="AA24" s="107">
        <v>0</v>
      </c>
      <c r="AB24" s="107">
        <v>0</v>
      </c>
      <c r="AC24" s="107">
        <v>0</v>
      </c>
      <c r="AD24" s="107">
        <v>0</v>
      </c>
      <c r="AE24" s="107">
        <v>0</v>
      </c>
      <c r="AF24" s="107">
        <v>0</v>
      </c>
      <c r="AG24" s="107">
        <v>0</v>
      </c>
      <c r="AH24" s="107">
        <v>0</v>
      </c>
      <c r="AI24" s="107">
        <v>0</v>
      </c>
      <c r="AJ24" s="107">
        <v>0</v>
      </c>
      <c r="AK24" s="107">
        <v>0</v>
      </c>
      <c r="AL24" s="107">
        <v>0</v>
      </c>
      <c r="AM24" s="107">
        <v>0</v>
      </c>
    </row>
    <row r="25" spans="1:39" customFormat="1" x14ac:dyDescent="0.15">
      <c r="A25" s="187" t="s">
        <v>215</v>
      </c>
      <c r="B25" s="107">
        <v>0</v>
      </c>
      <c r="C25" s="107">
        <v>0</v>
      </c>
      <c r="D25" s="107">
        <v>0.8</v>
      </c>
      <c r="E25" s="107">
        <v>0</v>
      </c>
      <c r="F25" s="107">
        <v>0</v>
      </c>
      <c r="G25" s="107">
        <v>0</v>
      </c>
      <c r="H25" s="107">
        <v>0</v>
      </c>
      <c r="I25" s="107">
        <v>0</v>
      </c>
      <c r="J25" s="107">
        <v>0.8</v>
      </c>
      <c r="K25" s="107">
        <v>0</v>
      </c>
      <c r="L25" s="107">
        <v>0.8</v>
      </c>
      <c r="M25" s="107">
        <v>0.8</v>
      </c>
      <c r="N25" s="107">
        <v>0</v>
      </c>
      <c r="O25" s="107">
        <v>0.8</v>
      </c>
      <c r="P25" s="107">
        <v>0.8</v>
      </c>
      <c r="Q25" s="107">
        <v>0</v>
      </c>
      <c r="R25" s="107">
        <v>0.8</v>
      </c>
      <c r="S25" s="107">
        <v>0.8</v>
      </c>
      <c r="T25" s="107">
        <v>0</v>
      </c>
      <c r="U25" s="107">
        <v>0.8</v>
      </c>
      <c r="V25" s="107">
        <v>0</v>
      </c>
      <c r="W25" s="107">
        <v>0</v>
      </c>
      <c r="X25" s="107">
        <v>0</v>
      </c>
      <c r="Y25" s="107">
        <v>0</v>
      </c>
      <c r="Z25" s="107">
        <v>0</v>
      </c>
      <c r="AA25" s="107">
        <v>0.8</v>
      </c>
      <c r="AB25" s="107">
        <v>0</v>
      </c>
      <c r="AC25" s="107">
        <v>0.8</v>
      </c>
      <c r="AD25" s="107">
        <v>0.8</v>
      </c>
      <c r="AE25" s="107">
        <v>0</v>
      </c>
      <c r="AF25" s="107">
        <v>0</v>
      </c>
      <c r="AG25" s="107">
        <v>0</v>
      </c>
      <c r="AH25" s="107">
        <v>0</v>
      </c>
      <c r="AI25" s="107">
        <v>0</v>
      </c>
      <c r="AJ25" s="107">
        <v>0</v>
      </c>
      <c r="AK25" s="107">
        <v>0</v>
      </c>
      <c r="AL25" s="107">
        <v>0</v>
      </c>
      <c r="AM25" s="107">
        <v>0</v>
      </c>
    </row>
    <row r="26" spans="1:39" customFormat="1" x14ac:dyDescent="0.15">
      <c r="A26" s="187" t="s">
        <v>216</v>
      </c>
      <c r="B26" s="107">
        <v>0</v>
      </c>
      <c r="C26" s="107">
        <v>0</v>
      </c>
      <c r="D26" s="107">
        <v>0.8</v>
      </c>
      <c r="E26" s="107">
        <v>0.8</v>
      </c>
      <c r="F26" s="107">
        <v>0.8</v>
      </c>
      <c r="G26" s="107">
        <v>0.8</v>
      </c>
      <c r="H26" s="107">
        <v>0</v>
      </c>
      <c r="I26" s="107">
        <v>0</v>
      </c>
      <c r="J26" s="107">
        <v>0.8</v>
      </c>
      <c r="K26" s="107">
        <v>0</v>
      </c>
      <c r="L26" s="107">
        <v>0.8</v>
      </c>
      <c r="M26" s="107">
        <v>0.8</v>
      </c>
      <c r="N26" s="107">
        <v>0.8</v>
      </c>
      <c r="O26" s="107">
        <v>0</v>
      </c>
      <c r="P26" s="107">
        <v>0.8</v>
      </c>
      <c r="Q26" s="107">
        <v>0</v>
      </c>
      <c r="R26" s="107">
        <v>0.8</v>
      </c>
      <c r="S26" s="107">
        <v>0.8</v>
      </c>
      <c r="T26" s="107">
        <v>0</v>
      </c>
      <c r="U26" s="107">
        <v>0.8</v>
      </c>
      <c r="V26" s="107">
        <v>0.8</v>
      </c>
      <c r="W26" s="107">
        <v>0</v>
      </c>
      <c r="X26" s="107">
        <v>0</v>
      </c>
      <c r="Y26" s="107">
        <v>0</v>
      </c>
      <c r="Z26" s="107">
        <v>0</v>
      </c>
      <c r="AA26" s="107">
        <v>0.8</v>
      </c>
      <c r="AB26" s="107">
        <v>0</v>
      </c>
      <c r="AC26" s="107">
        <v>0.8</v>
      </c>
      <c r="AD26" s="107">
        <v>0.8</v>
      </c>
      <c r="AE26" s="107">
        <v>0</v>
      </c>
      <c r="AF26" s="107">
        <v>0</v>
      </c>
      <c r="AG26" s="107">
        <v>0</v>
      </c>
      <c r="AH26" s="107">
        <v>0</v>
      </c>
      <c r="AI26" s="107">
        <v>0</v>
      </c>
      <c r="AJ26" s="107">
        <v>0</v>
      </c>
      <c r="AK26" s="107">
        <v>0</v>
      </c>
      <c r="AL26" s="107">
        <v>0</v>
      </c>
      <c r="AM26" s="107">
        <v>0</v>
      </c>
    </row>
    <row r="27" spans="1:39" customFormat="1" x14ac:dyDescent="0.15">
      <c r="A27" s="187" t="s">
        <v>217</v>
      </c>
      <c r="B27" s="107">
        <v>0</v>
      </c>
      <c r="C27" s="107">
        <v>0</v>
      </c>
      <c r="D27" s="107">
        <v>0</v>
      </c>
      <c r="E27" s="107">
        <v>0</v>
      </c>
      <c r="F27" s="107">
        <v>0.8</v>
      </c>
      <c r="G27" s="107">
        <v>0</v>
      </c>
      <c r="H27" s="107">
        <v>0</v>
      </c>
      <c r="I27" s="107">
        <v>0</v>
      </c>
      <c r="J27" s="107">
        <v>0</v>
      </c>
      <c r="K27" s="107">
        <v>0</v>
      </c>
      <c r="L27" s="107">
        <v>0.8</v>
      </c>
      <c r="M27" s="107">
        <v>0</v>
      </c>
      <c r="N27" s="107">
        <v>0.8</v>
      </c>
      <c r="O27" s="107">
        <v>0</v>
      </c>
      <c r="P27" s="107">
        <v>0</v>
      </c>
      <c r="Q27" s="107">
        <v>0</v>
      </c>
      <c r="R27" s="107">
        <v>0</v>
      </c>
      <c r="S27" s="107">
        <v>0.8</v>
      </c>
      <c r="T27" s="107">
        <v>0</v>
      </c>
      <c r="U27" s="107">
        <v>0</v>
      </c>
      <c r="V27" s="107">
        <v>0.8</v>
      </c>
      <c r="W27" s="107">
        <v>0</v>
      </c>
      <c r="X27" s="107">
        <v>0</v>
      </c>
      <c r="Y27" s="107">
        <v>0</v>
      </c>
      <c r="Z27" s="107">
        <v>0</v>
      </c>
      <c r="AA27" s="107">
        <v>0.8</v>
      </c>
      <c r="AB27" s="107">
        <v>0</v>
      </c>
      <c r="AC27" s="107">
        <v>0.8</v>
      </c>
      <c r="AD27" s="107">
        <v>0</v>
      </c>
      <c r="AE27" s="107">
        <v>0</v>
      </c>
      <c r="AF27" s="107">
        <v>0</v>
      </c>
      <c r="AG27" s="107">
        <v>0</v>
      </c>
      <c r="AH27" s="107">
        <v>0</v>
      </c>
      <c r="AI27" s="107">
        <v>0</v>
      </c>
      <c r="AJ27" s="107">
        <v>0</v>
      </c>
      <c r="AK27" s="107">
        <v>0</v>
      </c>
      <c r="AL27" s="107">
        <v>0</v>
      </c>
      <c r="AM27" s="107">
        <v>0</v>
      </c>
    </row>
    <row r="28" spans="1:39" customFormat="1" x14ac:dyDescent="0.15">
      <c r="A28" s="187" t="s">
        <v>218</v>
      </c>
      <c r="B28" s="107">
        <v>0</v>
      </c>
      <c r="C28" s="107">
        <v>0</v>
      </c>
      <c r="D28" s="107">
        <v>0</v>
      </c>
      <c r="E28" s="107">
        <v>0</v>
      </c>
      <c r="F28" s="107">
        <v>0</v>
      </c>
      <c r="G28" s="107">
        <v>0</v>
      </c>
      <c r="H28" s="107">
        <v>0</v>
      </c>
      <c r="I28" s="107">
        <v>0</v>
      </c>
      <c r="J28" s="107">
        <v>0</v>
      </c>
      <c r="K28" s="107">
        <v>0</v>
      </c>
      <c r="L28" s="107">
        <v>0</v>
      </c>
      <c r="M28" s="107">
        <v>0</v>
      </c>
      <c r="N28" s="107">
        <v>0</v>
      </c>
      <c r="O28" s="107">
        <v>0</v>
      </c>
      <c r="P28" s="107">
        <v>0.8</v>
      </c>
      <c r="Q28" s="107">
        <v>0</v>
      </c>
      <c r="R28" s="107">
        <v>0</v>
      </c>
      <c r="S28" s="107">
        <v>0.8</v>
      </c>
      <c r="T28" s="107">
        <v>0</v>
      </c>
      <c r="U28" s="107">
        <v>0</v>
      </c>
      <c r="V28" s="107">
        <v>0</v>
      </c>
      <c r="W28" s="107">
        <v>0</v>
      </c>
      <c r="X28" s="107">
        <v>0</v>
      </c>
      <c r="Y28" s="107">
        <v>0</v>
      </c>
      <c r="Z28" s="107">
        <v>0</v>
      </c>
      <c r="AA28" s="107">
        <v>0.8</v>
      </c>
      <c r="AB28" s="107">
        <v>0</v>
      </c>
      <c r="AC28" s="107">
        <v>0</v>
      </c>
      <c r="AD28" s="107">
        <v>0</v>
      </c>
      <c r="AE28" s="107">
        <v>0</v>
      </c>
      <c r="AF28" s="107">
        <v>0</v>
      </c>
      <c r="AG28" s="107">
        <v>0</v>
      </c>
      <c r="AH28" s="107">
        <v>0</v>
      </c>
      <c r="AI28" s="107">
        <v>0</v>
      </c>
      <c r="AJ28" s="107">
        <v>0</v>
      </c>
      <c r="AK28" s="107">
        <v>0</v>
      </c>
      <c r="AL28" s="107">
        <v>0</v>
      </c>
      <c r="AM28" s="107">
        <v>0</v>
      </c>
    </row>
    <row r="29" spans="1:39" customFormat="1" x14ac:dyDescent="0.15">
      <c r="A29" s="187" t="s">
        <v>219</v>
      </c>
      <c r="B29" s="107">
        <v>0</v>
      </c>
      <c r="C29" s="107">
        <v>0</v>
      </c>
      <c r="D29" s="107">
        <v>0</v>
      </c>
      <c r="E29" s="107">
        <v>0</v>
      </c>
      <c r="F29" s="107">
        <v>0.8</v>
      </c>
      <c r="G29" s="107">
        <v>0</v>
      </c>
      <c r="H29" s="107">
        <v>0</v>
      </c>
      <c r="I29" s="107">
        <v>0</v>
      </c>
      <c r="J29" s="107">
        <v>0</v>
      </c>
      <c r="K29" s="107">
        <v>0</v>
      </c>
      <c r="L29" s="107">
        <v>0</v>
      </c>
      <c r="M29" s="107">
        <v>0</v>
      </c>
      <c r="N29" s="107">
        <v>0</v>
      </c>
      <c r="O29" s="107">
        <v>0</v>
      </c>
      <c r="P29" s="107">
        <v>0</v>
      </c>
      <c r="Q29" s="107">
        <v>0</v>
      </c>
      <c r="R29" s="107">
        <v>0</v>
      </c>
      <c r="S29" s="107">
        <v>0</v>
      </c>
      <c r="T29" s="107">
        <v>0</v>
      </c>
      <c r="U29" s="107">
        <v>0</v>
      </c>
      <c r="V29" s="107">
        <v>0.8</v>
      </c>
      <c r="W29" s="107">
        <v>0</v>
      </c>
      <c r="X29" s="107">
        <v>0</v>
      </c>
      <c r="Y29" s="107">
        <v>0</v>
      </c>
      <c r="Z29" s="107">
        <v>0</v>
      </c>
      <c r="AA29" s="107">
        <v>0.8</v>
      </c>
      <c r="AB29" s="107">
        <v>0</v>
      </c>
      <c r="AC29" s="107">
        <v>0</v>
      </c>
      <c r="AD29" s="107">
        <v>0</v>
      </c>
      <c r="AE29" s="107">
        <v>0</v>
      </c>
      <c r="AF29" s="107">
        <v>0</v>
      </c>
      <c r="AG29" s="107">
        <v>0</v>
      </c>
      <c r="AH29" s="107">
        <v>0</v>
      </c>
      <c r="AI29" s="107">
        <v>0</v>
      </c>
      <c r="AJ29" s="107">
        <v>0</v>
      </c>
      <c r="AK29" s="107">
        <v>0</v>
      </c>
      <c r="AL29" s="107">
        <v>0</v>
      </c>
      <c r="AM29" s="107">
        <v>0</v>
      </c>
    </row>
    <row r="30" spans="1:39" customFormat="1" x14ac:dyDescent="0.15">
      <c r="A30" s="187" t="s">
        <v>220</v>
      </c>
      <c r="B30" s="107">
        <v>0</v>
      </c>
      <c r="C30" s="107">
        <v>0.8</v>
      </c>
      <c r="D30" s="107">
        <v>0.8</v>
      </c>
      <c r="E30" s="107">
        <v>0</v>
      </c>
      <c r="F30" s="107">
        <v>0.8</v>
      </c>
      <c r="G30" s="107">
        <v>0</v>
      </c>
      <c r="H30" s="107">
        <v>0</v>
      </c>
      <c r="I30" s="107">
        <v>0.8</v>
      </c>
      <c r="J30" s="107">
        <v>0.8</v>
      </c>
      <c r="K30" s="107">
        <v>0</v>
      </c>
      <c r="L30" s="107">
        <v>0.8</v>
      </c>
      <c r="M30" s="107">
        <v>0.8</v>
      </c>
      <c r="N30" s="107">
        <v>0</v>
      </c>
      <c r="O30" s="107">
        <v>0</v>
      </c>
      <c r="P30" s="107">
        <v>0</v>
      </c>
      <c r="Q30" s="107">
        <v>0</v>
      </c>
      <c r="R30" s="107">
        <v>0.8</v>
      </c>
      <c r="S30" s="107">
        <v>0</v>
      </c>
      <c r="T30" s="107">
        <v>0</v>
      </c>
      <c r="U30" s="107">
        <v>0</v>
      </c>
      <c r="V30" s="107">
        <v>0.8</v>
      </c>
      <c r="W30" s="107">
        <v>0</v>
      </c>
      <c r="X30" s="107">
        <v>0</v>
      </c>
      <c r="Y30" s="107">
        <v>0</v>
      </c>
      <c r="Z30" s="107">
        <v>0</v>
      </c>
      <c r="AA30" s="107">
        <v>0</v>
      </c>
      <c r="AB30" s="107">
        <v>0</v>
      </c>
      <c r="AC30" s="107">
        <v>0</v>
      </c>
      <c r="AD30" s="107">
        <v>0.8</v>
      </c>
      <c r="AE30" s="107">
        <v>0</v>
      </c>
      <c r="AF30" s="107">
        <v>0</v>
      </c>
      <c r="AG30" s="107">
        <v>0</v>
      </c>
      <c r="AH30" s="107">
        <v>0</v>
      </c>
      <c r="AI30" s="107">
        <v>0</v>
      </c>
      <c r="AJ30" s="107">
        <v>0</v>
      </c>
      <c r="AK30" s="107">
        <v>0</v>
      </c>
      <c r="AL30" s="107">
        <v>0</v>
      </c>
      <c r="AM30" s="107">
        <v>0</v>
      </c>
    </row>
    <row r="31" spans="1:39" customFormat="1" x14ac:dyDescent="0.15">
      <c r="A31" s="187" t="s">
        <v>221</v>
      </c>
      <c r="B31" s="107">
        <v>0</v>
      </c>
      <c r="C31" s="107">
        <v>0.8</v>
      </c>
      <c r="D31" s="107">
        <v>0.8</v>
      </c>
      <c r="E31" s="107">
        <v>0.8</v>
      </c>
      <c r="F31" s="107">
        <v>0.8</v>
      </c>
      <c r="G31" s="107">
        <v>0.8</v>
      </c>
      <c r="H31" s="107">
        <v>0</v>
      </c>
      <c r="I31" s="107">
        <v>0.8</v>
      </c>
      <c r="J31" s="107">
        <v>0</v>
      </c>
      <c r="K31" s="107">
        <v>0.8</v>
      </c>
      <c r="L31" s="107">
        <v>0.8</v>
      </c>
      <c r="M31" s="107">
        <v>0.8</v>
      </c>
      <c r="N31" s="107">
        <v>0.8</v>
      </c>
      <c r="O31" s="107">
        <v>0.8</v>
      </c>
      <c r="P31" s="107">
        <v>0</v>
      </c>
      <c r="Q31" s="107">
        <v>0.8</v>
      </c>
      <c r="R31" s="107">
        <v>0.8</v>
      </c>
      <c r="S31" s="107">
        <v>0</v>
      </c>
      <c r="T31" s="107">
        <v>0</v>
      </c>
      <c r="U31" s="107">
        <v>0</v>
      </c>
      <c r="V31" s="107">
        <v>0</v>
      </c>
      <c r="W31" s="107">
        <v>0</v>
      </c>
      <c r="X31" s="107">
        <v>0</v>
      </c>
      <c r="Y31" s="107">
        <v>0</v>
      </c>
      <c r="Z31" s="107">
        <v>0</v>
      </c>
      <c r="AA31" s="107">
        <v>0</v>
      </c>
      <c r="AB31" s="107">
        <v>0</v>
      </c>
      <c r="AC31" s="107">
        <v>0</v>
      </c>
      <c r="AD31" s="107">
        <v>0</v>
      </c>
      <c r="AE31" s="107">
        <v>0</v>
      </c>
      <c r="AF31" s="107">
        <v>0</v>
      </c>
      <c r="AG31" s="107">
        <v>0</v>
      </c>
      <c r="AH31" s="107">
        <v>0</v>
      </c>
      <c r="AI31" s="107">
        <v>0</v>
      </c>
      <c r="AJ31" s="107">
        <v>0</v>
      </c>
      <c r="AK31" s="107">
        <v>0</v>
      </c>
      <c r="AL31" s="107">
        <v>0</v>
      </c>
      <c r="AM31" s="107">
        <v>0</v>
      </c>
    </row>
    <row r="32" spans="1:39" customFormat="1" x14ac:dyDescent="0.15">
      <c r="A32" s="187" t="s">
        <v>222</v>
      </c>
      <c r="B32" s="107">
        <v>0</v>
      </c>
      <c r="C32" s="107">
        <v>0.8</v>
      </c>
      <c r="D32" s="107">
        <v>0.8</v>
      </c>
      <c r="E32" s="107">
        <v>0.8</v>
      </c>
      <c r="F32" s="107">
        <v>0.8</v>
      </c>
      <c r="G32" s="107">
        <v>0.8</v>
      </c>
      <c r="H32" s="107">
        <v>0</v>
      </c>
      <c r="I32" s="107">
        <v>0.8</v>
      </c>
      <c r="J32" s="107">
        <v>0.8</v>
      </c>
      <c r="K32" s="107">
        <v>0.8</v>
      </c>
      <c r="L32" s="107">
        <v>0.8</v>
      </c>
      <c r="M32" s="107">
        <v>0.8</v>
      </c>
      <c r="N32" s="107">
        <v>0.8</v>
      </c>
      <c r="O32" s="107">
        <v>0.8</v>
      </c>
      <c r="P32" s="107">
        <v>0</v>
      </c>
      <c r="Q32" s="107">
        <v>0.8</v>
      </c>
      <c r="R32" s="107">
        <v>0.8</v>
      </c>
      <c r="S32" s="107">
        <v>0</v>
      </c>
      <c r="T32" s="107">
        <v>0</v>
      </c>
      <c r="U32" s="107">
        <v>0</v>
      </c>
      <c r="V32" s="107">
        <v>0.8</v>
      </c>
      <c r="W32" s="107">
        <v>0</v>
      </c>
      <c r="X32" s="107">
        <v>0.8</v>
      </c>
      <c r="Y32" s="107">
        <v>0</v>
      </c>
      <c r="Z32" s="107">
        <v>0</v>
      </c>
      <c r="AA32" s="107">
        <v>0.8</v>
      </c>
      <c r="AB32" s="107">
        <v>0</v>
      </c>
      <c r="AC32" s="107">
        <v>0</v>
      </c>
      <c r="AD32" s="107">
        <v>0.8</v>
      </c>
      <c r="AE32" s="107">
        <v>0</v>
      </c>
      <c r="AF32" s="107">
        <v>0</v>
      </c>
      <c r="AG32" s="107">
        <v>0</v>
      </c>
      <c r="AH32" s="107">
        <v>0</v>
      </c>
      <c r="AI32" s="107">
        <v>0</v>
      </c>
      <c r="AJ32" s="107">
        <v>0</v>
      </c>
      <c r="AK32" s="107">
        <v>0</v>
      </c>
      <c r="AL32" s="107">
        <v>0</v>
      </c>
      <c r="AM32" s="107">
        <v>0</v>
      </c>
    </row>
    <row r="33" spans="1:39" x14ac:dyDescent="0.15">
      <c r="A33" s="187" t="s">
        <v>223</v>
      </c>
      <c r="B33" s="107">
        <v>0</v>
      </c>
      <c r="C33" s="107">
        <v>0.8</v>
      </c>
      <c r="D33" s="107">
        <v>0.8</v>
      </c>
      <c r="E33" s="107">
        <v>0.8</v>
      </c>
      <c r="F33" s="107">
        <v>0.8</v>
      </c>
      <c r="G33" s="107">
        <v>0.8</v>
      </c>
      <c r="H33" s="107">
        <v>0</v>
      </c>
      <c r="I33" s="107">
        <v>0</v>
      </c>
      <c r="J33" s="107">
        <v>0</v>
      </c>
      <c r="K33" s="107">
        <v>0.8</v>
      </c>
      <c r="L33" s="107">
        <v>0.8</v>
      </c>
      <c r="M33" s="107">
        <v>0.8</v>
      </c>
      <c r="N33" s="107">
        <v>0.8</v>
      </c>
      <c r="O33" s="107">
        <v>0.8</v>
      </c>
      <c r="P33" s="107">
        <v>0.8</v>
      </c>
      <c r="Q33" s="107">
        <v>0</v>
      </c>
      <c r="R33" s="107">
        <v>0</v>
      </c>
      <c r="S33" s="107">
        <v>0.8</v>
      </c>
      <c r="T33" s="107">
        <v>0.8</v>
      </c>
      <c r="U33" s="107">
        <v>0.8</v>
      </c>
      <c r="V33" s="107">
        <v>0.8</v>
      </c>
      <c r="W33" s="107">
        <v>0</v>
      </c>
      <c r="X33" s="107">
        <v>0</v>
      </c>
      <c r="Y33" s="107">
        <v>0</v>
      </c>
      <c r="Z33" s="107">
        <v>0</v>
      </c>
      <c r="AA33" s="107">
        <v>0.8</v>
      </c>
      <c r="AB33" s="107">
        <v>0</v>
      </c>
      <c r="AC33" s="107">
        <v>0</v>
      </c>
      <c r="AD33" s="107">
        <v>0.8</v>
      </c>
      <c r="AE33" s="107">
        <v>0</v>
      </c>
      <c r="AF33" s="107">
        <v>0.8</v>
      </c>
      <c r="AG33" s="107">
        <v>0.8</v>
      </c>
      <c r="AH33" s="107">
        <v>0</v>
      </c>
      <c r="AI33" s="107">
        <v>0</v>
      </c>
      <c r="AJ33" s="107">
        <v>0</v>
      </c>
      <c r="AK33" s="107">
        <v>0</v>
      </c>
      <c r="AL33" s="107">
        <v>0</v>
      </c>
      <c r="AM33" s="107">
        <v>0</v>
      </c>
    </row>
    <row r="34" spans="1:39" x14ac:dyDescent="0.15">
      <c r="A34" s="187" t="s">
        <v>224</v>
      </c>
      <c r="B34" s="107">
        <v>0</v>
      </c>
      <c r="C34" s="107">
        <v>0.8</v>
      </c>
      <c r="D34" s="107">
        <v>0.8</v>
      </c>
      <c r="E34" s="107">
        <v>0.8</v>
      </c>
      <c r="F34" s="107">
        <v>0.8</v>
      </c>
      <c r="G34" s="107">
        <v>0.8</v>
      </c>
      <c r="H34" s="107">
        <v>0</v>
      </c>
      <c r="I34" s="107">
        <v>0.8</v>
      </c>
      <c r="J34" s="107">
        <v>0.8</v>
      </c>
      <c r="K34" s="107">
        <v>0.8</v>
      </c>
      <c r="L34" s="107">
        <v>0.8</v>
      </c>
      <c r="M34" s="107">
        <v>0.8</v>
      </c>
      <c r="N34" s="107">
        <v>0.8</v>
      </c>
      <c r="O34" s="107">
        <v>0.8</v>
      </c>
      <c r="P34" s="107">
        <v>0.8</v>
      </c>
      <c r="Q34" s="107">
        <v>0.8</v>
      </c>
      <c r="R34" s="107">
        <v>0.8</v>
      </c>
      <c r="S34" s="107">
        <v>0.8</v>
      </c>
      <c r="T34" s="107">
        <v>0.8</v>
      </c>
      <c r="U34" s="107">
        <v>0.8</v>
      </c>
      <c r="V34" s="107">
        <v>0.8</v>
      </c>
      <c r="W34" s="107">
        <v>0</v>
      </c>
      <c r="X34" s="107">
        <v>0</v>
      </c>
      <c r="Y34" s="107">
        <v>0</v>
      </c>
      <c r="Z34" s="107">
        <v>0</v>
      </c>
      <c r="AA34" s="107">
        <v>0.8</v>
      </c>
      <c r="AB34" s="107">
        <v>0</v>
      </c>
      <c r="AC34" s="107">
        <v>0.8</v>
      </c>
      <c r="AD34" s="107">
        <v>0.8</v>
      </c>
      <c r="AE34" s="107">
        <v>0</v>
      </c>
      <c r="AF34" s="107">
        <v>0.8</v>
      </c>
      <c r="AG34" s="107">
        <v>0.8</v>
      </c>
      <c r="AH34" s="107">
        <v>0.8</v>
      </c>
      <c r="AI34" s="107">
        <v>0.8</v>
      </c>
      <c r="AJ34" s="107">
        <v>0</v>
      </c>
      <c r="AK34" s="107">
        <v>0</v>
      </c>
      <c r="AL34" s="107">
        <v>0</v>
      </c>
      <c r="AM34" s="107">
        <v>0</v>
      </c>
    </row>
    <row r="35" spans="1:39" x14ac:dyDescent="0.15">
      <c r="A35" s="187" t="s">
        <v>225</v>
      </c>
      <c r="B35" s="107">
        <v>0.8</v>
      </c>
      <c r="C35" s="107">
        <v>0</v>
      </c>
      <c r="D35" s="107">
        <v>0.8</v>
      </c>
      <c r="E35" s="107">
        <v>0.8</v>
      </c>
      <c r="F35" s="107">
        <v>0.8</v>
      </c>
      <c r="G35" s="107">
        <v>0.8</v>
      </c>
      <c r="H35" s="107">
        <v>0</v>
      </c>
      <c r="I35" s="107">
        <v>0</v>
      </c>
      <c r="J35" s="107">
        <v>0.8</v>
      </c>
      <c r="K35" s="107">
        <v>0.8</v>
      </c>
      <c r="L35" s="107">
        <v>0.8</v>
      </c>
      <c r="M35" s="107">
        <v>0.8</v>
      </c>
      <c r="N35" s="107">
        <v>0.8</v>
      </c>
      <c r="O35" s="107">
        <v>0.8</v>
      </c>
      <c r="P35" s="107">
        <v>0.8</v>
      </c>
      <c r="Q35" s="107">
        <v>0</v>
      </c>
      <c r="R35" s="107">
        <v>0.8</v>
      </c>
      <c r="S35" s="107">
        <v>0.8</v>
      </c>
      <c r="T35" s="107">
        <v>0.8</v>
      </c>
      <c r="U35" s="107">
        <v>0.8</v>
      </c>
      <c r="V35" s="107">
        <v>0.8</v>
      </c>
      <c r="W35" s="107">
        <v>0.8</v>
      </c>
      <c r="X35" s="107">
        <v>0.8</v>
      </c>
      <c r="Y35" s="107">
        <v>0</v>
      </c>
      <c r="Z35" s="107">
        <v>0.8</v>
      </c>
      <c r="AA35" s="107">
        <v>0.8</v>
      </c>
      <c r="AB35" s="107">
        <v>0.8</v>
      </c>
      <c r="AC35" s="107">
        <v>0</v>
      </c>
      <c r="AD35" s="107">
        <v>0</v>
      </c>
      <c r="AE35" s="107">
        <v>0</v>
      </c>
      <c r="AF35" s="107">
        <v>0</v>
      </c>
      <c r="AG35" s="107">
        <v>0</v>
      </c>
      <c r="AH35" s="107">
        <v>0</v>
      </c>
      <c r="AI35" s="107">
        <v>0.8</v>
      </c>
      <c r="AJ35" s="107">
        <v>0</v>
      </c>
      <c r="AK35" s="107">
        <v>0</v>
      </c>
      <c r="AL35" s="107">
        <v>0</v>
      </c>
      <c r="AM35" s="107">
        <v>0</v>
      </c>
    </row>
    <row r="36" spans="1:39" x14ac:dyDescent="0.15">
      <c r="A36" s="187" t="s">
        <v>226</v>
      </c>
      <c r="B36" s="107">
        <v>0</v>
      </c>
      <c r="C36" s="107">
        <v>0</v>
      </c>
      <c r="D36" s="107">
        <v>0</v>
      </c>
      <c r="E36" s="107">
        <v>0</v>
      </c>
      <c r="F36" s="107">
        <v>0</v>
      </c>
      <c r="G36" s="107">
        <v>0</v>
      </c>
      <c r="H36" s="107">
        <v>0</v>
      </c>
      <c r="I36" s="107">
        <v>0</v>
      </c>
      <c r="J36" s="107">
        <v>0.8</v>
      </c>
      <c r="K36" s="107">
        <v>0</v>
      </c>
      <c r="L36" s="107">
        <v>0</v>
      </c>
      <c r="M36" s="107">
        <v>0</v>
      </c>
      <c r="N36" s="107">
        <v>0.8</v>
      </c>
      <c r="O36" s="107">
        <v>0</v>
      </c>
      <c r="P36" s="107">
        <v>0</v>
      </c>
      <c r="Q36" s="107">
        <v>0</v>
      </c>
      <c r="R36" s="107">
        <v>0</v>
      </c>
      <c r="S36" s="107">
        <v>0</v>
      </c>
      <c r="T36" s="107">
        <v>0.8</v>
      </c>
      <c r="U36" s="107">
        <v>0</v>
      </c>
      <c r="V36" s="107">
        <v>0</v>
      </c>
      <c r="W36" s="107">
        <v>0</v>
      </c>
      <c r="X36" s="107">
        <v>0</v>
      </c>
      <c r="Y36" s="107">
        <v>0</v>
      </c>
      <c r="Z36" s="107">
        <v>0.8</v>
      </c>
      <c r="AA36" s="107">
        <v>0.8</v>
      </c>
      <c r="AB36" s="107">
        <v>0.8</v>
      </c>
      <c r="AC36" s="107">
        <v>0</v>
      </c>
      <c r="AD36" s="107">
        <v>0</v>
      </c>
      <c r="AE36" s="107">
        <v>0</v>
      </c>
      <c r="AF36" s="107">
        <v>0.8</v>
      </c>
      <c r="AG36" s="107">
        <v>0</v>
      </c>
      <c r="AH36" s="107">
        <v>0.8</v>
      </c>
      <c r="AI36" s="107">
        <v>0.8</v>
      </c>
      <c r="AJ36" s="107">
        <v>0</v>
      </c>
      <c r="AK36" s="107">
        <v>0</v>
      </c>
      <c r="AL36" s="107">
        <v>0</v>
      </c>
      <c r="AM36" s="107">
        <v>0</v>
      </c>
    </row>
    <row r="37" spans="1:39" x14ac:dyDescent="0.15">
      <c r="A37" s="187" t="s">
        <v>227</v>
      </c>
      <c r="B37" s="107">
        <v>0</v>
      </c>
      <c r="C37" s="107">
        <v>0</v>
      </c>
      <c r="D37" s="107">
        <v>0.8</v>
      </c>
      <c r="E37" s="107">
        <v>0.8</v>
      </c>
      <c r="F37" s="107">
        <v>0.8</v>
      </c>
      <c r="G37" s="107">
        <v>0</v>
      </c>
      <c r="H37" s="107">
        <v>0</v>
      </c>
      <c r="I37" s="107">
        <v>0</v>
      </c>
      <c r="J37" s="107">
        <v>0.8</v>
      </c>
      <c r="K37" s="107">
        <v>0</v>
      </c>
      <c r="L37" s="107">
        <v>0.8</v>
      </c>
      <c r="M37" s="107">
        <v>0.8</v>
      </c>
      <c r="N37" s="107">
        <v>0.8</v>
      </c>
      <c r="O37" s="107">
        <v>0</v>
      </c>
      <c r="P37" s="107">
        <v>0.8</v>
      </c>
      <c r="Q37" s="107">
        <v>0</v>
      </c>
      <c r="R37" s="107">
        <v>0.8</v>
      </c>
      <c r="S37" s="107">
        <v>0</v>
      </c>
      <c r="T37" s="107">
        <v>0</v>
      </c>
      <c r="U37" s="107">
        <v>0.8</v>
      </c>
      <c r="V37" s="107">
        <v>0.8</v>
      </c>
      <c r="W37" s="107">
        <v>0</v>
      </c>
      <c r="X37" s="107">
        <v>0</v>
      </c>
      <c r="Y37" s="107">
        <v>0.8</v>
      </c>
      <c r="Z37" s="107">
        <v>0</v>
      </c>
      <c r="AA37" s="107">
        <v>0.8</v>
      </c>
      <c r="AB37" s="107">
        <v>0.8</v>
      </c>
      <c r="AC37" s="107">
        <v>0.8</v>
      </c>
      <c r="AD37" s="107">
        <v>0.8</v>
      </c>
      <c r="AE37" s="107">
        <v>0</v>
      </c>
      <c r="AF37" s="107">
        <v>0.8</v>
      </c>
      <c r="AG37" s="107">
        <v>0.8</v>
      </c>
      <c r="AH37" s="107">
        <v>0</v>
      </c>
      <c r="AI37" s="107">
        <v>0</v>
      </c>
      <c r="AJ37" s="107">
        <v>0</v>
      </c>
      <c r="AK37" s="107">
        <v>0</v>
      </c>
      <c r="AL37" s="107">
        <v>0</v>
      </c>
      <c r="AM37" s="107">
        <v>0</v>
      </c>
    </row>
    <row r="38" spans="1:39" x14ac:dyDescent="0.15">
      <c r="A38" s="187" t="s">
        <v>228</v>
      </c>
      <c r="B38" s="107">
        <v>0</v>
      </c>
      <c r="C38" s="107">
        <v>0</v>
      </c>
      <c r="D38" s="107">
        <v>0</v>
      </c>
      <c r="E38" s="107">
        <v>0</v>
      </c>
      <c r="F38" s="107">
        <v>0</v>
      </c>
      <c r="G38" s="107">
        <v>0</v>
      </c>
      <c r="H38" s="107">
        <v>0</v>
      </c>
      <c r="I38" s="107">
        <v>0</v>
      </c>
      <c r="J38" s="107">
        <v>0.8</v>
      </c>
      <c r="K38" s="107">
        <v>0</v>
      </c>
      <c r="L38" s="107">
        <v>0</v>
      </c>
      <c r="M38" s="107">
        <v>0</v>
      </c>
      <c r="N38" s="107">
        <v>0</v>
      </c>
      <c r="O38" s="107">
        <v>0</v>
      </c>
      <c r="P38" s="107">
        <v>0</v>
      </c>
      <c r="Q38" s="107">
        <v>0</v>
      </c>
      <c r="R38" s="107">
        <v>0</v>
      </c>
      <c r="S38" s="107">
        <v>0.8</v>
      </c>
      <c r="T38" s="107">
        <v>0</v>
      </c>
      <c r="U38" s="107">
        <v>0.8</v>
      </c>
      <c r="V38" s="107">
        <v>0.8</v>
      </c>
      <c r="W38" s="107">
        <v>0.8</v>
      </c>
      <c r="X38" s="107">
        <v>0</v>
      </c>
      <c r="Y38" s="107">
        <v>0.8</v>
      </c>
      <c r="Z38" s="107">
        <v>0.8</v>
      </c>
      <c r="AA38" s="107">
        <v>0.8</v>
      </c>
      <c r="AB38" s="107">
        <v>0.8</v>
      </c>
      <c r="AC38" s="107">
        <v>0</v>
      </c>
      <c r="AD38" s="107">
        <v>0.8</v>
      </c>
      <c r="AE38" s="107">
        <v>0.8</v>
      </c>
      <c r="AF38" s="107">
        <v>0.8</v>
      </c>
      <c r="AG38" s="107">
        <v>0.8</v>
      </c>
      <c r="AH38" s="107">
        <v>0.8</v>
      </c>
      <c r="AI38" s="107">
        <v>0.8</v>
      </c>
      <c r="AJ38" s="107">
        <v>0</v>
      </c>
      <c r="AK38" s="107">
        <v>0</v>
      </c>
      <c r="AL38" s="107">
        <v>0</v>
      </c>
      <c r="AM38" s="107">
        <v>0</v>
      </c>
    </row>
    <row r="39" spans="1:39" x14ac:dyDescent="0.15">
      <c r="A39" s="187" t="s">
        <v>229</v>
      </c>
      <c r="B39" s="107">
        <v>0</v>
      </c>
      <c r="C39" s="107">
        <v>0</v>
      </c>
      <c r="D39" s="107">
        <v>0</v>
      </c>
      <c r="E39" s="107">
        <v>0</v>
      </c>
      <c r="F39" s="107">
        <v>0</v>
      </c>
      <c r="G39" s="107">
        <v>0</v>
      </c>
      <c r="H39" s="107">
        <v>0</v>
      </c>
      <c r="I39" s="107">
        <v>0</v>
      </c>
      <c r="J39" s="107">
        <v>0</v>
      </c>
      <c r="K39" s="107">
        <v>0</v>
      </c>
      <c r="L39" s="107">
        <v>0</v>
      </c>
      <c r="M39" s="107">
        <v>0</v>
      </c>
      <c r="N39" s="107">
        <v>0</v>
      </c>
      <c r="O39" s="107">
        <v>0</v>
      </c>
      <c r="P39" s="107">
        <v>0</v>
      </c>
      <c r="Q39" s="107">
        <v>0</v>
      </c>
      <c r="R39" s="107">
        <v>0</v>
      </c>
      <c r="S39" s="107">
        <v>0</v>
      </c>
      <c r="T39" s="107">
        <v>0</v>
      </c>
      <c r="U39" s="107">
        <v>0</v>
      </c>
      <c r="V39" s="107">
        <v>0</v>
      </c>
      <c r="W39" s="107">
        <v>0</v>
      </c>
      <c r="X39" s="107">
        <v>0</v>
      </c>
      <c r="Y39" s="107">
        <v>0</v>
      </c>
      <c r="Z39" s="107">
        <v>0</v>
      </c>
      <c r="AA39" s="107">
        <v>0</v>
      </c>
      <c r="AB39" s="107">
        <v>0</v>
      </c>
      <c r="AC39" s="107">
        <v>0</v>
      </c>
      <c r="AD39" s="107">
        <v>0</v>
      </c>
      <c r="AE39" s="107">
        <v>0</v>
      </c>
      <c r="AF39" s="107">
        <v>0</v>
      </c>
      <c r="AG39" s="107">
        <v>0</v>
      </c>
      <c r="AH39" s="107">
        <v>0</v>
      </c>
      <c r="AI39" s="107">
        <v>0</v>
      </c>
      <c r="AJ39" s="107">
        <v>0</v>
      </c>
      <c r="AK39" s="107">
        <v>0</v>
      </c>
      <c r="AL39" s="107">
        <v>0</v>
      </c>
      <c r="AM39" s="107">
        <v>0</v>
      </c>
    </row>
    <row r="40" spans="1:39" x14ac:dyDescent="0.15">
      <c r="A40" s="187" t="s">
        <v>232</v>
      </c>
      <c r="B40" s="107">
        <v>0</v>
      </c>
      <c r="C40" s="107">
        <v>0</v>
      </c>
      <c r="D40" s="107">
        <v>0</v>
      </c>
      <c r="E40" s="107">
        <v>0</v>
      </c>
      <c r="F40" s="107">
        <v>0</v>
      </c>
      <c r="G40" s="107">
        <v>0</v>
      </c>
      <c r="H40" s="107">
        <v>0</v>
      </c>
      <c r="I40" s="107">
        <v>0</v>
      </c>
      <c r="J40" s="107">
        <v>0</v>
      </c>
      <c r="K40" s="107">
        <v>0</v>
      </c>
      <c r="L40" s="107">
        <v>0</v>
      </c>
      <c r="M40" s="107">
        <v>0</v>
      </c>
      <c r="N40" s="107">
        <v>0</v>
      </c>
      <c r="O40" s="107">
        <v>0</v>
      </c>
      <c r="P40" s="107">
        <v>0</v>
      </c>
      <c r="Q40" s="107">
        <v>0</v>
      </c>
      <c r="R40" s="107">
        <v>0</v>
      </c>
      <c r="S40" s="107">
        <v>0</v>
      </c>
      <c r="T40" s="107">
        <v>0</v>
      </c>
      <c r="U40" s="107">
        <v>0</v>
      </c>
      <c r="V40" s="107">
        <v>0</v>
      </c>
      <c r="W40" s="107">
        <v>0</v>
      </c>
      <c r="X40" s="107">
        <v>0</v>
      </c>
      <c r="Y40" s="107">
        <v>0</v>
      </c>
      <c r="Z40" s="107">
        <v>0</v>
      </c>
      <c r="AA40" s="107">
        <v>0</v>
      </c>
      <c r="AB40" s="107">
        <v>0</v>
      </c>
      <c r="AC40" s="107">
        <v>0</v>
      </c>
      <c r="AD40" s="107">
        <v>0</v>
      </c>
      <c r="AE40" s="107">
        <v>0</v>
      </c>
      <c r="AF40" s="107">
        <v>0</v>
      </c>
      <c r="AG40" s="107">
        <v>0</v>
      </c>
      <c r="AH40" s="107">
        <v>0</v>
      </c>
      <c r="AI40" s="107">
        <v>0</v>
      </c>
      <c r="AJ40" s="107">
        <v>0</v>
      </c>
      <c r="AK40" s="107">
        <v>0</v>
      </c>
      <c r="AL40" s="107">
        <v>0</v>
      </c>
      <c r="AM40" s="10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M40"/>
  <sheetViews>
    <sheetView workbookViewId="0">
      <selection activeCell="A3" sqref="A3"/>
    </sheetView>
  </sheetViews>
  <sheetFormatPr baseColWidth="10" defaultRowHeight="13" x14ac:dyDescent="0.15"/>
  <cols>
    <col min="1" max="1" width="21.6640625" style="107" bestFit="1" customWidth="1"/>
    <col min="2" max="39" width="2.33203125" style="107" customWidth="1"/>
    <col min="40" max="16384" width="10.83203125" style="107"/>
  </cols>
  <sheetData>
    <row r="1" spans="1:39" x14ac:dyDescent="0.15">
      <c r="A1" s="62" t="s">
        <v>139</v>
      </c>
      <c r="B1" s="190" t="s">
        <v>192</v>
      </c>
      <c r="C1" s="190" t="s">
        <v>193</v>
      </c>
      <c r="D1" s="190" t="s">
        <v>194</v>
      </c>
      <c r="E1" s="190" t="s">
        <v>195</v>
      </c>
      <c r="F1" s="190" t="s">
        <v>196</v>
      </c>
      <c r="G1" s="190" t="s">
        <v>197</v>
      </c>
      <c r="H1" s="190" t="s">
        <v>198</v>
      </c>
      <c r="I1" s="190" t="s">
        <v>199</v>
      </c>
      <c r="J1" s="190" t="s">
        <v>200</v>
      </c>
      <c r="K1" s="190" t="s">
        <v>201</v>
      </c>
      <c r="L1" s="190" t="s">
        <v>202</v>
      </c>
      <c r="M1" s="190" t="s">
        <v>203</v>
      </c>
      <c r="N1" s="190" t="s">
        <v>204</v>
      </c>
      <c r="O1" s="190" t="s">
        <v>205</v>
      </c>
      <c r="P1" s="190" t="s">
        <v>206</v>
      </c>
      <c r="Q1" s="190" t="s">
        <v>207</v>
      </c>
      <c r="R1" s="190" t="s">
        <v>208</v>
      </c>
      <c r="S1" s="190" t="s">
        <v>209</v>
      </c>
      <c r="T1" s="190" t="s">
        <v>210</v>
      </c>
      <c r="U1" s="190" t="s">
        <v>211</v>
      </c>
      <c r="V1" s="190" t="s">
        <v>212</v>
      </c>
      <c r="W1" s="190" t="s">
        <v>213</v>
      </c>
      <c r="X1" s="190" t="s">
        <v>214</v>
      </c>
      <c r="Y1" s="190" t="s">
        <v>215</v>
      </c>
      <c r="Z1" s="190" t="s">
        <v>216</v>
      </c>
      <c r="AA1" s="190" t="s">
        <v>217</v>
      </c>
      <c r="AB1" s="190" t="s">
        <v>218</v>
      </c>
      <c r="AC1" s="190" t="s">
        <v>219</v>
      </c>
      <c r="AD1" s="190" t="s">
        <v>220</v>
      </c>
      <c r="AE1" s="190" t="s">
        <v>221</v>
      </c>
      <c r="AF1" s="190" t="s">
        <v>222</v>
      </c>
      <c r="AG1" s="190" t="s">
        <v>223</v>
      </c>
      <c r="AH1" s="190" t="s">
        <v>224</v>
      </c>
      <c r="AI1" s="190" t="s">
        <v>225</v>
      </c>
      <c r="AJ1" s="190" t="s">
        <v>226</v>
      </c>
      <c r="AK1" s="190" t="s">
        <v>227</v>
      </c>
      <c r="AL1" s="190" t="s">
        <v>228</v>
      </c>
      <c r="AM1" s="190" t="s">
        <v>229</v>
      </c>
    </row>
    <row r="2" spans="1:39" customFormat="1" x14ac:dyDescent="0.15">
      <c r="A2" s="189" t="s">
        <v>192</v>
      </c>
      <c r="B2" s="107">
        <v>0</v>
      </c>
      <c r="C2" s="107">
        <v>0</v>
      </c>
      <c r="D2" s="107">
        <v>0</v>
      </c>
      <c r="E2" s="107">
        <v>0</v>
      </c>
      <c r="F2" s="107">
        <v>0</v>
      </c>
      <c r="G2" s="107">
        <v>0</v>
      </c>
      <c r="H2" s="107">
        <v>0</v>
      </c>
      <c r="I2" s="107">
        <v>0</v>
      </c>
      <c r="J2" s="107">
        <v>0</v>
      </c>
      <c r="K2" s="107">
        <v>0</v>
      </c>
      <c r="L2" s="107">
        <v>0</v>
      </c>
      <c r="M2" s="107">
        <v>0</v>
      </c>
      <c r="N2" s="107">
        <v>1</v>
      </c>
      <c r="O2" s="107">
        <v>0</v>
      </c>
      <c r="P2" s="107">
        <v>0</v>
      </c>
      <c r="Q2" s="107">
        <v>0</v>
      </c>
      <c r="R2" s="107">
        <v>0</v>
      </c>
      <c r="S2" s="107">
        <v>0</v>
      </c>
      <c r="T2" s="107">
        <v>0</v>
      </c>
      <c r="U2" s="107">
        <v>0</v>
      </c>
      <c r="V2" s="107">
        <v>0</v>
      </c>
      <c r="W2" s="107">
        <v>0</v>
      </c>
      <c r="X2" s="107">
        <v>0</v>
      </c>
      <c r="Y2" s="107">
        <v>0</v>
      </c>
      <c r="Z2" s="107">
        <v>0</v>
      </c>
      <c r="AA2" s="107">
        <v>0</v>
      </c>
      <c r="AB2" s="107">
        <v>0</v>
      </c>
      <c r="AC2" s="107">
        <v>0</v>
      </c>
      <c r="AD2" s="107">
        <v>0</v>
      </c>
      <c r="AE2" s="107">
        <v>0</v>
      </c>
      <c r="AF2" s="107">
        <v>0</v>
      </c>
      <c r="AG2" s="107">
        <v>0</v>
      </c>
      <c r="AH2" s="107">
        <v>0</v>
      </c>
      <c r="AI2" s="107">
        <v>0</v>
      </c>
      <c r="AJ2" s="107">
        <v>0</v>
      </c>
      <c r="AK2" s="107">
        <v>0</v>
      </c>
      <c r="AL2" s="107">
        <v>0</v>
      </c>
      <c r="AM2" s="107">
        <v>0</v>
      </c>
    </row>
    <row r="3" spans="1:39" customFormat="1" x14ac:dyDescent="0.15">
      <c r="A3" s="189" t="s">
        <v>193</v>
      </c>
      <c r="B3" s="107">
        <v>0</v>
      </c>
      <c r="C3" s="107">
        <v>0</v>
      </c>
      <c r="D3" s="107">
        <v>0</v>
      </c>
      <c r="E3" s="107">
        <v>1</v>
      </c>
      <c r="F3" s="107">
        <v>0</v>
      </c>
      <c r="G3" s="107">
        <v>1</v>
      </c>
      <c r="H3" s="107">
        <v>0</v>
      </c>
      <c r="I3" s="107">
        <v>1</v>
      </c>
      <c r="J3" s="107">
        <v>0</v>
      </c>
      <c r="K3" s="107">
        <v>0</v>
      </c>
      <c r="L3" s="107">
        <v>0</v>
      </c>
      <c r="M3" s="107">
        <v>0</v>
      </c>
      <c r="N3" s="107">
        <v>0</v>
      </c>
      <c r="O3" s="107">
        <v>0</v>
      </c>
      <c r="P3" s="107">
        <v>0</v>
      </c>
      <c r="Q3" s="107">
        <v>0</v>
      </c>
      <c r="R3" s="107">
        <v>0</v>
      </c>
      <c r="S3" s="107">
        <v>0</v>
      </c>
      <c r="T3" s="107">
        <v>0</v>
      </c>
      <c r="U3" s="107">
        <v>0</v>
      </c>
      <c r="V3" s="107">
        <v>0</v>
      </c>
      <c r="W3" s="107">
        <v>0</v>
      </c>
      <c r="X3" s="107">
        <v>0</v>
      </c>
      <c r="Y3" s="107">
        <v>0</v>
      </c>
      <c r="Z3" s="107">
        <v>0</v>
      </c>
      <c r="AA3" s="107">
        <v>0</v>
      </c>
      <c r="AB3" s="107">
        <v>0</v>
      </c>
      <c r="AC3" s="107">
        <v>0</v>
      </c>
      <c r="AD3" s="107">
        <v>0</v>
      </c>
      <c r="AE3" s="107">
        <v>0</v>
      </c>
      <c r="AF3" s="107">
        <v>0</v>
      </c>
      <c r="AG3" s="107">
        <v>0</v>
      </c>
      <c r="AH3" s="107">
        <v>0</v>
      </c>
      <c r="AI3" s="107">
        <v>0</v>
      </c>
      <c r="AJ3" s="107">
        <v>0</v>
      </c>
      <c r="AK3" s="107">
        <v>0</v>
      </c>
      <c r="AL3" s="107">
        <v>0</v>
      </c>
      <c r="AM3" s="107">
        <v>0</v>
      </c>
    </row>
    <row r="4" spans="1:39" customFormat="1" x14ac:dyDescent="0.15">
      <c r="A4" s="189" t="s">
        <v>194</v>
      </c>
      <c r="B4" s="107">
        <v>0</v>
      </c>
      <c r="C4" s="107">
        <v>1</v>
      </c>
      <c r="D4" s="107">
        <v>1</v>
      </c>
      <c r="E4" s="107">
        <v>0</v>
      </c>
      <c r="F4" s="107">
        <v>0</v>
      </c>
      <c r="G4" s="107">
        <v>1</v>
      </c>
      <c r="H4" s="107">
        <v>0</v>
      </c>
      <c r="I4" s="107">
        <v>1</v>
      </c>
      <c r="J4" s="107">
        <v>0</v>
      </c>
      <c r="K4" s="107">
        <v>0</v>
      </c>
      <c r="L4" s="107">
        <v>0</v>
      </c>
      <c r="M4" s="107">
        <v>0</v>
      </c>
      <c r="N4" s="107">
        <v>0</v>
      </c>
      <c r="O4" s="107">
        <v>0</v>
      </c>
      <c r="P4" s="107">
        <v>0</v>
      </c>
      <c r="Q4" s="107">
        <v>0</v>
      </c>
      <c r="R4" s="107">
        <v>0</v>
      </c>
      <c r="S4" s="107">
        <v>0</v>
      </c>
      <c r="T4" s="107">
        <v>0</v>
      </c>
      <c r="U4" s="107">
        <v>0</v>
      </c>
      <c r="V4" s="107">
        <v>1</v>
      </c>
      <c r="W4" s="107">
        <v>0</v>
      </c>
      <c r="X4" s="107">
        <v>0</v>
      </c>
      <c r="Y4" s="107">
        <v>0</v>
      </c>
      <c r="Z4" s="107">
        <v>0</v>
      </c>
      <c r="AA4" s="107">
        <v>0</v>
      </c>
      <c r="AB4" s="107">
        <v>0</v>
      </c>
      <c r="AC4" s="107">
        <v>0</v>
      </c>
      <c r="AD4" s="107">
        <v>0</v>
      </c>
      <c r="AE4" s="107">
        <v>0</v>
      </c>
      <c r="AF4" s="107">
        <v>0</v>
      </c>
      <c r="AG4" s="107">
        <v>0</v>
      </c>
      <c r="AH4" s="107">
        <v>0</v>
      </c>
      <c r="AI4" s="107">
        <v>0</v>
      </c>
      <c r="AJ4" s="107">
        <v>0</v>
      </c>
      <c r="AK4" s="107">
        <v>0</v>
      </c>
      <c r="AL4" s="107">
        <v>0</v>
      </c>
      <c r="AM4" s="107">
        <v>0</v>
      </c>
    </row>
    <row r="5" spans="1:39" customFormat="1" x14ac:dyDescent="0.15">
      <c r="A5" s="189" t="s">
        <v>195</v>
      </c>
      <c r="B5" s="107">
        <v>0</v>
      </c>
      <c r="C5" s="107">
        <v>1</v>
      </c>
      <c r="D5" s="107">
        <v>0</v>
      </c>
      <c r="E5" s="107">
        <v>0</v>
      </c>
      <c r="F5" s="107">
        <v>1</v>
      </c>
      <c r="G5" s="107">
        <v>0</v>
      </c>
      <c r="H5" s="107">
        <v>0</v>
      </c>
      <c r="I5" s="107">
        <v>0</v>
      </c>
      <c r="J5" s="107">
        <v>0</v>
      </c>
      <c r="K5" s="107">
        <v>0</v>
      </c>
      <c r="L5" s="107">
        <v>0</v>
      </c>
      <c r="M5" s="107">
        <v>0</v>
      </c>
      <c r="N5" s="107">
        <v>0</v>
      </c>
      <c r="O5" s="107">
        <v>0</v>
      </c>
      <c r="P5" s="107">
        <v>0</v>
      </c>
      <c r="Q5" s="107">
        <v>0</v>
      </c>
      <c r="R5" s="107">
        <v>0</v>
      </c>
      <c r="S5" s="107">
        <v>0</v>
      </c>
      <c r="T5" s="107">
        <v>0</v>
      </c>
      <c r="U5" s="107">
        <v>0</v>
      </c>
      <c r="V5" s="107">
        <v>0</v>
      </c>
      <c r="W5" s="107">
        <v>0</v>
      </c>
      <c r="X5" s="107">
        <v>0</v>
      </c>
      <c r="Y5" s="107">
        <v>0</v>
      </c>
      <c r="Z5" s="107">
        <v>0</v>
      </c>
      <c r="AA5" s="107">
        <v>0</v>
      </c>
      <c r="AB5" s="107">
        <v>0</v>
      </c>
      <c r="AC5" s="107">
        <v>0</v>
      </c>
      <c r="AD5" s="107">
        <v>0</v>
      </c>
      <c r="AE5" s="107">
        <v>0</v>
      </c>
      <c r="AF5" s="107">
        <v>0</v>
      </c>
      <c r="AG5" s="107">
        <v>0</v>
      </c>
      <c r="AH5" s="107">
        <v>0</v>
      </c>
      <c r="AI5" s="107">
        <v>0</v>
      </c>
      <c r="AJ5" s="107">
        <v>0</v>
      </c>
      <c r="AK5" s="107">
        <v>0</v>
      </c>
      <c r="AL5" s="107">
        <v>0</v>
      </c>
      <c r="AM5" s="107">
        <v>0</v>
      </c>
    </row>
    <row r="6" spans="1:39" customFormat="1" x14ac:dyDescent="0.15">
      <c r="A6" s="189" t="s">
        <v>196</v>
      </c>
      <c r="B6" s="107">
        <v>0</v>
      </c>
      <c r="C6" s="107">
        <v>0</v>
      </c>
      <c r="D6" s="107">
        <v>1</v>
      </c>
      <c r="E6" s="107">
        <v>0</v>
      </c>
      <c r="F6" s="107">
        <v>0</v>
      </c>
      <c r="G6" s="107">
        <v>0</v>
      </c>
      <c r="H6" s="107">
        <v>0</v>
      </c>
      <c r="I6" s="107">
        <v>0</v>
      </c>
      <c r="J6" s="107">
        <v>0</v>
      </c>
      <c r="K6" s="107">
        <v>0</v>
      </c>
      <c r="L6" s="107">
        <v>0</v>
      </c>
      <c r="M6" s="107">
        <v>0</v>
      </c>
      <c r="N6" s="107">
        <v>0</v>
      </c>
      <c r="O6" s="107">
        <v>0</v>
      </c>
      <c r="P6" s="107">
        <v>0</v>
      </c>
      <c r="Q6" s="107">
        <v>0</v>
      </c>
      <c r="R6" s="107">
        <v>0</v>
      </c>
      <c r="S6" s="107">
        <v>0</v>
      </c>
      <c r="T6" s="107">
        <v>0</v>
      </c>
      <c r="U6" s="107">
        <v>0</v>
      </c>
      <c r="V6" s="107">
        <v>0</v>
      </c>
      <c r="W6" s="107">
        <v>0</v>
      </c>
      <c r="X6" s="107">
        <v>0</v>
      </c>
      <c r="Y6" s="107">
        <v>0</v>
      </c>
      <c r="Z6" s="107">
        <v>0</v>
      </c>
      <c r="AA6" s="107">
        <v>0</v>
      </c>
      <c r="AB6" s="107">
        <v>0</v>
      </c>
      <c r="AC6" s="107">
        <v>0</v>
      </c>
      <c r="AD6" s="107">
        <v>0</v>
      </c>
      <c r="AE6" s="107">
        <v>0</v>
      </c>
      <c r="AF6" s="107">
        <v>0</v>
      </c>
      <c r="AG6" s="107">
        <v>0</v>
      </c>
      <c r="AH6" s="107">
        <v>0</v>
      </c>
      <c r="AI6" s="107">
        <v>0</v>
      </c>
      <c r="AJ6" s="107">
        <v>0</v>
      </c>
      <c r="AK6" s="107">
        <v>0</v>
      </c>
      <c r="AL6" s="107">
        <v>0</v>
      </c>
      <c r="AM6" s="107">
        <v>0</v>
      </c>
    </row>
    <row r="7" spans="1:39" customFormat="1" x14ac:dyDescent="0.15">
      <c r="A7" s="189" t="s">
        <v>197</v>
      </c>
      <c r="B7" s="107">
        <v>0</v>
      </c>
      <c r="C7" s="107">
        <v>1</v>
      </c>
      <c r="D7" s="107">
        <v>0</v>
      </c>
      <c r="E7" s="107">
        <v>0</v>
      </c>
      <c r="F7" s="107">
        <v>0</v>
      </c>
      <c r="G7" s="107">
        <v>1</v>
      </c>
      <c r="H7" s="107">
        <v>0</v>
      </c>
      <c r="I7" s="107">
        <v>0</v>
      </c>
      <c r="J7" s="107">
        <v>0</v>
      </c>
      <c r="K7" s="107">
        <v>0</v>
      </c>
      <c r="L7" s="107">
        <v>0</v>
      </c>
      <c r="M7" s="107">
        <v>1</v>
      </c>
      <c r="N7" s="107">
        <v>0</v>
      </c>
      <c r="O7" s="107">
        <v>0</v>
      </c>
      <c r="P7" s="107">
        <v>0</v>
      </c>
      <c r="Q7" s="107">
        <v>1</v>
      </c>
      <c r="R7" s="107">
        <v>0</v>
      </c>
      <c r="S7" s="107">
        <v>0</v>
      </c>
      <c r="T7" s="107">
        <v>0</v>
      </c>
      <c r="U7" s="107">
        <v>0</v>
      </c>
      <c r="V7" s="107">
        <v>0</v>
      </c>
      <c r="W7" s="107">
        <v>0</v>
      </c>
      <c r="X7" s="107">
        <v>0</v>
      </c>
      <c r="Y7" s="107">
        <v>0</v>
      </c>
      <c r="Z7" s="107">
        <v>0</v>
      </c>
      <c r="AA7" s="107">
        <v>0</v>
      </c>
      <c r="AB7" s="107">
        <v>0</v>
      </c>
      <c r="AC7" s="107">
        <v>0</v>
      </c>
      <c r="AD7" s="107">
        <v>0</v>
      </c>
      <c r="AE7" s="107">
        <v>0</v>
      </c>
      <c r="AF7" s="107">
        <v>0</v>
      </c>
      <c r="AG7" s="107">
        <v>0</v>
      </c>
      <c r="AH7" s="107">
        <v>0</v>
      </c>
      <c r="AI7" s="107">
        <v>0</v>
      </c>
      <c r="AJ7" s="107">
        <v>0</v>
      </c>
      <c r="AK7" s="107">
        <v>0</v>
      </c>
      <c r="AL7" s="107">
        <v>0</v>
      </c>
      <c r="AM7" s="107">
        <v>0</v>
      </c>
    </row>
    <row r="8" spans="1:39" customFormat="1" x14ac:dyDescent="0.15">
      <c r="A8" s="189" t="s">
        <v>198</v>
      </c>
      <c r="B8" s="107">
        <v>0</v>
      </c>
      <c r="C8" s="107">
        <v>0</v>
      </c>
      <c r="D8" s="107">
        <v>0</v>
      </c>
      <c r="E8" s="107">
        <v>0</v>
      </c>
      <c r="F8" s="107">
        <v>0</v>
      </c>
      <c r="G8" s="107">
        <v>0</v>
      </c>
      <c r="H8" s="107">
        <v>0</v>
      </c>
      <c r="I8" s="107">
        <v>1</v>
      </c>
      <c r="J8" s="107">
        <v>1</v>
      </c>
      <c r="K8" s="107">
        <v>0</v>
      </c>
      <c r="L8" s="107">
        <v>1</v>
      </c>
      <c r="M8" s="107">
        <v>0</v>
      </c>
      <c r="N8" s="107">
        <v>0</v>
      </c>
      <c r="O8" s="107">
        <v>0</v>
      </c>
      <c r="P8" s="107">
        <v>0</v>
      </c>
      <c r="Q8" s="107">
        <v>0</v>
      </c>
      <c r="R8" s="107">
        <v>0</v>
      </c>
      <c r="S8" s="107">
        <v>0</v>
      </c>
      <c r="T8" s="107">
        <v>0</v>
      </c>
      <c r="U8" s="107">
        <v>0</v>
      </c>
      <c r="V8" s="107">
        <v>1</v>
      </c>
      <c r="W8" s="107">
        <v>0</v>
      </c>
      <c r="X8" s="107">
        <v>0</v>
      </c>
      <c r="Y8" s="107">
        <v>0</v>
      </c>
      <c r="Z8" s="107">
        <v>0</v>
      </c>
      <c r="AA8" s="107">
        <v>0</v>
      </c>
      <c r="AB8" s="107">
        <v>0</v>
      </c>
      <c r="AC8" s="107">
        <v>0</v>
      </c>
      <c r="AD8" s="107">
        <v>0</v>
      </c>
      <c r="AE8" s="107">
        <v>0</v>
      </c>
      <c r="AF8" s="107">
        <v>0</v>
      </c>
      <c r="AG8" s="107">
        <v>0</v>
      </c>
      <c r="AH8" s="107">
        <v>0</v>
      </c>
      <c r="AI8" s="107">
        <v>0</v>
      </c>
      <c r="AJ8" s="107">
        <v>0</v>
      </c>
      <c r="AK8" s="107">
        <v>0</v>
      </c>
      <c r="AL8" s="107">
        <v>0</v>
      </c>
      <c r="AM8" s="107">
        <v>0</v>
      </c>
    </row>
    <row r="9" spans="1:39" customFormat="1" x14ac:dyDescent="0.15">
      <c r="A9" s="189" t="s">
        <v>199</v>
      </c>
      <c r="B9" s="107">
        <v>0</v>
      </c>
      <c r="C9" s="107">
        <v>0</v>
      </c>
      <c r="D9" s="107">
        <v>0</v>
      </c>
      <c r="E9" s="107">
        <v>0</v>
      </c>
      <c r="F9" s="107">
        <v>0</v>
      </c>
      <c r="G9" s="107">
        <v>0</v>
      </c>
      <c r="H9" s="107">
        <v>1</v>
      </c>
      <c r="I9" s="107">
        <v>1</v>
      </c>
      <c r="J9" s="107">
        <v>1</v>
      </c>
      <c r="K9" s="107">
        <v>0</v>
      </c>
      <c r="L9" s="107">
        <v>0</v>
      </c>
      <c r="M9" s="107">
        <v>0</v>
      </c>
      <c r="N9" s="107">
        <v>0</v>
      </c>
      <c r="O9" s="107">
        <v>0</v>
      </c>
      <c r="P9" s="107">
        <v>0</v>
      </c>
      <c r="Q9" s="107">
        <v>0</v>
      </c>
      <c r="R9" s="107">
        <v>0</v>
      </c>
      <c r="S9" s="107">
        <v>0</v>
      </c>
      <c r="T9" s="107">
        <v>0</v>
      </c>
      <c r="U9" s="107">
        <v>0</v>
      </c>
      <c r="V9" s="107">
        <v>0</v>
      </c>
      <c r="W9" s="107">
        <v>0</v>
      </c>
      <c r="X9" s="107">
        <v>0</v>
      </c>
      <c r="Y9" s="107">
        <v>0</v>
      </c>
      <c r="Z9" s="107">
        <v>0</v>
      </c>
      <c r="AA9" s="107">
        <v>0</v>
      </c>
      <c r="AB9" s="107">
        <v>0</v>
      </c>
      <c r="AC9" s="107">
        <v>0</v>
      </c>
      <c r="AD9" s="107">
        <v>0</v>
      </c>
      <c r="AE9" s="107">
        <v>0</v>
      </c>
      <c r="AF9" s="107">
        <v>0</v>
      </c>
      <c r="AG9" s="107">
        <v>0</v>
      </c>
      <c r="AH9" s="107">
        <v>0</v>
      </c>
      <c r="AI9" s="107">
        <v>0</v>
      </c>
      <c r="AJ9" s="107">
        <v>0</v>
      </c>
      <c r="AK9" s="107">
        <v>0</v>
      </c>
      <c r="AL9" s="107">
        <v>0</v>
      </c>
      <c r="AM9" s="107">
        <v>0</v>
      </c>
    </row>
    <row r="10" spans="1:39" customFormat="1" x14ac:dyDescent="0.15">
      <c r="A10" s="189" t="s">
        <v>200</v>
      </c>
      <c r="B10" s="107">
        <v>1</v>
      </c>
      <c r="C10" s="107">
        <v>1</v>
      </c>
      <c r="D10" s="107">
        <v>0</v>
      </c>
      <c r="E10" s="107">
        <v>1</v>
      </c>
      <c r="F10" s="107">
        <v>0</v>
      </c>
      <c r="G10" s="107">
        <v>0</v>
      </c>
      <c r="H10" s="107">
        <v>1</v>
      </c>
      <c r="I10" s="107">
        <v>1</v>
      </c>
      <c r="J10" s="107">
        <v>0</v>
      </c>
      <c r="K10" s="107">
        <v>0</v>
      </c>
      <c r="L10" s="107">
        <v>0</v>
      </c>
      <c r="M10" s="107">
        <v>0</v>
      </c>
      <c r="N10" s="107">
        <v>0</v>
      </c>
      <c r="O10" s="107">
        <v>0</v>
      </c>
      <c r="P10" s="107">
        <v>0</v>
      </c>
      <c r="Q10" s="107">
        <v>0</v>
      </c>
      <c r="R10" s="107">
        <v>0</v>
      </c>
      <c r="S10" s="107">
        <v>0</v>
      </c>
      <c r="T10" s="107">
        <v>0</v>
      </c>
      <c r="U10" s="107">
        <v>0</v>
      </c>
      <c r="V10" s="107">
        <v>1</v>
      </c>
      <c r="W10" s="107">
        <v>0</v>
      </c>
      <c r="X10" s="107">
        <v>0</v>
      </c>
      <c r="Y10" s="107">
        <v>0</v>
      </c>
      <c r="Z10" s="107">
        <v>0</v>
      </c>
      <c r="AA10" s="107">
        <v>0</v>
      </c>
      <c r="AB10" s="107">
        <v>0</v>
      </c>
      <c r="AC10" s="107">
        <v>0</v>
      </c>
      <c r="AD10" s="107">
        <v>0</v>
      </c>
      <c r="AE10" s="107">
        <v>0</v>
      </c>
      <c r="AF10" s="107">
        <v>0</v>
      </c>
      <c r="AG10" s="107">
        <v>0</v>
      </c>
      <c r="AH10" s="107">
        <v>0</v>
      </c>
      <c r="AI10" s="107">
        <v>0</v>
      </c>
      <c r="AJ10" s="107">
        <v>0</v>
      </c>
      <c r="AK10" s="107">
        <v>0</v>
      </c>
      <c r="AL10" s="107">
        <v>0</v>
      </c>
      <c r="AM10" s="107">
        <v>0</v>
      </c>
    </row>
    <row r="11" spans="1:39" customFormat="1" x14ac:dyDescent="0.15">
      <c r="A11" s="189" t="s">
        <v>201</v>
      </c>
      <c r="B11" s="107">
        <v>0</v>
      </c>
      <c r="C11" s="107">
        <v>0</v>
      </c>
      <c r="D11" s="107">
        <v>0</v>
      </c>
      <c r="E11" s="107">
        <v>0</v>
      </c>
      <c r="F11" s="107">
        <v>1</v>
      </c>
      <c r="G11" s="107">
        <v>0</v>
      </c>
      <c r="H11" s="107">
        <v>0</v>
      </c>
      <c r="I11" s="107">
        <v>1</v>
      </c>
      <c r="J11" s="107">
        <v>1</v>
      </c>
      <c r="K11" s="107">
        <v>1</v>
      </c>
      <c r="L11" s="107">
        <v>0</v>
      </c>
      <c r="M11" s="107">
        <v>0</v>
      </c>
      <c r="N11" s="107">
        <v>0</v>
      </c>
      <c r="O11" s="107">
        <v>0</v>
      </c>
      <c r="P11" s="107">
        <v>0</v>
      </c>
      <c r="Q11" s="107">
        <v>0</v>
      </c>
      <c r="R11" s="107">
        <v>0</v>
      </c>
      <c r="S11" s="107">
        <v>0</v>
      </c>
      <c r="T11" s="107">
        <v>0</v>
      </c>
      <c r="U11" s="107">
        <v>0</v>
      </c>
      <c r="V11" s="107">
        <v>0</v>
      </c>
      <c r="W11" s="107">
        <v>0</v>
      </c>
      <c r="X11" s="107">
        <v>0</v>
      </c>
      <c r="Y11" s="107">
        <v>0</v>
      </c>
      <c r="Z11" s="107">
        <v>0</v>
      </c>
      <c r="AA11" s="107">
        <v>0</v>
      </c>
      <c r="AB11" s="107">
        <v>0</v>
      </c>
      <c r="AC11" s="107">
        <v>0</v>
      </c>
      <c r="AD11" s="107">
        <v>0</v>
      </c>
      <c r="AE11" s="107">
        <v>0</v>
      </c>
      <c r="AF11" s="107">
        <v>0</v>
      </c>
      <c r="AG11" s="107">
        <v>0</v>
      </c>
      <c r="AH11" s="107">
        <v>0</v>
      </c>
      <c r="AI11" s="107">
        <v>0</v>
      </c>
      <c r="AJ11" s="107">
        <v>0</v>
      </c>
      <c r="AK11" s="107">
        <v>0</v>
      </c>
      <c r="AL11" s="107">
        <v>0</v>
      </c>
      <c r="AM11" s="107">
        <v>0</v>
      </c>
    </row>
    <row r="12" spans="1:39" customFormat="1" x14ac:dyDescent="0.15">
      <c r="A12" s="189" t="s">
        <v>202</v>
      </c>
      <c r="B12" s="107">
        <v>0</v>
      </c>
      <c r="C12" s="107">
        <v>0</v>
      </c>
      <c r="D12" s="107">
        <v>1</v>
      </c>
      <c r="E12" s="107">
        <v>0</v>
      </c>
      <c r="F12" s="107">
        <v>0</v>
      </c>
      <c r="G12" s="107">
        <v>0</v>
      </c>
      <c r="H12" s="107">
        <v>0</v>
      </c>
      <c r="I12" s="107">
        <v>1</v>
      </c>
      <c r="J12" s="107">
        <v>0</v>
      </c>
      <c r="K12" s="107">
        <v>0</v>
      </c>
      <c r="L12" s="107">
        <v>1</v>
      </c>
      <c r="M12" s="107">
        <v>0</v>
      </c>
      <c r="N12" s="107">
        <v>0</v>
      </c>
      <c r="O12" s="107">
        <v>0</v>
      </c>
      <c r="P12" s="107">
        <v>0</v>
      </c>
      <c r="Q12" s="107">
        <v>0</v>
      </c>
      <c r="R12" s="107">
        <v>0</v>
      </c>
      <c r="S12" s="107">
        <v>0</v>
      </c>
      <c r="T12" s="107">
        <v>0</v>
      </c>
      <c r="U12" s="107">
        <v>0</v>
      </c>
      <c r="V12" s="107">
        <v>0</v>
      </c>
      <c r="W12" s="107">
        <v>0</v>
      </c>
      <c r="X12" s="107">
        <v>0</v>
      </c>
      <c r="Y12" s="107">
        <v>0</v>
      </c>
      <c r="Z12" s="107">
        <v>0</v>
      </c>
      <c r="AA12" s="107">
        <v>0</v>
      </c>
      <c r="AB12" s="107">
        <v>0</v>
      </c>
      <c r="AC12" s="107">
        <v>1</v>
      </c>
      <c r="AD12" s="107">
        <v>0</v>
      </c>
      <c r="AE12" s="107">
        <v>0</v>
      </c>
      <c r="AF12" s="107">
        <v>0</v>
      </c>
      <c r="AG12" s="107">
        <v>0</v>
      </c>
      <c r="AH12" s="107">
        <v>0</v>
      </c>
      <c r="AI12" s="107">
        <v>0</v>
      </c>
      <c r="AJ12" s="107">
        <v>0</v>
      </c>
      <c r="AK12" s="107">
        <v>0</v>
      </c>
      <c r="AL12" s="107">
        <v>0</v>
      </c>
      <c r="AM12" s="107">
        <v>0</v>
      </c>
    </row>
    <row r="13" spans="1:39" customFormat="1" x14ac:dyDescent="0.15">
      <c r="A13" s="189" t="s">
        <v>203</v>
      </c>
      <c r="B13" s="107">
        <v>0</v>
      </c>
      <c r="C13" s="107">
        <v>1</v>
      </c>
      <c r="D13" s="107">
        <v>1</v>
      </c>
      <c r="E13" s="107">
        <v>0</v>
      </c>
      <c r="F13" s="107">
        <v>0</v>
      </c>
      <c r="G13" s="107">
        <v>0</v>
      </c>
      <c r="H13" s="107">
        <v>1</v>
      </c>
      <c r="I13" s="107">
        <v>0</v>
      </c>
      <c r="J13" s="107">
        <v>0</v>
      </c>
      <c r="K13" s="107">
        <v>0</v>
      </c>
      <c r="L13" s="107">
        <v>1</v>
      </c>
      <c r="M13" s="107">
        <v>1</v>
      </c>
      <c r="N13" s="107">
        <v>0</v>
      </c>
      <c r="O13" s="107">
        <v>0</v>
      </c>
      <c r="P13" s="107">
        <v>0</v>
      </c>
      <c r="Q13" s="107">
        <v>0</v>
      </c>
      <c r="R13" s="107">
        <v>0</v>
      </c>
      <c r="S13" s="107">
        <v>0</v>
      </c>
      <c r="T13" s="107">
        <v>0</v>
      </c>
      <c r="U13" s="107">
        <v>0</v>
      </c>
      <c r="V13" s="107">
        <v>0</v>
      </c>
      <c r="W13" s="107">
        <v>0</v>
      </c>
      <c r="X13" s="107">
        <v>0</v>
      </c>
      <c r="Y13" s="107">
        <v>0</v>
      </c>
      <c r="Z13" s="107">
        <v>0</v>
      </c>
      <c r="AA13" s="107">
        <v>0</v>
      </c>
      <c r="AB13" s="107">
        <v>0</v>
      </c>
      <c r="AC13" s="107">
        <v>0</v>
      </c>
      <c r="AD13" s="107">
        <v>0</v>
      </c>
      <c r="AE13" s="107">
        <v>1</v>
      </c>
      <c r="AF13" s="107">
        <v>0</v>
      </c>
      <c r="AG13" s="107">
        <v>0</v>
      </c>
      <c r="AH13" s="107">
        <v>0</v>
      </c>
      <c r="AI13" s="107">
        <v>0</v>
      </c>
      <c r="AJ13" s="107">
        <v>0</v>
      </c>
      <c r="AK13" s="107">
        <v>0</v>
      </c>
      <c r="AL13" s="107">
        <v>0</v>
      </c>
      <c r="AM13" s="107">
        <v>0</v>
      </c>
    </row>
    <row r="14" spans="1:39" customFormat="1" x14ac:dyDescent="0.15">
      <c r="A14" s="189" t="s">
        <v>204</v>
      </c>
      <c r="B14" s="107">
        <v>0</v>
      </c>
      <c r="C14" s="107">
        <v>0</v>
      </c>
      <c r="D14" s="107">
        <v>0</v>
      </c>
      <c r="E14" s="107">
        <v>0</v>
      </c>
      <c r="F14" s="107">
        <v>0</v>
      </c>
      <c r="G14" s="107">
        <v>0</v>
      </c>
      <c r="H14" s="107">
        <v>1</v>
      </c>
      <c r="I14" s="107">
        <v>1</v>
      </c>
      <c r="J14" s="107">
        <v>1</v>
      </c>
      <c r="K14" s="107">
        <v>0</v>
      </c>
      <c r="L14" s="107">
        <v>1</v>
      </c>
      <c r="M14" s="107">
        <v>0</v>
      </c>
      <c r="N14" s="107">
        <v>1</v>
      </c>
      <c r="O14" s="107">
        <v>0</v>
      </c>
      <c r="P14" s="107">
        <v>0</v>
      </c>
      <c r="Q14" s="107">
        <v>0</v>
      </c>
      <c r="R14" s="107">
        <v>0</v>
      </c>
      <c r="S14" s="107">
        <v>0</v>
      </c>
      <c r="T14" s="107">
        <v>0</v>
      </c>
      <c r="U14" s="107">
        <v>0</v>
      </c>
      <c r="V14" s="107">
        <v>1</v>
      </c>
      <c r="W14" s="107">
        <v>0</v>
      </c>
      <c r="X14" s="107">
        <v>0</v>
      </c>
      <c r="Y14" s="107">
        <v>0</v>
      </c>
      <c r="Z14" s="107">
        <v>0</v>
      </c>
      <c r="AA14" s="107">
        <v>0</v>
      </c>
      <c r="AB14" s="107">
        <v>0</v>
      </c>
      <c r="AC14" s="107">
        <v>0</v>
      </c>
      <c r="AD14" s="107">
        <v>0</v>
      </c>
      <c r="AE14" s="107">
        <v>0</v>
      </c>
      <c r="AF14" s="107">
        <v>0</v>
      </c>
      <c r="AG14" s="107">
        <v>0</v>
      </c>
      <c r="AH14" s="107">
        <v>0</v>
      </c>
      <c r="AI14" s="107">
        <v>0</v>
      </c>
      <c r="AJ14" s="107">
        <v>0</v>
      </c>
      <c r="AK14" s="107">
        <v>0</v>
      </c>
      <c r="AL14" s="107">
        <v>0</v>
      </c>
      <c r="AM14" s="107">
        <v>0</v>
      </c>
    </row>
    <row r="15" spans="1:39" customFormat="1" x14ac:dyDescent="0.15">
      <c r="A15" s="189" t="s">
        <v>205</v>
      </c>
      <c r="B15" s="107">
        <v>0</v>
      </c>
      <c r="C15" s="107">
        <v>0</v>
      </c>
      <c r="D15" s="107">
        <v>0</v>
      </c>
      <c r="E15" s="107">
        <v>0</v>
      </c>
      <c r="F15" s="107">
        <v>1</v>
      </c>
      <c r="G15" s="107">
        <v>0</v>
      </c>
      <c r="H15" s="107">
        <v>0</v>
      </c>
      <c r="I15" s="107">
        <v>0</v>
      </c>
      <c r="J15" s="107">
        <v>1</v>
      </c>
      <c r="K15" s="107">
        <v>0</v>
      </c>
      <c r="L15" s="107">
        <v>0</v>
      </c>
      <c r="M15" s="107">
        <v>0</v>
      </c>
      <c r="N15" s="107">
        <v>0</v>
      </c>
      <c r="O15" s="107">
        <v>1</v>
      </c>
      <c r="P15" s="107">
        <v>0</v>
      </c>
      <c r="Q15" s="107">
        <v>0</v>
      </c>
      <c r="R15" s="107">
        <v>0</v>
      </c>
      <c r="S15" s="107">
        <v>0</v>
      </c>
      <c r="T15" s="107">
        <v>0</v>
      </c>
      <c r="U15" s="107">
        <v>0</v>
      </c>
      <c r="V15" s="107">
        <v>0</v>
      </c>
      <c r="W15" s="107">
        <v>0</v>
      </c>
      <c r="X15" s="107">
        <v>0</v>
      </c>
      <c r="Y15" s="107">
        <v>0</v>
      </c>
      <c r="Z15" s="107">
        <v>0</v>
      </c>
      <c r="AA15" s="107">
        <v>0</v>
      </c>
      <c r="AB15" s="107">
        <v>0</v>
      </c>
      <c r="AC15" s="107">
        <v>0</v>
      </c>
      <c r="AD15" s="107">
        <v>0</v>
      </c>
      <c r="AE15" s="107">
        <v>0</v>
      </c>
      <c r="AF15" s="107">
        <v>0</v>
      </c>
      <c r="AG15" s="107">
        <v>0</v>
      </c>
      <c r="AH15" s="107">
        <v>0</v>
      </c>
      <c r="AI15" s="107">
        <v>0</v>
      </c>
      <c r="AJ15" s="107">
        <v>0</v>
      </c>
      <c r="AK15" s="107">
        <v>0</v>
      </c>
      <c r="AL15" s="107">
        <v>0</v>
      </c>
      <c r="AM15" s="107">
        <v>0</v>
      </c>
    </row>
    <row r="16" spans="1:39" customFormat="1" x14ac:dyDescent="0.15">
      <c r="A16" s="189" t="s">
        <v>206</v>
      </c>
      <c r="B16" s="107">
        <v>0</v>
      </c>
      <c r="C16" s="107">
        <v>0</v>
      </c>
      <c r="D16" s="107">
        <v>0</v>
      </c>
      <c r="E16" s="107">
        <v>0</v>
      </c>
      <c r="F16" s="107">
        <v>1</v>
      </c>
      <c r="G16" s="107">
        <v>0</v>
      </c>
      <c r="H16" s="107">
        <v>0</v>
      </c>
      <c r="I16" s="107">
        <v>1</v>
      </c>
      <c r="J16" s="107">
        <v>1</v>
      </c>
      <c r="K16" s="107">
        <v>0</v>
      </c>
      <c r="L16" s="107">
        <v>1</v>
      </c>
      <c r="M16" s="107">
        <v>0</v>
      </c>
      <c r="N16" s="107">
        <v>0</v>
      </c>
      <c r="O16" s="107">
        <v>0</v>
      </c>
      <c r="P16" s="107">
        <v>0</v>
      </c>
      <c r="Q16" s="107">
        <v>0</v>
      </c>
      <c r="R16" s="107">
        <v>1</v>
      </c>
      <c r="S16" s="107">
        <v>0</v>
      </c>
      <c r="T16" s="107">
        <v>0</v>
      </c>
      <c r="U16" s="107">
        <v>0</v>
      </c>
      <c r="V16" s="107">
        <v>0</v>
      </c>
      <c r="W16" s="107">
        <v>0</v>
      </c>
      <c r="X16" s="107">
        <v>0</v>
      </c>
      <c r="Y16" s="107">
        <v>0</v>
      </c>
      <c r="Z16" s="107">
        <v>0</v>
      </c>
      <c r="AA16" s="107">
        <v>0</v>
      </c>
      <c r="AB16" s="107">
        <v>0</v>
      </c>
      <c r="AC16" s="107">
        <v>0</v>
      </c>
      <c r="AD16" s="107">
        <v>0</v>
      </c>
      <c r="AE16" s="107">
        <v>0</v>
      </c>
      <c r="AF16" s="107">
        <v>0</v>
      </c>
      <c r="AG16" s="107">
        <v>0</v>
      </c>
      <c r="AH16" s="107">
        <v>0</v>
      </c>
      <c r="AI16" s="107">
        <v>0</v>
      </c>
      <c r="AJ16" s="107">
        <v>0</v>
      </c>
      <c r="AK16" s="107">
        <v>0</v>
      </c>
      <c r="AL16" s="107">
        <v>0</v>
      </c>
      <c r="AM16" s="107">
        <v>0</v>
      </c>
    </row>
    <row r="17" spans="1:39" customFormat="1" x14ac:dyDescent="0.15">
      <c r="A17" s="189" t="s">
        <v>207</v>
      </c>
      <c r="B17" s="107">
        <v>0</v>
      </c>
      <c r="C17" s="107">
        <v>0</v>
      </c>
      <c r="D17" s="107">
        <v>0</v>
      </c>
      <c r="E17" s="107">
        <v>0</v>
      </c>
      <c r="F17" s="107">
        <v>0</v>
      </c>
      <c r="G17" s="107">
        <v>0</v>
      </c>
      <c r="H17" s="107">
        <v>1</v>
      </c>
      <c r="I17" s="107">
        <v>0</v>
      </c>
      <c r="J17" s="107">
        <v>1</v>
      </c>
      <c r="K17" s="107">
        <v>0</v>
      </c>
      <c r="L17" s="107">
        <v>0</v>
      </c>
      <c r="M17" s="107">
        <v>0</v>
      </c>
      <c r="N17" s="107">
        <v>0</v>
      </c>
      <c r="O17" s="107">
        <v>0</v>
      </c>
      <c r="P17" s="107">
        <v>0</v>
      </c>
      <c r="Q17" s="107">
        <v>0</v>
      </c>
      <c r="R17" s="107">
        <v>0</v>
      </c>
      <c r="S17" s="107">
        <v>0</v>
      </c>
      <c r="T17" s="107">
        <v>0</v>
      </c>
      <c r="U17" s="107">
        <v>0</v>
      </c>
      <c r="V17" s="107">
        <v>0</v>
      </c>
      <c r="W17" s="107">
        <v>0</v>
      </c>
      <c r="X17" s="107">
        <v>0</v>
      </c>
      <c r="Y17" s="107">
        <v>0</v>
      </c>
      <c r="Z17" s="107">
        <v>0</v>
      </c>
      <c r="AA17" s="107">
        <v>0</v>
      </c>
      <c r="AB17" s="107">
        <v>0</v>
      </c>
      <c r="AC17" s="107">
        <v>0</v>
      </c>
      <c r="AD17" s="107">
        <v>0</v>
      </c>
      <c r="AE17" s="107">
        <v>0</v>
      </c>
      <c r="AF17" s="107">
        <v>0</v>
      </c>
      <c r="AG17" s="107">
        <v>0</v>
      </c>
      <c r="AH17" s="107">
        <v>0</v>
      </c>
      <c r="AI17" s="107">
        <v>0</v>
      </c>
      <c r="AJ17" s="107">
        <v>0</v>
      </c>
      <c r="AK17" s="107">
        <v>0</v>
      </c>
      <c r="AL17" s="107">
        <v>0</v>
      </c>
      <c r="AM17" s="107">
        <v>0</v>
      </c>
    </row>
    <row r="18" spans="1:39" customFormat="1" x14ac:dyDescent="0.15">
      <c r="A18" s="189" t="s">
        <v>208</v>
      </c>
      <c r="B18" s="107">
        <v>1</v>
      </c>
      <c r="C18" s="107">
        <v>0</v>
      </c>
      <c r="D18" s="107">
        <v>0</v>
      </c>
      <c r="E18" s="107">
        <v>0</v>
      </c>
      <c r="F18" s="107">
        <v>1</v>
      </c>
      <c r="G18" s="107">
        <v>0</v>
      </c>
      <c r="H18" s="107">
        <v>0</v>
      </c>
      <c r="I18" s="107">
        <v>0</v>
      </c>
      <c r="J18" s="107">
        <v>1</v>
      </c>
      <c r="K18" s="107">
        <v>0</v>
      </c>
      <c r="L18" s="107">
        <v>1</v>
      </c>
      <c r="M18" s="107">
        <v>0</v>
      </c>
      <c r="N18" s="107">
        <v>1</v>
      </c>
      <c r="O18" s="107">
        <v>0</v>
      </c>
      <c r="P18" s="107">
        <v>0</v>
      </c>
      <c r="Q18" s="107">
        <v>0</v>
      </c>
      <c r="R18" s="107">
        <v>0</v>
      </c>
      <c r="S18" s="107">
        <v>0</v>
      </c>
      <c r="T18" s="107">
        <v>0</v>
      </c>
      <c r="U18" s="107">
        <v>0</v>
      </c>
      <c r="V18" s="107">
        <v>1</v>
      </c>
      <c r="W18" s="107">
        <v>0</v>
      </c>
      <c r="X18" s="107">
        <v>0</v>
      </c>
      <c r="Y18" s="107">
        <v>0</v>
      </c>
      <c r="Z18" s="107">
        <v>0</v>
      </c>
      <c r="AA18" s="107">
        <v>0</v>
      </c>
      <c r="AB18" s="107">
        <v>0</v>
      </c>
      <c r="AC18" s="107">
        <v>0</v>
      </c>
      <c r="AD18" s="107">
        <v>0</v>
      </c>
      <c r="AE18" s="107">
        <v>0</v>
      </c>
      <c r="AF18" s="107">
        <v>0</v>
      </c>
      <c r="AG18" s="107">
        <v>0</v>
      </c>
      <c r="AH18" s="107">
        <v>0</v>
      </c>
      <c r="AI18" s="107">
        <v>0</v>
      </c>
      <c r="AJ18" s="107">
        <v>0</v>
      </c>
      <c r="AK18" s="107">
        <v>0</v>
      </c>
      <c r="AL18" s="107">
        <v>0</v>
      </c>
      <c r="AM18" s="107">
        <v>0</v>
      </c>
    </row>
    <row r="19" spans="1:39" customFormat="1" x14ac:dyDescent="0.15">
      <c r="A19" s="189" t="s">
        <v>209</v>
      </c>
      <c r="B19" s="107">
        <v>0</v>
      </c>
      <c r="C19" s="107">
        <v>1</v>
      </c>
      <c r="D19" s="107">
        <v>0</v>
      </c>
      <c r="E19" s="107">
        <v>1</v>
      </c>
      <c r="F19" s="107">
        <v>1</v>
      </c>
      <c r="G19" s="107">
        <v>0</v>
      </c>
      <c r="H19" s="107">
        <v>0</v>
      </c>
      <c r="I19" s="107">
        <v>1</v>
      </c>
      <c r="J19" s="107">
        <v>1</v>
      </c>
      <c r="K19" s="107">
        <v>0</v>
      </c>
      <c r="L19" s="107">
        <v>1</v>
      </c>
      <c r="M19" s="107">
        <v>0</v>
      </c>
      <c r="N19" s="107">
        <v>0</v>
      </c>
      <c r="O19" s="107">
        <v>0</v>
      </c>
      <c r="P19" s="107">
        <v>0</v>
      </c>
      <c r="Q19" s="107">
        <v>0</v>
      </c>
      <c r="R19" s="107">
        <v>0</v>
      </c>
      <c r="S19" s="107">
        <v>0</v>
      </c>
      <c r="T19" s="107">
        <v>0</v>
      </c>
      <c r="U19" s="107">
        <v>0</v>
      </c>
      <c r="V19" s="107">
        <v>0</v>
      </c>
      <c r="W19" s="107">
        <v>0</v>
      </c>
      <c r="X19" s="107">
        <v>0</v>
      </c>
      <c r="Y19" s="107">
        <v>0</v>
      </c>
      <c r="Z19" s="107">
        <v>0</v>
      </c>
      <c r="AA19" s="107">
        <v>0</v>
      </c>
      <c r="AB19" s="107">
        <v>0</v>
      </c>
      <c r="AC19" s="107">
        <v>0</v>
      </c>
      <c r="AD19" s="107">
        <v>0</v>
      </c>
      <c r="AE19" s="107">
        <v>0</v>
      </c>
      <c r="AF19" s="107">
        <v>0</v>
      </c>
      <c r="AG19" s="107">
        <v>0</v>
      </c>
      <c r="AH19" s="107">
        <v>0</v>
      </c>
      <c r="AI19" s="107">
        <v>0</v>
      </c>
      <c r="AJ19" s="107">
        <v>0</v>
      </c>
      <c r="AK19" s="107">
        <v>0</v>
      </c>
      <c r="AL19" s="107">
        <v>0</v>
      </c>
      <c r="AM19" s="107">
        <v>0</v>
      </c>
    </row>
    <row r="20" spans="1:39" customFormat="1" x14ac:dyDescent="0.15">
      <c r="A20" s="189" t="s">
        <v>210</v>
      </c>
      <c r="B20" s="107">
        <v>1</v>
      </c>
      <c r="C20" s="107">
        <v>1</v>
      </c>
      <c r="D20" s="107">
        <v>0</v>
      </c>
      <c r="E20" s="107">
        <v>1</v>
      </c>
      <c r="F20" s="107">
        <v>1</v>
      </c>
      <c r="G20" s="107">
        <v>1</v>
      </c>
      <c r="H20" s="107">
        <v>1</v>
      </c>
      <c r="I20" s="107">
        <v>1</v>
      </c>
      <c r="J20" s="107">
        <v>1</v>
      </c>
      <c r="K20" s="107">
        <v>0</v>
      </c>
      <c r="L20" s="107">
        <v>1</v>
      </c>
      <c r="M20" s="107">
        <v>0</v>
      </c>
      <c r="N20" s="107">
        <v>0</v>
      </c>
      <c r="O20" s="107">
        <v>0</v>
      </c>
      <c r="P20" s="107">
        <v>0</v>
      </c>
      <c r="Q20" s="107">
        <v>0</v>
      </c>
      <c r="R20" s="107">
        <v>0</v>
      </c>
      <c r="S20" s="107">
        <v>0</v>
      </c>
      <c r="T20" s="107">
        <v>0</v>
      </c>
      <c r="U20" s="107">
        <v>0</v>
      </c>
      <c r="V20" s="107">
        <v>1</v>
      </c>
      <c r="W20" s="107">
        <v>0</v>
      </c>
      <c r="X20" s="107">
        <v>1</v>
      </c>
      <c r="Y20" s="107">
        <v>0</v>
      </c>
      <c r="Z20" s="107">
        <v>0</v>
      </c>
      <c r="AA20" s="107">
        <v>0</v>
      </c>
      <c r="AB20" s="107">
        <v>0</v>
      </c>
      <c r="AC20" s="107">
        <v>0</v>
      </c>
      <c r="AD20" s="107">
        <v>0</v>
      </c>
      <c r="AE20" s="107">
        <v>0</v>
      </c>
      <c r="AF20" s="107">
        <v>0</v>
      </c>
      <c r="AG20" s="107">
        <v>0</v>
      </c>
      <c r="AH20" s="107">
        <v>0</v>
      </c>
      <c r="AI20" s="107">
        <v>0</v>
      </c>
      <c r="AJ20" s="107">
        <v>0</v>
      </c>
      <c r="AK20" s="107">
        <v>0</v>
      </c>
      <c r="AL20" s="107">
        <v>0</v>
      </c>
      <c r="AM20" s="107">
        <v>0</v>
      </c>
    </row>
    <row r="21" spans="1:39" customFormat="1" x14ac:dyDescent="0.15">
      <c r="A21" s="189" t="s">
        <v>211</v>
      </c>
      <c r="B21" s="107">
        <v>0</v>
      </c>
      <c r="C21" s="107">
        <v>1</v>
      </c>
      <c r="D21" s="107">
        <v>0</v>
      </c>
      <c r="E21" s="107">
        <v>1</v>
      </c>
      <c r="F21" s="107">
        <v>0</v>
      </c>
      <c r="G21" s="107">
        <v>0</v>
      </c>
      <c r="H21" s="107">
        <v>0</v>
      </c>
      <c r="I21" s="107">
        <v>1</v>
      </c>
      <c r="J21" s="107">
        <v>1</v>
      </c>
      <c r="K21" s="107">
        <v>0</v>
      </c>
      <c r="L21" s="107">
        <v>0</v>
      </c>
      <c r="M21" s="107">
        <v>0</v>
      </c>
      <c r="N21" s="107">
        <v>0</v>
      </c>
      <c r="O21" s="107">
        <v>0</v>
      </c>
      <c r="P21" s="107">
        <v>0</v>
      </c>
      <c r="Q21" s="107">
        <v>0</v>
      </c>
      <c r="R21" s="107">
        <v>0</v>
      </c>
      <c r="S21" s="107">
        <v>0</v>
      </c>
      <c r="T21" s="107">
        <v>0</v>
      </c>
      <c r="U21" s="107">
        <v>0</v>
      </c>
      <c r="V21" s="107">
        <v>0</v>
      </c>
      <c r="W21" s="107">
        <v>0</v>
      </c>
      <c r="X21" s="107">
        <v>0</v>
      </c>
      <c r="Y21" s="107">
        <v>0</v>
      </c>
      <c r="Z21" s="107">
        <v>0</v>
      </c>
      <c r="AA21" s="107">
        <v>0</v>
      </c>
      <c r="AB21" s="107">
        <v>0</v>
      </c>
      <c r="AC21" s="107">
        <v>0</v>
      </c>
      <c r="AD21" s="107">
        <v>0</v>
      </c>
      <c r="AE21" s="107">
        <v>0</v>
      </c>
      <c r="AF21" s="107">
        <v>0</v>
      </c>
      <c r="AG21" s="107">
        <v>0</v>
      </c>
      <c r="AH21" s="107">
        <v>0</v>
      </c>
      <c r="AI21" s="107">
        <v>0</v>
      </c>
      <c r="AJ21" s="107">
        <v>0</v>
      </c>
      <c r="AK21" s="107">
        <v>0</v>
      </c>
      <c r="AL21" s="107">
        <v>0</v>
      </c>
      <c r="AM21" s="107">
        <v>0</v>
      </c>
    </row>
    <row r="22" spans="1:39" customFormat="1" x14ac:dyDescent="0.15">
      <c r="A22" s="189" t="s">
        <v>212</v>
      </c>
      <c r="B22" s="107">
        <v>1</v>
      </c>
      <c r="C22" s="107">
        <v>1</v>
      </c>
      <c r="D22" s="107">
        <v>1</v>
      </c>
      <c r="E22" s="107">
        <v>1</v>
      </c>
      <c r="F22" s="107">
        <v>1</v>
      </c>
      <c r="G22" s="107">
        <v>1</v>
      </c>
      <c r="H22" s="107">
        <v>1</v>
      </c>
      <c r="I22" s="107">
        <v>1</v>
      </c>
      <c r="J22" s="107">
        <v>1</v>
      </c>
      <c r="K22" s="107">
        <v>1</v>
      </c>
      <c r="L22" s="107">
        <v>1</v>
      </c>
      <c r="M22" s="107">
        <v>1</v>
      </c>
      <c r="N22" s="107">
        <v>1</v>
      </c>
      <c r="O22" s="107">
        <v>1</v>
      </c>
      <c r="P22" s="107">
        <v>0</v>
      </c>
      <c r="Q22" s="107">
        <v>1</v>
      </c>
      <c r="R22" s="107">
        <v>1</v>
      </c>
      <c r="S22" s="107">
        <v>0</v>
      </c>
      <c r="T22" s="107">
        <v>0</v>
      </c>
      <c r="U22" s="107">
        <v>0</v>
      </c>
      <c r="V22" s="107">
        <v>1</v>
      </c>
      <c r="W22" s="107">
        <v>0</v>
      </c>
      <c r="X22" s="107">
        <v>0</v>
      </c>
      <c r="Y22" s="107">
        <v>0</v>
      </c>
      <c r="Z22" s="107">
        <v>0</v>
      </c>
      <c r="AA22" s="107">
        <v>0</v>
      </c>
      <c r="AB22" s="107">
        <v>0</v>
      </c>
      <c r="AC22" s="107">
        <v>0</v>
      </c>
      <c r="AD22" s="107">
        <v>1</v>
      </c>
      <c r="AE22" s="107">
        <v>1</v>
      </c>
      <c r="AF22" s="107">
        <v>0</v>
      </c>
      <c r="AG22" s="107">
        <v>0</v>
      </c>
      <c r="AH22" s="107">
        <v>0</v>
      </c>
      <c r="AI22" s="107">
        <v>0</v>
      </c>
      <c r="AJ22" s="107">
        <v>0</v>
      </c>
      <c r="AK22" s="107">
        <v>0</v>
      </c>
      <c r="AL22" s="107">
        <v>0</v>
      </c>
      <c r="AM22" s="107">
        <v>0</v>
      </c>
    </row>
    <row r="23" spans="1:39" customFormat="1" x14ac:dyDescent="0.15">
      <c r="A23" s="189" t="s">
        <v>213</v>
      </c>
      <c r="B23" s="107">
        <v>0</v>
      </c>
      <c r="C23" s="107">
        <v>0</v>
      </c>
      <c r="D23" s="107">
        <v>0</v>
      </c>
      <c r="E23" s="107">
        <v>0</v>
      </c>
      <c r="F23" s="107">
        <v>0</v>
      </c>
      <c r="G23" s="107">
        <v>0</v>
      </c>
      <c r="H23" s="107">
        <v>1</v>
      </c>
      <c r="I23" s="107">
        <v>0</v>
      </c>
      <c r="J23" s="107">
        <v>0</v>
      </c>
      <c r="K23" s="107">
        <v>0</v>
      </c>
      <c r="L23" s="107">
        <v>0</v>
      </c>
      <c r="M23" s="107">
        <v>0</v>
      </c>
      <c r="N23" s="107">
        <v>0</v>
      </c>
      <c r="O23" s="107">
        <v>0</v>
      </c>
      <c r="P23" s="107">
        <v>1</v>
      </c>
      <c r="Q23" s="107">
        <v>0</v>
      </c>
      <c r="R23" s="107">
        <v>1</v>
      </c>
      <c r="S23" s="107">
        <v>0</v>
      </c>
      <c r="T23" s="107">
        <v>0</v>
      </c>
      <c r="U23" s="107">
        <v>0</v>
      </c>
      <c r="V23" s="107">
        <v>0</v>
      </c>
      <c r="W23" s="107">
        <v>1</v>
      </c>
      <c r="X23" s="107">
        <v>1</v>
      </c>
      <c r="Y23" s="107">
        <v>0</v>
      </c>
      <c r="Z23" s="107">
        <v>0</v>
      </c>
      <c r="AA23" s="107">
        <v>0</v>
      </c>
      <c r="AB23" s="107">
        <v>0</v>
      </c>
      <c r="AC23" s="107">
        <v>0</v>
      </c>
      <c r="AD23" s="107">
        <v>0</v>
      </c>
      <c r="AE23" s="107">
        <v>0</v>
      </c>
      <c r="AF23" s="107">
        <v>0</v>
      </c>
      <c r="AG23" s="107">
        <v>0</v>
      </c>
      <c r="AH23" s="107">
        <v>0</v>
      </c>
      <c r="AI23" s="107">
        <v>0</v>
      </c>
      <c r="AJ23" s="107">
        <v>0</v>
      </c>
      <c r="AK23" s="107">
        <v>0</v>
      </c>
      <c r="AL23" s="107">
        <v>0</v>
      </c>
      <c r="AM23" s="107">
        <v>0</v>
      </c>
    </row>
    <row r="24" spans="1:39" customFormat="1" x14ac:dyDescent="0.15">
      <c r="A24" s="189" t="s">
        <v>214</v>
      </c>
      <c r="B24" s="107">
        <v>1</v>
      </c>
      <c r="C24" s="107">
        <v>0</v>
      </c>
      <c r="D24" s="107">
        <v>0</v>
      </c>
      <c r="E24" s="107">
        <v>0</v>
      </c>
      <c r="F24" s="107">
        <v>1</v>
      </c>
      <c r="G24" s="107">
        <v>1</v>
      </c>
      <c r="H24" s="107">
        <v>1</v>
      </c>
      <c r="I24" s="107">
        <v>1</v>
      </c>
      <c r="J24" s="107">
        <v>0</v>
      </c>
      <c r="K24" s="107">
        <v>0</v>
      </c>
      <c r="L24" s="107">
        <v>1</v>
      </c>
      <c r="M24" s="107">
        <v>1</v>
      </c>
      <c r="N24" s="107">
        <v>0</v>
      </c>
      <c r="O24" s="107">
        <v>0</v>
      </c>
      <c r="P24" s="107">
        <v>0</v>
      </c>
      <c r="Q24" s="107">
        <v>1</v>
      </c>
      <c r="R24" s="107">
        <v>0</v>
      </c>
      <c r="S24" s="107">
        <v>0</v>
      </c>
      <c r="T24" s="107">
        <v>0</v>
      </c>
      <c r="U24" s="107">
        <v>0</v>
      </c>
      <c r="V24" s="107">
        <v>0</v>
      </c>
      <c r="W24" s="107">
        <v>0</v>
      </c>
      <c r="X24" s="107">
        <v>1</v>
      </c>
      <c r="Y24" s="107">
        <v>0</v>
      </c>
      <c r="Z24" s="107">
        <v>0</v>
      </c>
      <c r="AA24" s="107">
        <v>0</v>
      </c>
      <c r="AB24" s="107">
        <v>0</v>
      </c>
      <c r="AC24" s="107">
        <v>0</v>
      </c>
      <c r="AD24" s="107">
        <v>0</v>
      </c>
      <c r="AE24" s="107">
        <v>0</v>
      </c>
      <c r="AF24" s="107">
        <v>0</v>
      </c>
      <c r="AG24" s="107">
        <v>0</v>
      </c>
      <c r="AH24" s="107">
        <v>0</v>
      </c>
      <c r="AI24" s="107">
        <v>0</v>
      </c>
      <c r="AJ24" s="107">
        <v>0</v>
      </c>
      <c r="AK24" s="107">
        <v>0</v>
      </c>
      <c r="AL24" s="107">
        <v>0</v>
      </c>
      <c r="AM24" s="107">
        <v>0</v>
      </c>
    </row>
    <row r="25" spans="1:39" customFormat="1" x14ac:dyDescent="0.15">
      <c r="A25" s="189" t="s">
        <v>215</v>
      </c>
      <c r="B25" s="107">
        <v>0</v>
      </c>
      <c r="C25" s="107">
        <v>0</v>
      </c>
      <c r="D25" s="107">
        <v>1</v>
      </c>
      <c r="E25" s="107">
        <v>0</v>
      </c>
      <c r="F25" s="107">
        <v>0</v>
      </c>
      <c r="G25" s="107">
        <v>0</v>
      </c>
      <c r="H25" s="107">
        <v>0</v>
      </c>
      <c r="I25" s="107">
        <v>0</v>
      </c>
      <c r="J25" s="107">
        <v>1</v>
      </c>
      <c r="K25" s="107">
        <v>0</v>
      </c>
      <c r="L25" s="107">
        <v>1</v>
      </c>
      <c r="M25" s="107">
        <v>1</v>
      </c>
      <c r="N25" s="107">
        <v>0</v>
      </c>
      <c r="O25" s="107">
        <v>1</v>
      </c>
      <c r="P25" s="107">
        <v>1</v>
      </c>
      <c r="Q25" s="107">
        <v>0</v>
      </c>
      <c r="R25" s="107">
        <v>1</v>
      </c>
      <c r="S25" s="107">
        <v>1</v>
      </c>
      <c r="T25" s="107">
        <v>0</v>
      </c>
      <c r="U25" s="107">
        <v>1</v>
      </c>
      <c r="V25" s="107">
        <v>0</v>
      </c>
      <c r="W25" s="107">
        <v>0</v>
      </c>
      <c r="X25" s="107">
        <v>0</v>
      </c>
      <c r="Y25" s="107">
        <v>0</v>
      </c>
      <c r="Z25" s="107">
        <v>0</v>
      </c>
      <c r="AA25" s="107">
        <v>1</v>
      </c>
      <c r="AB25" s="107">
        <v>0</v>
      </c>
      <c r="AC25" s="107">
        <v>1</v>
      </c>
      <c r="AD25" s="107">
        <v>1</v>
      </c>
      <c r="AE25" s="107">
        <v>0</v>
      </c>
      <c r="AF25" s="107">
        <v>0</v>
      </c>
      <c r="AG25" s="107">
        <v>0</v>
      </c>
      <c r="AH25" s="107">
        <v>0</v>
      </c>
      <c r="AI25" s="107">
        <v>0</v>
      </c>
      <c r="AJ25" s="107">
        <v>0</v>
      </c>
      <c r="AK25" s="107">
        <v>0</v>
      </c>
      <c r="AL25" s="107">
        <v>0</v>
      </c>
      <c r="AM25" s="107">
        <v>0</v>
      </c>
    </row>
    <row r="26" spans="1:39" customFormat="1" x14ac:dyDescent="0.15">
      <c r="A26" s="189" t="s">
        <v>216</v>
      </c>
      <c r="B26" s="107">
        <v>0</v>
      </c>
      <c r="C26" s="107">
        <v>0</v>
      </c>
      <c r="D26" s="107">
        <v>1</v>
      </c>
      <c r="E26" s="107">
        <v>1</v>
      </c>
      <c r="F26" s="107">
        <v>1</v>
      </c>
      <c r="G26" s="107">
        <v>1</v>
      </c>
      <c r="H26" s="107">
        <v>0</v>
      </c>
      <c r="I26" s="107">
        <v>0</v>
      </c>
      <c r="J26" s="107">
        <v>1</v>
      </c>
      <c r="K26" s="107">
        <v>0</v>
      </c>
      <c r="L26" s="107">
        <v>1</v>
      </c>
      <c r="M26" s="107">
        <v>1</v>
      </c>
      <c r="N26" s="107">
        <v>1</v>
      </c>
      <c r="O26" s="107">
        <v>0</v>
      </c>
      <c r="P26" s="107">
        <v>1</v>
      </c>
      <c r="Q26" s="107">
        <v>0</v>
      </c>
      <c r="R26" s="107">
        <v>1</v>
      </c>
      <c r="S26" s="107">
        <v>1</v>
      </c>
      <c r="T26" s="107">
        <v>0</v>
      </c>
      <c r="U26" s="107">
        <v>1</v>
      </c>
      <c r="V26" s="107">
        <v>1</v>
      </c>
      <c r="W26" s="107">
        <v>0</v>
      </c>
      <c r="X26" s="107">
        <v>0</v>
      </c>
      <c r="Y26" s="107">
        <v>0</v>
      </c>
      <c r="Z26" s="107">
        <v>0</v>
      </c>
      <c r="AA26" s="107">
        <v>1</v>
      </c>
      <c r="AB26" s="107">
        <v>0</v>
      </c>
      <c r="AC26" s="107">
        <v>1</v>
      </c>
      <c r="AD26" s="107">
        <v>1</v>
      </c>
      <c r="AE26" s="107">
        <v>0</v>
      </c>
      <c r="AF26" s="107">
        <v>0</v>
      </c>
      <c r="AG26" s="107">
        <v>0</v>
      </c>
      <c r="AH26" s="107">
        <v>0</v>
      </c>
      <c r="AI26" s="107">
        <v>0</v>
      </c>
      <c r="AJ26" s="107">
        <v>0</v>
      </c>
      <c r="AK26" s="107">
        <v>0</v>
      </c>
      <c r="AL26" s="107">
        <v>0</v>
      </c>
      <c r="AM26" s="107">
        <v>0</v>
      </c>
    </row>
    <row r="27" spans="1:39" customFormat="1" x14ac:dyDescent="0.15">
      <c r="A27" s="189" t="s">
        <v>217</v>
      </c>
      <c r="B27" s="107">
        <v>0</v>
      </c>
      <c r="C27" s="107">
        <v>0</v>
      </c>
      <c r="D27" s="107">
        <v>0</v>
      </c>
      <c r="E27" s="107">
        <v>0</v>
      </c>
      <c r="F27" s="107">
        <v>1</v>
      </c>
      <c r="G27" s="107">
        <v>0</v>
      </c>
      <c r="H27" s="107">
        <v>0</v>
      </c>
      <c r="I27" s="107">
        <v>0</v>
      </c>
      <c r="J27" s="107">
        <v>0</v>
      </c>
      <c r="K27" s="107">
        <v>0</v>
      </c>
      <c r="L27" s="107">
        <v>1</v>
      </c>
      <c r="M27" s="107">
        <v>0</v>
      </c>
      <c r="N27" s="107">
        <v>1</v>
      </c>
      <c r="O27" s="107">
        <v>0</v>
      </c>
      <c r="P27" s="107">
        <v>0</v>
      </c>
      <c r="Q27" s="107">
        <v>0</v>
      </c>
      <c r="R27" s="107">
        <v>0</v>
      </c>
      <c r="S27" s="107">
        <v>1</v>
      </c>
      <c r="T27" s="107">
        <v>0</v>
      </c>
      <c r="U27" s="107">
        <v>0</v>
      </c>
      <c r="V27" s="107">
        <v>1</v>
      </c>
      <c r="W27" s="107">
        <v>0</v>
      </c>
      <c r="X27" s="107">
        <v>0</v>
      </c>
      <c r="Y27" s="107">
        <v>0</v>
      </c>
      <c r="Z27" s="107">
        <v>0</v>
      </c>
      <c r="AA27" s="107">
        <v>1</v>
      </c>
      <c r="AB27" s="107">
        <v>0</v>
      </c>
      <c r="AC27" s="107">
        <v>1</v>
      </c>
      <c r="AD27" s="107">
        <v>0</v>
      </c>
      <c r="AE27" s="107">
        <v>0</v>
      </c>
      <c r="AF27" s="107">
        <v>0</v>
      </c>
      <c r="AG27" s="107">
        <v>0</v>
      </c>
      <c r="AH27" s="107">
        <v>0</v>
      </c>
      <c r="AI27" s="107">
        <v>0</v>
      </c>
      <c r="AJ27" s="107">
        <v>0</v>
      </c>
      <c r="AK27" s="107">
        <v>0</v>
      </c>
      <c r="AL27" s="107">
        <v>0</v>
      </c>
      <c r="AM27" s="107">
        <v>0</v>
      </c>
    </row>
    <row r="28" spans="1:39" customFormat="1" x14ac:dyDescent="0.15">
      <c r="A28" s="189" t="s">
        <v>218</v>
      </c>
      <c r="B28" s="107">
        <v>0</v>
      </c>
      <c r="C28" s="107">
        <v>0</v>
      </c>
      <c r="D28" s="107">
        <v>0</v>
      </c>
      <c r="E28" s="107">
        <v>0</v>
      </c>
      <c r="F28" s="107">
        <v>0</v>
      </c>
      <c r="G28" s="107">
        <v>0</v>
      </c>
      <c r="H28" s="107">
        <v>0</v>
      </c>
      <c r="I28" s="107">
        <v>0</v>
      </c>
      <c r="J28" s="107">
        <v>0</v>
      </c>
      <c r="K28" s="107">
        <v>0</v>
      </c>
      <c r="L28" s="107">
        <v>0</v>
      </c>
      <c r="M28" s="107">
        <v>0</v>
      </c>
      <c r="N28" s="107">
        <v>0</v>
      </c>
      <c r="O28" s="107">
        <v>0</v>
      </c>
      <c r="P28" s="107">
        <v>1</v>
      </c>
      <c r="Q28" s="107">
        <v>0</v>
      </c>
      <c r="R28" s="107">
        <v>0</v>
      </c>
      <c r="S28" s="107">
        <v>1</v>
      </c>
      <c r="T28" s="107">
        <v>0</v>
      </c>
      <c r="U28" s="107">
        <v>0</v>
      </c>
      <c r="V28" s="107">
        <v>0</v>
      </c>
      <c r="W28" s="107">
        <v>0</v>
      </c>
      <c r="X28" s="107">
        <v>0</v>
      </c>
      <c r="Y28" s="107">
        <v>0</v>
      </c>
      <c r="Z28" s="107">
        <v>0</v>
      </c>
      <c r="AA28" s="107">
        <v>1</v>
      </c>
      <c r="AB28" s="107">
        <v>0</v>
      </c>
      <c r="AC28" s="107">
        <v>0</v>
      </c>
      <c r="AD28" s="107">
        <v>0</v>
      </c>
      <c r="AE28" s="107">
        <v>0</v>
      </c>
      <c r="AF28" s="107">
        <v>0</v>
      </c>
      <c r="AG28" s="107">
        <v>0</v>
      </c>
      <c r="AH28" s="107">
        <v>0</v>
      </c>
      <c r="AI28" s="107">
        <v>0</v>
      </c>
      <c r="AJ28" s="107">
        <v>0</v>
      </c>
      <c r="AK28" s="107">
        <v>0</v>
      </c>
      <c r="AL28" s="107">
        <v>0</v>
      </c>
      <c r="AM28" s="107">
        <v>0</v>
      </c>
    </row>
    <row r="29" spans="1:39" customFormat="1" x14ac:dyDescent="0.15">
      <c r="A29" s="189" t="s">
        <v>219</v>
      </c>
      <c r="B29" s="107">
        <v>0</v>
      </c>
      <c r="C29" s="107">
        <v>0</v>
      </c>
      <c r="D29" s="107">
        <v>0</v>
      </c>
      <c r="E29" s="107">
        <v>0</v>
      </c>
      <c r="F29" s="107">
        <v>1</v>
      </c>
      <c r="G29" s="107">
        <v>0</v>
      </c>
      <c r="H29" s="107">
        <v>0</v>
      </c>
      <c r="I29" s="107">
        <v>0</v>
      </c>
      <c r="J29" s="107">
        <v>0</v>
      </c>
      <c r="K29" s="107">
        <v>0</v>
      </c>
      <c r="L29" s="107">
        <v>0</v>
      </c>
      <c r="M29" s="107">
        <v>0</v>
      </c>
      <c r="N29" s="107">
        <v>0</v>
      </c>
      <c r="O29" s="107">
        <v>0</v>
      </c>
      <c r="P29" s="107">
        <v>0</v>
      </c>
      <c r="Q29" s="107">
        <v>0</v>
      </c>
      <c r="R29" s="107">
        <v>0</v>
      </c>
      <c r="S29" s="107">
        <v>0</v>
      </c>
      <c r="T29" s="107">
        <v>0</v>
      </c>
      <c r="U29" s="107">
        <v>0</v>
      </c>
      <c r="V29" s="107">
        <v>1</v>
      </c>
      <c r="W29" s="107">
        <v>0</v>
      </c>
      <c r="X29" s="107">
        <v>0</v>
      </c>
      <c r="Y29" s="107">
        <v>0</v>
      </c>
      <c r="Z29" s="107">
        <v>0</v>
      </c>
      <c r="AA29" s="107">
        <v>1</v>
      </c>
      <c r="AB29" s="107">
        <v>0</v>
      </c>
      <c r="AC29" s="107">
        <v>0</v>
      </c>
      <c r="AD29" s="107">
        <v>0</v>
      </c>
      <c r="AE29" s="107">
        <v>0</v>
      </c>
      <c r="AF29" s="107">
        <v>0</v>
      </c>
      <c r="AG29" s="107">
        <v>0</v>
      </c>
      <c r="AH29" s="107">
        <v>0</v>
      </c>
      <c r="AI29" s="107">
        <v>0</v>
      </c>
      <c r="AJ29" s="107">
        <v>0</v>
      </c>
      <c r="AK29" s="107">
        <v>0</v>
      </c>
      <c r="AL29" s="107">
        <v>0</v>
      </c>
      <c r="AM29" s="107">
        <v>0</v>
      </c>
    </row>
    <row r="30" spans="1:39" customFormat="1" x14ac:dyDescent="0.15">
      <c r="A30" s="189" t="s">
        <v>220</v>
      </c>
      <c r="B30" s="107">
        <v>0</v>
      </c>
      <c r="C30" s="107">
        <v>1</v>
      </c>
      <c r="D30" s="107">
        <v>1</v>
      </c>
      <c r="E30" s="107">
        <v>0</v>
      </c>
      <c r="F30" s="107">
        <v>1</v>
      </c>
      <c r="G30" s="107">
        <v>0</v>
      </c>
      <c r="H30" s="107">
        <v>0</v>
      </c>
      <c r="I30" s="107">
        <v>1</v>
      </c>
      <c r="J30" s="107">
        <v>1</v>
      </c>
      <c r="K30" s="107">
        <v>0</v>
      </c>
      <c r="L30" s="107">
        <v>1</v>
      </c>
      <c r="M30" s="107">
        <v>1</v>
      </c>
      <c r="N30" s="107">
        <v>0</v>
      </c>
      <c r="O30" s="107">
        <v>0</v>
      </c>
      <c r="P30" s="107">
        <v>0</v>
      </c>
      <c r="Q30" s="107">
        <v>0</v>
      </c>
      <c r="R30" s="107">
        <v>1</v>
      </c>
      <c r="S30" s="107">
        <v>0</v>
      </c>
      <c r="T30" s="107">
        <v>0</v>
      </c>
      <c r="U30" s="107">
        <v>0</v>
      </c>
      <c r="V30" s="107">
        <v>1</v>
      </c>
      <c r="W30" s="107">
        <v>0</v>
      </c>
      <c r="X30" s="107">
        <v>0</v>
      </c>
      <c r="Y30" s="107">
        <v>0</v>
      </c>
      <c r="Z30" s="107">
        <v>0</v>
      </c>
      <c r="AA30" s="107">
        <v>0</v>
      </c>
      <c r="AB30" s="107">
        <v>0</v>
      </c>
      <c r="AC30" s="107">
        <v>0</v>
      </c>
      <c r="AD30" s="107">
        <v>1</v>
      </c>
      <c r="AE30" s="107">
        <v>0</v>
      </c>
      <c r="AF30" s="107">
        <v>0</v>
      </c>
      <c r="AG30" s="107">
        <v>0</v>
      </c>
      <c r="AH30" s="107">
        <v>0</v>
      </c>
      <c r="AI30" s="107">
        <v>0</v>
      </c>
      <c r="AJ30" s="107">
        <v>0</v>
      </c>
      <c r="AK30" s="107">
        <v>0</v>
      </c>
      <c r="AL30" s="107">
        <v>0</v>
      </c>
      <c r="AM30" s="107">
        <v>0</v>
      </c>
    </row>
    <row r="31" spans="1:39" customFormat="1" x14ac:dyDescent="0.15">
      <c r="A31" s="189" t="s">
        <v>221</v>
      </c>
      <c r="B31" s="107">
        <v>0</v>
      </c>
      <c r="C31" s="107">
        <v>1</v>
      </c>
      <c r="D31" s="107">
        <v>1</v>
      </c>
      <c r="E31" s="107">
        <v>1</v>
      </c>
      <c r="F31" s="107">
        <v>1</v>
      </c>
      <c r="G31" s="107">
        <v>1</v>
      </c>
      <c r="H31" s="107">
        <v>0</v>
      </c>
      <c r="I31" s="107">
        <v>1</v>
      </c>
      <c r="J31" s="107">
        <v>0</v>
      </c>
      <c r="K31" s="107">
        <v>1</v>
      </c>
      <c r="L31" s="107">
        <v>1</v>
      </c>
      <c r="M31" s="107">
        <v>1</v>
      </c>
      <c r="N31" s="107">
        <v>1</v>
      </c>
      <c r="O31" s="107">
        <v>1</v>
      </c>
      <c r="P31" s="107">
        <v>0</v>
      </c>
      <c r="Q31" s="107">
        <v>1</v>
      </c>
      <c r="R31" s="107">
        <v>1</v>
      </c>
      <c r="S31" s="107">
        <v>0</v>
      </c>
      <c r="T31" s="107">
        <v>0</v>
      </c>
      <c r="U31" s="107">
        <v>0</v>
      </c>
      <c r="V31" s="107">
        <v>0</v>
      </c>
      <c r="W31" s="107">
        <v>0</v>
      </c>
      <c r="X31" s="107">
        <v>0</v>
      </c>
      <c r="Y31" s="107">
        <v>0</v>
      </c>
      <c r="Z31" s="107">
        <v>0</v>
      </c>
      <c r="AA31" s="107">
        <v>0</v>
      </c>
      <c r="AB31" s="107">
        <v>0</v>
      </c>
      <c r="AC31" s="107">
        <v>0</v>
      </c>
      <c r="AD31" s="107">
        <v>0</v>
      </c>
      <c r="AE31" s="107">
        <v>0</v>
      </c>
      <c r="AF31" s="107">
        <v>0</v>
      </c>
      <c r="AG31" s="107">
        <v>0</v>
      </c>
      <c r="AH31" s="107">
        <v>0</v>
      </c>
      <c r="AI31" s="107">
        <v>0</v>
      </c>
      <c r="AJ31" s="107">
        <v>0</v>
      </c>
      <c r="AK31" s="107">
        <v>0</v>
      </c>
      <c r="AL31" s="107">
        <v>0</v>
      </c>
      <c r="AM31" s="107">
        <v>0</v>
      </c>
    </row>
    <row r="32" spans="1:39" x14ac:dyDescent="0.15">
      <c r="A32" s="189" t="s">
        <v>222</v>
      </c>
      <c r="B32" s="107">
        <v>0</v>
      </c>
      <c r="C32" s="107">
        <v>1</v>
      </c>
      <c r="D32" s="107">
        <v>1</v>
      </c>
      <c r="E32" s="107">
        <v>1</v>
      </c>
      <c r="F32" s="107">
        <v>1</v>
      </c>
      <c r="G32" s="107">
        <v>1</v>
      </c>
      <c r="H32" s="107">
        <v>0</v>
      </c>
      <c r="I32" s="107">
        <v>1</v>
      </c>
      <c r="J32" s="107">
        <v>1</v>
      </c>
      <c r="K32" s="107">
        <v>1</v>
      </c>
      <c r="L32" s="107">
        <v>1</v>
      </c>
      <c r="M32" s="107">
        <v>1</v>
      </c>
      <c r="N32" s="107">
        <v>1</v>
      </c>
      <c r="O32" s="107">
        <v>1</v>
      </c>
      <c r="P32" s="107">
        <v>0</v>
      </c>
      <c r="Q32" s="107">
        <v>1</v>
      </c>
      <c r="R32" s="107">
        <v>1</v>
      </c>
      <c r="S32" s="107">
        <v>0</v>
      </c>
      <c r="T32" s="107">
        <v>0</v>
      </c>
      <c r="U32" s="107">
        <v>0</v>
      </c>
      <c r="V32" s="107">
        <v>1</v>
      </c>
      <c r="W32" s="107">
        <v>0</v>
      </c>
      <c r="X32" s="107">
        <v>1</v>
      </c>
      <c r="Y32" s="107">
        <v>0</v>
      </c>
      <c r="Z32" s="107">
        <v>0</v>
      </c>
      <c r="AA32" s="107">
        <v>1</v>
      </c>
      <c r="AB32" s="107">
        <v>0</v>
      </c>
      <c r="AC32" s="107">
        <v>0</v>
      </c>
      <c r="AD32" s="107">
        <v>1</v>
      </c>
      <c r="AE32" s="107">
        <v>0</v>
      </c>
      <c r="AF32" s="107">
        <v>0</v>
      </c>
      <c r="AG32" s="107">
        <v>0</v>
      </c>
      <c r="AH32" s="107">
        <v>0</v>
      </c>
      <c r="AI32" s="107">
        <v>0</v>
      </c>
      <c r="AJ32" s="107">
        <v>0</v>
      </c>
      <c r="AK32" s="107">
        <v>0</v>
      </c>
      <c r="AL32" s="107">
        <v>0</v>
      </c>
      <c r="AM32" s="107">
        <v>0</v>
      </c>
    </row>
    <row r="33" spans="1:39" x14ac:dyDescent="0.15">
      <c r="A33" s="189" t="s">
        <v>223</v>
      </c>
      <c r="B33" s="107">
        <v>0</v>
      </c>
      <c r="C33" s="107">
        <v>1</v>
      </c>
      <c r="D33" s="107">
        <v>1</v>
      </c>
      <c r="E33" s="107">
        <v>1</v>
      </c>
      <c r="F33" s="107">
        <v>1</v>
      </c>
      <c r="G33" s="107">
        <v>1</v>
      </c>
      <c r="H33" s="107">
        <v>0</v>
      </c>
      <c r="I33" s="107">
        <v>0</v>
      </c>
      <c r="J33" s="107">
        <v>0</v>
      </c>
      <c r="K33" s="107">
        <v>1</v>
      </c>
      <c r="L33" s="107">
        <v>1</v>
      </c>
      <c r="M33" s="107">
        <v>1</v>
      </c>
      <c r="N33" s="107">
        <v>1</v>
      </c>
      <c r="O33" s="107">
        <v>1</v>
      </c>
      <c r="P33" s="107">
        <v>1</v>
      </c>
      <c r="Q33" s="107">
        <v>0</v>
      </c>
      <c r="R33" s="107">
        <v>0</v>
      </c>
      <c r="S33" s="107">
        <v>1</v>
      </c>
      <c r="T33" s="107">
        <v>1</v>
      </c>
      <c r="U33" s="107">
        <v>1</v>
      </c>
      <c r="V33" s="107">
        <v>1</v>
      </c>
      <c r="W33" s="107">
        <v>0</v>
      </c>
      <c r="X33" s="107">
        <v>0</v>
      </c>
      <c r="Y33" s="107">
        <v>0</v>
      </c>
      <c r="Z33" s="107">
        <v>0</v>
      </c>
      <c r="AA33" s="107">
        <v>1</v>
      </c>
      <c r="AB33" s="107">
        <v>0</v>
      </c>
      <c r="AC33" s="107">
        <v>0</v>
      </c>
      <c r="AD33" s="107">
        <v>1</v>
      </c>
      <c r="AE33" s="107">
        <v>0</v>
      </c>
      <c r="AF33" s="107">
        <v>1</v>
      </c>
      <c r="AG33" s="107">
        <v>1</v>
      </c>
      <c r="AH33" s="107">
        <v>0</v>
      </c>
      <c r="AI33" s="107">
        <v>0</v>
      </c>
      <c r="AJ33" s="107">
        <v>0</v>
      </c>
      <c r="AK33" s="107">
        <v>0</v>
      </c>
      <c r="AL33" s="107">
        <v>0</v>
      </c>
      <c r="AM33" s="107">
        <v>0</v>
      </c>
    </row>
    <row r="34" spans="1:39" x14ac:dyDescent="0.15">
      <c r="A34" s="189" t="s">
        <v>224</v>
      </c>
      <c r="B34" s="107">
        <v>0</v>
      </c>
      <c r="C34" s="107">
        <v>1</v>
      </c>
      <c r="D34" s="107">
        <v>1</v>
      </c>
      <c r="E34" s="107">
        <v>1</v>
      </c>
      <c r="F34" s="107">
        <v>1</v>
      </c>
      <c r="G34" s="107">
        <v>1</v>
      </c>
      <c r="H34" s="107">
        <v>0</v>
      </c>
      <c r="I34" s="107">
        <v>1</v>
      </c>
      <c r="J34" s="107">
        <v>1</v>
      </c>
      <c r="K34" s="107">
        <v>1</v>
      </c>
      <c r="L34" s="107">
        <v>1</v>
      </c>
      <c r="M34" s="107">
        <v>1</v>
      </c>
      <c r="N34" s="107">
        <v>1</v>
      </c>
      <c r="O34" s="107">
        <v>1</v>
      </c>
      <c r="P34" s="107">
        <v>1</v>
      </c>
      <c r="Q34" s="107">
        <v>1</v>
      </c>
      <c r="R34" s="107">
        <v>1</v>
      </c>
      <c r="S34" s="107">
        <v>1</v>
      </c>
      <c r="T34" s="107">
        <v>1</v>
      </c>
      <c r="U34" s="107">
        <v>1</v>
      </c>
      <c r="V34" s="107">
        <v>1</v>
      </c>
      <c r="W34" s="107">
        <v>0</v>
      </c>
      <c r="X34" s="107">
        <v>0</v>
      </c>
      <c r="Y34" s="107">
        <v>0</v>
      </c>
      <c r="Z34" s="107">
        <v>0</v>
      </c>
      <c r="AA34" s="107">
        <v>1</v>
      </c>
      <c r="AB34" s="107">
        <v>0</v>
      </c>
      <c r="AC34" s="107">
        <v>1</v>
      </c>
      <c r="AD34" s="107">
        <v>1</v>
      </c>
      <c r="AE34" s="107">
        <v>0</v>
      </c>
      <c r="AF34" s="107">
        <v>1</v>
      </c>
      <c r="AG34" s="107">
        <v>1</v>
      </c>
      <c r="AH34" s="107">
        <v>1</v>
      </c>
      <c r="AI34" s="107">
        <v>1</v>
      </c>
      <c r="AJ34" s="107">
        <v>0</v>
      </c>
      <c r="AK34" s="107">
        <v>0</v>
      </c>
      <c r="AL34" s="107">
        <v>0</v>
      </c>
      <c r="AM34" s="107">
        <v>0</v>
      </c>
    </row>
    <row r="35" spans="1:39" x14ac:dyDescent="0.15">
      <c r="A35" s="189" t="s">
        <v>225</v>
      </c>
      <c r="B35" s="107">
        <v>1</v>
      </c>
      <c r="C35" s="107">
        <v>0</v>
      </c>
      <c r="D35" s="107">
        <v>1</v>
      </c>
      <c r="E35" s="107">
        <v>1</v>
      </c>
      <c r="F35" s="107">
        <v>1</v>
      </c>
      <c r="G35" s="107">
        <v>1</v>
      </c>
      <c r="H35" s="107">
        <v>0</v>
      </c>
      <c r="I35" s="107">
        <v>0</v>
      </c>
      <c r="J35" s="107">
        <v>1</v>
      </c>
      <c r="K35" s="107">
        <v>1</v>
      </c>
      <c r="L35" s="107">
        <v>1</v>
      </c>
      <c r="M35" s="107">
        <v>1</v>
      </c>
      <c r="N35" s="107">
        <v>1</v>
      </c>
      <c r="O35" s="107">
        <v>1</v>
      </c>
      <c r="P35" s="107">
        <v>1</v>
      </c>
      <c r="Q35" s="107">
        <v>0</v>
      </c>
      <c r="R35" s="107">
        <v>1</v>
      </c>
      <c r="S35" s="107">
        <v>1</v>
      </c>
      <c r="T35" s="107">
        <v>1</v>
      </c>
      <c r="U35" s="107">
        <v>1</v>
      </c>
      <c r="V35" s="107">
        <v>1</v>
      </c>
      <c r="W35" s="107">
        <v>1</v>
      </c>
      <c r="X35" s="107">
        <v>1</v>
      </c>
      <c r="Y35" s="107">
        <v>0</v>
      </c>
      <c r="Z35" s="107">
        <v>1</v>
      </c>
      <c r="AA35" s="107">
        <v>1</v>
      </c>
      <c r="AB35" s="107">
        <v>1</v>
      </c>
      <c r="AC35" s="107">
        <v>0</v>
      </c>
      <c r="AD35" s="107">
        <v>0</v>
      </c>
      <c r="AE35" s="107">
        <v>0</v>
      </c>
      <c r="AF35" s="107">
        <v>0</v>
      </c>
      <c r="AG35" s="107">
        <v>0</v>
      </c>
      <c r="AH35" s="107">
        <v>0</v>
      </c>
      <c r="AI35" s="107">
        <v>1</v>
      </c>
      <c r="AJ35" s="107">
        <v>0</v>
      </c>
      <c r="AK35" s="107">
        <v>0</v>
      </c>
      <c r="AL35" s="107">
        <v>0</v>
      </c>
      <c r="AM35" s="107">
        <v>0</v>
      </c>
    </row>
    <row r="36" spans="1:39" x14ac:dyDescent="0.15">
      <c r="A36" s="189" t="s">
        <v>226</v>
      </c>
      <c r="B36" s="107">
        <v>0</v>
      </c>
      <c r="C36" s="107">
        <v>0</v>
      </c>
      <c r="D36" s="107">
        <v>0</v>
      </c>
      <c r="E36" s="107">
        <v>0</v>
      </c>
      <c r="F36" s="107">
        <v>0</v>
      </c>
      <c r="G36" s="107">
        <v>0</v>
      </c>
      <c r="H36" s="107">
        <v>0</v>
      </c>
      <c r="I36" s="107">
        <v>0</v>
      </c>
      <c r="J36" s="107">
        <v>1</v>
      </c>
      <c r="K36" s="107">
        <v>0</v>
      </c>
      <c r="L36" s="107">
        <v>0</v>
      </c>
      <c r="M36" s="107">
        <v>0</v>
      </c>
      <c r="N36" s="107">
        <v>1</v>
      </c>
      <c r="O36" s="107">
        <v>0</v>
      </c>
      <c r="P36" s="107">
        <v>0</v>
      </c>
      <c r="Q36" s="107">
        <v>0</v>
      </c>
      <c r="R36" s="107">
        <v>0</v>
      </c>
      <c r="S36" s="107">
        <v>0</v>
      </c>
      <c r="T36" s="107">
        <v>1</v>
      </c>
      <c r="U36" s="107">
        <v>0</v>
      </c>
      <c r="V36" s="107">
        <v>0</v>
      </c>
      <c r="W36" s="107">
        <v>0</v>
      </c>
      <c r="X36" s="107">
        <v>0</v>
      </c>
      <c r="Y36" s="107">
        <v>0</v>
      </c>
      <c r="Z36" s="107">
        <v>1</v>
      </c>
      <c r="AA36" s="107">
        <v>1</v>
      </c>
      <c r="AB36" s="107">
        <v>1</v>
      </c>
      <c r="AC36" s="107">
        <v>0</v>
      </c>
      <c r="AD36" s="107">
        <v>0</v>
      </c>
      <c r="AE36" s="107">
        <v>0</v>
      </c>
      <c r="AF36" s="107">
        <v>1</v>
      </c>
      <c r="AG36" s="107">
        <v>0</v>
      </c>
      <c r="AH36" s="107">
        <v>1</v>
      </c>
      <c r="AI36" s="107">
        <v>1</v>
      </c>
      <c r="AJ36" s="107">
        <v>0</v>
      </c>
      <c r="AK36" s="107">
        <v>0</v>
      </c>
      <c r="AL36" s="107">
        <v>0</v>
      </c>
      <c r="AM36" s="107">
        <v>0</v>
      </c>
    </row>
    <row r="37" spans="1:39" x14ac:dyDescent="0.15">
      <c r="A37" s="189" t="s">
        <v>227</v>
      </c>
      <c r="B37" s="107">
        <v>0</v>
      </c>
      <c r="C37" s="107">
        <v>0</v>
      </c>
      <c r="D37" s="107">
        <v>1</v>
      </c>
      <c r="E37" s="107">
        <v>1</v>
      </c>
      <c r="F37" s="107">
        <v>1</v>
      </c>
      <c r="G37" s="107">
        <v>0</v>
      </c>
      <c r="H37" s="107">
        <v>0</v>
      </c>
      <c r="I37" s="107">
        <v>0</v>
      </c>
      <c r="J37" s="107">
        <v>1</v>
      </c>
      <c r="K37" s="107">
        <v>0</v>
      </c>
      <c r="L37" s="107">
        <v>1</v>
      </c>
      <c r="M37" s="107">
        <v>1</v>
      </c>
      <c r="N37" s="107">
        <v>1</v>
      </c>
      <c r="O37" s="107">
        <v>0</v>
      </c>
      <c r="P37" s="107">
        <v>1</v>
      </c>
      <c r="Q37" s="107">
        <v>0</v>
      </c>
      <c r="R37" s="107">
        <v>1</v>
      </c>
      <c r="S37" s="107">
        <v>0</v>
      </c>
      <c r="T37" s="107">
        <v>0</v>
      </c>
      <c r="U37" s="107">
        <v>1</v>
      </c>
      <c r="V37" s="107">
        <v>1</v>
      </c>
      <c r="W37" s="107">
        <v>0</v>
      </c>
      <c r="X37" s="107">
        <v>0</v>
      </c>
      <c r="Y37" s="107">
        <v>1</v>
      </c>
      <c r="Z37" s="107">
        <v>0</v>
      </c>
      <c r="AA37" s="107">
        <v>1</v>
      </c>
      <c r="AB37" s="107">
        <v>1</v>
      </c>
      <c r="AC37" s="107">
        <v>1</v>
      </c>
      <c r="AD37" s="107">
        <v>1</v>
      </c>
      <c r="AE37" s="107">
        <v>0</v>
      </c>
      <c r="AF37" s="107">
        <v>1</v>
      </c>
      <c r="AG37" s="107">
        <v>1</v>
      </c>
      <c r="AH37" s="107">
        <v>0</v>
      </c>
      <c r="AI37" s="107">
        <v>0</v>
      </c>
      <c r="AJ37" s="107">
        <v>0</v>
      </c>
      <c r="AK37" s="107">
        <v>0</v>
      </c>
      <c r="AL37" s="107">
        <v>0</v>
      </c>
      <c r="AM37" s="107">
        <v>0</v>
      </c>
    </row>
    <row r="38" spans="1:39" x14ac:dyDescent="0.15">
      <c r="A38" s="189" t="s">
        <v>228</v>
      </c>
      <c r="B38" s="107">
        <v>0</v>
      </c>
      <c r="C38" s="107">
        <v>0</v>
      </c>
      <c r="D38" s="107">
        <v>0</v>
      </c>
      <c r="E38" s="107">
        <v>0</v>
      </c>
      <c r="F38" s="107">
        <v>0</v>
      </c>
      <c r="G38" s="107">
        <v>0</v>
      </c>
      <c r="H38" s="107">
        <v>0</v>
      </c>
      <c r="I38" s="107">
        <v>0</v>
      </c>
      <c r="J38" s="107">
        <v>1</v>
      </c>
      <c r="K38" s="107">
        <v>0</v>
      </c>
      <c r="L38" s="107">
        <v>0</v>
      </c>
      <c r="M38" s="107">
        <v>0</v>
      </c>
      <c r="N38" s="107">
        <v>0</v>
      </c>
      <c r="O38" s="107">
        <v>0</v>
      </c>
      <c r="P38" s="107">
        <v>0</v>
      </c>
      <c r="Q38" s="107">
        <v>0</v>
      </c>
      <c r="R38" s="107">
        <v>0</v>
      </c>
      <c r="S38" s="107">
        <v>1</v>
      </c>
      <c r="T38" s="107">
        <v>0</v>
      </c>
      <c r="U38" s="107">
        <v>1</v>
      </c>
      <c r="V38" s="107">
        <v>1</v>
      </c>
      <c r="W38" s="107">
        <v>1</v>
      </c>
      <c r="X38" s="107">
        <v>0</v>
      </c>
      <c r="Y38" s="107">
        <v>1</v>
      </c>
      <c r="Z38" s="107">
        <v>1</v>
      </c>
      <c r="AA38" s="107">
        <v>1</v>
      </c>
      <c r="AB38" s="107">
        <v>1</v>
      </c>
      <c r="AC38" s="107">
        <v>0</v>
      </c>
      <c r="AD38" s="107">
        <v>1</v>
      </c>
      <c r="AE38" s="107">
        <v>1</v>
      </c>
      <c r="AF38" s="107">
        <v>1</v>
      </c>
      <c r="AG38" s="107">
        <v>1</v>
      </c>
      <c r="AH38" s="107">
        <v>1</v>
      </c>
      <c r="AI38" s="107">
        <v>1</v>
      </c>
      <c r="AJ38" s="107">
        <v>0</v>
      </c>
      <c r="AK38" s="107">
        <v>0</v>
      </c>
      <c r="AL38" s="107">
        <v>0</v>
      </c>
      <c r="AM38" s="107">
        <v>0</v>
      </c>
    </row>
    <row r="39" spans="1:39" x14ac:dyDescent="0.15">
      <c r="A39" s="189" t="s">
        <v>229</v>
      </c>
      <c r="B39" s="107">
        <v>0</v>
      </c>
      <c r="C39" s="107">
        <v>0</v>
      </c>
      <c r="D39" s="107">
        <v>0</v>
      </c>
      <c r="E39" s="107">
        <v>0</v>
      </c>
      <c r="F39" s="107">
        <v>0</v>
      </c>
      <c r="G39" s="107">
        <v>0</v>
      </c>
      <c r="H39" s="107">
        <v>0</v>
      </c>
      <c r="I39" s="107">
        <v>0</v>
      </c>
      <c r="J39" s="107">
        <v>0</v>
      </c>
      <c r="K39" s="107">
        <v>0</v>
      </c>
      <c r="L39" s="107">
        <v>0</v>
      </c>
      <c r="M39" s="107">
        <v>0</v>
      </c>
      <c r="N39" s="107">
        <v>0</v>
      </c>
      <c r="O39" s="107">
        <v>0</v>
      </c>
      <c r="P39" s="107">
        <v>0</v>
      </c>
      <c r="Q39" s="107">
        <v>0</v>
      </c>
      <c r="R39" s="107">
        <v>0</v>
      </c>
      <c r="S39" s="107">
        <v>0</v>
      </c>
      <c r="T39" s="107">
        <v>0</v>
      </c>
      <c r="U39" s="107">
        <v>0</v>
      </c>
      <c r="V39" s="107">
        <v>0</v>
      </c>
      <c r="W39" s="107">
        <v>0</v>
      </c>
      <c r="X39" s="107">
        <v>0</v>
      </c>
      <c r="Y39" s="107">
        <v>0</v>
      </c>
      <c r="Z39" s="107">
        <v>0</v>
      </c>
      <c r="AA39" s="107">
        <v>0</v>
      </c>
      <c r="AB39" s="107">
        <v>0</v>
      </c>
      <c r="AC39" s="107">
        <v>0</v>
      </c>
      <c r="AD39" s="107">
        <v>0</v>
      </c>
      <c r="AE39" s="107">
        <v>0</v>
      </c>
      <c r="AF39" s="107">
        <v>0</v>
      </c>
      <c r="AG39" s="107">
        <v>0</v>
      </c>
      <c r="AH39" s="107">
        <v>0</v>
      </c>
      <c r="AI39" s="107">
        <v>0</v>
      </c>
      <c r="AJ39" s="107">
        <v>0</v>
      </c>
      <c r="AK39" s="107">
        <v>0</v>
      </c>
      <c r="AL39" s="107">
        <v>0</v>
      </c>
      <c r="AM39" s="107">
        <v>0</v>
      </c>
    </row>
    <row r="40" spans="1:39" x14ac:dyDescent="0.15">
      <c r="A40" s="189" t="s">
        <v>232</v>
      </c>
      <c r="B40" s="107">
        <v>0</v>
      </c>
      <c r="C40" s="107">
        <v>0</v>
      </c>
      <c r="D40" s="107">
        <v>0</v>
      </c>
      <c r="E40" s="107">
        <v>0</v>
      </c>
      <c r="F40" s="107">
        <v>0</v>
      </c>
      <c r="G40" s="107">
        <v>0</v>
      </c>
      <c r="H40" s="107">
        <v>0</v>
      </c>
      <c r="I40" s="107">
        <v>0</v>
      </c>
      <c r="J40" s="107">
        <v>0</v>
      </c>
      <c r="K40" s="107">
        <v>0</v>
      </c>
      <c r="L40" s="107">
        <v>0</v>
      </c>
      <c r="M40" s="107">
        <v>0</v>
      </c>
      <c r="N40" s="107">
        <v>0</v>
      </c>
      <c r="O40" s="107">
        <v>0</v>
      </c>
      <c r="P40" s="107">
        <v>0</v>
      </c>
      <c r="Q40" s="107">
        <v>0</v>
      </c>
      <c r="R40" s="107">
        <v>0</v>
      </c>
      <c r="S40" s="107">
        <v>0</v>
      </c>
      <c r="T40" s="107">
        <v>0</v>
      </c>
      <c r="U40" s="107">
        <v>0</v>
      </c>
      <c r="V40" s="107">
        <v>0</v>
      </c>
      <c r="W40" s="107">
        <v>0</v>
      </c>
      <c r="X40" s="107">
        <v>0</v>
      </c>
      <c r="Y40" s="107">
        <v>0</v>
      </c>
      <c r="Z40" s="107">
        <v>0</v>
      </c>
      <c r="AA40" s="107">
        <v>0</v>
      </c>
      <c r="AB40" s="107">
        <v>0</v>
      </c>
      <c r="AC40" s="107">
        <v>0</v>
      </c>
      <c r="AD40" s="107">
        <v>0</v>
      </c>
      <c r="AE40" s="107">
        <v>0</v>
      </c>
      <c r="AF40" s="107">
        <v>0</v>
      </c>
      <c r="AG40" s="107">
        <v>0</v>
      </c>
      <c r="AH40" s="107">
        <v>0</v>
      </c>
      <c r="AI40" s="107">
        <v>0</v>
      </c>
      <c r="AJ40" s="107">
        <v>0</v>
      </c>
      <c r="AK40" s="107">
        <v>0</v>
      </c>
      <c r="AL40" s="107">
        <v>0</v>
      </c>
      <c r="AM40" s="10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D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.5" bestFit="1" customWidth="1"/>
    <col min="3" max="4" width="3.83203125" bestFit="1" customWidth="1"/>
  </cols>
  <sheetData>
    <row r="1" spans="1:4" ht="112" x14ac:dyDescent="0.15">
      <c r="A1" s="5" t="s">
        <v>83</v>
      </c>
      <c r="B1" s="3" t="s">
        <v>0</v>
      </c>
      <c r="C1" s="192" t="s">
        <v>230</v>
      </c>
      <c r="D1" s="192" t="s">
        <v>231</v>
      </c>
    </row>
    <row r="2" spans="1:4" x14ac:dyDescent="0.15">
      <c r="A2">
        <v>1</v>
      </c>
      <c r="B2" s="191" t="s">
        <v>192</v>
      </c>
      <c r="C2">
        <v>0</v>
      </c>
      <c r="D2">
        <v>0</v>
      </c>
    </row>
    <row r="3" spans="1:4" x14ac:dyDescent="0.15">
      <c r="A3">
        <v>2</v>
      </c>
      <c r="B3" s="191" t="s">
        <v>193</v>
      </c>
      <c r="C3">
        <v>0.8</v>
      </c>
      <c r="D3">
        <v>0.8</v>
      </c>
    </row>
    <row r="4" spans="1:4" x14ac:dyDescent="0.15">
      <c r="A4">
        <v>3</v>
      </c>
      <c r="B4" s="191" t="s">
        <v>194</v>
      </c>
      <c r="C4">
        <v>0.8</v>
      </c>
      <c r="D4">
        <v>0</v>
      </c>
    </row>
    <row r="5" spans="1:4" x14ac:dyDescent="0.15">
      <c r="A5">
        <v>4</v>
      </c>
      <c r="B5" s="191" t="s">
        <v>195</v>
      </c>
      <c r="C5">
        <v>0.8</v>
      </c>
      <c r="D5">
        <v>0.8</v>
      </c>
    </row>
    <row r="6" spans="1:4" x14ac:dyDescent="0.15">
      <c r="A6">
        <v>5</v>
      </c>
      <c r="B6" s="191" t="s">
        <v>196</v>
      </c>
      <c r="C6">
        <v>0.8</v>
      </c>
      <c r="D6">
        <v>0.8</v>
      </c>
    </row>
    <row r="7" spans="1:4" x14ac:dyDescent="0.15">
      <c r="A7">
        <v>6</v>
      </c>
      <c r="B7" s="191" t="s">
        <v>197</v>
      </c>
      <c r="C7">
        <v>0.8</v>
      </c>
      <c r="D7">
        <v>0</v>
      </c>
    </row>
    <row r="8" spans="1:4" x14ac:dyDescent="0.15">
      <c r="A8">
        <v>7</v>
      </c>
      <c r="B8" s="191" t="s">
        <v>198</v>
      </c>
      <c r="C8">
        <v>0.8</v>
      </c>
      <c r="D8">
        <v>0.8</v>
      </c>
    </row>
    <row r="9" spans="1:4" x14ac:dyDescent="0.15">
      <c r="A9">
        <v>8</v>
      </c>
      <c r="B9" s="191" t="s">
        <v>199</v>
      </c>
      <c r="C9">
        <v>0.8</v>
      </c>
      <c r="D9">
        <v>0</v>
      </c>
    </row>
    <row r="10" spans="1:4" x14ac:dyDescent="0.15">
      <c r="A10">
        <v>9</v>
      </c>
      <c r="B10" s="191" t="s">
        <v>200</v>
      </c>
      <c r="C10">
        <v>0.8</v>
      </c>
      <c r="D10">
        <v>0</v>
      </c>
    </row>
    <row r="11" spans="1:4" x14ac:dyDescent="0.15">
      <c r="A11">
        <v>10</v>
      </c>
      <c r="B11" s="191" t="s">
        <v>201</v>
      </c>
      <c r="C11">
        <v>0.8</v>
      </c>
      <c r="D11">
        <v>0</v>
      </c>
    </row>
    <row r="12" spans="1:4" x14ac:dyDescent="0.15">
      <c r="A12">
        <v>11</v>
      </c>
      <c r="B12" s="191" t="s">
        <v>202</v>
      </c>
      <c r="C12">
        <v>0.8</v>
      </c>
      <c r="D12">
        <v>0</v>
      </c>
    </row>
    <row r="13" spans="1:4" x14ac:dyDescent="0.15">
      <c r="A13">
        <v>12</v>
      </c>
      <c r="B13" s="191" t="s">
        <v>203</v>
      </c>
      <c r="C13">
        <v>0.8</v>
      </c>
      <c r="D13">
        <v>0</v>
      </c>
    </row>
    <row r="14" spans="1:4" x14ac:dyDescent="0.15">
      <c r="A14">
        <v>13</v>
      </c>
      <c r="B14" s="191" t="s">
        <v>204</v>
      </c>
      <c r="C14">
        <v>0.8</v>
      </c>
      <c r="D14">
        <v>0.8</v>
      </c>
    </row>
    <row r="15" spans="1:4" x14ac:dyDescent="0.15">
      <c r="A15">
        <v>14</v>
      </c>
      <c r="B15" s="191" t="s">
        <v>205</v>
      </c>
      <c r="C15">
        <v>0.8</v>
      </c>
      <c r="D15">
        <v>0</v>
      </c>
    </row>
    <row r="16" spans="1:4" x14ac:dyDescent="0.15">
      <c r="A16">
        <v>15</v>
      </c>
      <c r="B16" s="191" t="s">
        <v>206</v>
      </c>
      <c r="C16">
        <v>0.8</v>
      </c>
      <c r="D16">
        <v>0</v>
      </c>
    </row>
    <row r="17" spans="1:4" x14ac:dyDescent="0.15">
      <c r="A17">
        <v>16</v>
      </c>
      <c r="B17" s="191" t="s">
        <v>207</v>
      </c>
      <c r="C17">
        <v>0.8</v>
      </c>
      <c r="D17">
        <v>0</v>
      </c>
    </row>
    <row r="18" spans="1:4" x14ac:dyDescent="0.15">
      <c r="A18">
        <v>17</v>
      </c>
      <c r="B18" s="191" t="s">
        <v>208</v>
      </c>
      <c r="C18">
        <v>0.8</v>
      </c>
      <c r="D18">
        <v>0</v>
      </c>
    </row>
    <row r="19" spans="1:4" x14ac:dyDescent="0.15">
      <c r="A19">
        <v>18</v>
      </c>
      <c r="B19" s="191" t="s">
        <v>209</v>
      </c>
      <c r="C19">
        <v>0.8</v>
      </c>
      <c r="D19">
        <v>0.8</v>
      </c>
    </row>
    <row r="20" spans="1:4" x14ac:dyDescent="0.15">
      <c r="A20">
        <v>19</v>
      </c>
      <c r="B20" s="191" t="s">
        <v>210</v>
      </c>
      <c r="C20">
        <v>0.8</v>
      </c>
      <c r="D20">
        <v>0.8</v>
      </c>
    </row>
    <row r="21" spans="1:4" x14ac:dyDescent="0.15">
      <c r="A21">
        <v>20</v>
      </c>
      <c r="B21" s="191" t="s">
        <v>211</v>
      </c>
      <c r="C21">
        <v>0.8</v>
      </c>
      <c r="D21">
        <v>0.8</v>
      </c>
    </row>
    <row r="22" spans="1:4" x14ac:dyDescent="0.15">
      <c r="A22">
        <v>21</v>
      </c>
      <c r="B22" s="191" t="s">
        <v>212</v>
      </c>
      <c r="C22">
        <v>0.8</v>
      </c>
      <c r="D22">
        <v>0</v>
      </c>
    </row>
    <row r="23" spans="1:4" x14ac:dyDescent="0.15">
      <c r="A23">
        <v>22</v>
      </c>
      <c r="B23" s="191" t="s">
        <v>213</v>
      </c>
      <c r="C23">
        <v>0.8</v>
      </c>
      <c r="D23">
        <v>0</v>
      </c>
    </row>
    <row r="24" spans="1:4" x14ac:dyDescent="0.15">
      <c r="A24">
        <v>23</v>
      </c>
      <c r="B24" s="191" t="s">
        <v>214</v>
      </c>
      <c r="C24">
        <v>0.8</v>
      </c>
      <c r="D24">
        <v>0.8</v>
      </c>
    </row>
    <row r="25" spans="1:4" x14ac:dyDescent="0.15">
      <c r="A25">
        <v>24</v>
      </c>
      <c r="B25" s="191" t="s">
        <v>215</v>
      </c>
      <c r="C25">
        <v>0.8</v>
      </c>
      <c r="D25">
        <v>0.8</v>
      </c>
    </row>
    <row r="26" spans="1:4" x14ac:dyDescent="0.15">
      <c r="A26">
        <v>25</v>
      </c>
      <c r="B26" s="191" t="s">
        <v>216</v>
      </c>
      <c r="C26">
        <v>0</v>
      </c>
      <c r="D26">
        <v>0.8</v>
      </c>
    </row>
    <row r="27" spans="1:4" x14ac:dyDescent="0.15">
      <c r="A27">
        <v>26</v>
      </c>
      <c r="B27" s="191" t="s">
        <v>217</v>
      </c>
      <c r="C27">
        <v>0.8</v>
      </c>
      <c r="D27">
        <v>0</v>
      </c>
    </row>
    <row r="28" spans="1:4" x14ac:dyDescent="0.15">
      <c r="A28">
        <v>27</v>
      </c>
      <c r="B28" s="191" t="s">
        <v>218</v>
      </c>
      <c r="C28">
        <v>0.8</v>
      </c>
      <c r="D28">
        <v>0</v>
      </c>
    </row>
    <row r="29" spans="1:4" x14ac:dyDescent="0.15">
      <c r="A29">
        <v>28</v>
      </c>
      <c r="B29" s="191" t="s">
        <v>219</v>
      </c>
      <c r="C29">
        <v>0.8</v>
      </c>
      <c r="D29">
        <v>0.8</v>
      </c>
    </row>
    <row r="30" spans="1:4" x14ac:dyDescent="0.15">
      <c r="A30">
        <v>29</v>
      </c>
      <c r="B30" s="191" t="s">
        <v>220</v>
      </c>
      <c r="C30">
        <v>0.8</v>
      </c>
      <c r="D30">
        <v>0.8</v>
      </c>
    </row>
    <row r="31" spans="1:4" x14ac:dyDescent="0.15">
      <c r="A31">
        <v>30</v>
      </c>
      <c r="B31" s="191" t="s">
        <v>221</v>
      </c>
      <c r="C31">
        <v>0.8</v>
      </c>
      <c r="D31">
        <v>0</v>
      </c>
    </row>
    <row r="32" spans="1:4" x14ac:dyDescent="0.15">
      <c r="A32">
        <v>31</v>
      </c>
      <c r="B32" s="191" t="s">
        <v>222</v>
      </c>
      <c r="C32">
        <v>0.8</v>
      </c>
      <c r="D32">
        <v>0.8</v>
      </c>
    </row>
    <row r="33" spans="1:4" x14ac:dyDescent="0.15">
      <c r="A33">
        <v>32</v>
      </c>
      <c r="B33" s="191" t="s">
        <v>223</v>
      </c>
      <c r="C33">
        <v>0.8</v>
      </c>
      <c r="D33">
        <v>0</v>
      </c>
    </row>
    <row r="34" spans="1:4" x14ac:dyDescent="0.15">
      <c r="A34">
        <v>33</v>
      </c>
      <c r="B34" s="191" t="s">
        <v>224</v>
      </c>
      <c r="C34">
        <v>0.8</v>
      </c>
      <c r="D34">
        <v>0</v>
      </c>
    </row>
    <row r="35" spans="1:4" x14ac:dyDescent="0.15">
      <c r="A35">
        <v>34</v>
      </c>
      <c r="B35" s="191" t="s">
        <v>225</v>
      </c>
      <c r="C35">
        <v>0</v>
      </c>
      <c r="D35">
        <v>0</v>
      </c>
    </row>
    <row r="36" spans="1:4" x14ac:dyDescent="0.15">
      <c r="A36">
        <v>35</v>
      </c>
      <c r="B36" s="191" t="s">
        <v>226</v>
      </c>
      <c r="C36">
        <v>0</v>
      </c>
      <c r="D36">
        <v>0</v>
      </c>
    </row>
    <row r="37" spans="1:4" x14ac:dyDescent="0.15">
      <c r="A37">
        <v>36</v>
      </c>
      <c r="B37" s="191" t="s">
        <v>227</v>
      </c>
      <c r="C37">
        <v>0</v>
      </c>
      <c r="D37">
        <v>0</v>
      </c>
    </row>
    <row r="38" spans="1:4" x14ac:dyDescent="0.15">
      <c r="A38">
        <v>37</v>
      </c>
      <c r="B38" s="191" t="s">
        <v>228</v>
      </c>
      <c r="C38">
        <v>0</v>
      </c>
      <c r="D38">
        <v>0</v>
      </c>
    </row>
    <row r="39" spans="1:4" x14ac:dyDescent="0.15">
      <c r="A39">
        <v>38</v>
      </c>
      <c r="B39" s="191" t="s">
        <v>229</v>
      </c>
      <c r="C39">
        <v>0</v>
      </c>
      <c r="D39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D39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.5" bestFit="1" customWidth="1"/>
    <col min="3" max="4" width="3.83203125" bestFit="1" customWidth="1"/>
  </cols>
  <sheetData>
    <row r="1" spans="1:4" ht="112" x14ac:dyDescent="0.15">
      <c r="A1" s="5" t="s">
        <v>82</v>
      </c>
      <c r="B1" s="3" t="s">
        <v>0</v>
      </c>
      <c r="C1" s="194" t="s">
        <v>230</v>
      </c>
      <c r="D1" s="194" t="s">
        <v>231</v>
      </c>
    </row>
    <row r="2" spans="1:4" x14ac:dyDescent="0.15">
      <c r="A2">
        <v>1</v>
      </c>
      <c r="B2" s="193" t="s">
        <v>192</v>
      </c>
      <c r="C2">
        <v>0</v>
      </c>
      <c r="D2">
        <v>0</v>
      </c>
    </row>
    <row r="3" spans="1:4" x14ac:dyDescent="0.15">
      <c r="A3">
        <v>2</v>
      </c>
      <c r="B3" s="193" t="s">
        <v>193</v>
      </c>
      <c r="C3">
        <v>0.8</v>
      </c>
      <c r="D3">
        <v>0.8</v>
      </c>
    </row>
    <row r="4" spans="1:4" x14ac:dyDescent="0.15">
      <c r="A4">
        <v>3</v>
      </c>
      <c r="B4" s="193" t="s">
        <v>194</v>
      </c>
      <c r="C4">
        <v>0.8</v>
      </c>
      <c r="D4">
        <v>0</v>
      </c>
    </row>
    <row r="5" spans="1:4" x14ac:dyDescent="0.15">
      <c r="A5">
        <v>4</v>
      </c>
      <c r="B5" s="193" t="s">
        <v>195</v>
      </c>
      <c r="C5">
        <v>0.8</v>
      </c>
      <c r="D5">
        <v>0.8</v>
      </c>
    </row>
    <row r="6" spans="1:4" x14ac:dyDescent="0.15">
      <c r="A6">
        <v>5</v>
      </c>
      <c r="B6" s="193" t="s">
        <v>196</v>
      </c>
      <c r="C6">
        <v>0.8</v>
      </c>
      <c r="D6">
        <v>0.8</v>
      </c>
    </row>
    <row r="7" spans="1:4" x14ac:dyDescent="0.15">
      <c r="A7">
        <v>6</v>
      </c>
      <c r="B7" s="193" t="s">
        <v>197</v>
      </c>
      <c r="C7">
        <v>0.8</v>
      </c>
      <c r="D7">
        <v>0</v>
      </c>
    </row>
    <row r="8" spans="1:4" x14ac:dyDescent="0.15">
      <c r="A8">
        <v>7</v>
      </c>
      <c r="B8" s="193" t="s">
        <v>198</v>
      </c>
      <c r="C8">
        <v>0.8</v>
      </c>
      <c r="D8">
        <v>0.8</v>
      </c>
    </row>
    <row r="9" spans="1:4" x14ac:dyDescent="0.15">
      <c r="A9">
        <v>8</v>
      </c>
      <c r="B9" s="193" t="s">
        <v>199</v>
      </c>
      <c r="C9">
        <v>0.8</v>
      </c>
      <c r="D9">
        <v>0</v>
      </c>
    </row>
    <row r="10" spans="1:4" x14ac:dyDescent="0.15">
      <c r="A10">
        <v>9</v>
      </c>
      <c r="B10" s="193" t="s">
        <v>200</v>
      </c>
      <c r="C10">
        <v>0.8</v>
      </c>
      <c r="D10">
        <v>0</v>
      </c>
    </row>
    <row r="11" spans="1:4" x14ac:dyDescent="0.15">
      <c r="A11">
        <v>10</v>
      </c>
      <c r="B11" s="193" t="s">
        <v>201</v>
      </c>
      <c r="C11">
        <v>0.8</v>
      </c>
      <c r="D11">
        <v>0</v>
      </c>
    </row>
    <row r="12" spans="1:4" x14ac:dyDescent="0.15">
      <c r="A12">
        <v>11</v>
      </c>
      <c r="B12" s="193" t="s">
        <v>202</v>
      </c>
      <c r="C12">
        <v>0.8</v>
      </c>
      <c r="D12">
        <v>0</v>
      </c>
    </row>
    <row r="13" spans="1:4" x14ac:dyDescent="0.15">
      <c r="A13">
        <v>12</v>
      </c>
      <c r="B13" s="193" t="s">
        <v>203</v>
      </c>
      <c r="C13">
        <v>0.8</v>
      </c>
      <c r="D13">
        <v>0</v>
      </c>
    </row>
    <row r="14" spans="1:4" x14ac:dyDescent="0.15">
      <c r="A14">
        <v>13</v>
      </c>
      <c r="B14" s="193" t="s">
        <v>204</v>
      </c>
      <c r="C14">
        <v>0.8</v>
      </c>
      <c r="D14">
        <v>0.8</v>
      </c>
    </row>
    <row r="15" spans="1:4" x14ac:dyDescent="0.15">
      <c r="A15">
        <v>14</v>
      </c>
      <c r="B15" s="193" t="s">
        <v>205</v>
      </c>
      <c r="C15">
        <v>0.8</v>
      </c>
      <c r="D15">
        <v>0</v>
      </c>
    </row>
    <row r="16" spans="1:4" x14ac:dyDescent="0.15">
      <c r="A16">
        <v>15</v>
      </c>
      <c r="B16" s="193" t="s">
        <v>206</v>
      </c>
      <c r="C16">
        <v>0.8</v>
      </c>
      <c r="D16">
        <v>0</v>
      </c>
    </row>
    <row r="17" spans="1:4" x14ac:dyDescent="0.15">
      <c r="A17">
        <v>16</v>
      </c>
      <c r="B17" s="193" t="s">
        <v>207</v>
      </c>
      <c r="C17">
        <v>0.8</v>
      </c>
      <c r="D17">
        <v>0</v>
      </c>
    </row>
    <row r="18" spans="1:4" x14ac:dyDescent="0.15">
      <c r="A18">
        <v>17</v>
      </c>
      <c r="B18" s="193" t="s">
        <v>208</v>
      </c>
      <c r="C18">
        <v>0.8</v>
      </c>
      <c r="D18">
        <v>0</v>
      </c>
    </row>
    <row r="19" spans="1:4" x14ac:dyDescent="0.15">
      <c r="A19">
        <v>18</v>
      </c>
      <c r="B19" s="193" t="s">
        <v>209</v>
      </c>
      <c r="C19">
        <v>0.8</v>
      </c>
      <c r="D19">
        <v>0.8</v>
      </c>
    </row>
    <row r="20" spans="1:4" x14ac:dyDescent="0.15">
      <c r="A20">
        <v>19</v>
      </c>
      <c r="B20" s="193" t="s">
        <v>210</v>
      </c>
      <c r="C20">
        <v>0.8</v>
      </c>
      <c r="D20">
        <v>0.8</v>
      </c>
    </row>
    <row r="21" spans="1:4" x14ac:dyDescent="0.15">
      <c r="A21">
        <v>20</v>
      </c>
      <c r="B21" s="193" t="s">
        <v>211</v>
      </c>
      <c r="C21">
        <v>0.8</v>
      </c>
      <c r="D21">
        <v>0.8</v>
      </c>
    </row>
    <row r="22" spans="1:4" x14ac:dyDescent="0.15">
      <c r="A22">
        <v>21</v>
      </c>
      <c r="B22" s="193" t="s">
        <v>212</v>
      </c>
      <c r="C22">
        <v>0.8</v>
      </c>
      <c r="D22">
        <v>0</v>
      </c>
    </row>
    <row r="23" spans="1:4" x14ac:dyDescent="0.15">
      <c r="A23">
        <v>22</v>
      </c>
      <c r="B23" s="193" t="s">
        <v>213</v>
      </c>
      <c r="C23">
        <v>0.8</v>
      </c>
      <c r="D23">
        <v>0</v>
      </c>
    </row>
    <row r="24" spans="1:4" x14ac:dyDescent="0.15">
      <c r="A24">
        <v>23</v>
      </c>
      <c r="B24" s="193" t="s">
        <v>214</v>
      </c>
      <c r="C24">
        <v>0.8</v>
      </c>
      <c r="D24">
        <v>0.8</v>
      </c>
    </row>
    <row r="25" spans="1:4" x14ac:dyDescent="0.15">
      <c r="A25">
        <v>24</v>
      </c>
      <c r="B25" s="193" t="s">
        <v>215</v>
      </c>
      <c r="C25">
        <v>0.8</v>
      </c>
      <c r="D25">
        <v>0.8</v>
      </c>
    </row>
    <row r="26" spans="1:4" x14ac:dyDescent="0.15">
      <c r="A26">
        <v>25</v>
      </c>
      <c r="B26" s="193" t="s">
        <v>216</v>
      </c>
      <c r="C26">
        <v>0</v>
      </c>
      <c r="D26">
        <v>0.8</v>
      </c>
    </row>
    <row r="27" spans="1:4" x14ac:dyDescent="0.15">
      <c r="A27">
        <v>26</v>
      </c>
      <c r="B27" s="193" t="s">
        <v>217</v>
      </c>
      <c r="C27">
        <v>0.8</v>
      </c>
      <c r="D27">
        <v>0</v>
      </c>
    </row>
    <row r="28" spans="1:4" x14ac:dyDescent="0.15">
      <c r="A28">
        <v>27</v>
      </c>
      <c r="B28" s="193" t="s">
        <v>218</v>
      </c>
      <c r="C28">
        <v>0.8</v>
      </c>
      <c r="D28">
        <v>0</v>
      </c>
    </row>
    <row r="29" spans="1:4" x14ac:dyDescent="0.15">
      <c r="A29">
        <v>28</v>
      </c>
      <c r="B29" s="193" t="s">
        <v>219</v>
      </c>
      <c r="C29">
        <v>0.8</v>
      </c>
      <c r="D29">
        <v>0.8</v>
      </c>
    </row>
    <row r="30" spans="1:4" x14ac:dyDescent="0.15">
      <c r="A30">
        <v>29</v>
      </c>
      <c r="B30" s="193" t="s">
        <v>220</v>
      </c>
      <c r="C30">
        <v>0.8</v>
      </c>
      <c r="D30">
        <v>0.8</v>
      </c>
    </row>
    <row r="31" spans="1:4" x14ac:dyDescent="0.15">
      <c r="A31">
        <v>30</v>
      </c>
      <c r="B31" s="193" t="s">
        <v>221</v>
      </c>
      <c r="C31">
        <v>0.8</v>
      </c>
      <c r="D31">
        <v>0</v>
      </c>
    </row>
    <row r="32" spans="1:4" x14ac:dyDescent="0.15">
      <c r="A32">
        <v>31</v>
      </c>
      <c r="B32" s="193" t="s">
        <v>222</v>
      </c>
      <c r="C32">
        <v>0.8</v>
      </c>
      <c r="D32">
        <v>0.8</v>
      </c>
    </row>
    <row r="33" spans="1:4" x14ac:dyDescent="0.15">
      <c r="A33">
        <v>32</v>
      </c>
      <c r="B33" s="193" t="s">
        <v>223</v>
      </c>
      <c r="C33">
        <v>0.8</v>
      </c>
      <c r="D33">
        <v>0</v>
      </c>
    </row>
    <row r="34" spans="1:4" x14ac:dyDescent="0.15">
      <c r="A34">
        <v>33</v>
      </c>
      <c r="B34" s="193" t="s">
        <v>224</v>
      </c>
      <c r="C34">
        <v>0.8</v>
      </c>
      <c r="D34">
        <v>0</v>
      </c>
    </row>
    <row r="35" spans="1:4" x14ac:dyDescent="0.15">
      <c r="A35">
        <v>34</v>
      </c>
      <c r="B35" s="193" t="s">
        <v>225</v>
      </c>
      <c r="C35">
        <v>0</v>
      </c>
      <c r="D35">
        <v>0</v>
      </c>
    </row>
    <row r="36" spans="1:4" x14ac:dyDescent="0.15">
      <c r="A36">
        <v>35</v>
      </c>
      <c r="B36" s="193" t="s">
        <v>226</v>
      </c>
      <c r="C36">
        <v>0</v>
      </c>
      <c r="D36">
        <v>0</v>
      </c>
    </row>
    <row r="37" spans="1:4" x14ac:dyDescent="0.15">
      <c r="A37">
        <v>36</v>
      </c>
      <c r="B37" s="193" t="s">
        <v>227</v>
      </c>
      <c r="C37">
        <v>0</v>
      </c>
      <c r="D37">
        <v>0</v>
      </c>
    </row>
    <row r="38" spans="1:4" x14ac:dyDescent="0.15">
      <c r="A38">
        <v>37</v>
      </c>
      <c r="B38" s="193" t="s">
        <v>228</v>
      </c>
      <c r="C38">
        <v>0</v>
      </c>
      <c r="D38">
        <v>0</v>
      </c>
    </row>
    <row r="39" spans="1:4" x14ac:dyDescent="0.15">
      <c r="A39">
        <v>38</v>
      </c>
      <c r="B39" s="193" t="s">
        <v>229</v>
      </c>
      <c r="C39">
        <v>0</v>
      </c>
      <c r="D39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L5" sqref="L5"/>
    </sheetView>
  </sheetViews>
  <sheetFormatPr baseColWidth="10" defaultColWidth="8.83203125" defaultRowHeight="15" customHeight="1" x14ac:dyDescent="0.15"/>
  <cols>
    <col min="1" max="1" width="8.83203125" style="80"/>
    <col min="2" max="2" width="41.83203125" style="80" bestFit="1" customWidth="1"/>
    <col min="3" max="3" width="9.33203125" style="80" bestFit="1" customWidth="1"/>
    <col min="4" max="4" width="13" style="80" bestFit="1" customWidth="1"/>
    <col min="5" max="6" width="9.33203125" style="80" bestFit="1" customWidth="1"/>
    <col min="7" max="7" width="9.33203125" style="96" bestFit="1" customWidth="1"/>
    <col min="8" max="8" width="9.33203125" style="80" bestFit="1" customWidth="1"/>
    <col min="9" max="9" width="11" style="80" customWidth="1"/>
    <col min="10" max="10" width="8.83203125" style="80"/>
    <col min="15" max="16384" width="8.83203125" style="80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4" t="s">
        <v>14</v>
      </c>
      <c r="H1" s="1" t="s">
        <v>26</v>
      </c>
      <c r="I1" s="1" t="s">
        <v>24</v>
      </c>
    </row>
    <row r="2" spans="1:10" ht="15" customHeight="1" x14ac:dyDescent="0.15">
      <c r="A2" s="146">
        <v>1</v>
      </c>
      <c r="B2" s="146" t="s">
        <v>192</v>
      </c>
      <c r="C2" s="8">
        <v>3.7398896217346191</v>
      </c>
      <c r="D2" s="9">
        <v>2.0877288654446602E-2</v>
      </c>
      <c r="E2" s="9">
        <v>0.40579530596733093</v>
      </c>
      <c r="F2" s="9">
        <v>87.541557312011719</v>
      </c>
      <c r="G2" s="9">
        <v>0.76522839069366455</v>
      </c>
      <c r="H2" s="9">
        <v>4.6354592777788639E-3</v>
      </c>
      <c r="I2">
        <v>0</v>
      </c>
      <c r="J2"/>
    </row>
    <row r="3" spans="1:10" ht="15" customHeight="1" x14ac:dyDescent="0.15">
      <c r="A3" s="147">
        <v>2</v>
      </c>
      <c r="B3" s="147" t="s">
        <v>193</v>
      </c>
      <c r="C3" s="8">
        <v>3.5972566604614258</v>
      </c>
      <c r="D3" s="9">
        <v>1.3791192770004272</v>
      </c>
      <c r="E3" s="9">
        <v>0.86486697196960449</v>
      </c>
      <c r="F3" s="9">
        <v>6.8816533088684082</v>
      </c>
      <c r="G3" s="9">
        <v>0.71704453229904175</v>
      </c>
      <c r="H3" s="9">
        <v>0.12567721307277679</v>
      </c>
      <c r="I3">
        <v>8.3999998867511749E-2</v>
      </c>
      <c r="J3"/>
    </row>
    <row r="4" spans="1:10" ht="15" customHeight="1" x14ac:dyDescent="0.15">
      <c r="A4" s="148">
        <v>3</v>
      </c>
      <c r="B4" s="148" t="s">
        <v>194</v>
      </c>
      <c r="C4" s="8">
        <v>3.1303355693817139</v>
      </c>
      <c r="D4" s="9">
        <v>1.3037090301513672</v>
      </c>
      <c r="E4" s="9">
        <v>2.104515552520752</v>
      </c>
      <c r="F4" s="9">
        <v>9.6273307800292969</v>
      </c>
      <c r="G4" s="9">
        <v>0.69666337966918945</v>
      </c>
      <c r="H4" s="9">
        <v>0.21859803795814514</v>
      </c>
      <c r="I4">
        <v>1.5799999237060547E-2</v>
      </c>
      <c r="J4"/>
    </row>
    <row r="5" spans="1:10" ht="15" customHeight="1" x14ac:dyDescent="0.15">
      <c r="A5" s="149">
        <v>4</v>
      </c>
      <c r="B5" s="149" t="s">
        <v>195</v>
      </c>
      <c r="C5" s="8">
        <v>3.5382006168365479</v>
      </c>
      <c r="D5" s="9">
        <v>1.3976947069168091</v>
      </c>
      <c r="E5" s="9">
        <v>0.70747488737106323</v>
      </c>
      <c r="F5" s="9">
        <v>2.4725790023803711</v>
      </c>
      <c r="G5" s="9">
        <v>0.88782370090484619</v>
      </c>
      <c r="H5" s="9">
        <v>0.28612831234931946</v>
      </c>
      <c r="I5">
        <v>1.549999974668026E-2</v>
      </c>
      <c r="J5"/>
    </row>
    <row r="6" spans="1:10" ht="15" customHeight="1" x14ac:dyDescent="0.15">
      <c r="A6" s="150">
        <v>5</v>
      </c>
      <c r="B6" s="150" t="s">
        <v>196</v>
      </c>
      <c r="C6" s="8">
        <v>3.4009449481964111</v>
      </c>
      <c r="D6" s="9">
        <v>0.67811250686645508</v>
      </c>
      <c r="E6" s="9">
        <v>0.7438511848449707</v>
      </c>
      <c r="F6" s="9">
        <v>3.2004783153533936</v>
      </c>
      <c r="G6" s="9">
        <v>0.73787194490432739</v>
      </c>
      <c r="H6" s="9">
        <v>0.23241876065731049</v>
      </c>
      <c r="I6">
        <v>7.2899997234344482E-2</v>
      </c>
      <c r="J6"/>
    </row>
    <row r="7" spans="1:10" ht="15" customHeight="1" x14ac:dyDescent="0.15">
      <c r="A7" s="151">
        <v>6</v>
      </c>
      <c r="B7" s="151" t="s">
        <v>197</v>
      </c>
      <c r="C7" s="8">
        <v>3.9050023555755615</v>
      </c>
      <c r="D7" s="9">
        <v>2.6008596420288086</v>
      </c>
      <c r="E7" s="9">
        <v>1.4876126050949097</v>
      </c>
      <c r="F7" s="9">
        <v>5.0375075340270996</v>
      </c>
      <c r="G7" s="9">
        <v>0.8300207257270813</v>
      </c>
      <c r="H7" s="9">
        <v>0.29530727863311768</v>
      </c>
      <c r="I7">
        <v>8.2999998703598976E-3</v>
      </c>
      <c r="J7"/>
    </row>
    <row r="8" spans="1:10" ht="15" customHeight="1" x14ac:dyDescent="0.15">
      <c r="A8" s="152">
        <v>7</v>
      </c>
      <c r="B8" s="152" t="s">
        <v>198</v>
      </c>
      <c r="C8" s="8">
        <v>4.0353145599365234</v>
      </c>
      <c r="D8" s="9">
        <v>1.3805593252182007</v>
      </c>
      <c r="E8" s="9">
        <v>0.89643287658691406</v>
      </c>
      <c r="F8" s="9">
        <v>5.4528999328613281</v>
      </c>
      <c r="G8" s="9">
        <v>0.81965726613998413</v>
      </c>
      <c r="H8" s="9">
        <v>0.16439561545848846</v>
      </c>
      <c r="I8">
        <v>0.22210000455379486</v>
      </c>
      <c r="J8"/>
    </row>
    <row r="9" spans="1:10" ht="15" customHeight="1" x14ac:dyDescent="0.15">
      <c r="A9" s="153">
        <v>8</v>
      </c>
      <c r="B9" s="153" t="s">
        <v>199</v>
      </c>
      <c r="C9" s="8">
        <v>4.1628470420837402</v>
      </c>
      <c r="D9" s="9">
        <v>0.34675326943397522</v>
      </c>
      <c r="E9" s="9">
        <v>0.83328819274902344</v>
      </c>
      <c r="F9" s="9">
        <v>7.268498420715332</v>
      </c>
      <c r="G9" s="9">
        <v>0.78115218877792358</v>
      </c>
      <c r="H9" s="9">
        <v>0.11464378982782364</v>
      </c>
      <c r="I9">
        <v>3.0000001424923539E-4</v>
      </c>
      <c r="J9"/>
    </row>
    <row r="10" spans="1:10" ht="15" customHeight="1" x14ac:dyDescent="0.15">
      <c r="A10" s="154">
        <v>9</v>
      </c>
      <c r="B10" s="154" t="s">
        <v>200</v>
      </c>
      <c r="C10" s="8">
        <v>3.4035861492156982</v>
      </c>
      <c r="D10" s="9">
        <v>1.0223215818405151</v>
      </c>
      <c r="E10" s="9">
        <v>2.8770489692687988</v>
      </c>
      <c r="F10" s="9">
        <v>12.000511169433594</v>
      </c>
      <c r="G10" s="9">
        <v>0.81623315811157227</v>
      </c>
      <c r="H10" s="9">
        <v>0.23974387347698212</v>
      </c>
      <c r="I10">
        <v>3.8000000640749931E-3</v>
      </c>
      <c r="J10"/>
    </row>
    <row r="11" spans="1:10" ht="15" customHeight="1" x14ac:dyDescent="0.15">
      <c r="A11" s="155">
        <v>10</v>
      </c>
      <c r="B11" s="155" t="s">
        <v>201</v>
      </c>
      <c r="C11" s="8">
        <v>3.240164041519165</v>
      </c>
      <c r="D11" s="9">
        <v>0.56384891271591187</v>
      </c>
      <c r="E11" s="9">
        <v>1.189138650894165</v>
      </c>
      <c r="F11" s="9">
        <v>8.7482366561889648</v>
      </c>
      <c r="G11" s="9">
        <v>0.11679597198963165</v>
      </c>
      <c r="H11" s="9">
        <v>0.13592895865440369</v>
      </c>
      <c r="I11">
        <v>6.3000000081956387E-3</v>
      </c>
      <c r="J11"/>
    </row>
    <row r="12" spans="1:10" ht="15" customHeight="1" x14ac:dyDescent="0.15">
      <c r="A12" s="156">
        <v>11</v>
      </c>
      <c r="B12" s="156" t="s">
        <v>202</v>
      </c>
      <c r="C12" s="8">
        <v>3.5955610275268555</v>
      </c>
      <c r="D12" s="9">
        <v>2.7935385704040527</v>
      </c>
      <c r="E12" s="9">
        <v>1.1318271160125732</v>
      </c>
      <c r="F12" s="9">
        <v>5.8342852592468262</v>
      </c>
      <c r="G12" s="9">
        <v>0.61016064882278442</v>
      </c>
      <c r="H12" s="9">
        <v>0.19399584829807281</v>
      </c>
      <c r="I12">
        <v>1.0900000110268593E-2</v>
      </c>
      <c r="J12"/>
    </row>
    <row r="13" spans="1:10" ht="15" customHeight="1" x14ac:dyDescent="0.15">
      <c r="A13" s="157">
        <v>12</v>
      </c>
      <c r="B13" s="157" t="s">
        <v>203</v>
      </c>
      <c r="C13" s="8">
        <v>3.0525517463684082</v>
      </c>
      <c r="D13" s="9">
        <v>1.0209966897964478</v>
      </c>
      <c r="E13" s="9">
        <v>1.1390790939331055</v>
      </c>
      <c r="F13" s="9">
        <v>6.3976221084594727</v>
      </c>
      <c r="G13" s="9">
        <v>0.84507155418395996</v>
      </c>
      <c r="H13" s="9">
        <v>0.17804725468158722</v>
      </c>
      <c r="I13">
        <v>5.4000001400709152E-3</v>
      </c>
      <c r="J13"/>
    </row>
    <row r="14" spans="1:10" ht="15" customHeight="1" x14ac:dyDescent="0.15">
      <c r="A14" s="158">
        <v>13</v>
      </c>
      <c r="B14" s="158" t="s">
        <v>204</v>
      </c>
      <c r="C14" s="8">
        <v>2.8066086769104004</v>
      </c>
      <c r="D14" s="9">
        <v>0.9595986008644104</v>
      </c>
      <c r="E14" s="9">
        <v>1.9869744777679443</v>
      </c>
      <c r="F14" s="9">
        <v>6.1924295425415039</v>
      </c>
      <c r="G14" s="9">
        <v>0.91717952489852905</v>
      </c>
      <c r="H14" s="9">
        <v>0.32087156176567078</v>
      </c>
      <c r="I14">
        <v>2.0899999886751175E-2</v>
      </c>
      <c r="J14"/>
    </row>
    <row r="15" spans="1:10" ht="15" customHeight="1" x14ac:dyDescent="0.15">
      <c r="A15" s="159">
        <v>14</v>
      </c>
      <c r="B15" s="159" t="s">
        <v>205</v>
      </c>
      <c r="C15" s="8">
        <v>3.1641209125518799</v>
      </c>
      <c r="D15" s="9">
        <v>0.71834087371826172</v>
      </c>
      <c r="E15" s="9">
        <v>2.0968120098114014</v>
      </c>
      <c r="F15" s="9">
        <v>11.029802322387695</v>
      </c>
      <c r="G15" s="9">
        <v>0.86496955156326294</v>
      </c>
      <c r="H15" s="9">
        <v>0.19010423123836517</v>
      </c>
      <c r="I15">
        <v>1.3500000350177288E-2</v>
      </c>
      <c r="J15"/>
    </row>
    <row r="16" spans="1:10" ht="15" customHeight="1" x14ac:dyDescent="0.15">
      <c r="A16" s="160">
        <v>15</v>
      </c>
      <c r="B16" s="160" t="s">
        <v>206</v>
      </c>
      <c r="C16" s="8">
        <v>2.9692258834838867</v>
      </c>
      <c r="D16" s="9">
        <v>0.72577440738677979</v>
      </c>
      <c r="E16" s="9">
        <v>2.1999084949493408</v>
      </c>
      <c r="F16" s="9">
        <v>6.0308437347412109</v>
      </c>
      <c r="G16" s="9">
        <v>0.87796378135681152</v>
      </c>
      <c r="H16" s="9">
        <v>0.36477625370025635</v>
      </c>
      <c r="I16">
        <v>1.0000000474974513E-3</v>
      </c>
      <c r="J16"/>
    </row>
    <row r="17" spans="1:10" ht="15" customHeight="1" x14ac:dyDescent="0.15">
      <c r="A17" s="161">
        <v>16</v>
      </c>
      <c r="B17" s="161" t="s">
        <v>207</v>
      </c>
      <c r="C17" s="8">
        <v>4.0961833000183105</v>
      </c>
      <c r="D17" s="9">
        <v>0.5608707070350647</v>
      </c>
      <c r="E17" s="9">
        <v>1.7281509637832642</v>
      </c>
      <c r="F17" s="9">
        <v>6.7396512031555176</v>
      </c>
      <c r="G17" s="9">
        <v>0.89892029762268066</v>
      </c>
      <c r="H17" s="9">
        <v>0.25641548633575439</v>
      </c>
      <c r="I17">
        <v>1.2199999764561653E-2</v>
      </c>
      <c r="J17"/>
    </row>
    <row r="18" spans="1:10" ht="15" customHeight="1" x14ac:dyDescent="0.15">
      <c r="A18" s="162">
        <v>17</v>
      </c>
      <c r="B18" s="162" t="s">
        <v>208</v>
      </c>
      <c r="C18" s="8">
        <v>3.2341232299804688</v>
      </c>
      <c r="D18" s="9">
        <v>0.83977985382080078</v>
      </c>
      <c r="E18" s="9">
        <v>0.10378869622945786</v>
      </c>
      <c r="F18" s="9">
        <v>2.7884824275970459</v>
      </c>
      <c r="G18" s="9">
        <v>0.53372365236282349</v>
      </c>
      <c r="H18" s="9">
        <v>3.722049668431282E-2</v>
      </c>
      <c r="I18">
        <v>6.99999975040555E-4</v>
      </c>
      <c r="J18"/>
    </row>
    <row r="19" spans="1:10" ht="15" customHeight="1" x14ac:dyDescent="0.15">
      <c r="A19" s="163">
        <v>18</v>
      </c>
      <c r="B19" s="163" t="s">
        <v>209</v>
      </c>
      <c r="C19" s="8">
        <v>2.3428103923797607</v>
      </c>
      <c r="D19" s="9">
        <v>2.0037941932678223</v>
      </c>
      <c r="E19" s="9">
        <v>3.6358284950256348</v>
      </c>
      <c r="F19" s="9">
        <v>12.280974388122559</v>
      </c>
      <c r="G19" s="9">
        <v>0.81265437602996826</v>
      </c>
      <c r="H19" s="9">
        <v>0.29605373740196228</v>
      </c>
      <c r="I19">
        <v>0.21400000154972076</v>
      </c>
      <c r="J19"/>
    </row>
    <row r="20" spans="1:10" ht="15" customHeight="1" x14ac:dyDescent="0.15">
      <c r="A20" s="164">
        <v>19</v>
      </c>
      <c r="B20" s="164" t="s">
        <v>210</v>
      </c>
      <c r="C20" s="8">
        <v>2.7776455879211426</v>
      </c>
      <c r="D20" s="9">
        <v>10.476567268371582</v>
      </c>
      <c r="E20" s="9">
        <v>3.4844589233398438</v>
      </c>
      <c r="F20" s="9">
        <v>16.029926300048828</v>
      </c>
      <c r="G20" s="9">
        <v>0.91968542337417603</v>
      </c>
      <c r="H20" s="9">
        <v>0.2173721045255661</v>
      </c>
      <c r="I20">
        <v>4.7680997848510742</v>
      </c>
      <c r="J20"/>
    </row>
    <row r="21" spans="1:10" ht="15" customHeight="1" x14ac:dyDescent="0.15">
      <c r="A21" s="165">
        <v>20</v>
      </c>
      <c r="B21" s="165" t="s">
        <v>211</v>
      </c>
      <c r="C21" s="8">
        <v>2.2610561847686768</v>
      </c>
      <c r="D21" s="9">
        <v>1.0285589694976807</v>
      </c>
      <c r="E21" s="9">
        <v>1.020039439201355</v>
      </c>
      <c r="F21" s="9">
        <v>16.388034820556641</v>
      </c>
      <c r="G21" s="9">
        <v>0.9583548903465271</v>
      </c>
      <c r="H21" s="9">
        <v>6.2242940068244934E-2</v>
      </c>
      <c r="I21">
        <v>0.25363561511039734</v>
      </c>
      <c r="J21"/>
    </row>
    <row r="22" spans="1:10" ht="15" customHeight="1" x14ac:dyDescent="0.15">
      <c r="A22" s="166">
        <v>21</v>
      </c>
      <c r="B22" s="166" t="s">
        <v>212</v>
      </c>
      <c r="C22" s="8">
        <v>2.740459680557251</v>
      </c>
      <c r="D22" s="9">
        <v>5.8266267776489258</v>
      </c>
      <c r="E22" s="9">
        <v>3.25872802734375</v>
      </c>
      <c r="F22" s="9">
        <v>10.835766792297363</v>
      </c>
      <c r="G22" s="9">
        <v>0.88071340322494507</v>
      </c>
      <c r="H22" s="9">
        <v>0.30073809623718262</v>
      </c>
      <c r="I22">
        <v>1.640000008046627E-2</v>
      </c>
      <c r="J22"/>
    </row>
    <row r="23" spans="1:10" ht="15" customHeight="1" x14ac:dyDescent="0.15">
      <c r="A23" s="167">
        <v>22</v>
      </c>
      <c r="B23" s="167" t="s">
        <v>213</v>
      </c>
      <c r="C23" s="8">
        <v>2.9947195053100586</v>
      </c>
      <c r="D23" s="9">
        <v>0.71017634868621826</v>
      </c>
      <c r="E23" s="9">
        <v>3.1471779346466064</v>
      </c>
      <c r="F23" s="9">
        <v>11.045501708984375</v>
      </c>
      <c r="G23" s="9">
        <v>0.8148919939994812</v>
      </c>
      <c r="H23" s="9">
        <v>0.28492847084999084</v>
      </c>
      <c r="I23">
        <v>3.0799999367445707E-3</v>
      </c>
      <c r="J23"/>
    </row>
    <row r="24" spans="1:10" ht="15" customHeight="1" x14ac:dyDescent="0.15">
      <c r="A24" s="168">
        <v>23</v>
      </c>
      <c r="B24" s="168" t="s">
        <v>214</v>
      </c>
      <c r="C24" s="8">
        <v>3.2042331695556641</v>
      </c>
      <c r="D24" s="9">
        <v>2.9592230319976807</v>
      </c>
      <c r="E24" s="9">
        <v>3.2774059772491455</v>
      </c>
      <c r="F24" s="9">
        <v>18.090250015258789</v>
      </c>
      <c r="G24" s="9">
        <v>0.90575742721557617</v>
      </c>
      <c r="H24" s="9">
        <v>0.18116974830627441</v>
      </c>
      <c r="I24">
        <v>0.30651000142097473</v>
      </c>
      <c r="J24"/>
    </row>
    <row r="25" spans="1:10" ht="15" customHeight="1" x14ac:dyDescent="0.15">
      <c r="A25" s="169">
        <v>24</v>
      </c>
      <c r="B25" s="169" t="s">
        <v>215</v>
      </c>
      <c r="C25" s="8">
        <v>2</v>
      </c>
      <c r="D25" s="9">
        <v>3.8463814258575439</v>
      </c>
      <c r="E25" s="9">
        <v>3.5570216178894043</v>
      </c>
      <c r="F25" s="9">
        <v>15.711574554443359</v>
      </c>
      <c r="G25" s="9">
        <v>0.77292680740356445</v>
      </c>
      <c r="H25" s="9">
        <v>0.22639498114585876</v>
      </c>
      <c r="I25">
        <v>4.7780000604689121E-3</v>
      </c>
      <c r="J25"/>
    </row>
    <row r="26" spans="1:10" ht="15" customHeight="1" x14ac:dyDescent="0.15">
      <c r="A26" s="170">
        <v>25</v>
      </c>
      <c r="B26" s="170" t="s">
        <v>216</v>
      </c>
      <c r="C26" s="8">
        <v>2.30989670753479</v>
      </c>
      <c r="D26" s="9">
        <v>6.6797604560852051</v>
      </c>
      <c r="E26" s="9">
        <v>2.4423558712005615</v>
      </c>
      <c r="F26" s="9">
        <v>10.907819747924805</v>
      </c>
      <c r="G26" s="9">
        <v>0.64507097005844116</v>
      </c>
      <c r="H26" s="9">
        <v>0.22390870749950409</v>
      </c>
      <c r="I26">
        <v>0.20489999651908875</v>
      </c>
      <c r="J26"/>
    </row>
    <row r="27" spans="1:10" ht="15" customHeight="1" x14ac:dyDescent="0.15">
      <c r="A27" s="171">
        <v>26</v>
      </c>
      <c r="B27" s="171" t="s">
        <v>217</v>
      </c>
      <c r="C27" s="8">
        <v>2.3444943428039551</v>
      </c>
      <c r="D27" s="9">
        <v>8.2276735305786133</v>
      </c>
      <c r="E27" s="9">
        <v>0.94769024848937988</v>
      </c>
      <c r="F27" s="9">
        <v>3.1838572025299072</v>
      </c>
      <c r="G27" s="9">
        <v>0.90116286277770996</v>
      </c>
      <c r="H27" s="9">
        <v>0.29765474796295166</v>
      </c>
      <c r="I27">
        <v>1.3899999670684338E-2</v>
      </c>
      <c r="J27"/>
    </row>
    <row r="28" spans="1:10" ht="15" customHeight="1" x14ac:dyDescent="0.15">
      <c r="A28" s="172">
        <v>27</v>
      </c>
      <c r="B28" s="172" t="s">
        <v>218</v>
      </c>
      <c r="C28" s="8">
        <v>2.0261180400848389</v>
      </c>
      <c r="D28" s="9">
        <v>4.2895216941833496</v>
      </c>
      <c r="E28" s="9">
        <v>1.8455432653427124</v>
      </c>
      <c r="F28" s="9">
        <v>4.7354316711425781</v>
      </c>
      <c r="G28" s="9">
        <v>0.73191869258880615</v>
      </c>
      <c r="H28" s="9">
        <v>0.38973072171211243</v>
      </c>
      <c r="I28">
        <v>4.400000034365803E-4</v>
      </c>
      <c r="J28"/>
    </row>
    <row r="29" spans="1:10" ht="15" customHeight="1" x14ac:dyDescent="0.15">
      <c r="A29" s="173">
        <v>28</v>
      </c>
      <c r="B29" s="173" t="s">
        <v>219</v>
      </c>
      <c r="C29" s="8">
        <v>2.649066686630249</v>
      </c>
      <c r="D29" s="9">
        <v>3.7229793071746826</v>
      </c>
      <c r="E29" s="9">
        <v>1.1446882486343384</v>
      </c>
      <c r="F29" s="9">
        <v>7.928581714630127</v>
      </c>
      <c r="G29" s="9">
        <v>0.94606482982635498</v>
      </c>
      <c r="H29" s="9">
        <v>0.14437490701675415</v>
      </c>
      <c r="I29">
        <v>9.6066407859325409E-3</v>
      </c>
      <c r="J29"/>
    </row>
    <row r="30" spans="1:10" ht="15" customHeight="1" x14ac:dyDescent="0.15">
      <c r="A30" s="174">
        <v>29</v>
      </c>
      <c r="B30" s="174" t="s">
        <v>220</v>
      </c>
      <c r="C30" s="8">
        <v>2.3952395915985107</v>
      </c>
      <c r="D30" s="9">
        <v>1.2049509286880493</v>
      </c>
      <c r="E30" s="9">
        <v>3.1080946922302246</v>
      </c>
      <c r="F30" s="9">
        <v>9.1326198577880859</v>
      </c>
      <c r="G30" s="9">
        <v>0.85243624448776245</v>
      </c>
      <c r="H30" s="9">
        <v>0.34032893180847168</v>
      </c>
      <c r="I30">
        <v>0.88699996471405029</v>
      </c>
      <c r="J30"/>
    </row>
    <row r="31" spans="1:10" ht="15" customHeight="1" x14ac:dyDescent="0.15">
      <c r="A31" s="175">
        <v>30</v>
      </c>
      <c r="B31" s="175" t="s">
        <v>221</v>
      </c>
      <c r="C31" s="8">
        <v>2.052114725112915</v>
      </c>
      <c r="D31" s="9">
        <v>0.81405991315841675</v>
      </c>
      <c r="E31" s="9">
        <v>2.3023738861083984</v>
      </c>
      <c r="F31" s="9">
        <v>8.5912151336669922</v>
      </c>
      <c r="G31" s="9">
        <v>0.87741363048553467</v>
      </c>
      <c r="H31" s="9">
        <v>0.26799163222312927</v>
      </c>
      <c r="I31">
        <v>7.5299997115507722E-4</v>
      </c>
      <c r="J31"/>
    </row>
    <row r="32" spans="1:10" ht="15" customHeight="1" x14ac:dyDescent="0.15">
      <c r="A32" s="203">
        <v>31</v>
      </c>
      <c r="B32" s="203" t="s">
        <v>222</v>
      </c>
      <c r="C32" s="8">
        <v>2.0215263366699219</v>
      </c>
      <c r="D32" s="9">
        <v>1.0049500465393066</v>
      </c>
      <c r="E32" s="9">
        <v>5.4833197593688965</v>
      </c>
      <c r="F32" s="9">
        <v>21.058696746826172</v>
      </c>
      <c r="G32" s="9">
        <v>0.98629260063171387</v>
      </c>
      <c r="H32" s="9">
        <v>0.26038268208503723</v>
      </c>
      <c r="I32">
        <v>3.0464000701904297</v>
      </c>
      <c r="J32"/>
    </row>
    <row r="33" spans="1:10" ht="15" customHeight="1" x14ac:dyDescent="0.15">
      <c r="A33" s="204">
        <v>32</v>
      </c>
      <c r="B33" s="204" t="s">
        <v>223</v>
      </c>
      <c r="C33" s="8">
        <v>2.0062763690948486</v>
      </c>
      <c r="D33" s="9">
        <v>6.3060202598571777</v>
      </c>
      <c r="E33" s="9">
        <v>6.0995497703552246</v>
      </c>
      <c r="F33" s="9">
        <v>25.092845916748047</v>
      </c>
      <c r="G33" s="9">
        <v>0.75000607967376709</v>
      </c>
      <c r="H33" s="9">
        <v>0.24307923018932343</v>
      </c>
      <c r="I33">
        <v>2.6500000967644155E-4</v>
      </c>
      <c r="J33"/>
    </row>
    <row r="34" spans="1:10" ht="15" customHeight="1" x14ac:dyDescent="0.15">
      <c r="A34" s="205">
        <v>33</v>
      </c>
      <c r="B34" s="205" t="s">
        <v>224</v>
      </c>
      <c r="C34" s="8">
        <v>2.0047423839569092</v>
      </c>
      <c r="D34" s="9">
        <v>6.7597475051879883</v>
      </c>
      <c r="E34" s="9">
        <v>1.2763440608978271</v>
      </c>
      <c r="F34" s="9">
        <v>6.6115179061889648</v>
      </c>
      <c r="G34" s="9">
        <v>0.89265042543411255</v>
      </c>
      <c r="H34" s="9">
        <v>0.19304856657981873</v>
      </c>
      <c r="I34">
        <v>4.6799997799098492E-3</v>
      </c>
      <c r="J34"/>
    </row>
    <row r="35" spans="1:10" ht="15" customHeight="1" x14ac:dyDescent="0.15">
      <c r="A35" s="206">
        <v>34</v>
      </c>
      <c r="B35" s="206" t="s">
        <v>225</v>
      </c>
      <c r="C35" s="8">
        <v>2.089942455291748</v>
      </c>
      <c r="D35" s="9">
        <v>25.397003173828125</v>
      </c>
      <c r="E35" s="9">
        <v>19.053899765014648</v>
      </c>
      <c r="F35" s="9">
        <v>86.50634765625</v>
      </c>
      <c r="G35" s="9">
        <v>0.83886653184890747</v>
      </c>
      <c r="H35" s="9">
        <v>0.2202601283788681</v>
      </c>
      <c r="I35">
        <v>0</v>
      </c>
      <c r="J35"/>
    </row>
    <row r="36" spans="1:10" ht="15" customHeight="1" x14ac:dyDescent="0.15">
      <c r="A36" s="207">
        <v>35</v>
      </c>
      <c r="B36" s="207" t="s">
        <v>226</v>
      </c>
      <c r="C36" s="8">
        <v>1</v>
      </c>
      <c r="D36" s="9">
        <v>124.62400054931641</v>
      </c>
      <c r="E36" s="9">
        <v>21.35099983215332</v>
      </c>
      <c r="F36" s="10"/>
      <c r="G36" s="9">
        <v>0.67352384328842163</v>
      </c>
      <c r="H36" s="10"/>
      <c r="I36">
        <v>0</v>
      </c>
      <c r="J36"/>
    </row>
    <row r="37" spans="1:10" ht="15" customHeight="1" x14ac:dyDescent="0.15">
      <c r="A37" s="208">
        <v>36</v>
      </c>
      <c r="B37" s="208" t="s">
        <v>227</v>
      </c>
      <c r="C37" s="8">
        <v>1</v>
      </c>
      <c r="D37" s="9">
        <v>109.32125854492188</v>
      </c>
      <c r="E37" s="9">
        <v>7.6115555763244629</v>
      </c>
      <c r="F37" s="10"/>
      <c r="G37" s="9">
        <v>0.14797878265380859</v>
      </c>
      <c r="H37" s="10"/>
      <c r="I37">
        <v>0</v>
      </c>
      <c r="J37"/>
    </row>
    <row r="38" spans="1:10" ht="15" customHeight="1" x14ac:dyDescent="0.15">
      <c r="A38" s="209">
        <v>37</v>
      </c>
      <c r="B38" s="209" t="s">
        <v>228</v>
      </c>
      <c r="C38" s="8">
        <v>1</v>
      </c>
      <c r="D38" s="9">
        <v>4.1185002326965332</v>
      </c>
      <c r="E38" s="10"/>
      <c r="F38" s="10"/>
      <c r="G38" s="9">
        <v>0.26661694049835205</v>
      </c>
      <c r="H38" s="10"/>
      <c r="I38">
        <v>0</v>
      </c>
      <c r="J38"/>
    </row>
    <row r="39" spans="1:10" ht="15" customHeight="1" x14ac:dyDescent="0.15">
      <c r="A39" s="210">
        <v>38</v>
      </c>
      <c r="B39" s="210" t="s">
        <v>229</v>
      </c>
      <c r="C39" s="8">
        <v>1</v>
      </c>
      <c r="D39" s="9">
        <v>5</v>
      </c>
      <c r="E39" s="10"/>
      <c r="F39" s="10"/>
      <c r="G39" s="7">
        <v>0</v>
      </c>
      <c r="H39" s="10"/>
      <c r="I39">
        <v>0</v>
      </c>
      <c r="J39"/>
    </row>
    <row r="40" spans="1:10" ht="15" customHeight="1" x14ac:dyDescent="0.15">
      <c r="A40" s="211">
        <v>39</v>
      </c>
      <c r="B40" s="211" t="s">
        <v>230</v>
      </c>
      <c r="C40" s="8">
        <v>3.1246721744537354</v>
      </c>
      <c r="D40" s="10"/>
      <c r="E40" s="10"/>
      <c r="F40" s="10"/>
      <c r="G40" s="10"/>
      <c r="H40" s="10"/>
      <c r="I40">
        <v>1.8743482828140259</v>
      </c>
      <c r="J40"/>
    </row>
    <row r="41" spans="1:10" ht="15" customHeight="1" x14ac:dyDescent="0.15">
      <c r="A41" s="212">
        <v>40</v>
      </c>
      <c r="B41" s="212" t="s">
        <v>231</v>
      </c>
      <c r="C41" s="8">
        <v>3.6382274627685547</v>
      </c>
      <c r="D41" s="10"/>
      <c r="E41" s="10"/>
      <c r="F41" s="10"/>
      <c r="G41" s="10"/>
      <c r="H41" s="10"/>
      <c r="I41">
        <v>8.3536996841430664</v>
      </c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0" bestFit="1" customWidth="1"/>
    <col min="2" max="4" width="9.5" style="80" bestFit="1" customWidth="1"/>
    <col min="5" max="7" width="9" style="80" bestFit="1" customWidth="1"/>
    <col min="8" max="16" width="12.6640625" style="80" bestFit="1" customWidth="1"/>
    <col min="17" max="17" width="12.33203125" style="80" bestFit="1" customWidth="1"/>
    <col min="18" max="18" width="8.83203125" style="80"/>
    <col min="19" max="21" width="9.33203125" style="80" bestFit="1" customWidth="1"/>
    <col min="22" max="23" width="8.83203125" style="80"/>
    <col min="24" max="24" width="9.33203125" style="80" bestFit="1" customWidth="1"/>
    <col min="25" max="27" width="8.83203125" style="80"/>
    <col min="28" max="58" width="9" style="80" bestFit="1" customWidth="1"/>
    <col min="59" max="59" width="12.33203125" style="80" bestFit="1" customWidth="1"/>
    <col min="60" max="60" width="9" style="80" bestFit="1" customWidth="1"/>
    <col min="61" max="61" width="11.33203125" style="80" bestFit="1" customWidth="1"/>
    <col min="62" max="77" width="9" style="80" bestFit="1" customWidth="1"/>
    <col min="78" max="78" width="12.33203125" style="80" bestFit="1" customWidth="1"/>
    <col min="79" max="79" width="9" style="80" bestFit="1" customWidth="1"/>
    <col min="80" max="80" width="12.33203125" style="80" bestFit="1" customWidth="1"/>
    <col min="81" max="107" width="9" style="80" bestFit="1" customWidth="1"/>
    <col min="108" max="108" width="11.33203125" style="80" bestFit="1" customWidth="1"/>
    <col min="109" max="124" width="9" style="80" bestFit="1" customWidth="1"/>
    <col min="125" max="125" width="10.33203125" style="80" bestFit="1" customWidth="1"/>
    <col min="126" max="129" width="9.33203125" style="80" bestFit="1" customWidth="1"/>
    <col min="130" max="130" width="9" style="80" bestFit="1" customWidth="1"/>
    <col min="131" max="134" width="9.33203125" style="80" bestFit="1" customWidth="1"/>
    <col min="135" max="165" width="9" style="80" bestFit="1" customWidth="1"/>
    <col min="166" max="166" width="12.33203125" style="80" bestFit="1" customWidth="1"/>
    <col min="167" max="170" width="9" style="80" bestFit="1" customWidth="1"/>
    <col min="171" max="176" width="8.83203125" style="80"/>
    <col min="177" max="177" width="13.83203125" style="80" bestFit="1" customWidth="1"/>
    <col min="178" max="16384" width="8.83203125" style="80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236</v>
      </c>
      <c r="E1" t="s">
        <v>237</v>
      </c>
      <c r="F1" t="s">
        <v>192</v>
      </c>
      <c r="G1" t="s">
        <v>193</v>
      </c>
      <c r="H1" t="s">
        <v>194</v>
      </c>
      <c r="I1" t="s">
        <v>195</v>
      </c>
      <c r="J1" t="s">
        <v>196</v>
      </c>
      <c r="K1" t="s">
        <v>197</v>
      </c>
      <c r="L1" t="s">
        <v>198</v>
      </c>
      <c r="M1" t="s">
        <v>199</v>
      </c>
      <c r="N1" t="s">
        <v>200</v>
      </c>
      <c r="O1" t="s">
        <v>201</v>
      </c>
      <c r="P1" t="s">
        <v>202</v>
      </c>
      <c r="Q1" t="s">
        <v>203</v>
      </c>
      <c r="R1" t="s">
        <v>204</v>
      </c>
      <c r="S1" t="s">
        <v>205</v>
      </c>
      <c r="T1" t="s">
        <v>206</v>
      </c>
      <c r="U1" t="s">
        <v>207</v>
      </c>
      <c r="V1" t="s">
        <v>208</v>
      </c>
      <c r="W1" t="s">
        <v>209</v>
      </c>
      <c r="X1" t="s">
        <v>210</v>
      </c>
      <c r="Y1" t="s">
        <v>211</v>
      </c>
      <c r="Z1" t="s">
        <v>212</v>
      </c>
      <c r="AA1" t="s">
        <v>213</v>
      </c>
      <c r="AB1" t="s">
        <v>214</v>
      </c>
      <c r="AC1" t="s">
        <v>215</v>
      </c>
      <c r="AD1" t="s">
        <v>216</v>
      </c>
      <c r="AE1" t="s">
        <v>217</v>
      </c>
      <c r="AF1" t="s">
        <v>218</v>
      </c>
      <c r="AG1" t="s">
        <v>219</v>
      </c>
      <c r="AH1" t="s">
        <v>220</v>
      </c>
      <c r="AI1" t="s">
        <v>221</v>
      </c>
      <c r="AJ1" t="s">
        <v>222</v>
      </c>
      <c r="AK1" t="s">
        <v>223</v>
      </c>
      <c r="AL1" t="s">
        <v>224</v>
      </c>
      <c r="AM1" t="s">
        <v>225</v>
      </c>
      <c r="AN1" t="s">
        <v>226</v>
      </c>
      <c r="AO1" t="s">
        <v>227</v>
      </c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0.40579530596733093</v>
      </c>
      <c r="C2">
        <v>9.526921808719635E-2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 s="221">
        <v>0.31052610278129578</v>
      </c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0.86486697196960449</v>
      </c>
      <c r="C3">
        <v>0.24471883475780487</v>
      </c>
      <c r="D3" s="19">
        <v>1.522710919380188E-2</v>
      </c>
      <c r="E3" s="214">
        <v>4.568132758140564E-2</v>
      </c>
      <c r="F3"/>
      <c r="G3"/>
      <c r="H3"/>
      <c r="I3" s="137">
        <v>0.1115129142999649</v>
      </c>
      <c r="J3"/>
      <c r="K3" s="246">
        <v>0.43671494722366333</v>
      </c>
      <c r="L3"/>
      <c r="M3" s="18">
        <v>1.1011801660060883E-2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2.104515552520752</v>
      </c>
      <c r="C4">
        <v>0.63837665319442749</v>
      </c>
      <c r="D4" s="23">
        <v>1.211926806718111E-2</v>
      </c>
      <c r="E4"/>
      <c r="F4"/>
      <c r="G4" s="242">
        <v>0.28490802645683289</v>
      </c>
      <c r="H4" s="66">
        <v>0.13109526038169861</v>
      </c>
      <c r="I4"/>
      <c r="J4"/>
      <c r="K4" s="25">
        <v>6.4089998602867126E-2</v>
      </c>
      <c r="L4"/>
      <c r="M4" s="19">
        <v>3.704630583524704E-2</v>
      </c>
      <c r="N4"/>
      <c r="O4"/>
      <c r="P4"/>
      <c r="Q4"/>
      <c r="R4"/>
      <c r="S4"/>
      <c r="T4"/>
      <c r="U4"/>
      <c r="V4"/>
      <c r="W4"/>
      <c r="X4"/>
      <c r="Y4"/>
      <c r="Z4" s="261">
        <v>0.93688011169433594</v>
      </c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0.70747488737106323</v>
      </c>
      <c r="C5">
        <v>7.9361915588378906E-2</v>
      </c>
      <c r="D5" s="12">
        <v>3.219587029889226E-3</v>
      </c>
      <c r="E5" s="18">
        <v>7.8701023012399673E-3</v>
      </c>
      <c r="F5"/>
      <c r="G5" s="254">
        <v>0.59253013134002686</v>
      </c>
      <c r="H5"/>
      <c r="I5"/>
      <c r="J5" s="27">
        <v>2.4493187665939331E-2</v>
      </c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0.7438511848449707</v>
      </c>
      <c r="C6">
        <v>0.19498425722122192</v>
      </c>
      <c r="D6" s="14">
        <v>1.3272133655846119E-3</v>
      </c>
      <c r="E6" s="215">
        <v>0.10617706924676895</v>
      </c>
      <c r="F6"/>
      <c r="G6"/>
      <c r="H6" s="238">
        <v>0.44136261940002441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1.4876126050949097</v>
      </c>
      <c r="C7">
        <v>0.2528633177280426</v>
      </c>
      <c r="D7" s="14">
        <v>3.1912524718791246E-3</v>
      </c>
      <c r="E7"/>
      <c r="F7"/>
      <c r="G7" s="67">
        <v>7.6072104275226593E-2</v>
      </c>
      <c r="H7"/>
      <c r="I7"/>
      <c r="J7"/>
      <c r="K7" s="262">
        <v>0.51400214433670044</v>
      </c>
      <c r="L7"/>
      <c r="M7"/>
      <c r="N7"/>
      <c r="O7"/>
      <c r="P7"/>
      <c r="Q7" s="217">
        <v>0.1942322701215744</v>
      </c>
      <c r="R7"/>
      <c r="S7"/>
      <c r="T7"/>
      <c r="U7" s="260">
        <v>0.44725146889686584</v>
      </c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0.89643287658691406</v>
      </c>
      <c r="C8">
        <v>0.16166515648365021</v>
      </c>
      <c r="D8" s="11">
        <v>8.6921296315267682E-4</v>
      </c>
      <c r="E8" s="216">
        <v>0.16000761091709137</v>
      </c>
      <c r="F8"/>
      <c r="G8"/>
      <c r="H8"/>
      <c r="I8"/>
      <c r="J8"/>
      <c r="K8"/>
      <c r="L8"/>
      <c r="M8" s="66">
        <v>5.677032470703125E-2</v>
      </c>
      <c r="N8" s="217">
        <v>0.11721766740083694</v>
      </c>
      <c r="O8"/>
      <c r="P8" s="145">
        <v>0.22546671330928802</v>
      </c>
      <c r="Q8"/>
      <c r="R8"/>
      <c r="S8"/>
      <c r="T8"/>
      <c r="U8"/>
      <c r="V8"/>
      <c r="W8"/>
      <c r="X8"/>
      <c r="Y8"/>
      <c r="Z8" s="106">
        <v>0.17443616688251495</v>
      </c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0.83328819274902344</v>
      </c>
      <c r="C9">
        <v>0.18236330151557922</v>
      </c>
      <c r="D9" s="14">
        <v>8.6516852024942636E-4</v>
      </c>
      <c r="E9"/>
      <c r="F9"/>
      <c r="G9"/>
      <c r="H9"/>
      <c r="I9"/>
      <c r="J9"/>
      <c r="K9"/>
      <c r="L9" s="229">
        <v>0.42824497818946838</v>
      </c>
      <c r="M9" s="222">
        <v>8.1851579248905182E-2</v>
      </c>
      <c r="N9" s="75">
        <v>0.13996316492557526</v>
      </c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2.8770489692687988</v>
      </c>
      <c r="C10">
        <v>0.52870619297027588</v>
      </c>
      <c r="D10" s="14">
        <v>3.7170301657170057E-3</v>
      </c>
      <c r="E10"/>
      <c r="F10" s="228">
        <v>0.26184549927711487</v>
      </c>
      <c r="G10" s="138">
        <v>0.3447079062461853</v>
      </c>
      <c r="H10"/>
      <c r="I10" s="223">
        <v>9.8532170057296753E-2</v>
      </c>
      <c r="J10"/>
      <c r="K10"/>
      <c r="L10" s="145">
        <v>0.71952283382415771</v>
      </c>
      <c r="M10" s="225">
        <v>0.23622012138366699</v>
      </c>
      <c r="N10"/>
      <c r="O10"/>
      <c r="P10"/>
      <c r="Q10"/>
      <c r="R10"/>
      <c r="S10"/>
      <c r="T10"/>
      <c r="U10"/>
      <c r="V10"/>
      <c r="W10"/>
      <c r="X10"/>
      <c r="Y10"/>
      <c r="Z10" s="250">
        <v>0.68379706144332886</v>
      </c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1.189138650894165</v>
      </c>
      <c r="C11">
        <v>1.0502520799636841</v>
      </c>
      <c r="D11" s="15">
        <v>1.1173206381499767E-2</v>
      </c>
      <c r="E11"/>
      <c r="F11"/>
      <c r="G11"/>
      <c r="H11"/>
      <c r="I11"/>
      <c r="J11" s="17">
        <v>1.6425933688879013E-2</v>
      </c>
      <c r="K11"/>
      <c r="L11"/>
      <c r="M11" s="11">
        <v>4.4389144750311971E-4</v>
      </c>
      <c r="N11" s="18">
        <v>1.3595911674201488E-2</v>
      </c>
      <c r="O11" s="225">
        <v>9.7247660160064697E-2</v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1.1318271160125732</v>
      </c>
      <c r="C12">
        <v>0.44123074412345886</v>
      </c>
      <c r="D12" s="12">
        <v>3.9018613751977682E-3</v>
      </c>
      <c r="E12"/>
      <c r="F12"/>
      <c r="G12"/>
      <c r="H12" s="28">
        <v>5.3253527730703354E-2</v>
      </c>
      <c r="I12"/>
      <c r="J12"/>
      <c r="K12"/>
      <c r="L12"/>
      <c r="M12" s="14">
        <v>1.7791629070416093E-3</v>
      </c>
      <c r="N12"/>
      <c r="O12"/>
      <c r="P12" s="64">
        <v>4.6318564563989639E-2</v>
      </c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 s="266">
        <v>0.58534330129623413</v>
      </c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1.1390790939331055</v>
      </c>
      <c r="C13">
        <v>0.17647574841976166</v>
      </c>
      <c r="D13" s="12">
        <v>5.2889497019350529E-3</v>
      </c>
      <c r="E13"/>
      <c r="F13"/>
      <c r="G13" s="16">
        <v>1.7345424741506577E-2</v>
      </c>
      <c r="H13" s="26">
        <v>2.8037270531058311E-2</v>
      </c>
      <c r="I13"/>
      <c r="J13"/>
      <c r="K13"/>
      <c r="L13" s="223">
        <v>3.7537127733230591E-2</v>
      </c>
      <c r="M13"/>
      <c r="N13"/>
      <c r="O13"/>
      <c r="P13" s="249">
        <v>0.65605610609054565</v>
      </c>
      <c r="Q13" s="227">
        <v>0.12787701189517975</v>
      </c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 s="226">
        <v>9.0461514890193939E-2</v>
      </c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1.9869744777679443</v>
      </c>
      <c r="C14">
        <v>0.1645621657371521</v>
      </c>
      <c r="D14" s="11">
        <v>1.8757842481136322E-3</v>
      </c>
      <c r="E14" s="15">
        <v>1.9904155284166336E-2</v>
      </c>
      <c r="F14"/>
      <c r="G14"/>
      <c r="H14"/>
      <c r="I14"/>
      <c r="J14"/>
      <c r="K14"/>
      <c r="L14" s="13">
        <v>7.3120869696140289E-2</v>
      </c>
      <c r="M14" s="26">
        <v>5.2361324429512024E-2</v>
      </c>
      <c r="N14" s="215">
        <v>0.28323623538017273</v>
      </c>
      <c r="O14"/>
      <c r="P14" s="237">
        <v>0.29993966221809387</v>
      </c>
      <c r="Q14"/>
      <c r="R14" s="231">
        <v>0.2096068263053894</v>
      </c>
      <c r="S14"/>
      <c r="T14"/>
      <c r="U14"/>
      <c r="V14"/>
      <c r="W14"/>
      <c r="X14"/>
      <c r="Y14"/>
      <c r="Z14" s="256">
        <v>0.88236737251281738</v>
      </c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2.0968120098114014</v>
      </c>
      <c r="C15">
        <v>0.28313347697257996</v>
      </c>
      <c r="D15" s="15">
        <v>1.8793307244777679E-2</v>
      </c>
      <c r="E15"/>
      <c r="F15"/>
      <c r="G15"/>
      <c r="H15"/>
      <c r="I15"/>
      <c r="J15" s="16">
        <v>3.4071072936058044E-2</v>
      </c>
      <c r="K15"/>
      <c r="L15"/>
      <c r="M15"/>
      <c r="N15" s="252">
        <v>1.0898975133895874</v>
      </c>
      <c r="O15"/>
      <c r="P15"/>
      <c r="Q15"/>
      <c r="R15"/>
      <c r="S15" s="245">
        <v>0.67091673612594604</v>
      </c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2.1999084949493408</v>
      </c>
      <c r="C16">
        <v>0.26846849918365479</v>
      </c>
      <c r="D16" s="11">
        <v>1.3778386637568474E-3</v>
      </c>
      <c r="E16"/>
      <c r="F16"/>
      <c r="G16"/>
      <c r="H16"/>
      <c r="I16"/>
      <c r="J16" s="24">
        <v>5.9803154319524765E-2</v>
      </c>
      <c r="K16"/>
      <c r="L16"/>
      <c r="M16" s="24">
        <v>5.855950340628624E-2</v>
      </c>
      <c r="N16" s="228">
        <v>0.20050346851348877</v>
      </c>
      <c r="O16"/>
      <c r="P16" s="253">
        <v>1.0853942632675171</v>
      </c>
      <c r="Q16"/>
      <c r="R16"/>
      <c r="S16"/>
      <c r="T16"/>
      <c r="U16"/>
      <c r="V16" s="243">
        <v>0.52580177783966064</v>
      </c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1.7281509637832642</v>
      </c>
      <c r="C17">
        <v>0.17468097805976868</v>
      </c>
      <c r="D17" s="18">
        <v>2.1751893684267998E-2</v>
      </c>
      <c r="E17"/>
      <c r="F17"/>
      <c r="G17"/>
      <c r="H17"/>
      <c r="I17"/>
      <c r="J17"/>
      <c r="K17"/>
      <c r="L17" s="255">
        <v>1.5050904750823975</v>
      </c>
      <c r="M17"/>
      <c r="N17" s="16">
        <v>2.6627646759152412E-2</v>
      </c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0.10378869622945786</v>
      </c>
      <c r="C18">
        <v>4.8394214361906052E-2</v>
      </c>
      <c r="D18" s="22">
        <v>8.3355174865573645E-4</v>
      </c>
      <c r="E18"/>
      <c r="F18" s="14">
        <v>2.2250207257457078E-4</v>
      </c>
      <c r="G18"/>
      <c r="H18"/>
      <c r="I18"/>
      <c r="J18" s="14">
        <v>2.4674885207787156E-4</v>
      </c>
      <c r="K18"/>
      <c r="L18"/>
      <c r="M18"/>
      <c r="N18" s="16">
        <v>1.6027990495786071E-3</v>
      </c>
      <c r="O18"/>
      <c r="P18" s="13">
        <v>3.884138772264123E-3</v>
      </c>
      <c r="Q18"/>
      <c r="R18" s="24">
        <v>2.8893253766000271E-3</v>
      </c>
      <c r="S18"/>
      <c r="T18"/>
      <c r="U18"/>
      <c r="V18"/>
      <c r="W18"/>
      <c r="X18"/>
      <c r="Y18"/>
      <c r="Z18" s="224">
        <v>4.5715417712926865E-2</v>
      </c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3.6358284950256348</v>
      </c>
      <c r="C19">
        <v>0.68115657567977905</v>
      </c>
      <c r="D19" s="14">
        <v>5.5893962271511555E-3</v>
      </c>
      <c r="E19" s="24">
        <v>0.10120800137519836</v>
      </c>
      <c r="F19"/>
      <c r="G19" s="251">
        <v>0.3513176441192627</v>
      </c>
      <c r="H19"/>
      <c r="I19" s="73">
        <v>0.23640234768390656</v>
      </c>
      <c r="J19" s="23">
        <v>2.0422438159584999E-2</v>
      </c>
      <c r="K19"/>
      <c r="L19"/>
      <c r="M19" s="14">
        <v>7.6669482514262199E-3</v>
      </c>
      <c r="N19" s="263">
        <v>0.67450082302093506</v>
      </c>
      <c r="O19"/>
      <c r="P19" s="270">
        <v>1.557564377784729</v>
      </c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3.4844589233398438</v>
      </c>
      <c r="C20">
        <v>0.27985283732414246</v>
      </c>
      <c r="D20" s="11">
        <v>1.2408645125105977E-4</v>
      </c>
      <c r="E20" s="217">
        <v>0.45499634742736816</v>
      </c>
      <c r="F20" s="21">
        <v>7.1732610464096069E-2</v>
      </c>
      <c r="G20" s="225">
        <v>0.28626993298530579</v>
      </c>
      <c r="H20"/>
      <c r="I20" s="20">
        <v>0.15124411880970001</v>
      </c>
      <c r="J20" s="18">
        <v>4.2028691619634628E-2</v>
      </c>
      <c r="K20" s="240">
        <v>0.29684799909591675</v>
      </c>
      <c r="L20" s="235">
        <v>0.47915583848953247</v>
      </c>
      <c r="M20" s="14">
        <v>7.7838939614593983E-3</v>
      </c>
      <c r="N20" s="228">
        <v>0.31624734401702881</v>
      </c>
      <c r="O20"/>
      <c r="P20" s="230">
        <v>0.35564979910850525</v>
      </c>
      <c r="Q20"/>
      <c r="R20"/>
      <c r="S20"/>
      <c r="T20"/>
      <c r="U20"/>
      <c r="V20"/>
      <c r="W20"/>
      <c r="X20"/>
      <c r="Y20"/>
      <c r="Z20" s="222">
        <v>0.33945253491401672</v>
      </c>
      <c r="AA20"/>
      <c r="AB20" s="257">
        <v>0.40307295322418213</v>
      </c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1.020039439201355</v>
      </c>
      <c r="C21">
        <v>4.2479652911424637E-2</v>
      </c>
      <c r="D21" s="11">
        <v>3.4611530281836167E-5</v>
      </c>
      <c r="E21" s="218">
        <v>0.2465585470199585</v>
      </c>
      <c r="F21"/>
      <c r="G21" s="104">
        <v>0.29689434170722961</v>
      </c>
      <c r="H21"/>
      <c r="I21" s="236">
        <v>0.26647600531578064</v>
      </c>
      <c r="J21"/>
      <c r="K21"/>
      <c r="L21"/>
      <c r="M21" s="27">
        <v>3.6156874150037766E-2</v>
      </c>
      <c r="N21" s="137">
        <v>0.13143937289714813</v>
      </c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3.25872802734375</v>
      </c>
      <c r="C22">
        <v>0.38872256875038147</v>
      </c>
      <c r="D22" s="11">
        <v>2.8146645054221153E-3</v>
      </c>
      <c r="E22"/>
      <c r="F22" s="12">
        <v>1.0301508940756321E-2</v>
      </c>
      <c r="G22" s="21">
        <v>6.5450437366962433E-2</v>
      </c>
      <c r="H22" s="258">
        <v>0.1827223151922226</v>
      </c>
      <c r="I22" s="14">
        <v>3.3312842715531588E-3</v>
      </c>
      <c r="J22" s="14">
        <v>7.2996737435460091E-3</v>
      </c>
      <c r="K22" s="272">
        <v>0.91746580600738525</v>
      </c>
      <c r="L22" s="11">
        <v>1.2464537576306611E-4</v>
      </c>
      <c r="M22" s="18">
        <v>4.1490320116281509E-2</v>
      </c>
      <c r="N22" s="14">
        <v>9.5274187624454498E-3</v>
      </c>
      <c r="O22" s="69">
        <v>0.22998274862766266</v>
      </c>
      <c r="P22" s="27">
        <v>0.11260595917701721</v>
      </c>
      <c r="Q22" s="22">
        <v>2.2953156381845474E-2</v>
      </c>
      <c r="R22" s="27">
        <v>0.11713073402643204</v>
      </c>
      <c r="S22" s="25">
        <v>0.10446340590715408</v>
      </c>
      <c r="T22"/>
      <c r="U22" s="244">
        <v>0.41001033782958984</v>
      </c>
      <c r="V22" s="22">
        <v>2.4592682719230652E-2</v>
      </c>
      <c r="W22"/>
      <c r="X22"/>
      <c r="Y22"/>
      <c r="Z22" s="239">
        <v>0.52354413270950317</v>
      </c>
      <c r="AA22"/>
      <c r="AB22"/>
      <c r="AC22"/>
      <c r="AD22"/>
      <c r="AE22"/>
      <c r="AF22"/>
      <c r="AG22"/>
      <c r="AH22" s="21">
        <v>6.6947087645530701E-2</v>
      </c>
      <c r="AI22" s="23">
        <v>1.7247028648853302E-2</v>
      </c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3.1471779346466064</v>
      </c>
      <c r="C23">
        <v>0.58256781101226807</v>
      </c>
      <c r="D23" s="14">
        <v>4.3369508348405361E-3</v>
      </c>
      <c r="E23"/>
      <c r="F23"/>
      <c r="G23"/>
      <c r="H23"/>
      <c r="I23"/>
      <c r="J23"/>
      <c r="K23"/>
      <c r="L23" s="248">
        <v>0.92801791429519653</v>
      </c>
      <c r="M23"/>
      <c r="N23"/>
      <c r="O23"/>
      <c r="P23"/>
      <c r="Q23"/>
      <c r="R23"/>
      <c r="S23"/>
      <c r="T23" s="225">
        <v>0.25720319151878357</v>
      </c>
      <c r="U23"/>
      <c r="V23" s="11">
        <v>3.458330174908042E-4</v>
      </c>
      <c r="W23"/>
      <c r="X23"/>
      <c r="Y23"/>
      <c r="Z23"/>
      <c r="AA23" s="241">
        <v>0.46458718180656433</v>
      </c>
      <c r="AB23" s="247">
        <v>0.91011911630630493</v>
      </c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3.2774059772491455</v>
      </c>
      <c r="C24">
        <v>0.30887117981910706</v>
      </c>
      <c r="D24" s="11">
        <v>1.1861221864819527E-3</v>
      </c>
      <c r="E24" s="25">
        <v>0.10239174216985703</v>
      </c>
      <c r="F24" s="26">
        <v>8.4955938160419464E-2</v>
      </c>
      <c r="G24"/>
      <c r="H24"/>
      <c r="I24"/>
      <c r="J24" s="14">
        <v>7.3098465800285339E-3</v>
      </c>
      <c r="K24" s="105">
        <v>0.51691782474517822</v>
      </c>
      <c r="L24" s="14">
        <v>3.9296369068324566E-3</v>
      </c>
      <c r="M24" s="265">
        <v>0.54536253213882446</v>
      </c>
      <c r="N24"/>
      <c r="O24"/>
      <c r="P24" s="236">
        <v>0.85690057277679443</v>
      </c>
      <c r="Q24" s="14">
        <v>4.719139076769352E-3</v>
      </c>
      <c r="R24"/>
      <c r="S24"/>
      <c r="T24"/>
      <c r="U24" s="17">
        <v>4.403989389538765E-2</v>
      </c>
      <c r="V24"/>
      <c r="W24"/>
      <c r="X24"/>
      <c r="Y24"/>
      <c r="Z24"/>
      <c r="AA24"/>
      <c r="AB24" s="268">
        <v>0.80082172155380249</v>
      </c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3.5570216178894043</v>
      </c>
      <c r="C25">
        <v>0.80770426988601685</v>
      </c>
      <c r="D25" s="11">
        <v>9.8274183983448893E-5</v>
      </c>
      <c r="E25" s="11">
        <v>1.1439323425292969E-3</v>
      </c>
      <c r="F25"/>
      <c r="G25"/>
      <c r="H25" s="143">
        <v>0.10208284109830856</v>
      </c>
      <c r="I25"/>
      <c r="J25"/>
      <c r="K25"/>
      <c r="L25"/>
      <c r="M25"/>
      <c r="N25" s="240">
        <v>0.30218839645385742</v>
      </c>
      <c r="O25"/>
      <c r="P25" s="21">
        <v>6.9554433226585388E-2</v>
      </c>
      <c r="Q25" s="14">
        <v>6.4007840119302273E-3</v>
      </c>
      <c r="R25"/>
      <c r="S25" s="240">
        <v>0.30047738552093506</v>
      </c>
      <c r="T25" s="240">
        <v>0.29858660697937012</v>
      </c>
      <c r="U25"/>
      <c r="V25" s="22">
        <v>2.6769954711198807E-2</v>
      </c>
      <c r="W25" s="26">
        <v>8.7778203189373016E-2</v>
      </c>
      <c r="X25"/>
      <c r="Y25" s="232">
        <v>8.2726560533046722E-2</v>
      </c>
      <c r="Z25"/>
      <c r="AA25"/>
      <c r="AB25"/>
      <c r="AC25"/>
      <c r="AD25"/>
      <c r="AE25" s="25">
        <v>0.11360571533441544</v>
      </c>
      <c r="AF25"/>
      <c r="AG25" s="262">
        <v>1.225919246673584</v>
      </c>
      <c r="AH25" s="13">
        <v>0.13198529183864594</v>
      </c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2.4423558712005615</v>
      </c>
      <c r="C26">
        <v>0.86686301231384277</v>
      </c>
      <c r="D26"/>
      <c r="E26" s="18">
        <v>3.0674751847982407E-2</v>
      </c>
      <c r="F26"/>
      <c r="G26"/>
      <c r="H26" s="64">
        <v>9.9294617772102356E-2</v>
      </c>
      <c r="I26" s="14">
        <v>4.0490026585757732E-3</v>
      </c>
      <c r="J26" s="11">
        <v>1.1715731816366315E-3</v>
      </c>
      <c r="K26" s="14">
        <v>4.0268986485898495E-3</v>
      </c>
      <c r="L26"/>
      <c r="M26"/>
      <c r="N26" s="18">
        <v>2.7411077171564102E-2</v>
      </c>
      <c r="O26"/>
      <c r="P26" s="17">
        <v>3.1734518706798553E-2</v>
      </c>
      <c r="Q26" s="23">
        <v>1.3950243592262268E-2</v>
      </c>
      <c r="R26" s="23">
        <v>1.5893863514065742E-2</v>
      </c>
      <c r="S26"/>
      <c r="T26" s="214">
        <v>0.12762114405632019</v>
      </c>
      <c r="U26"/>
      <c r="V26" s="11">
        <v>2.1941033191978931E-3</v>
      </c>
      <c r="W26" s="232">
        <v>5.7384945452213287E-2</v>
      </c>
      <c r="X26"/>
      <c r="Y26" s="14">
        <v>4.4022337533533573E-3</v>
      </c>
      <c r="Z26" s="65">
        <v>0.14194421470165253</v>
      </c>
      <c r="AA26"/>
      <c r="AB26"/>
      <c r="AC26"/>
      <c r="AD26"/>
      <c r="AE26" s="23">
        <v>1.3393268920481205E-2</v>
      </c>
      <c r="AF26"/>
      <c r="AG26" s="273">
        <v>0.90861082077026367</v>
      </c>
      <c r="AH26" s="13">
        <v>9.1735579073429108E-2</v>
      </c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0.94769024848937988</v>
      </c>
      <c r="C27">
        <v>9.3666993081569672E-2</v>
      </c>
      <c r="D27" s="14">
        <v>1.6894204309210181E-3</v>
      </c>
      <c r="E27"/>
      <c r="F27"/>
      <c r="G27"/>
      <c r="H27"/>
      <c r="I27"/>
      <c r="J27" s="140">
        <v>9.4461865723133087E-2</v>
      </c>
      <c r="K27"/>
      <c r="L27"/>
      <c r="M27"/>
      <c r="N27"/>
      <c r="O27"/>
      <c r="P27" s="23">
        <v>4.6498975716531277E-3</v>
      </c>
      <c r="Q27"/>
      <c r="R27" s="257">
        <v>0.10961531102657318</v>
      </c>
      <c r="S27"/>
      <c r="T27"/>
      <c r="U27"/>
      <c r="V27"/>
      <c r="W27" s="250">
        <v>0.22546374797821045</v>
      </c>
      <c r="X27"/>
      <c r="Y27"/>
      <c r="Z27" s="66">
        <v>5.9775296598672867E-2</v>
      </c>
      <c r="AA27"/>
      <c r="AB27"/>
      <c r="AC27"/>
      <c r="AD27"/>
      <c r="AE27" s="264">
        <v>0.18934515118598938</v>
      </c>
      <c r="AF27"/>
      <c r="AG27" s="216">
        <v>0.16902251541614532</v>
      </c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1.8455432653427124</v>
      </c>
      <c r="C28">
        <v>0.49475565552711487</v>
      </c>
      <c r="D28" s="11">
        <v>1.0257554095005617E-4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 s="64">
        <v>7.5049556791782379E-2</v>
      </c>
      <c r="U28"/>
      <c r="V28"/>
      <c r="W28" s="28">
        <v>8.8643722236156464E-2</v>
      </c>
      <c r="X28"/>
      <c r="Y28"/>
      <c r="Z28"/>
      <c r="AA28"/>
      <c r="AB28"/>
      <c r="AC28"/>
      <c r="AD28"/>
      <c r="AE28" s="139">
        <v>1.186991810798645</v>
      </c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1.1446882486343384</v>
      </c>
      <c r="C29">
        <v>6.1738956719636917E-2</v>
      </c>
      <c r="D29" s="11">
        <v>1.7835177459346596E-6</v>
      </c>
      <c r="E29" s="14">
        <v>2.5785800535231829E-3</v>
      </c>
      <c r="F29"/>
      <c r="G29"/>
      <c r="H29"/>
      <c r="I29"/>
      <c r="J29" s="14">
        <v>1.8216674216091633E-3</v>
      </c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 s="271">
        <v>1.0245469808578491</v>
      </c>
      <c r="AA29"/>
      <c r="AB29"/>
      <c r="AC29"/>
      <c r="AD29"/>
      <c r="AE29" s="28">
        <v>5.4000291973352432E-2</v>
      </c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3.1080946922302246</v>
      </c>
      <c r="C30">
        <v>0.45864212512969971</v>
      </c>
      <c r="D30" s="23">
        <v>1.8672959879040718E-2</v>
      </c>
      <c r="E30" s="219">
        <v>0.71745657920837402</v>
      </c>
      <c r="F30"/>
      <c r="G30" s="240">
        <v>0.25901186466217041</v>
      </c>
      <c r="H30" s="69">
        <v>0.21897031366825104</v>
      </c>
      <c r="I30"/>
      <c r="J30" s="13">
        <v>0.11406213790178299</v>
      </c>
      <c r="K30"/>
      <c r="L30"/>
      <c r="M30" s="11">
        <v>8.5081945871934295E-4</v>
      </c>
      <c r="N30" s="17">
        <v>4.1269328445196152E-2</v>
      </c>
      <c r="O30"/>
      <c r="P30" s="227">
        <v>0.34921339154243469</v>
      </c>
      <c r="Q30" s="105">
        <v>0.4856555163860321</v>
      </c>
      <c r="R30"/>
      <c r="S30"/>
      <c r="T30"/>
      <c r="U30"/>
      <c r="V30" s="11">
        <v>2.1009132615290582E-4</v>
      </c>
      <c r="W30"/>
      <c r="X30"/>
      <c r="Y30"/>
      <c r="Z30" s="19">
        <v>5.4960720241069794E-2</v>
      </c>
      <c r="AA30"/>
      <c r="AB30"/>
      <c r="AC30"/>
      <c r="AD30"/>
      <c r="AE30"/>
      <c r="AF30"/>
      <c r="AG30"/>
      <c r="AH30" s="244">
        <v>0.38911902904510498</v>
      </c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2.3023738861083984</v>
      </c>
      <c r="C31">
        <v>0.2822396457195282</v>
      </c>
      <c r="D31" s="11">
        <v>9.2499330639839172E-4</v>
      </c>
      <c r="E31"/>
      <c r="F31"/>
      <c r="G31" s="20">
        <v>9.9505402147769928E-2</v>
      </c>
      <c r="H31" s="66">
        <v>0.14624658226966858</v>
      </c>
      <c r="I31" s="25">
        <v>7.144947350025177E-2</v>
      </c>
      <c r="J31" s="143">
        <v>6.6613972187042236E-2</v>
      </c>
      <c r="K31" s="235">
        <v>0.31624752283096313</v>
      </c>
      <c r="L31"/>
      <c r="M31" s="22">
        <v>2.0111646503210068E-2</v>
      </c>
      <c r="N31"/>
      <c r="O31" s="219">
        <v>0.53092777729034424</v>
      </c>
      <c r="P31" s="12">
        <v>8.085363544523716E-3</v>
      </c>
      <c r="Q31" s="239">
        <v>0.37159889936447144</v>
      </c>
      <c r="R31" s="28">
        <v>0.11001769453287125</v>
      </c>
      <c r="S31" s="230">
        <v>0.23590625822544098</v>
      </c>
      <c r="T31"/>
      <c r="U31" s="15">
        <v>2.4515720084309578E-2</v>
      </c>
      <c r="V31" s="22">
        <v>1.7982784658670425E-2</v>
      </c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5.4833197593688965</v>
      </c>
      <c r="C32">
        <v>7.5162053108215332E-2</v>
      </c>
      <c r="D32" s="213">
        <v>1.6799839735031128</v>
      </c>
      <c r="E32" s="220">
        <v>1.3514105081558228</v>
      </c>
      <c r="F32"/>
      <c r="G32" s="233">
        <v>0.21459031105041504</v>
      </c>
      <c r="H32" s="18">
        <v>6.6067814826965332E-2</v>
      </c>
      <c r="I32" s="27">
        <v>0.19448679685592651</v>
      </c>
      <c r="J32" s="15">
        <v>5.2370551973581314E-2</v>
      </c>
      <c r="K32" s="233">
        <v>0.21106606721878052</v>
      </c>
      <c r="L32"/>
      <c r="M32" s="11">
        <v>1.0493431473150849E-3</v>
      </c>
      <c r="N32" s="24">
        <v>0.14591966569423676</v>
      </c>
      <c r="O32" s="234">
        <v>0.25158670544624329</v>
      </c>
      <c r="P32" s="25">
        <v>0.17225486040115356</v>
      </c>
      <c r="Q32" s="28">
        <v>0.25580644607543945</v>
      </c>
      <c r="R32" s="22">
        <v>3.8278818130493164E-2</v>
      </c>
      <c r="S32" s="20">
        <v>0.23826970160007477</v>
      </c>
      <c r="T32"/>
      <c r="U32" s="12">
        <v>2.3211009800434113E-2</v>
      </c>
      <c r="V32" s="11">
        <v>2.2122243535704911E-4</v>
      </c>
      <c r="W32"/>
      <c r="X32"/>
      <c r="Y32"/>
      <c r="Z32" s="27">
        <v>0.19554534554481506</v>
      </c>
      <c r="AA32"/>
      <c r="AB32" s="143">
        <v>0.16250143945217133</v>
      </c>
      <c r="AC32"/>
      <c r="AD32"/>
      <c r="AE32" s="22">
        <v>3.9016939699649811E-2</v>
      </c>
      <c r="AF32"/>
      <c r="AG32"/>
      <c r="AH32" s="63">
        <v>0.1145203486084938</v>
      </c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6.0995497703552246</v>
      </c>
      <c r="C33">
        <v>1.5248503684997559</v>
      </c>
      <c r="D33" s="11">
        <v>4.2023337300634012E-5</v>
      </c>
      <c r="E33"/>
      <c r="F33"/>
      <c r="G33" s="144">
        <v>0.37131717801094055</v>
      </c>
      <c r="H33" s="74">
        <v>1.356401801109314</v>
      </c>
      <c r="I33" s="22">
        <v>4.9114655703306198E-2</v>
      </c>
      <c r="J33" s="23">
        <v>3.213496133685112E-2</v>
      </c>
      <c r="K33" s="14">
        <v>1.0421357117593288E-2</v>
      </c>
      <c r="L33"/>
      <c r="M33"/>
      <c r="N33"/>
      <c r="O33" s="12">
        <v>2.6722004637122154E-2</v>
      </c>
      <c r="P33" s="20">
        <v>0.26867508888244629</v>
      </c>
      <c r="Q33" s="232">
        <v>0.1481020450592041</v>
      </c>
      <c r="R33" s="24">
        <v>0.17145651578903198</v>
      </c>
      <c r="S33" s="67">
        <v>0.31460669636726379</v>
      </c>
      <c r="T33" s="17">
        <v>8.0084085464477539E-2</v>
      </c>
      <c r="U33"/>
      <c r="V33"/>
      <c r="W33" s="228">
        <v>0.54742556810379028</v>
      </c>
      <c r="X33" s="17">
        <v>7.9159870743751526E-2</v>
      </c>
      <c r="Y33" s="269">
        <v>0.45687124133110046</v>
      </c>
      <c r="Z33" s="63">
        <v>0.13675332069396973</v>
      </c>
      <c r="AA33"/>
      <c r="AB33"/>
      <c r="AC33"/>
      <c r="AD33"/>
      <c r="AE33" s="18">
        <v>6.7294381558895111E-2</v>
      </c>
      <c r="AF33"/>
      <c r="AG33"/>
      <c r="AH33" s="233">
        <v>0.23981852829456329</v>
      </c>
      <c r="AI33"/>
      <c r="AJ33" s="18">
        <v>6.9087207317352295E-2</v>
      </c>
      <c r="AK33" s="232">
        <v>0.14921103417873383</v>
      </c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1.2763440608978271</v>
      </c>
      <c r="C34">
        <v>0.13701498508453369</v>
      </c>
      <c r="D34" s="11">
        <v>6.9233350222930312E-4</v>
      </c>
      <c r="E34"/>
      <c r="F34"/>
      <c r="G34" s="234">
        <v>5.6649073958396912E-2</v>
      </c>
      <c r="H34" s="19">
        <v>2.1588340401649475E-2</v>
      </c>
      <c r="I34" s="21">
        <v>2.5017907842993736E-2</v>
      </c>
      <c r="J34" s="26">
        <v>3.178708627820015E-2</v>
      </c>
      <c r="K34" s="214">
        <v>6.824164092540741E-2</v>
      </c>
      <c r="L34"/>
      <c r="M34" s="11">
        <v>3.7328412872739136E-4</v>
      </c>
      <c r="N34" s="18">
        <v>1.3788789510726929E-2</v>
      </c>
      <c r="O34" s="267">
        <v>0.25356632471084595</v>
      </c>
      <c r="P34" s="16">
        <v>1.9704433158040047E-2</v>
      </c>
      <c r="Q34" s="65">
        <v>7.5539067387580872E-2</v>
      </c>
      <c r="R34" s="26">
        <v>3.3616337925195694E-2</v>
      </c>
      <c r="S34" s="20">
        <v>5.6147728115320206E-2</v>
      </c>
      <c r="T34" s="63">
        <v>2.7061590924859047E-2</v>
      </c>
      <c r="U34" s="23">
        <v>8.0255186185240746E-3</v>
      </c>
      <c r="V34" s="11">
        <v>5.4508825996890664E-4</v>
      </c>
      <c r="W34" s="24">
        <v>3.456474095582962E-2</v>
      </c>
      <c r="X34" s="259">
        <v>0.16945621371269226</v>
      </c>
      <c r="Y34" s="13">
        <v>4.8523377627134323E-2</v>
      </c>
      <c r="Z34" s="223">
        <v>4.1568811982870102E-2</v>
      </c>
      <c r="AA34"/>
      <c r="AB34"/>
      <c r="AC34"/>
      <c r="AD34"/>
      <c r="AE34" s="12">
        <v>5.7148882187902927E-3</v>
      </c>
      <c r="AF34"/>
      <c r="AG34" s="20">
        <v>5.5898945778608322E-2</v>
      </c>
      <c r="AH34" s="22">
        <v>9.8011773079633713E-3</v>
      </c>
      <c r="AI34"/>
      <c r="AJ34" s="14">
        <v>2.5271109770983458E-3</v>
      </c>
      <c r="AK34" s="23">
        <v>6.8158530630171299E-3</v>
      </c>
      <c r="AL34" s="232">
        <v>3.120570071041584E-2</v>
      </c>
      <c r="AM34" s="25">
        <v>4.0907658636569977E-2</v>
      </c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19.053899765014648</v>
      </c>
      <c r="C35">
        <v>3.070220947265625</v>
      </c>
      <c r="D35"/>
      <c r="E35"/>
      <c r="F35" s="14">
        <v>1.9561965018510818E-2</v>
      </c>
      <c r="G35"/>
      <c r="H35" s="11">
        <v>8.3115994930267334E-3</v>
      </c>
      <c r="I35" s="11">
        <v>2.3210782092064619E-3</v>
      </c>
      <c r="J35" s="11">
        <v>1.6531544970348477E-3</v>
      </c>
      <c r="K35" s="11">
        <v>2.7698297053575516E-3</v>
      </c>
      <c r="L35"/>
      <c r="M35"/>
      <c r="N35" s="22">
        <v>0.15714684128761292</v>
      </c>
      <c r="O35" s="14">
        <v>3.820270299911499E-2</v>
      </c>
      <c r="P35" s="14">
        <v>1.8744651228189468E-2</v>
      </c>
      <c r="Q35" s="12">
        <v>6.7889921367168427E-2</v>
      </c>
      <c r="R35" s="11">
        <v>1.5071832574903965E-2</v>
      </c>
      <c r="S35" s="23">
        <v>0.1134716272354126</v>
      </c>
      <c r="T35" s="14">
        <v>2.1333102136850357E-2</v>
      </c>
      <c r="U35"/>
      <c r="V35" s="12">
        <v>6.3101962208747864E-2</v>
      </c>
      <c r="W35" s="14">
        <v>3.6254260689020157E-2</v>
      </c>
      <c r="X35" s="268">
        <v>4.658149242401123</v>
      </c>
      <c r="Y35" s="14">
        <v>2.9441485181450844E-2</v>
      </c>
      <c r="Z35" s="27">
        <v>0.68108189105987549</v>
      </c>
      <c r="AA35" s="17">
        <v>0.25810578465461731</v>
      </c>
      <c r="AB35" s="251">
        <v>1.8163876533508301</v>
      </c>
      <c r="AC35"/>
      <c r="AD35" s="20">
        <v>0.81569862365722656</v>
      </c>
      <c r="AE35" s="11">
        <v>1.1327045038342476E-2</v>
      </c>
      <c r="AF35" s="14">
        <v>1.9165702164173126E-2</v>
      </c>
      <c r="AG35"/>
      <c r="AH35"/>
      <c r="AI35"/>
      <c r="AJ35"/>
      <c r="AK35"/>
      <c r="AL35"/>
      <c r="AM35" s="108">
        <v>7.1284871101379395</v>
      </c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>
        <v>21.35099983215332</v>
      </c>
      <c r="C36">
        <v>6.9705924987792969</v>
      </c>
      <c r="D36"/>
      <c r="E36"/>
      <c r="F36"/>
      <c r="G36"/>
      <c r="H36"/>
      <c r="I36"/>
      <c r="J36"/>
      <c r="K36"/>
      <c r="L36"/>
      <c r="M36"/>
      <c r="N36" s="11">
        <v>6.1618557083420455E-5</v>
      </c>
      <c r="O36"/>
      <c r="P36"/>
      <c r="Q36"/>
      <c r="R36" s="11">
        <v>1.2587631121277809E-2</v>
      </c>
      <c r="S36"/>
      <c r="T36"/>
      <c r="U36"/>
      <c r="V36"/>
      <c r="W36"/>
      <c r="X36" s="19">
        <v>0.38508561253547668</v>
      </c>
      <c r="Y36"/>
      <c r="Z36"/>
      <c r="AA36"/>
      <c r="AB36"/>
      <c r="AC36"/>
      <c r="AD36" s="16">
        <v>0.31558835506439209</v>
      </c>
      <c r="AE36" s="11">
        <v>6.1248289421200752E-4</v>
      </c>
      <c r="AF36" s="11">
        <v>1.7075059004127979E-3</v>
      </c>
      <c r="AG36"/>
      <c r="AH36"/>
      <c r="AI36"/>
      <c r="AJ36" s="14">
        <v>2.3573469370603561E-2</v>
      </c>
      <c r="AK36"/>
      <c r="AL36" s="12">
        <v>7.1798026561737061E-2</v>
      </c>
      <c r="AM36" s="274">
        <v>13.569394111633301</v>
      </c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>
        <v>7.6115555763244629</v>
      </c>
      <c r="C37">
        <v>6.4852070808410645</v>
      </c>
      <c r="D37"/>
      <c r="E37"/>
      <c r="F37"/>
      <c r="G37"/>
      <c r="H37" s="11">
        <v>3.8716942071914673E-3</v>
      </c>
      <c r="I37" s="11">
        <v>2.8568072593770921E-4</v>
      </c>
      <c r="J37" s="11">
        <v>1.6184261767193675E-4</v>
      </c>
      <c r="K37"/>
      <c r="L37"/>
      <c r="M37"/>
      <c r="N37" s="11">
        <v>7.4941647471860051E-4</v>
      </c>
      <c r="O37"/>
      <c r="P37" s="11">
        <v>5.9302477166056633E-3</v>
      </c>
      <c r="Q37" s="14">
        <v>1.2048728764057159E-2</v>
      </c>
      <c r="R37" s="11">
        <v>5.9796231798827648E-3</v>
      </c>
      <c r="S37"/>
      <c r="T37" s="11">
        <v>5.8703203685581684E-3</v>
      </c>
      <c r="U37"/>
      <c r="V37" s="11">
        <v>7.0925184991210699E-4</v>
      </c>
      <c r="W37"/>
      <c r="X37"/>
      <c r="Y37" s="14">
        <v>1.8229205161333084E-2</v>
      </c>
      <c r="Z37" s="27">
        <v>0.26498514413833618</v>
      </c>
      <c r="AA37"/>
      <c r="AB37"/>
      <c r="AC37" s="64">
        <v>0.3127160370349884</v>
      </c>
      <c r="AD37"/>
      <c r="AE37" s="19">
        <v>0.13259273767471313</v>
      </c>
      <c r="AF37" s="14">
        <v>1.5287414193153381E-2</v>
      </c>
      <c r="AG37" s="19">
        <v>0.1402251273393631</v>
      </c>
      <c r="AH37" s="14">
        <v>2.0481662824749947E-2</v>
      </c>
      <c r="AI37"/>
      <c r="AJ37" s="12">
        <v>2.2409245371818542E-2</v>
      </c>
      <c r="AK37" s="63">
        <v>0.16381534934043884</v>
      </c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228</v>
      </c>
      <c r="B38"/>
      <c r="C38">
        <v>0.26661694049835205</v>
      </c>
      <c r="D38"/>
      <c r="E38"/>
      <c r="F38"/>
      <c r="G38"/>
      <c r="H38"/>
      <c r="I38"/>
      <c r="J38"/>
      <c r="K38"/>
      <c r="L38"/>
      <c r="M38"/>
      <c r="N38" s="9">
        <v>0.26271671056747437</v>
      </c>
      <c r="O38"/>
      <c r="P38"/>
      <c r="Q38"/>
      <c r="R38"/>
      <c r="S38"/>
      <c r="T38"/>
      <c r="U38"/>
      <c r="V38"/>
      <c r="W38" s="9">
        <v>17.045843124389648</v>
      </c>
      <c r="X38"/>
      <c r="Y38" s="9">
        <v>10.558845520019531</v>
      </c>
      <c r="Z38" s="9">
        <v>0.55638390779495239</v>
      </c>
      <c r="AA38" s="9">
        <v>0.9592016339302063</v>
      </c>
      <c r="AB38"/>
      <c r="AC38" s="9">
        <v>26.246196746826172</v>
      </c>
      <c r="AD38" s="9">
        <v>12.815442085266113</v>
      </c>
      <c r="AE38" s="9">
        <v>3.4573557376861572</v>
      </c>
      <c r="AF38" s="9">
        <v>17.941949844360352</v>
      </c>
      <c r="AG38"/>
      <c r="AH38" s="9">
        <v>5.0922541618347168</v>
      </c>
      <c r="AI38" s="9">
        <v>6.8009109497070312</v>
      </c>
      <c r="AJ38" s="9">
        <v>15.322563171386719</v>
      </c>
      <c r="AK38" s="9">
        <v>139.34048461914062</v>
      </c>
      <c r="AL38" s="9">
        <v>35.533493041992188</v>
      </c>
      <c r="AM38" s="9">
        <v>324.61123657226562</v>
      </c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229</v>
      </c>
      <c r="B39"/>
      <c r="C39">
        <v>0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3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1" t="s">
        <v>166</v>
      </c>
    </row>
    <row r="2" spans="1:12" x14ac:dyDescent="0.15">
      <c r="A2" s="1" t="s">
        <v>37</v>
      </c>
      <c r="B2" s="38">
        <v>3</v>
      </c>
      <c r="C2" s="36"/>
      <c r="D2" t="s">
        <v>38</v>
      </c>
      <c r="E2">
        <v>1</v>
      </c>
      <c r="F2">
        <v>1</v>
      </c>
      <c r="G2">
        <v>1</v>
      </c>
      <c r="H2" t="s">
        <v>38</v>
      </c>
      <c r="J2" s="54"/>
      <c r="K2" s="55"/>
      <c r="L2" s="61" t="s">
        <v>167</v>
      </c>
    </row>
    <row r="3" spans="1:12" ht="14" thickBot="1" x14ac:dyDescent="0.2">
      <c r="A3" s="1" t="s">
        <v>39</v>
      </c>
      <c r="B3" s="39">
        <v>0</v>
      </c>
      <c r="C3" s="36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6"/>
      <c r="K3" s="57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6"/>
      <c r="K4" s="57"/>
    </row>
    <row r="5" spans="1:12" x14ac:dyDescent="0.15">
      <c r="D5" s="195" t="s">
        <v>192</v>
      </c>
      <c r="E5">
        <v>4</v>
      </c>
      <c r="F5">
        <v>3.13</v>
      </c>
      <c r="G5">
        <v>4</v>
      </c>
      <c r="H5" s="196" t="s">
        <v>192</v>
      </c>
      <c r="J5" s="56"/>
      <c r="K5" s="57"/>
    </row>
    <row r="6" spans="1:12" ht="14" thickBot="1" x14ac:dyDescent="0.2">
      <c r="A6" s="40" t="s">
        <v>121</v>
      </c>
      <c r="D6" s="195" t="s">
        <v>193</v>
      </c>
      <c r="E6">
        <v>5</v>
      </c>
      <c r="F6">
        <v>3.22</v>
      </c>
      <c r="G6">
        <v>5</v>
      </c>
      <c r="H6" s="196" t="s">
        <v>193</v>
      </c>
      <c r="J6" s="56"/>
      <c r="K6" s="57"/>
    </row>
    <row r="7" spans="1:12" x14ac:dyDescent="0.15">
      <c r="A7" s="35" t="s">
        <v>126</v>
      </c>
      <c r="B7" s="42">
        <v>1</v>
      </c>
      <c r="C7" s="37"/>
      <c r="D7" s="195" t="s">
        <v>194</v>
      </c>
      <c r="E7">
        <v>6</v>
      </c>
      <c r="F7">
        <v>3.22</v>
      </c>
      <c r="G7">
        <v>6</v>
      </c>
      <c r="H7" s="196" t="s">
        <v>194</v>
      </c>
      <c r="J7" s="56"/>
      <c r="K7" s="57"/>
    </row>
    <row r="8" spans="1:12" x14ac:dyDescent="0.15">
      <c r="A8" s="35" t="s">
        <v>38</v>
      </c>
      <c r="B8" s="43">
        <v>1</v>
      </c>
      <c r="C8" s="37"/>
      <c r="D8" s="195" t="s">
        <v>195</v>
      </c>
      <c r="E8">
        <v>7</v>
      </c>
      <c r="F8">
        <v>3.22</v>
      </c>
      <c r="G8">
        <v>7</v>
      </c>
      <c r="H8" s="196" t="s">
        <v>195</v>
      </c>
      <c r="J8" s="56"/>
      <c r="K8" s="57"/>
    </row>
    <row r="9" spans="1:12" x14ac:dyDescent="0.15">
      <c r="A9" s="35" t="s">
        <v>40</v>
      </c>
      <c r="B9" s="43">
        <v>1.1000000000000001</v>
      </c>
      <c r="C9" s="37"/>
      <c r="D9" s="195" t="s">
        <v>196</v>
      </c>
      <c r="E9">
        <v>8</v>
      </c>
      <c r="F9">
        <v>3.22</v>
      </c>
      <c r="G9">
        <v>8</v>
      </c>
      <c r="H9" s="196" t="s">
        <v>196</v>
      </c>
      <c r="J9" s="56"/>
      <c r="K9" s="57"/>
    </row>
    <row r="10" spans="1:12" x14ac:dyDescent="0.15">
      <c r="A10" s="35" t="s">
        <v>41</v>
      </c>
      <c r="B10" s="43">
        <v>1.2</v>
      </c>
      <c r="C10" s="37"/>
      <c r="D10" s="195" t="s">
        <v>197</v>
      </c>
      <c r="E10">
        <v>9</v>
      </c>
      <c r="F10">
        <v>3.22</v>
      </c>
      <c r="G10">
        <v>9</v>
      </c>
      <c r="H10" s="196" t="s">
        <v>197</v>
      </c>
      <c r="J10" s="56"/>
      <c r="K10" s="57"/>
    </row>
    <row r="11" spans="1:12" ht="12" customHeight="1" x14ac:dyDescent="0.15">
      <c r="A11" s="41" t="s">
        <v>127</v>
      </c>
      <c r="B11" s="43">
        <v>2</v>
      </c>
      <c r="C11" s="37"/>
      <c r="D11" s="195" t="s">
        <v>198</v>
      </c>
      <c r="E11">
        <v>10</v>
      </c>
      <c r="F11">
        <v>3.12</v>
      </c>
      <c r="G11">
        <v>10</v>
      </c>
      <c r="H11" s="196" t="s">
        <v>198</v>
      </c>
      <c r="J11" s="56"/>
      <c r="K11" s="57"/>
    </row>
    <row r="12" spans="1:12" x14ac:dyDescent="0.15">
      <c r="A12" s="35" t="s">
        <v>42</v>
      </c>
      <c r="B12" s="43">
        <v>2.1</v>
      </c>
      <c r="C12" s="37"/>
      <c r="D12" s="195" t="s">
        <v>199</v>
      </c>
      <c r="E12">
        <v>11</v>
      </c>
      <c r="F12">
        <v>3.12</v>
      </c>
      <c r="G12">
        <v>11</v>
      </c>
      <c r="H12" s="196" t="s">
        <v>199</v>
      </c>
      <c r="J12" s="56"/>
      <c r="K12" s="57"/>
    </row>
    <row r="13" spans="1:12" x14ac:dyDescent="0.15">
      <c r="A13" s="35" t="s">
        <v>43</v>
      </c>
      <c r="B13" s="43">
        <v>2.2000000000000002</v>
      </c>
      <c r="C13" s="37"/>
      <c r="D13" s="195" t="s">
        <v>200</v>
      </c>
      <c r="E13">
        <v>12</v>
      </c>
      <c r="F13">
        <v>3.12</v>
      </c>
      <c r="G13">
        <v>12</v>
      </c>
      <c r="H13" s="196" t="s">
        <v>200</v>
      </c>
      <c r="J13" s="56"/>
      <c r="K13" s="57"/>
    </row>
    <row r="14" spans="1:12" x14ac:dyDescent="0.15">
      <c r="A14" s="35" t="s">
        <v>67</v>
      </c>
      <c r="B14" s="43">
        <v>2.2999999999999998</v>
      </c>
      <c r="C14" s="37"/>
      <c r="D14" s="195" t="s">
        <v>201</v>
      </c>
      <c r="E14">
        <v>13</v>
      </c>
      <c r="F14">
        <v>3.22</v>
      </c>
      <c r="G14">
        <v>13</v>
      </c>
      <c r="H14" s="196" t="s">
        <v>201</v>
      </c>
      <c r="J14" s="56"/>
      <c r="K14" s="57"/>
    </row>
    <row r="15" spans="1:12" x14ac:dyDescent="0.15">
      <c r="A15" s="41" t="s">
        <v>128</v>
      </c>
      <c r="B15" s="43">
        <v>3</v>
      </c>
      <c r="C15" s="37"/>
      <c r="D15" s="195" t="s">
        <v>202</v>
      </c>
      <c r="E15">
        <v>14</v>
      </c>
      <c r="F15">
        <v>3.22</v>
      </c>
      <c r="G15">
        <v>14</v>
      </c>
      <c r="H15" s="196" t="s">
        <v>202</v>
      </c>
      <c r="J15" s="56"/>
      <c r="K15" s="57"/>
    </row>
    <row r="16" spans="1:12" x14ac:dyDescent="0.15">
      <c r="A16" s="35" t="s">
        <v>62</v>
      </c>
      <c r="B16" s="43">
        <v>3.11</v>
      </c>
      <c r="C16" s="37"/>
      <c r="D16" s="195" t="s">
        <v>203</v>
      </c>
      <c r="E16">
        <v>15</v>
      </c>
      <c r="F16">
        <v>3.22</v>
      </c>
      <c r="G16">
        <v>15</v>
      </c>
      <c r="H16" s="196" t="s">
        <v>203</v>
      </c>
      <c r="J16" s="56"/>
      <c r="K16" s="57"/>
    </row>
    <row r="17" spans="1:12" x14ac:dyDescent="0.15">
      <c r="A17" s="35" t="s">
        <v>61</v>
      </c>
      <c r="B17" s="43">
        <v>3.12</v>
      </c>
      <c r="C17" s="37"/>
      <c r="D17" s="195" t="s">
        <v>204</v>
      </c>
      <c r="E17">
        <v>16</v>
      </c>
      <c r="F17">
        <v>3.22</v>
      </c>
      <c r="G17">
        <v>16</v>
      </c>
      <c r="H17" s="196" t="s">
        <v>204</v>
      </c>
      <c r="J17" s="56"/>
      <c r="K17" s="57"/>
    </row>
    <row r="18" spans="1:12" x14ac:dyDescent="0.15">
      <c r="A18" s="35" t="s">
        <v>68</v>
      </c>
      <c r="B18" s="43">
        <v>3.13</v>
      </c>
      <c r="C18" s="37"/>
      <c r="D18" s="195" t="s">
        <v>205</v>
      </c>
      <c r="E18">
        <v>17</v>
      </c>
      <c r="F18">
        <v>3.12</v>
      </c>
      <c r="G18">
        <v>17</v>
      </c>
      <c r="H18" s="196" t="s">
        <v>205</v>
      </c>
      <c r="J18" s="56"/>
      <c r="K18" s="57"/>
    </row>
    <row r="19" spans="1:12" x14ac:dyDescent="0.15">
      <c r="A19" s="35" t="s">
        <v>66</v>
      </c>
      <c r="B19" s="43">
        <v>3.21</v>
      </c>
      <c r="C19" s="37"/>
      <c r="D19" s="195" t="s">
        <v>206</v>
      </c>
      <c r="E19">
        <v>18</v>
      </c>
      <c r="F19">
        <v>3</v>
      </c>
      <c r="G19">
        <v>18</v>
      </c>
      <c r="H19" s="196" t="s">
        <v>206</v>
      </c>
      <c r="J19" s="56"/>
      <c r="K19" s="57"/>
    </row>
    <row r="20" spans="1:12" x14ac:dyDescent="0.15">
      <c r="A20" s="35" t="s">
        <v>63</v>
      </c>
      <c r="B20" s="43">
        <v>3.22</v>
      </c>
      <c r="C20" s="37"/>
      <c r="D20" s="195" t="s">
        <v>207</v>
      </c>
      <c r="E20">
        <v>19</v>
      </c>
      <c r="F20">
        <v>3.22</v>
      </c>
      <c r="G20">
        <v>19</v>
      </c>
      <c r="H20" s="196" t="s">
        <v>207</v>
      </c>
      <c r="J20" s="56"/>
      <c r="K20" s="57"/>
    </row>
    <row r="21" spans="1:12" ht="14" thickBot="1" x14ac:dyDescent="0.2">
      <c r="A21" s="35" t="s">
        <v>69</v>
      </c>
      <c r="B21" s="43">
        <v>3.23</v>
      </c>
      <c r="C21" s="37"/>
      <c r="D21" s="195" t="s">
        <v>208</v>
      </c>
      <c r="E21">
        <v>20</v>
      </c>
      <c r="F21">
        <v>3.12</v>
      </c>
      <c r="G21">
        <v>20</v>
      </c>
      <c r="H21" s="196" t="s">
        <v>208</v>
      </c>
      <c r="J21" s="58"/>
      <c r="K21" s="59"/>
      <c r="L21" s="61" t="s">
        <v>152</v>
      </c>
    </row>
    <row r="22" spans="1:12" x14ac:dyDescent="0.15">
      <c r="A22" s="35" t="s">
        <v>64</v>
      </c>
      <c r="B22" s="43">
        <v>8</v>
      </c>
      <c r="C22" s="37"/>
      <c r="D22" s="195" t="s">
        <v>209</v>
      </c>
      <c r="E22">
        <v>21</v>
      </c>
      <c r="F22">
        <v>3</v>
      </c>
      <c r="G22">
        <v>21</v>
      </c>
      <c r="H22" s="196" t="s">
        <v>209</v>
      </c>
    </row>
    <row r="23" spans="1:12" x14ac:dyDescent="0.15">
      <c r="A23" s="35" t="s">
        <v>129</v>
      </c>
      <c r="B23" s="43">
        <v>4</v>
      </c>
      <c r="C23" s="37"/>
      <c r="D23" s="195" t="s">
        <v>210</v>
      </c>
      <c r="E23">
        <v>22</v>
      </c>
      <c r="F23">
        <v>3.12</v>
      </c>
      <c r="G23">
        <v>22</v>
      </c>
      <c r="H23" s="196" t="s">
        <v>210</v>
      </c>
    </row>
    <row r="24" spans="1:12" x14ac:dyDescent="0.15">
      <c r="A24" s="35" t="s">
        <v>122</v>
      </c>
      <c r="B24" s="43">
        <v>4.0999999999999996</v>
      </c>
      <c r="C24" s="37"/>
      <c r="D24" s="195" t="s">
        <v>211</v>
      </c>
      <c r="E24">
        <v>23</v>
      </c>
      <c r="F24">
        <v>3.12</v>
      </c>
      <c r="G24">
        <v>23</v>
      </c>
      <c r="H24" s="196" t="s">
        <v>211</v>
      </c>
    </row>
    <row r="25" spans="1:12" x14ac:dyDescent="0.15">
      <c r="A25" s="35" t="s">
        <v>70</v>
      </c>
      <c r="B25" s="43">
        <v>4.2</v>
      </c>
      <c r="C25" s="37"/>
      <c r="D25" s="195" t="s">
        <v>212</v>
      </c>
      <c r="E25">
        <v>24</v>
      </c>
      <c r="F25">
        <v>3</v>
      </c>
      <c r="G25">
        <v>24</v>
      </c>
      <c r="H25" s="196" t="s">
        <v>212</v>
      </c>
    </row>
    <row r="26" spans="1:12" x14ac:dyDescent="0.15">
      <c r="A26" s="35" t="s">
        <v>123</v>
      </c>
      <c r="B26" s="43">
        <v>4.3</v>
      </c>
      <c r="C26" s="37"/>
      <c r="D26" s="195" t="s">
        <v>213</v>
      </c>
      <c r="E26">
        <v>25</v>
      </c>
      <c r="F26">
        <v>3.21</v>
      </c>
      <c r="G26">
        <v>25</v>
      </c>
      <c r="H26" s="196" t="s">
        <v>213</v>
      </c>
    </row>
    <row r="27" spans="1:12" x14ac:dyDescent="0.15">
      <c r="A27" s="35" t="s">
        <v>125</v>
      </c>
      <c r="B27" s="43">
        <v>6.1</v>
      </c>
      <c r="D27" s="195" t="s">
        <v>214</v>
      </c>
      <c r="E27">
        <v>26</v>
      </c>
      <c r="F27">
        <v>3.12</v>
      </c>
      <c r="G27">
        <v>26</v>
      </c>
      <c r="H27" s="196" t="s">
        <v>214</v>
      </c>
    </row>
    <row r="28" spans="1:12" x14ac:dyDescent="0.15">
      <c r="A28" s="35" t="s">
        <v>124</v>
      </c>
      <c r="B28" s="43">
        <v>6.2</v>
      </c>
      <c r="D28" s="195" t="s">
        <v>215</v>
      </c>
      <c r="E28">
        <v>27</v>
      </c>
      <c r="F28">
        <v>3.21</v>
      </c>
      <c r="G28">
        <v>27</v>
      </c>
      <c r="H28" s="196" t="s">
        <v>215</v>
      </c>
    </row>
    <row r="29" spans="1:12" x14ac:dyDescent="0.15">
      <c r="A29" s="35" t="s">
        <v>44</v>
      </c>
      <c r="B29" s="43">
        <v>5</v>
      </c>
      <c r="D29" s="195" t="s">
        <v>216</v>
      </c>
      <c r="E29">
        <v>28</v>
      </c>
      <c r="F29">
        <v>3.21</v>
      </c>
      <c r="G29">
        <v>28</v>
      </c>
      <c r="H29" s="196" t="s">
        <v>216</v>
      </c>
    </row>
    <row r="30" spans="1:12" x14ac:dyDescent="0.15">
      <c r="A30" s="35" t="s">
        <v>73</v>
      </c>
      <c r="B30" s="43">
        <v>7</v>
      </c>
      <c r="D30" s="195" t="s">
        <v>217</v>
      </c>
      <c r="E30">
        <v>29</v>
      </c>
      <c r="F30">
        <v>3.21</v>
      </c>
      <c r="G30">
        <v>29</v>
      </c>
      <c r="H30" s="196" t="s">
        <v>217</v>
      </c>
    </row>
    <row r="31" spans="1:12" x14ac:dyDescent="0.15">
      <c r="A31" s="35" t="s">
        <v>169</v>
      </c>
      <c r="B31" s="43">
        <v>3.14</v>
      </c>
      <c r="D31" s="195" t="s">
        <v>218</v>
      </c>
      <c r="E31">
        <v>30</v>
      </c>
      <c r="F31">
        <v>3.21</v>
      </c>
      <c r="G31">
        <v>30</v>
      </c>
      <c r="H31" s="196" t="s">
        <v>218</v>
      </c>
    </row>
    <row r="32" spans="1:12" ht="12" customHeight="1" thickBot="1" x14ac:dyDescent="0.2">
      <c r="A32" s="41" t="s">
        <v>170</v>
      </c>
      <c r="B32" s="44">
        <v>9</v>
      </c>
      <c r="D32" s="195" t="s">
        <v>219</v>
      </c>
      <c r="E32">
        <v>31</v>
      </c>
      <c r="F32">
        <v>3.21</v>
      </c>
      <c r="G32">
        <v>31</v>
      </c>
      <c r="H32" s="196" t="s">
        <v>219</v>
      </c>
    </row>
    <row r="33" spans="4:8" customFormat="1" ht="12" customHeight="1" x14ac:dyDescent="0.15">
      <c r="D33" s="195" t="s">
        <v>220</v>
      </c>
      <c r="E33">
        <v>32</v>
      </c>
      <c r="F33">
        <v>3.21</v>
      </c>
      <c r="G33">
        <v>32</v>
      </c>
      <c r="H33" s="196" t="s">
        <v>220</v>
      </c>
    </row>
    <row r="34" spans="4:8" customFormat="1" ht="12" customHeight="1" x14ac:dyDescent="0.15">
      <c r="D34" s="195" t="s">
        <v>221</v>
      </c>
      <c r="E34">
        <v>33</v>
      </c>
      <c r="F34">
        <v>3.21</v>
      </c>
      <c r="G34">
        <v>33</v>
      </c>
      <c r="H34" s="196" t="s">
        <v>221</v>
      </c>
    </row>
    <row r="35" spans="4:8" customFormat="1" x14ac:dyDescent="0.15">
      <c r="D35" s="195" t="s">
        <v>222</v>
      </c>
      <c r="E35">
        <v>34</v>
      </c>
      <c r="F35">
        <v>3</v>
      </c>
      <c r="G35">
        <v>34</v>
      </c>
      <c r="H35" s="196" t="s">
        <v>222</v>
      </c>
    </row>
    <row r="36" spans="4:8" customFormat="1" x14ac:dyDescent="0.15">
      <c r="D36" s="195" t="s">
        <v>223</v>
      </c>
      <c r="E36">
        <v>35</v>
      </c>
      <c r="F36">
        <v>3.21</v>
      </c>
      <c r="G36">
        <v>35</v>
      </c>
      <c r="H36" s="196" t="s">
        <v>223</v>
      </c>
    </row>
    <row r="37" spans="4:8" customFormat="1" ht="12" customHeight="1" x14ac:dyDescent="0.15">
      <c r="D37" s="195" t="s">
        <v>224</v>
      </c>
      <c r="E37">
        <v>36</v>
      </c>
      <c r="F37">
        <v>3</v>
      </c>
      <c r="G37">
        <v>36</v>
      </c>
      <c r="H37" s="196" t="s">
        <v>224</v>
      </c>
    </row>
    <row r="38" spans="4:8" customFormat="1" x14ac:dyDescent="0.15">
      <c r="D38" s="195" t="s">
        <v>225</v>
      </c>
      <c r="E38">
        <v>37</v>
      </c>
      <c r="F38">
        <v>3.11</v>
      </c>
      <c r="G38">
        <v>37</v>
      </c>
      <c r="H38" s="196" t="s">
        <v>225</v>
      </c>
    </row>
    <row r="39" spans="4:8" customFormat="1" x14ac:dyDescent="0.15">
      <c r="D39" s="195" t="s">
        <v>226</v>
      </c>
      <c r="E39">
        <v>38</v>
      </c>
      <c r="F39">
        <v>2</v>
      </c>
      <c r="G39">
        <v>38</v>
      </c>
      <c r="H39" s="196" t="s">
        <v>226</v>
      </c>
    </row>
    <row r="40" spans="4:8" customFormat="1" x14ac:dyDescent="0.15">
      <c r="D40" s="195" t="s">
        <v>227</v>
      </c>
      <c r="E40">
        <v>39</v>
      </c>
      <c r="F40">
        <v>2.2999999999999998</v>
      </c>
      <c r="G40">
        <v>39</v>
      </c>
      <c r="H40" s="196" t="s">
        <v>227</v>
      </c>
    </row>
    <row r="41" spans="4:8" customFormat="1" x14ac:dyDescent="0.15">
      <c r="D41" s="195" t="s">
        <v>228</v>
      </c>
      <c r="E41">
        <v>40</v>
      </c>
      <c r="F41">
        <v>4.0999999999999996</v>
      </c>
      <c r="G41">
        <v>40</v>
      </c>
      <c r="H41" s="196" t="s">
        <v>228</v>
      </c>
    </row>
    <row r="42" spans="4:8" customFormat="1" x14ac:dyDescent="0.15">
      <c r="D42" s="195" t="s">
        <v>229</v>
      </c>
      <c r="E42">
        <v>41</v>
      </c>
      <c r="F42">
        <v>4.3</v>
      </c>
      <c r="G42">
        <v>41</v>
      </c>
      <c r="H42" s="196" t="s">
        <v>229</v>
      </c>
    </row>
    <row r="43" spans="4:8" customFormat="1" x14ac:dyDescent="0.15">
      <c r="D43" s="195" t="s">
        <v>230</v>
      </c>
      <c r="E43">
        <v>42</v>
      </c>
      <c r="F43">
        <v>5</v>
      </c>
      <c r="G43">
        <v>42</v>
      </c>
      <c r="H43" s="196" t="s">
        <v>230</v>
      </c>
    </row>
    <row r="44" spans="4:8" customFormat="1" x14ac:dyDescent="0.15">
      <c r="D44" s="195" t="s">
        <v>231</v>
      </c>
      <c r="E44">
        <v>43</v>
      </c>
      <c r="F44">
        <v>5</v>
      </c>
      <c r="G44">
        <v>43</v>
      </c>
      <c r="H44" s="196" t="s">
        <v>231</v>
      </c>
    </row>
    <row r="45" spans="4:8" customFormat="1" x14ac:dyDescent="0.15">
      <c r="D45" s="195" t="s">
        <v>138</v>
      </c>
      <c r="E45">
        <v>44</v>
      </c>
      <c r="F45">
        <v>6.1</v>
      </c>
      <c r="G45">
        <v>44</v>
      </c>
      <c r="H45" s="196" t="s">
        <v>138</v>
      </c>
    </row>
    <row r="46" spans="4:8" customFormat="1" x14ac:dyDescent="0.15">
      <c r="D46" s="195" t="s">
        <v>45</v>
      </c>
      <c r="E46">
        <v>45</v>
      </c>
      <c r="F46">
        <v>6.2</v>
      </c>
      <c r="G46">
        <v>45</v>
      </c>
      <c r="H46" s="196" t="s">
        <v>45</v>
      </c>
    </row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1.5" style="81" bestFit="1" customWidth="1"/>
    <col min="2" max="2" width="11.83203125" style="80" customWidth="1"/>
    <col min="3" max="3" width="11.5" style="80" customWidth="1"/>
    <col min="4" max="5" width="11.83203125" style="80" customWidth="1"/>
    <col min="6" max="6" width="21.6640625" style="80" bestFit="1" customWidth="1"/>
    <col min="7" max="9" width="2.33203125" style="80" customWidth="1"/>
    <col min="10" max="10" width="2.33203125" style="80" bestFit="1" customWidth="1"/>
    <col min="11" max="15" width="2.33203125" style="80" customWidth="1"/>
    <col min="16" max="16" width="2.33203125" style="70" customWidth="1"/>
    <col min="17" max="17" width="2.33203125" style="80" customWidth="1"/>
    <col min="18" max="18" width="2.33203125" style="71" customWidth="1"/>
    <col min="19" max="16384" width="11.5" style="80"/>
  </cols>
  <sheetData>
    <row r="1" spans="1:23" ht="15" customHeight="1" thickBot="1" x14ac:dyDescent="0.2">
      <c r="F1" s="1"/>
      <c r="G1" s="68" t="s">
        <v>46</v>
      </c>
      <c r="H1" s="68" t="s">
        <v>47</v>
      </c>
      <c r="I1" s="68" t="s">
        <v>120</v>
      </c>
      <c r="J1" s="68" t="s">
        <v>132</v>
      </c>
      <c r="K1" s="82" t="s">
        <v>48</v>
      </c>
      <c r="L1" s="71"/>
      <c r="M1" s="82" t="s">
        <v>119</v>
      </c>
      <c r="N1" s="71"/>
      <c r="O1" s="82" t="s">
        <v>49</v>
      </c>
      <c r="P1" s="72"/>
      <c r="Q1" s="82" t="s">
        <v>50</v>
      </c>
      <c r="R1" s="68" t="s">
        <v>154</v>
      </c>
    </row>
    <row r="2" spans="1:23" ht="15" customHeight="1" x14ac:dyDescent="0.15">
      <c r="A2" s="82" t="s">
        <v>51</v>
      </c>
      <c r="B2" s="83">
        <v>0.5</v>
      </c>
      <c r="C2" s="81" t="s">
        <v>52</v>
      </c>
      <c r="D2" s="84"/>
      <c r="F2" s="1"/>
      <c r="G2" s="85"/>
      <c r="H2" s="85"/>
      <c r="I2" s="85" t="s">
        <v>133</v>
      </c>
      <c r="J2" s="85" t="s">
        <v>133</v>
      </c>
      <c r="K2" s="85" t="s">
        <v>52</v>
      </c>
      <c r="L2" s="85" t="s">
        <v>53</v>
      </c>
      <c r="M2" s="85" t="s">
        <v>52</v>
      </c>
      <c r="N2" s="85" t="s">
        <v>53</v>
      </c>
      <c r="O2" s="85" t="s">
        <v>52</v>
      </c>
      <c r="P2" s="86" t="s">
        <v>53</v>
      </c>
      <c r="Q2" s="85"/>
      <c r="R2" s="87" t="s">
        <v>155</v>
      </c>
    </row>
    <row r="3" spans="1:23" ht="15" customHeight="1" thickBot="1" x14ac:dyDescent="0.2">
      <c r="A3" s="82" t="s">
        <v>54</v>
      </c>
      <c r="B3" s="88">
        <v>0.5</v>
      </c>
      <c r="C3" s="81" t="s">
        <v>53</v>
      </c>
      <c r="D3" s="84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6">
        <v>0</v>
      </c>
      <c r="R3" s="37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6">
        <v>0</v>
      </c>
      <c r="R4" s="109">
        <v>0</v>
      </c>
    </row>
    <row r="5" spans="1:23" ht="15" customHeight="1" x14ac:dyDescent="0.15">
      <c r="A5" s="82" t="s">
        <v>55</v>
      </c>
      <c r="B5" s="89">
        <v>0.5</v>
      </c>
      <c r="C5" s="81" t="s">
        <v>52</v>
      </c>
      <c r="D5" s="84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6">
        <v>0</v>
      </c>
      <c r="R5" s="109">
        <v>0</v>
      </c>
    </row>
    <row r="6" spans="1:23" ht="15" customHeight="1" thickBot="1" x14ac:dyDescent="0.2">
      <c r="A6" s="82"/>
      <c r="B6" s="90">
        <v>0.5</v>
      </c>
      <c r="C6" s="81" t="s">
        <v>53</v>
      </c>
      <c r="D6" s="84"/>
      <c r="F6" s="197" t="s">
        <v>192</v>
      </c>
      <c r="G6" s="80">
        <v>0</v>
      </c>
      <c r="H6" s="80">
        <v>0</v>
      </c>
      <c r="I6" s="80">
        <v>0</v>
      </c>
      <c r="J6" s="80">
        <v>0</v>
      </c>
      <c r="K6" s="80">
        <v>1</v>
      </c>
      <c r="L6" s="80">
        <v>0</v>
      </c>
      <c r="M6" s="80">
        <v>1</v>
      </c>
      <c r="N6" s="80">
        <v>0</v>
      </c>
      <c r="O6" s="80">
        <v>1</v>
      </c>
      <c r="P6" s="70">
        <v>0</v>
      </c>
      <c r="Q6" s="80">
        <v>0</v>
      </c>
      <c r="R6" s="71">
        <v>1</v>
      </c>
      <c r="S6"/>
      <c r="T6"/>
    </row>
    <row r="7" spans="1:23" ht="15" customHeight="1" thickBot="1" x14ac:dyDescent="0.2">
      <c r="F7" s="197" t="s">
        <v>193</v>
      </c>
      <c r="G7" s="80">
        <v>0</v>
      </c>
      <c r="H7" s="80">
        <v>0</v>
      </c>
      <c r="I7" s="80">
        <v>0</v>
      </c>
      <c r="J7" s="80">
        <v>0</v>
      </c>
      <c r="K7" s="80">
        <v>1</v>
      </c>
      <c r="L7" s="80">
        <v>0</v>
      </c>
      <c r="M7" s="80">
        <v>1</v>
      </c>
      <c r="N7" s="80">
        <v>0</v>
      </c>
      <c r="O7" s="80">
        <v>1</v>
      </c>
      <c r="P7" s="70">
        <v>0</v>
      </c>
      <c r="Q7" s="80">
        <v>0</v>
      </c>
      <c r="R7" s="71">
        <v>1</v>
      </c>
      <c r="S7"/>
      <c r="T7"/>
    </row>
    <row r="8" spans="1:23" ht="15" customHeight="1" x14ac:dyDescent="0.15">
      <c r="A8" s="82" t="s">
        <v>56</v>
      </c>
      <c r="B8" s="89">
        <v>0.76177603597137933</v>
      </c>
      <c r="C8" s="198" t="s">
        <v>226</v>
      </c>
      <c r="D8" s="84" t="s">
        <v>160</v>
      </c>
      <c r="F8" s="197" t="s">
        <v>194</v>
      </c>
      <c r="G8" s="80">
        <v>0</v>
      </c>
      <c r="H8" s="80">
        <v>0</v>
      </c>
      <c r="I8" s="80">
        <v>0</v>
      </c>
      <c r="J8" s="80">
        <v>0</v>
      </c>
      <c r="K8" s="80">
        <v>1</v>
      </c>
      <c r="L8" s="80">
        <v>0</v>
      </c>
      <c r="M8" s="80">
        <v>1</v>
      </c>
      <c r="N8" s="80">
        <v>0</v>
      </c>
      <c r="O8" s="80">
        <v>1</v>
      </c>
      <c r="P8" s="70">
        <v>0</v>
      </c>
      <c r="Q8" s="80">
        <v>0</v>
      </c>
      <c r="R8" s="71">
        <v>1</v>
      </c>
      <c r="S8"/>
      <c r="T8"/>
      <c r="W8"/>
    </row>
    <row r="9" spans="1:23" ht="15" customHeight="1" x14ac:dyDescent="0.15">
      <c r="A9" s="123" t="s">
        <v>168</v>
      </c>
      <c r="B9" s="91">
        <v>0.23822396402862073</v>
      </c>
      <c r="C9" s="198" t="s">
        <v>227</v>
      </c>
      <c r="D9" s="84" t="s">
        <v>160</v>
      </c>
      <c r="F9" s="197" t="s">
        <v>195</v>
      </c>
      <c r="G9" s="80">
        <v>0</v>
      </c>
      <c r="H9" s="80">
        <v>0</v>
      </c>
      <c r="I9" s="80">
        <v>0</v>
      </c>
      <c r="J9" s="80">
        <v>0</v>
      </c>
      <c r="K9" s="80">
        <v>1</v>
      </c>
      <c r="L9" s="80">
        <v>0</v>
      </c>
      <c r="M9" s="80">
        <v>1</v>
      </c>
      <c r="N9" s="80">
        <v>0</v>
      </c>
      <c r="O9" s="80">
        <v>1</v>
      </c>
      <c r="P9" s="70">
        <v>0</v>
      </c>
      <c r="Q9" s="80">
        <v>0</v>
      </c>
      <c r="R9" s="71">
        <v>1</v>
      </c>
      <c r="S9"/>
      <c r="T9"/>
      <c r="W9"/>
    </row>
    <row r="10" spans="1:23" ht="15" customHeight="1" x14ac:dyDescent="0.15">
      <c r="B10" s="91"/>
      <c r="C10" s="79"/>
      <c r="D10" s="84" t="s">
        <v>160</v>
      </c>
      <c r="F10" s="197" t="s">
        <v>196</v>
      </c>
      <c r="G10" s="80">
        <v>0</v>
      </c>
      <c r="H10" s="80">
        <v>0</v>
      </c>
      <c r="I10" s="80">
        <v>0</v>
      </c>
      <c r="J10" s="80">
        <v>0</v>
      </c>
      <c r="K10" s="80">
        <v>1</v>
      </c>
      <c r="L10" s="80">
        <v>0</v>
      </c>
      <c r="M10" s="80">
        <v>1</v>
      </c>
      <c r="N10" s="80">
        <v>0</v>
      </c>
      <c r="O10" s="80">
        <v>1</v>
      </c>
      <c r="P10" s="70">
        <v>0</v>
      </c>
      <c r="Q10" s="80">
        <v>0</v>
      </c>
      <c r="R10" s="71">
        <v>1</v>
      </c>
      <c r="S10"/>
      <c r="T10"/>
      <c r="W10"/>
    </row>
    <row r="11" spans="1:23" ht="15" customHeight="1" x14ac:dyDescent="0.15">
      <c r="A11" s="82"/>
      <c r="B11" s="91"/>
      <c r="C11" s="94"/>
      <c r="D11" s="84" t="s">
        <v>160</v>
      </c>
      <c r="F11" s="197" t="s">
        <v>197</v>
      </c>
      <c r="G11" s="80">
        <v>0</v>
      </c>
      <c r="H11" s="80">
        <v>0</v>
      </c>
      <c r="I11" s="80">
        <v>0</v>
      </c>
      <c r="J11" s="80">
        <v>0</v>
      </c>
      <c r="K11" s="80">
        <v>1</v>
      </c>
      <c r="L11" s="80">
        <v>0</v>
      </c>
      <c r="M11" s="80">
        <v>1</v>
      </c>
      <c r="N11" s="80">
        <v>0</v>
      </c>
      <c r="O11" s="80">
        <v>1</v>
      </c>
      <c r="P11" s="70">
        <v>0</v>
      </c>
      <c r="Q11" s="80">
        <v>0</v>
      </c>
      <c r="R11" s="71">
        <v>1</v>
      </c>
      <c r="S11"/>
      <c r="T11"/>
      <c r="W11"/>
    </row>
    <row r="12" spans="1:23" ht="15" customHeight="1" x14ac:dyDescent="0.15">
      <c r="B12" s="91"/>
      <c r="C12" s="95"/>
      <c r="D12" s="84" t="s">
        <v>160</v>
      </c>
      <c r="F12" s="197" t="s">
        <v>198</v>
      </c>
      <c r="G12" s="80">
        <v>0</v>
      </c>
      <c r="H12" s="80">
        <v>0</v>
      </c>
      <c r="I12" s="80">
        <v>0</v>
      </c>
      <c r="J12" s="80">
        <v>0</v>
      </c>
      <c r="K12" s="80">
        <v>1</v>
      </c>
      <c r="L12" s="80">
        <v>0</v>
      </c>
      <c r="M12" s="80">
        <v>1</v>
      </c>
      <c r="N12" s="80">
        <v>0</v>
      </c>
      <c r="O12" s="80">
        <v>1</v>
      </c>
      <c r="P12" s="70">
        <v>0</v>
      </c>
      <c r="Q12" s="80">
        <v>0</v>
      </c>
      <c r="R12" s="71">
        <v>1</v>
      </c>
      <c r="S12"/>
      <c r="T12"/>
      <c r="W12"/>
    </row>
    <row r="13" spans="1:23" ht="15" customHeight="1" x14ac:dyDescent="0.15">
      <c r="B13" s="91"/>
      <c r="C13" s="95"/>
      <c r="D13" s="84" t="s">
        <v>160</v>
      </c>
      <c r="F13" s="197" t="s">
        <v>199</v>
      </c>
      <c r="G13" s="80">
        <v>0</v>
      </c>
      <c r="H13" s="80">
        <v>0</v>
      </c>
      <c r="I13" s="80">
        <v>0</v>
      </c>
      <c r="J13" s="80">
        <v>0</v>
      </c>
      <c r="K13" s="80">
        <v>1</v>
      </c>
      <c r="L13" s="80">
        <v>0</v>
      </c>
      <c r="M13" s="80">
        <v>1</v>
      </c>
      <c r="N13" s="80">
        <v>0</v>
      </c>
      <c r="O13" s="80">
        <v>1</v>
      </c>
      <c r="P13" s="70">
        <v>0</v>
      </c>
      <c r="Q13" s="80">
        <v>0</v>
      </c>
      <c r="R13" s="71">
        <v>1</v>
      </c>
      <c r="S13"/>
      <c r="T13"/>
      <c r="W13"/>
    </row>
    <row r="14" spans="1:23" ht="15" customHeight="1" x14ac:dyDescent="0.15">
      <c r="B14" s="91"/>
      <c r="C14" s="79"/>
      <c r="D14" s="84" t="s">
        <v>160</v>
      </c>
      <c r="F14" s="197" t="s">
        <v>200</v>
      </c>
      <c r="G14" s="80">
        <v>0</v>
      </c>
      <c r="H14" s="80">
        <v>0</v>
      </c>
      <c r="I14" s="80">
        <v>0</v>
      </c>
      <c r="J14" s="80">
        <v>0</v>
      </c>
      <c r="K14" s="80">
        <v>1</v>
      </c>
      <c r="L14" s="80">
        <v>0</v>
      </c>
      <c r="M14" s="80">
        <v>1</v>
      </c>
      <c r="N14" s="80">
        <v>0</v>
      </c>
      <c r="O14" s="80">
        <v>1</v>
      </c>
      <c r="P14" s="70">
        <v>0</v>
      </c>
      <c r="Q14" s="80">
        <v>0</v>
      </c>
      <c r="R14" s="71">
        <v>1</v>
      </c>
      <c r="S14"/>
      <c r="T14"/>
      <c r="W14"/>
    </row>
    <row r="15" spans="1:23" ht="15" customHeight="1" x14ac:dyDescent="0.15">
      <c r="B15" s="91"/>
      <c r="C15" s="79"/>
      <c r="D15" s="84" t="s">
        <v>160</v>
      </c>
      <c r="F15" s="197" t="s">
        <v>201</v>
      </c>
      <c r="G15" s="80">
        <v>0</v>
      </c>
      <c r="H15" s="80">
        <v>0</v>
      </c>
      <c r="I15" s="80">
        <v>0</v>
      </c>
      <c r="J15" s="80">
        <v>0</v>
      </c>
      <c r="K15" s="80">
        <v>1</v>
      </c>
      <c r="L15" s="80">
        <v>0</v>
      </c>
      <c r="M15" s="80">
        <v>1</v>
      </c>
      <c r="N15" s="80">
        <v>0</v>
      </c>
      <c r="O15" s="80">
        <v>1</v>
      </c>
      <c r="P15" s="70">
        <v>0</v>
      </c>
      <c r="Q15" s="80">
        <v>0</v>
      </c>
      <c r="R15" s="71">
        <v>1</v>
      </c>
      <c r="S15"/>
      <c r="T15"/>
      <c r="W15"/>
    </row>
    <row r="16" spans="1:23" ht="15" customHeight="1" x14ac:dyDescent="0.15">
      <c r="B16" s="91"/>
      <c r="C16" s="79"/>
      <c r="D16" s="84" t="s">
        <v>160</v>
      </c>
      <c r="F16" s="197" t="s">
        <v>202</v>
      </c>
      <c r="G16" s="80">
        <v>0</v>
      </c>
      <c r="H16" s="80">
        <v>0</v>
      </c>
      <c r="I16" s="80">
        <v>0</v>
      </c>
      <c r="J16" s="80">
        <v>0</v>
      </c>
      <c r="K16" s="80">
        <v>1</v>
      </c>
      <c r="L16" s="80">
        <v>0</v>
      </c>
      <c r="M16" s="80">
        <v>1</v>
      </c>
      <c r="N16" s="80">
        <v>0</v>
      </c>
      <c r="O16" s="80">
        <v>1</v>
      </c>
      <c r="P16" s="70">
        <v>0</v>
      </c>
      <c r="Q16" s="80">
        <v>0</v>
      </c>
      <c r="R16" s="71">
        <v>1</v>
      </c>
      <c r="S16"/>
      <c r="T16"/>
    </row>
    <row r="17" spans="1:20" ht="15" customHeight="1" thickBot="1" x14ac:dyDescent="0.2">
      <c r="B17" s="90"/>
      <c r="C17" s="79"/>
      <c r="D17" s="84" t="s">
        <v>160</v>
      </c>
      <c r="F17" s="197" t="s">
        <v>203</v>
      </c>
      <c r="G17" s="80">
        <v>0</v>
      </c>
      <c r="H17" s="80">
        <v>0</v>
      </c>
      <c r="I17" s="80">
        <v>0</v>
      </c>
      <c r="J17" s="80">
        <v>0</v>
      </c>
      <c r="K17" s="80">
        <v>1</v>
      </c>
      <c r="L17" s="80">
        <v>0</v>
      </c>
      <c r="M17" s="80">
        <v>1</v>
      </c>
      <c r="N17" s="80">
        <v>0</v>
      </c>
      <c r="O17" s="80">
        <v>1</v>
      </c>
      <c r="P17" s="70">
        <v>0</v>
      </c>
      <c r="Q17" s="80">
        <v>0</v>
      </c>
      <c r="R17" s="71">
        <v>1</v>
      </c>
      <c r="S17"/>
      <c r="T17"/>
    </row>
    <row r="18" spans="1:20" ht="15" customHeight="1" thickBot="1" x14ac:dyDescent="0.2">
      <c r="B18" s="92"/>
      <c r="F18" s="197" t="s">
        <v>204</v>
      </c>
      <c r="G18" s="80">
        <v>0</v>
      </c>
      <c r="H18" s="80">
        <v>0</v>
      </c>
      <c r="I18" s="80">
        <v>0</v>
      </c>
      <c r="J18" s="80">
        <v>0</v>
      </c>
      <c r="K18" s="80">
        <v>1</v>
      </c>
      <c r="L18" s="80">
        <v>0</v>
      </c>
      <c r="M18" s="80">
        <v>1</v>
      </c>
      <c r="N18" s="80">
        <v>0</v>
      </c>
      <c r="O18" s="80">
        <v>1</v>
      </c>
      <c r="P18" s="70">
        <v>0</v>
      </c>
      <c r="Q18" s="80">
        <v>0</v>
      </c>
      <c r="R18" s="71">
        <v>1</v>
      </c>
      <c r="S18"/>
      <c r="T18"/>
    </row>
    <row r="19" spans="1:20" ht="15" customHeight="1" x14ac:dyDescent="0.15">
      <c r="A19" s="82" t="s">
        <v>57</v>
      </c>
      <c r="B19" s="89">
        <v>0.76177603597137933</v>
      </c>
      <c r="C19" s="199" t="s">
        <v>226</v>
      </c>
      <c r="D19" s="84" t="s">
        <v>160</v>
      </c>
      <c r="F19" s="197" t="s">
        <v>205</v>
      </c>
      <c r="G19" s="80">
        <v>0</v>
      </c>
      <c r="H19" s="80">
        <v>0</v>
      </c>
      <c r="I19" s="80">
        <v>0</v>
      </c>
      <c r="J19" s="80">
        <v>0</v>
      </c>
      <c r="K19" s="80">
        <v>1</v>
      </c>
      <c r="L19" s="80">
        <v>0</v>
      </c>
      <c r="M19" s="80">
        <v>1</v>
      </c>
      <c r="N19" s="80">
        <v>0</v>
      </c>
      <c r="O19" s="80">
        <v>1</v>
      </c>
      <c r="P19" s="70">
        <v>0</v>
      </c>
      <c r="Q19" s="80">
        <v>0</v>
      </c>
      <c r="R19" s="71">
        <v>1</v>
      </c>
      <c r="S19"/>
      <c r="T19"/>
    </row>
    <row r="20" spans="1:20" ht="15" customHeight="1" x14ac:dyDescent="0.15">
      <c r="A20" s="123" t="s">
        <v>168</v>
      </c>
      <c r="B20" s="91">
        <v>0.23822396402862073</v>
      </c>
      <c r="C20" s="199" t="s">
        <v>227</v>
      </c>
      <c r="D20" s="84" t="s">
        <v>160</v>
      </c>
      <c r="F20" s="197" t="s">
        <v>206</v>
      </c>
      <c r="G20" s="80">
        <v>0</v>
      </c>
      <c r="H20" s="80">
        <v>0</v>
      </c>
      <c r="I20" s="80">
        <v>0</v>
      </c>
      <c r="J20" s="80">
        <v>0</v>
      </c>
      <c r="K20" s="80">
        <v>1</v>
      </c>
      <c r="L20" s="80">
        <v>0</v>
      </c>
      <c r="M20" s="80">
        <v>1</v>
      </c>
      <c r="N20" s="80">
        <v>0</v>
      </c>
      <c r="O20" s="80">
        <v>1</v>
      </c>
      <c r="P20" s="70">
        <v>0</v>
      </c>
      <c r="Q20" s="80">
        <v>0</v>
      </c>
      <c r="R20" s="71">
        <v>1</v>
      </c>
      <c r="S20"/>
      <c r="T20"/>
    </row>
    <row r="21" spans="1:20" ht="15" customHeight="1" x14ac:dyDescent="0.15">
      <c r="B21" s="91"/>
      <c r="C21" s="79"/>
      <c r="D21" s="84" t="s">
        <v>160</v>
      </c>
      <c r="F21" s="197" t="s">
        <v>207</v>
      </c>
      <c r="G21" s="80">
        <v>0</v>
      </c>
      <c r="H21" s="80">
        <v>0</v>
      </c>
      <c r="I21" s="80">
        <v>0</v>
      </c>
      <c r="J21" s="80">
        <v>0</v>
      </c>
      <c r="K21" s="80">
        <v>1</v>
      </c>
      <c r="L21" s="80">
        <v>0</v>
      </c>
      <c r="M21" s="80">
        <v>1</v>
      </c>
      <c r="N21" s="80">
        <v>0</v>
      </c>
      <c r="O21" s="80">
        <v>1</v>
      </c>
      <c r="P21" s="70">
        <v>0</v>
      </c>
      <c r="Q21" s="80">
        <v>0</v>
      </c>
      <c r="R21" s="71">
        <v>1</v>
      </c>
      <c r="S21"/>
      <c r="T21"/>
    </row>
    <row r="22" spans="1:20" ht="15" customHeight="1" x14ac:dyDescent="0.15">
      <c r="A22" s="80"/>
      <c r="B22" s="91"/>
      <c r="C22" s="94"/>
      <c r="D22" s="84" t="s">
        <v>160</v>
      </c>
      <c r="F22" s="197" t="s">
        <v>208</v>
      </c>
      <c r="G22" s="80">
        <v>0</v>
      </c>
      <c r="H22" s="80">
        <v>0</v>
      </c>
      <c r="I22" s="80">
        <v>0</v>
      </c>
      <c r="J22" s="80">
        <v>0</v>
      </c>
      <c r="K22" s="80">
        <v>1</v>
      </c>
      <c r="L22" s="80">
        <v>0</v>
      </c>
      <c r="M22" s="80">
        <v>1</v>
      </c>
      <c r="N22" s="80">
        <v>0</v>
      </c>
      <c r="O22" s="80">
        <v>1</v>
      </c>
      <c r="P22" s="70">
        <v>0</v>
      </c>
      <c r="Q22" s="80">
        <v>0</v>
      </c>
      <c r="R22" s="71">
        <v>1</v>
      </c>
      <c r="S22"/>
      <c r="T22"/>
    </row>
    <row r="23" spans="1:20" ht="15" customHeight="1" x14ac:dyDescent="0.15">
      <c r="A23" s="80"/>
      <c r="B23" s="91"/>
      <c r="C23" s="95"/>
      <c r="D23" s="84" t="s">
        <v>160</v>
      </c>
      <c r="F23" s="197" t="s">
        <v>209</v>
      </c>
      <c r="G23" s="80">
        <v>0</v>
      </c>
      <c r="H23" s="80">
        <v>0</v>
      </c>
      <c r="I23" s="80">
        <v>0</v>
      </c>
      <c r="J23" s="80">
        <v>0</v>
      </c>
      <c r="K23" s="80">
        <v>1</v>
      </c>
      <c r="L23" s="80">
        <v>0</v>
      </c>
      <c r="M23" s="80">
        <v>1</v>
      </c>
      <c r="N23" s="80">
        <v>0</v>
      </c>
      <c r="O23" s="80">
        <v>1</v>
      </c>
      <c r="P23" s="70">
        <v>0</v>
      </c>
      <c r="Q23" s="80">
        <v>0</v>
      </c>
      <c r="R23" s="71">
        <v>1</v>
      </c>
      <c r="S23"/>
      <c r="T23"/>
    </row>
    <row r="24" spans="1:20" ht="15" customHeight="1" x14ac:dyDescent="0.15">
      <c r="A24" s="80"/>
      <c r="B24" s="91"/>
      <c r="C24" s="95"/>
      <c r="D24" s="84" t="s">
        <v>160</v>
      </c>
      <c r="F24" s="197" t="s">
        <v>210</v>
      </c>
      <c r="G24" s="80">
        <v>0</v>
      </c>
      <c r="H24" s="80">
        <v>0</v>
      </c>
      <c r="I24" s="80">
        <v>0</v>
      </c>
      <c r="J24" s="80">
        <v>0</v>
      </c>
      <c r="K24" s="80">
        <v>1</v>
      </c>
      <c r="L24" s="80">
        <v>0</v>
      </c>
      <c r="M24" s="80">
        <v>1</v>
      </c>
      <c r="N24" s="80">
        <v>0</v>
      </c>
      <c r="O24" s="80">
        <v>1</v>
      </c>
      <c r="P24" s="70">
        <v>0</v>
      </c>
      <c r="Q24" s="80">
        <v>0</v>
      </c>
      <c r="R24" s="71">
        <v>1</v>
      </c>
      <c r="S24"/>
      <c r="T24"/>
    </row>
    <row r="25" spans="1:20" ht="15" customHeight="1" x14ac:dyDescent="0.15">
      <c r="A25" s="80"/>
      <c r="B25" s="91"/>
      <c r="C25" s="79"/>
      <c r="D25" s="84" t="s">
        <v>160</v>
      </c>
      <c r="F25" s="197" t="s">
        <v>211</v>
      </c>
      <c r="G25" s="80">
        <v>0</v>
      </c>
      <c r="H25" s="80">
        <v>0</v>
      </c>
      <c r="I25" s="80">
        <v>0</v>
      </c>
      <c r="J25" s="80">
        <v>0</v>
      </c>
      <c r="K25" s="80">
        <v>1</v>
      </c>
      <c r="L25" s="80">
        <v>0</v>
      </c>
      <c r="M25" s="80">
        <v>1</v>
      </c>
      <c r="N25" s="80">
        <v>0</v>
      </c>
      <c r="O25" s="80">
        <v>1</v>
      </c>
      <c r="P25" s="70">
        <v>0</v>
      </c>
      <c r="Q25" s="80">
        <v>0</v>
      </c>
      <c r="R25" s="71">
        <v>1</v>
      </c>
      <c r="S25"/>
      <c r="T25"/>
    </row>
    <row r="26" spans="1:20" ht="15" customHeight="1" x14ac:dyDescent="0.15">
      <c r="B26" s="91"/>
      <c r="C26" s="79"/>
      <c r="D26" s="84" t="s">
        <v>160</v>
      </c>
      <c r="F26" s="197" t="s">
        <v>212</v>
      </c>
      <c r="G26" s="80">
        <v>0</v>
      </c>
      <c r="H26" s="80">
        <v>0</v>
      </c>
      <c r="I26" s="80">
        <v>0</v>
      </c>
      <c r="J26" s="80">
        <v>0</v>
      </c>
      <c r="K26" s="80">
        <v>1</v>
      </c>
      <c r="L26" s="80">
        <v>0</v>
      </c>
      <c r="M26" s="80">
        <v>1</v>
      </c>
      <c r="N26" s="80">
        <v>0</v>
      </c>
      <c r="O26" s="80">
        <v>1</v>
      </c>
      <c r="P26" s="70">
        <v>0</v>
      </c>
      <c r="Q26" s="80">
        <v>0</v>
      </c>
      <c r="R26" s="71">
        <v>1</v>
      </c>
      <c r="S26"/>
      <c r="T26"/>
    </row>
    <row r="27" spans="1:20" ht="15" customHeight="1" x14ac:dyDescent="0.15">
      <c r="B27" s="91"/>
      <c r="C27" s="79"/>
      <c r="D27" s="84" t="s">
        <v>160</v>
      </c>
      <c r="F27" s="197" t="s">
        <v>213</v>
      </c>
      <c r="G27" s="80">
        <v>0</v>
      </c>
      <c r="H27" s="80">
        <v>0</v>
      </c>
      <c r="I27" s="80">
        <v>0</v>
      </c>
      <c r="J27" s="80">
        <v>0</v>
      </c>
      <c r="K27" s="80">
        <v>1</v>
      </c>
      <c r="L27" s="80">
        <v>0</v>
      </c>
      <c r="M27" s="80">
        <v>1</v>
      </c>
      <c r="N27" s="80">
        <v>0</v>
      </c>
      <c r="O27" s="80">
        <v>1</v>
      </c>
      <c r="P27" s="70">
        <v>0</v>
      </c>
      <c r="Q27" s="80">
        <v>0</v>
      </c>
      <c r="R27" s="71">
        <v>1</v>
      </c>
      <c r="S27"/>
      <c r="T27"/>
    </row>
    <row r="28" spans="1:20" ht="15" customHeight="1" thickBot="1" x14ac:dyDescent="0.2">
      <c r="B28" s="90"/>
      <c r="C28" s="79"/>
      <c r="D28" s="84" t="s">
        <v>160</v>
      </c>
      <c r="F28" s="197" t="s">
        <v>214</v>
      </c>
      <c r="G28" s="80">
        <v>0</v>
      </c>
      <c r="H28" s="80">
        <v>0</v>
      </c>
      <c r="I28" s="80">
        <v>0</v>
      </c>
      <c r="J28" s="80">
        <v>0</v>
      </c>
      <c r="K28" s="80">
        <v>1</v>
      </c>
      <c r="L28" s="80">
        <v>0</v>
      </c>
      <c r="M28" s="80">
        <v>1</v>
      </c>
      <c r="N28" s="80">
        <v>0</v>
      </c>
      <c r="O28" s="80">
        <v>1</v>
      </c>
      <c r="P28" s="70">
        <v>0</v>
      </c>
      <c r="Q28" s="80">
        <v>0</v>
      </c>
      <c r="R28" s="71">
        <v>1</v>
      </c>
      <c r="S28"/>
      <c r="T28"/>
    </row>
    <row r="29" spans="1:20" ht="15" customHeight="1" x14ac:dyDescent="0.15">
      <c r="F29" s="197" t="s">
        <v>215</v>
      </c>
      <c r="G29" s="80">
        <v>0</v>
      </c>
      <c r="H29" s="80">
        <v>0</v>
      </c>
      <c r="I29" s="80">
        <v>0</v>
      </c>
      <c r="J29" s="80">
        <v>0</v>
      </c>
      <c r="K29" s="80">
        <v>1</v>
      </c>
      <c r="L29" s="80">
        <v>0</v>
      </c>
      <c r="M29" s="80">
        <v>1</v>
      </c>
      <c r="N29" s="80">
        <v>0</v>
      </c>
      <c r="O29" s="80">
        <v>1</v>
      </c>
      <c r="P29" s="70">
        <v>0</v>
      </c>
      <c r="Q29" s="80">
        <v>0</v>
      </c>
      <c r="R29" s="71">
        <v>1</v>
      </c>
      <c r="S29"/>
      <c r="T29"/>
    </row>
    <row r="30" spans="1:20" ht="15" customHeight="1" x14ac:dyDescent="0.15">
      <c r="F30" s="197" t="s">
        <v>216</v>
      </c>
      <c r="G30" s="80">
        <v>0</v>
      </c>
      <c r="H30" s="80">
        <v>0</v>
      </c>
      <c r="I30" s="80">
        <v>0</v>
      </c>
      <c r="J30" s="80">
        <v>0</v>
      </c>
      <c r="K30" s="80">
        <v>1</v>
      </c>
      <c r="L30" s="80">
        <v>0</v>
      </c>
      <c r="M30" s="80">
        <v>1</v>
      </c>
      <c r="N30" s="80">
        <v>0</v>
      </c>
      <c r="O30" s="80">
        <v>1</v>
      </c>
      <c r="P30" s="70">
        <v>0</v>
      </c>
      <c r="Q30" s="80">
        <v>0</v>
      </c>
      <c r="R30" s="71">
        <v>1</v>
      </c>
      <c r="S30"/>
      <c r="T30"/>
    </row>
    <row r="31" spans="1:20" ht="15" customHeight="1" x14ac:dyDescent="0.15">
      <c r="A31" s="124"/>
      <c r="B31" s="134" t="s">
        <v>17</v>
      </c>
      <c r="C31" s="134" t="s">
        <v>1</v>
      </c>
      <c r="D31" s="134" t="s">
        <v>161</v>
      </c>
      <c r="E31" s="135" t="s">
        <v>163</v>
      </c>
      <c r="F31" s="197" t="s">
        <v>217</v>
      </c>
      <c r="G31" s="80">
        <v>0</v>
      </c>
      <c r="H31" s="80">
        <v>0</v>
      </c>
      <c r="I31" s="80">
        <v>0</v>
      </c>
      <c r="J31" s="80">
        <v>0</v>
      </c>
      <c r="K31" s="80">
        <v>1</v>
      </c>
      <c r="L31" s="80">
        <v>0</v>
      </c>
      <c r="M31" s="80">
        <v>1</v>
      </c>
      <c r="N31" s="80">
        <v>0</v>
      </c>
      <c r="O31" s="80">
        <v>1</v>
      </c>
      <c r="P31" s="70">
        <v>0</v>
      </c>
      <c r="Q31" s="80">
        <v>0</v>
      </c>
      <c r="R31" s="71">
        <v>1</v>
      </c>
      <c r="S31"/>
      <c r="T31"/>
    </row>
    <row r="32" spans="1:20" ht="15" customHeight="1" x14ac:dyDescent="0.15">
      <c r="A32" s="200" t="s">
        <v>226</v>
      </c>
      <c r="B32" s="92">
        <v>124.624</v>
      </c>
      <c r="C32" s="92">
        <v>21.350999999999999</v>
      </c>
      <c r="D32" s="92">
        <v>2660.8470239999997</v>
      </c>
      <c r="E32" s="125">
        <v>0.76177603597137933</v>
      </c>
      <c r="F32" s="197" t="s">
        <v>218</v>
      </c>
      <c r="G32" s="80">
        <v>0</v>
      </c>
      <c r="H32" s="80">
        <v>0</v>
      </c>
      <c r="I32" s="80">
        <v>0</v>
      </c>
      <c r="J32" s="80">
        <v>0</v>
      </c>
      <c r="K32" s="80">
        <v>1</v>
      </c>
      <c r="L32" s="80">
        <v>0</v>
      </c>
      <c r="M32" s="80">
        <v>1</v>
      </c>
      <c r="N32" s="80">
        <v>0</v>
      </c>
      <c r="O32" s="80">
        <v>1</v>
      </c>
      <c r="P32" s="70">
        <v>0</v>
      </c>
      <c r="Q32" s="80">
        <v>0</v>
      </c>
      <c r="R32" s="71">
        <v>1</v>
      </c>
      <c r="S32"/>
      <c r="T32"/>
    </row>
    <row r="33" spans="1:20" ht="15" customHeight="1" x14ac:dyDescent="0.15">
      <c r="A33" s="200" t="s">
        <v>227</v>
      </c>
      <c r="B33" s="92">
        <v>109.321259</v>
      </c>
      <c r="C33" s="92">
        <v>7.6115555800000001</v>
      </c>
      <c r="D33" s="92">
        <v>832.10483895407526</v>
      </c>
      <c r="E33" s="125">
        <v>0.23822396402862073</v>
      </c>
      <c r="F33" s="197" t="s">
        <v>219</v>
      </c>
      <c r="G33" s="80">
        <v>0</v>
      </c>
      <c r="H33" s="80">
        <v>0</v>
      </c>
      <c r="I33" s="80">
        <v>0</v>
      </c>
      <c r="J33" s="80">
        <v>0</v>
      </c>
      <c r="K33" s="80">
        <v>1</v>
      </c>
      <c r="L33" s="80">
        <v>0</v>
      </c>
      <c r="M33" s="80">
        <v>1</v>
      </c>
      <c r="N33" s="80">
        <v>0</v>
      </c>
      <c r="O33" s="80">
        <v>1</v>
      </c>
      <c r="P33" s="70">
        <v>0</v>
      </c>
      <c r="Q33" s="80">
        <v>0</v>
      </c>
      <c r="R33" s="71">
        <v>1</v>
      </c>
      <c r="S33"/>
      <c r="T33"/>
    </row>
    <row r="34" spans="1:20" ht="15" customHeight="1" x14ac:dyDescent="0.15">
      <c r="A34" s="126"/>
      <c r="B34" s="92"/>
      <c r="C34" s="92"/>
      <c r="D34" s="92"/>
      <c r="E34" s="125"/>
      <c r="F34" s="197" t="s">
        <v>220</v>
      </c>
      <c r="G34" s="80">
        <v>0</v>
      </c>
      <c r="H34" s="80">
        <v>0</v>
      </c>
      <c r="I34" s="80">
        <v>0</v>
      </c>
      <c r="J34" s="80">
        <v>0</v>
      </c>
      <c r="K34" s="80">
        <v>1</v>
      </c>
      <c r="L34" s="80">
        <v>0</v>
      </c>
      <c r="M34" s="80">
        <v>1</v>
      </c>
      <c r="N34" s="80">
        <v>0</v>
      </c>
      <c r="O34" s="80">
        <v>1</v>
      </c>
      <c r="P34" s="70">
        <v>0</v>
      </c>
      <c r="Q34" s="80">
        <v>0</v>
      </c>
      <c r="R34" s="71">
        <v>1</v>
      </c>
      <c r="S34"/>
      <c r="T34"/>
    </row>
    <row r="35" spans="1:20" ht="15" customHeight="1" x14ac:dyDescent="0.15">
      <c r="A35" s="127"/>
      <c r="B35" s="92"/>
      <c r="C35" s="92"/>
      <c r="D35" s="92"/>
      <c r="E35" s="125"/>
      <c r="F35" s="197" t="s">
        <v>221</v>
      </c>
      <c r="G35" s="80">
        <v>0</v>
      </c>
      <c r="H35" s="80">
        <v>0</v>
      </c>
      <c r="I35" s="80">
        <v>0</v>
      </c>
      <c r="J35" s="80">
        <v>0</v>
      </c>
      <c r="K35" s="80">
        <v>1</v>
      </c>
      <c r="L35" s="80">
        <v>0</v>
      </c>
      <c r="M35" s="80">
        <v>1</v>
      </c>
      <c r="N35" s="80">
        <v>0</v>
      </c>
      <c r="O35" s="80">
        <v>1</v>
      </c>
      <c r="P35" s="70">
        <v>0</v>
      </c>
      <c r="Q35" s="80">
        <v>0</v>
      </c>
      <c r="R35" s="71">
        <v>1</v>
      </c>
      <c r="S35"/>
      <c r="T35"/>
    </row>
    <row r="36" spans="1:20" ht="15" customHeight="1" x14ac:dyDescent="0.15">
      <c r="A36" s="128"/>
      <c r="B36" s="92"/>
      <c r="C36" s="92"/>
      <c r="D36" s="92"/>
      <c r="E36" s="125"/>
      <c r="F36" s="197" t="s">
        <v>222</v>
      </c>
      <c r="G36" s="80">
        <v>0</v>
      </c>
      <c r="H36" s="80">
        <v>0</v>
      </c>
      <c r="I36" s="80">
        <v>0</v>
      </c>
      <c r="J36" s="80">
        <v>0</v>
      </c>
      <c r="K36" s="80">
        <v>1</v>
      </c>
      <c r="L36" s="80">
        <v>0</v>
      </c>
      <c r="M36" s="80">
        <v>1</v>
      </c>
      <c r="N36" s="80">
        <v>0</v>
      </c>
      <c r="O36" s="80">
        <v>1</v>
      </c>
      <c r="P36" s="70">
        <v>0</v>
      </c>
      <c r="Q36" s="80">
        <v>0</v>
      </c>
      <c r="R36" s="71">
        <v>1</v>
      </c>
      <c r="S36"/>
      <c r="T36"/>
    </row>
    <row r="37" spans="1:20" ht="15" customHeight="1" x14ac:dyDescent="0.15">
      <c r="A37" s="128"/>
      <c r="B37" s="92"/>
      <c r="C37" s="92"/>
      <c r="D37" s="92"/>
      <c r="E37" s="125"/>
      <c r="F37" s="197" t="s">
        <v>223</v>
      </c>
      <c r="G37" s="80">
        <v>0</v>
      </c>
      <c r="H37" s="80">
        <v>0</v>
      </c>
      <c r="I37" s="80">
        <v>0</v>
      </c>
      <c r="J37" s="80">
        <v>0</v>
      </c>
      <c r="K37" s="80">
        <v>1</v>
      </c>
      <c r="L37" s="80">
        <v>0</v>
      </c>
      <c r="M37" s="80">
        <v>1</v>
      </c>
      <c r="N37" s="80">
        <v>0</v>
      </c>
      <c r="O37" s="80">
        <v>1</v>
      </c>
      <c r="P37" s="70">
        <v>0</v>
      </c>
      <c r="Q37" s="80">
        <v>0</v>
      </c>
      <c r="R37" s="71">
        <v>1</v>
      </c>
      <c r="S37"/>
      <c r="T37"/>
    </row>
    <row r="38" spans="1:20" ht="15" customHeight="1" x14ac:dyDescent="0.15">
      <c r="A38" s="129"/>
      <c r="B38" s="92"/>
      <c r="C38" s="92"/>
      <c r="D38" s="92"/>
      <c r="E38" s="125"/>
      <c r="F38" s="197" t="s">
        <v>224</v>
      </c>
      <c r="G38" s="80">
        <v>0</v>
      </c>
      <c r="H38" s="80">
        <v>0</v>
      </c>
      <c r="I38" s="80">
        <v>0</v>
      </c>
      <c r="J38" s="80">
        <v>0</v>
      </c>
      <c r="K38" s="80">
        <v>1</v>
      </c>
      <c r="L38" s="80">
        <v>0</v>
      </c>
      <c r="M38" s="80">
        <v>1</v>
      </c>
      <c r="N38" s="80">
        <v>0</v>
      </c>
      <c r="O38" s="80">
        <v>1</v>
      </c>
      <c r="P38" s="70">
        <v>0</v>
      </c>
      <c r="Q38" s="80">
        <v>0</v>
      </c>
      <c r="R38" s="71">
        <v>1</v>
      </c>
      <c r="S38"/>
      <c r="T38"/>
    </row>
    <row r="39" spans="1:20" ht="15" customHeight="1" x14ac:dyDescent="0.15">
      <c r="A39" s="129"/>
      <c r="B39" s="92"/>
      <c r="C39" s="92"/>
      <c r="D39" s="92"/>
      <c r="E39" s="125"/>
      <c r="F39" s="197" t="s">
        <v>225</v>
      </c>
      <c r="G39" s="80">
        <v>0</v>
      </c>
      <c r="H39" s="80">
        <v>0</v>
      </c>
      <c r="I39" s="80">
        <v>0</v>
      </c>
      <c r="J39" s="80">
        <v>0</v>
      </c>
      <c r="K39" s="80">
        <v>1</v>
      </c>
      <c r="L39" s="80">
        <v>0</v>
      </c>
      <c r="M39" s="80">
        <v>1</v>
      </c>
      <c r="N39" s="80">
        <v>0</v>
      </c>
      <c r="O39" s="80">
        <v>1</v>
      </c>
      <c r="P39" s="70">
        <v>0</v>
      </c>
      <c r="Q39" s="80">
        <v>0</v>
      </c>
      <c r="R39" s="71">
        <v>1</v>
      </c>
      <c r="S39"/>
      <c r="T39"/>
    </row>
    <row r="40" spans="1:20" ht="15" customHeight="1" x14ac:dyDescent="0.15">
      <c r="A40" s="129"/>
      <c r="B40" s="92"/>
      <c r="C40" s="92"/>
      <c r="D40" s="92"/>
      <c r="E40" s="125"/>
      <c r="F40" s="197" t="s">
        <v>226</v>
      </c>
      <c r="G40" s="80">
        <v>0</v>
      </c>
      <c r="H40" s="80">
        <v>0</v>
      </c>
      <c r="I40" s="80">
        <v>0</v>
      </c>
      <c r="J40" s="80">
        <v>0</v>
      </c>
      <c r="K40" s="80">
        <v>0</v>
      </c>
      <c r="L40" s="80">
        <v>0</v>
      </c>
      <c r="M40" s="80">
        <v>1</v>
      </c>
      <c r="N40" s="80">
        <v>0</v>
      </c>
      <c r="O40" s="80">
        <v>0</v>
      </c>
      <c r="P40" s="70">
        <v>0</v>
      </c>
      <c r="Q40" s="80">
        <v>0</v>
      </c>
      <c r="R40" s="71">
        <v>1</v>
      </c>
      <c r="S40"/>
      <c r="T40"/>
    </row>
    <row r="41" spans="1:20" ht="15" customHeight="1" thickBot="1" x14ac:dyDescent="0.2">
      <c r="A41" s="129"/>
      <c r="B41" s="92"/>
      <c r="C41" s="92"/>
      <c r="D41" s="93"/>
      <c r="E41" s="130"/>
      <c r="F41" s="197" t="s">
        <v>227</v>
      </c>
      <c r="G41" s="80">
        <v>0</v>
      </c>
      <c r="H41" s="80">
        <v>0</v>
      </c>
      <c r="I41" s="80">
        <v>0</v>
      </c>
      <c r="J41" s="80">
        <v>0</v>
      </c>
      <c r="K41" s="80">
        <v>0</v>
      </c>
      <c r="L41" s="80">
        <v>0</v>
      </c>
      <c r="M41" s="80">
        <v>1</v>
      </c>
      <c r="N41" s="80">
        <v>0</v>
      </c>
      <c r="O41" s="80">
        <v>0</v>
      </c>
      <c r="P41" s="70">
        <v>0</v>
      </c>
      <c r="Q41" s="80">
        <v>0</v>
      </c>
      <c r="R41" s="71">
        <v>1</v>
      </c>
      <c r="S41"/>
      <c r="T41"/>
    </row>
    <row r="42" spans="1:20" ht="15" customHeight="1" x14ac:dyDescent="0.15">
      <c r="A42" s="131"/>
      <c r="B42" s="132"/>
      <c r="C42" s="132" t="s">
        <v>162</v>
      </c>
      <c r="D42" s="132">
        <f>SUM(D32:D41)</f>
        <v>3492.9518629540748</v>
      </c>
      <c r="E42" s="133">
        <f>SUM(E32:E41)</f>
        <v>1</v>
      </c>
      <c r="F42" s="197" t="s">
        <v>228</v>
      </c>
      <c r="G42" s="80">
        <v>0</v>
      </c>
      <c r="H42" s="80">
        <v>0</v>
      </c>
      <c r="I42" s="80">
        <v>0</v>
      </c>
      <c r="J42" s="80">
        <v>0</v>
      </c>
      <c r="K42" s="80">
        <v>0</v>
      </c>
      <c r="L42" s="80">
        <v>1</v>
      </c>
      <c r="M42" s="80">
        <v>0</v>
      </c>
      <c r="N42" s="80">
        <v>1</v>
      </c>
      <c r="O42" s="80">
        <v>0</v>
      </c>
      <c r="P42" s="70">
        <v>1</v>
      </c>
      <c r="Q42" s="80">
        <v>0</v>
      </c>
      <c r="R42" s="71">
        <v>1</v>
      </c>
      <c r="S42"/>
      <c r="T42"/>
    </row>
    <row r="43" spans="1:20" ht="15" customHeight="1" x14ac:dyDescent="0.15">
      <c r="A43" s="80"/>
      <c r="F43" s="197" t="s">
        <v>229</v>
      </c>
      <c r="G43" s="80">
        <v>0</v>
      </c>
      <c r="H43" s="80">
        <v>0</v>
      </c>
      <c r="I43" s="80">
        <v>0</v>
      </c>
      <c r="J43" s="80">
        <v>0</v>
      </c>
      <c r="K43" s="80">
        <v>0</v>
      </c>
      <c r="L43" s="80">
        <v>1</v>
      </c>
      <c r="M43" s="80">
        <v>0</v>
      </c>
      <c r="N43" s="80">
        <v>1</v>
      </c>
      <c r="O43" s="80">
        <v>0</v>
      </c>
      <c r="P43" s="70">
        <v>1</v>
      </c>
      <c r="Q43" s="80">
        <v>0</v>
      </c>
      <c r="R43" s="71">
        <v>1</v>
      </c>
      <c r="S43"/>
      <c r="T43"/>
    </row>
    <row r="44" spans="1:20" ht="15" customHeight="1" x14ac:dyDescent="0.15">
      <c r="A44" s="80"/>
      <c r="F44" s="197" t="s">
        <v>230</v>
      </c>
      <c r="G44" s="80">
        <v>0</v>
      </c>
      <c r="H44" s="80">
        <v>0</v>
      </c>
      <c r="I44" s="80">
        <v>0</v>
      </c>
      <c r="J44" s="80">
        <v>0</v>
      </c>
      <c r="K44" s="80">
        <v>0</v>
      </c>
      <c r="L44" s="80">
        <v>1</v>
      </c>
      <c r="M44" s="80">
        <v>0</v>
      </c>
      <c r="N44" s="80">
        <v>0</v>
      </c>
      <c r="O44" s="80">
        <v>0</v>
      </c>
      <c r="P44" s="70">
        <v>0</v>
      </c>
      <c r="Q44" s="80">
        <v>0</v>
      </c>
      <c r="R44" s="71">
        <v>1</v>
      </c>
    </row>
    <row r="45" spans="1:20" ht="15" customHeight="1" x14ac:dyDescent="0.15">
      <c r="A45" s="80"/>
      <c r="F45" s="197" t="s">
        <v>231</v>
      </c>
      <c r="G45" s="80">
        <v>0</v>
      </c>
      <c r="H45" s="80">
        <v>0</v>
      </c>
      <c r="I45" s="80">
        <v>0</v>
      </c>
      <c r="J45" s="80">
        <v>0</v>
      </c>
      <c r="K45" s="80">
        <v>0</v>
      </c>
      <c r="L45" s="80">
        <v>1</v>
      </c>
      <c r="M45" s="80">
        <v>0</v>
      </c>
      <c r="N45" s="80">
        <v>0</v>
      </c>
      <c r="O45" s="80">
        <v>0</v>
      </c>
      <c r="P45" s="70">
        <v>0</v>
      </c>
      <c r="Q45" s="80">
        <v>0</v>
      </c>
      <c r="R45" s="71">
        <v>1</v>
      </c>
    </row>
    <row r="46" spans="1:20" ht="15" customHeight="1" x14ac:dyDescent="0.15">
      <c r="A46" s="80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80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80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80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80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80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80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80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0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0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0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0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0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0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0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0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0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0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0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0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0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0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0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0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0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0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0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0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0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0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0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0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0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0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0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0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0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0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0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0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0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0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0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0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0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0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0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0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0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0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0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0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0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0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0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0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0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0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0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0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0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0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0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0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0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0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0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0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0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0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0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0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0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0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0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0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0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0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0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0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0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0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0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0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0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0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0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0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0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0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0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0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0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0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0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0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0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0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0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0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0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0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0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0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0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0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0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0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0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0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0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0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0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0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0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0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0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0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0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0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0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0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0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0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0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V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9" customWidth="1"/>
    <col min="3" max="5" width="7.83203125" style="109" customWidth="1"/>
    <col min="6" max="8" width="8.83203125" style="6"/>
    <col min="9" max="9" width="5.33203125" style="6" customWidth="1"/>
    <col min="10" max="10" width="10.5" style="6" customWidth="1"/>
    <col min="11" max="11" width="11" style="6" customWidth="1"/>
    <col min="12" max="12" width="13.6640625" style="6" customWidth="1"/>
    <col min="13" max="13" width="9.6640625" style="6" customWidth="1"/>
    <col min="14" max="14" width="14.1640625" style="6" customWidth="1"/>
    <col min="15" max="15" width="11.1640625" style="6" customWidth="1"/>
    <col min="16" max="16" width="13.5" style="6" customWidth="1"/>
    <col min="17" max="17" width="10.5" style="6" customWidth="1"/>
    <col min="18" max="18" width="13.1640625" style="6" customWidth="1"/>
    <col min="19" max="19" width="10.1640625" style="6" customWidth="1"/>
    <col min="20" max="20" width="10" style="6" customWidth="1"/>
    <col min="21" max="21" width="7" style="6" customWidth="1"/>
    <col min="22" max="22" width="13" style="6" customWidth="1"/>
    <col min="23" max="23" width="13.5" style="6" customWidth="1"/>
    <col min="24" max="24" width="12.5" style="6" customWidth="1"/>
    <col min="25" max="25" width="10.83203125" style="6" customWidth="1"/>
    <col min="26" max="26" width="9.33203125" style="6" customWidth="1"/>
    <col min="27" max="27" width="9.5" style="6" customWidth="1"/>
    <col min="28" max="28" width="9.1640625" style="6" customWidth="1"/>
    <col min="29" max="29" width="11.5" style="6" customWidth="1"/>
    <col min="30" max="30" width="10.6640625" style="6" customWidth="1"/>
    <col min="31" max="31" width="12" style="6" customWidth="1"/>
    <col min="32" max="32" width="10.83203125" style="6" customWidth="1"/>
    <col min="33" max="33" width="7.33203125" style="6" customWidth="1"/>
    <col min="34" max="34" width="13.6640625" style="6" customWidth="1"/>
    <col min="35" max="35" width="7.5" style="6" customWidth="1"/>
    <col min="36" max="36" width="8" style="6" customWidth="1"/>
    <col min="37" max="37" width="10.1640625" style="6" customWidth="1"/>
    <col min="38" max="38" width="12.33203125" style="6" customWidth="1"/>
    <col min="39" max="39" width="10" customWidth="1"/>
    <col min="40" max="40" width="10.5" customWidth="1"/>
    <col min="41" max="41" width="15.5" customWidth="1"/>
    <col min="42" max="42" width="11.33203125" customWidth="1"/>
    <col min="43" max="43" width="11.5" customWidth="1"/>
    <col min="44" max="44" width="9.83203125" customWidth="1"/>
    <col min="45" max="45" width="7.6640625" customWidth="1"/>
    <col min="46" max="46" width="21.6640625" customWidth="1"/>
    <col min="47" max="47" width="8.6640625" customWidth="1"/>
    <col min="48" max="48" width="12" customWidth="1"/>
    <col min="81" max="81" width="22.1640625" bestFit="1" customWidth="1"/>
  </cols>
  <sheetData>
    <row r="1" spans="1:48" x14ac:dyDescent="0.15">
      <c r="A1" s="4" t="s">
        <v>156</v>
      </c>
      <c r="B1" s="36" t="s">
        <v>157</v>
      </c>
      <c r="C1" s="36" t="s">
        <v>17</v>
      </c>
      <c r="D1" s="36" t="s">
        <v>158</v>
      </c>
      <c r="E1" s="36" t="s">
        <v>159</v>
      </c>
      <c r="F1" t="s">
        <v>38</v>
      </c>
      <c r="G1" t="s">
        <v>40</v>
      </c>
      <c r="H1" t="s">
        <v>41</v>
      </c>
      <c r="I1" s="202" t="s">
        <v>192</v>
      </c>
      <c r="J1" s="202" t="s">
        <v>193</v>
      </c>
      <c r="K1" s="202" t="s">
        <v>194</v>
      </c>
      <c r="L1" s="202" t="s">
        <v>195</v>
      </c>
      <c r="M1" s="202" t="s">
        <v>196</v>
      </c>
      <c r="N1" s="202" t="s">
        <v>197</v>
      </c>
      <c r="O1" s="202" t="s">
        <v>198</v>
      </c>
      <c r="P1" s="202" t="s">
        <v>199</v>
      </c>
      <c r="Q1" s="202" t="s">
        <v>200</v>
      </c>
      <c r="R1" s="202" t="s">
        <v>201</v>
      </c>
      <c r="S1" s="202" t="s">
        <v>202</v>
      </c>
      <c r="T1" s="202" t="s">
        <v>203</v>
      </c>
      <c r="U1" s="202" t="s">
        <v>204</v>
      </c>
      <c r="V1" s="202" t="s">
        <v>205</v>
      </c>
      <c r="W1" s="202" t="s">
        <v>206</v>
      </c>
      <c r="X1" s="202" t="s">
        <v>207</v>
      </c>
      <c r="Y1" s="202" t="s">
        <v>208</v>
      </c>
      <c r="Z1" s="202" t="s">
        <v>209</v>
      </c>
      <c r="AA1" s="202" t="s">
        <v>210</v>
      </c>
      <c r="AB1" s="202" t="s">
        <v>211</v>
      </c>
      <c r="AC1" s="202" t="s">
        <v>212</v>
      </c>
      <c r="AD1" s="202" t="s">
        <v>213</v>
      </c>
      <c r="AE1" s="202" t="s">
        <v>214</v>
      </c>
      <c r="AF1" s="202" t="s">
        <v>215</v>
      </c>
      <c r="AG1" s="202" t="s">
        <v>216</v>
      </c>
      <c r="AH1" s="202" t="s">
        <v>217</v>
      </c>
      <c r="AI1" s="202" t="s">
        <v>218</v>
      </c>
      <c r="AJ1" s="202" t="s">
        <v>219</v>
      </c>
      <c r="AK1" s="202" t="s">
        <v>220</v>
      </c>
      <c r="AL1" s="202" t="s">
        <v>221</v>
      </c>
      <c r="AM1" s="202" t="s">
        <v>222</v>
      </c>
      <c r="AN1" s="202" t="s">
        <v>223</v>
      </c>
      <c r="AO1" s="202" t="s">
        <v>224</v>
      </c>
      <c r="AP1" s="202" t="s">
        <v>225</v>
      </c>
      <c r="AQ1" s="202" t="s">
        <v>226</v>
      </c>
      <c r="AR1" s="202" t="s">
        <v>227</v>
      </c>
      <c r="AS1" s="202" t="s">
        <v>228</v>
      </c>
      <c r="AT1" s="202" t="s">
        <v>229</v>
      </c>
      <c r="AU1" s="202" t="s">
        <v>230</v>
      </c>
      <c r="AV1" s="202" t="s">
        <v>231</v>
      </c>
    </row>
    <row r="2" spans="1:48" x14ac:dyDescent="0.15">
      <c r="A2" t="s">
        <v>38</v>
      </c>
      <c r="B2" s="109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8" x14ac:dyDescent="0.15">
      <c r="A3" t="s">
        <v>40</v>
      </c>
      <c r="B3" s="109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8" x14ac:dyDescent="0.15">
      <c r="A4" t="s">
        <v>41</v>
      </c>
      <c r="B4" s="109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8" x14ac:dyDescent="0.15">
      <c r="A5" s="201" t="s">
        <v>192</v>
      </c>
      <c r="B5" s="109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8" x14ac:dyDescent="0.15">
      <c r="A6" s="201" t="s">
        <v>193</v>
      </c>
      <c r="B6" s="109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8" x14ac:dyDescent="0.15">
      <c r="A7" s="201" t="s">
        <v>194</v>
      </c>
      <c r="B7" s="109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8" x14ac:dyDescent="0.15">
      <c r="A8" s="201" t="s">
        <v>195</v>
      </c>
      <c r="B8" s="109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8" x14ac:dyDescent="0.15">
      <c r="A9" s="201" t="s">
        <v>196</v>
      </c>
      <c r="B9" s="109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8" x14ac:dyDescent="0.15">
      <c r="A10" s="201" t="s">
        <v>197</v>
      </c>
      <c r="B10" s="109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8" x14ac:dyDescent="0.15">
      <c r="A11" s="201" t="s">
        <v>198</v>
      </c>
      <c r="B11" s="109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8" x14ac:dyDescent="0.15">
      <c r="A12" s="201" t="s">
        <v>199</v>
      </c>
      <c r="B12" s="109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8" x14ac:dyDescent="0.15">
      <c r="A13" s="201" t="s">
        <v>200</v>
      </c>
      <c r="B13" s="109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8" x14ac:dyDescent="0.15">
      <c r="A14" s="201" t="s">
        <v>201</v>
      </c>
      <c r="B14" s="109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8" x14ac:dyDescent="0.15">
      <c r="A15" s="201" t="s">
        <v>202</v>
      </c>
      <c r="B15" s="109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8" x14ac:dyDescent="0.15">
      <c r="A16" s="201" t="s">
        <v>203</v>
      </c>
      <c r="B16" s="109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1" t="s">
        <v>204</v>
      </c>
      <c r="B17" s="109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1" t="s">
        <v>205</v>
      </c>
      <c r="B18" s="109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1" t="s">
        <v>206</v>
      </c>
      <c r="B19" s="109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1" t="s">
        <v>207</v>
      </c>
      <c r="B20" s="109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1" t="s">
        <v>208</v>
      </c>
      <c r="B21" s="109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1" t="s">
        <v>209</v>
      </c>
      <c r="B22" s="109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1" t="s">
        <v>210</v>
      </c>
      <c r="B23" s="109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1" t="s">
        <v>211</v>
      </c>
      <c r="B24" s="109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1" t="s">
        <v>212</v>
      </c>
      <c r="B25" s="109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1" t="s">
        <v>213</v>
      </c>
      <c r="B26" s="109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1" t="s">
        <v>214</v>
      </c>
      <c r="B27" s="109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1" t="s">
        <v>215</v>
      </c>
      <c r="B28" s="109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1" t="s">
        <v>216</v>
      </c>
      <c r="B29" s="109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1" t="s">
        <v>217</v>
      </c>
      <c r="B30" s="109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1" t="s">
        <v>218</v>
      </c>
      <c r="B31" s="109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1" t="s">
        <v>219</v>
      </c>
      <c r="B32" s="109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1" t="s">
        <v>220</v>
      </c>
      <c r="B33" s="109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1" t="s">
        <v>221</v>
      </c>
      <c r="B34" s="109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1" t="s">
        <v>222</v>
      </c>
      <c r="B35" s="109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1" t="s">
        <v>223</v>
      </c>
      <c r="B36" s="109">
        <v>0</v>
      </c>
      <c r="C36"/>
      <c r="D36"/>
    </row>
    <row r="37" spans="1:38" ht="15" customHeight="1" x14ac:dyDescent="0.15">
      <c r="A37" s="201" t="s">
        <v>224</v>
      </c>
      <c r="B37" s="109">
        <v>0</v>
      </c>
      <c r="C37"/>
      <c r="D37"/>
    </row>
    <row r="38" spans="1:38" ht="15" customHeight="1" x14ac:dyDescent="0.15">
      <c r="A38" s="201" t="s">
        <v>225</v>
      </c>
      <c r="B38" s="109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1" t="s">
        <v>226</v>
      </c>
      <c r="B39" s="109">
        <v>0</v>
      </c>
      <c r="C39"/>
      <c r="D39"/>
    </row>
    <row r="40" spans="1:38" ht="15" customHeight="1" x14ac:dyDescent="0.15">
      <c r="A40" s="201" t="s">
        <v>227</v>
      </c>
      <c r="B40" s="109">
        <v>0</v>
      </c>
      <c r="C40"/>
      <c r="D40"/>
    </row>
    <row r="41" spans="1:38" ht="15" customHeight="1" x14ac:dyDescent="0.15">
      <c r="A41" s="201" t="s">
        <v>228</v>
      </c>
      <c r="B41" s="109">
        <v>0</v>
      </c>
      <c r="C41"/>
      <c r="D41"/>
    </row>
    <row r="42" spans="1:38" ht="15" customHeight="1" x14ac:dyDescent="0.15">
      <c r="A42" s="201" t="s">
        <v>229</v>
      </c>
      <c r="B42" s="109">
        <v>0</v>
      </c>
    </row>
    <row r="43" spans="1:38" ht="15" customHeight="1" x14ac:dyDescent="0.15">
      <c r="A43" s="201" t="s">
        <v>230</v>
      </c>
      <c r="B43" s="109">
        <v>0</v>
      </c>
    </row>
    <row r="44" spans="1:38" ht="15" customHeight="1" x14ac:dyDescent="0.15">
      <c r="A44" s="201" t="s">
        <v>231</v>
      </c>
      <c r="B44" s="109">
        <v>0</v>
      </c>
    </row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2022-10-23T22:41:41Z</dcterms:modified>
</cp:coreProperties>
</file>