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CD4B9C75-EDCE-3345-8363-0F42CF696DDD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Main!$C$2:$N$79</definedName>
    <definedName name="matDetritus">Detritus!$C$2:$E$79</definedName>
    <definedName name="matDiet">Diets!$B$2:$BD$59</definedName>
    <definedName name="matDiscards">Discards!$C$2:$W$58</definedName>
    <definedName name="matFishery">Fishing!$C$2:$W$58</definedName>
    <definedName name="matFishing">Fishing!#REF!</definedName>
    <definedName name="matMort">Mortalities!$A$1:$CC$58</definedName>
    <definedName name="matOut">MainOutputs!$A$2:$I$79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<sst xmlns="http://schemas.openxmlformats.org/spreadsheetml/2006/main" count="1762" uniqueCount="291">
  <si>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</si>
  <si>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</si>
  <si>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</si>
  <si>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</si>
  <si>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</si>
  <si>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</si>
  <si>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</si>
  <si>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</si>
  <si>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</si>
  <si>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</si>
  <si>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</si>
  <si>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</si>
  <si>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</si>
  <si>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</si>
  <si>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</si>
  <si>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</si>
  <si>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</si>
  <si>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</si>
  <si>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</si>
  <si>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</si>
  <si>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</si>
  <si>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</si>
  <si>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</si>
  <si>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</si>
  <si>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</si>
  <si>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</si>
  <si>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</si>
  <si>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</si>
  <si>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</si>
  <si>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</si>
  <si>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</si>
  <si>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</si>
  <si>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</si>
  <si>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</si>
  <si>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</si>
  <si>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</si>
  <si>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</si>
  <si>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</si>
  <si>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</si>
  <si>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</si>
  <si>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</si>
  <si>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</si>
  <si>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</si>
  <si>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</si>
  <si>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</si>
  <si>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</si>
  <si>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</si>
  <si>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</si>
  <si>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</si>
  <si>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</si>
  <si>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</si>
  <si>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</si>
  <si>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</si>
  <si>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</si>
  <si>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</si>
  <si>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</si>
  <si>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</si>
  <si>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</si>
  <si>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</si>
  <si>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</si>
  <si>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</si>
  <si>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</si>
  <si>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</si>
  <si>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</si>
  <si>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</si>
  <si>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</si>
  <si>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</si>
  <si>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</si>
  <si>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</si>
  <si>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</si>
  <si>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</si>
  <si>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</si>
  <si>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</si>
  <si>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</si>
  <si>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</si>
  <si>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</si>
  <si>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</si>
  <si>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</si>
  <si>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</si>
  <si>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</si>
  <si>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</si>
  <si>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</si>
  <si>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</si>
  <si>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</si>
  <si>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</si>
  <si>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</si>
  <si>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</si>
  <si>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</si>
  <si>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</si>
  <si>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</si>
  <si>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</si>
  <si>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</si>
  <si>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</si>
  <si>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</si>
  <si>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</si>
  <si>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</si>
  <si>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</si>
  <si>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</si>
  <si>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</si>
  <si>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</si>
  <si>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</si>
  <si>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</si>
  <si>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</si>
  <si>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</si>
  <si>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</si>
  <si>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</si>
  <si>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</si>
  <si>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</si>
  <si>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</si>
  <si>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</si>
  <si>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</si>
  <si>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</si>
  <si>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</si>
  <si>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</si>
  <si>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</si>
  <si>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</si>
  <si>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</si>
  <si>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</si>
  <si>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</si>
  <si>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</si>
  <si>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</si>
  <si>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</si>
  <si>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</si>
  <si>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</si>
  <si>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</si>
  <si>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</si>
  <si>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</si>
  <si>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</si>
  <si>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</si>
  <si>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</si>
  <si>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</si>
  <si>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</si>
  <si>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</si>
  <si>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</si>
  <si>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</si>
  <si>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</si>
  <si>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</si>
  <si>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</si>
  <si>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</si>
  <si>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</si>
  <si>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</si>
  <si>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</si>
  <si>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</si>
  <si>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</si>
  <si>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</si>
  <si>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</si>
  <si>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</si>
  <si>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</si>
  <si>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</si>
  <si>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</si>
  <si>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</si>
  <si>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</si>
  <si>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</si>
  <si>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</si>
  <si>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</si>
  <si>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</si>
  <si>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</si>
  <si>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</si>
  <si>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</si>
  <si>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</si>
  <si>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</si>
  <si>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</si>
  <si>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</si>
  <si>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</si>
  <si>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</si>
  <si>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</si>
  <si>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</si>
  <si>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</si>
  <si>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</si>
  <si>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</si>
  <si>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</si>
  <si>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</si>
  <si>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</si>
  <si>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</si>
  <si>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</si>
  <si>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</si>
  <si>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</si>
  <si>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</si>
  <si>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</si>
  <si>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</si>
  <si>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</si>
  <si>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</si>
  <si>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</si>
  <si>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</si>
  <si>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</si>
  <si>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North East Pacific</t>
  </si>
  <si>
    <t>Canada,United States of America</t>
  </si>
  <si>
    <t>BOX(-179.961715979103 46.7769587593126,-121.742240678793 66.1834505260826)</t>
  </si>
  <si>
    <t>continental shelf</t>
  </si>
  <si>
    <t>WetWeight</t>
  </si>
  <si>
    <t>; 27/04/2005 8:01:17 PM; 27/04/2005 9:06:13 PM; 06/06/2005 8:10:15 PM; 13/07/2005 3:07:48 PM; 28/07/2005 4:16:03 PM; 14/03/2006 5:59:29 PM; 23/03/2006 10:29:51 PM; 10/11/2006 10:50:26 PM</t>
  </si>
  <si>
    <t xml:space="preserve">Preikshot D.B.(2007). The influence of geographic scale, climate and trophic dynamics upon North Pacific oceanic ecosystem models </t>
  </si>
  <si>
    <t>arrowtooth juv.</t>
  </si>
  <si>
    <t>arrowtooth ad.</t>
  </si>
  <si>
    <t>P. cod juv.</t>
  </si>
  <si>
    <t>P. cod ad.</t>
  </si>
  <si>
    <t>P. halibut juv.</t>
  </si>
  <si>
    <t>P. halibut ad.</t>
  </si>
  <si>
    <t>sablefish juv.</t>
  </si>
  <si>
    <t>sablefish ad.</t>
  </si>
  <si>
    <t>pollock juv.</t>
  </si>
  <si>
    <t>pollock ad.</t>
  </si>
  <si>
    <t>herring juv.</t>
  </si>
  <si>
    <t>herring ad.</t>
  </si>
  <si>
    <t>birds pelag pisciv</t>
  </si>
  <si>
    <t>birds demer pisciv</t>
  </si>
  <si>
    <t>birds zooplanktiv</t>
  </si>
  <si>
    <t>odontocetae</t>
  </si>
  <si>
    <t>mysticetae</t>
  </si>
  <si>
    <t>sea lions</t>
  </si>
  <si>
    <t>seals</t>
  </si>
  <si>
    <t>salmon shark</t>
  </si>
  <si>
    <t>pelagic sharks</t>
  </si>
  <si>
    <t>dogfish</t>
  </si>
  <si>
    <t>rajidae / ratfish</t>
  </si>
  <si>
    <t>pink</t>
  </si>
  <si>
    <t>chum</t>
  </si>
  <si>
    <t>sockeye</t>
  </si>
  <si>
    <t>coho</t>
  </si>
  <si>
    <t>chinook</t>
  </si>
  <si>
    <t>Pac. Ocean perch</t>
  </si>
  <si>
    <t>northern rockfish</t>
  </si>
  <si>
    <t>rockfish other</t>
  </si>
  <si>
    <t>Pac. hake</t>
  </si>
  <si>
    <t>atka mackerel</t>
  </si>
  <si>
    <t>lingcod</t>
  </si>
  <si>
    <t>yellowfin sole</t>
  </si>
  <si>
    <t>rock sole</t>
  </si>
  <si>
    <t>plaice</t>
  </si>
  <si>
    <t>flatfish other</t>
  </si>
  <si>
    <t>myctophids</t>
  </si>
  <si>
    <t>misc. small demersals</t>
  </si>
  <si>
    <t>misc. pred. pelagics</t>
  </si>
  <si>
    <t>misc. small pelagics</t>
  </si>
  <si>
    <t>krill</t>
  </si>
  <si>
    <t>carn. zooplankton</t>
  </si>
  <si>
    <t>herb. zooplankton</t>
  </si>
  <si>
    <t>jellies</t>
  </si>
  <si>
    <t>large squids</t>
  </si>
  <si>
    <t>small squids</t>
  </si>
  <si>
    <t>shrimps</t>
  </si>
  <si>
    <t>crabs</t>
  </si>
  <si>
    <t>bivalves</t>
  </si>
  <si>
    <t>echinoderms</t>
  </si>
  <si>
    <t>other benthos</t>
  </si>
  <si>
    <t>phytoplankton</t>
  </si>
  <si>
    <t>Detritus</t>
  </si>
  <si>
    <t>detritus_TerminalBenthic</t>
  </si>
  <si>
    <t>arrowtooth</t>
  </si>
  <si>
    <t>P. cod</t>
  </si>
  <si>
    <t>P. halibut</t>
  </si>
  <si>
    <t>sablefish</t>
  </si>
  <si>
    <t>pollock</t>
  </si>
  <si>
    <t>herring</t>
  </si>
  <si>
    <t>chinook/coho</t>
  </si>
  <si>
    <t>molluscs</t>
  </si>
  <si>
    <t>shrimp</t>
  </si>
  <si>
    <t>crab</t>
  </si>
  <si>
    <t>echino</t>
  </si>
  <si>
    <t>demersal</t>
  </si>
  <si>
    <t>hake</t>
  </si>
  <si>
    <t>pop</t>
  </si>
  <si>
    <t>flatfish</t>
  </si>
  <si>
    <t>pelag sm</t>
  </si>
  <si>
    <t>pelag lg</t>
  </si>
  <si>
    <t>recreational</t>
  </si>
  <si>
    <t>Import</t>
  </si>
  <si>
    <t>export</t>
  </si>
  <si>
    <t>sum</t>
  </si>
  <si>
    <t>TOTAL</t>
  </si>
  <si>
    <t>F arrowtooth</t>
  </si>
  <si>
    <t>F P. cod</t>
  </si>
  <si>
    <t>F P. halibut</t>
  </si>
  <si>
    <t>F sablefish</t>
  </si>
  <si>
    <t>F pollock</t>
  </si>
  <si>
    <t>F chum</t>
  </si>
  <si>
    <t>F pink</t>
  </si>
  <si>
    <t>F herring</t>
  </si>
  <si>
    <t>F sockeye</t>
  </si>
  <si>
    <t>F chinook/coho</t>
  </si>
  <si>
    <t>F molluscs</t>
  </si>
  <si>
    <t>F shrimp</t>
  </si>
  <si>
    <t>F crab</t>
  </si>
  <si>
    <t>F echino</t>
  </si>
  <si>
    <t>F demersal</t>
  </si>
  <si>
    <t>F hake</t>
  </si>
  <si>
    <t>F pop</t>
  </si>
  <si>
    <t>F flatfish</t>
  </si>
  <si>
    <t>F pelag sm</t>
  </si>
  <si>
    <t>F pelag lg</t>
  </si>
  <si>
    <t>F recreational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</si>
</sst>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211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AD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  <fill>
      <patternFill patternType="solid">
        <fgColor rgb="FFFE577E"/>
        <bgColor indexed="64"/>
      </patternFill>
    </fill>
    <fill>
      <patternFill patternType="solid">
        <fgColor rgb="FF69B12E"/>
        <bgColor indexed="64"/>
      </patternFill>
    </fill>
    <fill>
      <patternFill patternType="solid">
        <fgColor rgb="FF6C8BD0"/>
        <bgColor indexed="64"/>
      </patternFill>
    </fill>
    <fill>
      <patternFill patternType="solid">
        <fgColor rgb="FF8A6D82"/>
        <bgColor indexed="64"/>
      </patternFill>
    </fill>
    <fill>
      <patternFill patternType="solid">
        <fgColor rgb="FF3A9E7D"/>
        <bgColor indexed="64"/>
      </patternFill>
    </fill>
    <fill>
      <patternFill patternType="solid">
        <fgColor rgb="FFAEE25E"/>
        <bgColor indexed="64"/>
      </patternFill>
    </fill>
    <fill>
      <patternFill patternType="solid">
        <fgColor rgb="FF4D4B26"/>
        <bgColor indexed="64"/>
      </patternFill>
    </fill>
    <fill>
      <patternFill patternType="solid">
        <fgColor rgb="FF873995"/>
        <bgColor indexed="64"/>
      </patternFill>
    </fill>
    <fill>
      <patternFill patternType="solid">
        <fgColor rgb="FF5DDF7A"/>
        <bgColor indexed="64"/>
      </patternFill>
    </fill>
    <fill>
      <patternFill patternType="solid">
        <fgColor rgb="FF31AEBF"/>
        <bgColor indexed="64"/>
      </patternFill>
    </fill>
    <fill>
      <patternFill patternType="solid">
        <fgColor rgb="FF9DC729"/>
        <bgColor indexed="64"/>
      </patternFill>
    </fill>
    <fill>
      <patternFill patternType="solid">
        <fgColor rgb="FFCE34F4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FE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FFB1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FCFF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FF31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E0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FFD9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CDFF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F1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FFFA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FF6800"/>
        <bgColor indexed="64"/>
      </patternFill>
    </fill>
    <fill>
      <patternFill patternType="solid">
        <fgColor rgb="FFFFBD00"/>
        <bgColor indexed="64"/>
      </patternFill>
    </fill>
    <fill>
      <patternFill patternType="solid">
        <fgColor rgb="FFFF99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33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1" fillId="0" borderId="0" xfId="0" applyFont="1" applyAlignment="1">
      <alignment horizontal="center"/>
    </xf>
    <xf numFmtId="0" fontId="0" fillId="37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9" borderId="0" xfId="0" applyFill="1"/>
    <xf numFmtId="0" fontId="0" fillId="40" borderId="0" xfId="0" applyFill="1"/>
    <xf numFmtId="0" fontId="0" fillId="0" borderId="0" xfId="0" applyFont="1" applyFill="1" applyAlignment="1">
      <alignment horizontal="center"/>
    </xf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8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8" borderId="3" xfId="0" applyNumberFormat="1" applyFont="1" applyFill="1" applyBorder="1"/>
    <xf numFmtId="0" fontId="0" fillId="38" borderId="2" xfId="0" applyFont="1" applyFill="1" applyBorder="1"/>
    <xf numFmtId="0" fontId="0" fillId="38" borderId="3" xfId="0" applyFont="1" applyFill="1" applyBorder="1"/>
    <xf numFmtId="0" fontId="0" fillId="38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50" borderId="0" xfId="0" applyFill="1"/>
    <xf numFmtId="0" fontId="0" fillId="51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66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81" t="s">
        <v>171</v>
      </c>
      <c r="C53" s="114">
        <v>479</v>
      </c>
      <c r="D53" s="114"/>
    </row>
    <row r="54" spans="2:4" x14ac:dyDescent="0.15">
      <c r="B54" s="181" t="s">
        <v>172</v>
      </c>
      <c r="C54" s="181" t="s">
        <v>185</v>
      </c>
      <c r="D54" s="114"/>
    </row>
    <row r="55" spans="2:4" x14ac:dyDescent="0.15">
      <c r="B55" s="181" t="s">
        <v>173</v>
      </c>
      <c r="C55" s="181" t="s">
        <v>186</v>
      </c>
      <c r="D55" s="114"/>
    </row>
    <row r="56" spans="2:4" x14ac:dyDescent="0.15">
      <c r="B56" s="181" t="s">
        <v>174</v>
      </c>
      <c r="C56" s="114">
        <v>2800000</v>
      </c>
      <c r="D56" s="114"/>
    </row>
    <row r="57" spans="2:4" x14ac:dyDescent="0.15">
      <c r="B57" s="181" t="s">
        <v>175</v>
      </c>
      <c r="C57" s="181" t="s">
        <v>187</v>
      </c>
      <c r="D57" s="114"/>
    </row>
    <row r="58" spans="2:4" x14ac:dyDescent="0.15">
      <c r="B58" s="181" t="s">
        <v>176</v>
      </c>
      <c r="C58" s="181" t="s">
        <v>188</v>
      </c>
      <c r="D58" s="114"/>
    </row>
    <row r="59" spans="2:4" x14ac:dyDescent="0.15">
      <c r="B59" s="181" t="s">
        <v>177</v>
      </c>
      <c r="C59" s="181" t="s">
        <v>189</v>
      </c>
      <c r="D59" s="114"/>
    </row>
    <row r="60" spans="2:4" x14ac:dyDescent="0.15">
      <c r="B60" s="181" t="s">
        <v>178</v>
      </c>
      <c r="C60" s="181" t="s">
        <v>190</v>
      </c>
      <c r="D60" s="114"/>
    </row>
    <row r="61" spans="2:4" x14ac:dyDescent="0.15">
      <c r="B61" s="181" t="s">
        <v>179</v>
      </c>
      <c r="C61" s="114">
        <v>56</v>
      </c>
      <c r="D61" s="114"/>
    </row>
    <row r="62" spans="2:4" x14ac:dyDescent="0.15">
      <c r="B62" s="181" t="s">
        <v>180</v>
      </c>
      <c r="C62" s="114">
        <v>21</v>
      </c>
      <c r="D62" s="114"/>
    </row>
    <row r="63" spans="2:4" x14ac:dyDescent="0.15">
      <c r="B63" s="181" t="s">
        <v>181</v>
      </c>
      <c r="C63" s="114">
        <v>1950</v>
      </c>
      <c r="D63" s="114"/>
    </row>
    <row r="64" spans="2:4" x14ac:dyDescent="0.15">
      <c r="B64" s="181" t="s">
        <v>182</v>
      </c>
      <c r="C64" s="114">
        <v>0</v>
      </c>
      <c r="D64" s="114"/>
    </row>
    <row r="65" spans="2:4" x14ac:dyDescent="0.15">
      <c r="B65" s="181" t="s">
        <v>183</v>
      </c>
      <c r="C65" s="181" t="s">
        <v>191</v>
      </c>
      <c r="D65" s="114"/>
    </row>
    <row r="66" spans="2:4" x14ac:dyDescent="0.15">
      <c r="B66" s="181" t="s">
        <v>184</v>
      </c>
      <c r="D66" s="114"/>
    </row>
    <row r="67" spans="2:4" x14ac:dyDescent="0.15">
      <c r="B67" s="114"/>
      <c r="C67" s="114"/>
      <c r="D67" s="114"/>
    </row>
    <row r="68" spans="2:4" x14ac:dyDescent="0.15">
      <c r="B68" s="114"/>
      <c r="C68" s="114"/>
      <c r="D68" s="114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5" sqref="Q5"/>
    </sheetView>
  </sheetViews>
  <sheetFormatPr baseColWidth="10" defaultColWidth="8.83203125" defaultRowHeight="15" customHeight="1" x14ac:dyDescent="0.15"/>
  <cols>
    <col min="1" max="1" width="22.5" style="85" customWidth="1"/>
    <col min="2" max="3" width="3.33203125" style="85" customWidth="1"/>
    <col min="4" max="4" width="14.33203125" style="85" customWidth="1"/>
    <col min="5" max="5" width="21.6640625" style="85" bestFit="1" customWidth="1"/>
    <col min="6" max="6" width="2.33203125" style="85" bestFit="1" customWidth="1"/>
    <col min="7" max="7" width="12.83203125" style="85" bestFit="1" customWidth="1"/>
    <col min="8" max="9" width="10.83203125" style="85" customWidth="1"/>
    <col min="10" max="10" width="12.83203125" style="85" customWidth="1"/>
    <col min="11" max="11" width="14.83203125" style="85" customWidth="1"/>
    <col min="12" max="12" width="2.33203125" style="85" customWidth="1"/>
    <col min="13" max="13" width="3.83203125" style="85" customWidth="1"/>
    <col min="14" max="14" width="2.33203125" style="85" customWidth="1"/>
    <col min="16" max="25" width="8.83203125" style="85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5"/>
  </cols>
  <sheetData>
    <row r="1" spans="1:46" s="102" customFormat="1" ht="15" customHeight="1" x14ac:dyDescent="0.15">
      <c r="A1" s="81" t="s">
        <v>18</v>
      </c>
      <c r="C1" s="82" t="s">
        <v>8</v>
      </c>
      <c r="D1" s="81" t="s">
        <v>23</v>
      </c>
      <c r="E1" s="81" t="s">
        <v>0</v>
      </c>
      <c r="F1" s="81" t="s">
        <v>7</v>
      </c>
      <c r="G1" s="83" t="s">
        <v>13</v>
      </c>
      <c r="H1" s="81" t="s">
        <v>1</v>
      </c>
      <c r="I1" s="81" t="s">
        <v>2</v>
      </c>
      <c r="J1" s="81" t="s">
        <v>14</v>
      </c>
      <c r="K1" s="81" t="s">
        <v>3</v>
      </c>
      <c r="L1" s="81" t="s">
        <v>4</v>
      </c>
      <c r="M1" s="81" t="s">
        <v>5</v>
      </c>
      <c r="N1" s="81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2">
        <v>1</v>
      </c>
      <c r="D2"/>
      <c r="E2" s="182" t="s">
        <v>192</v>
      </c>
      <c r="F2" s="85">
        <v>0</v>
      </c>
      <c r="G2" s="85">
        <v>2.3624595299999999E-2</v>
      </c>
      <c r="H2" s="85">
        <v>0.5</v>
      </c>
      <c r="I2" s="6">
        <v>4.5767939999999996</v>
      </c>
      <c r="J2" s="6">
        <v>0.85319900000000004</v>
      </c>
      <c r="K2" s="6">
        <v>0.109246776</v>
      </c>
      <c r="L2" s="6">
        <v>0</v>
      </c>
      <c r="M2" s="85">
        <v>0.2</v>
      </c>
      <c r="N2" s="85">
        <v>0</v>
      </c>
    </row>
    <row r="3" spans="1:46" ht="15" customHeight="1" x14ac:dyDescent="0.15">
      <c r="A3" s="1" t="s">
        <v>9</v>
      </c>
      <c r="B3" s="4">
        <v>55</v>
      </c>
      <c r="C3" s="85">
        <v>2</v>
      </c>
      <c r="D3"/>
      <c r="E3" s="182" t="s">
        <v>193</v>
      </c>
      <c r="F3" s="85">
        <v>0</v>
      </c>
      <c r="G3" s="85">
        <v>0.28000000000000003</v>
      </c>
      <c r="H3" s="85">
        <v>0.25</v>
      </c>
      <c r="I3" s="85">
        <v>2</v>
      </c>
      <c r="J3" s="85">
        <v>0.32904230000000001</v>
      </c>
      <c r="K3" s="85">
        <v>0.125</v>
      </c>
      <c r="L3" s="85">
        <v>0</v>
      </c>
      <c r="M3" s="85">
        <v>0.2</v>
      </c>
      <c r="N3" s="85">
        <v>0</v>
      </c>
    </row>
    <row r="4" spans="1:46" ht="15" customHeight="1" x14ac:dyDescent="0.15">
      <c r="A4" s="1" t="s">
        <v>10</v>
      </c>
      <c r="B4" s="4">
        <v>2</v>
      </c>
      <c r="C4" s="85">
        <v>3</v>
      </c>
      <c r="D4"/>
      <c r="E4" s="182" t="s">
        <v>194</v>
      </c>
      <c r="F4" s="85">
        <v>0</v>
      </c>
      <c r="G4" s="85">
        <v>0.281938672</v>
      </c>
      <c r="H4" s="85">
        <v>0.8</v>
      </c>
      <c r="I4" s="85">
        <v>3.4217629999999999</v>
      </c>
      <c r="J4" s="85">
        <v>0.49940532399999998</v>
      </c>
      <c r="K4" s="85">
        <v>0.23379760999999999</v>
      </c>
      <c r="L4" s="85">
        <v>0</v>
      </c>
      <c r="M4" s="85">
        <v>0.2</v>
      </c>
      <c r="N4" s="85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21</v>
      </c>
      <c r="C5" s="85">
        <v>4</v>
      </c>
      <c r="D5"/>
      <c r="E5" s="182" t="s">
        <v>195</v>
      </c>
      <c r="F5" s="85">
        <v>0</v>
      </c>
      <c r="G5" s="85">
        <v>0.48</v>
      </c>
      <c r="H5" s="85">
        <v>0.66</v>
      </c>
      <c r="I5" s="85">
        <v>1.8</v>
      </c>
      <c r="J5" s="85">
        <v>0.461357921</v>
      </c>
      <c r="K5" s="85">
        <v>0.36666670000000001</v>
      </c>
      <c r="L5" s="85">
        <v>0</v>
      </c>
      <c r="M5" s="85">
        <v>0.2</v>
      </c>
      <c r="N5" s="85">
        <v>0</v>
      </c>
      <c r="P5" s="72"/>
      <c r="Q5" s="72"/>
      <c r="R5" s="72"/>
    </row>
    <row r="6" spans="1:46" ht="15" customHeight="1" thickBot="1" x14ac:dyDescent="0.2">
      <c r="B6" s="1"/>
      <c r="C6" s="85">
        <v>5</v>
      </c>
      <c r="D6"/>
      <c r="E6" s="182" t="s">
        <v>196</v>
      </c>
      <c r="F6" s="85">
        <v>0</v>
      </c>
      <c r="G6" s="85">
        <v>2.1970883E-2</v>
      </c>
      <c r="H6" s="85">
        <v>0.5</v>
      </c>
      <c r="I6" s="85">
        <v>2.55046821</v>
      </c>
      <c r="J6" s="85">
        <v>0.23303570000000001</v>
      </c>
      <c r="K6" s="85">
        <v>0.19604243299999999</v>
      </c>
      <c r="L6" s="85">
        <v>0</v>
      </c>
      <c r="M6" s="85">
        <v>0.2</v>
      </c>
      <c r="N6" s="85">
        <v>0</v>
      </c>
      <c r="P6" s="72"/>
      <c r="Q6" s="72"/>
      <c r="R6" s="72"/>
      <c r="W6" s="36" t="s">
        <v>31</v>
      </c>
      <c r="X6" s="52">
        <f>MAX(MainOutputs!G:G)</f>
        <v>0.95675438642501831</v>
      </c>
    </row>
    <row r="7" spans="1:46" ht="15" customHeight="1" x14ac:dyDescent="0.15">
      <c r="A7" s="2" t="s">
        <v>27</v>
      </c>
      <c r="B7" s="85">
        <f ca="1">COUNTIF(OFFSET(cornerDiets,1,1,NumLiving+NumDead+1,NumLiving+NumDead),"&gt;0")+NumLiving+NumDead+1</f>
        <v>564</v>
      </c>
      <c r="C7" s="85">
        <v>6</v>
      </c>
      <c r="D7"/>
      <c r="E7" s="182" t="s">
        <v>197</v>
      </c>
      <c r="F7" s="85">
        <v>0</v>
      </c>
      <c r="G7" s="85">
        <v>0.17</v>
      </c>
      <c r="H7" s="85">
        <v>0.3</v>
      </c>
      <c r="I7" s="85">
        <v>1</v>
      </c>
      <c r="J7" s="85">
        <v>0.69019603699999998</v>
      </c>
      <c r="K7" s="85">
        <v>0.3</v>
      </c>
      <c r="L7" s="85">
        <v>0</v>
      </c>
      <c r="M7" s="85">
        <v>0.2</v>
      </c>
      <c r="N7" s="85">
        <v>0</v>
      </c>
      <c r="P7" s="72"/>
      <c r="Q7" s="72"/>
      <c r="R7" s="72"/>
    </row>
    <row r="8" spans="1:46" ht="15" customHeight="1" x14ac:dyDescent="0.15">
      <c r="A8" s="2" t="s">
        <v>28</v>
      </c>
      <c r="B8" s="85">
        <f ca="1">COUNTIF(OFFSET(cornerFishing,1,2,NumLiving+NumDead,NumGears),"&gt;0")+NumDead*COUNTIF(OFFSET(cornerDiscards,1,2,NumLiving+NumDead,NumGears),"&gt;0")+NumLiving+NumDead+1</f>
        <v>189</v>
      </c>
      <c r="C8" s="85">
        <v>7</v>
      </c>
      <c r="D8"/>
      <c r="E8" s="182" t="s">
        <v>198</v>
      </c>
      <c r="F8" s="85">
        <v>0</v>
      </c>
      <c r="G8" s="85">
        <v>3.3585164700000003E-2</v>
      </c>
      <c r="H8" s="85">
        <v>0.3</v>
      </c>
      <c r="I8" s="85">
        <v>4.4128155700000002</v>
      </c>
      <c r="J8" s="85">
        <v>0.66908509999999999</v>
      </c>
      <c r="K8" s="85">
        <v>6.7983806100000002E-2</v>
      </c>
      <c r="L8" s="85">
        <v>0</v>
      </c>
      <c r="M8" s="85">
        <v>0.2</v>
      </c>
      <c r="N8" s="85">
        <v>0</v>
      </c>
      <c r="P8" s="72"/>
      <c r="Q8" s="72"/>
      <c r="R8" s="72"/>
    </row>
    <row r="9" spans="1:46" ht="15" customHeight="1" x14ac:dyDescent="0.15">
      <c r="B9" s="1"/>
      <c r="C9" s="85">
        <v>8</v>
      </c>
      <c r="D9"/>
      <c r="E9" s="182" t="s">
        <v>199</v>
      </c>
      <c r="F9" s="85">
        <v>0</v>
      </c>
      <c r="G9" s="85">
        <v>0.20280000000000001</v>
      </c>
      <c r="H9" s="85">
        <v>0.2</v>
      </c>
      <c r="I9" s="85">
        <v>2.2000000000000002</v>
      </c>
      <c r="J9" s="85">
        <v>0.396632135</v>
      </c>
      <c r="K9" s="85">
        <v>9.0909089999999998E-2</v>
      </c>
      <c r="L9" s="85">
        <v>0</v>
      </c>
      <c r="M9" s="85">
        <v>0.2</v>
      </c>
      <c r="N9" s="85">
        <v>0</v>
      </c>
      <c r="P9" s="72"/>
      <c r="Q9" s="72"/>
      <c r="R9" s="72"/>
    </row>
    <row r="10" spans="1:46" ht="15" customHeight="1" x14ac:dyDescent="0.15">
      <c r="B10" s="1"/>
      <c r="C10" s="85">
        <v>9</v>
      </c>
      <c r="D10"/>
      <c r="E10" s="182" t="s">
        <v>200</v>
      </c>
      <c r="F10" s="85">
        <v>0</v>
      </c>
      <c r="G10" s="85">
        <v>0.113274284</v>
      </c>
      <c r="H10" s="85">
        <v>0.8</v>
      </c>
      <c r="I10" s="85">
        <v>6.7148532899999998</v>
      </c>
      <c r="J10" s="85">
        <v>0.80122400000000005</v>
      </c>
      <c r="K10" s="85">
        <v>0.119138867</v>
      </c>
      <c r="L10" s="85">
        <v>0</v>
      </c>
      <c r="M10" s="85">
        <v>0.2</v>
      </c>
      <c r="N10" s="85">
        <v>0</v>
      </c>
    </row>
    <row r="11" spans="1:46" ht="15" customHeight="1" x14ac:dyDescent="0.15">
      <c r="C11" s="85">
        <v>10</v>
      </c>
      <c r="D11"/>
      <c r="E11" s="182" t="s">
        <v>201</v>
      </c>
      <c r="F11" s="85">
        <v>0</v>
      </c>
      <c r="G11" s="85">
        <v>3.2683</v>
      </c>
      <c r="H11" s="85">
        <v>0.4</v>
      </c>
      <c r="I11" s="85">
        <v>2</v>
      </c>
      <c r="J11" s="85">
        <v>0.71494066700000003</v>
      </c>
      <c r="K11" s="85">
        <v>0.2</v>
      </c>
      <c r="L11" s="85">
        <v>0</v>
      </c>
      <c r="M11" s="85">
        <v>0.2</v>
      </c>
      <c r="N11" s="85">
        <v>0</v>
      </c>
    </row>
    <row r="12" spans="1:46" ht="15" customHeight="1" x14ac:dyDescent="0.15">
      <c r="C12" s="85">
        <v>11</v>
      </c>
      <c r="D12"/>
      <c r="E12" s="182" t="s">
        <v>202</v>
      </c>
      <c r="F12" s="85">
        <v>0</v>
      </c>
      <c r="G12" s="85">
        <v>0.27603909999999998</v>
      </c>
      <c r="H12" s="85">
        <v>0.8</v>
      </c>
      <c r="I12" s="85">
        <v>7.2990709999999996</v>
      </c>
      <c r="J12" s="85">
        <v>0.85302579999999995</v>
      </c>
      <c r="K12" s="85">
        <v>0.10960299499999999</v>
      </c>
      <c r="L12" s="85">
        <v>0</v>
      </c>
      <c r="M12" s="85">
        <v>0.2</v>
      </c>
      <c r="N12" s="85">
        <v>0</v>
      </c>
    </row>
    <row r="13" spans="1:46" ht="15" customHeight="1" x14ac:dyDescent="0.15">
      <c r="C13" s="85">
        <v>12</v>
      </c>
      <c r="D13"/>
      <c r="E13" s="182" t="s">
        <v>203</v>
      </c>
      <c r="F13" s="85">
        <v>0</v>
      </c>
      <c r="G13" s="85">
        <v>0.45</v>
      </c>
      <c r="H13" s="85">
        <v>0.65</v>
      </c>
      <c r="I13" s="85">
        <v>4.4000000000000004</v>
      </c>
      <c r="J13" s="85">
        <v>0.85826139999999995</v>
      </c>
      <c r="K13" s="85">
        <v>0.147727266</v>
      </c>
      <c r="L13" s="85">
        <v>0</v>
      </c>
      <c r="M13" s="85">
        <v>0.2</v>
      </c>
      <c r="N13" s="85">
        <v>0</v>
      </c>
    </row>
    <row r="14" spans="1:46" ht="15" customHeight="1" x14ac:dyDescent="0.15">
      <c r="C14" s="85">
        <v>13</v>
      </c>
      <c r="D14"/>
      <c r="E14" s="182" t="s">
        <v>204</v>
      </c>
      <c r="F14" s="85">
        <v>0</v>
      </c>
      <c r="G14" s="85">
        <v>1.1000000000000001E-3</v>
      </c>
      <c r="H14" s="85">
        <v>0.11600000000000001</v>
      </c>
      <c r="I14" s="85">
        <v>170</v>
      </c>
      <c r="J14" s="85">
        <v>0</v>
      </c>
      <c r="K14" s="85">
        <v>6.8235289999999998E-4</v>
      </c>
      <c r="L14" s="85">
        <v>0</v>
      </c>
      <c r="M14" s="85">
        <v>0.2</v>
      </c>
      <c r="N14" s="85">
        <v>0</v>
      </c>
    </row>
    <row r="15" spans="1:46" ht="15" customHeight="1" x14ac:dyDescent="0.15">
      <c r="C15" s="85">
        <v>14</v>
      </c>
      <c r="D15"/>
      <c r="E15" s="182" t="s">
        <v>205</v>
      </c>
      <c r="F15" s="85">
        <v>0</v>
      </c>
      <c r="G15" s="85">
        <v>2.8E-3</v>
      </c>
      <c r="H15" s="85">
        <v>6.3E-2</v>
      </c>
      <c r="I15" s="85">
        <v>148</v>
      </c>
      <c r="J15" s="85">
        <v>0</v>
      </c>
      <c r="K15" s="85">
        <v>4.2567568000000003E-4</v>
      </c>
      <c r="L15" s="85">
        <v>0</v>
      </c>
      <c r="M15" s="85">
        <v>0.2</v>
      </c>
      <c r="N15" s="85">
        <v>0</v>
      </c>
    </row>
    <row r="16" spans="1:46" ht="15" customHeight="1" x14ac:dyDescent="0.15">
      <c r="C16" s="85">
        <v>15</v>
      </c>
      <c r="D16"/>
      <c r="E16" s="182" t="s">
        <v>206</v>
      </c>
      <c r="F16" s="85">
        <v>0</v>
      </c>
      <c r="G16" s="85">
        <v>2.9999999999999997E-4</v>
      </c>
      <c r="H16" s="85">
        <v>0.17399999999999999</v>
      </c>
      <c r="I16" s="85">
        <v>251</v>
      </c>
      <c r="J16" s="85">
        <v>0</v>
      </c>
      <c r="K16" s="85">
        <v>6.9322704799999995E-4</v>
      </c>
      <c r="L16" s="85">
        <v>0</v>
      </c>
      <c r="M16" s="85">
        <v>0.2</v>
      </c>
      <c r="N16" s="85">
        <v>0</v>
      </c>
    </row>
    <row r="17" spans="1:22" ht="15" customHeight="1" x14ac:dyDescent="0.15">
      <c r="C17" s="85">
        <v>16</v>
      </c>
      <c r="D17"/>
      <c r="E17" s="182" t="s">
        <v>207</v>
      </c>
      <c r="F17" s="85">
        <v>0</v>
      </c>
      <c r="G17" s="85">
        <v>3.5999999999999997E-2</v>
      </c>
      <c r="H17" s="85">
        <v>0.03</v>
      </c>
      <c r="I17" s="85">
        <v>13.1</v>
      </c>
      <c r="J17" s="85">
        <v>0</v>
      </c>
      <c r="K17" s="85">
        <v>2.2900759999999998E-3</v>
      </c>
      <c r="L17" s="85">
        <v>0</v>
      </c>
      <c r="M17" s="85">
        <v>0.2</v>
      </c>
      <c r="N17" s="85">
        <v>0</v>
      </c>
      <c r="V17" s="1" t="s">
        <v>30</v>
      </c>
    </row>
    <row r="18" spans="1:22" ht="15" customHeight="1" x14ac:dyDescent="0.15">
      <c r="C18" s="85">
        <v>17</v>
      </c>
      <c r="D18"/>
      <c r="E18" s="182" t="s">
        <v>208</v>
      </c>
      <c r="F18" s="85">
        <v>0</v>
      </c>
      <c r="G18" s="85">
        <v>0.155</v>
      </c>
      <c r="H18" s="85">
        <v>0.02</v>
      </c>
      <c r="I18" s="85">
        <v>13.37</v>
      </c>
      <c r="J18" s="85">
        <v>1.5212903700000001E-2</v>
      </c>
      <c r="K18" s="85">
        <v>1.49588624E-3</v>
      </c>
      <c r="L18" s="85">
        <v>0</v>
      </c>
      <c r="M18" s="85">
        <v>0.2</v>
      </c>
      <c r="N18" s="85">
        <v>0</v>
      </c>
      <c r="V18" s="1"/>
    </row>
    <row r="19" spans="1:22" ht="15" customHeight="1" x14ac:dyDescent="0.15">
      <c r="C19" s="85">
        <v>18</v>
      </c>
      <c r="D19"/>
      <c r="E19" s="182" t="s">
        <v>209</v>
      </c>
      <c r="F19" s="85">
        <v>0</v>
      </c>
      <c r="G19" s="85">
        <v>0.17399999999999999</v>
      </c>
      <c r="H19" s="85">
        <v>0.06</v>
      </c>
      <c r="I19" s="85">
        <v>12.7</v>
      </c>
      <c r="J19" s="85">
        <v>0.90344834299999999</v>
      </c>
      <c r="K19" s="85">
        <v>4.7244094299999997E-3</v>
      </c>
      <c r="L19" s="85">
        <v>0</v>
      </c>
      <c r="M19" s="85">
        <v>0.2</v>
      </c>
      <c r="N19" s="85">
        <v>0</v>
      </c>
    </row>
    <row r="20" spans="1:22" ht="15" customHeight="1" thickBot="1" x14ac:dyDescent="0.2">
      <c r="C20" s="85">
        <v>19</v>
      </c>
      <c r="D20"/>
      <c r="E20" s="182" t="s">
        <v>210</v>
      </c>
      <c r="F20" s="85">
        <v>0</v>
      </c>
      <c r="G20" s="85">
        <v>1E-3</v>
      </c>
      <c r="H20" s="85">
        <v>0.16</v>
      </c>
      <c r="I20" s="85">
        <v>15.95</v>
      </c>
      <c r="J20" s="85">
        <v>0.29475000000000001</v>
      </c>
      <c r="K20" s="85">
        <v>1.00313481E-2</v>
      </c>
      <c r="L20" s="85">
        <v>0</v>
      </c>
      <c r="M20" s="85">
        <v>0.2</v>
      </c>
      <c r="N20" s="85">
        <v>0</v>
      </c>
    </row>
    <row r="21" spans="1:22" ht="15" customHeight="1" thickBot="1" x14ac:dyDescent="0.2">
      <c r="A21" s="47" t="s">
        <v>137</v>
      </c>
      <c r="B21" s="103"/>
      <c r="C21" s="85">
        <v>20</v>
      </c>
      <c r="D21"/>
      <c r="E21" s="182" t="s">
        <v>211</v>
      </c>
      <c r="F21" s="85">
        <v>0</v>
      </c>
      <c r="G21" s="85">
        <v>0.02</v>
      </c>
      <c r="H21" s="85">
        <v>0.2</v>
      </c>
      <c r="I21" s="85">
        <v>1.2</v>
      </c>
      <c r="J21" s="85">
        <v>0</v>
      </c>
      <c r="K21" s="85">
        <v>0.166666657</v>
      </c>
      <c r="L21" s="85">
        <v>0</v>
      </c>
      <c r="M21" s="85">
        <v>0.2</v>
      </c>
      <c r="N21" s="85">
        <v>0</v>
      </c>
    </row>
    <row r="22" spans="1:22" ht="15" customHeight="1" x14ac:dyDescent="0.15">
      <c r="A22" s="104" t="s">
        <v>58</v>
      </c>
      <c r="B22" s="105">
        <v>0</v>
      </c>
      <c r="C22" s="85">
        <v>21</v>
      </c>
      <c r="D22"/>
      <c r="E22" s="182" t="s">
        <v>212</v>
      </c>
      <c r="F22" s="85">
        <v>0</v>
      </c>
      <c r="G22" s="85">
        <v>0.03</v>
      </c>
      <c r="H22" s="85">
        <v>0.14000000000000001</v>
      </c>
      <c r="I22" s="85">
        <v>1</v>
      </c>
      <c r="J22" s="85">
        <v>0</v>
      </c>
      <c r="K22" s="85">
        <v>0.14000000000000001</v>
      </c>
      <c r="L22" s="85">
        <v>0</v>
      </c>
      <c r="M22" s="85">
        <v>0.2</v>
      </c>
      <c r="N22" s="85">
        <v>0</v>
      </c>
    </row>
    <row r="23" spans="1:22" ht="15" customHeight="1" x14ac:dyDescent="0.15">
      <c r="A23" s="104" t="s">
        <v>59</v>
      </c>
      <c r="B23" s="105">
        <v>1</v>
      </c>
      <c r="C23" s="85">
        <v>22</v>
      </c>
      <c r="D23"/>
      <c r="E23" s="182" t="s">
        <v>213</v>
      </c>
      <c r="F23" s="85">
        <v>0</v>
      </c>
      <c r="G23" s="85">
        <v>1.3</v>
      </c>
      <c r="H23" s="85">
        <v>0.1</v>
      </c>
      <c r="I23" s="85">
        <v>2.7</v>
      </c>
      <c r="J23" s="85">
        <v>0.70747689999999996</v>
      </c>
      <c r="K23" s="85">
        <v>3.7037037299999999E-2</v>
      </c>
      <c r="L23" s="85">
        <v>0</v>
      </c>
      <c r="M23" s="85">
        <v>0.2</v>
      </c>
      <c r="N23" s="85">
        <v>0</v>
      </c>
    </row>
    <row r="24" spans="1:22" ht="15" customHeight="1" x14ac:dyDescent="0.15">
      <c r="A24" s="104" t="s">
        <v>60</v>
      </c>
      <c r="B24" s="105">
        <v>2</v>
      </c>
      <c r="C24" s="85">
        <v>23</v>
      </c>
      <c r="D24"/>
      <c r="E24" s="182" t="s">
        <v>214</v>
      </c>
      <c r="F24" s="85">
        <v>0</v>
      </c>
      <c r="G24" s="85">
        <v>0.835000038</v>
      </c>
      <c r="H24" s="85">
        <v>0.3</v>
      </c>
      <c r="I24" s="85">
        <v>1.31976044</v>
      </c>
      <c r="J24" s="85">
        <v>0.88209970000000004</v>
      </c>
      <c r="K24" s="85">
        <v>0.22731399999999999</v>
      </c>
      <c r="L24" s="85">
        <v>0</v>
      </c>
      <c r="M24" s="85">
        <v>0.2</v>
      </c>
      <c r="N24" s="85">
        <v>0</v>
      </c>
    </row>
    <row r="25" spans="1:22" ht="15" customHeight="1" thickBot="1" x14ac:dyDescent="0.2">
      <c r="A25" s="106" t="s">
        <v>44</v>
      </c>
      <c r="B25" s="107">
        <v>3</v>
      </c>
      <c r="C25" s="85">
        <v>24</v>
      </c>
      <c r="D25"/>
      <c r="E25" s="182" t="s">
        <v>215</v>
      </c>
      <c r="F25" s="85">
        <v>0</v>
      </c>
      <c r="G25" s="85">
        <v>0.2</v>
      </c>
      <c r="H25" s="85">
        <v>1.4</v>
      </c>
      <c r="I25" s="85">
        <v>8.9</v>
      </c>
      <c r="J25" s="85">
        <v>0.67556083200000006</v>
      </c>
      <c r="K25" s="85">
        <v>0.15730337799999999</v>
      </c>
      <c r="L25" s="85">
        <v>0</v>
      </c>
      <c r="M25" s="85">
        <v>0.2</v>
      </c>
      <c r="N25" s="85">
        <v>0</v>
      </c>
    </row>
    <row r="26" spans="1:22" ht="15" customHeight="1" x14ac:dyDescent="0.15">
      <c r="A26" s="108" t="s">
        <v>140</v>
      </c>
      <c r="C26" s="85">
        <v>25</v>
      </c>
      <c r="D26"/>
      <c r="E26" s="182" t="s">
        <v>216</v>
      </c>
      <c r="F26" s="85">
        <v>0</v>
      </c>
      <c r="G26" s="85">
        <v>0.4</v>
      </c>
      <c r="H26" s="85">
        <v>1</v>
      </c>
      <c r="I26" s="85">
        <v>7</v>
      </c>
      <c r="J26" s="85">
        <v>0.48769632000000002</v>
      </c>
      <c r="K26" s="85">
        <v>0.14285714899999999</v>
      </c>
      <c r="L26" s="85">
        <v>0</v>
      </c>
      <c r="M26" s="85">
        <v>0.2</v>
      </c>
      <c r="N26" s="85">
        <v>0</v>
      </c>
    </row>
    <row r="27" spans="1:22" ht="15" customHeight="1" x14ac:dyDescent="0.15">
      <c r="C27" s="85">
        <v>26</v>
      </c>
      <c r="D27"/>
      <c r="E27" s="182" t="s">
        <v>217</v>
      </c>
      <c r="F27" s="85">
        <v>0</v>
      </c>
      <c r="G27" s="85">
        <v>0.2</v>
      </c>
      <c r="H27" s="85">
        <v>1.27</v>
      </c>
      <c r="I27" s="85">
        <v>8.4</v>
      </c>
      <c r="J27" s="85">
        <v>0.67863229999999997</v>
      </c>
      <c r="K27" s="85">
        <v>0.15119047499999999</v>
      </c>
      <c r="L27" s="85">
        <v>0</v>
      </c>
      <c r="M27" s="85">
        <v>0.2</v>
      </c>
      <c r="N27" s="85">
        <v>0</v>
      </c>
    </row>
    <row r="28" spans="1:22" ht="15" customHeight="1" x14ac:dyDescent="0.15">
      <c r="C28" s="85">
        <v>27</v>
      </c>
      <c r="D28"/>
      <c r="E28" s="182" t="s">
        <v>218</v>
      </c>
      <c r="F28" s="85">
        <v>0</v>
      </c>
      <c r="G28" s="85">
        <v>0.25</v>
      </c>
      <c r="H28" s="85">
        <v>1.1000000000000001</v>
      </c>
      <c r="I28" s="85">
        <v>7.7</v>
      </c>
      <c r="J28" s="85">
        <v>0.52796730000000003</v>
      </c>
      <c r="K28" s="85">
        <v>0.14285714899999999</v>
      </c>
      <c r="L28" s="85">
        <v>0</v>
      </c>
      <c r="M28" s="85">
        <v>0.2</v>
      </c>
      <c r="N28" s="85">
        <v>0</v>
      </c>
    </row>
    <row r="29" spans="1:22" customFormat="1" ht="15" customHeight="1" x14ac:dyDescent="0.15">
      <c r="C29" s="85">
        <v>28</v>
      </c>
      <c r="E29" s="182" t="s">
        <v>219</v>
      </c>
      <c r="F29" s="85">
        <v>0</v>
      </c>
      <c r="G29" s="85">
        <v>0.39</v>
      </c>
      <c r="H29" s="85">
        <v>0.74</v>
      </c>
      <c r="I29" s="85">
        <v>5</v>
      </c>
      <c r="J29" s="85">
        <v>0.54093903300000001</v>
      </c>
      <c r="K29" s="85">
        <v>0.14799999999999999</v>
      </c>
      <c r="L29" s="85">
        <v>0</v>
      </c>
      <c r="M29" s="85">
        <v>0.2</v>
      </c>
      <c r="N29" s="85">
        <v>0</v>
      </c>
    </row>
    <row r="30" spans="1:22" customFormat="1" ht="15" customHeight="1" x14ac:dyDescent="0.15">
      <c r="C30" s="85">
        <v>29</v>
      </c>
      <c r="E30" s="182" t="s">
        <v>220</v>
      </c>
      <c r="F30" s="85">
        <v>0</v>
      </c>
      <c r="G30" s="85">
        <v>1.3</v>
      </c>
      <c r="H30" s="85">
        <v>0.1</v>
      </c>
      <c r="I30" s="85">
        <v>2.4</v>
      </c>
      <c r="J30" s="85">
        <v>0.51421349999999999</v>
      </c>
      <c r="K30" s="85">
        <v>4.1666664200000002E-2</v>
      </c>
      <c r="L30" s="85">
        <v>0</v>
      </c>
      <c r="M30" s="85">
        <v>0.2</v>
      </c>
      <c r="N30" s="85">
        <v>0</v>
      </c>
    </row>
    <row r="31" spans="1:22" customFormat="1" ht="15" customHeight="1" x14ac:dyDescent="0.15">
      <c r="C31" s="85">
        <v>30</v>
      </c>
      <c r="E31" s="182" t="s">
        <v>221</v>
      </c>
      <c r="F31" s="85">
        <v>0</v>
      </c>
      <c r="G31" s="85">
        <v>0.158</v>
      </c>
      <c r="H31" s="85">
        <v>0.15</v>
      </c>
      <c r="I31" s="85">
        <v>2.6</v>
      </c>
      <c r="J31" s="85">
        <v>0.30311179999999999</v>
      </c>
      <c r="K31" s="85">
        <v>5.7692309999999997E-2</v>
      </c>
      <c r="L31" s="85">
        <v>0</v>
      </c>
      <c r="M31" s="85">
        <v>0.2</v>
      </c>
      <c r="N31" s="85">
        <v>0</v>
      </c>
    </row>
    <row r="32" spans="1:22" customFormat="1" ht="15" customHeight="1" x14ac:dyDescent="0.15">
      <c r="C32" s="85">
        <v>31</v>
      </c>
      <c r="E32" s="182" t="s">
        <v>222</v>
      </c>
      <c r="F32" s="85">
        <v>0</v>
      </c>
      <c r="G32" s="85">
        <v>1</v>
      </c>
      <c r="H32" s="85">
        <v>0.18</v>
      </c>
      <c r="I32" s="85">
        <v>2.6</v>
      </c>
      <c r="J32" s="85">
        <v>0.85263389999999994</v>
      </c>
      <c r="K32" s="85">
        <v>6.9230769999999997E-2</v>
      </c>
      <c r="L32" s="85">
        <v>0</v>
      </c>
      <c r="M32" s="85">
        <v>0.2</v>
      </c>
      <c r="N32" s="85">
        <v>0</v>
      </c>
    </row>
    <row r="33" spans="3:14" customFormat="1" ht="15" customHeight="1" x14ac:dyDescent="0.15">
      <c r="C33" s="85">
        <v>32</v>
      </c>
      <c r="E33" s="182" t="s">
        <v>223</v>
      </c>
      <c r="F33" s="85">
        <v>0</v>
      </c>
      <c r="G33" s="85">
        <v>9.2999999999999999E-2</v>
      </c>
      <c r="H33" s="85">
        <v>0.5</v>
      </c>
      <c r="I33" s="85">
        <v>2.4</v>
      </c>
      <c r="J33" s="85">
        <v>0.79522794500000005</v>
      </c>
      <c r="K33" s="85">
        <v>0.20833332800000001</v>
      </c>
      <c r="L33" s="85">
        <v>0</v>
      </c>
      <c r="M33" s="85">
        <v>0.2</v>
      </c>
      <c r="N33" s="85">
        <v>0</v>
      </c>
    </row>
    <row r="34" spans="3:14" customFormat="1" ht="15" customHeight="1" x14ac:dyDescent="0.15">
      <c r="C34" s="85">
        <v>33</v>
      </c>
      <c r="E34" s="182" t="s">
        <v>224</v>
      </c>
      <c r="F34" s="85">
        <v>0</v>
      </c>
      <c r="G34" s="85">
        <v>0.26900000000000002</v>
      </c>
      <c r="H34" s="85">
        <v>0.6</v>
      </c>
      <c r="I34" s="85">
        <v>3</v>
      </c>
      <c r="J34" s="85">
        <v>0.39633205500000002</v>
      </c>
      <c r="K34" s="85">
        <v>0.2</v>
      </c>
      <c r="L34" s="85">
        <v>0</v>
      </c>
      <c r="M34" s="85">
        <v>0.2</v>
      </c>
      <c r="N34" s="85">
        <v>0</v>
      </c>
    </row>
    <row r="35" spans="3:14" customFormat="1" ht="15" customHeight="1" x14ac:dyDescent="0.15">
      <c r="C35" s="85">
        <v>34</v>
      </c>
      <c r="E35" s="182" t="s">
        <v>225</v>
      </c>
      <c r="F35" s="85">
        <v>0</v>
      </c>
      <c r="G35" s="85">
        <v>0.36299999999999999</v>
      </c>
      <c r="H35" s="85">
        <v>0.24000001000000001</v>
      </c>
      <c r="I35" s="85">
        <v>2.4</v>
      </c>
      <c r="J35" s="85">
        <v>0.35697886299999998</v>
      </c>
      <c r="K35" s="85">
        <v>0.1</v>
      </c>
      <c r="L35" s="85">
        <v>0</v>
      </c>
      <c r="M35" s="85">
        <v>0.2</v>
      </c>
      <c r="N35" s="85">
        <v>0</v>
      </c>
    </row>
    <row r="36" spans="3:14" customFormat="1" ht="15" customHeight="1" x14ac:dyDescent="0.15">
      <c r="C36" s="85">
        <v>35</v>
      </c>
      <c r="E36" s="182" t="s">
        <v>226</v>
      </c>
      <c r="F36" s="85">
        <v>0</v>
      </c>
      <c r="G36" s="85">
        <v>0.505</v>
      </c>
      <c r="H36" s="85">
        <v>0.19</v>
      </c>
      <c r="I36" s="85">
        <v>2.4</v>
      </c>
      <c r="J36" s="85">
        <v>0.74155294900000002</v>
      </c>
      <c r="K36" s="85">
        <v>7.91666657E-2</v>
      </c>
      <c r="L36" s="85">
        <v>0</v>
      </c>
      <c r="M36" s="85">
        <v>0.2</v>
      </c>
      <c r="N36" s="85">
        <v>0</v>
      </c>
    </row>
    <row r="37" spans="3:14" customFormat="1" ht="15" customHeight="1" x14ac:dyDescent="0.15">
      <c r="C37" s="85">
        <v>36</v>
      </c>
      <c r="E37" s="182" t="s">
        <v>227</v>
      </c>
      <c r="F37" s="85">
        <v>0</v>
      </c>
      <c r="G37" s="85">
        <v>0.57199999999999995</v>
      </c>
      <c r="H37" s="85">
        <v>0.22</v>
      </c>
      <c r="I37" s="85">
        <v>2.2999999999999998</v>
      </c>
      <c r="J37" s="85">
        <v>0.76776063400000005</v>
      </c>
      <c r="K37" s="85">
        <v>9.5652180000000003E-2</v>
      </c>
      <c r="L37" s="85">
        <v>0</v>
      </c>
      <c r="M37" s="85">
        <v>0.2</v>
      </c>
      <c r="N37" s="85">
        <v>0</v>
      </c>
    </row>
    <row r="38" spans="3:14" customFormat="1" ht="15" customHeight="1" x14ac:dyDescent="0.15">
      <c r="C38" s="85">
        <v>37</v>
      </c>
      <c r="E38" s="182" t="s">
        <v>228</v>
      </c>
      <c r="F38" s="85">
        <v>0</v>
      </c>
      <c r="G38" s="85">
        <v>0.46100000000000002</v>
      </c>
      <c r="H38" s="85">
        <v>0.25</v>
      </c>
      <c r="I38" s="85">
        <v>2</v>
      </c>
      <c r="J38" s="85">
        <v>0.74826896200000004</v>
      </c>
      <c r="K38" s="85">
        <v>0.125</v>
      </c>
      <c r="L38" s="85">
        <v>0</v>
      </c>
      <c r="M38" s="85">
        <v>0.2</v>
      </c>
      <c r="N38" s="85">
        <v>0</v>
      </c>
    </row>
    <row r="39" spans="3:14" customFormat="1" ht="15" customHeight="1" x14ac:dyDescent="0.15">
      <c r="C39" s="85">
        <v>38</v>
      </c>
      <c r="E39" s="182" t="s">
        <v>229</v>
      </c>
      <c r="F39" s="85">
        <v>0</v>
      </c>
      <c r="G39" s="85">
        <v>1.3</v>
      </c>
      <c r="H39" s="85">
        <v>0.6</v>
      </c>
      <c r="I39" s="85">
        <v>3</v>
      </c>
      <c r="J39" s="85">
        <v>0.91160035100000003</v>
      </c>
      <c r="K39" s="85">
        <v>0.2</v>
      </c>
      <c r="L39" s="85">
        <v>0</v>
      </c>
      <c r="M39" s="85">
        <v>0.2</v>
      </c>
      <c r="N39" s="85">
        <v>0</v>
      </c>
    </row>
    <row r="40" spans="3:14" customFormat="1" ht="15" customHeight="1" x14ac:dyDescent="0.15">
      <c r="C40" s="85">
        <v>39</v>
      </c>
      <c r="E40" s="182" t="s">
        <v>230</v>
      </c>
      <c r="F40" s="85">
        <v>0</v>
      </c>
      <c r="G40" s="85">
        <v>4.5</v>
      </c>
      <c r="H40" s="85">
        <v>0.5</v>
      </c>
      <c r="I40" s="85">
        <v>6.8</v>
      </c>
      <c r="J40" s="85">
        <v>0.65962109999999996</v>
      </c>
      <c r="K40" s="85">
        <v>7.3529410000000003E-2</v>
      </c>
      <c r="L40" s="85">
        <v>0</v>
      </c>
      <c r="M40" s="85">
        <v>0.2</v>
      </c>
      <c r="N40" s="85">
        <v>0</v>
      </c>
    </row>
    <row r="41" spans="3:14" customFormat="1" ht="15" customHeight="1" x14ac:dyDescent="0.15">
      <c r="C41" s="85">
        <v>40</v>
      </c>
      <c r="E41" s="182" t="s">
        <v>231</v>
      </c>
      <c r="F41" s="85">
        <v>0</v>
      </c>
      <c r="G41" s="85">
        <v>7</v>
      </c>
      <c r="H41" s="85">
        <v>1.57680011</v>
      </c>
      <c r="I41" s="85">
        <v>5.2560000000000002</v>
      </c>
      <c r="J41" s="85">
        <v>0.61283719999999997</v>
      </c>
      <c r="K41" s="85">
        <v>0.3</v>
      </c>
      <c r="L41" s="85">
        <v>0</v>
      </c>
      <c r="M41" s="85">
        <v>0.2</v>
      </c>
      <c r="N41" s="85">
        <v>0</v>
      </c>
    </row>
    <row r="42" spans="3:14" customFormat="1" ht="15" customHeight="1" x14ac:dyDescent="0.15">
      <c r="C42" s="85">
        <v>41</v>
      </c>
      <c r="E42" s="182" t="s">
        <v>232</v>
      </c>
      <c r="F42" s="85">
        <v>0</v>
      </c>
      <c r="G42" s="85">
        <v>0.21</v>
      </c>
      <c r="H42" s="85">
        <v>0.45</v>
      </c>
      <c r="I42" s="85">
        <v>6.6</v>
      </c>
      <c r="J42" s="85">
        <v>0.47610053400000002</v>
      </c>
      <c r="K42" s="85">
        <v>6.8181820000000004E-2</v>
      </c>
      <c r="L42" s="85">
        <v>0</v>
      </c>
      <c r="M42" s="85">
        <v>0.2</v>
      </c>
      <c r="N42" s="85">
        <v>0</v>
      </c>
    </row>
    <row r="43" spans="3:14" customFormat="1" ht="15" customHeight="1" x14ac:dyDescent="0.15">
      <c r="C43" s="85">
        <v>42</v>
      </c>
      <c r="E43" s="182" t="s">
        <v>233</v>
      </c>
      <c r="F43" s="85">
        <v>0</v>
      </c>
      <c r="G43" s="85">
        <v>7.8371360000000001</v>
      </c>
      <c r="H43" s="85">
        <v>2.2999999999999998</v>
      </c>
      <c r="I43" s="85">
        <v>7.6666660000000002</v>
      </c>
      <c r="J43" s="85">
        <v>0.95</v>
      </c>
      <c r="K43" s="85">
        <v>0.3</v>
      </c>
      <c r="L43" s="85">
        <v>0</v>
      </c>
      <c r="M43" s="85">
        <v>0.2</v>
      </c>
      <c r="N43" s="85">
        <v>0</v>
      </c>
    </row>
    <row r="44" spans="3:14" customFormat="1" ht="15" customHeight="1" x14ac:dyDescent="0.15">
      <c r="C44" s="85">
        <v>43</v>
      </c>
      <c r="E44" s="182" t="s">
        <v>234</v>
      </c>
      <c r="F44" s="85">
        <v>0</v>
      </c>
      <c r="G44" s="85">
        <v>18</v>
      </c>
      <c r="H44" s="85">
        <v>6</v>
      </c>
      <c r="I44" s="85">
        <v>24.8</v>
      </c>
      <c r="J44" s="85">
        <v>0.90362100000000001</v>
      </c>
      <c r="K44" s="85">
        <v>0.241935492</v>
      </c>
      <c r="L44" s="85">
        <v>0</v>
      </c>
      <c r="M44" s="85">
        <v>0.2</v>
      </c>
      <c r="N44" s="85">
        <v>0</v>
      </c>
    </row>
    <row r="45" spans="3:14" customFormat="1" ht="15" customHeight="1" x14ac:dyDescent="0.15">
      <c r="C45" s="85">
        <v>44</v>
      </c>
      <c r="E45" s="182" t="s">
        <v>235</v>
      </c>
      <c r="F45" s="85">
        <v>0</v>
      </c>
      <c r="G45" s="85">
        <v>25</v>
      </c>
      <c r="H45" s="85">
        <v>7</v>
      </c>
      <c r="I45" s="85">
        <v>20</v>
      </c>
      <c r="J45" s="85">
        <v>0.9188769</v>
      </c>
      <c r="K45" s="85">
        <v>0.35</v>
      </c>
      <c r="L45" s="85">
        <v>0</v>
      </c>
      <c r="M45" s="85">
        <v>0.2</v>
      </c>
      <c r="N45" s="85">
        <v>0</v>
      </c>
    </row>
    <row r="46" spans="3:14" customFormat="1" ht="15" customHeight="1" x14ac:dyDescent="0.15">
      <c r="C46" s="85">
        <v>45</v>
      </c>
      <c r="E46" s="182" t="s">
        <v>236</v>
      </c>
      <c r="F46" s="85">
        <v>0</v>
      </c>
      <c r="G46" s="85">
        <v>25</v>
      </c>
      <c r="H46" s="85">
        <v>27</v>
      </c>
      <c r="I46" s="85">
        <v>80</v>
      </c>
      <c r="J46" s="85">
        <v>0.82984690000000005</v>
      </c>
      <c r="K46" s="85">
        <v>0.33750000000000002</v>
      </c>
      <c r="L46" s="85">
        <v>0</v>
      </c>
      <c r="M46" s="85">
        <v>0.2</v>
      </c>
      <c r="N46" s="85">
        <v>0</v>
      </c>
    </row>
    <row r="47" spans="3:14" customFormat="1" ht="15" customHeight="1" x14ac:dyDescent="0.15">
      <c r="C47" s="85">
        <v>46</v>
      </c>
      <c r="E47" s="182" t="s">
        <v>237</v>
      </c>
      <c r="F47" s="85">
        <v>0</v>
      </c>
      <c r="G47" s="85">
        <v>12.5</v>
      </c>
      <c r="H47" s="85">
        <v>9.6</v>
      </c>
      <c r="I47" s="85">
        <v>13</v>
      </c>
      <c r="J47" s="85">
        <v>7.3262960000000002E-2</v>
      </c>
      <c r="K47" s="85">
        <v>0.73846155400000002</v>
      </c>
      <c r="L47" s="85">
        <v>0</v>
      </c>
      <c r="M47" s="85">
        <v>0.2</v>
      </c>
      <c r="N47" s="85">
        <v>0</v>
      </c>
    </row>
    <row r="48" spans="3:14" customFormat="1" ht="15" customHeight="1" x14ac:dyDescent="0.15">
      <c r="C48" s="85">
        <v>47</v>
      </c>
      <c r="E48" s="182" t="s">
        <v>238</v>
      </c>
      <c r="F48" s="85">
        <v>0</v>
      </c>
      <c r="G48" s="85">
        <v>0.5</v>
      </c>
      <c r="H48" s="85">
        <v>2.6</v>
      </c>
      <c r="I48" s="85">
        <v>6.4</v>
      </c>
      <c r="J48" s="85">
        <v>0.148630127</v>
      </c>
      <c r="K48" s="85">
        <v>0.40624997000000002</v>
      </c>
      <c r="L48" s="85">
        <v>0</v>
      </c>
      <c r="M48" s="85">
        <v>0.2</v>
      </c>
      <c r="N48" s="85">
        <v>0</v>
      </c>
    </row>
    <row r="49" spans="3:14" customFormat="1" ht="15" customHeight="1" x14ac:dyDescent="0.15">
      <c r="C49" s="85">
        <v>48</v>
      </c>
      <c r="E49" s="182" t="s">
        <v>239</v>
      </c>
      <c r="F49" s="85">
        <v>0</v>
      </c>
      <c r="G49" s="85">
        <v>2.71869636</v>
      </c>
      <c r="H49" s="85">
        <v>3</v>
      </c>
      <c r="I49" s="85">
        <v>15</v>
      </c>
      <c r="J49" s="85">
        <v>0.9</v>
      </c>
      <c r="K49" s="85">
        <v>0.2</v>
      </c>
      <c r="L49" s="85">
        <v>0</v>
      </c>
      <c r="M49" s="85">
        <v>0.2</v>
      </c>
      <c r="N49" s="85">
        <v>0</v>
      </c>
    </row>
    <row r="50" spans="3:14" customFormat="1" ht="15" customHeight="1" x14ac:dyDescent="0.15">
      <c r="C50" s="85">
        <v>49</v>
      </c>
      <c r="E50" s="182" t="s">
        <v>240</v>
      </c>
      <c r="F50" s="85">
        <v>0</v>
      </c>
      <c r="G50" s="85">
        <v>5.65</v>
      </c>
      <c r="H50" s="85">
        <v>1.2</v>
      </c>
      <c r="I50" s="85">
        <v>9.6669999999999998</v>
      </c>
      <c r="J50" s="85">
        <v>0.881656051</v>
      </c>
      <c r="K50" s="85">
        <v>0.12413366100000001</v>
      </c>
      <c r="L50" s="85">
        <v>0</v>
      </c>
      <c r="M50" s="85">
        <v>0.2</v>
      </c>
      <c r="N50" s="85">
        <v>0</v>
      </c>
    </row>
    <row r="51" spans="3:14" customFormat="1" ht="15" customHeight="1" x14ac:dyDescent="0.15">
      <c r="C51" s="85">
        <v>50</v>
      </c>
      <c r="E51" s="182" t="s">
        <v>241</v>
      </c>
      <c r="F51" s="85">
        <v>0</v>
      </c>
      <c r="G51" s="85">
        <v>3.8</v>
      </c>
      <c r="H51" s="85">
        <v>1.5</v>
      </c>
      <c r="I51" s="85">
        <v>3.5</v>
      </c>
      <c r="J51" s="85">
        <v>0.7414077</v>
      </c>
      <c r="K51" s="85">
        <v>0.428571433</v>
      </c>
      <c r="L51" s="85">
        <v>0</v>
      </c>
      <c r="M51" s="85">
        <v>0.2</v>
      </c>
      <c r="N51" s="85">
        <v>0</v>
      </c>
    </row>
    <row r="52" spans="3:14" customFormat="1" ht="15" customHeight="1" x14ac:dyDescent="0.15">
      <c r="C52" s="85">
        <v>51</v>
      </c>
      <c r="E52" s="182" t="s">
        <v>242</v>
      </c>
      <c r="F52" s="85">
        <v>0</v>
      </c>
      <c r="G52" s="85">
        <v>7.7</v>
      </c>
      <c r="H52" s="85">
        <v>0.9</v>
      </c>
      <c r="I52" s="85">
        <v>4.5</v>
      </c>
      <c r="J52" s="85">
        <v>0.38871250000000002</v>
      </c>
      <c r="K52" s="85">
        <v>0.2</v>
      </c>
      <c r="L52" s="85">
        <v>0</v>
      </c>
      <c r="M52" s="85">
        <v>0.2</v>
      </c>
      <c r="N52" s="85">
        <v>0</v>
      </c>
    </row>
    <row r="53" spans="3:14" customFormat="1" ht="15" customHeight="1" x14ac:dyDescent="0.15">
      <c r="C53" s="85">
        <v>52</v>
      </c>
      <c r="E53" s="182" t="s">
        <v>243</v>
      </c>
      <c r="F53" s="85">
        <v>0</v>
      </c>
      <c r="G53" s="85">
        <v>14.8</v>
      </c>
      <c r="H53" s="85">
        <v>0.3</v>
      </c>
      <c r="I53" s="85">
        <v>1.2</v>
      </c>
      <c r="J53" s="85">
        <v>0.67044769999999998</v>
      </c>
      <c r="K53" s="85">
        <v>0.25</v>
      </c>
      <c r="L53" s="85">
        <v>0</v>
      </c>
      <c r="M53" s="85">
        <v>0.2</v>
      </c>
      <c r="N53" s="85">
        <v>0</v>
      </c>
    </row>
    <row r="54" spans="3:14" customFormat="1" ht="15" customHeight="1" x14ac:dyDescent="0.15">
      <c r="C54" s="85">
        <v>53</v>
      </c>
      <c r="E54" s="182" t="s">
        <v>244</v>
      </c>
      <c r="F54" s="85">
        <v>0</v>
      </c>
      <c r="G54" s="85">
        <v>43</v>
      </c>
      <c r="H54" s="85">
        <v>4.5</v>
      </c>
      <c r="I54" s="85">
        <v>14.999999000000001</v>
      </c>
      <c r="J54" s="85">
        <v>0.53486913400000002</v>
      </c>
      <c r="K54" s="85">
        <v>0.3</v>
      </c>
      <c r="L54" s="85">
        <v>0</v>
      </c>
      <c r="M54" s="85">
        <v>0.2</v>
      </c>
      <c r="N54" s="85">
        <v>0</v>
      </c>
    </row>
    <row r="55" spans="3:14" customFormat="1" ht="15" customHeight="1" x14ac:dyDescent="0.15">
      <c r="C55" s="85">
        <v>54</v>
      </c>
      <c r="E55" s="182" t="s">
        <v>245</v>
      </c>
      <c r="F55" s="85">
        <v>1</v>
      </c>
      <c r="G55" s="85">
        <v>22</v>
      </c>
      <c r="H55" s="85">
        <v>130</v>
      </c>
      <c r="I55" s="85">
        <v>0</v>
      </c>
      <c r="J55" s="85">
        <v>0.9567544</v>
      </c>
      <c r="K55" s="85">
        <v>0</v>
      </c>
      <c r="L55" s="85">
        <v>0</v>
      </c>
      <c r="M55" s="85">
        <v>0</v>
      </c>
      <c r="N55" s="85">
        <v>0</v>
      </c>
    </row>
    <row r="56" spans="3:14" customFormat="1" ht="15" customHeight="1" x14ac:dyDescent="0.15">
      <c r="C56" s="85">
        <v>55</v>
      </c>
      <c r="E56" s="182" t="s">
        <v>67</v>
      </c>
      <c r="F56" s="85">
        <v>1</v>
      </c>
      <c r="G56" s="85">
        <v>9</v>
      </c>
      <c r="H56" s="85">
        <v>9</v>
      </c>
      <c r="I56" s="85">
        <v>0</v>
      </c>
      <c r="J56" s="85">
        <v>0.86753080000000005</v>
      </c>
      <c r="K56" s="85">
        <v>0</v>
      </c>
      <c r="L56" s="85">
        <v>0</v>
      </c>
      <c r="M56" s="85">
        <v>0</v>
      </c>
      <c r="N56" s="85">
        <v>0</v>
      </c>
    </row>
    <row r="57" spans="3:14" customFormat="1" ht="15" customHeight="1" x14ac:dyDescent="0.15">
      <c r="C57" s="85">
        <v>56</v>
      </c>
      <c r="E57" s="182" t="s">
        <v>246</v>
      </c>
      <c r="F57" s="85">
        <v>2</v>
      </c>
      <c r="G57" s="85">
        <v>10</v>
      </c>
      <c r="H57" s="85">
        <v>0</v>
      </c>
      <c r="I57" s="85">
        <v>0</v>
      </c>
      <c r="J57" s="85">
        <v>0</v>
      </c>
      <c r="K57" s="85">
        <v>0</v>
      </c>
      <c r="L57" s="85">
        <v>0</v>
      </c>
      <c r="M57" s="85">
        <v>0</v>
      </c>
      <c r="N57" s="85">
        <v>0</v>
      </c>
    </row>
    <row r="58" spans="3:14" customFormat="1" ht="15" customHeight="1" x14ac:dyDescent="0.15">
      <c r="C58" s="85">
        <v>57</v>
      </c>
      <c r="E58" s="182" t="s">
        <v>247</v>
      </c>
      <c r="F58" s="85">
        <v>2</v>
      </c>
      <c r="G58" s="85">
        <v>5</v>
      </c>
      <c r="H58" s="85">
        <v>0</v>
      </c>
      <c r="I58" s="85">
        <v>0</v>
      </c>
      <c r="J58" s="85">
        <v>0</v>
      </c>
      <c r="K58" s="85">
        <v>0</v>
      </c>
      <c r="L58" s="85">
        <v>0</v>
      </c>
      <c r="M58" s="85">
        <v>0</v>
      </c>
      <c r="N58" s="85">
        <v>0</v>
      </c>
    </row>
    <row r="59" spans="3:14" customFormat="1" ht="15" customHeight="1" x14ac:dyDescent="0.15">
      <c r="C59" s="85">
        <v>58</v>
      </c>
      <c r="E59" s="182" t="s">
        <v>248</v>
      </c>
      <c r="F59" s="85">
        <v>3</v>
      </c>
      <c r="G59" s="85">
        <v>0</v>
      </c>
      <c r="H59" s="85">
        <v>0</v>
      </c>
      <c r="I59" s="85">
        <v>0</v>
      </c>
      <c r="J59" s="85">
        <v>0</v>
      </c>
      <c r="K59" s="85">
        <v>0</v>
      </c>
      <c r="L59" s="85">
        <v>0</v>
      </c>
      <c r="M59" s="85">
        <v>0</v>
      </c>
      <c r="N59" s="85">
        <v>0</v>
      </c>
    </row>
    <row r="60" spans="3:14" customFormat="1" ht="15" customHeight="1" x14ac:dyDescent="0.15">
      <c r="C60" s="85">
        <v>59</v>
      </c>
      <c r="E60" s="182" t="s">
        <v>249</v>
      </c>
      <c r="F60" s="85">
        <v>3</v>
      </c>
      <c r="G60" s="85">
        <v>0</v>
      </c>
      <c r="H60" s="85">
        <v>0</v>
      </c>
      <c r="I60" s="85">
        <v>0</v>
      </c>
      <c r="J60" s="85">
        <v>0</v>
      </c>
      <c r="K60" s="85">
        <v>0</v>
      </c>
      <c r="L60" s="85">
        <v>0</v>
      </c>
      <c r="M60" s="85">
        <v>0</v>
      </c>
      <c r="N60" s="85">
        <v>0</v>
      </c>
    </row>
    <row r="61" spans="3:14" customFormat="1" ht="15" customHeight="1" x14ac:dyDescent="0.15">
      <c r="C61" s="85">
        <v>60</v>
      </c>
      <c r="E61" s="182" t="s">
        <v>250</v>
      </c>
      <c r="F61" s="85">
        <v>3</v>
      </c>
      <c r="G61" s="85">
        <v>0</v>
      </c>
      <c r="H61" s="85">
        <v>0</v>
      </c>
      <c r="I61" s="85">
        <v>0</v>
      </c>
      <c r="J61" s="85">
        <v>0</v>
      </c>
      <c r="K61" s="85">
        <v>0</v>
      </c>
      <c r="L61" s="85">
        <v>0</v>
      </c>
      <c r="M61" s="85">
        <v>0</v>
      </c>
      <c r="N61" s="85">
        <v>0</v>
      </c>
    </row>
    <row r="62" spans="3:14" customFormat="1" ht="15" customHeight="1" x14ac:dyDescent="0.15">
      <c r="C62" s="85">
        <v>61</v>
      </c>
      <c r="E62" s="182" t="s">
        <v>251</v>
      </c>
      <c r="F62" s="85">
        <v>3</v>
      </c>
      <c r="G62" s="85">
        <v>0</v>
      </c>
      <c r="H62" s="85">
        <v>0</v>
      </c>
      <c r="I62" s="85">
        <v>0</v>
      </c>
      <c r="J62" s="85">
        <v>0</v>
      </c>
      <c r="K62" s="85">
        <v>0</v>
      </c>
      <c r="L62" s="85">
        <v>0</v>
      </c>
      <c r="M62" s="85">
        <v>0</v>
      </c>
      <c r="N62" s="85">
        <v>0</v>
      </c>
    </row>
    <row r="63" spans="3:14" customFormat="1" ht="15" customHeight="1" x14ac:dyDescent="0.15">
      <c r="C63" s="85">
        <v>62</v>
      </c>
      <c r="E63" s="182" t="s">
        <v>252</v>
      </c>
      <c r="F63" s="85">
        <v>3</v>
      </c>
      <c r="G63" s="85">
        <v>0</v>
      </c>
      <c r="H63" s="85">
        <v>0</v>
      </c>
      <c r="I63" s="85">
        <v>0</v>
      </c>
      <c r="J63" s="85">
        <v>0</v>
      </c>
      <c r="K63" s="85">
        <v>0</v>
      </c>
      <c r="L63" s="85">
        <v>0</v>
      </c>
      <c r="M63" s="85">
        <v>0</v>
      </c>
      <c r="N63" s="85">
        <v>0</v>
      </c>
    </row>
    <row r="64" spans="3:14" customFormat="1" ht="15" customHeight="1" x14ac:dyDescent="0.15">
      <c r="C64" s="85">
        <v>63</v>
      </c>
      <c r="E64" s="182" t="s">
        <v>216</v>
      </c>
      <c r="F64" s="85">
        <v>3</v>
      </c>
      <c r="G64" s="85">
        <v>0</v>
      </c>
      <c r="H64" s="85">
        <v>0</v>
      </c>
      <c r="I64" s="85">
        <v>0</v>
      </c>
      <c r="J64" s="85">
        <v>0</v>
      </c>
      <c r="K64" s="85">
        <v>0</v>
      </c>
      <c r="L64" s="85">
        <v>0</v>
      </c>
      <c r="M64" s="85">
        <v>0</v>
      </c>
      <c r="N64" s="85">
        <v>0</v>
      </c>
    </row>
    <row r="65" spans="3:14" customFormat="1" ht="15" customHeight="1" x14ac:dyDescent="0.15">
      <c r="C65" s="85">
        <v>64</v>
      </c>
      <c r="E65" s="182" t="s">
        <v>215</v>
      </c>
      <c r="F65" s="85">
        <v>3</v>
      </c>
      <c r="G65" s="85">
        <v>0</v>
      </c>
      <c r="H65" s="85">
        <v>0</v>
      </c>
      <c r="I65" s="85">
        <v>0</v>
      </c>
      <c r="J65" s="85">
        <v>0</v>
      </c>
      <c r="K65" s="85">
        <v>0</v>
      </c>
      <c r="L65" s="85">
        <v>0</v>
      </c>
      <c r="M65" s="85">
        <v>0</v>
      </c>
      <c r="N65" s="85">
        <v>0</v>
      </c>
    </row>
    <row r="66" spans="3:14" customFormat="1" ht="15" customHeight="1" x14ac:dyDescent="0.15">
      <c r="C66" s="85">
        <v>65</v>
      </c>
      <c r="E66" s="182" t="s">
        <v>253</v>
      </c>
      <c r="F66" s="85">
        <v>3</v>
      </c>
      <c r="G66" s="85">
        <v>0</v>
      </c>
      <c r="H66" s="85">
        <v>0</v>
      </c>
      <c r="I66" s="85">
        <v>0</v>
      </c>
      <c r="J66" s="85">
        <v>0</v>
      </c>
      <c r="K66" s="85">
        <v>0</v>
      </c>
      <c r="L66" s="85">
        <v>0</v>
      </c>
      <c r="M66" s="85">
        <v>0</v>
      </c>
      <c r="N66" s="85">
        <v>0</v>
      </c>
    </row>
    <row r="67" spans="3:14" customFormat="1" ht="15" customHeight="1" x14ac:dyDescent="0.15">
      <c r="C67" s="85">
        <v>66</v>
      </c>
      <c r="E67" s="182" t="s">
        <v>217</v>
      </c>
      <c r="F67" s="85">
        <v>3</v>
      </c>
      <c r="G67" s="85">
        <v>0</v>
      </c>
      <c r="H67" s="85">
        <v>0</v>
      </c>
      <c r="I67" s="85">
        <v>0</v>
      </c>
      <c r="J67" s="85">
        <v>0</v>
      </c>
      <c r="K67" s="85">
        <v>0</v>
      </c>
      <c r="L67" s="85">
        <v>0</v>
      </c>
      <c r="M67" s="85">
        <v>0</v>
      </c>
      <c r="N67" s="85">
        <v>0</v>
      </c>
    </row>
    <row r="68" spans="3:14" customFormat="1" ht="15" customHeight="1" x14ac:dyDescent="0.15">
      <c r="C68" s="85">
        <v>67</v>
      </c>
      <c r="E68" s="182" t="s">
        <v>254</v>
      </c>
      <c r="F68" s="85">
        <v>3</v>
      </c>
      <c r="G68" s="85">
        <v>0</v>
      </c>
      <c r="H68" s="85">
        <v>0</v>
      </c>
      <c r="I68" s="85">
        <v>0</v>
      </c>
      <c r="J68" s="85">
        <v>0</v>
      </c>
      <c r="K68" s="85">
        <v>0</v>
      </c>
      <c r="L68" s="85">
        <v>0</v>
      </c>
      <c r="M68" s="85">
        <v>0</v>
      </c>
      <c r="N68" s="85">
        <v>0</v>
      </c>
    </row>
    <row r="69" spans="3:14" customFormat="1" ht="15" customHeight="1" x14ac:dyDescent="0.15">
      <c r="C69" s="85">
        <v>68</v>
      </c>
      <c r="E69" s="182" t="s">
        <v>255</v>
      </c>
      <c r="F69" s="85">
        <v>3</v>
      </c>
      <c r="G69" s="85">
        <v>0</v>
      </c>
      <c r="H69" s="85">
        <v>0</v>
      </c>
      <c r="I69" s="85">
        <v>0</v>
      </c>
      <c r="J69" s="85">
        <v>0</v>
      </c>
      <c r="K69" s="85">
        <v>0</v>
      </c>
      <c r="L69" s="85">
        <v>0</v>
      </c>
      <c r="M69" s="85">
        <v>0</v>
      </c>
      <c r="N69" s="85">
        <v>0</v>
      </c>
    </row>
    <row r="70" spans="3:14" customFormat="1" ht="15" customHeight="1" x14ac:dyDescent="0.15">
      <c r="C70" s="85">
        <v>69</v>
      </c>
      <c r="E70" s="182" t="s">
        <v>256</v>
      </c>
      <c r="F70" s="85">
        <v>3</v>
      </c>
      <c r="G70" s="85">
        <v>0</v>
      </c>
      <c r="H70" s="85">
        <v>0</v>
      </c>
      <c r="I70" s="85">
        <v>0</v>
      </c>
      <c r="J70" s="85">
        <v>0</v>
      </c>
      <c r="K70" s="85">
        <v>0</v>
      </c>
      <c r="L70" s="85">
        <v>0</v>
      </c>
      <c r="M70" s="85">
        <v>0</v>
      </c>
      <c r="N70" s="85">
        <v>0</v>
      </c>
    </row>
    <row r="71" spans="3:14" customFormat="1" ht="15" customHeight="1" x14ac:dyDescent="0.15">
      <c r="C71" s="85">
        <v>70</v>
      </c>
      <c r="E71" s="182" t="s">
        <v>257</v>
      </c>
      <c r="F71" s="85">
        <v>3</v>
      </c>
      <c r="G71" s="85">
        <v>0</v>
      </c>
      <c r="H71" s="85">
        <v>0</v>
      </c>
      <c r="I71" s="85">
        <v>0</v>
      </c>
      <c r="J71" s="85">
        <v>0</v>
      </c>
      <c r="K71" s="85">
        <v>0</v>
      </c>
      <c r="L71" s="85">
        <v>0</v>
      </c>
      <c r="M71" s="85">
        <v>0</v>
      </c>
      <c r="N71" s="85">
        <v>0</v>
      </c>
    </row>
    <row r="72" spans="3:14" customFormat="1" ht="15" customHeight="1" x14ac:dyDescent="0.15">
      <c r="C72" s="85">
        <v>71</v>
      </c>
      <c r="E72" s="182" t="s">
        <v>258</v>
      </c>
      <c r="F72" s="85">
        <v>3</v>
      </c>
      <c r="G72" s="85">
        <v>0</v>
      </c>
      <c r="H72" s="85">
        <v>0</v>
      </c>
      <c r="I72" s="85">
        <v>0</v>
      </c>
      <c r="J72" s="85">
        <v>0</v>
      </c>
      <c r="K72" s="85">
        <v>0</v>
      </c>
      <c r="L72" s="85">
        <v>0</v>
      </c>
      <c r="M72" s="85">
        <v>0</v>
      </c>
      <c r="N72" s="85">
        <v>0</v>
      </c>
    </row>
    <row r="73" spans="3:14" customFormat="1" ht="15" customHeight="1" x14ac:dyDescent="0.15">
      <c r="C73" s="85">
        <v>72</v>
      </c>
      <c r="E73" s="182" t="s">
        <v>259</v>
      </c>
      <c r="F73" s="85">
        <v>3</v>
      </c>
      <c r="G73" s="85">
        <v>0</v>
      </c>
      <c r="H73" s="85">
        <v>0</v>
      </c>
      <c r="I73" s="85">
        <v>0</v>
      </c>
      <c r="J73" s="85">
        <v>0</v>
      </c>
      <c r="K73" s="85">
        <v>0</v>
      </c>
      <c r="L73" s="85">
        <v>0</v>
      </c>
      <c r="M73" s="85">
        <v>0</v>
      </c>
      <c r="N73" s="85">
        <v>0</v>
      </c>
    </row>
    <row r="74" spans="3:14" customFormat="1" ht="15" customHeight="1" x14ac:dyDescent="0.15">
      <c r="C74" s="85">
        <v>73</v>
      </c>
      <c r="E74" s="182" t="s">
        <v>260</v>
      </c>
      <c r="F74" s="85">
        <v>3</v>
      </c>
      <c r="G74" s="85">
        <v>0</v>
      </c>
      <c r="H74" s="85">
        <v>0</v>
      </c>
      <c r="I74" s="85">
        <v>0</v>
      </c>
      <c r="J74" s="85">
        <v>0</v>
      </c>
      <c r="K74" s="85">
        <v>0</v>
      </c>
      <c r="L74" s="85">
        <v>0</v>
      </c>
      <c r="M74" s="85">
        <v>0</v>
      </c>
      <c r="N74" s="85">
        <v>0</v>
      </c>
    </row>
    <row r="75" spans="3:14" customFormat="1" ht="15" customHeight="1" x14ac:dyDescent="0.15">
      <c r="C75" s="85">
        <v>74</v>
      </c>
      <c r="E75" s="182" t="s">
        <v>261</v>
      </c>
      <c r="F75" s="85">
        <v>3</v>
      </c>
      <c r="G75" s="85">
        <v>0</v>
      </c>
      <c r="H75" s="85">
        <v>0</v>
      </c>
      <c r="I75" s="85">
        <v>0</v>
      </c>
      <c r="J75" s="85">
        <v>0</v>
      </c>
      <c r="K75" s="85">
        <v>0</v>
      </c>
      <c r="L75" s="85">
        <v>0</v>
      </c>
      <c r="M75" s="85">
        <v>0</v>
      </c>
      <c r="N75" s="85">
        <v>0</v>
      </c>
    </row>
    <row r="76" spans="3:14" customFormat="1" ht="15" customHeight="1" x14ac:dyDescent="0.15">
      <c r="C76" s="85">
        <v>75</v>
      </c>
      <c r="E76" s="182" t="s">
        <v>262</v>
      </c>
      <c r="F76" s="85">
        <v>3</v>
      </c>
      <c r="G76" s="85">
        <v>0</v>
      </c>
      <c r="H76" s="85">
        <v>0</v>
      </c>
      <c r="I76" s="85">
        <v>0</v>
      </c>
      <c r="J76" s="85">
        <v>0</v>
      </c>
      <c r="K76" s="85">
        <v>0</v>
      </c>
      <c r="L76" s="85">
        <v>0</v>
      </c>
      <c r="M76" s="85">
        <v>0</v>
      </c>
      <c r="N76" s="85">
        <v>0</v>
      </c>
    </row>
    <row r="77" spans="3:14" customFormat="1" ht="15" customHeight="1" x14ac:dyDescent="0.15">
      <c r="C77" s="85">
        <v>76</v>
      </c>
      <c r="E77" s="182" t="s">
        <v>263</v>
      </c>
      <c r="F77" s="85">
        <v>3</v>
      </c>
      <c r="G77" s="85">
        <v>0</v>
      </c>
      <c r="H77" s="85">
        <v>0</v>
      </c>
      <c r="I77" s="85">
        <v>0</v>
      </c>
      <c r="J77" s="85">
        <v>0</v>
      </c>
      <c r="K77" s="85">
        <v>0</v>
      </c>
      <c r="L77" s="85">
        <v>0</v>
      </c>
      <c r="M77" s="85">
        <v>0</v>
      </c>
      <c r="N77" s="85">
        <v>0</v>
      </c>
    </row>
    <row r="78" spans="3:14" customFormat="1" ht="15" customHeight="1" x14ac:dyDescent="0.15">
      <c r="C78" s="85">
        <v>77</v>
      </c>
      <c r="E78" s="182" t="s">
        <v>264</v>
      </c>
      <c r="F78" s="85">
        <v>3</v>
      </c>
      <c r="G78" s="85">
        <v>0</v>
      </c>
      <c r="H78" s="85">
        <v>0</v>
      </c>
      <c r="I78" s="85">
        <v>0</v>
      </c>
      <c r="J78" s="85">
        <v>0</v>
      </c>
      <c r="K78" s="85">
        <v>0</v>
      </c>
      <c r="L78" s="85">
        <v>0</v>
      </c>
      <c r="M78" s="85">
        <v>0</v>
      </c>
      <c r="N78" s="85">
        <v>0</v>
      </c>
    </row>
    <row r="79" spans="3:14" customFormat="1" ht="15" customHeight="1" x14ac:dyDescent="0.15">
      <c r="C79" s="85">
        <v>78</v>
      </c>
      <c r="E79" s="182" t="s">
        <v>265</v>
      </c>
      <c r="F79" s="85">
        <v>3</v>
      </c>
      <c r="G79" s="85">
        <v>0</v>
      </c>
      <c r="H79" s="85">
        <v>0</v>
      </c>
      <c r="I79" s="85">
        <v>0</v>
      </c>
      <c r="J79" s="85">
        <v>0</v>
      </c>
      <c r="K79" s="85">
        <v>0</v>
      </c>
      <c r="L79" s="85">
        <v>0</v>
      </c>
      <c r="M79" s="85">
        <v>0</v>
      </c>
      <c r="N79" s="85">
        <v>0</v>
      </c>
    </row>
    <row r="80" spans="3:14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BF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6" bestFit="1" customWidth="1"/>
    <col min="2" max="2" width="4.83203125" style="146" bestFit="1" customWidth="1"/>
    <col min="3" max="7" width="5.83203125" style="146" bestFit="1" customWidth="1"/>
    <col min="8" max="8" width="4.83203125" style="146" bestFit="1" customWidth="1"/>
    <col min="9" max="12" width="5.83203125" style="146" bestFit="1" customWidth="1"/>
    <col min="13" max="13" width="4.83203125" style="146" bestFit="1" customWidth="1"/>
    <col min="14" max="15" width="5.83203125" style="146" bestFit="1" customWidth="1"/>
    <col min="16" max="16" width="4.83203125" style="146" bestFit="1" customWidth="1"/>
    <col min="17" max="17" width="6.83203125" style="146" bestFit="1" customWidth="1"/>
    <col min="18" max="23" width="5.83203125" style="146" bestFit="1" customWidth="1"/>
    <col min="24" max="24" width="4.83203125" style="146" bestFit="1" customWidth="1"/>
    <col min="25" max="25" width="6.83203125" style="146" bestFit="1" customWidth="1"/>
    <col min="26" max="29" width="5.83203125" style="146" bestFit="1" customWidth="1"/>
    <col min="30" max="30" width="5.83203125" style="146" customWidth="1"/>
    <col min="31" max="32" width="4.83203125" style="146" customWidth="1"/>
    <col min="33" max="37" width="5.83203125" style="146" customWidth="1"/>
    <col min="38" max="38" width="4.83203125" style="146" customWidth="1"/>
    <col min="39" max="39" width="5.83203125" style="146" customWidth="1"/>
    <col min="40" max="43" width="4.83203125" style="146" customWidth="1"/>
    <col min="44" max="44" width="5.83203125" style="146" customWidth="1"/>
    <col min="45" max="45" width="4.83203125" style="146" customWidth="1"/>
    <col min="46" max="46" width="2.33203125" style="146" customWidth="1"/>
    <col min="47" max="53" width="4.83203125" style="146" customWidth="1"/>
    <col min="54" max="54" width="5.83203125" style="146" customWidth="1"/>
    <col min="55" max="58" width="2.33203125" style="146" customWidth="1"/>
    <col min="59" max="16384" width="8.83203125" style="146"/>
  </cols>
  <sheetData>
    <row r="1" spans="1:58" x14ac:dyDescent="0.15">
      <c r="A1" s="145" t="s">
        <v>19</v>
      </c>
      <c r="B1" s="184" t="s">
        <v>192</v>
      </c>
      <c r="C1" s="184" t="s">
        <v>193</v>
      </c>
      <c r="D1" s="184" t="s">
        <v>194</v>
      </c>
      <c r="E1" s="184" t="s">
        <v>195</v>
      </c>
      <c r="F1" s="184" t="s">
        <v>196</v>
      </c>
      <c r="G1" s="184" t="s">
        <v>197</v>
      </c>
      <c r="H1" s="184" t="s">
        <v>198</v>
      </c>
      <c r="I1" s="184" t="s">
        <v>199</v>
      </c>
      <c r="J1" s="184" t="s">
        <v>200</v>
      </c>
      <c r="K1" s="184" t="s">
        <v>201</v>
      </c>
      <c r="L1" s="184" t="s">
        <v>202</v>
      </c>
      <c r="M1" s="184" t="s">
        <v>203</v>
      </c>
      <c r="N1" s="184" t="s">
        <v>204</v>
      </c>
      <c r="O1" s="184" t="s">
        <v>205</v>
      </c>
      <c r="P1" s="184" t="s">
        <v>206</v>
      </c>
      <c r="Q1" s="184" t="s">
        <v>207</v>
      </c>
      <c r="R1" s="184" t="s">
        <v>208</v>
      </c>
      <c r="S1" s="184" t="s">
        <v>209</v>
      </c>
      <c r="T1" s="184" t="s">
        <v>210</v>
      </c>
      <c r="U1" s="184" t="s">
        <v>211</v>
      </c>
      <c r="V1" s="184" t="s">
        <v>212</v>
      </c>
      <c r="W1" s="184" t="s">
        <v>213</v>
      </c>
      <c r="X1" s="184" t="s">
        <v>214</v>
      </c>
      <c r="Y1" s="184" t="s">
        <v>215</v>
      </c>
      <c r="Z1" s="184" t="s">
        <v>216</v>
      </c>
      <c r="AA1" s="184" t="s">
        <v>217</v>
      </c>
      <c r="AB1" s="184" t="s">
        <v>218</v>
      </c>
      <c r="AC1" s="184" t="s">
        <v>219</v>
      </c>
      <c r="AD1" s="184" t="s">
        <v>220</v>
      </c>
      <c r="AE1" s="184" t="s">
        <v>221</v>
      </c>
      <c r="AF1" s="184" t="s">
        <v>222</v>
      </c>
      <c r="AG1" s="184" t="s">
        <v>223</v>
      </c>
      <c r="AH1" s="184" t="s">
        <v>224</v>
      </c>
      <c r="AI1" s="184" t="s">
        <v>225</v>
      </c>
      <c r="AJ1" s="184" t="s">
        <v>226</v>
      </c>
      <c r="AK1" s="184" t="s">
        <v>227</v>
      </c>
      <c r="AL1" s="184" t="s">
        <v>228</v>
      </c>
      <c r="AM1" s="184" t="s">
        <v>229</v>
      </c>
      <c r="AN1" s="184" t="s">
        <v>230</v>
      </c>
      <c r="AO1" s="184" t="s">
        <v>231</v>
      </c>
      <c r="AP1" s="184" t="s">
        <v>232</v>
      </c>
      <c r="AQ1" s="184" t="s">
        <v>233</v>
      </c>
      <c r="AR1" s="184" t="s">
        <v>234</v>
      </c>
      <c r="AS1" s="184" t="s">
        <v>235</v>
      </c>
      <c r="AT1" s="184" t="s">
        <v>236</v>
      </c>
      <c r="AU1" s="184" t="s">
        <v>237</v>
      </c>
      <c r="AV1" s="184" t="s">
        <v>238</v>
      </c>
      <c r="AW1" s="184" t="s">
        <v>239</v>
      </c>
      <c r="AX1" s="184" t="s">
        <v>240</v>
      </c>
      <c r="AY1" s="184" t="s">
        <v>241</v>
      </c>
      <c r="AZ1" s="184" t="s">
        <v>242</v>
      </c>
      <c r="BA1" s="184" t="s">
        <v>243</v>
      </c>
      <c r="BB1" s="184" t="s">
        <v>244</v>
      </c>
      <c r="BC1" s="184" t="s">
        <v>245</v>
      </c>
      <c r="BD1" s="184" t="s">
        <v>67</v>
      </c>
      <c r="BE1" s="184" t="s">
        <v>246</v>
      </c>
      <c r="BF1" s="184" t="s">
        <v>247</v>
      </c>
    </row>
    <row r="2" spans="1:58" customFormat="1" x14ac:dyDescent="0.15">
      <c r="A2" s="183" t="s">
        <v>192</v>
      </c>
      <c r="B2" s="146">
        <v>0</v>
      </c>
      <c r="C2" s="146">
        <v>4.0000000000000001E-3</v>
      </c>
      <c r="D2" s="146">
        <v>0</v>
      </c>
      <c r="E2" s="146">
        <v>0</v>
      </c>
      <c r="F2" s="146">
        <v>0</v>
      </c>
      <c r="G2" s="146">
        <v>2E-3</v>
      </c>
      <c r="H2" s="146">
        <v>0</v>
      </c>
      <c r="I2" s="146">
        <v>4.0000000000000001E-3</v>
      </c>
      <c r="J2" s="146">
        <v>0</v>
      </c>
      <c r="K2" s="146">
        <v>0</v>
      </c>
      <c r="L2" s="146">
        <v>0</v>
      </c>
      <c r="M2" s="146">
        <v>0</v>
      </c>
      <c r="N2" s="146">
        <v>0</v>
      </c>
      <c r="O2" s="146">
        <v>0</v>
      </c>
      <c r="P2" s="146">
        <v>0</v>
      </c>
      <c r="Q2" s="146">
        <v>0</v>
      </c>
      <c r="R2" s="146">
        <v>0</v>
      </c>
      <c r="S2" s="146">
        <v>0</v>
      </c>
      <c r="T2" s="146">
        <v>0</v>
      </c>
      <c r="U2" s="146">
        <v>0</v>
      </c>
      <c r="V2" s="146">
        <v>0</v>
      </c>
      <c r="W2" s="146">
        <v>0</v>
      </c>
      <c r="X2" s="146">
        <v>0</v>
      </c>
      <c r="Y2" s="146">
        <v>0</v>
      </c>
      <c r="Z2" s="146">
        <v>0</v>
      </c>
      <c r="AA2" s="146">
        <v>0</v>
      </c>
      <c r="AB2" s="146">
        <v>0</v>
      </c>
      <c r="AC2" s="146">
        <v>0</v>
      </c>
      <c r="AD2" s="146">
        <v>0</v>
      </c>
      <c r="AE2" s="146">
        <v>0</v>
      </c>
      <c r="AF2" s="146">
        <v>0</v>
      </c>
      <c r="AG2" s="146">
        <v>0</v>
      </c>
      <c r="AH2" s="146">
        <v>0</v>
      </c>
      <c r="AI2" s="146">
        <v>3.0000000000000001E-3</v>
      </c>
      <c r="AJ2" s="146">
        <v>0</v>
      </c>
      <c r="AK2" s="146">
        <v>0</v>
      </c>
      <c r="AL2" s="146">
        <v>0</v>
      </c>
      <c r="AM2" s="146">
        <v>0</v>
      </c>
      <c r="AN2" s="146">
        <v>0</v>
      </c>
      <c r="AO2" s="146">
        <v>0</v>
      </c>
      <c r="AP2" s="146">
        <v>0</v>
      </c>
      <c r="AQ2" s="146">
        <v>0</v>
      </c>
      <c r="AR2" s="146">
        <v>0</v>
      </c>
      <c r="AS2" s="146">
        <v>0</v>
      </c>
      <c r="AT2" s="146">
        <v>0</v>
      </c>
      <c r="AU2" s="146">
        <v>0</v>
      </c>
      <c r="AV2" s="146">
        <v>0</v>
      </c>
      <c r="AW2" s="146">
        <v>0</v>
      </c>
      <c r="AX2" s="146">
        <v>0</v>
      </c>
      <c r="AY2" s="146">
        <v>0</v>
      </c>
      <c r="AZ2" s="146">
        <v>0</v>
      </c>
      <c r="BA2" s="146">
        <v>0</v>
      </c>
      <c r="BB2" s="146">
        <v>0</v>
      </c>
      <c r="BC2" s="146">
        <v>0</v>
      </c>
      <c r="BD2" s="146">
        <v>0</v>
      </c>
      <c r="BE2" s="146">
        <v>0</v>
      </c>
      <c r="BF2" s="146">
        <v>0</v>
      </c>
    </row>
    <row r="3" spans="1:58" customFormat="1" x14ac:dyDescent="0.15">
      <c r="A3" s="183" t="s">
        <v>193</v>
      </c>
      <c r="B3" s="146">
        <v>0</v>
      </c>
      <c r="C3" s="146">
        <v>0</v>
      </c>
      <c r="D3" s="146">
        <v>0</v>
      </c>
      <c r="E3" s="146">
        <v>0</v>
      </c>
      <c r="F3" s="146">
        <v>0</v>
      </c>
      <c r="G3" s="146">
        <v>0.02</v>
      </c>
      <c r="H3" s="146">
        <v>0</v>
      </c>
      <c r="I3" s="146">
        <v>6.0000000000000001E-3</v>
      </c>
      <c r="J3" s="146">
        <v>0</v>
      </c>
      <c r="K3" s="146">
        <v>0</v>
      </c>
      <c r="L3" s="146">
        <v>0</v>
      </c>
      <c r="M3" s="146">
        <v>0</v>
      </c>
      <c r="N3" s="146">
        <v>0</v>
      </c>
      <c r="O3" s="146">
        <v>0</v>
      </c>
      <c r="P3" s="146">
        <v>0</v>
      </c>
      <c r="Q3" s="146">
        <v>0</v>
      </c>
      <c r="R3" s="146">
        <v>0</v>
      </c>
      <c r="S3" s="146">
        <v>0</v>
      </c>
      <c r="T3" s="146">
        <v>0</v>
      </c>
      <c r="U3" s="146">
        <v>0</v>
      </c>
      <c r="V3" s="146">
        <v>0</v>
      </c>
      <c r="W3" s="146">
        <v>0</v>
      </c>
      <c r="X3" s="146">
        <v>0</v>
      </c>
      <c r="Y3" s="146">
        <v>0</v>
      </c>
      <c r="Z3" s="146">
        <v>0</v>
      </c>
      <c r="AA3" s="146">
        <v>0</v>
      </c>
      <c r="AB3" s="146">
        <v>0</v>
      </c>
      <c r="AC3" s="146">
        <v>0</v>
      </c>
      <c r="AD3" s="146">
        <v>0</v>
      </c>
      <c r="AE3" s="146">
        <v>0</v>
      </c>
      <c r="AF3" s="146">
        <v>0</v>
      </c>
      <c r="AG3" s="146">
        <v>0</v>
      </c>
      <c r="AH3" s="146">
        <v>0</v>
      </c>
      <c r="AI3" s="146">
        <v>5.0000000000000001E-3</v>
      </c>
      <c r="AJ3" s="146">
        <v>0</v>
      </c>
      <c r="AK3" s="146">
        <v>0</v>
      </c>
      <c r="AL3" s="146">
        <v>0</v>
      </c>
      <c r="AM3" s="146">
        <v>0</v>
      </c>
      <c r="AN3" s="146">
        <v>0</v>
      </c>
      <c r="AO3" s="146">
        <v>0</v>
      </c>
      <c r="AP3" s="146">
        <v>0</v>
      </c>
      <c r="AQ3" s="146">
        <v>0</v>
      </c>
      <c r="AR3" s="146">
        <v>0</v>
      </c>
      <c r="AS3" s="146">
        <v>0</v>
      </c>
      <c r="AT3" s="146">
        <v>0</v>
      </c>
      <c r="AU3" s="146">
        <v>0</v>
      </c>
      <c r="AV3" s="146">
        <v>0</v>
      </c>
      <c r="AW3" s="146">
        <v>0</v>
      </c>
      <c r="AX3" s="146">
        <v>0</v>
      </c>
      <c r="AY3" s="146">
        <v>0</v>
      </c>
      <c r="AZ3" s="146">
        <v>0</v>
      </c>
      <c r="BA3" s="146">
        <v>0</v>
      </c>
      <c r="BB3" s="146">
        <v>0</v>
      </c>
      <c r="BC3" s="146">
        <v>0</v>
      </c>
      <c r="BD3" s="146">
        <v>0</v>
      </c>
      <c r="BE3" s="146">
        <v>0</v>
      </c>
      <c r="BF3" s="146">
        <v>0</v>
      </c>
    </row>
    <row r="4" spans="1:58" customFormat="1" x14ac:dyDescent="0.15">
      <c r="A4" s="183" t="s">
        <v>194</v>
      </c>
      <c r="B4" s="146">
        <v>0</v>
      </c>
      <c r="C4" s="146">
        <v>1.6E-2</v>
      </c>
      <c r="D4" s="146">
        <v>0</v>
      </c>
      <c r="E4" s="146">
        <v>0.01</v>
      </c>
      <c r="F4" s="146">
        <v>0</v>
      </c>
      <c r="G4" s="146">
        <v>0.01</v>
      </c>
      <c r="H4" s="146">
        <v>0</v>
      </c>
      <c r="I4" s="146">
        <v>0.01</v>
      </c>
      <c r="J4" s="146">
        <v>0</v>
      </c>
      <c r="K4" s="146">
        <v>0.01</v>
      </c>
      <c r="L4" s="146">
        <v>0</v>
      </c>
      <c r="M4" s="146">
        <v>0</v>
      </c>
      <c r="N4" s="146">
        <v>0</v>
      </c>
      <c r="O4" s="146">
        <v>0</v>
      </c>
      <c r="P4" s="146">
        <v>0</v>
      </c>
      <c r="Q4" s="146">
        <v>0</v>
      </c>
      <c r="R4" s="146">
        <v>0</v>
      </c>
      <c r="S4" s="146">
        <v>9.999999999999998E-4</v>
      </c>
      <c r="T4" s="146">
        <v>1E-3</v>
      </c>
      <c r="U4" s="146">
        <v>0</v>
      </c>
      <c r="V4" s="146">
        <v>0</v>
      </c>
      <c r="W4" s="146">
        <v>2E-3</v>
      </c>
      <c r="X4" s="146">
        <v>0</v>
      </c>
      <c r="Y4" s="146">
        <v>0</v>
      </c>
      <c r="Z4" s="146">
        <v>0</v>
      </c>
      <c r="AA4" s="146">
        <v>0</v>
      </c>
      <c r="AB4" s="146">
        <v>0</v>
      </c>
      <c r="AC4" s="146">
        <v>0</v>
      </c>
      <c r="AD4" s="146">
        <v>0</v>
      </c>
      <c r="AE4" s="146">
        <v>0</v>
      </c>
      <c r="AF4" s="146">
        <v>0</v>
      </c>
      <c r="AG4" s="146">
        <v>0</v>
      </c>
      <c r="AH4" s="146">
        <v>0</v>
      </c>
      <c r="AI4" s="146">
        <v>1.4999999999999999E-2</v>
      </c>
      <c r="AJ4" s="146">
        <v>0</v>
      </c>
      <c r="AK4" s="146">
        <v>0</v>
      </c>
      <c r="AL4" s="146">
        <v>0</v>
      </c>
      <c r="AM4" s="146">
        <v>0</v>
      </c>
      <c r="AN4" s="146">
        <v>0</v>
      </c>
      <c r="AO4" s="146">
        <v>0</v>
      </c>
      <c r="AP4" s="146">
        <v>0</v>
      </c>
      <c r="AQ4" s="146">
        <v>0</v>
      </c>
      <c r="AR4" s="146">
        <v>0</v>
      </c>
      <c r="AS4" s="146">
        <v>0</v>
      </c>
      <c r="AT4" s="146">
        <v>0</v>
      </c>
      <c r="AU4" s="146">
        <v>0</v>
      </c>
      <c r="AV4" s="146">
        <v>0</v>
      </c>
      <c r="AW4" s="146">
        <v>0</v>
      </c>
      <c r="AX4" s="146">
        <v>0</v>
      </c>
      <c r="AY4" s="146">
        <v>0</v>
      </c>
      <c r="AZ4" s="146">
        <v>0</v>
      </c>
      <c r="BA4" s="146">
        <v>0</v>
      </c>
      <c r="BB4" s="146">
        <v>0</v>
      </c>
      <c r="BC4" s="146">
        <v>0</v>
      </c>
      <c r="BD4" s="146">
        <v>0</v>
      </c>
      <c r="BE4" s="146">
        <v>0</v>
      </c>
      <c r="BF4" s="146">
        <v>0</v>
      </c>
    </row>
    <row r="5" spans="1:58" customFormat="1" x14ac:dyDescent="0.15">
      <c r="A5" s="183" t="s">
        <v>195</v>
      </c>
      <c r="B5" s="146">
        <v>0</v>
      </c>
      <c r="C5" s="146">
        <v>0</v>
      </c>
      <c r="D5" s="146">
        <v>0</v>
      </c>
      <c r="E5" s="146">
        <v>0</v>
      </c>
      <c r="F5" s="146">
        <v>0</v>
      </c>
      <c r="G5" s="146">
        <v>6.0000000000000001E-3</v>
      </c>
      <c r="H5" s="146">
        <v>0</v>
      </c>
      <c r="I5" s="146">
        <v>0</v>
      </c>
      <c r="J5" s="146">
        <v>0</v>
      </c>
      <c r="K5" s="146">
        <v>0</v>
      </c>
      <c r="L5" s="146">
        <v>0</v>
      </c>
      <c r="M5" s="146">
        <v>0</v>
      </c>
      <c r="N5" s="146">
        <v>0</v>
      </c>
      <c r="O5" s="146">
        <v>0</v>
      </c>
      <c r="P5" s="146">
        <v>0</v>
      </c>
      <c r="Q5" s="146">
        <v>0</v>
      </c>
      <c r="R5" s="146">
        <v>0</v>
      </c>
      <c r="S5" s="146">
        <v>3.8999999999999993E-2</v>
      </c>
      <c r="T5" s="146">
        <v>0</v>
      </c>
      <c r="U5" s="146">
        <v>0</v>
      </c>
      <c r="V5" s="146">
        <v>0</v>
      </c>
      <c r="W5" s="146">
        <v>0</v>
      </c>
      <c r="X5" s="146">
        <v>0</v>
      </c>
      <c r="Y5" s="146">
        <v>0</v>
      </c>
      <c r="Z5" s="146">
        <v>0</v>
      </c>
      <c r="AA5" s="146">
        <v>0</v>
      </c>
      <c r="AB5" s="146">
        <v>0</v>
      </c>
      <c r="AC5" s="146">
        <v>0</v>
      </c>
      <c r="AD5" s="146">
        <v>0</v>
      </c>
      <c r="AE5" s="146">
        <v>0</v>
      </c>
      <c r="AF5" s="146">
        <v>0</v>
      </c>
      <c r="AG5" s="146">
        <v>0</v>
      </c>
      <c r="AH5" s="146">
        <v>0</v>
      </c>
      <c r="AI5" s="146">
        <v>5.0000000000000001E-3</v>
      </c>
      <c r="AJ5" s="146">
        <v>0</v>
      </c>
      <c r="AK5" s="146">
        <v>0</v>
      </c>
      <c r="AL5" s="146">
        <v>0</v>
      </c>
      <c r="AM5" s="146">
        <v>0</v>
      </c>
      <c r="AN5" s="146">
        <v>0</v>
      </c>
      <c r="AO5" s="146">
        <v>0</v>
      </c>
      <c r="AP5" s="146">
        <v>0</v>
      </c>
      <c r="AQ5" s="146">
        <v>0</v>
      </c>
      <c r="AR5" s="146">
        <v>0</v>
      </c>
      <c r="AS5" s="146">
        <v>0</v>
      </c>
      <c r="AT5" s="146">
        <v>0</v>
      </c>
      <c r="AU5" s="146">
        <v>0</v>
      </c>
      <c r="AV5" s="146">
        <v>0</v>
      </c>
      <c r="AW5" s="146">
        <v>0</v>
      </c>
      <c r="AX5" s="146">
        <v>0</v>
      </c>
      <c r="AY5" s="146">
        <v>0</v>
      </c>
      <c r="AZ5" s="146">
        <v>0</v>
      </c>
      <c r="BA5" s="146">
        <v>0</v>
      </c>
      <c r="BB5" s="146">
        <v>0</v>
      </c>
      <c r="BC5" s="146">
        <v>0</v>
      </c>
      <c r="BD5" s="146">
        <v>0</v>
      </c>
      <c r="BE5" s="146">
        <v>0</v>
      </c>
      <c r="BF5" s="146">
        <v>0</v>
      </c>
    </row>
    <row r="6" spans="1:58" customFormat="1" x14ac:dyDescent="0.15">
      <c r="A6" s="183" t="s">
        <v>196</v>
      </c>
      <c r="B6" s="146">
        <v>0</v>
      </c>
      <c r="C6" s="146">
        <v>1E-3</v>
      </c>
      <c r="D6" s="146">
        <v>0</v>
      </c>
      <c r="E6" s="146">
        <v>0</v>
      </c>
      <c r="F6" s="146">
        <v>0</v>
      </c>
      <c r="G6" s="146">
        <v>0</v>
      </c>
      <c r="H6" s="146">
        <v>0</v>
      </c>
      <c r="I6" s="146">
        <v>0</v>
      </c>
      <c r="J6" s="146">
        <v>0</v>
      </c>
      <c r="K6" s="146">
        <v>0</v>
      </c>
      <c r="L6" s="146">
        <v>0</v>
      </c>
      <c r="M6" s="146">
        <v>0</v>
      </c>
      <c r="N6" s="146">
        <v>0</v>
      </c>
      <c r="O6" s="146">
        <v>0</v>
      </c>
      <c r="P6" s="146">
        <v>0</v>
      </c>
      <c r="Q6" s="146">
        <v>0</v>
      </c>
      <c r="R6" s="146">
        <v>0</v>
      </c>
      <c r="S6" s="146">
        <v>0</v>
      </c>
      <c r="T6" s="146">
        <v>0</v>
      </c>
      <c r="U6" s="146">
        <v>0</v>
      </c>
      <c r="V6" s="146">
        <v>0</v>
      </c>
      <c r="W6" s="146">
        <v>0</v>
      </c>
      <c r="X6" s="146">
        <v>0</v>
      </c>
      <c r="Y6" s="146">
        <v>0</v>
      </c>
      <c r="Z6" s="146">
        <v>0</v>
      </c>
      <c r="AA6" s="146">
        <v>0</v>
      </c>
      <c r="AB6" s="146">
        <v>0</v>
      </c>
      <c r="AC6" s="146">
        <v>0</v>
      </c>
      <c r="AD6" s="146">
        <v>0</v>
      </c>
      <c r="AE6" s="146">
        <v>0</v>
      </c>
      <c r="AF6" s="146">
        <v>0</v>
      </c>
      <c r="AG6" s="146">
        <v>0</v>
      </c>
      <c r="AH6" s="146">
        <v>0</v>
      </c>
      <c r="AI6" s="146">
        <v>0</v>
      </c>
      <c r="AJ6" s="146">
        <v>0</v>
      </c>
      <c r="AK6" s="146">
        <v>0</v>
      </c>
      <c r="AL6" s="146">
        <v>0</v>
      </c>
      <c r="AM6" s="146">
        <v>0</v>
      </c>
      <c r="AN6" s="146">
        <v>0</v>
      </c>
      <c r="AO6" s="146">
        <v>0</v>
      </c>
      <c r="AP6" s="146">
        <v>0</v>
      </c>
      <c r="AQ6" s="146">
        <v>0</v>
      </c>
      <c r="AR6" s="146">
        <v>0</v>
      </c>
      <c r="AS6" s="146">
        <v>0</v>
      </c>
      <c r="AT6" s="146">
        <v>0</v>
      </c>
      <c r="AU6" s="146">
        <v>0</v>
      </c>
      <c r="AV6" s="146">
        <v>0</v>
      </c>
      <c r="AW6" s="146">
        <v>0</v>
      </c>
      <c r="AX6" s="146">
        <v>0</v>
      </c>
      <c r="AY6" s="146">
        <v>0</v>
      </c>
      <c r="AZ6" s="146">
        <v>0</v>
      </c>
      <c r="BA6" s="146">
        <v>0</v>
      </c>
      <c r="BB6" s="146">
        <v>0</v>
      </c>
      <c r="BC6" s="146">
        <v>0</v>
      </c>
      <c r="BD6" s="146">
        <v>0</v>
      </c>
      <c r="BE6" s="146">
        <v>0</v>
      </c>
      <c r="BF6" s="146">
        <v>0</v>
      </c>
    </row>
    <row r="7" spans="1:58" customFormat="1" x14ac:dyDescent="0.15">
      <c r="A7" s="183" t="s">
        <v>197</v>
      </c>
      <c r="B7" s="146">
        <v>0</v>
      </c>
      <c r="C7" s="146">
        <v>0</v>
      </c>
      <c r="D7" s="146">
        <v>0</v>
      </c>
      <c r="E7" s="146">
        <v>0</v>
      </c>
      <c r="F7" s="146">
        <v>0</v>
      </c>
      <c r="G7" s="146">
        <v>0</v>
      </c>
      <c r="H7" s="146">
        <v>0</v>
      </c>
      <c r="I7" s="146">
        <v>0</v>
      </c>
      <c r="J7" s="146">
        <v>0</v>
      </c>
      <c r="K7" s="146">
        <v>0</v>
      </c>
      <c r="L7" s="146">
        <v>0</v>
      </c>
      <c r="M7" s="146">
        <v>0</v>
      </c>
      <c r="N7" s="146">
        <v>0</v>
      </c>
      <c r="O7" s="146">
        <v>0</v>
      </c>
      <c r="P7" s="146">
        <v>0</v>
      </c>
      <c r="Q7" s="146">
        <v>0</v>
      </c>
      <c r="R7" s="146">
        <v>0</v>
      </c>
      <c r="S7" s="146">
        <v>0</v>
      </c>
      <c r="T7" s="146">
        <v>0</v>
      </c>
      <c r="U7" s="146">
        <v>0</v>
      </c>
      <c r="V7" s="146">
        <v>0</v>
      </c>
      <c r="W7" s="146">
        <v>0</v>
      </c>
      <c r="X7" s="146">
        <v>0</v>
      </c>
      <c r="Y7" s="146">
        <v>0</v>
      </c>
      <c r="Z7" s="146">
        <v>0</v>
      </c>
      <c r="AA7" s="146">
        <v>0</v>
      </c>
      <c r="AB7" s="146">
        <v>0</v>
      </c>
      <c r="AC7" s="146">
        <v>0</v>
      </c>
      <c r="AD7" s="146">
        <v>0</v>
      </c>
      <c r="AE7" s="146">
        <v>0</v>
      </c>
      <c r="AF7" s="146">
        <v>0</v>
      </c>
      <c r="AG7" s="146">
        <v>0</v>
      </c>
      <c r="AH7" s="146">
        <v>0</v>
      </c>
      <c r="AI7" s="146">
        <v>0</v>
      </c>
      <c r="AJ7" s="146">
        <v>0</v>
      </c>
      <c r="AK7" s="146">
        <v>0</v>
      </c>
      <c r="AL7" s="146">
        <v>0</v>
      </c>
      <c r="AM7" s="146">
        <v>0</v>
      </c>
      <c r="AN7" s="146">
        <v>0</v>
      </c>
      <c r="AO7" s="146">
        <v>0</v>
      </c>
      <c r="AP7" s="146">
        <v>0</v>
      </c>
      <c r="AQ7" s="146">
        <v>0</v>
      </c>
      <c r="AR7" s="146">
        <v>0</v>
      </c>
      <c r="AS7" s="146">
        <v>0</v>
      </c>
      <c r="AT7" s="146">
        <v>0</v>
      </c>
      <c r="AU7" s="146">
        <v>0</v>
      </c>
      <c r="AV7" s="146">
        <v>0</v>
      </c>
      <c r="AW7" s="146">
        <v>0</v>
      </c>
      <c r="AX7" s="146">
        <v>0</v>
      </c>
      <c r="AY7" s="146">
        <v>0</v>
      </c>
      <c r="AZ7" s="146">
        <v>0</v>
      </c>
      <c r="BA7" s="146">
        <v>0</v>
      </c>
      <c r="BB7" s="146">
        <v>0</v>
      </c>
      <c r="BC7" s="146">
        <v>0</v>
      </c>
      <c r="BD7" s="146">
        <v>0</v>
      </c>
      <c r="BE7" s="146">
        <v>0</v>
      </c>
      <c r="BF7" s="146">
        <v>0</v>
      </c>
    </row>
    <row r="8" spans="1:58" customFormat="1" x14ac:dyDescent="0.15">
      <c r="A8" s="183" t="s">
        <v>198</v>
      </c>
      <c r="B8" s="146">
        <v>0</v>
      </c>
      <c r="C8" s="146">
        <v>1E-3</v>
      </c>
      <c r="D8" s="146">
        <v>0</v>
      </c>
      <c r="E8" s="146">
        <v>0</v>
      </c>
      <c r="F8" s="146">
        <v>0</v>
      </c>
      <c r="G8" s="146">
        <v>0</v>
      </c>
      <c r="H8" s="146">
        <v>0</v>
      </c>
      <c r="I8" s="146">
        <v>0</v>
      </c>
      <c r="J8" s="146">
        <v>0</v>
      </c>
      <c r="K8" s="146">
        <v>0</v>
      </c>
      <c r="L8" s="146">
        <v>0</v>
      </c>
      <c r="M8" s="146">
        <v>0</v>
      </c>
      <c r="N8" s="146">
        <v>0</v>
      </c>
      <c r="O8" s="146">
        <v>0</v>
      </c>
      <c r="P8" s="146">
        <v>0</v>
      </c>
      <c r="Q8" s="146">
        <v>9.999999999999998E-4</v>
      </c>
      <c r="R8" s="146">
        <v>0</v>
      </c>
      <c r="S8" s="146">
        <v>9.999999999999998E-4</v>
      </c>
      <c r="T8" s="146">
        <v>0</v>
      </c>
      <c r="U8" s="146">
        <v>0</v>
      </c>
      <c r="V8" s="146">
        <v>0</v>
      </c>
      <c r="W8" s="146">
        <v>0</v>
      </c>
      <c r="X8" s="146">
        <v>0</v>
      </c>
      <c r="Y8" s="146">
        <v>0</v>
      </c>
      <c r="Z8" s="146">
        <v>0</v>
      </c>
      <c r="AA8" s="146">
        <v>0</v>
      </c>
      <c r="AB8" s="146">
        <v>0</v>
      </c>
      <c r="AC8" s="146">
        <v>0</v>
      </c>
      <c r="AD8" s="146">
        <v>0</v>
      </c>
      <c r="AE8" s="146">
        <v>0</v>
      </c>
      <c r="AF8" s="146">
        <v>0</v>
      </c>
      <c r="AG8" s="146">
        <v>0</v>
      </c>
      <c r="AH8" s="146">
        <v>0</v>
      </c>
      <c r="AI8" s="146">
        <v>0</v>
      </c>
      <c r="AJ8" s="146">
        <v>0</v>
      </c>
      <c r="AK8" s="146">
        <v>0</v>
      </c>
      <c r="AL8" s="146">
        <v>0</v>
      </c>
      <c r="AM8" s="146">
        <v>0</v>
      </c>
      <c r="AN8" s="146">
        <v>0</v>
      </c>
      <c r="AO8" s="146">
        <v>0</v>
      </c>
      <c r="AP8" s="146">
        <v>0</v>
      </c>
      <c r="AQ8" s="146">
        <v>0</v>
      </c>
      <c r="AR8" s="146">
        <v>0</v>
      </c>
      <c r="AS8" s="146">
        <v>0</v>
      </c>
      <c r="AT8" s="146">
        <v>0</v>
      </c>
      <c r="AU8" s="146">
        <v>0</v>
      </c>
      <c r="AV8" s="146">
        <v>0</v>
      </c>
      <c r="AW8" s="146">
        <v>0</v>
      </c>
      <c r="AX8" s="146">
        <v>0</v>
      </c>
      <c r="AY8" s="146">
        <v>0</v>
      </c>
      <c r="AZ8" s="146">
        <v>0</v>
      </c>
      <c r="BA8" s="146">
        <v>0</v>
      </c>
      <c r="BB8" s="146">
        <v>0</v>
      </c>
      <c r="BC8" s="146">
        <v>0</v>
      </c>
      <c r="BD8" s="146">
        <v>0</v>
      </c>
      <c r="BE8" s="146">
        <v>0</v>
      </c>
      <c r="BF8" s="146">
        <v>0</v>
      </c>
    </row>
    <row r="9" spans="1:58" customFormat="1" x14ac:dyDescent="0.15">
      <c r="A9" s="183" t="s">
        <v>199</v>
      </c>
      <c r="B9" s="146">
        <v>0</v>
      </c>
      <c r="C9" s="146">
        <v>0</v>
      </c>
      <c r="D9" s="146">
        <v>0</v>
      </c>
      <c r="E9" s="146">
        <v>0</v>
      </c>
      <c r="F9" s="146">
        <v>0</v>
      </c>
      <c r="G9" s="146">
        <v>0</v>
      </c>
      <c r="H9" s="146">
        <v>0</v>
      </c>
      <c r="I9" s="146">
        <v>0</v>
      </c>
      <c r="J9" s="146">
        <v>0</v>
      </c>
      <c r="K9" s="146">
        <v>0</v>
      </c>
      <c r="L9" s="146">
        <v>0</v>
      </c>
      <c r="M9" s="146">
        <v>0</v>
      </c>
      <c r="N9" s="146">
        <v>0</v>
      </c>
      <c r="O9" s="146">
        <v>0</v>
      </c>
      <c r="P9" s="146">
        <v>0</v>
      </c>
      <c r="Q9" s="146">
        <v>4.9999999999999992E-3</v>
      </c>
      <c r="R9" s="146">
        <v>0</v>
      </c>
      <c r="S9" s="146">
        <v>2.9999999999999992E-3</v>
      </c>
      <c r="T9" s="146">
        <v>0</v>
      </c>
      <c r="U9" s="146">
        <v>0</v>
      </c>
      <c r="V9" s="146">
        <v>0</v>
      </c>
      <c r="W9" s="146">
        <v>0</v>
      </c>
      <c r="X9" s="146">
        <v>0</v>
      </c>
      <c r="Y9" s="146">
        <v>0</v>
      </c>
      <c r="Z9" s="146">
        <v>0</v>
      </c>
      <c r="AA9" s="146">
        <v>0</v>
      </c>
      <c r="AB9" s="146">
        <v>0</v>
      </c>
      <c r="AC9" s="146">
        <v>0</v>
      </c>
      <c r="AD9" s="146">
        <v>0</v>
      </c>
      <c r="AE9" s="146">
        <v>0</v>
      </c>
      <c r="AF9" s="146">
        <v>0</v>
      </c>
      <c r="AG9" s="146">
        <v>0</v>
      </c>
      <c r="AH9" s="146">
        <v>0</v>
      </c>
      <c r="AI9" s="146">
        <v>0</v>
      </c>
      <c r="AJ9" s="146">
        <v>0</v>
      </c>
      <c r="AK9" s="146">
        <v>0</v>
      </c>
      <c r="AL9" s="146">
        <v>0</v>
      </c>
      <c r="AM9" s="146">
        <v>0</v>
      </c>
      <c r="AN9" s="146">
        <v>0</v>
      </c>
      <c r="AO9" s="146">
        <v>0</v>
      </c>
      <c r="AP9" s="146">
        <v>0</v>
      </c>
      <c r="AQ9" s="146">
        <v>0</v>
      </c>
      <c r="AR9" s="146">
        <v>0</v>
      </c>
      <c r="AS9" s="146">
        <v>0</v>
      </c>
      <c r="AT9" s="146">
        <v>0</v>
      </c>
      <c r="AU9" s="146">
        <v>0</v>
      </c>
      <c r="AV9" s="146">
        <v>0</v>
      </c>
      <c r="AW9" s="146">
        <v>0</v>
      </c>
      <c r="AX9" s="146">
        <v>0</v>
      </c>
      <c r="AY9" s="146">
        <v>0</v>
      </c>
      <c r="AZ9" s="146">
        <v>0</v>
      </c>
      <c r="BA9" s="146">
        <v>0</v>
      </c>
      <c r="BB9" s="146">
        <v>0</v>
      </c>
      <c r="BC9" s="146">
        <v>0</v>
      </c>
      <c r="BD9" s="146">
        <v>0</v>
      </c>
      <c r="BE9" s="146">
        <v>0</v>
      </c>
      <c r="BF9" s="146">
        <v>0</v>
      </c>
    </row>
    <row r="10" spans="1:58" customFormat="1" x14ac:dyDescent="0.15">
      <c r="A10" s="183" t="s">
        <v>200</v>
      </c>
      <c r="B10" s="146">
        <v>0</v>
      </c>
      <c r="C10" s="146">
        <v>2E-3</v>
      </c>
      <c r="D10" s="146">
        <v>0</v>
      </c>
      <c r="E10" s="146">
        <v>1E-3</v>
      </c>
      <c r="F10" s="146">
        <v>0</v>
      </c>
      <c r="G10" s="146">
        <v>2E-3</v>
      </c>
      <c r="H10" s="146">
        <v>0</v>
      </c>
      <c r="I10" s="146">
        <v>2E-3</v>
      </c>
      <c r="J10" s="146">
        <v>0</v>
      </c>
      <c r="K10" s="146">
        <v>2E-3</v>
      </c>
      <c r="L10" s="146">
        <v>0</v>
      </c>
      <c r="M10" s="146">
        <v>0</v>
      </c>
      <c r="N10" s="146">
        <v>0.02</v>
      </c>
      <c r="O10" s="146">
        <v>1.9999999999999996E-3</v>
      </c>
      <c r="P10" s="146">
        <v>0</v>
      </c>
      <c r="Q10" s="146">
        <v>1.9999999999999997E-2</v>
      </c>
      <c r="R10" s="146">
        <v>0</v>
      </c>
      <c r="S10" s="146">
        <v>4.9999999999999992E-3</v>
      </c>
      <c r="T10" s="146">
        <v>8.9999999999999993E-3</v>
      </c>
      <c r="U10" s="146">
        <v>0</v>
      </c>
      <c r="V10" s="146">
        <v>0</v>
      </c>
      <c r="W10" s="146">
        <v>4.0000000000000001E-3</v>
      </c>
      <c r="X10" s="146">
        <v>0</v>
      </c>
      <c r="Y10" s="146">
        <v>0</v>
      </c>
      <c r="Z10" s="146">
        <v>0</v>
      </c>
      <c r="AA10" s="146">
        <v>0</v>
      </c>
      <c r="AB10" s="146">
        <v>0</v>
      </c>
      <c r="AC10" s="146">
        <v>0</v>
      </c>
      <c r="AD10" s="146">
        <v>2.0000000000000005E-3</v>
      </c>
      <c r="AE10" s="146">
        <v>0</v>
      </c>
      <c r="AF10" s="146">
        <v>0</v>
      </c>
      <c r="AG10" s="146">
        <v>5.0000000000000001E-3</v>
      </c>
      <c r="AH10" s="146">
        <v>2E-3</v>
      </c>
      <c r="AI10" s="146">
        <v>3.0000000000000001E-3</v>
      </c>
      <c r="AJ10" s="146">
        <v>0</v>
      </c>
      <c r="AK10" s="146">
        <v>0</v>
      </c>
      <c r="AL10" s="146">
        <v>0</v>
      </c>
      <c r="AM10" s="146">
        <v>1E-3</v>
      </c>
      <c r="AN10" s="146">
        <v>0</v>
      </c>
      <c r="AO10" s="146">
        <v>0</v>
      </c>
      <c r="AP10" s="146">
        <v>0</v>
      </c>
      <c r="AQ10" s="146">
        <v>0</v>
      </c>
      <c r="AR10" s="146">
        <v>0</v>
      </c>
      <c r="AS10" s="146">
        <v>0</v>
      </c>
      <c r="AT10" s="146">
        <v>0</v>
      </c>
      <c r="AU10" s="146">
        <v>0</v>
      </c>
      <c r="AV10" s="146">
        <v>0</v>
      </c>
      <c r="AW10" s="146">
        <v>0</v>
      </c>
      <c r="AX10" s="146">
        <v>0</v>
      </c>
      <c r="AY10" s="146">
        <v>0</v>
      </c>
      <c r="AZ10" s="146">
        <v>0</v>
      </c>
      <c r="BA10" s="146">
        <v>0</v>
      </c>
      <c r="BB10" s="146">
        <v>0</v>
      </c>
      <c r="BC10" s="146">
        <v>0</v>
      </c>
      <c r="BD10" s="146">
        <v>0</v>
      </c>
      <c r="BE10" s="146">
        <v>0</v>
      </c>
      <c r="BF10" s="146">
        <v>0</v>
      </c>
    </row>
    <row r="11" spans="1:58" customFormat="1" x14ac:dyDescent="0.15">
      <c r="A11" s="183" t="s">
        <v>201</v>
      </c>
      <c r="B11" s="146">
        <v>0</v>
      </c>
      <c r="C11" s="146">
        <v>0.03</v>
      </c>
      <c r="D11" s="146">
        <v>0</v>
      </c>
      <c r="E11" s="146">
        <v>0.03</v>
      </c>
      <c r="F11" s="146">
        <v>0</v>
      </c>
      <c r="G11" s="146">
        <v>0.1</v>
      </c>
      <c r="H11" s="146">
        <v>0</v>
      </c>
      <c r="I11" s="146">
        <v>0.03</v>
      </c>
      <c r="J11" s="146">
        <v>0</v>
      </c>
      <c r="K11" s="146">
        <v>0</v>
      </c>
      <c r="L11" s="146">
        <v>0</v>
      </c>
      <c r="M11" s="146">
        <v>0</v>
      </c>
      <c r="N11" s="146">
        <v>0</v>
      </c>
      <c r="O11" s="146">
        <v>0</v>
      </c>
      <c r="P11" s="146">
        <v>0</v>
      </c>
      <c r="Q11" s="146">
        <v>7.9999999999999988E-2</v>
      </c>
      <c r="R11" s="146">
        <v>0</v>
      </c>
      <c r="S11" s="146">
        <v>0.19999999999999996</v>
      </c>
      <c r="T11" s="146">
        <v>0.1</v>
      </c>
      <c r="U11" s="146">
        <v>3.3000000000000002E-2</v>
      </c>
      <c r="V11" s="146">
        <v>0</v>
      </c>
      <c r="W11" s="146">
        <v>6.9000000000000006E-2</v>
      </c>
      <c r="X11" s="146">
        <v>0</v>
      </c>
      <c r="Y11" s="146">
        <v>0</v>
      </c>
      <c r="Z11" s="146">
        <v>0</v>
      </c>
      <c r="AA11" s="146">
        <v>0</v>
      </c>
      <c r="AB11" s="146">
        <v>0</v>
      </c>
      <c r="AC11" s="146">
        <v>0</v>
      </c>
      <c r="AD11" s="146">
        <v>0</v>
      </c>
      <c r="AE11" s="146">
        <v>0</v>
      </c>
      <c r="AF11" s="146">
        <v>0</v>
      </c>
      <c r="AG11" s="146">
        <v>0.01</v>
      </c>
      <c r="AH11" s="146">
        <v>0</v>
      </c>
      <c r="AI11" s="146">
        <v>1.2E-2</v>
      </c>
      <c r="AJ11" s="146">
        <v>0</v>
      </c>
      <c r="AK11" s="146">
        <v>0</v>
      </c>
      <c r="AL11" s="146">
        <v>0</v>
      </c>
      <c r="AM11" s="146">
        <v>0</v>
      </c>
      <c r="AN11" s="146">
        <v>0</v>
      </c>
      <c r="AO11" s="146">
        <v>0</v>
      </c>
      <c r="AP11" s="146">
        <v>0</v>
      </c>
      <c r="AQ11" s="146">
        <v>0</v>
      </c>
      <c r="AR11" s="146">
        <v>0</v>
      </c>
      <c r="AS11" s="146">
        <v>0</v>
      </c>
      <c r="AT11" s="146">
        <v>0</v>
      </c>
      <c r="AU11" s="146">
        <v>0</v>
      </c>
      <c r="AV11" s="146">
        <v>0</v>
      </c>
      <c r="AW11" s="146">
        <v>0</v>
      </c>
      <c r="AX11" s="146">
        <v>0</v>
      </c>
      <c r="AY11" s="146">
        <v>0</v>
      </c>
      <c r="AZ11" s="146">
        <v>0</v>
      </c>
      <c r="BA11" s="146">
        <v>0</v>
      </c>
      <c r="BB11" s="146">
        <v>0</v>
      </c>
      <c r="BC11" s="146">
        <v>0</v>
      </c>
      <c r="BD11" s="146">
        <v>0</v>
      </c>
      <c r="BE11" s="146">
        <v>0</v>
      </c>
      <c r="BF11" s="146">
        <v>0</v>
      </c>
    </row>
    <row r="12" spans="1:58" customFormat="1" x14ac:dyDescent="0.15">
      <c r="A12" s="183" t="s">
        <v>202</v>
      </c>
      <c r="B12" s="146">
        <v>0</v>
      </c>
      <c r="C12" s="146">
        <v>0.01</v>
      </c>
      <c r="D12" s="146">
        <v>0</v>
      </c>
      <c r="E12" s="146">
        <v>0</v>
      </c>
      <c r="F12" s="146">
        <v>1E-3</v>
      </c>
      <c r="G12" s="146">
        <v>5.0000000000000001E-3</v>
      </c>
      <c r="H12" s="146">
        <v>0</v>
      </c>
      <c r="I12" s="146">
        <v>3.0000000000000001E-3</v>
      </c>
      <c r="J12" s="146">
        <v>0</v>
      </c>
      <c r="K12" s="146">
        <v>0</v>
      </c>
      <c r="L12" s="146">
        <v>0</v>
      </c>
      <c r="M12" s="146">
        <v>0</v>
      </c>
      <c r="N12" s="146">
        <v>0.05</v>
      </c>
      <c r="O12" s="146">
        <v>4.9999999999999992E-3</v>
      </c>
      <c r="P12" s="146">
        <v>0</v>
      </c>
      <c r="Q12" s="146">
        <v>9.9999999999999985E-3</v>
      </c>
      <c r="R12" s="146">
        <v>5.0000000000000001E-3</v>
      </c>
      <c r="S12" s="146">
        <v>4.9999999999999992E-3</v>
      </c>
      <c r="T12" s="146">
        <v>0.01</v>
      </c>
      <c r="U12" s="146">
        <v>0</v>
      </c>
      <c r="V12" s="146">
        <v>0</v>
      </c>
      <c r="W12" s="146">
        <v>0.02</v>
      </c>
      <c r="X12" s="146">
        <v>0</v>
      </c>
      <c r="Y12" s="146">
        <v>0</v>
      </c>
      <c r="Z12" s="146">
        <v>5.0000000000000001E-3</v>
      </c>
      <c r="AA12" s="146">
        <v>0</v>
      </c>
      <c r="AB12" s="146">
        <v>0.01</v>
      </c>
      <c r="AC12" s="146">
        <v>0.01</v>
      </c>
      <c r="AD12" s="146">
        <v>0</v>
      </c>
      <c r="AE12" s="146">
        <v>0</v>
      </c>
      <c r="AF12" s="146">
        <v>0</v>
      </c>
      <c r="AG12" s="146">
        <v>0.05</v>
      </c>
      <c r="AH12" s="146">
        <v>0</v>
      </c>
      <c r="AI12" s="146">
        <v>0.01</v>
      </c>
      <c r="AJ12" s="146">
        <v>0</v>
      </c>
      <c r="AK12" s="146">
        <v>0</v>
      </c>
      <c r="AL12" s="146">
        <v>0</v>
      </c>
      <c r="AM12" s="146">
        <v>0</v>
      </c>
      <c r="AN12" s="146">
        <v>0</v>
      </c>
      <c r="AO12" s="146">
        <v>0</v>
      </c>
      <c r="AP12" s="146">
        <v>0</v>
      </c>
      <c r="AQ12" s="146">
        <v>0</v>
      </c>
      <c r="AR12" s="146">
        <v>0</v>
      </c>
      <c r="AS12" s="146">
        <v>0</v>
      </c>
      <c r="AT12" s="146">
        <v>0</v>
      </c>
      <c r="AU12" s="146">
        <v>0</v>
      </c>
      <c r="AV12" s="146">
        <v>0</v>
      </c>
      <c r="AW12" s="146">
        <v>0</v>
      </c>
      <c r="AX12" s="146">
        <v>0</v>
      </c>
      <c r="AY12" s="146">
        <v>0</v>
      </c>
      <c r="AZ12" s="146">
        <v>0</v>
      </c>
      <c r="BA12" s="146">
        <v>0</v>
      </c>
      <c r="BB12" s="146">
        <v>0</v>
      </c>
      <c r="BC12" s="146">
        <v>0</v>
      </c>
      <c r="BD12" s="146">
        <v>0</v>
      </c>
      <c r="BE12" s="146">
        <v>0</v>
      </c>
      <c r="BF12" s="146">
        <v>0</v>
      </c>
    </row>
    <row r="13" spans="1:58" customFormat="1" x14ac:dyDescent="0.15">
      <c r="A13" s="183" t="s">
        <v>203</v>
      </c>
      <c r="B13" s="146">
        <v>0</v>
      </c>
      <c r="C13" s="146">
        <v>0.02</v>
      </c>
      <c r="D13" s="146">
        <v>0</v>
      </c>
      <c r="E13" s="146">
        <v>0.01</v>
      </c>
      <c r="F13" s="146">
        <v>5.0000000000000001E-3</v>
      </c>
      <c r="G13" s="146">
        <v>5.0000000000000001E-3</v>
      </c>
      <c r="H13" s="146">
        <v>0</v>
      </c>
      <c r="I13" s="146">
        <v>7.0000000000000001E-3</v>
      </c>
      <c r="J13" s="146">
        <v>0</v>
      </c>
      <c r="K13" s="146">
        <v>0</v>
      </c>
      <c r="L13" s="146">
        <v>0</v>
      </c>
      <c r="M13" s="146">
        <v>0</v>
      </c>
      <c r="N13" s="146">
        <v>0.02</v>
      </c>
      <c r="O13" s="146">
        <v>9.9999999999999985E-3</v>
      </c>
      <c r="P13" s="146">
        <v>0</v>
      </c>
      <c r="Q13" s="146">
        <v>1.9999999999999997E-2</v>
      </c>
      <c r="R13" s="146">
        <v>3.0000000000000001E-3</v>
      </c>
      <c r="S13" s="146">
        <v>4.9999999999999992E-3</v>
      </c>
      <c r="T13" s="146">
        <v>0.01</v>
      </c>
      <c r="U13" s="146">
        <v>0</v>
      </c>
      <c r="V13" s="146">
        <v>0</v>
      </c>
      <c r="W13" s="146">
        <v>5.0000000000000001E-3</v>
      </c>
      <c r="X13" s="146">
        <v>0</v>
      </c>
      <c r="Y13" s="146">
        <v>0</v>
      </c>
      <c r="Z13" s="146">
        <v>0</v>
      </c>
      <c r="AA13" s="146">
        <v>0</v>
      </c>
      <c r="AB13" s="146">
        <v>5.0000000000000001E-3</v>
      </c>
      <c r="AC13" s="146">
        <v>5.0000000000000001E-3</v>
      </c>
      <c r="AD13" s="146">
        <v>0</v>
      </c>
      <c r="AE13" s="146">
        <v>0</v>
      </c>
      <c r="AF13" s="146">
        <v>0</v>
      </c>
      <c r="AG13" s="146">
        <v>3.0000000000000001E-3</v>
      </c>
      <c r="AH13" s="146">
        <v>0</v>
      </c>
      <c r="AI13" s="146">
        <v>0.01</v>
      </c>
      <c r="AJ13" s="146">
        <v>0</v>
      </c>
      <c r="AK13" s="146">
        <v>0</v>
      </c>
      <c r="AL13" s="146">
        <v>0</v>
      </c>
      <c r="AM13" s="146">
        <v>0</v>
      </c>
      <c r="AN13" s="146">
        <v>0</v>
      </c>
      <c r="AO13" s="146">
        <v>0</v>
      </c>
      <c r="AP13" s="146">
        <v>0</v>
      </c>
      <c r="AQ13" s="146">
        <v>0</v>
      </c>
      <c r="AR13" s="146">
        <v>0</v>
      </c>
      <c r="AS13" s="146">
        <v>0</v>
      </c>
      <c r="AT13" s="146">
        <v>0</v>
      </c>
      <c r="AU13" s="146">
        <v>0</v>
      </c>
      <c r="AV13" s="146">
        <v>0</v>
      </c>
      <c r="AW13" s="146">
        <v>0</v>
      </c>
      <c r="AX13" s="146">
        <v>0</v>
      </c>
      <c r="AY13" s="146">
        <v>0</v>
      </c>
      <c r="AZ13" s="146">
        <v>0</v>
      </c>
      <c r="BA13" s="146">
        <v>0</v>
      </c>
      <c r="BB13" s="146">
        <v>0</v>
      </c>
      <c r="BC13" s="146">
        <v>0</v>
      </c>
      <c r="BD13" s="146">
        <v>0</v>
      </c>
      <c r="BE13" s="146">
        <v>0</v>
      </c>
      <c r="BF13" s="146">
        <v>0</v>
      </c>
    </row>
    <row r="14" spans="1:58" customFormat="1" x14ac:dyDescent="0.15">
      <c r="A14" s="183" t="s">
        <v>204</v>
      </c>
      <c r="B14" s="146">
        <v>0</v>
      </c>
      <c r="C14" s="146">
        <v>0</v>
      </c>
      <c r="D14" s="146">
        <v>0</v>
      </c>
      <c r="E14" s="146">
        <v>0</v>
      </c>
      <c r="F14" s="146">
        <v>0</v>
      </c>
      <c r="G14" s="146">
        <v>0</v>
      </c>
      <c r="H14" s="146">
        <v>0</v>
      </c>
      <c r="I14" s="146">
        <v>0</v>
      </c>
      <c r="J14" s="146">
        <v>0</v>
      </c>
      <c r="K14" s="146">
        <v>0</v>
      </c>
      <c r="L14" s="146">
        <v>0</v>
      </c>
      <c r="M14" s="146">
        <v>0</v>
      </c>
      <c r="N14" s="146">
        <v>0</v>
      </c>
      <c r="O14" s="146">
        <v>0</v>
      </c>
      <c r="P14" s="146">
        <v>0</v>
      </c>
      <c r="Q14" s="146">
        <v>0</v>
      </c>
      <c r="R14" s="146">
        <v>0</v>
      </c>
      <c r="S14" s="146">
        <v>0</v>
      </c>
      <c r="T14" s="146">
        <v>0</v>
      </c>
      <c r="U14" s="146">
        <v>0</v>
      </c>
      <c r="V14" s="146">
        <v>0</v>
      </c>
      <c r="W14" s="146">
        <v>0</v>
      </c>
      <c r="X14" s="146">
        <v>0</v>
      </c>
      <c r="Y14" s="146">
        <v>0</v>
      </c>
      <c r="Z14" s="146">
        <v>0</v>
      </c>
      <c r="AA14" s="146">
        <v>0</v>
      </c>
      <c r="AB14" s="146">
        <v>0</v>
      </c>
      <c r="AC14" s="146">
        <v>0</v>
      </c>
      <c r="AD14" s="146">
        <v>0</v>
      </c>
      <c r="AE14" s="146">
        <v>0</v>
      </c>
      <c r="AF14" s="146">
        <v>0</v>
      </c>
      <c r="AG14" s="146">
        <v>0</v>
      </c>
      <c r="AH14" s="146">
        <v>0</v>
      </c>
      <c r="AI14" s="146">
        <v>0</v>
      </c>
      <c r="AJ14" s="146">
        <v>0</v>
      </c>
      <c r="AK14" s="146">
        <v>0</v>
      </c>
      <c r="AL14" s="146">
        <v>0</v>
      </c>
      <c r="AM14" s="146">
        <v>0</v>
      </c>
      <c r="AN14" s="146">
        <v>0</v>
      </c>
      <c r="AO14" s="146">
        <v>0</v>
      </c>
      <c r="AP14" s="146">
        <v>0</v>
      </c>
      <c r="AQ14" s="146">
        <v>0</v>
      </c>
      <c r="AR14" s="146">
        <v>0</v>
      </c>
      <c r="AS14" s="146">
        <v>0</v>
      </c>
      <c r="AT14" s="146">
        <v>0</v>
      </c>
      <c r="AU14" s="146">
        <v>0</v>
      </c>
      <c r="AV14" s="146">
        <v>0</v>
      </c>
      <c r="AW14" s="146">
        <v>0</v>
      </c>
      <c r="AX14" s="146">
        <v>0</v>
      </c>
      <c r="AY14" s="146">
        <v>0</v>
      </c>
      <c r="AZ14" s="146">
        <v>0</v>
      </c>
      <c r="BA14" s="146">
        <v>0</v>
      </c>
      <c r="BB14" s="146">
        <v>0</v>
      </c>
      <c r="BC14" s="146">
        <v>0</v>
      </c>
      <c r="BD14" s="146">
        <v>0</v>
      </c>
      <c r="BE14" s="146">
        <v>0</v>
      </c>
      <c r="BF14" s="146">
        <v>0</v>
      </c>
    </row>
    <row r="15" spans="1:58" customFormat="1" x14ac:dyDescent="0.15">
      <c r="A15" s="183" t="s">
        <v>205</v>
      </c>
      <c r="B15" s="146">
        <v>0</v>
      </c>
      <c r="C15" s="146">
        <v>0</v>
      </c>
      <c r="D15" s="146">
        <v>0</v>
      </c>
      <c r="E15" s="146">
        <v>0</v>
      </c>
      <c r="F15" s="146">
        <v>0</v>
      </c>
      <c r="G15" s="146">
        <v>0</v>
      </c>
      <c r="H15" s="146">
        <v>0</v>
      </c>
      <c r="I15" s="146">
        <v>0</v>
      </c>
      <c r="J15" s="146">
        <v>0</v>
      </c>
      <c r="K15" s="146">
        <v>0</v>
      </c>
      <c r="L15" s="146">
        <v>0</v>
      </c>
      <c r="M15" s="146">
        <v>0</v>
      </c>
      <c r="N15" s="146">
        <v>0</v>
      </c>
      <c r="O15" s="146">
        <v>0</v>
      </c>
      <c r="P15" s="146">
        <v>0</v>
      </c>
      <c r="Q15" s="146">
        <v>0</v>
      </c>
      <c r="R15" s="146">
        <v>0</v>
      </c>
      <c r="S15" s="146">
        <v>0</v>
      </c>
      <c r="T15" s="146">
        <v>0</v>
      </c>
      <c r="U15" s="146">
        <v>0</v>
      </c>
      <c r="V15" s="146">
        <v>0</v>
      </c>
      <c r="W15" s="146">
        <v>0</v>
      </c>
      <c r="X15" s="146">
        <v>0</v>
      </c>
      <c r="Y15" s="146">
        <v>0</v>
      </c>
      <c r="Z15" s="146">
        <v>0</v>
      </c>
      <c r="AA15" s="146">
        <v>0</v>
      </c>
      <c r="AB15" s="146">
        <v>0</v>
      </c>
      <c r="AC15" s="146">
        <v>0</v>
      </c>
      <c r="AD15" s="146">
        <v>0</v>
      </c>
      <c r="AE15" s="146">
        <v>0</v>
      </c>
      <c r="AF15" s="146">
        <v>0</v>
      </c>
      <c r="AG15" s="146">
        <v>0</v>
      </c>
      <c r="AH15" s="146">
        <v>0</v>
      </c>
      <c r="AI15" s="146">
        <v>0</v>
      </c>
      <c r="AJ15" s="146">
        <v>0</v>
      </c>
      <c r="AK15" s="146">
        <v>0</v>
      </c>
      <c r="AL15" s="146">
        <v>0</v>
      </c>
      <c r="AM15" s="146">
        <v>0</v>
      </c>
      <c r="AN15" s="146">
        <v>0</v>
      </c>
      <c r="AO15" s="146">
        <v>0</v>
      </c>
      <c r="AP15" s="146">
        <v>0</v>
      </c>
      <c r="AQ15" s="146">
        <v>0</v>
      </c>
      <c r="AR15" s="146">
        <v>0</v>
      </c>
      <c r="AS15" s="146">
        <v>0</v>
      </c>
      <c r="AT15" s="146">
        <v>0</v>
      </c>
      <c r="AU15" s="146">
        <v>0</v>
      </c>
      <c r="AV15" s="146">
        <v>0</v>
      </c>
      <c r="AW15" s="146">
        <v>0</v>
      </c>
      <c r="AX15" s="146">
        <v>0</v>
      </c>
      <c r="AY15" s="146">
        <v>0</v>
      </c>
      <c r="AZ15" s="146">
        <v>0</v>
      </c>
      <c r="BA15" s="146">
        <v>0</v>
      </c>
      <c r="BB15" s="146">
        <v>0</v>
      </c>
      <c r="BC15" s="146">
        <v>0</v>
      </c>
      <c r="BD15" s="146">
        <v>0</v>
      </c>
      <c r="BE15" s="146">
        <v>0</v>
      </c>
      <c r="BF15" s="146">
        <v>0</v>
      </c>
    </row>
    <row r="16" spans="1:58" customFormat="1" x14ac:dyDescent="0.15">
      <c r="A16" s="183" t="s">
        <v>206</v>
      </c>
      <c r="B16" s="146">
        <v>0</v>
      </c>
      <c r="C16" s="146">
        <v>0</v>
      </c>
      <c r="D16" s="146">
        <v>0</v>
      </c>
      <c r="E16" s="146">
        <v>0</v>
      </c>
      <c r="F16" s="146">
        <v>0</v>
      </c>
      <c r="G16" s="146">
        <v>0</v>
      </c>
      <c r="H16" s="146">
        <v>0</v>
      </c>
      <c r="I16" s="146">
        <v>0</v>
      </c>
      <c r="J16" s="146">
        <v>0</v>
      </c>
      <c r="K16" s="146">
        <v>0</v>
      </c>
      <c r="L16" s="146">
        <v>0</v>
      </c>
      <c r="M16" s="146">
        <v>0</v>
      </c>
      <c r="N16" s="146">
        <v>0</v>
      </c>
      <c r="O16" s="146">
        <v>0</v>
      </c>
      <c r="P16" s="146">
        <v>0</v>
      </c>
      <c r="Q16" s="146">
        <v>0</v>
      </c>
      <c r="R16" s="146">
        <v>0</v>
      </c>
      <c r="S16" s="146">
        <v>0</v>
      </c>
      <c r="T16" s="146">
        <v>0</v>
      </c>
      <c r="U16" s="146">
        <v>0</v>
      </c>
      <c r="V16" s="146">
        <v>0</v>
      </c>
      <c r="W16" s="146">
        <v>0</v>
      </c>
      <c r="X16" s="146">
        <v>0</v>
      </c>
      <c r="Y16" s="146">
        <v>0</v>
      </c>
      <c r="Z16" s="146">
        <v>0</v>
      </c>
      <c r="AA16" s="146">
        <v>0</v>
      </c>
      <c r="AB16" s="146">
        <v>0</v>
      </c>
      <c r="AC16" s="146">
        <v>0</v>
      </c>
      <c r="AD16" s="146">
        <v>0</v>
      </c>
      <c r="AE16" s="146">
        <v>0</v>
      </c>
      <c r="AF16" s="146">
        <v>0</v>
      </c>
      <c r="AG16" s="146">
        <v>0</v>
      </c>
      <c r="AH16" s="146">
        <v>0</v>
      </c>
      <c r="AI16" s="146">
        <v>0</v>
      </c>
      <c r="AJ16" s="146">
        <v>0</v>
      </c>
      <c r="AK16" s="146">
        <v>0</v>
      </c>
      <c r="AL16" s="146">
        <v>0</v>
      </c>
      <c r="AM16" s="146">
        <v>0</v>
      </c>
      <c r="AN16" s="146">
        <v>0</v>
      </c>
      <c r="AO16" s="146">
        <v>0</v>
      </c>
      <c r="AP16" s="146">
        <v>0</v>
      </c>
      <c r="AQ16" s="146">
        <v>0</v>
      </c>
      <c r="AR16" s="146">
        <v>0</v>
      </c>
      <c r="AS16" s="146">
        <v>0</v>
      </c>
      <c r="AT16" s="146">
        <v>0</v>
      </c>
      <c r="AU16" s="146">
        <v>0</v>
      </c>
      <c r="AV16" s="146">
        <v>0</v>
      </c>
      <c r="AW16" s="146">
        <v>0</v>
      </c>
      <c r="AX16" s="146">
        <v>0</v>
      </c>
      <c r="AY16" s="146">
        <v>0</v>
      </c>
      <c r="AZ16" s="146">
        <v>0</v>
      </c>
      <c r="BA16" s="146">
        <v>0</v>
      </c>
      <c r="BB16" s="146">
        <v>0</v>
      </c>
      <c r="BC16" s="146">
        <v>0</v>
      </c>
      <c r="BD16" s="146">
        <v>0</v>
      </c>
      <c r="BE16" s="146">
        <v>0</v>
      </c>
      <c r="BF16" s="146">
        <v>0</v>
      </c>
    </row>
    <row r="17" spans="1:58" customFormat="1" x14ac:dyDescent="0.15">
      <c r="A17" s="183" t="s">
        <v>207</v>
      </c>
      <c r="B17" s="146">
        <v>0</v>
      </c>
      <c r="C17" s="146">
        <v>0</v>
      </c>
      <c r="D17" s="146">
        <v>0</v>
      </c>
      <c r="E17" s="146">
        <v>0</v>
      </c>
      <c r="F17" s="146">
        <v>0</v>
      </c>
      <c r="G17" s="146">
        <v>0</v>
      </c>
      <c r="H17" s="146">
        <v>0</v>
      </c>
      <c r="I17" s="146">
        <v>0</v>
      </c>
      <c r="J17" s="146">
        <v>0</v>
      </c>
      <c r="K17" s="146">
        <v>0</v>
      </c>
      <c r="L17" s="146">
        <v>0</v>
      </c>
      <c r="M17" s="146">
        <v>0</v>
      </c>
      <c r="N17" s="146">
        <v>0</v>
      </c>
      <c r="O17" s="146">
        <v>0</v>
      </c>
      <c r="P17" s="146">
        <v>0</v>
      </c>
      <c r="Q17" s="146">
        <v>0</v>
      </c>
      <c r="R17" s="146">
        <v>0</v>
      </c>
      <c r="S17" s="146">
        <v>0</v>
      </c>
      <c r="T17" s="146">
        <v>0</v>
      </c>
      <c r="U17" s="146">
        <v>0</v>
      </c>
      <c r="V17" s="146">
        <v>0</v>
      </c>
      <c r="W17" s="146">
        <v>0</v>
      </c>
      <c r="X17" s="146">
        <v>0</v>
      </c>
      <c r="Y17" s="146">
        <v>0</v>
      </c>
      <c r="Z17" s="146">
        <v>0</v>
      </c>
      <c r="AA17" s="146">
        <v>0</v>
      </c>
      <c r="AB17" s="146">
        <v>0</v>
      </c>
      <c r="AC17" s="146">
        <v>0</v>
      </c>
      <c r="AD17" s="146">
        <v>0</v>
      </c>
      <c r="AE17" s="146">
        <v>0</v>
      </c>
      <c r="AF17" s="146">
        <v>0</v>
      </c>
      <c r="AG17" s="146">
        <v>0</v>
      </c>
      <c r="AH17" s="146">
        <v>0</v>
      </c>
      <c r="AI17" s="146">
        <v>0</v>
      </c>
      <c r="AJ17" s="146">
        <v>0</v>
      </c>
      <c r="AK17" s="146">
        <v>0</v>
      </c>
      <c r="AL17" s="146">
        <v>0</v>
      </c>
      <c r="AM17" s="146">
        <v>0</v>
      </c>
      <c r="AN17" s="146">
        <v>0</v>
      </c>
      <c r="AO17" s="146">
        <v>0</v>
      </c>
      <c r="AP17" s="146">
        <v>0</v>
      </c>
      <c r="AQ17" s="146">
        <v>0</v>
      </c>
      <c r="AR17" s="146">
        <v>0</v>
      </c>
      <c r="AS17" s="146">
        <v>0</v>
      </c>
      <c r="AT17" s="146">
        <v>0</v>
      </c>
      <c r="AU17" s="146">
        <v>0</v>
      </c>
      <c r="AV17" s="146">
        <v>0</v>
      </c>
      <c r="AW17" s="146">
        <v>0</v>
      </c>
      <c r="AX17" s="146">
        <v>0</v>
      </c>
      <c r="AY17" s="146">
        <v>0</v>
      </c>
      <c r="AZ17" s="146">
        <v>0</v>
      </c>
      <c r="BA17" s="146">
        <v>0</v>
      </c>
      <c r="BB17" s="146">
        <v>0</v>
      </c>
      <c r="BC17" s="146">
        <v>0</v>
      </c>
      <c r="BD17" s="146">
        <v>0</v>
      </c>
      <c r="BE17" s="146">
        <v>0</v>
      </c>
      <c r="BF17" s="146">
        <v>0</v>
      </c>
    </row>
    <row r="18" spans="1:58" customFormat="1" x14ac:dyDescent="0.15">
      <c r="A18" s="183" t="s">
        <v>208</v>
      </c>
      <c r="B18" s="146">
        <v>0</v>
      </c>
      <c r="C18" s="146">
        <v>0</v>
      </c>
      <c r="D18" s="146">
        <v>0</v>
      </c>
      <c r="E18" s="146">
        <v>0</v>
      </c>
      <c r="F18" s="146">
        <v>0</v>
      </c>
      <c r="G18" s="146">
        <v>0</v>
      </c>
      <c r="H18" s="146">
        <v>0</v>
      </c>
      <c r="I18" s="146">
        <v>0</v>
      </c>
      <c r="J18" s="146">
        <v>0</v>
      </c>
      <c r="K18" s="146">
        <v>0</v>
      </c>
      <c r="L18" s="146">
        <v>0</v>
      </c>
      <c r="M18" s="146">
        <v>0</v>
      </c>
      <c r="N18" s="146">
        <v>0</v>
      </c>
      <c r="O18" s="146">
        <v>0</v>
      </c>
      <c r="P18" s="146">
        <v>0</v>
      </c>
      <c r="Q18" s="146">
        <v>9.9999999999999978E-5</v>
      </c>
      <c r="R18" s="146">
        <v>0</v>
      </c>
      <c r="S18" s="146">
        <v>0</v>
      </c>
      <c r="T18" s="146">
        <v>0</v>
      </c>
      <c r="U18" s="146">
        <v>0</v>
      </c>
      <c r="V18" s="146">
        <v>0</v>
      </c>
      <c r="W18" s="146">
        <v>0</v>
      </c>
      <c r="X18" s="146">
        <v>0</v>
      </c>
      <c r="Y18" s="146">
        <v>0</v>
      </c>
      <c r="Z18" s="146">
        <v>0</v>
      </c>
      <c r="AA18" s="146">
        <v>0</v>
      </c>
      <c r="AB18" s="146">
        <v>0</v>
      </c>
      <c r="AC18" s="146">
        <v>0</v>
      </c>
      <c r="AD18" s="146">
        <v>0</v>
      </c>
      <c r="AE18" s="146">
        <v>0</v>
      </c>
      <c r="AF18" s="146">
        <v>0</v>
      </c>
      <c r="AG18" s="146">
        <v>0</v>
      </c>
      <c r="AH18" s="146">
        <v>0</v>
      </c>
      <c r="AI18" s="146">
        <v>0</v>
      </c>
      <c r="AJ18" s="146">
        <v>0</v>
      </c>
      <c r="AK18" s="146">
        <v>0</v>
      </c>
      <c r="AL18" s="146">
        <v>0</v>
      </c>
      <c r="AM18" s="146">
        <v>0</v>
      </c>
      <c r="AN18" s="146">
        <v>0</v>
      </c>
      <c r="AO18" s="146">
        <v>0</v>
      </c>
      <c r="AP18" s="146">
        <v>0</v>
      </c>
      <c r="AQ18" s="146">
        <v>0</v>
      </c>
      <c r="AR18" s="146">
        <v>0</v>
      </c>
      <c r="AS18" s="146">
        <v>0</v>
      </c>
      <c r="AT18" s="146">
        <v>0</v>
      </c>
      <c r="AU18" s="146">
        <v>0</v>
      </c>
      <c r="AV18" s="146">
        <v>0</v>
      </c>
      <c r="AW18" s="146">
        <v>0</v>
      </c>
      <c r="AX18" s="146">
        <v>0</v>
      </c>
      <c r="AY18" s="146">
        <v>0</v>
      </c>
      <c r="AZ18" s="146">
        <v>0</v>
      </c>
      <c r="BA18" s="146">
        <v>0</v>
      </c>
      <c r="BB18" s="146">
        <v>0</v>
      </c>
      <c r="BC18" s="146">
        <v>0</v>
      </c>
      <c r="BD18" s="146">
        <v>0</v>
      </c>
      <c r="BE18" s="146">
        <v>0</v>
      </c>
      <c r="BF18" s="146">
        <v>0</v>
      </c>
    </row>
    <row r="19" spans="1:58" customFormat="1" x14ac:dyDescent="0.15">
      <c r="A19" s="183" t="s">
        <v>209</v>
      </c>
      <c r="B19" s="146">
        <v>0</v>
      </c>
      <c r="C19" s="146">
        <v>0</v>
      </c>
      <c r="D19" s="146">
        <v>0</v>
      </c>
      <c r="E19" s="146">
        <v>0</v>
      </c>
      <c r="F19" s="146">
        <v>0</v>
      </c>
      <c r="G19" s="146">
        <v>0</v>
      </c>
      <c r="H19" s="146">
        <v>0</v>
      </c>
      <c r="I19" s="146">
        <v>0</v>
      </c>
      <c r="J19" s="146">
        <v>0</v>
      </c>
      <c r="K19" s="146">
        <v>0</v>
      </c>
      <c r="L19" s="146">
        <v>0</v>
      </c>
      <c r="M19" s="146">
        <v>0</v>
      </c>
      <c r="N19" s="146">
        <v>0</v>
      </c>
      <c r="O19" s="146">
        <v>0</v>
      </c>
      <c r="P19" s="146">
        <v>0</v>
      </c>
      <c r="Q19" s="146">
        <v>1.9999999999999997E-2</v>
      </c>
      <c r="R19" s="146">
        <v>0</v>
      </c>
      <c r="S19" s="146">
        <v>0</v>
      </c>
      <c r="T19" s="146">
        <v>0</v>
      </c>
      <c r="U19" s="146">
        <v>0</v>
      </c>
      <c r="V19" s="146">
        <v>0</v>
      </c>
      <c r="W19" s="146">
        <v>0</v>
      </c>
      <c r="X19" s="146">
        <v>0</v>
      </c>
      <c r="Y19" s="146">
        <v>0</v>
      </c>
      <c r="Z19" s="146">
        <v>0</v>
      </c>
      <c r="AA19" s="146">
        <v>0</v>
      </c>
      <c r="AB19" s="146">
        <v>0</v>
      </c>
      <c r="AC19" s="146">
        <v>0</v>
      </c>
      <c r="AD19" s="146">
        <v>0</v>
      </c>
      <c r="AE19" s="146">
        <v>0</v>
      </c>
      <c r="AF19" s="146">
        <v>0</v>
      </c>
      <c r="AG19" s="146">
        <v>0</v>
      </c>
      <c r="AH19" s="146">
        <v>0</v>
      </c>
      <c r="AI19" s="146">
        <v>0</v>
      </c>
      <c r="AJ19" s="146">
        <v>0</v>
      </c>
      <c r="AK19" s="146">
        <v>0</v>
      </c>
      <c r="AL19" s="146">
        <v>0</v>
      </c>
      <c r="AM19" s="146">
        <v>0</v>
      </c>
      <c r="AN19" s="146">
        <v>0</v>
      </c>
      <c r="AO19" s="146">
        <v>0</v>
      </c>
      <c r="AP19" s="146">
        <v>0</v>
      </c>
      <c r="AQ19" s="146">
        <v>0</v>
      </c>
      <c r="AR19" s="146">
        <v>0</v>
      </c>
      <c r="AS19" s="146">
        <v>0</v>
      </c>
      <c r="AT19" s="146">
        <v>0</v>
      </c>
      <c r="AU19" s="146">
        <v>0</v>
      </c>
      <c r="AV19" s="146">
        <v>0</v>
      </c>
      <c r="AW19" s="146">
        <v>0</v>
      </c>
      <c r="AX19" s="146">
        <v>0</v>
      </c>
      <c r="AY19" s="146">
        <v>0</v>
      </c>
      <c r="AZ19" s="146">
        <v>0</v>
      </c>
      <c r="BA19" s="146">
        <v>0</v>
      </c>
      <c r="BB19" s="146">
        <v>0</v>
      </c>
      <c r="BC19" s="146">
        <v>0</v>
      </c>
      <c r="BD19" s="146">
        <v>0</v>
      </c>
      <c r="BE19" s="146">
        <v>0</v>
      </c>
      <c r="BF19" s="146">
        <v>0</v>
      </c>
    </row>
    <row r="20" spans="1:58" customFormat="1" x14ac:dyDescent="0.15">
      <c r="A20" s="183" t="s">
        <v>210</v>
      </c>
      <c r="B20" s="146">
        <v>0</v>
      </c>
      <c r="C20" s="146">
        <v>0</v>
      </c>
      <c r="D20" s="146">
        <v>0</v>
      </c>
      <c r="E20" s="146">
        <v>0</v>
      </c>
      <c r="F20" s="146">
        <v>0</v>
      </c>
      <c r="G20" s="146">
        <v>0</v>
      </c>
      <c r="H20" s="146">
        <v>0</v>
      </c>
      <c r="I20" s="146">
        <v>0</v>
      </c>
      <c r="J20" s="146">
        <v>0</v>
      </c>
      <c r="K20" s="146">
        <v>0</v>
      </c>
      <c r="L20" s="146">
        <v>0</v>
      </c>
      <c r="M20" s="146">
        <v>0</v>
      </c>
      <c r="N20" s="146">
        <v>0</v>
      </c>
      <c r="O20" s="146">
        <v>0</v>
      </c>
      <c r="P20" s="146">
        <v>0</v>
      </c>
      <c r="Q20" s="146">
        <v>9.9999999999999978E-5</v>
      </c>
      <c r="R20" s="146">
        <v>0</v>
      </c>
      <c r="S20" s="146">
        <v>0</v>
      </c>
      <c r="T20" s="146">
        <v>0</v>
      </c>
      <c r="U20" s="146">
        <v>0</v>
      </c>
      <c r="V20" s="146">
        <v>0</v>
      </c>
      <c r="W20" s="146">
        <v>0</v>
      </c>
      <c r="X20" s="146">
        <v>0</v>
      </c>
      <c r="Y20" s="146">
        <v>0</v>
      </c>
      <c r="Z20" s="146">
        <v>0</v>
      </c>
      <c r="AA20" s="146">
        <v>0</v>
      </c>
      <c r="AB20" s="146">
        <v>0</v>
      </c>
      <c r="AC20" s="146">
        <v>0</v>
      </c>
      <c r="AD20" s="146">
        <v>0</v>
      </c>
      <c r="AE20" s="146">
        <v>0</v>
      </c>
      <c r="AF20" s="146">
        <v>0</v>
      </c>
      <c r="AG20" s="146">
        <v>0</v>
      </c>
      <c r="AH20" s="146">
        <v>0</v>
      </c>
      <c r="AI20" s="146">
        <v>0</v>
      </c>
      <c r="AJ20" s="146">
        <v>0</v>
      </c>
      <c r="AK20" s="146">
        <v>0</v>
      </c>
      <c r="AL20" s="146">
        <v>0</v>
      </c>
      <c r="AM20" s="146">
        <v>0</v>
      </c>
      <c r="AN20" s="146">
        <v>0</v>
      </c>
      <c r="AO20" s="146">
        <v>0</v>
      </c>
      <c r="AP20" s="146">
        <v>0</v>
      </c>
      <c r="AQ20" s="146">
        <v>0</v>
      </c>
      <c r="AR20" s="146">
        <v>0</v>
      </c>
      <c r="AS20" s="146">
        <v>0</v>
      </c>
      <c r="AT20" s="146">
        <v>0</v>
      </c>
      <c r="AU20" s="146">
        <v>0</v>
      </c>
      <c r="AV20" s="146">
        <v>0</v>
      </c>
      <c r="AW20" s="146">
        <v>0</v>
      </c>
      <c r="AX20" s="146">
        <v>0</v>
      </c>
      <c r="AY20" s="146">
        <v>0</v>
      </c>
      <c r="AZ20" s="146">
        <v>0</v>
      </c>
      <c r="BA20" s="146">
        <v>0</v>
      </c>
      <c r="BB20" s="146">
        <v>0</v>
      </c>
      <c r="BC20" s="146">
        <v>0</v>
      </c>
      <c r="BD20" s="146">
        <v>0</v>
      </c>
      <c r="BE20" s="146">
        <v>0</v>
      </c>
      <c r="BF20" s="146">
        <v>0</v>
      </c>
    </row>
    <row r="21" spans="1:58" customFormat="1" x14ac:dyDescent="0.15">
      <c r="A21" s="183" t="s">
        <v>211</v>
      </c>
      <c r="B21" s="146">
        <v>0</v>
      </c>
      <c r="C21" s="146">
        <v>0</v>
      </c>
      <c r="D21" s="146">
        <v>0</v>
      </c>
      <c r="E21" s="146">
        <v>0</v>
      </c>
      <c r="F21" s="146">
        <v>0</v>
      </c>
      <c r="G21" s="146">
        <v>0</v>
      </c>
      <c r="H21" s="146">
        <v>0</v>
      </c>
      <c r="I21" s="146">
        <v>0</v>
      </c>
      <c r="J21" s="146">
        <v>0</v>
      </c>
      <c r="K21" s="146">
        <v>0</v>
      </c>
      <c r="L21" s="146">
        <v>0</v>
      </c>
      <c r="M21" s="146">
        <v>0</v>
      </c>
      <c r="N21" s="146">
        <v>0</v>
      </c>
      <c r="O21" s="146">
        <v>0</v>
      </c>
      <c r="P21" s="146">
        <v>0</v>
      </c>
      <c r="Q21" s="146">
        <v>0</v>
      </c>
      <c r="R21" s="146">
        <v>0</v>
      </c>
      <c r="S21" s="146">
        <v>0</v>
      </c>
      <c r="T21" s="146">
        <v>0</v>
      </c>
      <c r="U21" s="146">
        <v>0</v>
      </c>
      <c r="V21" s="146">
        <v>0</v>
      </c>
      <c r="W21" s="146">
        <v>0</v>
      </c>
      <c r="X21" s="146">
        <v>0</v>
      </c>
      <c r="Y21" s="146">
        <v>0</v>
      </c>
      <c r="Z21" s="146">
        <v>0</v>
      </c>
      <c r="AA21" s="146">
        <v>0</v>
      </c>
      <c r="AB21" s="146">
        <v>0</v>
      </c>
      <c r="AC21" s="146">
        <v>0</v>
      </c>
      <c r="AD21" s="146">
        <v>0</v>
      </c>
      <c r="AE21" s="146">
        <v>0</v>
      </c>
      <c r="AF21" s="146">
        <v>0</v>
      </c>
      <c r="AG21" s="146">
        <v>0</v>
      </c>
      <c r="AH21" s="146">
        <v>0</v>
      </c>
      <c r="AI21" s="146">
        <v>0</v>
      </c>
      <c r="AJ21" s="146">
        <v>0</v>
      </c>
      <c r="AK21" s="146">
        <v>0</v>
      </c>
      <c r="AL21" s="146">
        <v>0</v>
      </c>
      <c r="AM21" s="146">
        <v>0</v>
      </c>
      <c r="AN21" s="146">
        <v>0</v>
      </c>
      <c r="AO21" s="146">
        <v>0</v>
      </c>
      <c r="AP21" s="146">
        <v>0</v>
      </c>
      <c r="AQ21" s="146">
        <v>0</v>
      </c>
      <c r="AR21" s="146">
        <v>0</v>
      </c>
      <c r="AS21" s="146">
        <v>0</v>
      </c>
      <c r="AT21" s="146">
        <v>0</v>
      </c>
      <c r="AU21" s="146">
        <v>0</v>
      </c>
      <c r="AV21" s="146">
        <v>0</v>
      </c>
      <c r="AW21" s="146">
        <v>0</v>
      </c>
      <c r="AX21" s="146">
        <v>0</v>
      </c>
      <c r="AY21" s="146">
        <v>0</v>
      </c>
      <c r="AZ21" s="146">
        <v>0</v>
      </c>
      <c r="BA21" s="146">
        <v>0</v>
      </c>
      <c r="BB21" s="146">
        <v>0</v>
      </c>
      <c r="BC21" s="146">
        <v>0</v>
      </c>
      <c r="BD21" s="146">
        <v>0</v>
      </c>
      <c r="BE21" s="146">
        <v>0</v>
      </c>
      <c r="BF21" s="146">
        <v>0</v>
      </c>
    </row>
    <row r="22" spans="1:58" customFormat="1" x14ac:dyDescent="0.15">
      <c r="A22" s="183" t="s">
        <v>212</v>
      </c>
      <c r="B22" s="146">
        <v>0</v>
      </c>
      <c r="C22" s="146">
        <v>0</v>
      </c>
      <c r="D22" s="146">
        <v>0</v>
      </c>
      <c r="E22" s="146">
        <v>0</v>
      </c>
      <c r="F22" s="146">
        <v>0</v>
      </c>
      <c r="G22" s="146">
        <v>0</v>
      </c>
      <c r="H22" s="146">
        <v>0</v>
      </c>
      <c r="I22" s="146">
        <v>0</v>
      </c>
      <c r="J22" s="146">
        <v>0</v>
      </c>
      <c r="K22" s="146">
        <v>0</v>
      </c>
      <c r="L22" s="146">
        <v>0</v>
      </c>
      <c r="M22" s="146">
        <v>0</v>
      </c>
      <c r="N22" s="146">
        <v>0</v>
      </c>
      <c r="O22" s="146">
        <v>0</v>
      </c>
      <c r="P22" s="146">
        <v>0</v>
      </c>
      <c r="Q22" s="146">
        <v>0</v>
      </c>
      <c r="R22" s="146">
        <v>0</v>
      </c>
      <c r="S22" s="146">
        <v>0</v>
      </c>
      <c r="T22" s="146">
        <v>0</v>
      </c>
      <c r="U22" s="146">
        <v>0</v>
      </c>
      <c r="V22" s="146">
        <v>0</v>
      </c>
      <c r="W22" s="146">
        <v>0</v>
      </c>
      <c r="X22" s="146">
        <v>0</v>
      </c>
      <c r="Y22" s="146">
        <v>0</v>
      </c>
      <c r="Z22" s="146">
        <v>0</v>
      </c>
      <c r="AA22" s="146">
        <v>0</v>
      </c>
      <c r="AB22" s="146">
        <v>0</v>
      </c>
      <c r="AC22" s="146">
        <v>0</v>
      </c>
      <c r="AD22" s="146">
        <v>0</v>
      </c>
      <c r="AE22" s="146">
        <v>0</v>
      </c>
      <c r="AF22" s="146">
        <v>0</v>
      </c>
      <c r="AG22" s="146">
        <v>0</v>
      </c>
      <c r="AH22" s="146">
        <v>0</v>
      </c>
      <c r="AI22" s="146">
        <v>0</v>
      </c>
      <c r="AJ22" s="146">
        <v>0</v>
      </c>
      <c r="AK22" s="146">
        <v>0</v>
      </c>
      <c r="AL22" s="146">
        <v>0</v>
      </c>
      <c r="AM22" s="146">
        <v>0</v>
      </c>
      <c r="AN22" s="146">
        <v>0</v>
      </c>
      <c r="AO22" s="146">
        <v>0</v>
      </c>
      <c r="AP22" s="146">
        <v>0</v>
      </c>
      <c r="AQ22" s="146">
        <v>0</v>
      </c>
      <c r="AR22" s="146">
        <v>0</v>
      </c>
      <c r="AS22" s="146">
        <v>0</v>
      </c>
      <c r="AT22" s="146">
        <v>0</v>
      </c>
      <c r="AU22" s="146">
        <v>0</v>
      </c>
      <c r="AV22" s="146">
        <v>0</v>
      </c>
      <c r="AW22" s="146">
        <v>0</v>
      </c>
      <c r="AX22" s="146">
        <v>0</v>
      </c>
      <c r="AY22" s="146">
        <v>0</v>
      </c>
      <c r="AZ22" s="146">
        <v>0</v>
      </c>
      <c r="BA22" s="146">
        <v>0</v>
      </c>
      <c r="BB22" s="146">
        <v>0</v>
      </c>
      <c r="BC22" s="146">
        <v>0</v>
      </c>
      <c r="BD22" s="146">
        <v>0</v>
      </c>
      <c r="BE22" s="146">
        <v>0</v>
      </c>
      <c r="BF22" s="146">
        <v>0</v>
      </c>
    </row>
    <row r="23" spans="1:58" customFormat="1" x14ac:dyDescent="0.15">
      <c r="A23" s="183" t="s">
        <v>213</v>
      </c>
      <c r="B23" s="146">
        <v>0</v>
      </c>
      <c r="C23" s="146">
        <v>0</v>
      </c>
      <c r="D23" s="146">
        <v>0</v>
      </c>
      <c r="E23" s="146">
        <v>0</v>
      </c>
      <c r="F23" s="146">
        <v>0</v>
      </c>
      <c r="G23" s="146">
        <v>0</v>
      </c>
      <c r="H23" s="146">
        <v>0</v>
      </c>
      <c r="I23" s="146">
        <v>0</v>
      </c>
      <c r="J23" s="146">
        <v>0</v>
      </c>
      <c r="K23" s="146">
        <v>0</v>
      </c>
      <c r="L23" s="146">
        <v>0</v>
      </c>
      <c r="M23" s="146">
        <v>0</v>
      </c>
      <c r="N23" s="146">
        <v>0</v>
      </c>
      <c r="O23" s="146">
        <v>0</v>
      </c>
      <c r="P23" s="146">
        <v>0</v>
      </c>
      <c r="Q23" s="146">
        <v>4.9999999999999989E-2</v>
      </c>
      <c r="R23" s="146">
        <v>0</v>
      </c>
      <c r="S23" s="146">
        <v>0</v>
      </c>
      <c r="T23" s="146">
        <v>0</v>
      </c>
      <c r="U23" s="146">
        <v>3.3000000000000002E-2</v>
      </c>
      <c r="V23" s="146">
        <v>0</v>
      </c>
      <c r="W23" s="146">
        <v>0</v>
      </c>
      <c r="X23" s="146">
        <v>0</v>
      </c>
      <c r="Y23" s="146">
        <v>0</v>
      </c>
      <c r="Z23" s="146">
        <v>0</v>
      </c>
      <c r="AA23" s="146">
        <v>0</v>
      </c>
      <c r="AB23" s="146">
        <v>0</v>
      </c>
      <c r="AC23" s="146">
        <v>0</v>
      </c>
      <c r="AD23" s="146">
        <v>0</v>
      </c>
      <c r="AE23" s="146">
        <v>0</v>
      </c>
      <c r="AF23" s="146">
        <v>0</v>
      </c>
      <c r="AG23" s="146">
        <v>0</v>
      </c>
      <c r="AH23" s="146">
        <v>0</v>
      </c>
      <c r="AI23" s="146">
        <v>0</v>
      </c>
      <c r="AJ23" s="146">
        <v>0</v>
      </c>
      <c r="AK23" s="146">
        <v>0</v>
      </c>
      <c r="AL23" s="146">
        <v>0</v>
      </c>
      <c r="AM23" s="146">
        <v>0</v>
      </c>
      <c r="AN23" s="146">
        <v>0</v>
      </c>
      <c r="AO23" s="146">
        <v>0</v>
      </c>
      <c r="AP23" s="146">
        <v>0</v>
      </c>
      <c r="AQ23" s="146">
        <v>0</v>
      </c>
      <c r="AR23" s="146">
        <v>0</v>
      </c>
      <c r="AS23" s="146">
        <v>0</v>
      </c>
      <c r="AT23" s="146">
        <v>0</v>
      </c>
      <c r="AU23" s="146">
        <v>0</v>
      </c>
      <c r="AV23" s="146">
        <v>0</v>
      </c>
      <c r="AW23" s="146">
        <v>0</v>
      </c>
      <c r="AX23" s="146">
        <v>0</v>
      </c>
      <c r="AY23" s="146">
        <v>0</v>
      </c>
      <c r="AZ23" s="146">
        <v>0</v>
      </c>
      <c r="BA23" s="146">
        <v>0</v>
      </c>
      <c r="BB23" s="146">
        <v>0</v>
      </c>
      <c r="BC23" s="146">
        <v>0</v>
      </c>
      <c r="BD23" s="146">
        <v>0</v>
      </c>
      <c r="BE23" s="146">
        <v>0</v>
      </c>
      <c r="BF23" s="146">
        <v>0</v>
      </c>
    </row>
    <row r="24" spans="1:58" customFormat="1" x14ac:dyDescent="0.15">
      <c r="A24" s="183" t="s">
        <v>214</v>
      </c>
      <c r="B24" s="146">
        <v>0</v>
      </c>
      <c r="C24" s="146">
        <v>0.02</v>
      </c>
      <c r="D24" s="146">
        <v>0</v>
      </c>
      <c r="E24" s="146">
        <v>0</v>
      </c>
      <c r="F24" s="146">
        <v>0</v>
      </c>
      <c r="G24" s="146">
        <v>0.02</v>
      </c>
      <c r="H24" s="146">
        <v>0</v>
      </c>
      <c r="I24" s="146">
        <v>0</v>
      </c>
      <c r="J24" s="146">
        <v>0</v>
      </c>
      <c r="K24" s="146">
        <v>0</v>
      </c>
      <c r="L24" s="146">
        <v>0</v>
      </c>
      <c r="M24" s="146">
        <v>0</v>
      </c>
      <c r="N24" s="146">
        <v>0</v>
      </c>
      <c r="O24" s="146">
        <v>0</v>
      </c>
      <c r="P24" s="146">
        <v>0</v>
      </c>
      <c r="Q24" s="146">
        <v>0</v>
      </c>
      <c r="R24" s="146">
        <v>0</v>
      </c>
      <c r="S24" s="146">
        <v>1.9999999999999997E-2</v>
      </c>
      <c r="T24" s="146">
        <v>0</v>
      </c>
      <c r="U24" s="146">
        <v>0</v>
      </c>
      <c r="V24" s="146">
        <v>0</v>
      </c>
      <c r="W24" s="146">
        <v>1.7000000000000001E-2</v>
      </c>
      <c r="X24" s="146">
        <v>0</v>
      </c>
      <c r="Y24" s="146">
        <v>0</v>
      </c>
      <c r="Z24" s="146">
        <v>0</v>
      </c>
      <c r="AA24" s="146">
        <v>0</v>
      </c>
      <c r="AB24" s="146">
        <v>0</v>
      </c>
      <c r="AC24" s="146">
        <v>0</v>
      </c>
      <c r="AD24" s="146">
        <v>0</v>
      </c>
      <c r="AE24" s="146">
        <v>0</v>
      </c>
      <c r="AF24" s="146">
        <v>0</v>
      </c>
      <c r="AG24" s="146">
        <v>0</v>
      </c>
      <c r="AH24" s="146">
        <v>0</v>
      </c>
      <c r="AI24" s="146">
        <v>0</v>
      </c>
      <c r="AJ24" s="146">
        <v>0</v>
      </c>
      <c r="AK24" s="146">
        <v>0</v>
      </c>
      <c r="AL24" s="146">
        <v>0</v>
      </c>
      <c r="AM24" s="146">
        <v>0</v>
      </c>
      <c r="AN24" s="146">
        <v>0</v>
      </c>
      <c r="AO24" s="146">
        <v>0</v>
      </c>
      <c r="AP24" s="146">
        <v>0</v>
      </c>
      <c r="AQ24" s="146">
        <v>0</v>
      </c>
      <c r="AR24" s="146">
        <v>0</v>
      </c>
      <c r="AS24" s="146">
        <v>0</v>
      </c>
      <c r="AT24" s="146">
        <v>0</v>
      </c>
      <c r="AU24" s="146">
        <v>0</v>
      </c>
      <c r="AV24" s="146">
        <v>0</v>
      </c>
      <c r="AW24" s="146">
        <v>0</v>
      </c>
      <c r="AX24" s="146">
        <v>0</v>
      </c>
      <c r="AY24" s="146">
        <v>0</v>
      </c>
      <c r="AZ24" s="146">
        <v>0</v>
      </c>
      <c r="BA24" s="146">
        <v>0</v>
      </c>
      <c r="BB24" s="146">
        <v>0</v>
      </c>
      <c r="BC24" s="146">
        <v>0</v>
      </c>
      <c r="BD24" s="146">
        <v>0</v>
      </c>
      <c r="BE24" s="146">
        <v>0</v>
      </c>
      <c r="BF24" s="146">
        <v>0</v>
      </c>
    </row>
    <row r="25" spans="1:58" customFormat="1" x14ac:dyDescent="0.15">
      <c r="A25" s="183" t="s">
        <v>215</v>
      </c>
      <c r="B25" s="146">
        <v>0</v>
      </c>
      <c r="C25" s="146">
        <v>0.01</v>
      </c>
      <c r="D25" s="146">
        <v>0</v>
      </c>
      <c r="E25" s="146">
        <v>0</v>
      </c>
      <c r="F25" s="146">
        <v>1E-3</v>
      </c>
      <c r="G25" s="146">
        <v>0</v>
      </c>
      <c r="H25" s="146">
        <v>0</v>
      </c>
      <c r="I25" s="146">
        <v>0</v>
      </c>
      <c r="J25" s="146">
        <v>0</v>
      </c>
      <c r="K25" s="146">
        <v>0</v>
      </c>
      <c r="L25" s="146">
        <v>0</v>
      </c>
      <c r="M25" s="146">
        <v>0</v>
      </c>
      <c r="N25" s="146">
        <v>0</v>
      </c>
      <c r="O25" s="146">
        <v>0</v>
      </c>
      <c r="P25" s="146">
        <v>0</v>
      </c>
      <c r="Q25" s="146">
        <v>9.9999999999999985E-3</v>
      </c>
      <c r="R25" s="146">
        <v>0</v>
      </c>
      <c r="S25" s="146">
        <v>4.9999999999999989E-2</v>
      </c>
      <c r="T25" s="146">
        <v>0.1</v>
      </c>
      <c r="U25" s="146">
        <v>0.1</v>
      </c>
      <c r="V25" s="146">
        <v>1.9999999999999997E-2</v>
      </c>
      <c r="W25" s="146">
        <v>0</v>
      </c>
      <c r="X25" s="146">
        <v>0</v>
      </c>
      <c r="Y25" s="146">
        <v>0</v>
      </c>
      <c r="Z25" s="146">
        <v>0</v>
      </c>
      <c r="AA25" s="146">
        <v>0</v>
      </c>
      <c r="AB25" s="146">
        <v>0</v>
      </c>
      <c r="AC25" s="146">
        <v>0</v>
      </c>
      <c r="AD25" s="146">
        <v>0</v>
      </c>
      <c r="AE25" s="146">
        <v>0</v>
      </c>
      <c r="AF25" s="146">
        <v>0</v>
      </c>
      <c r="AG25" s="146">
        <v>0</v>
      </c>
      <c r="AH25" s="146">
        <v>0</v>
      </c>
      <c r="AI25" s="146">
        <v>0</v>
      </c>
      <c r="AJ25" s="146">
        <v>0</v>
      </c>
      <c r="AK25" s="146">
        <v>0</v>
      </c>
      <c r="AL25" s="146">
        <v>0</v>
      </c>
      <c r="AM25" s="146">
        <v>0</v>
      </c>
      <c r="AN25" s="146">
        <v>0</v>
      </c>
      <c r="AO25" s="146">
        <v>0</v>
      </c>
      <c r="AP25" s="146">
        <v>0</v>
      </c>
      <c r="AQ25" s="146">
        <v>0</v>
      </c>
      <c r="AR25" s="146">
        <v>0</v>
      </c>
      <c r="AS25" s="146">
        <v>0</v>
      </c>
      <c r="AT25" s="146">
        <v>0</v>
      </c>
      <c r="AU25" s="146">
        <v>0</v>
      </c>
      <c r="AV25" s="146">
        <v>0</v>
      </c>
      <c r="AW25" s="146">
        <v>0</v>
      </c>
      <c r="AX25" s="146">
        <v>0</v>
      </c>
      <c r="AY25" s="146">
        <v>0</v>
      </c>
      <c r="AZ25" s="146">
        <v>0</v>
      </c>
      <c r="BA25" s="146">
        <v>0</v>
      </c>
      <c r="BB25" s="146">
        <v>0</v>
      </c>
      <c r="BC25" s="146">
        <v>0</v>
      </c>
      <c r="BD25" s="146">
        <v>0</v>
      </c>
      <c r="BE25" s="146">
        <v>0</v>
      </c>
      <c r="BF25" s="146">
        <v>0</v>
      </c>
    </row>
    <row r="26" spans="1:58" customFormat="1" x14ac:dyDescent="0.15">
      <c r="A26" s="183" t="s">
        <v>216</v>
      </c>
      <c r="B26" s="146">
        <v>0</v>
      </c>
      <c r="C26" s="146">
        <v>0.01</v>
      </c>
      <c r="D26" s="146">
        <v>0</v>
      </c>
      <c r="E26" s="146">
        <v>0</v>
      </c>
      <c r="F26" s="146">
        <v>1E-3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6">
        <v>0</v>
      </c>
      <c r="M26" s="146">
        <v>0</v>
      </c>
      <c r="N26" s="146">
        <v>0</v>
      </c>
      <c r="O26" s="146">
        <v>0</v>
      </c>
      <c r="P26" s="146">
        <v>0</v>
      </c>
      <c r="Q26" s="146">
        <v>1.9999999999999997E-2</v>
      </c>
      <c r="R26" s="146">
        <v>0</v>
      </c>
      <c r="S26" s="146">
        <v>4.9999999999999989E-2</v>
      </c>
      <c r="T26" s="146">
        <v>0.15</v>
      </c>
      <c r="U26" s="146">
        <v>0.16700000000000001</v>
      </c>
      <c r="V26" s="146">
        <v>2.9999999999999992E-2</v>
      </c>
      <c r="W26" s="146">
        <v>0</v>
      </c>
      <c r="X26" s="146">
        <v>0</v>
      </c>
      <c r="Y26" s="146">
        <v>0</v>
      </c>
      <c r="Z26" s="146">
        <v>0</v>
      </c>
      <c r="AA26" s="146">
        <v>0</v>
      </c>
      <c r="AB26" s="146">
        <v>0</v>
      </c>
      <c r="AC26" s="146">
        <v>0</v>
      </c>
      <c r="AD26" s="146">
        <v>0</v>
      </c>
      <c r="AE26" s="146">
        <v>0</v>
      </c>
      <c r="AF26" s="146">
        <v>0</v>
      </c>
      <c r="AG26" s="146">
        <v>0</v>
      </c>
      <c r="AH26" s="146">
        <v>0</v>
      </c>
      <c r="AI26" s="146">
        <v>0</v>
      </c>
      <c r="AJ26" s="146">
        <v>0</v>
      </c>
      <c r="AK26" s="146">
        <v>0</v>
      </c>
      <c r="AL26" s="146">
        <v>0</v>
      </c>
      <c r="AM26" s="146">
        <v>0</v>
      </c>
      <c r="AN26" s="146">
        <v>0</v>
      </c>
      <c r="AO26" s="146">
        <v>0</v>
      </c>
      <c r="AP26" s="146">
        <v>0</v>
      </c>
      <c r="AQ26" s="146">
        <v>0</v>
      </c>
      <c r="AR26" s="146">
        <v>0</v>
      </c>
      <c r="AS26" s="146">
        <v>0</v>
      </c>
      <c r="AT26" s="146">
        <v>0</v>
      </c>
      <c r="AU26" s="146">
        <v>0</v>
      </c>
      <c r="AV26" s="146">
        <v>0</v>
      </c>
      <c r="AW26" s="146">
        <v>0</v>
      </c>
      <c r="AX26" s="146">
        <v>0</v>
      </c>
      <c r="AY26" s="146">
        <v>0</v>
      </c>
      <c r="AZ26" s="146">
        <v>0</v>
      </c>
      <c r="BA26" s="146">
        <v>0</v>
      </c>
      <c r="BB26" s="146">
        <v>0</v>
      </c>
      <c r="BC26" s="146">
        <v>0</v>
      </c>
      <c r="BD26" s="146">
        <v>0</v>
      </c>
      <c r="BE26" s="146">
        <v>0</v>
      </c>
      <c r="BF26" s="146">
        <v>0</v>
      </c>
    </row>
    <row r="27" spans="1:58" customFormat="1" x14ac:dyDescent="0.15">
      <c r="A27" s="183" t="s">
        <v>217</v>
      </c>
      <c r="B27" s="146">
        <v>0</v>
      </c>
      <c r="C27" s="146">
        <v>0.01</v>
      </c>
      <c r="D27" s="146">
        <v>0</v>
      </c>
      <c r="E27" s="146">
        <v>0</v>
      </c>
      <c r="F27" s="146">
        <v>0</v>
      </c>
      <c r="G27" s="146">
        <v>0</v>
      </c>
      <c r="H27" s="146">
        <v>0</v>
      </c>
      <c r="I27" s="146">
        <v>0</v>
      </c>
      <c r="J27" s="146">
        <v>0</v>
      </c>
      <c r="K27" s="146">
        <v>0</v>
      </c>
      <c r="L27" s="146">
        <v>0</v>
      </c>
      <c r="M27" s="146">
        <v>0</v>
      </c>
      <c r="N27" s="146">
        <v>0</v>
      </c>
      <c r="O27" s="146">
        <v>0</v>
      </c>
      <c r="P27" s="146">
        <v>0</v>
      </c>
      <c r="Q27" s="146">
        <v>3.9999999999999994E-2</v>
      </c>
      <c r="R27" s="146">
        <v>0</v>
      </c>
      <c r="S27" s="146">
        <v>3.1999999999999994E-2</v>
      </c>
      <c r="T27" s="146">
        <v>0.1</v>
      </c>
      <c r="U27" s="146">
        <v>0.3</v>
      </c>
      <c r="V27" s="146">
        <v>4.9999999999999989E-2</v>
      </c>
      <c r="W27" s="146">
        <v>0</v>
      </c>
      <c r="X27" s="146">
        <v>0</v>
      </c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46">
        <v>0</v>
      </c>
      <c r="AE27" s="146">
        <v>0</v>
      </c>
      <c r="AF27" s="146">
        <v>0</v>
      </c>
      <c r="AG27" s="146">
        <v>0</v>
      </c>
      <c r="AH27" s="146">
        <v>0</v>
      </c>
      <c r="AI27" s="146">
        <v>0</v>
      </c>
      <c r="AJ27" s="146">
        <v>0</v>
      </c>
      <c r="AK27" s="146">
        <v>0</v>
      </c>
      <c r="AL27" s="146">
        <v>0</v>
      </c>
      <c r="AM27" s="146">
        <v>0</v>
      </c>
      <c r="AN27" s="146">
        <v>0</v>
      </c>
      <c r="AO27" s="146">
        <v>0</v>
      </c>
      <c r="AP27" s="146">
        <v>0</v>
      </c>
      <c r="AQ27" s="146">
        <v>0</v>
      </c>
      <c r="AR27" s="146">
        <v>0</v>
      </c>
      <c r="AS27" s="146">
        <v>0</v>
      </c>
      <c r="AT27" s="146">
        <v>0</v>
      </c>
      <c r="AU27" s="146">
        <v>0</v>
      </c>
      <c r="AV27" s="146">
        <v>0</v>
      </c>
      <c r="AW27" s="146">
        <v>0</v>
      </c>
      <c r="AX27" s="146">
        <v>0</v>
      </c>
      <c r="AY27" s="146">
        <v>0</v>
      </c>
      <c r="AZ27" s="146">
        <v>0</v>
      </c>
      <c r="BA27" s="146">
        <v>0</v>
      </c>
      <c r="BB27" s="146">
        <v>0</v>
      </c>
      <c r="BC27" s="146">
        <v>0</v>
      </c>
      <c r="BD27" s="146">
        <v>0</v>
      </c>
      <c r="BE27" s="146">
        <v>0</v>
      </c>
      <c r="BF27" s="146">
        <v>0</v>
      </c>
    </row>
    <row r="28" spans="1:58" customFormat="1" x14ac:dyDescent="0.15">
      <c r="A28" s="183" t="s">
        <v>218</v>
      </c>
      <c r="B28" s="146">
        <v>0</v>
      </c>
      <c r="C28" s="146">
        <v>0</v>
      </c>
      <c r="D28" s="146">
        <v>0</v>
      </c>
      <c r="E28" s="146">
        <v>0</v>
      </c>
      <c r="F28" s="146">
        <v>0</v>
      </c>
      <c r="G28" s="146">
        <v>0</v>
      </c>
      <c r="H28" s="146">
        <v>0</v>
      </c>
      <c r="I28" s="146">
        <v>0</v>
      </c>
      <c r="J28" s="146">
        <v>0</v>
      </c>
      <c r="K28" s="146">
        <v>0</v>
      </c>
      <c r="L28" s="146">
        <v>0</v>
      </c>
      <c r="M28" s="146">
        <v>0</v>
      </c>
      <c r="N28" s="146">
        <v>0</v>
      </c>
      <c r="O28" s="146">
        <v>0</v>
      </c>
      <c r="P28" s="146">
        <v>0</v>
      </c>
      <c r="Q28" s="146">
        <v>4.9999999999999992E-3</v>
      </c>
      <c r="R28" s="146">
        <v>0</v>
      </c>
      <c r="S28" s="146">
        <v>4.9999999999999989E-2</v>
      </c>
      <c r="T28" s="146">
        <v>0.1</v>
      </c>
      <c r="U28" s="146">
        <v>8.6999999999999994E-2</v>
      </c>
      <c r="V28" s="146">
        <v>4.9999999999999992E-3</v>
      </c>
      <c r="W28" s="146">
        <v>1E-3</v>
      </c>
      <c r="X28" s="146">
        <v>0</v>
      </c>
      <c r="Y28" s="146">
        <v>0</v>
      </c>
      <c r="Z28" s="146">
        <v>0</v>
      </c>
      <c r="AA28" s="146">
        <v>0</v>
      </c>
      <c r="AB28" s="146">
        <v>0</v>
      </c>
      <c r="AC28" s="146">
        <v>0</v>
      </c>
      <c r="AD28" s="146">
        <v>0</v>
      </c>
      <c r="AE28" s="146">
        <v>0</v>
      </c>
      <c r="AF28" s="146">
        <v>0</v>
      </c>
      <c r="AG28" s="146">
        <v>0</v>
      </c>
      <c r="AH28" s="146">
        <v>0</v>
      </c>
      <c r="AI28" s="146">
        <v>0</v>
      </c>
      <c r="AJ28" s="146">
        <v>0</v>
      </c>
      <c r="AK28" s="146">
        <v>0</v>
      </c>
      <c r="AL28" s="146">
        <v>0</v>
      </c>
      <c r="AM28" s="146">
        <v>0</v>
      </c>
      <c r="AN28" s="146">
        <v>0</v>
      </c>
      <c r="AO28" s="146">
        <v>0</v>
      </c>
      <c r="AP28" s="146">
        <v>0</v>
      </c>
      <c r="AQ28" s="146">
        <v>0</v>
      </c>
      <c r="AR28" s="146">
        <v>0</v>
      </c>
      <c r="AS28" s="146">
        <v>0</v>
      </c>
      <c r="AT28" s="146">
        <v>0</v>
      </c>
      <c r="AU28" s="146">
        <v>0</v>
      </c>
      <c r="AV28" s="146">
        <v>0</v>
      </c>
      <c r="AW28" s="146">
        <v>0</v>
      </c>
      <c r="AX28" s="146">
        <v>0</v>
      </c>
      <c r="AY28" s="146">
        <v>0</v>
      </c>
      <c r="AZ28" s="146">
        <v>0</v>
      </c>
      <c r="BA28" s="146">
        <v>0</v>
      </c>
      <c r="BB28" s="146">
        <v>0</v>
      </c>
      <c r="BC28" s="146">
        <v>0</v>
      </c>
      <c r="BD28" s="146">
        <v>0</v>
      </c>
      <c r="BE28" s="146">
        <v>0</v>
      </c>
      <c r="BF28" s="146">
        <v>0</v>
      </c>
    </row>
    <row r="29" spans="1:58" customFormat="1" x14ac:dyDescent="0.15">
      <c r="A29" s="183" t="s">
        <v>219</v>
      </c>
      <c r="B29" s="146">
        <v>0</v>
      </c>
      <c r="C29" s="146">
        <v>0</v>
      </c>
      <c r="D29" s="146">
        <v>0</v>
      </c>
      <c r="E29" s="146">
        <v>0</v>
      </c>
      <c r="F29" s="146">
        <v>0</v>
      </c>
      <c r="G29" s="146">
        <v>0</v>
      </c>
      <c r="H29" s="146">
        <v>0</v>
      </c>
      <c r="I29" s="146">
        <v>0</v>
      </c>
      <c r="J29" s="146">
        <v>0</v>
      </c>
      <c r="K29" s="146">
        <v>0</v>
      </c>
      <c r="L29" s="146">
        <v>0</v>
      </c>
      <c r="M29" s="146">
        <v>0</v>
      </c>
      <c r="N29" s="146">
        <v>0</v>
      </c>
      <c r="O29" s="146">
        <v>0</v>
      </c>
      <c r="P29" s="146">
        <v>0</v>
      </c>
      <c r="Q29" s="146">
        <v>4.9999999999999992E-3</v>
      </c>
      <c r="R29" s="146">
        <v>0</v>
      </c>
      <c r="S29" s="146">
        <v>4.9999999999999989E-2</v>
      </c>
      <c r="T29" s="146">
        <v>0.1</v>
      </c>
      <c r="U29" s="146">
        <v>1.2999999999999999E-2</v>
      </c>
      <c r="V29" s="146">
        <v>4.9999999999999992E-3</v>
      </c>
      <c r="W29" s="146">
        <v>1E-3</v>
      </c>
      <c r="X29" s="146">
        <v>0</v>
      </c>
      <c r="Y29" s="146">
        <v>0</v>
      </c>
      <c r="Z29" s="146">
        <v>0</v>
      </c>
      <c r="AA29" s="146">
        <v>0</v>
      </c>
      <c r="AB29" s="146">
        <v>0</v>
      </c>
      <c r="AC29" s="146">
        <v>0</v>
      </c>
      <c r="AD29" s="146">
        <v>0</v>
      </c>
      <c r="AE29" s="146">
        <v>0</v>
      </c>
      <c r="AF29" s="146">
        <v>0</v>
      </c>
      <c r="AG29" s="146">
        <v>0</v>
      </c>
      <c r="AH29" s="146">
        <v>0</v>
      </c>
      <c r="AI29" s="146">
        <v>0</v>
      </c>
      <c r="AJ29" s="146">
        <v>0</v>
      </c>
      <c r="AK29" s="146">
        <v>0</v>
      </c>
      <c r="AL29" s="146">
        <v>0</v>
      </c>
      <c r="AM29" s="146">
        <v>0</v>
      </c>
      <c r="AN29" s="146">
        <v>0</v>
      </c>
      <c r="AO29" s="146">
        <v>0</v>
      </c>
      <c r="AP29" s="146">
        <v>0</v>
      </c>
      <c r="AQ29" s="146">
        <v>0</v>
      </c>
      <c r="AR29" s="146">
        <v>0</v>
      </c>
      <c r="AS29" s="146">
        <v>0</v>
      </c>
      <c r="AT29" s="146">
        <v>0</v>
      </c>
      <c r="AU29" s="146">
        <v>0</v>
      </c>
      <c r="AV29" s="146">
        <v>0</v>
      </c>
      <c r="AW29" s="146">
        <v>0</v>
      </c>
      <c r="AX29" s="146">
        <v>0</v>
      </c>
      <c r="AY29" s="146">
        <v>0</v>
      </c>
      <c r="AZ29" s="146">
        <v>0</v>
      </c>
      <c r="BA29" s="146">
        <v>0</v>
      </c>
      <c r="BB29" s="146">
        <v>0</v>
      </c>
      <c r="BC29" s="146">
        <v>0</v>
      </c>
      <c r="BD29" s="146">
        <v>0</v>
      </c>
      <c r="BE29" s="146">
        <v>0</v>
      </c>
      <c r="BF29" s="146">
        <v>0</v>
      </c>
    </row>
    <row r="30" spans="1:58" customFormat="1" x14ac:dyDescent="0.15">
      <c r="A30" s="183" t="s">
        <v>220</v>
      </c>
      <c r="B30" s="146">
        <v>0</v>
      </c>
      <c r="C30" s="146">
        <v>0</v>
      </c>
      <c r="D30" s="146">
        <v>0</v>
      </c>
      <c r="E30" s="146">
        <v>0</v>
      </c>
      <c r="F30" s="146">
        <v>0</v>
      </c>
      <c r="G30" s="146">
        <v>0.01</v>
      </c>
      <c r="H30" s="146">
        <v>0</v>
      </c>
      <c r="I30" s="146">
        <v>0</v>
      </c>
      <c r="J30" s="146">
        <v>0</v>
      </c>
      <c r="K30" s="146">
        <v>0</v>
      </c>
      <c r="L30" s="146">
        <v>0</v>
      </c>
      <c r="M30" s="146">
        <v>0</v>
      </c>
      <c r="N30" s="146">
        <v>0</v>
      </c>
      <c r="O30" s="146">
        <v>0</v>
      </c>
      <c r="P30" s="146">
        <v>0</v>
      </c>
      <c r="Q30" s="146">
        <v>9.9999999999999985E-3</v>
      </c>
      <c r="R30" s="146">
        <v>0</v>
      </c>
      <c r="S30" s="146">
        <v>9.999999999999998E-4</v>
      </c>
      <c r="T30" s="146">
        <v>1E-3</v>
      </c>
      <c r="U30" s="146">
        <v>0</v>
      </c>
      <c r="V30" s="146">
        <v>0</v>
      </c>
      <c r="W30" s="146">
        <v>0</v>
      </c>
      <c r="X30" s="146">
        <v>0</v>
      </c>
      <c r="Y30" s="146">
        <v>0</v>
      </c>
      <c r="Z30" s="146">
        <v>0</v>
      </c>
      <c r="AA30" s="146">
        <v>0</v>
      </c>
      <c r="AB30" s="146">
        <v>0</v>
      </c>
      <c r="AC30" s="146">
        <v>5.0000000000000001E-3</v>
      </c>
      <c r="AD30" s="146">
        <v>0</v>
      </c>
      <c r="AE30" s="146">
        <v>0</v>
      </c>
      <c r="AF30" s="146">
        <v>0</v>
      </c>
      <c r="AG30" s="146">
        <v>0</v>
      </c>
      <c r="AH30" s="146">
        <v>0</v>
      </c>
      <c r="AI30" s="146">
        <v>5.0000000000000001E-3</v>
      </c>
      <c r="AJ30" s="146">
        <v>0</v>
      </c>
      <c r="AK30" s="146">
        <v>0</v>
      </c>
      <c r="AL30" s="146">
        <v>0</v>
      </c>
      <c r="AM30" s="146">
        <v>0</v>
      </c>
      <c r="AN30" s="146">
        <v>0</v>
      </c>
      <c r="AO30" s="146">
        <v>0</v>
      </c>
      <c r="AP30" s="146">
        <v>0</v>
      </c>
      <c r="AQ30" s="146">
        <v>0</v>
      </c>
      <c r="AR30" s="146">
        <v>0</v>
      </c>
      <c r="AS30" s="146">
        <v>0</v>
      </c>
      <c r="AT30" s="146">
        <v>0</v>
      </c>
      <c r="AU30" s="146">
        <v>0</v>
      </c>
      <c r="AV30" s="146">
        <v>0</v>
      </c>
      <c r="AW30" s="146">
        <v>0</v>
      </c>
      <c r="AX30" s="146">
        <v>0</v>
      </c>
      <c r="AY30" s="146">
        <v>0</v>
      </c>
      <c r="AZ30" s="146">
        <v>0</v>
      </c>
      <c r="BA30" s="146">
        <v>0</v>
      </c>
      <c r="BB30" s="146">
        <v>0</v>
      </c>
      <c r="BC30" s="146">
        <v>0</v>
      </c>
      <c r="BD30" s="146">
        <v>0</v>
      </c>
      <c r="BE30" s="146">
        <v>0</v>
      </c>
      <c r="BF30" s="146">
        <v>0</v>
      </c>
    </row>
    <row r="31" spans="1:58" customFormat="1" x14ac:dyDescent="0.15">
      <c r="A31" s="183" t="s">
        <v>221</v>
      </c>
      <c r="B31" s="146">
        <v>0</v>
      </c>
      <c r="C31" s="146">
        <v>0</v>
      </c>
      <c r="D31" s="146">
        <v>0</v>
      </c>
      <c r="E31" s="146">
        <v>0</v>
      </c>
      <c r="F31" s="146">
        <v>0</v>
      </c>
      <c r="G31" s="146">
        <v>0</v>
      </c>
      <c r="H31" s="146">
        <v>0</v>
      </c>
      <c r="I31" s="146">
        <v>0</v>
      </c>
      <c r="J31" s="146">
        <v>0</v>
      </c>
      <c r="K31" s="146">
        <v>0</v>
      </c>
      <c r="L31" s="146">
        <v>0</v>
      </c>
      <c r="M31" s="146">
        <v>0</v>
      </c>
      <c r="N31" s="146">
        <v>0</v>
      </c>
      <c r="O31" s="146">
        <v>0</v>
      </c>
      <c r="P31" s="146">
        <v>0</v>
      </c>
      <c r="Q31" s="146">
        <v>4.9999999999999992E-3</v>
      </c>
      <c r="R31" s="146">
        <v>0</v>
      </c>
      <c r="S31" s="146">
        <v>9.999999999999998E-4</v>
      </c>
      <c r="T31" s="146">
        <v>1E-3</v>
      </c>
      <c r="U31" s="146">
        <v>0</v>
      </c>
      <c r="V31" s="146">
        <v>0</v>
      </c>
      <c r="W31" s="146">
        <v>0</v>
      </c>
      <c r="X31" s="146">
        <v>0</v>
      </c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46">
        <v>0</v>
      </c>
      <c r="AE31" s="146">
        <v>0</v>
      </c>
      <c r="AF31" s="146">
        <v>0</v>
      </c>
      <c r="AG31" s="146">
        <v>0</v>
      </c>
      <c r="AH31" s="146">
        <v>0</v>
      </c>
      <c r="AI31" s="146">
        <v>0</v>
      </c>
      <c r="AJ31" s="146">
        <v>0</v>
      </c>
      <c r="AK31" s="146">
        <v>0</v>
      </c>
      <c r="AL31" s="146">
        <v>0</v>
      </c>
      <c r="AM31" s="146">
        <v>0</v>
      </c>
      <c r="AN31" s="146">
        <v>0</v>
      </c>
      <c r="AO31" s="146">
        <v>0</v>
      </c>
      <c r="AP31" s="146">
        <v>0</v>
      </c>
      <c r="AQ31" s="146">
        <v>0</v>
      </c>
      <c r="AR31" s="146">
        <v>0</v>
      </c>
      <c r="AS31" s="146">
        <v>0</v>
      </c>
      <c r="AT31" s="146">
        <v>0</v>
      </c>
      <c r="AU31" s="146">
        <v>0</v>
      </c>
      <c r="AV31" s="146">
        <v>0</v>
      </c>
      <c r="AW31" s="146">
        <v>0</v>
      </c>
      <c r="AX31" s="146">
        <v>0</v>
      </c>
      <c r="AY31" s="146">
        <v>0</v>
      </c>
      <c r="AZ31" s="146">
        <v>0</v>
      </c>
      <c r="BA31" s="146">
        <v>0</v>
      </c>
      <c r="BB31" s="146">
        <v>0</v>
      </c>
      <c r="BC31" s="146">
        <v>0</v>
      </c>
      <c r="BD31" s="146">
        <v>0</v>
      </c>
      <c r="BE31" s="146">
        <v>0</v>
      </c>
      <c r="BF31" s="146">
        <v>0</v>
      </c>
    </row>
    <row r="32" spans="1:58" customFormat="1" x14ac:dyDescent="0.15">
      <c r="A32" s="183" t="s">
        <v>222</v>
      </c>
      <c r="B32" s="146">
        <v>0</v>
      </c>
      <c r="C32" s="146">
        <v>0.01</v>
      </c>
      <c r="D32" s="146">
        <v>0</v>
      </c>
      <c r="E32" s="146">
        <v>0</v>
      </c>
      <c r="F32" s="146">
        <v>0.01</v>
      </c>
      <c r="G32" s="146">
        <v>0</v>
      </c>
      <c r="H32" s="146">
        <v>0</v>
      </c>
      <c r="I32" s="146">
        <v>0</v>
      </c>
      <c r="J32" s="146">
        <v>0</v>
      </c>
      <c r="K32" s="146">
        <v>0</v>
      </c>
      <c r="L32" s="146">
        <v>0</v>
      </c>
      <c r="M32" s="146">
        <v>0</v>
      </c>
      <c r="N32" s="146">
        <v>0</v>
      </c>
      <c r="O32" s="146">
        <v>0</v>
      </c>
      <c r="P32" s="146">
        <v>0</v>
      </c>
      <c r="Q32" s="146">
        <v>9.9999999999999985E-3</v>
      </c>
      <c r="R32" s="146">
        <v>0</v>
      </c>
      <c r="S32" s="146">
        <v>9.999999999999998E-4</v>
      </c>
      <c r="T32" s="146">
        <v>1E-3</v>
      </c>
      <c r="U32" s="146">
        <v>0</v>
      </c>
      <c r="V32" s="146">
        <v>0</v>
      </c>
      <c r="W32" s="146">
        <v>1E-3</v>
      </c>
      <c r="X32" s="146">
        <v>0</v>
      </c>
      <c r="Y32" s="146">
        <v>0</v>
      </c>
      <c r="Z32" s="146">
        <v>0</v>
      </c>
      <c r="AA32" s="146">
        <v>0</v>
      </c>
      <c r="AB32" s="146">
        <v>0</v>
      </c>
      <c r="AC32" s="146">
        <v>5.0000000000000001E-3</v>
      </c>
      <c r="AD32" s="146">
        <v>0</v>
      </c>
      <c r="AE32" s="146">
        <v>0</v>
      </c>
      <c r="AF32" s="146">
        <v>0</v>
      </c>
      <c r="AG32" s="146">
        <v>0</v>
      </c>
      <c r="AH32" s="146">
        <v>0</v>
      </c>
      <c r="AI32" s="146">
        <v>0.01</v>
      </c>
      <c r="AJ32" s="146">
        <v>0</v>
      </c>
      <c r="AK32" s="146">
        <v>0</v>
      </c>
      <c r="AL32" s="146">
        <v>0</v>
      </c>
      <c r="AM32" s="146">
        <v>0</v>
      </c>
      <c r="AN32" s="146">
        <v>0</v>
      </c>
      <c r="AO32" s="146">
        <v>0</v>
      </c>
      <c r="AP32" s="146">
        <v>0</v>
      </c>
      <c r="AQ32" s="146">
        <v>0</v>
      </c>
      <c r="AR32" s="146">
        <v>0</v>
      </c>
      <c r="AS32" s="146">
        <v>0</v>
      </c>
      <c r="AT32" s="146">
        <v>0</v>
      </c>
      <c r="AU32" s="146">
        <v>0</v>
      </c>
      <c r="AV32" s="146">
        <v>0</v>
      </c>
      <c r="AW32" s="146">
        <v>0</v>
      </c>
      <c r="AX32" s="146">
        <v>0</v>
      </c>
      <c r="AY32" s="146">
        <v>0</v>
      </c>
      <c r="AZ32" s="146">
        <v>0</v>
      </c>
      <c r="BA32" s="146">
        <v>0</v>
      </c>
      <c r="BB32" s="146">
        <v>0</v>
      </c>
      <c r="BC32" s="146">
        <v>0</v>
      </c>
      <c r="BD32" s="146">
        <v>0</v>
      </c>
      <c r="BE32" s="146">
        <v>0</v>
      </c>
      <c r="BF32" s="146">
        <v>0</v>
      </c>
    </row>
    <row r="33" spans="1:58" customFormat="1" x14ac:dyDescent="0.15">
      <c r="A33" s="183" t="s">
        <v>223</v>
      </c>
      <c r="B33" s="146">
        <v>0</v>
      </c>
      <c r="C33" s="146">
        <v>0</v>
      </c>
      <c r="D33" s="146">
        <v>0</v>
      </c>
      <c r="E33" s="146">
        <v>0</v>
      </c>
      <c r="F33" s="146">
        <v>0</v>
      </c>
      <c r="G33" s="146">
        <v>0</v>
      </c>
      <c r="H33" s="146">
        <v>0</v>
      </c>
      <c r="I33" s="146">
        <v>0</v>
      </c>
      <c r="J33" s="146">
        <v>0</v>
      </c>
      <c r="K33" s="146">
        <v>0</v>
      </c>
      <c r="L33" s="146">
        <v>0</v>
      </c>
      <c r="M33" s="146">
        <v>0</v>
      </c>
      <c r="N33" s="146">
        <v>0</v>
      </c>
      <c r="O33" s="146">
        <v>0</v>
      </c>
      <c r="P33" s="146">
        <v>0</v>
      </c>
      <c r="Q33" s="146">
        <v>0</v>
      </c>
      <c r="R33" s="146">
        <v>0</v>
      </c>
      <c r="S33" s="146">
        <v>9.999999999999998E-4</v>
      </c>
      <c r="T33" s="146">
        <v>0.01</v>
      </c>
      <c r="U33" s="146">
        <v>0</v>
      </c>
      <c r="V33" s="146">
        <v>0</v>
      </c>
      <c r="W33" s="146">
        <v>2E-3</v>
      </c>
      <c r="X33" s="146">
        <v>0</v>
      </c>
      <c r="Y33" s="146">
        <v>0</v>
      </c>
      <c r="Z33" s="146">
        <v>0</v>
      </c>
      <c r="AA33" s="146">
        <v>0</v>
      </c>
      <c r="AB33" s="146">
        <v>0</v>
      </c>
      <c r="AC33" s="146">
        <v>0</v>
      </c>
      <c r="AD33" s="146">
        <v>0</v>
      </c>
      <c r="AE33" s="146">
        <v>0</v>
      </c>
      <c r="AF33" s="146">
        <v>0</v>
      </c>
      <c r="AG33" s="146">
        <v>2E-3</v>
      </c>
      <c r="AH33" s="146">
        <v>0</v>
      </c>
      <c r="AI33" s="146">
        <v>2E-3</v>
      </c>
      <c r="AJ33" s="146">
        <v>0</v>
      </c>
      <c r="AK33" s="146">
        <v>0</v>
      </c>
      <c r="AL33" s="146">
        <v>0</v>
      </c>
      <c r="AM33" s="146">
        <v>0</v>
      </c>
      <c r="AN33" s="146">
        <v>0</v>
      </c>
      <c r="AO33" s="146">
        <v>0</v>
      </c>
      <c r="AP33" s="146">
        <v>0</v>
      </c>
      <c r="AQ33" s="146">
        <v>0</v>
      </c>
      <c r="AR33" s="146">
        <v>0</v>
      </c>
      <c r="AS33" s="146">
        <v>0</v>
      </c>
      <c r="AT33" s="146">
        <v>0</v>
      </c>
      <c r="AU33" s="146">
        <v>0</v>
      </c>
      <c r="AV33" s="146">
        <v>0</v>
      </c>
      <c r="AW33" s="146">
        <v>0</v>
      </c>
      <c r="AX33" s="146">
        <v>0</v>
      </c>
      <c r="AY33" s="146">
        <v>0</v>
      </c>
      <c r="AZ33" s="146">
        <v>0</v>
      </c>
      <c r="BA33" s="146">
        <v>0</v>
      </c>
      <c r="BB33" s="146">
        <v>0</v>
      </c>
      <c r="BC33" s="146">
        <v>0</v>
      </c>
      <c r="BD33" s="146">
        <v>0</v>
      </c>
      <c r="BE33" s="146">
        <v>0</v>
      </c>
      <c r="BF33" s="146">
        <v>0</v>
      </c>
    </row>
    <row r="34" spans="1:58" customFormat="1" x14ac:dyDescent="0.15">
      <c r="A34" s="183" t="s">
        <v>224</v>
      </c>
      <c r="B34" s="146">
        <v>0</v>
      </c>
      <c r="C34" s="146">
        <v>0</v>
      </c>
      <c r="D34" s="146">
        <v>0</v>
      </c>
      <c r="E34" s="146">
        <v>0.01</v>
      </c>
      <c r="F34" s="146">
        <v>0</v>
      </c>
      <c r="G34" s="146">
        <v>0.01</v>
      </c>
      <c r="H34" s="146">
        <v>0</v>
      </c>
      <c r="I34" s="146">
        <v>0</v>
      </c>
      <c r="J34" s="146">
        <v>0</v>
      </c>
      <c r="K34" s="146">
        <v>0</v>
      </c>
      <c r="L34" s="146">
        <v>0</v>
      </c>
      <c r="M34" s="146">
        <v>0</v>
      </c>
      <c r="N34" s="146">
        <v>0</v>
      </c>
      <c r="O34" s="146">
        <v>0</v>
      </c>
      <c r="P34" s="146">
        <v>0</v>
      </c>
      <c r="Q34" s="146">
        <v>1.9999999999999997E-2</v>
      </c>
      <c r="R34" s="146">
        <v>0</v>
      </c>
      <c r="S34" s="146">
        <v>1.9999999999999997E-2</v>
      </c>
      <c r="T34" s="146">
        <v>0</v>
      </c>
      <c r="U34" s="146">
        <v>0</v>
      </c>
      <c r="V34" s="146">
        <v>0</v>
      </c>
      <c r="W34" s="146">
        <v>0</v>
      </c>
      <c r="X34" s="146">
        <v>0</v>
      </c>
      <c r="Y34" s="146">
        <v>0</v>
      </c>
      <c r="Z34" s="146">
        <v>0</v>
      </c>
      <c r="AA34" s="146">
        <v>0</v>
      </c>
      <c r="AB34" s="146">
        <v>0</v>
      </c>
      <c r="AC34" s="146">
        <v>0</v>
      </c>
      <c r="AD34" s="146">
        <v>0</v>
      </c>
      <c r="AE34" s="146">
        <v>0</v>
      </c>
      <c r="AF34" s="146">
        <v>0</v>
      </c>
      <c r="AG34" s="146">
        <v>0</v>
      </c>
      <c r="AH34" s="146">
        <v>0</v>
      </c>
      <c r="AI34" s="146">
        <v>0</v>
      </c>
      <c r="AJ34" s="146">
        <v>0</v>
      </c>
      <c r="AK34" s="146">
        <v>0</v>
      </c>
      <c r="AL34" s="146">
        <v>0</v>
      </c>
      <c r="AM34" s="146">
        <v>0</v>
      </c>
      <c r="AN34" s="146">
        <v>0</v>
      </c>
      <c r="AO34" s="146">
        <v>0</v>
      </c>
      <c r="AP34" s="146">
        <v>0</v>
      </c>
      <c r="AQ34" s="146">
        <v>0</v>
      </c>
      <c r="AR34" s="146">
        <v>0</v>
      </c>
      <c r="AS34" s="146">
        <v>0</v>
      </c>
      <c r="AT34" s="146">
        <v>0</v>
      </c>
      <c r="AU34" s="146">
        <v>0</v>
      </c>
      <c r="AV34" s="146">
        <v>0</v>
      </c>
      <c r="AW34" s="146">
        <v>0</v>
      </c>
      <c r="AX34" s="146">
        <v>0</v>
      </c>
      <c r="AY34" s="146">
        <v>0</v>
      </c>
      <c r="AZ34" s="146">
        <v>0</v>
      </c>
      <c r="BA34" s="146">
        <v>0</v>
      </c>
      <c r="BB34" s="146">
        <v>0</v>
      </c>
      <c r="BC34" s="146">
        <v>0</v>
      </c>
      <c r="BD34" s="146">
        <v>0</v>
      </c>
      <c r="BE34" s="146">
        <v>0</v>
      </c>
      <c r="BF34" s="146">
        <v>0</v>
      </c>
    </row>
    <row r="35" spans="1:58" customFormat="1" x14ac:dyDescent="0.15">
      <c r="A35" s="183" t="s">
        <v>225</v>
      </c>
      <c r="B35" s="146">
        <v>0</v>
      </c>
      <c r="C35" s="146">
        <v>0</v>
      </c>
      <c r="D35" s="146">
        <v>0</v>
      </c>
      <c r="E35" s="146">
        <v>0</v>
      </c>
      <c r="F35" s="146">
        <v>0</v>
      </c>
      <c r="G35" s="146">
        <v>0</v>
      </c>
      <c r="H35" s="146">
        <v>0</v>
      </c>
      <c r="I35" s="146">
        <v>0</v>
      </c>
      <c r="J35" s="146">
        <v>0</v>
      </c>
      <c r="K35" s="146">
        <v>0</v>
      </c>
      <c r="L35" s="146">
        <v>0</v>
      </c>
      <c r="M35" s="146">
        <v>0</v>
      </c>
      <c r="N35" s="146">
        <v>0</v>
      </c>
      <c r="O35" s="146">
        <v>0</v>
      </c>
      <c r="P35" s="146">
        <v>0</v>
      </c>
      <c r="Q35" s="146">
        <v>0</v>
      </c>
      <c r="R35" s="146">
        <v>0</v>
      </c>
      <c r="S35" s="146">
        <v>0</v>
      </c>
      <c r="T35" s="146">
        <v>0</v>
      </c>
      <c r="U35" s="146">
        <v>0</v>
      </c>
      <c r="V35" s="146">
        <v>0</v>
      </c>
      <c r="W35" s="146">
        <v>0</v>
      </c>
      <c r="X35" s="146">
        <v>0</v>
      </c>
      <c r="Y35" s="146">
        <v>0</v>
      </c>
      <c r="Z35" s="146">
        <v>0</v>
      </c>
      <c r="AA35" s="146">
        <v>0</v>
      </c>
      <c r="AB35" s="146">
        <v>0</v>
      </c>
      <c r="AC35" s="146">
        <v>0</v>
      </c>
      <c r="AD35" s="146">
        <v>0</v>
      </c>
      <c r="AE35" s="146">
        <v>0</v>
      </c>
      <c r="AF35" s="146">
        <v>0</v>
      </c>
      <c r="AG35" s="146">
        <v>0</v>
      </c>
      <c r="AH35" s="146">
        <v>0</v>
      </c>
      <c r="AI35" s="146">
        <v>0</v>
      </c>
      <c r="AJ35" s="146">
        <v>0</v>
      </c>
      <c r="AK35" s="146">
        <v>0</v>
      </c>
      <c r="AL35" s="146">
        <v>0</v>
      </c>
      <c r="AM35" s="146">
        <v>0</v>
      </c>
      <c r="AN35" s="146">
        <v>0</v>
      </c>
      <c r="AO35" s="146">
        <v>0</v>
      </c>
      <c r="AP35" s="146">
        <v>0</v>
      </c>
      <c r="AQ35" s="146">
        <v>0</v>
      </c>
      <c r="AR35" s="146">
        <v>0</v>
      </c>
      <c r="AS35" s="146">
        <v>0</v>
      </c>
      <c r="AT35" s="146">
        <v>0</v>
      </c>
      <c r="AU35" s="146">
        <v>0</v>
      </c>
      <c r="AV35" s="146">
        <v>0</v>
      </c>
      <c r="AW35" s="146">
        <v>0</v>
      </c>
      <c r="AX35" s="146">
        <v>0</v>
      </c>
      <c r="AY35" s="146">
        <v>0</v>
      </c>
      <c r="AZ35" s="146">
        <v>0</v>
      </c>
      <c r="BA35" s="146">
        <v>0</v>
      </c>
      <c r="BB35" s="146">
        <v>0</v>
      </c>
      <c r="BC35" s="146">
        <v>0</v>
      </c>
      <c r="BD35" s="146">
        <v>0</v>
      </c>
      <c r="BE35" s="146">
        <v>0</v>
      </c>
      <c r="BF35" s="146">
        <v>0</v>
      </c>
    </row>
    <row r="36" spans="1:58" customFormat="1" x14ac:dyDescent="0.15">
      <c r="A36" s="183" t="s">
        <v>226</v>
      </c>
      <c r="B36" s="146">
        <v>0</v>
      </c>
      <c r="C36" s="146">
        <v>0</v>
      </c>
      <c r="D36" s="146">
        <v>0</v>
      </c>
      <c r="E36" s="146">
        <v>0</v>
      </c>
      <c r="F36" s="146">
        <v>0</v>
      </c>
      <c r="G36" s="146">
        <v>0</v>
      </c>
      <c r="H36" s="146">
        <v>0</v>
      </c>
      <c r="I36" s="146">
        <v>0</v>
      </c>
      <c r="J36" s="146">
        <v>0</v>
      </c>
      <c r="K36" s="146">
        <v>0</v>
      </c>
      <c r="L36" s="146">
        <v>0</v>
      </c>
      <c r="M36" s="146">
        <v>0</v>
      </c>
      <c r="N36" s="146">
        <v>0</v>
      </c>
      <c r="O36" s="146">
        <v>0</v>
      </c>
      <c r="P36" s="146">
        <v>0</v>
      </c>
      <c r="Q36" s="146">
        <v>9.9999999999999985E-3</v>
      </c>
      <c r="R36" s="146">
        <v>0</v>
      </c>
      <c r="S36" s="146">
        <v>0</v>
      </c>
      <c r="T36" s="146">
        <v>0</v>
      </c>
      <c r="U36" s="146">
        <v>0</v>
      </c>
      <c r="V36" s="146">
        <v>0</v>
      </c>
      <c r="W36" s="146">
        <v>0</v>
      </c>
      <c r="X36" s="146">
        <v>0</v>
      </c>
      <c r="Y36" s="146">
        <v>0</v>
      </c>
      <c r="Z36" s="146">
        <v>0</v>
      </c>
      <c r="AA36" s="146">
        <v>0</v>
      </c>
      <c r="AB36" s="146">
        <v>0</v>
      </c>
      <c r="AC36" s="146">
        <v>0</v>
      </c>
      <c r="AD36" s="146">
        <v>0</v>
      </c>
      <c r="AE36" s="146">
        <v>0</v>
      </c>
      <c r="AF36" s="146">
        <v>0</v>
      </c>
      <c r="AG36" s="146">
        <v>0</v>
      </c>
      <c r="AH36" s="146">
        <v>0</v>
      </c>
      <c r="AI36" s="146">
        <v>0.03</v>
      </c>
      <c r="AJ36" s="146">
        <v>0</v>
      </c>
      <c r="AK36" s="146">
        <v>0</v>
      </c>
      <c r="AL36" s="146">
        <v>0</v>
      </c>
      <c r="AM36" s="146">
        <v>0</v>
      </c>
      <c r="AN36" s="146">
        <v>0</v>
      </c>
      <c r="AO36" s="146">
        <v>0</v>
      </c>
      <c r="AP36" s="146">
        <v>0</v>
      </c>
      <c r="AQ36" s="146">
        <v>0</v>
      </c>
      <c r="AR36" s="146">
        <v>0</v>
      </c>
      <c r="AS36" s="146">
        <v>0</v>
      </c>
      <c r="AT36" s="146">
        <v>0</v>
      </c>
      <c r="AU36" s="146">
        <v>0</v>
      </c>
      <c r="AV36" s="146">
        <v>0</v>
      </c>
      <c r="AW36" s="146">
        <v>0</v>
      </c>
      <c r="AX36" s="146">
        <v>0</v>
      </c>
      <c r="AY36" s="146">
        <v>0</v>
      </c>
      <c r="AZ36" s="146">
        <v>0</v>
      </c>
      <c r="BA36" s="146">
        <v>0</v>
      </c>
      <c r="BB36" s="146">
        <v>0</v>
      </c>
      <c r="BC36" s="146">
        <v>0</v>
      </c>
      <c r="BD36" s="146">
        <v>0</v>
      </c>
      <c r="BE36" s="146">
        <v>0</v>
      </c>
      <c r="BF36" s="146">
        <v>0</v>
      </c>
    </row>
    <row r="37" spans="1:58" customFormat="1" x14ac:dyDescent="0.15">
      <c r="A37" s="183" t="s">
        <v>227</v>
      </c>
      <c r="B37" s="146">
        <v>0</v>
      </c>
      <c r="C37" s="146">
        <v>0</v>
      </c>
      <c r="D37" s="146">
        <v>0</v>
      </c>
      <c r="E37" s="146">
        <v>0</v>
      </c>
      <c r="F37" s="146">
        <v>0</v>
      </c>
      <c r="G37" s="146">
        <v>0.02</v>
      </c>
      <c r="H37" s="146">
        <v>0</v>
      </c>
      <c r="I37" s="146">
        <v>0</v>
      </c>
      <c r="J37" s="146">
        <v>0</v>
      </c>
      <c r="K37" s="146">
        <v>0</v>
      </c>
      <c r="L37" s="146">
        <v>0</v>
      </c>
      <c r="M37" s="146">
        <v>0</v>
      </c>
      <c r="N37" s="146">
        <v>0</v>
      </c>
      <c r="O37" s="146">
        <v>0</v>
      </c>
      <c r="P37" s="146">
        <v>0</v>
      </c>
      <c r="Q37" s="146">
        <v>9.9999999999999985E-3</v>
      </c>
      <c r="R37" s="146">
        <v>0</v>
      </c>
      <c r="S37" s="146">
        <v>2.4999999999999994E-2</v>
      </c>
      <c r="T37" s="146">
        <v>0</v>
      </c>
      <c r="U37" s="146">
        <v>0</v>
      </c>
      <c r="V37" s="146">
        <v>0</v>
      </c>
      <c r="W37" s="146">
        <v>3.0000000000000001E-3</v>
      </c>
      <c r="X37" s="146">
        <v>0</v>
      </c>
      <c r="Y37" s="146">
        <v>0</v>
      </c>
      <c r="Z37" s="146">
        <v>0</v>
      </c>
      <c r="AA37" s="146">
        <v>0</v>
      </c>
      <c r="AB37" s="146">
        <v>0</v>
      </c>
      <c r="AC37" s="146">
        <v>0</v>
      </c>
      <c r="AD37" s="146">
        <v>0</v>
      </c>
      <c r="AE37" s="146">
        <v>0</v>
      </c>
      <c r="AF37" s="146">
        <v>0</v>
      </c>
      <c r="AG37" s="146">
        <v>0</v>
      </c>
      <c r="AH37" s="146">
        <v>0</v>
      </c>
      <c r="AI37" s="146">
        <v>0.02</v>
      </c>
      <c r="AJ37" s="146">
        <v>0</v>
      </c>
      <c r="AK37" s="146">
        <v>0</v>
      </c>
      <c r="AL37" s="146">
        <v>0</v>
      </c>
      <c r="AM37" s="146">
        <v>0</v>
      </c>
      <c r="AN37" s="146">
        <v>0</v>
      </c>
      <c r="AO37" s="146">
        <v>0</v>
      </c>
      <c r="AP37" s="146">
        <v>0</v>
      </c>
      <c r="AQ37" s="146">
        <v>0</v>
      </c>
      <c r="AR37" s="146">
        <v>0</v>
      </c>
      <c r="AS37" s="146">
        <v>0</v>
      </c>
      <c r="AT37" s="146">
        <v>0</v>
      </c>
      <c r="AU37" s="146">
        <v>0</v>
      </c>
      <c r="AV37" s="146">
        <v>0</v>
      </c>
      <c r="AW37" s="146">
        <v>0</v>
      </c>
      <c r="AX37" s="146">
        <v>0</v>
      </c>
      <c r="AY37" s="146">
        <v>0</v>
      </c>
      <c r="AZ37" s="146">
        <v>0</v>
      </c>
      <c r="BA37" s="146">
        <v>0</v>
      </c>
      <c r="BB37" s="146">
        <v>0</v>
      </c>
      <c r="BC37" s="146">
        <v>0</v>
      </c>
      <c r="BD37" s="146">
        <v>0</v>
      </c>
      <c r="BE37" s="146">
        <v>0</v>
      </c>
      <c r="BF37" s="146">
        <v>0</v>
      </c>
    </row>
    <row r="38" spans="1:58" customFormat="1" x14ac:dyDescent="0.15">
      <c r="A38" s="183" t="s">
        <v>228</v>
      </c>
      <c r="B38" s="146">
        <v>0</v>
      </c>
      <c r="C38" s="146">
        <v>0</v>
      </c>
      <c r="D38" s="146">
        <v>0</v>
      </c>
      <c r="E38" s="146">
        <v>0</v>
      </c>
      <c r="F38" s="146">
        <v>0</v>
      </c>
      <c r="G38" s="146">
        <v>0</v>
      </c>
      <c r="H38" s="146">
        <v>0</v>
      </c>
      <c r="I38" s="146">
        <v>0</v>
      </c>
      <c r="J38" s="146">
        <v>0</v>
      </c>
      <c r="K38" s="146">
        <v>0</v>
      </c>
      <c r="L38" s="146">
        <v>0</v>
      </c>
      <c r="M38" s="146">
        <v>0</v>
      </c>
      <c r="N38" s="146">
        <v>0</v>
      </c>
      <c r="O38" s="146">
        <v>0</v>
      </c>
      <c r="P38" s="146">
        <v>0</v>
      </c>
      <c r="Q38" s="146">
        <v>1.9999999999999997E-2</v>
      </c>
      <c r="R38" s="146">
        <v>0</v>
      </c>
      <c r="S38" s="146">
        <v>2.9999999999999992E-2</v>
      </c>
      <c r="T38" s="146">
        <v>0</v>
      </c>
      <c r="U38" s="146">
        <v>0</v>
      </c>
      <c r="V38" s="146">
        <v>0</v>
      </c>
      <c r="W38" s="146">
        <v>0</v>
      </c>
      <c r="X38" s="146">
        <v>0</v>
      </c>
      <c r="Y38" s="146">
        <v>0</v>
      </c>
      <c r="Z38" s="146">
        <v>0</v>
      </c>
      <c r="AA38" s="146">
        <v>0</v>
      </c>
      <c r="AB38" s="146">
        <v>0</v>
      </c>
      <c r="AC38" s="146">
        <v>0</v>
      </c>
      <c r="AD38" s="146">
        <v>0</v>
      </c>
      <c r="AE38" s="146">
        <v>0</v>
      </c>
      <c r="AF38" s="146">
        <v>0</v>
      </c>
      <c r="AG38" s="146">
        <v>0</v>
      </c>
      <c r="AH38" s="146">
        <v>0</v>
      </c>
      <c r="AI38" s="146">
        <v>0.01</v>
      </c>
      <c r="AJ38" s="146">
        <v>0</v>
      </c>
      <c r="AK38" s="146">
        <v>0</v>
      </c>
      <c r="AL38" s="146">
        <v>0</v>
      </c>
      <c r="AM38" s="146">
        <v>0</v>
      </c>
      <c r="AN38" s="146">
        <v>0</v>
      </c>
      <c r="AO38" s="146">
        <v>0</v>
      </c>
      <c r="AP38" s="146">
        <v>0</v>
      </c>
      <c r="AQ38" s="146">
        <v>0</v>
      </c>
      <c r="AR38" s="146">
        <v>0</v>
      </c>
      <c r="AS38" s="146">
        <v>0</v>
      </c>
      <c r="AT38" s="146">
        <v>0</v>
      </c>
      <c r="AU38" s="146">
        <v>0</v>
      </c>
      <c r="AV38" s="146">
        <v>0</v>
      </c>
      <c r="AW38" s="146">
        <v>0</v>
      </c>
      <c r="AX38" s="146">
        <v>0</v>
      </c>
      <c r="AY38" s="146">
        <v>0</v>
      </c>
      <c r="AZ38" s="146">
        <v>0</v>
      </c>
      <c r="BA38" s="146">
        <v>0</v>
      </c>
      <c r="BB38" s="146">
        <v>0</v>
      </c>
      <c r="BC38" s="146">
        <v>0</v>
      </c>
      <c r="BD38" s="146">
        <v>0</v>
      </c>
      <c r="BE38" s="146">
        <v>0</v>
      </c>
      <c r="BF38" s="146">
        <v>0</v>
      </c>
    </row>
    <row r="39" spans="1:58" x14ac:dyDescent="0.15">
      <c r="A39" s="183" t="s">
        <v>229</v>
      </c>
      <c r="B39" s="146">
        <v>0</v>
      </c>
      <c r="C39" s="146">
        <v>0.02</v>
      </c>
      <c r="D39" s="146">
        <v>0</v>
      </c>
      <c r="E39" s="146">
        <v>0</v>
      </c>
      <c r="F39" s="146">
        <v>0.03</v>
      </c>
      <c r="G39" s="146">
        <v>0.06</v>
      </c>
      <c r="H39" s="146">
        <v>0</v>
      </c>
      <c r="I39" s="146">
        <v>0</v>
      </c>
      <c r="J39" s="146">
        <v>0</v>
      </c>
      <c r="K39" s="146">
        <v>0</v>
      </c>
      <c r="L39" s="146">
        <v>0</v>
      </c>
      <c r="M39" s="146">
        <v>0</v>
      </c>
      <c r="N39" s="146">
        <v>0</v>
      </c>
      <c r="O39" s="146">
        <v>0</v>
      </c>
      <c r="P39" s="146">
        <v>0</v>
      </c>
      <c r="Q39" s="146">
        <v>0</v>
      </c>
      <c r="R39" s="146">
        <v>0</v>
      </c>
      <c r="S39" s="146">
        <v>3.9999999999999994E-2</v>
      </c>
      <c r="T39" s="146">
        <v>0</v>
      </c>
      <c r="U39" s="146">
        <v>0</v>
      </c>
      <c r="V39" s="146">
        <v>0</v>
      </c>
      <c r="W39" s="146">
        <v>1.6E-2</v>
      </c>
      <c r="X39" s="146">
        <v>0</v>
      </c>
      <c r="Y39" s="146">
        <v>0</v>
      </c>
      <c r="Z39" s="146">
        <v>0</v>
      </c>
      <c r="AA39" s="146">
        <v>0</v>
      </c>
      <c r="AB39" s="146">
        <v>0</v>
      </c>
      <c r="AC39" s="146">
        <v>0</v>
      </c>
      <c r="AD39" s="146">
        <v>4.0000000000000008E-2</v>
      </c>
      <c r="AE39" s="146">
        <v>0</v>
      </c>
      <c r="AF39" s="146">
        <v>0</v>
      </c>
      <c r="AG39" s="146">
        <v>6.0000000000000001E-3</v>
      </c>
      <c r="AH39" s="146">
        <v>0</v>
      </c>
      <c r="AI39" s="146">
        <v>5.0000000000000001E-3</v>
      </c>
      <c r="AJ39" s="146">
        <v>0</v>
      </c>
      <c r="AK39" s="146">
        <v>0</v>
      </c>
      <c r="AL39" s="146">
        <v>0</v>
      </c>
      <c r="AM39" s="146">
        <v>0</v>
      </c>
      <c r="AN39" s="146">
        <v>0</v>
      </c>
      <c r="AO39" s="146">
        <v>0.01</v>
      </c>
      <c r="AP39" s="146">
        <v>0</v>
      </c>
      <c r="AQ39" s="146">
        <v>0</v>
      </c>
      <c r="AR39" s="146">
        <v>0</v>
      </c>
      <c r="AS39" s="146">
        <v>0</v>
      </c>
      <c r="AT39" s="146">
        <v>0</v>
      </c>
      <c r="AU39" s="146">
        <v>0</v>
      </c>
      <c r="AV39" s="146">
        <v>0</v>
      </c>
      <c r="AW39" s="146">
        <v>0</v>
      </c>
      <c r="AX39" s="146">
        <v>0</v>
      </c>
      <c r="AY39" s="146">
        <v>0</v>
      </c>
      <c r="AZ39" s="146">
        <v>0</v>
      </c>
      <c r="BA39" s="146">
        <v>0</v>
      </c>
      <c r="BB39" s="146">
        <v>0</v>
      </c>
      <c r="BC39" s="146">
        <v>0</v>
      </c>
      <c r="BD39" s="146">
        <v>0</v>
      </c>
      <c r="BE39" s="146">
        <v>0</v>
      </c>
      <c r="BF39" s="146">
        <v>0</v>
      </c>
    </row>
    <row r="40" spans="1:58" x14ac:dyDescent="0.15">
      <c r="A40" s="183" t="s">
        <v>230</v>
      </c>
      <c r="B40" s="146">
        <v>0</v>
      </c>
      <c r="C40" s="146">
        <v>0.01</v>
      </c>
      <c r="D40" s="146">
        <v>0</v>
      </c>
      <c r="E40" s="146">
        <v>0</v>
      </c>
      <c r="F40" s="146">
        <v>0.01</v>
      </c>
      <c r="G40" s="146">
        <v>0</v>
      </c>
      <c r="H40" s="146">
        <v>0</v>
      </c>
      <c r="I40" s="146">
        <v>0.01</v>
      </c>
      <c r="J40" s="146">
        <v>0</v>
      </c>
      <c r="K40" s="146">
        <v>1E-3</v>
      </c>
      <c r="L40" s="146">
        <v>0</v>
      </c>
      <c r="M40" s="146">
        <v>0</v>
      </c>
      <c r="N40" s="146">
        <v>0.60199999999999998</v>
      </c>
      <c r="O40" s="146">
        <v>1.9999999999999997E-2</v>
      </c>
      <c r="P40" s="146">
        <v>0</v>
      </c>
      <c r="Q40" s="146">
        <v>9.9999999999999978E-2</v>
      </c>
      <c r="R40" s="146">
        <v>0</v>
      </c>
      <c r="S40" s="146">
        <v>0</v>
      </c>
      <c r="T40" s="146">
        <v>0</v>
      </c>
      <c r="U40" s="146">
        <v>3.3000000000000002E-2</v>
      </c>
      <c r="V40" s="146">
        <v>2.9999999999999992E-2</v>
      </c>
      <c r="W40" s="146">
        <v>0</v>
      </c>
      <c r="X40" s="146">
        <v>0</v>
      </c>
      <c r="Y40" s="146">
        <v>0.03</v>
      </c>
      <c r="Z40" s="146">
        <v>5.0000000000000001E-3</v>
      </c>
      <c r="AA40" s="146">
        <v>0.03</v>
      </c>
      <c r="AB40" s="146">
        <v>0.255</v>
      </c>
      <c r="AC40" s="146">
        <v>0.2</v>
      </c>
      <c r="AD40" s="146">
        <v>0</v>
      </c>
      <c r="AE40" s="146">
        <v>0</v>
      </c>
      <c r="AF40" s="146">
        <v>0</v>
      </c>
      <c r="AG40" s="146">
        <v>0</v>
      </c>
      <c r="AH40" s="146">
        <v>0</v>
      </c>
      <c r="AI40" s="146">
        <v>0</v>
      </c>
      <c r="AJ40" s="146">
        <v>0</v>
      </c>
      <c r="AK40" s="146">
        <v>0</v>
      </c>
      <c r="AL40" s="146">
        <v>0</v>
      </c>
      <c r="AM40" s="146">
        <v>0</v>
      </c>
      <c r="AN40" s="146">
        <v>0</v>
      </c>
      <c r="AO40" s="146">
        <v>0</v>
      </c>
      <c r="AP40" s="146">
        <v>0.1</v>
      </c>
      <c r="AQ40" s="146">
        <v>0</v>
      </c>
      <c r="AR40" s="146">
        <v>0</v>
      </c>
      <c r="AS40" s="146">
        <v>0</v>
      </c>
      <c r="AT40" s="146">
        <v>0</v>
      </c>
      <c r="AU40" s="146">
        <v>0</v>
      </c>
      <c r="AV40" s="146">
        <v>0.05</v>
      </c>
      <c r="AW40" s="146">
        <v>0</v>
      </c>
      <c r="AX40" s="146">
        <v>0</v>
      </c>
      <c r="AY40" s="146">
        <v>0</v>
      </c>
      <c r="AZ40" s="146">
        <v>0</v>
      </c>
      <c r="BA40" s="146">
        <v>0</v>
      </c>
      <c r="BB40" s="146">
        <v>0</v>
      </c>
      <c r="BC40" s="146">
        <v>0</v>
      </c>
      <c r="BD40" s="146">
        <v>0</v>
      </c>
      <c r="BE40" s="146">
        <v>0</v>
      </c>
      <c r="BF40" s="146">
        <v>0</v>
      </c>
    </row>
    <row r="41" spans="1:58" x14ac:dyDescent="0.15">
      <c r="A41" s="183" t="s">
        <v>231</v>
      </c>
      <c r="B41" s="146">
        <v>0.15</v>
      </c>
      <c r="C41" s="146">
        <v>0.1</v>
      </c>
      <c r="D41" s="146">
        <v>0.03</v>
      </c>
      <c r="E41" s="146">
        <v>0.15</v>
      </c>
      <c r="F41" s="146">
        <v>0.1</v>
      </c>
      <c r="G41" s="146">
        <v>0.15</v>
      </c>
      <c r="H41" s="146">
        <v>0.15</v>
      </c>
      <c r="I41" s="146">
        <v>0.13800000000000001</v>
      </c>
      <c r="J41" s="146">
        <v>7.9000000000000001E-2</v>
      </c>
      <c r="K41" s="146">
        <v>7.0000000000000007E-2</v>
      </c>
      <c r="L41" s="146">
        <v>0</v>
      </c>
      <c r="M41" s="146">
        <v>0</v>
      </c>
      <c r="N41" s="146">
        <v>0.06</v>
      </c>
      <c r="O41" s="146">
        <v>0.66699999999999993</v>
      </c>
      <c r="P41" s="146">
        <v>0</v>
      </c>
      <c r="Q41" s="146">
        <v>4.9999999999999989E-2</v>
      </c>
      <c r="R41" s="146">
        <v>0</v>
      </c>
      <c r="S41" s="146">
        <v>4.9999999999999989E-2</v>
      </c>
      <c r="T41" s="146">
        <v>0.02</v>
      </c>
      <c r="U41" s="146">
        <v>0</v>
      </c>
      <c r="V41" s="146">
        <v>9.9999999999999978E-2</v>
      </c>
      <c r="W41" s="146">
        <v>9.8000000000000004E-2</v>
      </c>
      <c r="X41" s="146">
        <v>0.01</v>
      </c>
      <c r="Y41" s="146">
        <v>6.4000000000000001E-2</v>
      </c>
      <c r="Z41" s="146">
        <v>7.4999999999999997E-2</v>
      </c>
      <c r="AA41" s="146">
        <v>2.5999999999999999E-2</v>
      </c>
      <c r="AB41" s="146">
        <v>5.0000000000000001E-3</v>
      </c>
      <c r="AC41" s="146">
        <v>1E-3</v>
      </c>
      <c r="AD41" s="146">
        <v>2.0000000000000004E-2</v>
      </c>
      <c r="AE41" s="146">
        <v>0</v>
      </c>
      <c r="AF41" s="146">
        <v>0.1</v>
      </c>
      <c r="AG41" s="146">
        <v>1.7000000000000001E-2</v>
      </c>
      <c r="AH41" s="146">
        <v>0.04</v>
      </c>
      <c r="AI41" s="146">
        <v>0.20499999999999999</v>
      </c>
      <c r="AJ41" s="146">
        <v>3.6999999999999998E-2</v>
      </c>
      <c r="AK41" s="146">
        <v>0.16400000000000001</v>
      </c>
      <c r="AL41" s="146">
        <v>0</v>
      </c>
      <c r="AM41" s="146">
        <v>0.04</v>
      </c>
      <c r="AN41" s="146">
        <v>0</v>
      </c>
      <c r="AO41" s="146">
        <v>0.02</v>
      </c>
      <c r="AP41" s="146">
        <v>0</v>
      </c>
      <c r="AQ41" s="146">
        <v>0.05</v>
      </c>
      <c r="AR41" s="146">
        <v>0</v>
      </c>
      <c r="AS41" s="146">
        <v>0</v>
      </c>
      <c r="AT41" s="146">
        <v>0</v>
      </c>
      <c r="AU41" s="146">
        <v>0</v>
      </c>
      <c r="AV41" s="146">
        <v>0</v>
      </c>
      <c r="AW41" s="146">
        <v>0</v>
      </c>
      <c r="AX41" s="146">
        <v>0</v>
      </c>
      <c r="AY41" s="146">
        <v>0</v>
      </c>
      <c r="AZ41" s="146">
        <v>0</v>
      </c>
      <c r="BA41" s="146">
        <v>0</v>
      </c>
      <c r="BB41" s="146">
        <v>0</v>
      </c>
      <c r="BC41" s="146">
        <v>0</v>
      </c>
      <c r="BD41" s="146">
        <v>0</v>
      </c>
      <c r="BE41" s="146">
        <v>0</v>
      </c>
      <c r="BF41" s="146">
        <v>0</v>
      </c>
    </row>
    <row r="42" spans="1:58" x14ac:dyDescent="0.15">
      <c r="A42" s="183" t="s">
        <v>232</v>
      </c>
      <c r="B42" s="146">
        <v>0</v>
      </c>
      <c r="C42" s="146">
        <v>0</v>
      </c>
      <c r="D42" s="146">
        <v>0</v>
      </c>
      <c r="E42" s="146">
        <v>0</v>
      </c>
      <c r="F42" s="146">
        <v>0</v>
      </c>
      <c r="G42" s="146">
        <v>0</v>
      </c>
      <c r="H42" s="146">
        <v>0</v>
      </c>
      <c r="I42" s="146">
        <v>0</v>
      </c>
      <c r="J42" s="146">
        <v>0</v>
      </c>
      <c r="K42" s="146">
        <v>0</v>
      </c>
      <c r="L42" s="146">
        <v>0</v>
      </c>
      <c r="M42" s="146">
        <v>0</v>
      </c>
      <c r="N42" s="146">
        <v>0</v>
      </c>
      <c r="O42" s="146">
        <v>0</v>
      </c>
      <c r="P42" s="146">
        <v>0</v>
      </c>
      <c r="Q42" s="146">
        <v>3.9999999999999994E-2</v>
      </c>
      <c r="R42" s="146">
        <v>0</v>
      </c>
      <c r="S42" s="146">
        <v>9.9999999999999985E-3</v>
      </c>
      <c r="T42" s="146">
        <v>0.01</v>
      </c>
      <c r="U42" s="146">
        <v>0.02</v>
      </c>
      <c r="V42" s="146">
        <v>1.9999999999999997E-2</v>
      </c>
      <c r="W42" s="146">
        <v>0</v>
      </c>
      <c r="X42" s="146">
        <v>0</v>
      </c>
      <c r="Y42" s="146">
        <v>0</v>
      </c>
      <c r="Z42" s="146">
        <v>0</v>
      </c>
      <c r="AA42" s="146">
        <v>0</v>
      </c>
      <c r="AB42" s="146">
        <v>0</v>
      </c>
      <c r="AC42" s="146">
        <v>0</v>
      </c>
      <c r="AD42" s="146">
        <v>0</v>
      </c>
      <c r="AE42" s="146">
        <v>0</v>
      </c>
      <c r="AF42" s="146">
        <v>0</v>
      </c>
      <c r="AG42" s="146">
        <v>0</v>
      </c>
      <c r="AH42" s="146">
        <v>0</v>
      </c>
      <c r="AI42" s="146">
        <v>0</v>
      </c>
      <c r="AJ42" s="146">
        <v>0</v>
      </c>
      <c r="AK42" s="146">
        <v>0</v>
      </c>
      <c r="AL42" s="146">
        <v>0</v>
      </c>
      <c r="AM42" s="146">
        <v>0</v>
      </c>
      <c r="AN42" s="146">
        <v>0</v>
      </c>
      <c r="AO42" s="146">
        <v>0</v>
      </c>
      <c r="AP42" s="146">
        <v>0</v>
      </c>
      <c r="AQ42" s="146">
        <v>0</v>
      </c>
      <c r="AR42" s="146">
        <v>0</v>
      </c>
      <c r="AS42" s="146">
        <v>0</v>
      </c>
      <c r="AT42" s="146">
        <v>0</v>
      </c>
      <c r="AU42" s="146">
        <v>0</v>
      </c>
      <c r="AV42" s="146">
        <v>0</v>
      </c>
      <c r="AW42" s="146">
        <v>0</v>
      </c>
      <c r="AX42" s="146">
        <v>0</v>
      </c>
      <c r="AY42" s="146">
        <v>0</v>
      </c>
      <c r="AZ42" s="146">
        <v>0</v>
      </c>
      <c r="BA42" s="146">
        <v>0</v>
      </c>
      <c r="BB42" s="146">
        <v>0</v>
      </c>
      <c r="BC42" s="146">
        <v>0</v>
      </c>
      <c r="BD42" s="146">
        <v>0</v>
      </c>
      <c r="BE42" s="146">
        <v>0</v>
      </c>
      <c r="BF42" s="146">
        <v>0</v>
      </c>
    </row>
    <row r="43" spans="1:58" x14ac:dyDescent="0.15">
      <c r="A43" s="183" t="s">
        <v>233</v>
      </c>
      <c r="B43" s="146">
        <v>0.23</v>
      </c>
      <c r="C43" s="146">
        <v>0.13900000000000001</v>
      </c>
      <c r="D43" s="146">
        <v>0.03</v>
      </c>
      <c r="E43" s="146">
        <v>0.05</v>
      </c>
      <c r="F43" s="146">
        <v>0</v>
      </c>
      <c r="G43" s="146">
        <v>4.2000000000000003E-2</v>
      </c>
      <c r="H43" s="146">
        <v>0.2</v>
      </c>
      <c r="I43" s="146">
        <v>0.02</v>
      </c>
      <c r="J43" s="146">
        <v>7.9000000000000001E-2</v>
      </c>
      <c r="K43" s="146">
        <v>0.02</v>
      </c>
      <c r="L43" s="146">
        <v>0</v>
      </c>
      <c r="M43" s="146">
        <v>0</v>
      </c>
      <c r="N43" s="146">
        <v>0.16</v>
      </c>
      <c r="O43" s="146">
        <v>9.9999999999999978E-2</v>
      </c>
      <c r="P43" s="146">
        <v>0</v>
      </c>
      <c r="Q43" s="146">
        <v>0.11899999999999997</v>
      </c>
      <c r="R43" s="146">
        <v>0.14000000000000001</v>
      </c>
      <c r="S43" s="146">
        <v>0.23199999999999996</v>
      </c>
      <c r="T43" s="146">
        <v>0.23</v>
      </c>
      <c r="U43" s="146">
        <v>4.7E-2</v>
      </c>
      <c r="V43" s="146">
        <v>2.9999999999999992E-2</v>
      </c>
      <c r="W43" s="146">
        <v>0.20599999999999999</v>
      </c>
      <c r="X43" s="146">
        <v>0</v>
      </c>
      <c r="Y43" s="146">
        <v>0.10249999999999999</v>
      </c>
      <c r="Z43" s="146">
        <v>0.125</v>
      </c>
      <c r="AA43" s="146">
        <v>0.03</v>
      </c>
      <c r="AB43" s="146">
        <v>0.23599999999999999</v>
      </c>
      <c r="AC43" s="146">
        <v>0.33500000000000002</v>
      </c>
      <c r="AD43" s="146">
        <v>0</v>
      </c>
      <c r="AE43" s="146">
        <v>0</v>
      </c>
      <c r="AF43" s="146">
        <v>0</v>
      </c>
      <c r="AG43" s="146">
        <v>7.0000000000000001E-3</v>
      </c>
      <c r="AH43" s="146">
        <v>0</v>
      </c>
      <c r="AI43" s="146">
        <v>0.55000000000000004</v>
      </c>
      <c r="AJ43" s="146">
        <v>3.0000000000000001E-3</v>
      </c>
      <c r="AK43" s="146">
        <v>4.0000000000000001E-3</v>
      </c>
      <c r="AL43" s="146">
        <v>0</v>
      </c>
      <c r="AM43" s="146">
        <v>0</v>
      </c>
      <c r="AN43" s="146">
        <v>0</v>
      </c>
      <c r="AO43" s="146">
        <v>0.25</v>
      </c>
      <c r="AP43" s="146">
        <v>0.25</v>
      </c>
      <c r="AQ43" s="146">
        <v>0.05</v>
      </c>
      <c r="AR43" s="146">
        <v>0</v>
      </c>
      <c r="AS43" s="146">
        <v>0</v>
      </c>
      <c r="AT43" s="146">
        <v>0</v>
      </c>
      <c r="AU43" s="146">
        <v>0</v>
      </c>
      <c r="AV43" s="146">
        <v>0.1</v>
      </c>
      <c r="AW43" s="146">
        <v>0</v>
      </c>
      <c r="AX43" s="146">
        <v>0</v>
      </c>
      <c r="AY43" s="146">
        <v>0</v>
      </c>
      <c r="AZ43" s="146">
        <v>0</v>
      </c>
      <c r="BA43" s="146">
        <v>0</v>
      </c>
      <c r="BB43" s="146">
        <v>0</v>
      </c>
      <c r="BC43" s="146">
        <v>0</v>
      </c>
      <c r="BD43" s="146">
        <v>0</v>
      </c>
      <c r="BE43" s="146">
        <v>0</v>
      </c>
      <c r="BF43" s="146">
        <v>0</v>
      </c>
    </row>
    <row r="44" spans="1:58" x14ac:dyDescent="0.15">
      <c r="A44" s="183" t="s">
        <v>234</v>
      </c>
      <c r="B44" s="146">
        <v>0.22</v>
      </c>
      <c r="C44" s="146">
        <v>0.15</v>
      </c>
      <c r="D44" s="146">
        <v>0.115</v>
      </c>
      <c r="E44" s="146">
        <v>0.05</v>
      </c>
      <c r="F44" s="146">
        <v>0</v>
      </c>
      <c r="G44" s="146">
        <v>0</v>
      </c>
      <c r="H44" s="146">
        <v>0.2</v>
      </c>
      <c r="I44" s="146">
        <v>0.08</v>
      </c>
      <c r="J44" s="146">
        <v>0.183</v>
      </c>
      <c r="K44" s="146">
        <v>0.442</v>
      </c>
      <c r="L44" s="146">
        <v>0.13200000000000001</v>
      </c>
      <c r="M44" s="146">
        <v>0.37</v>
      </c>
      <c r="N44" s="146">
        <v>0.01</v>
      </c>
      <c r="O44" s="146">
        <v>3.599999999999999E-2</v>
      </c>
      <c r="P44" s="146">
        <v>0.56999999999999995</v>
      </c>
      <c r="Q44" s="146">
        <v>0</v>
      </c>
      <c r="R44" s="146">
        <v>0.16</v>
      </c>
      <c r="S44" s="146">
        <v>0</v>
      </c>
      <c r="T44" s="146">
        <v>0</v>
      </c>
      <c r="U44" s="146">
        <v>0</v>
      </c>
      <c r="V44" s="146">
        <v>4.9999999999999989E-2</v>
      </c>
      <c r="W44" s="146">
        <v>0.13900000000000001</v>
      </c>
      <c r="X44" s="146">
        <v>0</v>
      </c>
      <c r="Y44" s="146">
        <v>8.9499999999999996E-2</v>
      </c>
      <c r="Z44" s="146">
        <v>5.5E-2</v>
      </c>
      <c r="AA44" s="146">
        <v>4.3999999999999997E-2</v>
      </c>
      <c r="AB44" s="146">
        <v>0.124</v>
      </c>
      <c r="AC44" s="146">
        <v>0.17</v>
      </c>
      <c r="AD44" s="146">
        <v>0.67000000000000015</v>
      </c>
      <c r="AE44" s="146">
        <v>0.93</v>
      </c>
      <c r="AF44" s="146">
        <v>0.2</v>
      </c>
      <c r="AG44" s="146">
        <v>0.70099999999999996</v>
      </c>
      <c r="AH44" s="146">
        <v>0.15</v>
      </c>
      <c r="AI44" s="146">
        <v>0</v>
      </c>
      <c r="AJ44" s="146">
        <v>7.0000000000000001E-3</v>
      </c>
      <c r="AK44" s="146">
        <v>0</v>
      </c>
      <c r="AL44" s="146">
        <v>0</v>
      </c>
      <c r="AM44" s="146">
        <v>0</v>
      </c>
      <c r="AN44" s="146">
        <v>0.23</v>
      </c>
      <c r="AO44" s="146">
        <v>0.01</v>
      </c>
      <c r="AP44" s="146">
        <v>0.02</v>
      </c>
      <c r="AQ44" s="146">
        <v>0.2</v>
      </c>
      <c r="AR44" s="146">
        <v>0</v>
      </c>
      <c r="AS44" s="146">
        <v>0.05</v>
      </c>
      <c r="AT44" s="146">
        <v>0</v>
      </c>
      <c r="AU44" s="146">
        <v>0.12</v>
      </c>
      <c r="AV44" s="146">
        <v>0.1</v>
      </c>
      <c r="AW44" s="146">
        <v>0.25</v>
      </c>
      <c r="AX44" s="146">
        <v>0.25</v>
      </c>
      <c r="AY44" s="146">
        <v>0</v>
      </c>
      <c r="AZ44" s="146">
        <v>0</v>
      </c>
      <c r="BA44" s="146">
        <v>0</v>
      </c>
      <c r="BB44" s="146">
        <v>0</v>
      </c>
      <c r="BC44" s="146">
        <v>0</v>
      </c>
      <c r="BD44" s="146">
        <v>0</v>
      </c>
      <c r="BE44" s="146">
        <v>0</v>
      </c>
      <c r="BF44" s="146">
        <v>0</v>
      </c>
    </row>
    <row r="45" spans="1:58" x14ac:dyDescent="0.15">
      <c r="A45" s="183" t="s">
        <v>235</v>
      </c>
      <c r="B45" s="146">
        <v>0</v>
      </c>
      <c r="C45" s="146">
        <v>0</v>
      </c>
      <c r="D45" s="146">
        <v>0.41899999999999998</v>
      </c>
      <c r="E45" s="146">
        <v>0</v>
      </c>
      <c r="F45" s="146">
        <v>0</v>
      </c>
      <c r="G45" s="146">
        <v>0</v>
      </c>
      <c r="H45" s="146">
        <v>0.19</v>
      </c>
      <c r="I45" s="146">
        <v>0.02</v>
      </c>
      <c r="J45" s="146">
        <v>0.307</v>
      </c>
      <c r="K45" s="146">
        <v>0.1</v>
      </c>
      <c r="L45" s="146">
        <v>0.30399999999999999</v>
      </c>
      <c r="M45" s="146">
        <v>0.23</v>
      </c>
      <c r="N45" s="146">
        <v>0</v>
      </c>
      <c r="O45" s="146">
        <v>9.9999999999999985E-3</v>
      </c>
      <c r="P45" s="146">
        <v>0.43</v>
      </c>
      <c r="Q45" s="146">
        <v>0</v>
      </c>
      <c r="R45" s="146">
        <v>1.2999999999999999E-2</v>
      </c>
      <c r="S45" s="146">
        <v>0</v>
      </c>
      <c r="T45" s="146">
        <v>0</v>
      </c>
      <c r="U45" s="146">
        <v>0</v>
      </c>
      <c r="V45" s="146">
        <v>0</v>
      </c>
      <c r="W45" s="146">
        <v>9.9000000000000005E-2</v>
      </c>
      <c r="X45" s="146">
        <v>0</v>
      </c>
      <c r="Y45" s="146">
        <v>0.39100000000000001</v>
      </c>
      <c r="Z45" s="146">
        <v>0.29899999999999999</v>
      </c>
      <c r="AA45" s="146">
        <v>0.36799999999999999</v>
      </c>
      <c r="AB45" s="146">
        <v>0.02</v>
      </c>
      <c r="AC45" s="146">
        <v>0</v>
      </c>
      <c r="AD45" s="146">
        <v>0</v>
      </c>
      <c r="AE45" s="146">
        <v>0.05</v>
      </c>
      <c r="AF45" s="146">
        <v>0</v>
      </c>
      <c r="AG45" s="146">
        <v>0.10100000000000001</v>
      </c>
      <c r="AH45" s="146">
        <v>0.22</v>
      </c>
      <c r="AI45" s="146">
        <v>0</v>
      </c>
      <c r="AJ45" s="146">
        <v>9.2999999999999999E-2</v>
      </c>
      <c r="AK45" s="146">
        <v>0.06</v>
      </c>
      <c r="AL45" s="146">
        <v>0.1</v>
      </c>
      <c r="AM45" s="146">
        <v>0</v>
      </c>
      <c r="AN45" s="146">
        <v>0.22</v>
      </c>
      <c r="AO45" s="146">
        <v>0.01</v>
      </c>
      <c r="AP45" s="146">
        <v>0.01</v>
      </c>
      <c r="AQ45" s="146">
        <v>0.32</v>
      </c>
      <c r="AR45" s="146">
        <v>2.5000000000000001E-2</v>
      </c>
      <c r="AS45" s="146">
        <v>0.05</v>
      </c>
      <c r="AT45" s="146">
        <v>0</v>
      </c>
      <c r="AU45" s="146">
        <v>0.33</v>
      </c>
      <c r="AV45" s="146">
        <v>0.15</v>
      </c>
      <c r="AW45" s="146">
        <v>0.45</v>
      </c>
      <c r="AX45" s="146">
        <v>0.25</v>
      </c>
      <c r="AY45" s="146">
        <v>0</v>
      </c>
      <c r="AZ45" s="146">
        <v>0.1</v>
      </c>
      <c r="BA45" s="146">
        <v>0</v>
      </c>
      <c r="BB45" s="146">
        <v>5.0000000000000001E-3</v>
      </c>
      <c r="BC45" s="146">
        <v>0</v>
      </c>
      <c r="BD45" s="146">
        <v>0</v>
      </c>
      <c r="BE45" s="146">
        <v>0</v>
      </c>
      <c r="BF45" s="146">
        <v>0</v>
      </c>
    </row>
    <row r="46" spans="1:58" x14ac:dyDescent="0.15">
      <c r="A46" s="183" t="s">
        <v>236</v>
      </c>
      <c r="B46" s="146">
        <v>0</v>
      </c>
      <c r="C46" s="146">
        <v>0</v>
      </c>
      <c r="D46" s="146">
        <v>0.109</v>
      </c>
      <c r="E46" s="146">
        <v>0</v>
      </c>
      <c r="F46" s="146">
        <v>0</v>
      </c>
      <c r="G46" s="146">
        <v>0</v>
      </c>
      <c r="H46" s="146">
        <v>0</v>
      </c>
      <c r="I46" s="146">
        <v>0</v>
      </c>
      <c r="J46" s="146">
        <v>0.28599999999999998</v>
      </c>
      <c r="K46" s="146">
        <v>0.02</v>
      </c>
      <c r="L46" s="146">
        <v>0.434</v>
      </c>
      <c r="M46" s="146">
        <v>0.4</v>
      </c>
      <c r="N46" s="146">
        <v>0</v>
      </c>
      <c r="O46" s="146">
        <v>0</v>
      </c>
      <c r="P46" s="146">
        <v>0</v>
      </c>
      <c r="Q46" s="146">
        <v>0</v>
      </c>
      <c r="R46" s="146">
        <v>0</v>
      </c>
      <c r="S46" s="146">
        <v>0</v>
      </c>
      <c r="T46" s="146">
        <v>0</v>
      </c>
      <c r="U46" s="146">
        <v>0</v>
      </c>
      <c r="V46" s="146">
        <v>0</v>
      </c>
      <c r="W46" s="146">
        <v>0</v>
      </c>
      <c r="X46" s="146">
        <v>0</v>
      </c>
      <c r="Y46" s="146">
        <v>9.9500000000000005E-2</v>
      </c>
      <c r="Z46" s="146">
        <v>0.14000000000000001</v>
      </c>
      <c r="AA46" s="146">
        <v>8.3000000000000004E-2</v>
      </c>
      <c r="AB46" s="146">
        <v>0</v>
      </c>
      <c r="AC46" s="146">
        <v>0</v>
      </c>
      <c r="AD46" s="146">
        <v>0</v>
      </c>
      <c r="AE46" s="146">
        <v>0</v>
      </c>
      <c r="AF46" s="146">
        <v>0</v>
      </c>
      <c r="AG46" s="146">
        <v>0.05</v>
      </c>
      <c r="AH46" s="146">
        <v>0.22</v>
      </c>
      <c r="AI46" s="146">
        <v>0</v>
      </c>
      <c r="AJ46" s="146">
        <v>0</v>
      </c>
      <c r="AK46" s="146">
        <v>0</v>
      </c>
      <c r="AL46" s="146">
        <v>0</v>
      </c>
      <c r="AM46" s="146">
        <v>0</v>
      </c>
      <c r="AN46" s="146">
        <v>0.22</v>
      </c>
      <c r="AO46" s="146">
        <v>0</v>
      </c>
      <c r="AP46" s="146">
        <v>0</v>
      </c>
      <c r="AQ46" s="146">
        <v>0.18</v>
      </c>
      <c r="AR46" s="146">
        <v>7.4999999999999997E-2</v>
      </c>
      <c r="AS46" s="146">
        <v>0.85</v>
      </c>
      <c r="AT46" s="146">
        <v>0</v>
      </c>
      <c r="AU46" s="146">
        <v>0.3</v>
      </c>
      <c r="AV46" s="146">
        <v>0.1</v>
      </c>
      <c r="AW46" s="146">
        <v>0.25</v>
      </c>
      <c r="AX46" s="146">
        <v>0.25</v>
      </c>
      <c r="AY46" s="146">
        <v>0</v>
      </c>
      <c r="AZ46" s="146">
        <v>0.05</v>
      </c>
      <c r="BA46" s="146">
        <v>0</v>
      </c>
      <c r="BB46" s="146">
        <v>0.01</v>
      </c>
      <c r="BC46" s="146">
        <v>0</v>
      </c>
      <c r="BD46" s="146">
        <v>0</v>
      </c>
      <c r="BE46" s="146">
        <v>0</v>
      </c>
      <c r="BF46" s="146">
        <v>0</v>
      </c>
    </row>
    <row r="47" spans="1:58" x14ac:dyDescent="0.15">
      <c r="A47" s="183" t="s">
        <v>237</v>
      </c>
      <c r="B47" s="146">
        <v>0</v>
      </c>
      <c r="C47" s="146">
        <v>0</v>
      </c>
      <c r="D47" s="146">
        <v>0</v>
      </c>
      <c r="E47" s="146">
        <v>0</v>
      </c>
      <c r="F47" s="146">
        <v>0</v>
      </c>
      <c r="G47" s="146">
        <v>0</v>
      </c>
      <c r="H47" s="146">
        <v>0</v>
      </c>
      <c r="I47" s="146">
        <v>0.13</v>
      </c>
      <c r="J47" s="146">
        <v>7.0000000000000001E-3</v>
      </c>
      <c r="K47" s="146">
        <v>0</v>
      </c>
      <c r="L47" s="146">
        <v>0</v>
      </c>
      <c r="M47" s="146">
        <v>0</v>
      </c>
      <c r="N47" s="146">
        <v>0</v>
      </c>
      <c r="O47" s="146">
        <v>0</v>
      </c>
      <c r="P47" s="146">
        <v>0</v>
      </c>
      <c r="Q47" s="146">
        <v>0</v>
      </c>
      <c r="R47" s="146">
        <v>0</v>
      </c>
      <c r="S47" s="146">
        <v>0</v>
      </c>
      <c r="T47" s="146">
        <v>0</v>
      </c>
      <c r="U47" s="146">
        <v>0</v>
      </c>
      <c r="V47" s="146">
        <v>0</v>
      </c>
      <c r="W47" s="146">
        <v>3.6999999999999998E-2</v>
      </c>
      <c r="X47" s="146">
        <v>0</v>
      </c>
      <c r="Y47" s="146">
        <v>5.4999999999999997E-3</v>
      </c>
      <c r="Z47" s="146">
        <v>0.109</v>
      </c>
      <c r="AA47" s="146">
        <v>3.0000000000000001E-3</v>
      </c>
      <c r="AB47" s="146">
        <v>0</v>
      </c>
      <c r="AC47" s="146">
        <v>0</v>
      </c>
      <c r="AD47" s="146">
        <v>0</v>
      </c>
      <c r="AE47" s="146">
        <v>0</v>
      </c>
      <c r="AF47" s="146">
        <v>0</v>
      </c>
      <c r="AG47" s="146">
        <v>0</v>
      </c>
      <c r="AH47" s="146">
        <v>0.19</v>
      </c>
      <c r="AI47" s="146">
        <v>0</v>
      </c>
      <c r="AJ47" s="146">
        <v>0</v>
      </c>
      <c r="AK47" s="146">
        <v>0</v>
      </c>
      <c r="AL47" s="146">
        <v>0</v>
      </c>
      <c r="AM47" s="146">
        <v>0</v>
      </c>
      <c r="AN47" s="146">
        <v>0</v>
      </c>
      <c r="AO47" s="146">
        <v>0</v>
      </c>
      <c r="AP47" s="146">
        <v>0</v>
      </c>
      <c r="AQ47" s="146">
        <v>0</v>
      </c>
      <c r="AR47" s="146">
        <v>0</v>
      </c>
      <c r="AS47" s="146">
        <v>0</v>
      </c>
      <c r="AT47" s="146">
        <v>0</v>
      </c>
      <c r="AU47" s="146">
        <v>0.05</v>
      </c>
      <c r="AV47" s="146">
        <v>0</v>
      </c>
      <c r="AW47" s="146">
        <v>0</v>
      </c>
      <c r="AX47" s="146">
        <v>0</v>
      </c>
      <c r="AY47" s="146">
        <v>0</v>
      </c>
      <c r="AZ47" s="146">
        <v>0</v>
      </c>
      <c r="BA47" s="146">
        <v>0</v>
      </c>
      <c r="BB47" s="146">
        <v>0</v>
      </c>
      <c r="BC47" s="146">
        <v>0</v>
      </c>
      <c r="BD47" s="146">
        <v>0</v>
      </c>
      <c r="BE47" s="146">
        <v>0</v>
      </c>
      <c r="BF47" s="146">
        <v>0</v>
      </c>
    </row>
    <row r="48" spans="1:58" x14ac:dyDescent="0.15">
      <c r="A48" s="183" t="s">
        <v>238</v>
      </c>
      <c r="B48" s="146">
        <v>0</v>
      </c>
      <c r="C48" s="146">
        <v>0</v>
      </c>
      <c r="D48" s="146">
        <v>0</v>
      </c>
      <c r="E48" s="146">
        <v>0</v>
      </c>
      <c r="F48" s="146">
        <v>0</v>
      </c>
      <c r="G48" s="146">
        <v>0.01</v>
      </c>
      <c r="H48" s="146">
        <v>0</v>
      </c>
      <c r="I48" s="146">
        <v>0.05</v>
      </c>
      <c r="J48" s="146">
        <v>0</v>
      </c>
      <c r="K48" s="146">
        <v>0</v>
      </c>
      <c r="L48" s="146">
        <v>0</v>
      </c>
      <c r="M48" s="146">
        <v>0</v>
      </c>
      <c r="N48" s="146">
        <v>0.01</v>
      </c>
      <c r="O48" s="146">
        <v>9.9999999999999985E-3</v>
      </c>
      <c r="P48" s="146">
        <v>0</v>
      </c>
      <c r="Q48" s="146">
        <v>0.20979999999999993</v>
      </c>
      <c r="R48" s="146">
        <v>0</v>
      </c>
      <c r="S48" s="146">
        <v>1.9999999999999997E-2</v>
      </c>
      <c r="T48" s="146">
        <v>0.01</v>
      </c>
      <c r="U48" s="146">
        <v>0.1</v>
      </c>
      <c r="V48" s="146">
        <v>0.54999999999999993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6">
        <v>0</v>
      </c>
      <c r="AY48" s="146">
        <v>0</v>
      </c>
      <c r="AZ48" s="146">
        <v>0</v>
      </c>
      <c r="BA48" s="146">
        <v>0</v>
      </c>
      <c r="BB48" s="146">
        <v>0</v>
      </c>
      <c r="BC48" s="146">
        <v>0</v>
      </c>
      <c r="BD48" s="146">
        <v>0</v>
      </c>
      <c r="BE48" s="146">
        <v>0</v>
      </c>
      <c r="BF48" s="146">
        <v>0</v>
      </c>
    </row>
    <row r="49" spans="1:58" x14ac:dyDescent="0.15">
      <c r="A49" s="183" t="s">
        <v>239</v>
      </c>
      <c r="B49" s="146">
        <v>0</v>
      </c>
      <c r="C49" s="146">
        <v>2.8000000000000001E-2</v>
      </c>
      <c r="D49" s="146">
        <v>0.01</v>
      </c>
      <c r="E49" s="146">
        <v>0</v>
      </c>
      <c r="F49" s="146">
        <v>0.01</v>
      </c>
      <c r="G49" s="146">
        <v>0</v>
      </c>
      <c r="H49" s="146">
        <v>0.01</v>
      </c>
      <c r="I49" s="146">
        <v>0</v>
      </c>
      <c r="J49" s="146">
        <v>0.01</v>
      </c>
      <c r="K49" s="146">
        <v>0</v>
      </c>
      <c r="L49" s="146">
        <v>0</v>
      </c>
      <c r="M49" s="146">
        <v>0</v>
      </c>
      <c r="N49" s="146">
        <v>0.04</v>
      </c>
      <c r="O49" s="146">
        <v>4.6999999999999986E-2</v>
      </c>
      <c r="P49" s="146">
        <v>0</v>
      </c>
      <c r="Q49" s="146">
        <v>0.10999999999999997</v>
      </c>
      <c r="R49" s="146">
        <v>0.03</v>
      </c>
      <c r="S49" s="146">
        <v>1.9999999999999997E-2</v>
      </c>
      <c r="T49" s="146">
        <v>0.01</v>
      </c>
      <c r="U49" s="146">
        <v>6.7000000000000004E-2</v>
      </c>
      <c r="V49" s="146">
        <v>4.9999999999999989E-2</v>
      </c>
      <c r="W49" s="146">
        <v>0</v>
      </c>
      <c r="X49" s="146">
        <v>0</v>
      </c>
      <c r="Y49" s="146">
        <v>0.10199999999999999</v>
      </c>
      <c r="Z49" s="146">
        <v>0.02</v>
      </c>
      <c r="AA49" s="146">
        <v>0.4</v>
      </c>
      <c r="AB49" s="146">
        <v>0.34499999999999997</v>
      </c>
      <c r="AC49" s="146">
        <v>0.22500000000000001</v>
      </c>
      <c r="AD49" s="146">
        <v>0</v>
      </c>
      <c r="AE49" s="146">
        <v>0</v>
      </c>
      <c r="AF49" s="146">
        <v>0.1</v>
      </c>
      <c r="AG49" s="146">
        <v>0</v>
      </c>
      <c r="AH49" s="146">
        <v>0</v>
      </c>
      <c r="AI49" s="146">
        <v>0</v>
      </c>
      <c r="AJ49" s="146">
        <v>5.0000000000000001E-3</v>
      </c>
      <c r="AK49" s="146">
        <v>0</v>
      </c>
      <c r="AL49" s="146">
        <v>0</v>
      </c>
      <c r="AM49" s="146">
        <v>0</v>
      </c>
      <c r="AN49" s="146">
        <v>0</v>
      </c>
      <c r="AO49" s="146">
        <v>0.01</v>
      </c>
      <c r="AP49" s="146">
        <v>0.6</v>
      </c>
      <c r="AQ49" s="146">
        <v>0</v>
      </c>
      <c r="AR49" s="146">
        <v>0</v>
      </c>
      <c r="AS49" s="146">
        <v>0</v>
      </c>
      <c r="AT49" s="146">
        <v>0</v>
      </c>
      <c r="AU49" s="146">
        <v>0</v>
      </c>
      <c r="AV49" s="146">
        <v>0.5</v>
      </c>
      <c r="AW49" s="146">
        <v>0.05</v>
      </c>
      <c r="AX49" s="146">
        <v>0</v>
      </c>
      <c r="AY49" s="146">
        <v>0</v>
      </c>
      <c r="AZ49" s="146">
        <v>0</v>
      </c>
      <c r="BA49" s="146">
        <v>0</v>
      </c>
      <c r="BB49" s="146">
        <v>0</v>
      </c>
      <c r="BC49" s="146">
        <v>0</v>
      </c>
      <c r="BD49" s="146">
        <v>0</v>
      </c>
      <c r="BE49" s="146">
        <v>0</v>
      </c>
      <c r="BF49" s="146">
        <v>0</v>
      </c>
    </row>
    <row r="50" spans="1:58" x14ac:dyDescent="0.15">
      <c r="A50" s="183" t="s">
        <v>240</v>
      </c>
      <c r="B50" s="146">
        <v>0.15</v>
      </c>
      <c r="C50" s="146">
        <v>0.11</v>
      </c>
      <c r="D50" s="146">
        <v>5.6000000000000001E-2</v>
      </c>
      <c r="E50" s="146">
        <v>0.05</v>
      </c>
      <c r="F50" s="146">
        <v>0.3</v>
      </c>
      <c r="G50" s="146">
        <v>0</v>
      </c>
      <c r="H50" s="146">
        <v>0</v>
      </c>
      <c r="I50" s="146">
        <v>0.08</v>
      </c>
      <c r="J50" s="146">
        <v>1.7000000000000001E-2</v>
      </c>
      <c r="K50" s="146">
        <v>0.15</v>
      </c>
      <c r="L50" s="146">
        <v>0.01</v>
      </c>
      <c r="M50" s="146">
        <v>0</v>
      </c>
      <c r="N50" s="146">
        <v>0</v>
      </c>
      <c r="O50" s="146">
        <v>1.4999999999999996E-2</v>
      </c>
      <c r="P50" s="146">
        <v>0</v>
      </c>
      <c r="Q50" s="146">
        <v>0</v>
      </c>
      <c r="R50" s="146">
        <v>1E-3</v>
      </c>
      <c r="S50" s="146">
        <v>0</v>
      </c>
      <c r="T50" s="146">
        <v>0</v>
      </c>
      <c r="U50" s="146">
        <v>0</v>
      </c>
      <c r="V50" s="146">
        <v>2.9999999999999992E-2</v>
      </c>
      <c r="W50" s="146">
        <v>8.0000000000000002E-3</v>
      </c>
      <c r="X50" s="146">
        <v>0.01</v>
      </c>
      <c r="Y50" s="146">
        <v>1.4E-2</v>
      </c>
      <c r="Z50" s="146">
        <v>1.2E-2</v>
      </c>
      <c r="AA50" s="146">
        <v>1E-3</v>
      </c>
      <c r="AB50" s="146">
        <v>0</v>
      </c>
      <c r="AC50" s="146">
        <v>0</v>
      </c>
      <c r="AD50" s="146">
        <v>0.19000000000000003</v>
      </c>
      <c r="AE50" s="146">
        <v>0</v>
      </c>
      <c r="AF50" s="146">
        <v>0.13</v>
      </c>
      <c r="AG50" s="146">
        <v>1E-3</v>
      </c>
      <c r="AH50" s="146">
        <v>0</v>
      </c>
      <c r="AI50" s="146">
        <v>0</v>
      </c>
      <c r="AJ50" s="146">
        <v>2.1999999999999999E-2</v>
      </c>
      <c r="AK50" s="146">
        <v>1E-3</v>
      </c>
      <c r="AL50" s="146">
        <v>0</v>
      </c>
      <c r="AM50" s="146">
        <v>0.1</v>
      </c>
      <c r="AN50" s="146">
        <v>0.01</v>
      </c>
      <c r="AO50" s="146">
        <v>0.03</v>
      </c>
      <c r="AP50" s="146">
        <v>0.02</v>
      </c>
      <c r="AQ50" s="146">
        <v>0.03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6">
        <v>0</v>
      </c>
      <c r="AY50" s="146">
        <v>0</v>
      </c>
      <c r="AZ50" s="146">
        <v>0</v>
      </c>
      <c r="BA50" s="146">
        <v>0</v>
      </c>
      <c r="BB50" s="146">
        <v>0</v>
      </c>
      <c r="BC50" s="146">
        <v>0</v>
      </c>
      <c r="BD50" s="146">
        <v>0</v>
      </c>
      <c r="BE50" s="146">
        <v>0</v>
      </c>
      <c r="BF50" s="146">
        <v>0</v>
      </c>
    </row>
    <row r="51" spans="1:58" x14ac:dyDescent="0.15">
      <c r="A51" s="183" t="s">
        <v>241</v>
      </c>
      <c r="B51" s="146">
        <v>0</v>
      </c>
      <c r="C51" s="146">
        <v>0</v>
      </c>
      <c r="D51" s="146">
        <v>5.6000000000000001E-2</v>
      </c>
      <c r="E51" s="146">
        <v>0.22</v>
      </c>
      <c r="F51" s="146">
        <v>0.19</v>
      </c>
      <c r="G51" s="146">
        <v>0.33</v>
      </c>
      <c r="H51" s="146">
        <v>0</v>
      </c>
      <c r="I51" s="146">
        <v>0.04</v>
      </c>
      <c r="J51" s="146">
        <v>1.7000000000000001E-2</v>
      </c>
      <c r="K51" s="146">
        <v>0.02</v>
      </c>
      <c r="L51" s="146">
        <v>0</v>
      </c>
      <c r="M51" s="146">
        <v>0</v>
      </c>
      <c r="N51" s="146">
        <v>0</v>
      </c>
      <c r="O51" s="146">
        <v>0</v>
      </c>
      <c r="P51" s="146">
        <v>0</v>
      </c>
      <c r="Q51" s="146">
        <v>0</v>
      </c>
      <c r="R51" s="146">
        <v>1.2E-2</v>
      </c>
      <c r="S51" s="146">
        <v>0</v>
      </c>
      <c r="T51" s="146">
        <v>0</v>
      </c>
      <c r="U51" s="146">
        <v>0</v>
      </c>
      <c r="V51" s="146">
        <v>2.9999999999999992E-2</v>
      </c>
      <c r="W51" s="146">
        <v>7.2999999999999995E-2</v>
      </c>
      <c r="X51" s="146">
        <v>0.13</v>
      </c>
      <c r="Y51" s="146">
        <v>1.4E-2</v>
      </c>
      <c r="Z51" s="146">
        <v>1.2E-2</v>
      </c>
      <c r="AA51" s="146">
        <v>0</v>
      </c>
      <c r="AB51" s="146">
        <v>0</v>
      </c>
      <c r="AC51" s="146">
        <v>4.3999999999999997E-2</v>
      </c>
      <c r="AD51" s="146">
        <v>0</v>
      </c>
      <c r="AE51" s="146">
        <v>0</v>
      </c>
      <c r="AF51" s="146">
        <v>0.05</v>
      </c>
      <c r="AG51" s="146">
        <v>0</v>
      </c>
      <c r="AH51" s="146">
        <v>0</v>
      </c>
      <c r="AI51" s="146">
        <v>0</v>
      </c>
      <c r="AJ51" s="146">
        <v>5.1999999999999998E-2</v>
      </c>
      <c r="AK51" s="146">
        <v>1.4999999999999999E-2</v>
      </c>
      <c r="AL51" s="146">
        <v>0</v>
      </c>
      <c r="AM51" s="146">
        <v>0.05</v>
      </c>
      <c r="AN51" s="146">
        <v>0</v>
      </c>
      <c r="AO51" s="146">
        <v>0.04</v>
      </c>
      <c r="AP51" s="146">
        <v>0</v>
      </c>
      <c r="AQ51" s="146">
        <v>0.01</v>
      </c>
      <c r="AR51" s="146">
        <v>0</v>
      </c>
      <c r="AS51" s="146">
        <v>0</v>
      </c>
      <c r="AT51" s="146">
        <v>0</v>
      </c>
      <c r="AU51" s="146">
        <v>0</v>
      </c>
      <c r="AV51" s="146">
        <v>0</v>
      </c>
      <c r="AW51" s="146">
        <v>0</v>
      </c>
      <c r="AX51" s="146">
        <v>0</v>
      </c>
      <c r="AY51" s="146">
        <v>0.05</v>
      </c>
      <c r="AZ51" s="146">
        <v>0</v>
      </c>
      <c r="BA51" s="146">
        <v>0</v>
      </c>
      <c r="BB51" s="146">
        <v>0</v>
      </c>
      <c r="BC51" s="146">
        <v>0</v>
      </c>
      <c r="BD51" s="146">
        <v>0</v>
      </c>
      <c r="BE51" s="146">
        <v>0</v>
      </c>
      <c r="BF51" s="146">
        <v>0</v>
      </c>
    </row>
    <row r="52" spans="1:58" x14ac:dyDescent="0.15">
      <c r="A52" s="183" t="s">
        <v>242</v>
      </c>
      <c r="B52" s="146">
        <v>0</v>
      </c>
      <c r="C52" s="146">
        <v>0</v>
      </c>
      <c r="D52" s="146">
        <v>0</v>
      </c>
      <c r="E52" s="146">
        <v>0.01</v>
      </c>
      <c r="F52" s="146">
        <v>0</v>
      </c>
      <c r="G52" s="146">
        <v>0</v>
      </c>
      <c r="H52" s="146">
        <v>0</v>
      </c>
      <c r="I52" s="146">
        <v>0</v>
      </c>
      <c r="J52" s="146">
        <v>0</v>
      </c>
      <c r="K52" s="146">
        <v>0</v>
      </c>
      <c r="L52" s="146">
        <v>0</v>
      </c>
      <c r="M52" s="146">
        <v>0</v>
      </c>
      <c r="N52" s="146">
        <v>0</v>
      </c>
      <c r="O52" s="146">
        <v>0</v>
      </c>
      <c r="P52" s="146">
        <v>0</v>
      </c>
      <c r="Q52" s="146">
        <v>0</v>
      </c>
      <c r="R52" s="146">
        <v>0.09</v>
      </c>
      <c r="S52" s="146">
        <v>0</v>
      </c>
      <c r="T52" s="146">
        <v>0</v>
      </c>
      <c r="U52" s="146">
        <v>0</v>
      </c>
      <c r="V52" s="146">
        <v>0</v>
      </c>
      <c r="W52" s="146">
        <v>4.0000000000000001E-3</v>
      </c>
      <c r="X52" s="146">
        <v>0.17</v>
      </c>
      <c r="Y52" s="146">
        <v>5.0000000000000001E-4</v>
      </c>
      <c r="Z52" s="146">
        <v>5.0000000000000001E-3</v>
      </c>
      <c r="AA52" s="146">
        <v>0</v>
      </c>
      <c r="AB52" s="146">
        <v>0</v>
      </c>
      <c r="AC52" s="146">
        <v>0</v>
      </c>
      <c r="AD52" s="146">
        <v>0</v>
      </c>
      <c r="AE52" s="146">
        <v>0</v>
      </c>
      <c r="AF52" s="146">
        <v>0</v>
      </c>
      <c r="AG52" s="146">
        <v>0</v>
      </c>
      <c r="AH52" s="146">
        <v>0.02</v>
      </c>
      <c r="AI52" s="146">
        <v>0</v>
      </c>
      <c r="AJ52" s="146">
        <v>0.157</v>
      </c>
      <c r="AK52" s="146">
        <v>0.02</v>
      </c>
      <c r="AL52" s="146">
        <v>0.35</v>
      </c>
      <c r="AM52" s="146">
        <v>0</v>
      </c>
      <c r="AN52" s="146">
        <v>0</v>
      </c>
      <c r="AO52" s="146">
        <v>0.01</v>
      </c>
      <c r="AP52" s="146">
        <v>0</v>
      </c>
      <c r="AQ52" s="146">
        <v>0</v>
      </c>
      <c r="AR52" s="146">
        <v>0</v>
      </c>
      <c r="AS52" s="146">
        <v>0</v>
      </c>
      <c r="AT52" s="146">
        <v>0</v>
      </c>
      <c r="AU52" s="146">
        <v>0</v>
      </c>
      <c r="AV52" s="146">
        <v>0</v>
      </c>
      <c r="AW52" s="146">
        <v>0</v>
      </c>
      <c r="AX52" s="146">
        <v>0</v>
      </c>
      <c r="AY52" s="146">
        <v>0.1</v>
      </c>
      <c r="AZ52" s="146">
        <v>0</v>
      </c>
      <c r="BA52" s="146">
        <v>0</v>
      </c>
      <c r="BB52" s="146">
        <v>0</v>
      </c>
      <c r="BC52" s="146">
        <v>0</v>
      </c>
      <c r="BD52" s="146">
        <v>0</v>
      </c>
      <c r="BE52" s="146">
        <v>0</v>
      </c>
      <c r="BF52" s="146">
        <v>0</v>
      </c>
    </row>
    <row r="53" spans="1:58" x14ac:dyDescent="0.15">
      <c r="A53" s="183" t="s">
        <v>243</v>
      </c>
      <c r="B53" s="146">
        <v>0</v>
      </c>
      <c r="C53" s="146">
        <v>0</v>
      </c>
      <c r="D53" s="146">
        <v>0</v>
      </c>
      <c r="E53" s="146">
        <v>0.02</v>
      </c>
      <c r="F53" s="146">
        <v>0</v>
      </c>
      <c r="G53" s="146">
        <v>0</v>
      </c>
      <c r="H53" s="146">
        <v>0</v>
      </c>
      <c r="I53" s="146">
        <v>0</v>
      </c>
      <c r="J53" s="146">
        <v>0</v>
      </c>
      <c r="K53" s="146">
        <v>0.02</v>
      </c>
      <c r="L53" s="146">
        <v>0</v>
      </c>
      <c r="M53" s="146">
        <v>0</v>
      </c>
      <c r="N53" s="146">
        <v>0</v>
      </c>
      <c r="O53" s="146">
        <v>0</v>
      </c>
      <c r="P53" s="146">
        <v>0</v>
      </c>
      <c r="Q53" s="146">
        <v>0</v>
      </c>
      <c r="R53" s="146">
        <v>0.05</v>
      </c>
      <c r="S53" s="146">
        <v>0</v>
      </c>
      <c r="T53" s="146">
        <v>0</v>
      </c>
      <c r="U53" s="146">
        <v>0</v>
      </c>
      <c r="V53" s="146">
        <v>0</v>
      </c>
      <c r="W53" s="146">
        <v>0</v>
      </c>
      <c r="X53" s="146">
        <v>0.18</v>
      </c>
      <c r="Y53" s="146">
        <v>0</v>
      </c>
      <c r="Z53" s="146">
        <v>0</v>
      </c>
      <c r="AA53" s="146">
        <v>0</v>
      </c>
      <c r="AB53" s="146">
        <v>0</v>
      </c>
      <c r="AC53" s="146">
        <v>0</v>
      </c>
      <c r="AD53" s="146">
        <v>0</v>
      </c>
      <c r="AE53" s="146">
        <v>0</v>
      </c>
      <c r="AF53" s="146">
        <v>0</v>
      </c>
      <c r="AG53" s="146">
        <v>0</v>
      </c>
      <c r="AH53" s="146">
        <v>0</v>
      </c>
      <c r="AI53" s="146">
        <v>0</v>
      </c>
      <c r="AJ53" s="146">
        <v>8.1000000000000003E-2</v>
      </c>
      <c r="AK53" s="146">
        <v>3.0000000000000001E-3</v>
      </c>
      <c r="AL53" s="146">
        <v>0</v>
      </c>
      <c r="AM53" s="146">
        <v>0.2</v>
      </c>
      <c r="AN53" s="146">
        <v>0</v>
      </c>
      <c r="AO53" s="146">
        <v>0.04</v>
      </c>
      <c r="AP53" s="146">
        <v>0</v>
      </c>
      <c r="AQ53" s="146">
        <v>0</v>
      </c>
      <c r="AR53" s="146">
        <v>0</v>
      </c>
      <c r="AS53" s="146">
        <v>0</v>
      </c>
      <c r="AT53" s="146">
        <v>0</v>
      </c>
      <c r="AU53" s="146">
        <v>0</v>
      </c>
      <c r="AV53" s="146">
        <v>0</v>
      </c>
      <c r="AW53" s="146">
        <v>0</v>
      </c>
      <c r="AX53" s="146">
        <v>0</v>
      </c>
      <c r="AY53" s="146">
        <v>0.01</v>
      </c>
      <c r="AZ53" s="146">
        <v>0</v>
      </c>
      <c r="BA53" s="146">
        <v>0</v>
      </c>
      <c r="BB53" s="146">
        <v>0</v>
      </c>
      <c r="BC53" s="146">
        <v>0</v>
      </c>
      <c r="BD53" s="146">
        <v>0</v>
      </c>
      <c r="BE53" s="146">
        <v>0</v>
      </c>
      <c r="BF53" s="146">
        <v>0</v>
      </c>
    </row>
    <row r="54" spans="1:58" x14ac:dyDescent="0.15">
      <c r="A54" s="183" t="s">
        <v>244</v>
      </c>
      <c r="B54" s="146">
        <v>0.25</v>
      </c>
      <c r="C54" s="146">
        <v>0.29899999999999999</v>
      </c>
      <c r="D54" s="146">
        <v>0.17499999999999999</v>
      </c>
      <c r="E54" s="146">
        <v>0.38900000000000001</v>
      </c>
      <c r="F54" s="146">
        <v>0.34200000000000003</v>
      </c>
      <c r="G54" s="146">
        <v>0.19800000000000001</v>
      </c>
      <c r="H54" s="146">
        <v>0.25</v>
      </c>
      <c r="I54" s="146">
        <v>0.15</v>
      </c>
      <c r="J54" s="146">
        <v>1.4999999999999999E-2</v>
      </c>
      <c r="K54" s="146">
        <v>0.14499999999999999</v>
      </c>
      <c r="L54" s="146">
        <v>0.12</v>
      </c>
      <c r="M54" s="146">
        <v>0</v>
      </c>
      <c r="N54" s="146">
        <v>2.8000000000000001E-2</v>
      </c>
      <c r="O54" s="146">
        <v>7.7999999999999986E-2</v>
      </c>
      <c r="P54" s="146">
        <v>0</v>
      </c>
      <c r="Q54" s="146">
        <v>0</v>
      </c>
      <c r="R54" s="146">
        <v>0.496</v>
      </c>
      <c r="S54" s="146">
        <v>3.7999999999999992E-2</v>
      </c>
      <c r="T54" s="146">
        <v>2.7E-2</v>
      </c>
      <c r="U54" s="146">
        <v>0</v>
      </c>
      <c r="V54" s="146">
        <v>0</v>
      </c>
      <c r="W54" s="146">
        <v>0.19500000000000001</v>
      </c>
      <c r="X54" s="146">
        <v>0.5</v>
      </c>
      <c r="Y54" s="146">
        <v>8.7499999999999994E-2</v>
      </c>
      <c r="Z54" s="146">
        <v>0.13800000000000001</v>
      </c>
      <c r="AA54" s="146">
        <v>1.4999999999999999E-2</v>
      </c>
      <c r="AB54" s="146">
        <v>0</v>
      </c>
      <c r="AC54" s="146">
        <v>0</v>
      </c>
      <c r="AD54" s="146">
        <v>7.8000000000000014E-2</v>
      </c>
      <c r="AE54" s="146">
        <v>0.02</v>
      </c>
      <c r="AF54" s="146">
        <v>0.42</v>
      </c>
      <c r="AG54" s="146">
        <v>4.7E-2</v>
      </c>
      <c r="AH54" s="146">
        <v>0.158</v>
      </c>
      <c r="AI54" s="146">
        <v>0.1</v>
      </c>
      <c r="AJ54" s="146">
        <v>0.54300000000000004</v>
      </c>
      <c r="AK54" s="146">
        <v>0.73299999999999998</v>
      </c>
      <c r="AL54" s="146">
        <v>0.55000000000000004</v>
      </c>
      <c r="AM54" s="146">
        <v>0.60899999999999999</v>
      </c>
      <c r="AN54" s="146">
        <v>0.32</v>
      </c>
      <c r="AO54" s="146">
        <v>0.56999999999999995</v>
      </c>
      <c r="AP54" s="146">
        <v>0</v>
      </c>
      <c r="AQ54" s="146">
        <v>0.16</v>
      </c>
      <c r="AR54" s="146">
        <v>0</v>
      </c>
      <c r="AS54" s="146">
        <v>0</v>
      </c>
      <c r="AT54" s="146">
        <v>0</v>
      </c>
      <c r="AU54" s="146">
        <v>0</v>
      </c>
      <c r="AV54" s="146">
        <v>0</v>
      </c>
      <c r="AW54" s="146">
        <v>0</v>
      </c>
      <c r="AX54" s="146">
        <v>0</v>
      </c>
      <c r="AY54" s="146">
        <v>0.55000000000000004</v>
      </c>
      <c r="AZ54" s="146">
        <v>0</v>
      </c>
      <c r="BA54" s="146">
        <v>0.7</v>
      </c>
      <c r="BB54" s="146">
        <v>0.05</v>
      </c>
      <c r="BC54" s="146">
        <v>0</v>
      </c>
      <c r="BD54" s="146">
        <v>0</v>
      </c>
      <c r="BE54" s="146">
        <v>0</v>
      </c>
      <c r="BF54" s="146">
        <v>0</v>
      </c>
    </row>
    <row r="55" spans="1:58" x14ac:dyDescent="0.15">
      <c r="A55" s="183" t="s">
        <v>245</v>
      </c>
      <c r="B55" s="146">
        <v>0</v>
      </c>
      <c r="C55" s="146">
        <v>0</v>
      </c>
      <c r="D55" s="146">
        <v>0</v>
      </c>
      <c r="E55" s="146">
        <v>0</v>
      </c>
      <c r="F55" s="146">
        <v>0</v>
      </c>
      <c r="G55" s="146">
        <v>0</v>
      </c>
      <c r="H55" s="146">
        <v>0</v>
      </c>
      <c r="I55" s="146">
        <v>0</v>
      </c>
      <c r="J55" s="146">
        <v>0</v>
      </c>
      <c r="K55" s="146">
        <v>0</v>
      </c>
      <c r="L55" s="146">
        <v>0</v>
      </c>
      <c r="M55" s="146">
        <v>0</v>
      </c>
      <c r="N55" s="146">
        <v>0</v>
      </c>
      <c r="O55" s="146">
        <v>0</v>
      </c>
      <c r="P55" s="146">
        <v>0</v>
      </c>
      <c r="Q55" s="146">
        <v>0</v>
      </c>
      <c r="R55" s="146">
        <v>0</v>
      </c>
      <c r="S55" s="146">
        <v>0</v>
      </c>
      <c r="T55" s="146">
        <v>0</v>
      </c>
      <c r="U55" s="146">
        <v>0</v>
      </c>
      <c r="V55" s="146">
        <v>0</v>
      </c>
      <c r="W55" s="146">
        <v>0</v>
      </c>
      <c r="X55" s="146">
        <v>0</v>
      </c>
      <c r="Y55" s="146">
        <v>0</v>
      </c>
      <c r="Z55" s="146">
        <v>0</v>
      </c>
      <c r="AA55" s="146">
        <v>0</v>
      </c>
      <c r="AB55" s="146">
        <v>0</v>
      </c>
      <c r="AC55" s="146">
        <v>0</v>
      </c>
      <c r="AD55" s="146">
        <v>0</v>
      </c>
      <c r="AE55" s="146">
        <v>0</v>
      </c>
      <c r="AF55" s="146">
        <v>0</v>
      </c>
      <c r="AG55" s="146">
        <v>0</v>
      </c>
      <c r="AH55" s="146">
        <v>0</v>
      </c>
      <c r="AI55" s="146">
        <v>0</v>
      </c>
      <c r="AJ55" s="146">
        <v>0</v>
      </c>
      <c r="AK55" s="146">
        <v>0</v>
      </c>
      <c r="AL55" s="146">
        <v>0</v>
      </c>
      <c r="AM55" s="146">
        <v>0</v>
      </c>
      <c r="AN55" s="146">
        <v>0</v>
      </c>
      <c r="AO55" s="146">
        <v>0</v>
      </c>
      <c r="AP55" s="146">
        <v>0</v>
      </c>
      <c r="AQ55" s="146">
        <v>0</v>
      </c>
      <c r="AR55" s="146">
        <v>0.9</v>
      </c>
      <c r="AS55" s="146">
        <v>0.05</v>
      </c>
      <c r="AT55" s="146">
        <v>1</v>
      </c>
      <c r="AU55" s="146">
        <v>0.2</v>
      </c>
      <c r="AV55" s="146">
        <v>0</v>
      </c>
      <c r="AW55" s="146">
        <v>0</v>
      </c>
      <c r="AX55" s="146">
        <v>0</v>
      </c>
      <c r="AY55" s="146">
        <v>0</v>
      </c>
      <c r="AZ55" s="146">
        <v>0.55000000000000004</v>
      </c>
      <c r="BA55" s="146">
        <v>0</v>
      </c>
      <c r="BB55" s="146">
        <v>0.4</v>
      </c>
      <c r="BC55" s="146">
        <v>0</v>
      </c>
      <c r="BD55" s="146">
        <v>0</v>
      </c>
      <c r="BE55" s="146">
        <v>0</v>
      </c>
      <c r="BF55" s="146">
        <v>0</v>
      </c>
    </row>
    <row r="56" spans="1:58" x14ac:dyDescent="0.15">
      <c r="A56" s="183" t="s">
        <v>67</v>
      </c>
      <c r="B56" s="146">
        <v>0</v>
      </c>
      <c r="C56" s="146">
        <v>0</v>
      </c>
      <c r="D56" s="146">
        <v>0</v>
      </c>
      <c r="E56" s="146">
        <v>0</v>
      </c>
      <c r="F56" s="146">
        <v>0</v>
      </c>
      <c r="G56" s="146">
        <v>0</v>
      </c>
      <c r="H56" s="146">
        <v>0</v>
      </c>
      <c r="I56" s="146">
        <v>0</v>
      </c>
      <c r="J56" s="146">
        <v>0</v>
      </c>
      <c r="K56" s="146">
        <v>0</v>
      </c>
      <c r="L56" s="146">
        <v>0</v>
      </c>
      <c r="M56" s="146">
        <v>0</v>
      </c>
      <c r="N56" s="146">
        <v>0</v>
      </c>
      <c r="O56" s="146">
        <v>0</v>
      </c>
      <c r="P56" s="146">
        <v>0</v>
      </c>
      <c r="Q56" s="146">
        <v>0</v>
      </c>
      <c r="R56" s="146">
        <v>0</v>
      </c>
      <c r="S56" s="146">
        <v>0</v>
      </c>
      <c r="T56" s="146">
        <v>0</v>
      </c>
      <c r="U56" s="146">
        <v>0</v>
      </c>
      <c r="V56" s="146">
        <v>0</v>
      </c>
      <c r="W56" s="146">
        <v>0</v>
      </c>
      <c r="X56" s="146">
        <v>0</v>
      </c>
      <c r="Y56" s="146">
        <v>0</v>
      </c>
      <c r="Z56" s="146">
        <v>0</v>
      </c>
      <c r="AA56" s="146">
        <v>0</v>
      </c>
      <c r="AB56" s="146">
        <v>0</v>
      </c>
      <c r="AC56" s="146">
        <v>0</v>
      </c>
      <c r="AD56" s="146">
        <v>0</v>
      </c>
      <c r="AE56" s="146">
        <v>0</v>
      </c>
      <c r="AF56" s="146">
        <v>0</v>
      </c>
      <c r="AG56" s="146">
        <v>0</v>
      </c>
      <c r="AH56" s="146">
        <v>0</v>
      </c>
      <c r="AI56" s="146">
        <v>0</v>
      </c>
      <c r="AJ56" s="146">
        <v>0</v>
      </c>
      <c r="AK56" s="146">
        <v>0</v>
      </c>
      <c r="AL56" s="146">
        <v>0</v>
      </c>
      <c r="AM56" s="146">
        <v>0</v>
      </c>
      <c r="AN56" s="146">
        <v>0</v>
      </c>
      <c r="AO56" s="146">
        <v>0</v>
      </c>
      <c r="AP56" s="146">
        <v>0</v>
      </c>
      <c r="AQ56" s="146">
        <v>0</v>
      </c>
      <c r="AR56" s="146">
        <v>0</v>
      </c>
      <c r="AS56" s="146">
        <v>0</v>
      </c>
      <c r="AT56" s="146">
        <v>0</v>
      </c>
      <c r="AU56" s="146">
        <v>0</v>
      </c>
      <c r="AV56" s="146">
        <v>0</v>
      </c>
      <c r="AW56" s="146">
        <v>0</v>
      </c>
      <c r="AX56" s="146">
        <v>0</v>
      </c>
      <c r="AY56" s="146">
        <v>0.1</v>
      </c>
      <c r="AZ56" s="146">
        <v>0</v>
      </c>
      <c r="BA56" s="146">
        <v>0.25</v>
      </c>
      <c r="BB56" s="146">
        <v>0.1</v>
      </c>
      <c r="BC56" s="146">
        <v>0</v>
      </c>
      <c r="BD56" s="146">
        <v>0</v>
      </c>
      <c r="BE56" s="146">
        <v>0</v>
      </c>
      <c r="BF56" s="146">
        <v>0</v>
      </c>
    </row>
    <row r="57" spans="1:58" x14ac:dyDescent="0.15">
      <c r="A57" s="183" t="s">
        <v>246</v>
      </c>
      <c r="B57" s="146">
        <v>0</v>
      </c>
      <c r="C57" s="146">
        <v>0</v>
      </c>
      <c r="D57" s="146">
        <v>0</v>
      </c>
      <c r="E57" s="146">
        <v>0</v>
      </c>
      <c r="F57" s="146">
        <v>0</v>
      </c>
      <c r="G57" s="146">
        <v>0</v>
      </c>
      <c r="H57" s="146">
        <v>0</v>
      </c>
      <c r="I57" s="146">
        <v>0.22</v>
      </c>
      <c r="J57" s="146">
        <v>0</v>
      </c>
      <c r="K57" s="146">
        <v>0</v>
      </c>
      <c r="L57" s="146">
        <v>0</v>
      </c>
      <c r="M57" s="146">
        <v>0</v>
      </c>
      <c r="N57" s="146">
        <v>0</v>
      </c>
      <c r="O57" s="146">
        <v>0</v>
      </c>
      <c r="P57" s="146">
        <v>0</v>
      </c>
      <c r="Q57" s="146">
        <v>0</v>
      </c>
      <c r="R57" s="146">
        <v>0</v>
      </c>
      <c r="S57" s="146">
        <v>0</v>
      </c>
      <c r="T57" s="146">
        <v>0</v>
      </c>
      <c r="U57" s="146">
        <v>0</v>
      </c>
      <c r="V57" s="146">
        <v>0</v>
      </c>
      <c r="W57" s="146">
        <v>0</v>
      </c>
      <c r="X57" s="146">
        <v>0</v>
      </c>
      <c r="Y57" s="146">
        <v>0</v>
      </c>
      <c r="Z57" s="146">
        <v>0</v>
      </c>
      <c r="AA57" s="146">
        <v>0</v>
      </c>
      <c r="AB57" s="146">
        <v>0</v>
      </c>
      <c r="AC57" s="146">
        <v>0</v>
      </c>
      <c r="AD57" s="146">
        <v>0</v>
      </c>
      <c r="AE57" s="146">
        <v>0</v>
      </c>
      <c r="AF57" s="146">
        <v>0</v>
      </c>
      <c r="AG57" s="146">
        <v>0</v>
      </c>
      <c r="AH57" s="146">
        <v>0</v>
      </c>
      <c r="AI57" s="146">
        <v>0</v>
      </c>
      <c r="AJ57" s="146">
        <v>0</v>
      </c>
      <c r="AK57" s="146">
        <v>0</v>
      </c>
      <c r="AL57" s="146">
        <v>0</v>
      </c>
      <c r="AM57" s="146">
        <v>0</v>
      </c>
      <c r="AN57" s="146">
        <v>0</v>
      </c>
      <c r="AO57" s="146">
        <v>0</v>
      </c>
      <c r="AP57" s="146">
        <v>0</v>
      </c>
      <c r="AQ57" s="146">
        <v>0</v>
      </c>
      <c r="AR57" s="146">
        <v>0</v>
      </c>
      <c r="AS57" s="146">
        <v>0</v>
      </c>
      <c r="AT57" s="146">
        <v>0</v>
      </c>
      <c r="AU57" s="146">
        <v>0</v>
      </c>
      <c r="AV57" s="146">
        <v>0</v>
      </c>
      <c r="AW57" s="146">
        <v>0</v>
      </c>
      <c r="AX57" s="146">
        <v>0.25</v>
      </c>
      <c r="AY57" s="146">
        <v>0.19</v>
      </c>
      <c r="AZ57" s="146">
        <v>0.3</v>
      </c>
      <c r="BA57" s="146">
        <v>0.05</v>
      </c>
      <c r="BB57" s="146">
        <v>0.435</v>
      </c>
      <c r="BC57" s="146">
        <v>0</v>
      </c>
      <c r="BD57" s="146">
        <v>0</v>
      </c>
      <c r="BE57" s="146">
        <v>0</v>
      </c>
      <c r="BF57" s="146">
        <v>0</v>
      </c>
    </row>
    <row r="58" spans="1:58" x14ac:dyDescent="0.15">
      <c r="A58" s="183" t="s">
        <v>247</v>
      </c>
      <c r="B58" s="146">
        <v>0</v>
      </c>
      <c r="C58" s="146">
        <v>0</v>
      </c>
      <c r="D58" s="146">
        <v>0</v>
      </c>
      <c r="E58" s="146">
        <v>0</v>
      </c>
      <c r="F58" s="146">
        <v>0</v>
      </c>
      <c r="G58" s="146">
        <v>0</v>
      </c>
      <c r="H58" s="146">
        <v>0</v>
      </c>
      <c r="I58" s="146">
        <v>0</v>
      </c>
      <c r="J58" s="146">
        <v>0</v>
      </c>
      <c r="K58" s="146">
        <v>0</v>
      </c>
      <c r="L58" s="146">
        <v>0</v>
      </c>
      <c r="M58" s="146">
        <v>0</v>
      </c>
      <c r="N58" s="146">
        <v>0</v>
      </c>
      <c r="O58" s="146">
        <v>0</v>
      </c>
      <c r="P58" s="146">
        <v>0</v>
      </c>
      <c r="Q58" s="146">
        <v>0</v>
      </c>
      <c r="R58" s="146">
        <v>0</v>
      </c>
      <c r="S58" s="146">
        <v>0</v>
      </c>
      <c r="T58" s="146">
        <v>0</v>
      </c>
      <c r="U58" s="146">
        <v>0</v>
      </c>
      <c r="V58" s="146">
        <v>0</v>
      </c>
      <c r="W58" s="146">
        <v>0</v>
      </c>
      <c r="X58" s="146">
        <v>0</v>
      </c>
      <c r="Y58" s="146">
        <v>0</v>
      </c>
      <c r="Z58" s="146">
        <v>0</v>
      </c>
      <c r="AA58" s="146">
        <v>0</v>
      </c>
      <c r="AB58" s="146">
        <v>0</v>
      </c>
      <c r="AC58" s="146">
        <v>0</v>
      </c>
      <c r="AD58" s="146">
        <v>0</v>
      </c>
      <c r="AE58" s="146">
        <v>0</v>
      </c>
      <c r="AF58" s="146">
        <v>0</v>
      </c>
      <c r="AG58" s="146">
        <v>0</v>
      </c>
      <c r="AH58" s="146">
        <v>0</v>
      </c>
      <c r="AI58" s="146">
        <v>0</v>
      </c>
      <c r="AJ58" s="146">
        <v>0</v>
      </c>
      <c r="AK58" s="146">
        <v>0</v>
      </c>
      <c r="AL58" s="146">
        <v>0</v>
      </c>
      <c r="AM58" s="146">
        <v>0</v>
      </c>
      <c r="AN58" s="146">
        <v>0</v>
      </c>
      <c r="AO58" s="146">
        <v>0</v>
      </c>
      <c r="AP58" s="146">
        <v>0</v>
      </c>
      <c r="AQ58" s="146">
        <v>0</v>
      </c>
      <c r="AR58" s="146">
        <v>0</v>
      </c>
      <c r="AS58" s="146">
        <v>0</v>
      </c>
      <c r="AT58" s="146">
        <v>0</v>
      </c>
      <c r="AU58" s="146">
        <v>0</v>
      </c>
      <c r="AV58" s="146">
        <v>0</v>
      </c>
      <c r="AW58" s="146">
        <v>0</v>
      </c>
      <c r="AX58" s="146">
        <v>0</v>
      </c>
      <c r="AY58" s="146">
        <v>0</v>
      </c>
      <c r="AZ58" s="146">
        <v>0</v>
      </c>
      <c r="BA58" s="146">
        <v>0</v>
      </c>
      <c r="BB58" s="146">
        <v>0</v>
      </c>
      <c r="BC58" s="146">
        <v>0</v>
      </c>
      <c r="BD58" s="146">
        <v>0</v>
      </c>
      <c r="BE58" s="146">
        <v>0</v>
      </c>
      <c r="BF58" s="146">
        <v>0</v>
      </c>
    </row>
    <row r="59" spans="1:58" x14ac:dyDescent="0.15">
      <c r="A59" s="183" t="s">
        <v>266</v>
      </c>
      <c r="B59" s="146">
        <v>0</v>
      </c>
      <c r="C59" s="146">
        <v>0</v>
      </c>
      <c r="D59" s="146">
        <v>0</v>
      </c>
      <c r="E59" s="146">
        <v>0</v>
      </c>
      <c r="F59" s="146">
        <v>0</v>
      </c>
      <c r="G59" s="146">
        <v>0</v>
      </c>
      <c r="H59" s="146">
        <v>0</v>
      </c>
      <c r="I59" s="146">
        <v>0</v>
      </c>
      <c r="J59" s="146">
        <v>0</v>
      </c>
      <c r="K59" s="146">
        <v>0</v>
      </c>
      <c r="L59" s="146">
        <v>0</v>
      </c>
      <c r="M59" s="146">
        <v>0</v>
      </c>
      <c r="N59" s="146">
        <v>0</v>
      </c>
      <c r="O59" s="146">
        <v>0</v>
      </c>
      <c r="P59" s="146">
        <v>0</v>
      </c>
      <c r="Q59" s="146">
        <v>0</v>
      </c>
      <c r="R59" s="146">
        <v>0</v>
      </c>
      <c r="S59" s="146">
        <v>0</v>
      </c>
      <c r="T59" s="146">
        <v>0</v>
      </c>
      <c r="U59" s="146">
        <v>0</v>
      </c>
      <c r="V59" s="146">
        <v>0</v>
      </c>
      <c r="W59" s="146">
        <v>0</v>
      </c>
      <c r="X59" s="146">
        <v>0</v>
      </c>
      <c r="Y59" s="146">
        <v>0</v>
      </c>
      <c r="Z59" s="146">
        <v>0</v>
      </c>
      <c r="AA59" s="146">
        <v>0</v>
      </c>
      <c r="AB59" s="146">
        <v>0</v>
      </c>
      <c r="AC59" s="146">
        <v>0</v>
      </c>
      <c r="AD59" s="146">
        <v>0</v>
      </c>
      <c r="AE59" s="146">
        <v>0</v>
      </c>
      <c r="AF59" s="146">
        <v>0</v>
      </c>
      <c r="AG59" s="146">
        <v>0</v>
      </c>
      <c r="AH59" s="146">
        <v>0</v>
      </c>
      <c r="AI59" s="146">
        <v>0</v>
      </c>
      <c r="AJ59" s="146">
        <v>0</v>
      </c>
      <c r="AK59" s="146">
        <v>0</v>
      </c>
      <c r="AL59" s="146">
        <v>0</v>
      </c>
      <c r="AM59" s="146">
        <v>0</v>
      </c>
      <c r="AN59" s="146">
        <v>0</v>
      </c>
      <c r="AO59" s="146">
        <v>0</v>
      </c>
      <c r="AP59" s="146">
        <v>0</v>
      </c>
      <c r="AQ59" s="146">
        <v>0</v>
      </c>
      <c r="AR59" s="146">
        <v>0</v>
      </c>
      <c r="AS59" s="146">
        <v>0</v>
      </c>
      <c r="AT59" s="146">
        <v>0</v>
      </c>
      <c r="AU59" s="146">
        <v>0</v>
      </c>
      <c r="AV59" s="146">
        <v>0</v>
      </c>
      <c r="AW59" s="146">
        <v>0</v>
      </c>
      <c r="AX59" s="146">
        <v>0</v>
      </c>
      <c r="AY59" s="146">
        <v>0</v>
      </c>
      <c r="AZ59" s="146">
        <v>0</v>
      </c>
      <c r="BA59" s="146">
        <v>0</v>
      </c>
      <c r="BB59" s="146">
        <v>0</v>
      </c>
      <c r="BC59" s="146">
        <v>0</v>
      </c>
      <c r="BD59" s="146">
        <v>0</v>
      </c>
      <c r="BE59" s="146">
        <v>0</v>
      </c>
      <c r="BF59" s="146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16" customWidth="1"/>
    <col min="5" max="6" width="2.33203125" style="115" bestFit="1" customWidth="1"/>
    <col min="7" max="8" width="8.83203125" style="116"/>
  </cols>
  <sheetData>
    <row r="1" spans="1:8" ht="70" x14ac:dyDescent="0.15">
      <c r="A1" s="5" t="s">
        <v>20</v>
      </c>
      <c r="B1" s="1" t="s">
        <v>0</v>
      </c>
      <c r="C1" s="186" t="s">
        <v>246</v>
      </c>
      <c r="D1" s="186" t="s">
        <v>247</v>
      </c>
      <c r="E1" s="186" t="s">
        <v>267</v>
      </c>
      <c r="F1" s="186" t="s">
        <v>268</v>
      </c>
      <c r="G1"/>
      <c r="H1"/>
    </row>
    <row r="2" spans="1:8" x14ac:dyDescent="0.15">
      <c r="A2">
        <v>1</v>
      </c>
      <c r="B2" s="185" t="s">
        <v>192</v>
      </c>
      <c r="C2" s="116">
        <v>1</v>
      </c>
      <c r="D2" s="116">
        <v>0</v>
      </c>
      <c r="E2" s="115">
        <v>0</v>
      </c>
      <c r="F2" s="115">
        <v>1</v>
      </c>
      <c r="G2"/>
      <c r="H2"/>
    </row>
    <row r="3" spans="1:8" x14ac:dyDescent="0.15">
      <c r="A3">
        <v>2</v>
      </c>
      <c r="B3" s="185" t="s">
        <v>193</v>
      </c>
      <c r="C3" s="116">
        <v>1</v>
      </c>
      <c r="D3" s="116">
        <v>0</v>
      </c>
      <c r="E3" s="115">
        <v>0</v>
      </c>
      <c r="F3" s="115">
        <v>1</v>
      </c>
      <c r="G3"/>
      <c r="H3"/>
    </row>
    <row r="4" spans="1:8" x14ac:dyDescent="0.15">
      <c r="A4">
        <v>3</v>
      </c>
      <c r="B4" s="185" t="s">
        <v>194</v>
      </c>
      <c r="C4" s="116">
        <v>1</v>
      </c>
      <c r="D4" s="116">
        <v>0</v>
      </c>
      <c r="E4" s="115">
        <v>0</v>
      </c>
      <c r="F4" s="115">
        <v>1</v>
      </c>
      <c r="G4"/>
      <c r="H4"/>
    </row>
    <row r="5" spans="1:8" x14ac:dyDescent="0.15">
      <c r="A5">
        <v>4</v>
      </c>
      <c r="B5" s="185" t="s">
        <v>195</v>
      </c>
      <c r="C5" s="116">
        <v>1</v>
      </c>
      <c r="D5" s="116">
        <v>0</v>
      </c>
      <c r="E5" s="115">
        <v>0</v>
      </c>
      <c r="F5" s="115">
        <v>1</v>
      </c>
      <c r="G5"/>
      <c r="H5"/>
    </row>
    <row r="6" spans="1:8" x14ac:dyDescent="0.15">
      <c r="A6">
        <v>5</v>
      </c>
      <c r="B6" s="185" t="s">
        <v>196</v>
      </c>
      <c r="C6" s="116">
        <v>1</v>
      </c>
      <c r="D6" s="116">
        <v>0</v>
      </c>
      <c r="E6" s="115">
        <v>0</v>
      </c>
      <c r="F6" s="115">
        <v>1</v>
      </c>
      <c r="G6"/>
      <c r="H6"/>
    </row>
    <row r="7" spans="1:8" x14ac:dyDescent="0.15">
      <c r="A7">
        <v>6</v>
      </c>
      <c r="B7" s="185" t="s">
        <v>197</v>
      </c>
      <c r="C7" s="116">
        <v>1</v>
      </c>
      <c r="D7" s="116">
        <v>0</v>
      </c>
      <c r="E7" s="115">
        <v>0</v>
      </c>
      <c r="F7" s="115">
        <v>1</v>
      </c>
      <c r="G7"/>
      <c r="H7"/>
    </row>
    <row r="8" spans="1:8" x14ac:dyDescent="0.15">
      <c r="A8">
        <v>7</v>
      </c>
      <c r="B8" s="185" t="s">
        <v>198</v>
      </c>
      <c r="C8" s="116">
        <v>1</v>
      </c>
      <c r="D8" s="116">
        <v>0</v>
      </c>
      <c r="E8" s="115">
        <v>0</v>
      </c>
      <c r="F8" s="115">
        <v>1</v>
      </c>
      <c r="G8"/>
      <c r="H8"/>
    </row>
    <row r="9" spans="1:8" x14ac:dyDescent="0.15">
      <c r="A9">
        <v>8</v>
      </c>
      <c r="B9" s="185" t="s">
        <v>199</v>
      </c>
      <c r="C9" s="116">
        <v>1</v>
      </c>
      <c r="D9" s="116">
        <v>0</v>
      </c>
      <c r="E9" s="115">
        <v>0</v>
      </c>
      <c r="F9" s="115">
        <v>1</v>
      </c>
      <c r="G9"/>
      <c r="H9"/>
    </row>
    <row r="10" spans="1:8" x14ac:dyDescent="0.15">
      <c r="A10">
        <v>9</v>
      </c>
      <c r="B10" s="185" t="s">
        <v>200</v>
      </c>
      <c r="C10" s="116">
        <v>1</v>
      </c>
      <c r="D10" s="116">
        <v>0</v>
      </c>
      <c r="E10" s="115">
        <v>0</v>
      </c>
      <c r="F10" s="115">
        <v>1</v>
      </c>
      <c r="G10"/>
      <c r="H10"/>
    </row>
    <row r="11" spans="1:8" x14ac:dyDescent="0.15">
      <c r="A11">
        <v>10</v>
      </c>
      <c r="B11" s="185" t="s">
        <v>201</v>
      </c>
      <c r="C11" s="116">
        <v>1</v>
      </c>
      <c r="D11" s="116">
        <v>0</v>
      </c>
      <c r="E11" s="115">
        <v>0</v>
      </c>
      <c r="F11" s="115">
        <v>1</v>
      </c>
      <c r="G11"/>
      <c r="H11"/>
    </row>
    <row r="12" spans="1:8" x14ac:dyDescent="0.15">
      <c r="A12">
        <v>11</v>
      </c>
      <c r="B12" s="185" t="s">
        <v>202</v>
      </c>
      <c r="C12" s="116">
        <v>1</v>
      </c>
      <c r="D12" s="116">
        <v>0</v>
      </c>
      <c r="E12" s="115">
        <v>0</v>
      </c>
      <c r="F12" s="115">
        <v>1</v>
      </c>
      <c r="G12"/>
      <c r="H12"/>
    </row>
    <row r="13" spans="1:8" x14ac:dyDescent="0.15">
      <c r="A13">
        <v>12</v>
      </c>
      <c r="B13" s="185" t="s">
        <v>203</v>
      </c>
      <c r="C13" s="116">
        <v>1</v>
      </c>
      <c r="D13" s="116">
        <v>0</v>
      </c>
      <c r="E13" s="115">
        <v>0</v>
      </c>
      <c r="F13" s="115">
        <v>1</v>
      </c>
      <c r="G13"/>
      <c r="H13"/>
    </row>
    <row r="14" spans="1:8" x14ac:dyDescent="0.15">
      <c r="A14">
        <v>13</v>
      </c>
      <c r="B14" s="185" t="s">
        <v>204</v>
      </c>
      <c r="C14" s="116">
        <v>1</v>
      </c>
      <c r="D14" s="116">
        <v>0</v>
      </c>
      <c r="E14" s="115">
        <v>0</v>
      </c>
      <c r="F14" s="115">
        <v>1</v>
      </c>
      <c r="G14"/>
      <c r="H14"/>
    </row>
    <row r="15" spans="1:8" x14ac:dyDescent="0.15">
      <c r="A15">
        <v>14</v>
      </c>
      <c r="B15" s="185" t="s">
        <v>205</v>
      </c>
      <c r="C15" s="116">
        <v>1</v>
      </c>
      <c r="D15" s="116">
        <v>0</v>
      </c>
      <c r="E15" s="115">
        <v>0</v>
      </c>
      <c r="F15" s="115">
        <v>1</v>
      </c>
      <c r="G15"/>
      <c r="H15"/>
    </row>
    <row r="16" spans="1:8" x14ac:dyDescent="0.15">
      <c r="A16">
        <v>15</v>
      </c>
      <c r="B16" s="185" t="s">
        <v>206</v>
      </c>
      <c r="C16" s="116">
        <v>1</v>
      </c>
      <c r="D16" s="116">
        <v>0</v>
      </c>
      <c r="E16" s="115">
        <v>0</v>
      </c>
      <c r="F16" s="115">
        <v>1</v>
      </c>
      <c r="G16"/>
      <c r="H16"/>
    </row>
    <row r="17" spans="1:8" ht="15" customHeight="1" x14ac:dyDescent="0.15">
      <c r="A17">
        <v>16</v>
      </c>
      <c r="B17" s="185" t="s">
        <v>207</v>
      </c>
      <c r="C17" s="116">
        <v>1</v>
      </c>
      <c r="D17" s="116">
        <v>0</v>
      </c>
      <c r="E17" s="115">
        <v>0</v>
      </c>
      <c r="F17" s="115">
        <v>1</v>
      </c>
      <c r="G17"/>
      <c r="H17"/>
    </row>
    <row r="18" spans="1:8" ht="15" customHeight="1" x14ac:dyDescent="0.15">
      <c r="A18">
        <v>17</v>
      </c>
      <c r="B18" s="185" t="s">
        <v>208</v>
      </c>
      <c r="C18" s="116">
        <v>1</v>
      </c>
      <c r="D18" s="116">
        <v>0</v>
      </c>
      <c r="E18" s="115">
        <v>0</v>
      </c>
      <c r="F18" s="115">
        <v>1</v>
      </c>
      <c r="G18"/>
      <c r="H18"/>
    </row>
    <row r="19" spans="1:8" ht="15" customHeight="1" x14ac:dyDescent="0.15">
      <c r="A19">
        <v>18</v>
      </c>
      <c r="B19" s="185" t="s">
        <v>209</v>
      </c>
      <c r="C19" s="116">
        <v>1</v>
      </c>
      <c r="D19" s="116">
        <v>0</v>
      </c>
      <c r="E19" s="115">
        <v>0</v>
      </c>
      <c r="F19" s="115">
        <v>1</v>
      </c>
      <c r="G19"/>
      <c r="H19"/>
    </row>
    <row r="20" spans="1:8" ht="15" customHeight="1" x14ac:dyDescent="0.15">
      <c r="A20">
        <v>19</v>
      </c>
      <c r="B20" s="185" t="s">
        <v>210</v>
      </c>
      <c r="C20" s="116">
        <v>1</v>
      </c>
      <c r="D20" s="116">
        <v>0</v>
      </c>
      <c r="E20" s="115">
        <v>0</v>
      </c>
      <c r="F20" s="115">
        <v>1</v>
      </c>
      <c r="G20"/>
      <c r="H20"/>
    </row>
    <row r="21" spans="1:8" ht="15" customHeight="1" x14ac:dyDescent="0.15">
      <c r="A21">
        <v>20</v>
      </c>
      <c r="B21" s="185" t="s">
        <v>211</v>
      </c>
      <c r="C21" s="116">
        <v>1</v>
      </c>
      <c r="D21" s="116">
        <v>0</v>
      </c>
      <c r="E21" s="115">
        <v>0</v>
      </c>
      <c r="F21" s="115">
        <v>1</v>
      </c>
      <c r="G21"/>
      <c r="H21"/>
    </row>
    <row r="22" spans="1:8" ht="15" customHeight="1" x14ac:dyDescent="0.15">
      <c r="A22">
        <v>21</v>
      </c>
      <c r="B22" s="185" t="s">
        <v>212</v>
      </c>
      <c r="C22" s="116">
        <v>1</v>
      </c>
      <c r="D22" s="116">
        <v>0</v>
      </c>
      <c r="E22" s="115">
        <v>0</v>
      </c>
      <c r="F22" s="115">
        <v>1</v>
      </c>
      <c r="G22"/>
      <c r="H22"/>
    </row>
    <row r="23" spans="1:8" ht="15" customHeight="1" x14ac:dyDescent="0.15">
      <c r="A23">
        <v>22</v>
      </c>
      <c r="B23" s="185" t="s">
        <v>213</v>
      </c>
      <c r="C23" s="116">
        <v>1</v>
      </c>
      <c r="D23" s="116">
        <v>0</v>
      </c>
      <c r="E23" s="115">
        <v>0</v>
      </c>
      <c r="F23" s="115">
        <v>1</v>
      </c>
      <c r="G23"/>
      <c r="H23"/>
    </row>
    <row r="24" spans="1:8" ht="15" customHeight="1" x14ac:dyDescent="0.15">
      <c r="A24">
        <v>23</v>
      </c>
      <c r="B24" s="185" t="s">
        <v>214</v>
      </c>
      <c r="C24" s="116">
        <v>1</v>
      </c>
      <c r="D24" s="116">
        <v>0</v>
      </c>
      <c r="E24" s="115">
        <v>0</v>
      </c>
      <c r="F24" s="115">
        <v>1</v>
      </c>
      <c r="G24"/>
      <c r="H24"/>
    </row>
    <row r="25" spans="1:8" ht="15" customHeight="1" x14ac:dyDescent="0.15">
      <c r="A25">
        <v>24</v>
      </c>
      <c r="B25" s="185" t="s">
        <v>215</v>
      </c>
      <c r="C25" s="116">
        <v>0</v>
      </c>
      <c r="D25" s="116">
        <v>0</v>
      </c>
      <c r="E25" s="115">
        <v>1</v>
      </c>
      <c r="F25" s="115">
        <v>1</v>
      </c>
      <c r="G25"/>
      <c r="H25"/>
    </row>
    <row r="26" spans="1:8" ht="15" customHeight="1" x14ac:dyDescent="0.15">
      <c r="A26">
        <v>25</v>
      </c>
      <c r="B26" s="185" t="s">
        <v>216</v>
      </c>
      <c r="C26" s="116">
        <v>0</v>
      </c>
      <c r="D26" s="116">
        <v>0</v>
      </c>
      <c r="E26" s="115">
        <v>1</v>
      </c>
      <c r="F26" s="115">
        <v>1</v>
      </c>
      <c r="G26"/>
      <c r="H26"/>
    </row>
    <row r="27" spans="1:8" ht="15" customHeight="1" x14ac:dyDescent="0.15">
      <c r="A27">
        <v>26</v>
      </c>
      <c r="B27" s="185" t="s">
        <v>217</v>
      </c>
      <c r="C27" s="116">
        <v>1</v>
      </c>
      <c r="D27" s="116">
        <v>0</v>
      </c>
      <c r="E27" s="115">
        <v>0</v>
      </c>
      <c r="F27" s="115">
        <v>1</v>
      </c>
      <c r="G27"/>
      <c r="H27"/>
    </row>
    <row r="28" spans="1:8" ht="15" customHeight="1" x14ac:dyDescent="0.15">
      <c r="A28">
        <v>27</v>
      </c>
      <c r="B28" s="185" t="s">
        <v>218</v>
      </c>
      <c r="C28" s="116">
        <v>1</v>
      </c>
      <c r="D28" s="116">
        <v>0</v>
      </c>
      <c r="E28" s="115">
        <v>0</v>
      </c>
      <c r="F28" s="115">
        <v>1</v>
      </c>
      <c r="G28"/>
      <c r="H28"/>
    </row>
    <row r="29" spans="1:8" ht="15" customHeight="1" x14ac:dyDescent="0.15">
      <c r="A29">
        <v>28</v>
      </c>
      <c r="B29" s="185" t="s">
        <v>219</v>
      </c>
      <c r="C29" s="116">
        <v>1</v>
      </c>
      <c r="D29" s="116">
        <v>0</v>
      </c>
      <c r="E29" s="115">
        <v>0</v>
      </c>
      <c r="F29" s="115">
        <v>1</v>
      </c>
      <c r="G29"/>
      <c r="H29"/>
    </row>
    <row r="30" spans="1:8" ht="15" customHeight="1" x14ac:dyDescent="0.15">
      <c r="A30">
        <v>29</v>
      </c>
      <c r="B30" s="185" t="s">
        <v>220</v>
      </c>
      <c r="C30" s="116">
        <v>1</v>
      </c>
      <c r="D30" s="116">
        <v>0</v>
      </c>
      <c r="E30" s="115">
        <v>0</v>
      </c>
      <c r="F30" s="115">
        <v>1</v>
      </c>
      <c r="G30"/>
      <c r="H30"/>
    </row>
    <row r="31" spans="1:8" ht="15" customHeight="1" x14ac:dyDescent="0.15">
      <c r="A31">
        <v>30</v>
      </c>
      <c r="B31" s="185" t="s">
        <v>221</v>
      </c>
      <c r="C31" s="116">
        <v>1</v>
      </c>
      <c r="D31" s="116">
        <v>0</v>
      </c>
      <c r="E31" s="115">
        <v>0</v>
      </c>
      <c r="F31" s="115">
        <v>1</v>
      </c>
      <c r="G31"/>
      <c r="H31"/>
    </row>
    <row r="32" spans="1:8" ht="15" customHeight="1" x14ac:dyDescent="0.15">
      <c r="A32">
        <v>31</v>
      </c>
      <c r="B32" s="185" t="s">
        <v>222</v>
      </c>
      <c r="C32" s="116">
        <v>1</v>
      </c>
      <c r="D32" s="116">
        <v>0</v>
      </c>
      <c r="E32" s="115">
        <v>0</v>
      </c>
      <c r="F32" s="115">
        <v>1</v>
      </c>
    </row>
    <row r="33" spans="1:8" ht="15" customHeight="1" x14ac:dyDescent="0.15">
      <c r="A33">
        <v>32</v>
      </c>
      <c r="B33" s="185" t="s">
        <v>223</v>
      </c>
      <c r="C33" s="116">
        <v>1</v>
      </c>
      <c r="D33" s="116">
        <v>0</v>
      </c>
      <c r="E33" s="115">
        <v>0</v>
      </c>
      <c r="F33" s="115">
        <v>1</v>
      </c>
    </row>
    <row r="34" spans="1:8" ht="15" customHeight="1" x14ac:dyDescent="0.15">
      <c r="A34">
        <v>33</v>
      </c>
      <c r="B34" s="185" t="s">
        <v>224</v>
      </c>
      <c r="C34" s="116">
        <v>1</v>
      </c>
      <c r="D34" s="116">
        <v>0</v>
      </c>
      <c r="E34" s="115">
        <v>0</v>
      </c>
      <c r="F34" s="115">
        <v>1</v>
      </c>
    </row>
    <row r="35" spans="1:8" ht="15" customHeight="1" x14ac:dyDescent="0.15">
      <c r="A35">
        <v>34</v>
      </c>
      <c r="B35" s="185" t="s">
        <v>225</v>
      </c>
      <c r="C35" s="116">
        <v>1</v>
      </c>
      <c r="D35" s="116">
        <v>0</v>
      </c>
      <c r="E35" s="115">
        <v>0</v>
      </c>
      <c r="F35" s="115">
        <v>1</v>
      </c>
    </row>
    <row r="36" spans="1:8" ht="15" customHeight="1" x14ac:dyDescent="0.15">
      <c r="A36">
        <v>35</v>
      </c>
      <c r="B36" s="185" t="s">
        <v>226</v>
      </c>
      <c r="C36" s="116">
        <v>1</v>
      </c>
      <c r="D36" s="116">
        <v>0</v>
      </c>
      <c r="E36" s="116">
        <v>0</v>
      </c>
      <c r="F36" s="116">
        <v>1</v>
      </c>
      <c r="G36"/>
      <c r="H36"/>
    </row>
    <row r="37" spans="1:8" ht="15" customHeight="1" x14ac:dyDescent="0.15">
      <c r="A37">
        <v>36</v>
      </c>
      <c r="B37" s="185" t="s">
        <v>227</v>
      </c>
      <c r="C37" s="116">
        <v>1</v>
      </c>
      <c r="D37" s="116">
        <v>0</v>
      </c>
      <c r="E37" s="116">
        <v>0</v>
      </c>
      <c r="F37" s="116">
        <v>1</v>
      </c>
      <c r="G37"/>
      <c r="H37"/>
    </row>
    <row r="38" spans="1:8" ht="15" customHeight="1" x14ac:dyDescent="0.15">
      <c r="A38">
        <v>37</v>
      </c>
      <c r="B38" s="185" t="s">
        <v>228</v>
      </c>
      <c r="C38" s="116">
        <v>1</v>
      </c>
      <c r="D38" s="116">
        <v>0</v>
      </c>
      <c r="E38" s="116">
        <v>0</v>
      </c>
      <c r="F38" s="116">
        <v>1</v>
      </c>
      <c r="G38"/>
      <c r="H38"/>
    </row>
    <row r="39" spans="1:8" ht="15" customHeight="1" x14ac:dyDescent="0.15">
      <c r="A39">
        <v>38</v>
      </c>
      <c r="B39" s="185" t="s">
        <v>229</v>
      </c>
      <c r="C39" s="116">
        <v>1</v>
      </c>
      <c r="D39" s="116">
        <v>0</v>
      </c>
      <c r="E39" s="116">
        <v>0</v>
      </c>
      <c r="F39" s="116">
        <v>1</v>
      </c>
      <c r="G39"/>
      <c r="H39"/>
    </row>
    <row r="40" spans="1:8" ht="15" customHeight="1" x14ac:dyDescent="0.15">
      <c r="A40">
        <v>39</v>
      </c>
      <c r="B40" s="185" t="s">
        <v>230</v>
      </c>
      <c r="C40" s="116">
        <v>1</v>
      </c>
      <c r="D40" s="116">
        <v>0</v>
      </c>
      <c r="E40" s="116">
        <v>0</v>
      </c>
      <c r="F40" s="116">
        <v>1</v>
      </c>
      <c r="G40"/>
      <c r="H40"/>
    </row>
    <row r="41" spans="1:8" ht="15" customHeight="1" x14ac:dyDescent="0.15">
      <c r="A41">
        <v>40</v>
      </c>
      <c r="B41" s="185" t="s">
        <v>231</v>
      </c>
      <c r="C41" s="116">
        <v>1</v>
      </c>
      <c r="D41" s="116">
        <v>0</v>
      </c>
      <c r="E41" s="116">
        <v>0</v>
      </c>
      <c r="F41" s="116">
        <v>1</v>
      </c>
      <c r="G41"/>
      <c r="H41"/>
    </row>
    <row r="42" spans="1:8" ht="15" customHeight="1" x14ac:dyDescent="0.15">
      <c r="A42">
        <v>41</v>
      </c>
      <c r="B42" s="185" t="s">
        <v>232</v>
      </c>
      <c r="C42" s="116">
        <v>1</v>
      </c>
      <c r="D42" s="116">
        <v>0</v>
      </c>
      <c r="E42" s="116">
        <v>0</v>
      </c>
      <c r="F42" s="116">
        <v>1</v>
      </c>
      <c r="G42"/>
      <c r="H42"/>
    </row>
    <row r="43" spans="1:8" ht="15" customHeight="1" x14ac:dyDescent="0.15">
      <c r="A43">
        <v>42</v>
      </c>
      <c r="B43" s="185" t="s">
        <v>233</v>
      </c>
      <c r="C43" s="116">
        <v>1</v>
      </c>
      <c r="D43" s="116">
        <v>0</v>
      </c>
      <c r="E43" s="116">
        <v>0</v>
      </c>
      <c r="F43" s="116">
        <v>1</v>
      </c>
      <c r="G43"/>
      <c r="H43"/>
    </row>
    <row r="44" spans="1:8" ht="15" customHeight="1" x14ac:dyDescent="0.15">
      <c r="A44">
        <v>43</v>
      </c>
      <c r="B44" s="185" t="s">
        <v>234</v>
      </c>
      <c r="C44" s="116">
        <v>1</v>
      </c>
      <c r="D44" s="116">
        <v>0</v>
      </c>
      <c r="E44" s="115">
        <v>0</v>
      </c>
      <c r="F44" s="115">
        <v>1</v>
      </c>
      <c r="G44"/>
      <c r="H44"/>
    </row>
    <row r="45" spans="1:8" ht="15" customHeight="1" x14ac:dyDescent="0.15">
      <c r="A45">
        <v>44</v>
      </c>
      <c r="B45" s="185" t="s">
        <v>235</v>
      </c>
      <c r="C45" s="116">
        <v>1</v>
      </c>
      <c r="D45" s="116">
        <v>0</v>
      </c>
      <c r="E45" s="115">
        <v>0</v>
      </c>
      <c r="F45" s="115">
        <v>1</v>
      </c>
      <c r="G45"/>
      <c r="H45"/>
    </row>
    <row r="46" spans="1:8" ht="15" customHeight="1" x14ac:dyDescent="0.15">
      <c r="A46">
        <v>45</v>
      </c>
      <c r="B46" s="185" t="s">
        <v>236</v>
      </c>
      <c r="C46" s="116">
        <v>1</v>
      </c>
      <c r="D46" s="116">
        <v>0</v>
      </c>
      <c r="E46" s="116">
        <v>0</v>
      </c>
      <c r="F46" s="116">
        <v>1</v>
      </c>
      <c r="G46"/>
      <c r="H46"/>
    </row>
    <row r="47" spans="1:8" ht="15" customHeight="1" x14ac:dyDescent="0.15">
      <c r="A47">
        <v>46</v>
      </c>
      <c r="B47" s="185" t="s">
        <v>237</v>
      </c>
      <c r="C47" s="116">
        <v>1</v>
      </c>
      <c r="D47" s="116">
        <v>0</v>
      </c>
      <c r="E47" s="115">
        <v>0</v>
      </c>
      <c r="F47" s="115">
        <v>1</v>
      </c>
      <c r="G47"/>
      <c r="H47"/>
    </row>
    <row r="48" spans="1:8" ht="15" customHeight="1" x14ac:dyDescent="0.15">
      <c r="A48">
        <v>47</v>
      </c>
      <c r="B48" s="185" t="s">
        <v>238</v>
      </c>
      <c r="C48" s="116">
        <v>1</v>
      </c>
      <c r="D48" s="116">
        <v>0</v>
      </c>
      <c r="E48" s="115">
        <v>0</v>
      </c>
      <c r="F48" s="115">
        <v>1</v>
      </c>
      <c r="G48"/>
      <c r="H48"/>
    </row>
    <row r="49" spans="1:8" ht="15" customHeight="1" x14ac:dyDescent="0.15">
      <c r="A49">
        <v>48</v>
      </c>
      <c r="B49" s="185" t="s">
        <v>239</v>
      </c>
      <c r="C49" s="116">
        <v>1</v>
      </c>
      <c r="D49" s="116">
        <v>0</v>
      </c>
      <c r="E49" s="115">
        <v>0</v>
      </c>
      <c r="F49" s="115">
        <v>1</v>
      </c>
      <c r="G49"/>
      <c r="H49"/>
    </row>
    <row r="50" spans="1:8" ht="15" customHeight="1" x14ac:dyDescent="0.15">
      <c r="A50">
        <v>49</v>
      </c>
      <c r="B50" s="185" t="s">
        <v>240</v>
      </c>
      <c r="C50" s="116">
        <v>1</v>
      </c>
      <c r="D50" s="116">
        <v>0</v>
      </c>
      <c r="E50" s="115">
        <v>0</v>
      </c>
      <c r="F50" s="115">
        <v>1</v>
      </c>
      <c r="G50"/>
      <c r="H50"/>
    </row>
    <row r="51" spans="1:8" ht="15" customHeight="1" x14ac:dyDescent="0.15">
      <c r="A51">
        <v>50</v>
      </c>
      <c r="B51" s="185" t="s">
        <v>241</v>
      </c>
      <c r="C51" s="116">
        <v>1</v>
      </c>
      <c r="D51" s="116">
        <v>0</v>
      </c>
      <c r="E51" s="115">
        <v>0</v>
      </c>
      <c r="F51" s="115">
        <v>1</v>
      </c>
      <c r="G51"/>
      <c r="H51"/>
    </row>
    <row r="52" spans="1:8" ht="15" customHeight="1" x14ac:dyDescent="0.15">
      <c r="A52">
        <v>51</v>
      </c>
      <c r="B52" s="185" t="s">
        <v>242</v>
      </c>
      <c r="C52" s="116">
        <v>1</v>
      </c>
      <c r="D52" s="116">
        <v>0</v>
      </c>
      <c r="E52" s="115">
        <v>0</v>
      </c>
      <c r="F52" s="115">
        <v>1</v>
      </c>
      <c r="G52"/>
      <c r="H52"/>
    </row>
    <row r="53" spans="1:8" ht="15" customHeight="1" x14ac:dyDescent="0.15">
      <c r="A53">
        <v>52</v>
      </c>
      <c r="B53" s="185" t="s">
        <v>243</v>
      </c>
      <c r="C53" s="116">
        <v>1</v>
      </c>
      <c r="D53" s="116">
        <v>0</v>
      </c>
      <c r="E53" s="115">
        <v>0</v>
      </c>
      <c r="F53" s="115">
        <v>1</v>
      </c>
      <c r="G53"/>
      <c r="H53"/>
    </row>
    <row r="54" spans="1:8" ht="15" customHeight="1" x14ac:dyDescent="0.15">
      <c r="A54">
        <v>53</v>
      </c>
      <c r="B54" s="185" t="s">
        <v>244</v>
      </c>
      <c r="C54" s="116">
        <v>1</v>
      </c>
      <c r="D54" s="116">
        <v>0</v>
      </c>
      <c r="E54" s="115">
        <v>0</v>
      </c>
      <c r="F54" s="115">
        <v>1</v>
      </c>
      <c r="G54"/>
      <c r="H54"/>
    </row>
    <row r="55" spans="1:8" ht="15" customHeight="1" x14ac:dyDescent="0.15">
      <c r="A55">
        <v>54</v>
      </c>
      <c r="B55" s="185" t="s">
        <v>245</v>
      </c>
      <c r="C55" s="116">
        <v>1</v>
      </c>
      <c r="D55" s="116">
        <v>0</v>
      </c>
      <c r="E55" s="115">
        <v>0</v>
      </c>
      <c r="F55" s="115">
        <v>1</v>
      </c>
      <c r="G55"/>
      <c r="H55"/>
    </row>
    <row r="56" spans="1:8" ht="15" customHeight="1" x14ac:dyDescent="0.15">
      <c r="A56">
        <v>55</v>
      </c>
      <c r="B56" s="185" t="s">
        <v>67</v>
      </c>
      <c r="C56" s="116">
        <v>1</v>
      </c>
      <c r="D56" s="116">
        <v>0</v>
      </c>
      <c r="E56" s="115">
        <v>0</v>
      </c>
      <c r="F56" s="115">
        <v>1</v>
      </c>
      <c r="G56"/>
      <c r="H56"/>
    </row>
    <row r="57" spans="1:8" ht="15" customHeight="1" x14ac:dyDescent="0.15">
      <c r="A57">
        <v>56</v>
      </c>
      <c r="B57" s="185" t="s">
        <v>246</v>
      </c>
      <c r="C57" s="116">
        <v>0</v>
      </c>
      <c r="D57" s="116">
        <v>1</v>
      </c>
      <c r="E57" s="115">
        <v>0</v>
      </c>
      <c r="F57" s="115">
        <v>1</v>
      </c>
      <c r="G57"/>
      <c r="H57"/>
    </row>
    <row r="58" spans="1:8" ht="15" customHeight="1" x14ac:dyDescent="0.15">
      <c r="A58">
        <v>57</v>
      </c>
      <c r="B58" s="185" t="s">
        <v>247</v>
      </c>
      <c r="C58" s="116">
        <v>0</v>
      </c>
      <c r="D58" s="116">
        <v>0</v>
      </c>
      <c r="E58" s="115">
        <v>1</v>
      </c>
      <c r="F58" s="115">
        <v>1</v>
      </c>
      <c r="G58"/>
      <c r="H58"/>
    </row>
    <row r="59" spans="1:8" ht="15" customHeight="1" x14ac:dyDescent="0.15">
      <c r="A59">
        <v>58</v>
      </c>
      <c r="B59" s="185" t="s">
        <v>248</v>
      </c>
      <c r="C59" s="116">
        <v>0</v>
      </c>
      <c r="D59" s="116">
        <v>1</v>
      </c>
      <c r="E59" s="115">
        <v>0</v>
      </c>
      <c r="F59" s="115">
        <v>1</v>
      </c>
      <c r="G59"/>
      <c r="H59"/>
    </row>
    <row r="60" spans="1:8" ht="15" customHeight="1" x14ac:dyDescent="0.15">
      <c r="A60">
        <v>59</v>
      </c>
      <c r="B60" s="185" t="s">
        <v>249</v>
      </c>
      <c r="C60" s="116">
        <v>0</v>
      </c>
      <c r="D60" s="116">
        <v>1</v>
      </c>
      <c r="E60" s="115">
        <v>0</v>
      </c>
      <c r="F60" s="115">
        <v>1</v>
      </c>
      <c r="G60"/>
      <c r="H60"/>
    </row>
    <row r="61" spans="1:8" ht="15" customHeight="1" x14ac:dyDescent="0.15">
      <c r="A61">
        <v>60</v>
      </c>
      <c r="B61" s="185" t="s">
        <v>250</v>
      </c>
      <c r="C61" s="116">
        <v>0</v>
      </c>
      <c r="D61" s="116">
        <v>1</v>
      </c>
      <c r="E61" s="115">
        <v>0</v>
      </c>
      <c r="F61" s="115">
        <v>1</v>
      </c>
      <c r="G61"/>
      <c r="H61"/>
    </row>
    <row r="62" spans="1:8" ht="15" customHeight="1" x14ac:dyDescent="0.15">
      <c r="A62">
        <v>61</v>
      </c>
      <c r="B62" s="185" t="s">
        <v>251</v>
      </c>
      <c r="C62" s="116">
        <v>0</v>
      </c>
      <c r="D62" s="116">
        <v>1</v>
      </c>
      <c r="E62" s="115">
        <v>0</v>
      </c>
      <c r="F62" s="115">
        <v>1</v>
      </c>
      <c r="G62"/>
      <c r="H62"/>
    </row>
    <row r="63" spans="1:8" ht="15" customHeight="1" x14ac:dyDescent="0.15">
      <c r="A63">
        <v>62</v>
      </c>
      <c r="B63" s="185" t="s">
        <v>252</v>
      </c>
      <c r="C63" s="116">
        <v>0</v>
      </c>
      <c r="D63" s="116">
        <v>1</v>
      </c>
      <c r="E63" s="115">
        <v>0</v>
      </c>
      <c r="F63" s="115">
        <v>1</v>
      </c>
      <c r="G63"/>
      <c r="H63"/>
    </row>
    <row r="64" spans="1:8" ht="15" customHeight="1" x14ac:dyDescent="0.15">
      <c r="A64">
        <v>63</v>
      </c>
      <c r="B64" s="185" t="s">
        <v>216</v>
      </c>
      <c r="C64" s="116">
        <v>0</v>
      </c>
      <c r="D64" s="116">
        <v>1</v>
      </c>
      <c r="E64" s="115">
        <v>0</v>
      </c>
      <c r="F64" s="115">
        <v>1</v>
      </c>
      <c r="G64"/>
      <c r="H64"/>
    </row>
    <row r="65" spans="1:8" ht="15" customHeight="1" x14ac:dyDescent="0.15">
      <c r="A65">
        <v>64</v>
      </c>
      <c r="B65" s="185" t="s">
        <v>215</v>
      </c>
      <c r="C65" s="116">
        <v>0</v>
      </c>
      <c r="D65" s="116">
        <v>1</v>
      </c>
      <c r="E65" s="115">
        <v>0</v>
      </c>
      <c r="F65" s="115">
        <v>1</v>
      </c>
      <c r="G65"/>
      <c r="H65"/>
    </row>
    <row r="66" spans="1:8" ht="15" customHeight="1" x14ac:dyDescent="0.15">
      <c r="A66">
        <v>65</v>
      </c>
      <c r="B66" s="185" t="s">
        <v>253</v>
      </c>
      <c r="C66" s="116">
        <v>0</v>
      </c>
      <c r="D66" s="116">
        <v>1</v>
      </c>
      <c r="E66" s="115">
        <v>0</v>
      </c>
      <c r="F66" s="115">
        <v>1</v>
      </c>
      <c r="G66"/>
      <c r="H66"/>
    </row>
    <row r="67" spans="1:8" ht="15" customHeight="1" x14ac:dyDescent="0.15">
      <c r="A67">
        <v>66</v>
      </c>
      <c r="B67" s="185" t="s">
        <v>217</v>
      </c>
      <c r="C67" s="116">
        <v>0</v>
      </c>
      <c r="D67" s="116">
        <v>1</v>
      </c>
      <c r="E67" s="115">
        <v>0</v>
      </c>
      <c r="F67" s="115">
        <v>1</v>
      </c>
      <c r="G67"/>
      <c r="H67"/>
    </row>
    <row r="68" spans="1:8" ht="15" customHeight="1" x14ac:dyDescent="0.15">
      <c r="A68">
        <v>67</v>
      </c>
      <c r="B68" s="185" t="s">
        <v>254</v>
      </c>
      <c r="C68" s="116">
        <v>0</v>
      </c>
      <c r="D68" s="116">
        <v>1</v>
      </c>
      <c r="E68" s="115">
        <v>0</v>
      </c>
      <c r="F68" s="115">
        <v>1</v>
      </c>
      <c r="G68"/>
      <c r="H68"/>
    </row>
    <row r="69" spans="1:8" ht="15" customHeight="1" x14ac:dyDescent="0.15">
      <c r="A69">
        <v>68</v>
      </c>
      <c r="B69" s="185" t="s">
        <v>255</v>
      </c>
      <c r="C69" s="116">
        <v>0</v>
      </c>
      <c r="D69" s="116">
        <v>1</v>
      </c>
      <c r="E69" s="115">
        <v>0</v>
      </c>
      <c r="F69" s="115">
        <v>1</v>
      </c>
      <c r="G69"/>
      <c r="H69"/>
    </row>
    <row r="70" spans="1:8" ht="15" customHeight="1" x14ac:dyDescent="0.15">
      <c r="A70">
        <v>69</v>
      </c>
      <c r="B70" s="185" t="s">
        <v>256</v>
      </c>
      <c r="C70" s="116">
        <v>0</v>
      </c>
      <c r="D70" s="116">
        <v>1</v>
      </c>
      <c r="E70" s="115">
        <v>0</v>
      </c>
      <c r="F70" s="115">
        <v>1</v>
      </c>
      <c r="G70"/>
      <c r="H70"/>
    </row>
    <row r="71" spans="1:8" ht="15" customHeight="1" x14ac:dyDescent="0.15">
      <c r="A71">
        <v>70</v>
      </c>
      <c r="B71" s="185" t="s">
        <v>257</v>
      </c>
      <c r="C71" s="116">
        <v>0</v>
      </c>
      <c r="D71" s="116">
        <v>1</v>
      </c>
      <c r="E71" s="115">
        <v>0</v>
      </c>
      <c r="F71" s="115">
        <v>1</v>
      </c>
      <c r="G71"/>
      <c r="H71"/>
    </row>
    <row r="72" spans="1:8" ht="15" customHeight="1" x14ac:dyDescent="0.15">
      <c r="A72">
        <v>71</v>
      </c>
      <c r="B72" s="185" t="s">
        <v>258</v>
      </c>
      <c r="C72" s="116">
        <v>0</v>
      </c>
      <c r="D72" s="116">
        <v>1</v>
      </c>
      <c r="E72" s="115">
        <v>0</v>
      </c>
      <c r="F72" s="115">
        <v>1</v>
      </c>
      <c r="G72"/>
      <c r="H72"/>
    </row>
    <row r="73" spans="1:8" ht="15" customHeight="1" x14ac:dyDescent="0.15">
      <c r="A73">
        <v>72</v>
      </c>
      <c r="B73" s="185" t="s">
        <v>259</v>
      </c>
      <c r="C73" s="116">
        <v>0</v>
      </c>
      <c r="D73" s="116">
        <v>1</v>
      </c>
      <c r="E73" s="115">
        <v>0</v>
      </c>
      <c r="F73" s="115">
        <v>1</v>
      </c>
      <c r="G73"/>
      <c r="H73"/>
    </row>
    <row r="74" spans="1:8" ht="15" customHeight="1" x14ac:dyDescent="0.15">
      <c r="A74">
        <v>73</v>
      </c>
      <c r="B74" s="185" t="s">
        <v>260</v>
      </c>
      <c r="C74" s="116">
        <v>0</v>
      </c>
      <c r="D74" s="116">
        <v>1</v>
      </c>
      <c r="E74" s="115">
        <v>0</v>
      </c>
      <c r="F74" s="115">
        <v>1</v>
      </c>
      <c r="G74"/>
      <c r="H74"/>
    </row>
    <row r="75" spans="1:8" ht="15" customHeight="1" x14ac:dyDescent="0.15">
      <c r="A75">
        <v>74</v>
      </c>
      <c r="B75" s="185" t="s">
        <v>261</v>
      </c>
      <c r="C75" s="116">
        <v>0</v>
      </c>
      <c r="D75" s="116">
        <v>1</v>
      </c>
      <c r="E75" s="115">
        <v>0</v>
      </c>
      <c r="F75" s="115">
        <v>1</v>
      </c>
      <c r="G75"/>
      <c r="H75"/>
    </row>
    <row r="76" spans="1:8" ht="15" customHeight="1" x14ac:dyDescent="0.15">
      <c r="A76">
        <v>75</v>
      </c>
      <c r="B76" s="185" t="s">
        <v>262</v>
      </c>
      <c r="C76" s="116">
        <v>0</v>
      </c>
      <c r="D76" s="116">
        <v>1</v>
      </c>
      <c r="E76" s="115">
        <v>0</v>
      </c>
      <c r="F76" s="115">
        <v>1</v>
      </c>
      <c r="G76"/>
      <c r="H76"/>
    </row>
    <row r="77" spans="1:8" ht="15" customHeight="1" x14ac:dyDescent="0.15">
      <c r="A77">
        <v>76</v>
      </c>
      <c r="B77" s="185" t="s">
        <v>263</v>
      </c>
      <c r="C77" s="116">
        <v>0</v>
      </c>
      <c r="D77" s="116">
        <v>1</v>
      </c>
      <c r="E77" s="115">
        <v>0</v>
      </c>
      <c r="F77" s="115">
        <v>1</v>
      </c>
      <c r="G77"/>
      <c r="H77"/>
    </row>
    <row r="78" spans="1:8" ht="15" customHeight="1" x14ac:dyDescent="0.15">
      <c r="A78">
        <v>77</v>
      </c>
      <c r="B78" s="185" t="s">
        <v>264</v>
      </c>
      <c r="C78" s="116">
        <v>0</v>
      </c>
      <c r="D78" s="116">
        <v>1</v>
      </c>
      <c r="E78" s="115">
        <v>0</v>
      </c>
      <c r="F78" s="115">
        <v>1</v>
      </c>
      <c r="G78"/>
      <c r="H78"/>
    </row>
    <row r="79" spans="1:8" ht="15" customHeight="1" x14ac:dyDescent="0.15">
      <c r="A79">
        <v>78</v>
      </c>
      <c r="B79" s="185" t="s">
        <v>265</v>
      </c>
      <c r="C79" s="116">
        <v>0</v>
      </c>
      <c r="D79" s="116">
        <v>1</v>
      </c>
      <c r="E79" s="115">
        <v>0</v>
      </c>
      <c r="F79" s="115">
        <v>1</v>
      </c>
      <c r="G79"/>
      <c r="H79"/>
    </row>
    <row r="80" spans="1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X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0" bestFit="1" customWidth="1"/>
    <col min="3" max="5" width="6.83203125" bestFit="1" customWidth="1"/>
    <col min="6" max="12" width="6.83203125" customWidth="1"/>
    <col min="13" max="14" width="4.83203125" customWidth="1"/>
    <col min="15" max="15" width="6.83203125" customWidth="1"/>
    <col min="16" max="16" width="4.83203125" customWidth="1"/>
    <col min="17" max="17" width="6.83203125" customWidth="1"/>
    <col min="18" max="18" width="4.83203125" customWidth="1"/>
    <col min="19" max="20" width="6.83203125" customWidth="1"/>
    <col min="21" max="22" width="7.83203125" customWidth="1"/>
    <col min="23" max="23" width="5.83203125" customWidth="1"/>
    <col min="24" max="24" width="7.83203125" customWidth="1"/>
  </cols>
  <sheetData>
    <row r="1" spans="1:24" s="117" customFormat="1" ht="112" x14ac:dyDescent="0.15">
      <c r="A1" s="5" t="s">
        <v>21</v>
      </c>
      <c r="B1" s="3" t="s">
        <v>0</v>
      </c>
      <c r="C1" s="188" t="s">
        <v>248</v>
      </c>
      <c r="D1" s="188" t="s">
        <v>249</v>
      </c>
      <c r="E1" s="188" t="s">
        <v>250</v>
      </c>
      <c r="F1" s="188" t="s">
        <v>251</v>
      </c>
      <c r="G1" s="188" t="s">
        <v>252</v>
      </c>
      <c r="H1" s="188" t="s">
        <v>216</v>
      </c>
      <c r="I1" s="188" t="s">
        <v>215</v>
      </c>
      <c r="J1" s="188" t="s">
        <v>253</v>
      </c>
      <c r="K1" s="188" t="s">
        <v>217</v>
      </c>
      <c r="L1" s="188" t="s">
        <v>254</v>
      </c>
      <c r="M1" s="188" t="s">
        <v>255</v>
      </c>
      <c r="N1" s="188" t="s">
        <v>256</v>
      </c>
      <c r="O1" s="188" t="s">
        <v>257</v>
      </c>
      <c r="P1" s="188" t="s">
        <v>258</v>
      </c>
      <c r="Q1" s="188" t="s">
        <v>259</v>
      </c>
      <c r="R1" s="188" t="s">
        <v>260</v>
      </c>
      <c r="S1" s="188" t="s">
        <v>261</v>
      </c>
      <c r="T1" s="188" t="s">
        <v>262</v>
      </c>
      <c r="U1" s="188" t="s">
        <v>263</v>
      </c>
      <c r="V1" s="188" t="s">
        <v>264</v>
      </c>
      <c r="W1" s="188" t="s">
        <v>265</v>
      </c>
      <c r="X1" s="188" t="s">
        <v>269</v>
      </c>
    </row>
    <row r="2" spans="1:24" ht="15" customHeight="1" x14ac:dyDescent="0.15">
      <c r="A2">
        <v>1</v>
      </c>
      <c r="B2" s="187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</row>
    <row r="3" spans="1:24" ht="15" customHeight="1" x14ac:dyDescent="0.15">
      <c r="A3">
        <v>2</v>
      </c>
      <c r="B3" s="187" t="s">
        <v>193</v>
      </c>
      <c r="C3">
        <v>9.1000000000000004E-3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9.1000000000000004E-3</v>
      </c>
    </row>
    <row r="4" spans="1:24" ht="15" customHeight="1" x14ac:dyDescent="0.15">
      <c r="A4">
        <v>3</v>
      </c>
      <c r="B4" s="187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</row>
    <row r="5" spans="1:24" ht="15" customHeight="1" x14ac:dyDescent="0.15">
      <c r="A5">
        <v>4</v>
      </c>
      <c r="B5" s="187" t="s">
        <v>195</v>
      </c>
      <c r="C5">
        <v>0</v>
      </c>
      <c r="D5">
        <v>5.2400000000000002E-2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5.2400000000000002E-2</v>
      </c>
    </row>
    <row r="6" spans="1:24" ht="15" customHeight="1" x14ac:dyDescent="0.15">
      <c r="A6">
        <v>5</v>
      </c>
      <c r="B6" s="187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ht="15" customHeight="1" x14ac:dyDescent="0.15">
      <c r="A7">
        <v>6</v>
      </c>
      <c r="B7" s="187" t="s">
        <v>197</v>
      </c>
      <c r="C7">
        <v>0</v>
      </c>
      <c r="D7">
        <v>0</v>
      </c>
      <c r="E7">
        <v>2.3199999999999998E-2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8.0000000000000002E-3</v>
      </c>
      <c r="X7">
        <v>3.1199999999999999E-2</v>
      </c>
    </row>
    <row r="8" spans="1:24" ht="15" customHeight="1" x14ac:dyDescent="0.15">
      <c r="A8">
        <v>7</v>
      </c>
      <c r="B8" s="187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ht="15" customHeight="1" x14ac:dyDescent="0.15">
      <c r="A9">
        <v>8</v>
      </c>
      <c r="B9" s="187" t="s">
        <v>199</v>
      </c>
      <c r="C9">
        <v>0</v>
      </c>
      <c r="D9">
        <v>0</v>
      </c>
      <c r="E9">
        <v>0</v>
      </c>
      <c r="F9">
        <v>2.5999999999999999E-3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2.5999999999999999E-3</v>
      </c>
    </row>
    <row r="10" spans="1:24" ht="15" customHeight="1" x14ac:dyDescent="0.15">
      <c r="A10">
        <v>9</v>
      </c>
      <c r="B10" s="187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ht="15" customHeight="1" x14ac:dyDescent="0.15">
      <c r="A11">
        <v>10</v>
      </c>
      <c r="B11" s="187" t="s">
        <v>201</v>
      </c>
      <c r="C11">
        <v>0</v>
      </c>
      <c r="D11">
        <v>0</v>
      </c>
      <c r="E11">
        <v>0</v>
      </c>
      <c r="F11">
        <v>0</v>
      </c>
      <c r="G11">
        <v>0.1205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0.1205</v>
      </c>
    </row>
    <row r="12" spans="1:24" ht="15" customHeight="1" x14ac:dyDescent="0.15">
      <c r="A12">
        <v>11</v>
      </c>
      <c r="B12" s="187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ht="15" customHeight="1" x14ac:dyDescent="0.15">
      <c r="A13">
        <v>12</v>
      </c>
      <c r="B13" s="187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0.1459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0.1459</v>
      </c>
    </row>
    <row r="14" spans="1:24" ht="15" customHeight="1" x14ac:dyDescent="0.15">
      <c r="A14">
        <v>13</v>
      </c>
      <c r="B14" s="187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ht="15" customHeight="1" x14ac:dyDescent="0.15">
      <c r="A15">
        <v>14</v>
      </c>
      <c r="B15" s="187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ht="15" customHeight="1" x14ac:dyDescent="0.15">
      <c r="A16">
        <v>15</v>
      </c>
      <c r="B16" s="187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ht="15" customHeight="1" x14ac:dyDescent="0.15">
      <c r="A17">
        <v>16</v>
      </c>
      <c r="B17" s="187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ht="15" customHeight="1" x14ac:dyDescent="0.15">
      <c r="A18">
        <v>17</v>
      </c>
      <c r="B18" s="187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ht="15" customHeight="1" x14ac:dyDescent="0.15">
      <c r="A19">
        <v>18</v>
      </c>
      <c r="B19" s="187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ht="15" customHeight="1" x14ac:dyDescent="0.15">
      <c r="A20">
        <v>19</v>
      </c>
      <c r="B20" s="187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ht="15" customHeight="1" x14ac:dyDescent="0.15">
      <c r="A21">
        <v>20</v>
      </c>
      <c r="B21" s="187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ht="15" customHeight="1" x14ac:dyDescent="0.15">
      <c r="A22">
        <v>21</v>
      </c>
      <c r="B22" s="187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ht="15" customHeight="1" x14ac:dyDescent="0.15">
      <c r="A23">
        <v>22</v>
      </c>
      <c r="B23" s="187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2.6100000000000002E-2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2.6100000000000002E-2</v>
      </c>
    </row>
    <row r="24" spans="1:24" ht="15" customHeight="1" x14ac:dyDescent="0.15">
      <c r="A24">
        <v>23</v>
      </c>
      <c r="B24" s="187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9.4999999999999998E-3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9.4999999999999998E-3</v>
      </c>
    </row>
    <row r="25" spans="1:24" ht="15" customHeight="1" x14ac:dyDescent="0.15">
      <c r="A25">
        <v>24</v>
      </c>
      <c r="B25" s="187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6.3700000000000007E-2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6.3700000000000007E-2</v>
      </c>
    </row>
    <row r="26" spans="1:24" ht="15" customHeight="1" x14ac:dyDescent="0.15">
      <c r="A26">
        <v>25</v>
      </c>
      <c r="B26" s="187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6.2199999999999998E-2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6.2199999999999998E-2</v>
      </c>
    </row>
    <row r="27" spans="1:24" ht="15" customHeight="1" x14ac:dyDescent="0.15">
      <c r="A27">
        <v>26</v>
      </c>
      <c r="B27" s="187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6.6900000000000001E-2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6.6900000000000001E-2</v>
      </c>
    </row>
    <row r="28" spans="1:24" ht="15" customHeight="1" x14ac:dyDescent="0.15">
      <c r="A28">
        <v>27</v>
      </c>
      <c r="B28" s="187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5.0000000000000001E-3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0.02</v>
      </c>
      <c r="X28">
        <v>2.5000000000000001E-2</v>
      </c>
    </row>
    <row r="29" spans="1:24" ht="15" customHeight="1" x14ac:dyDescent="0.15">
      <c r="A29">
        <v>28</v>
      </c>
      <c r="B29" s="187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7.7000000000000002E-3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0.03</v>
      </c>
      <c r="X29">
        <v>3.7699999999999997E-2</v>
      </c>
    </row>
    <row r="30" spans="1:24" ht="15" customHeight="1" x14ac:dyDescent="0.15">
      <c r="A30">
        <v>29</v>
      </c>
      <c r="B30" s="187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4.41E-2</v>
      </c>
      <c r="T30">
        <v>0</v>
      </c>
      <c r="U30">
        <v>0</v>
      </c>
      <c r="V30">
        <v>0</v>
      </c>
      <c r="W30">
        <v>0</v>
      </c>
      <c r="X30">
        <v>4.41E-2</v>
      </c>
    </row>
    <row r="31" spans="1:24" ht="15" customHeight="1" x14ac:dyDescent="0.15">
      <c r="A31">
        <v>30</v>
      </c>
      <c r="B31" s="187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2.5999999999999999E-3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2.5999999999999999E-3</v>
      </c>
    </row>
    <row r="32" spans="1:24" ht="15" customHeight="1" x14ac:dyDescent="0.15">
      <c r="A32">
        <v>31</v>
      </c>
      <c r="B32" s="187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0.1074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0.1074</v>
      </c>
    </row>
    <row r="33" spans="1:24" ht="15" customHeight="1" x14ac:dyDescent="0.15">
      <c r="A33">
        <v>32</v>
      </c>
      <c r="B33" s="187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0.02</v>
      </c>
      <c r="S33">
        <v>0</v>
      </c>
      <c r="T33">
        <v>0</v>
      </c>
      <c r="U33">
        <v>0</v>
      </c>
      <c r="V33">
        <v>0</v>
      </c>
      <c r="W33">
        <v>0</v>
      </c>
      <c r="X33">
        <v>0.02</v>
      </c>
    </row>
    <row r="34" spans="1:24" ht="15" customHeight="1" x14ac:dyDescent="0.15">
      <c r="A34">
        <v>33</v>
      </c>
      <c r="B34" s="187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</row>
    <row r="35" spans="1:24" ht="15" customHeight="1" x14ac:dyDescent="0.15">
      <c r="A35">
        <v>34</v>
      </c>
      <c r="B35" s="187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1.61E-2</v>
      </c>
      <c r="R35">
        <v>0</v>
      </c>
      <c r="S35">
        <v>0</v>
      </c>
      <c r="T35">
        <v>0</v>
      </c>
      <c r="U35">
        <v>0</v>
      </c>
      <c r="V35">
        <v>0</v>
      </c>
      <c r="W35">
        <v>1.2999999999999999E-2</v>
      </c>
      <c r="X35">
        <v>2.9100000000000001E-2</v>
      </c>
    </row>
    <row r="36" spans="1:24" ht="15" customHeight="1" x14ac:dyDescent="0.15">
      <c r="A36">
        <v>35</v>
      </c>
      <c r="B36" s="187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4.0300000000000002E-2</v>
      </c>
      <c r="U36">
        <v>0</v>
      </c>
      <c r="V36">
        <v>0</v>
      </c>
      <c r="W36">
        <v>0</v>
      </c>
      <c r="X36">
        <v>4.0300000000000002E-2</v>
      </c>
    </row>
    <row r="37" spans="1:24" ht="15" customHeight="1" x14ac:dyDescent="0.15">
      <c r="A37">
        <v>36</v>
      </c>
      <c r="B37" s="187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5.3E-3</v>
      </c>
      <c r="U37">
        <v>0</v>
      </c>
      <c r="V37">
        <v>0</v>
      </c>
      <c r="W37">
        <v>0</v>
      </c>
      <c r="X37">
        <v>5.3E-3</v>
      </c>
    </row>
    <row r="38" spans="1:24" ht="15" customHeight="1" x14ac:dyDescent="0.15">
      <c r="A38">
        <v>37</v>
      </c>
      <c r="B38" s="187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1.8E-3</v>
      </c>
      <c r="U38">
        <v>0</v>
      </c>
      <c r="V38">
        <v>0</v>
      </c>
      <c r="W38">
        <v>0</v>
      </c>
      <c r="X38">
        <v>1.8E-3</v>
      </c>
    </row>
    <row r="39" spans="1:24" ht="15" customHeight="1" x14ac:dyDescent="0.15">
      <c r="A39">
        <v>38</v>
      </c>
      <c r="B39" s="187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0.04</v>
      </c>
      <c r="U39">
        <v>0</v>
      </c>
      <c r="V39">
        <v>0</v>
      </c>
      <c r="W39">
        <v>0</v>
      </c>
      <c r="X39">
        <v>0.04</v>
      </c>
    </row>
    <row r="40" spans="1:24" ht="15" customHeight="1" x14ac:dyDescent="0.15">
      <c r="A40">
        <v>39</v>
      </c>
      <c r="B40" s="187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</row>
    <row r="41" spans="1:24" ht="15" customHeight="1" x14ac:dyDescent="0.15">
      <c r="A41">
        <v>40</v>
      </c>
      <c r="B41" s="187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3.0000000000000001E-3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3.0000000000000001E-3</v>
      </c>
    </row>
    <row r="42" spans="1:24" ht="15" customHeight="1" x14ac:dyDescent="0.15">
      <c r="A42">
        <v>41</v>
      </c>
      <c r="B42" s="187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2.7899999999999999E-3</v>
      </c>
      <c r="W42">
        <v>0</v>
      </c>
      <c r="X42">
        <v>2.7899999999999999E-3</v>
      </c>
    </row>
    <row r="43" spans="1:24" ht="15" customHeight="1" x14ac:dyDescent="0.15">
      <c r="A43">
        <v>42</v>
      </c>
      <c r="B43" s="187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1.97E-3</v>
      </c>
      <c r="V43">
        <v>0</v>
      </c>
      <c r="W43">
        <v>0</v>
      </c>
      <c r="X43">
        <v>1.97E-3</v>
      </c>
    </row>
    <row r="44" spans="1:24" ht="15" customHeight="1" x14ac:dyDescent="0.15">
      <c r="A44">
        <v>43</v>
      </c>
      <c r="B44" s="187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</row>
    <row r="45" spans="1:24" ht="15" customHeight="1" x14ac:dyDescent="0.15">
      <c r="A45">
        <v>44</v>
      </c>
      <c r="B45" s="187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</row>
    <row r="46" spans="1:24" ht="15" customHeight="1" x14ac:dyDescent="0.15">
      <c r="A46">
        <v>45</v>
      </c>
      <c r="B46" s="187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</row>
    <row r="47" spans="1:24" ht="15" customHeight="1" x14ac:dyDescent="0.15">
      <c r="A47">
        <v>46</v>
      </c>
      <c r="B47" s="187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</row>
    <row r="48" spans="1:24" ht="15" customHeight="1" x14ac:dyDescent="0.15">
      <c r="A48">
        <v>47</v>
      </c>
      <c r="B48" s="187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1E-3</v>
      </c>
      <c r="W48">
        <v>0</v>
      </c>
      <c r="X48">
        <v>1E-3</v>
      </c>
    </row>
    <row r="49" spans="1:24" ht="15" customHeight="1" x14ac:dyDescent="0.15">
      <c r="A49">
        <v>48</v>
      </c>
      <c r="B49" s="187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</row>
    <row r="50" spans="1:24" x14ac:dyDescent="0.15">
      <c r="A50">
        <v>49</v>
      </c>
      <c r="B50" s="187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0.03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8.9999999999999993E-3</v>
      </c>
      <c r="X50">
        <v>3.9E-2</v>
      </c>
    </row>
    <row r="51" spans="1:24" x14ac:dyDescent="0.15">
      <c r="A51">
        <v>50</v>
      </c>
      <c r="B51" s="187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2.8799999999999999E-2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0.01</v>
      </c>
      <c r="X51">
        <v>3.8800000000000001E-2</v>
      </c>
    </row>
    <row r="52" spans="1:24" x14ac:dyDescent="0.15">
      <c r="A52">
        <v>51</v>
      </c>
      <c r="B52" s="187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0.02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8.9999999999999993E-3</v>
      </c>
      <c r="X52">
        <v>2.8999999999999998E-2</v>
      </c>
    </row>
    <row r="53" spans="1:24" x14ac:dyDescent="0.15">
      <c r="A53">
        <v>52</v>
      </c>
      <c r="B53" s="187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0.04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0.04</v>
      </c>
    </row>
    <row r="54" spans="1:24" x14ac:dyDescent="0.15">
      <c r="A54">
        <v>53</v>
      </c>
      <c r="B54" s="187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</row>
    <row r="55" spans="1:24" x14ac:dyDescent="0.15">
      <c r="A55">
        <v>54</v>
      </c>
      <c r="B55" s="187" t="s">
        <v>245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</row>
    <row r="56" spans="1:24" x14ac:dyDescent="0.15">
      <c r="A56">
        <v>55</v>
      </c>
      <c r="B56" s="187" t="s">
        <v>67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</row>
    <row r="57" spans="1:24" x14ac:dyDescent="0.15">
      <c r="A57">
        <v>56</v>
      </c>
      <c r="B57" s="187" t="s">
        <v>246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</row>
    <row r="58" spans="1:24" x14ac:dyDescent="0.15">
      <c r="A58">
        <v>57</v>
      </c>
      <c r="B58" s="187" t="s">
        <v>247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</row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X58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0" bestFit="1" customWidth="1"/>
    <col min="3" max="3" width="5.83203125" bestFit="1" customWidth="1"/>
    <col min="4" max="4" width="6.83203125" bestFit="1" customWidth="1"/>
    <col min="5" max="5" width="5.83203125" bestFit="1" customWidth="1"/>
    <col min="6" max="7" width="6.83203125" customWidth="1"/>
    <col min="8" max="13" width="2.33203125" customWidth="1"/>
    <col min="14" max="14" width="6.83203125" customWidth="1"/>
    <col min="15" max="16" width="2.33203125" customWidth="1"/>
    <col min="17" max="18" width="5.83203125" customWidth="1"/>
    <col min="19" max="19" width="2.33203125" customWidth="1"/>
    <col min="20" max="20" width="5.83203125" customWidth="1"/>
    <col min="21" max="23" width="2.33203125" customWidth="1"/>
    <col min="24" max="24" width="6.83203125" customWidth="1"/>
  </cols>
  <sheetData>
    <row r="1" spans="1:24" s="117" customFormat="1" ht="112" x14ac:dyDescent="0.15">
      <c r="A1" s="5" t="s">
        <v>22</v>
      </c>
      <c r="B1" s="3" t="s">
        <v>0</v>
      </c>
      <c r="C1" s="190" t="s">
        <v>248</v>
      </c>
      <c r="D1" s="190" t="s">
        <v>249</v>
      </c>
      <c r="E1" s="190" t="s">
        <v>250</v>
      </c>
      <c r="F1" s="190" t="s">
        <v>251</v>
      </c>
      <c r="G1" s="190" t="s">
        <v>252</v>
      </c>
      <c r="H1" s="190" t="s">
        <v>216</v>
      </c>
      <c r="I1" s="190" t="s">
        <v>215</v>
      </c>
      <c r="J1" s="190" t="s">
        <v>253</v>
      </c>
      <c r="K1" s="190" t="s">
        <v>217</v>
      </c>
      <c r="L1" s="190" t="s">
        <v>254</v>
      </c>
      <c r="M1" s="190" t="s">
        <v>255</v>
      </c>
      <c r="N1" s="190" t="s">
        <v>256</v>
      </c>
      <c r="O1" s="190" t="s">
        <v>257</v>
      </c>
      <c r="P1" s="190" t="s">
        <v>258</v>
      </c>
      <c r="Q1" s="190" t="s">
        <v>259</v>
      </c>
      <c r="R1" s="190" t="s">
        <v>260</v>
      </c>
      <c r="S1" s="190" t="s">
        <v>261</v>
      </c>
      <c r="T1" s="190" t="s">
        <v>262</v>
      </c>
      <c r="U1" s="190" t="s">
        <v>263</v>
      </c>
      <c r="V1" s="190" t="s">
        <v>264</v>
      </c>
      <c r="W1" s="190" t="s">
        <v>265</v>
      </c>
      <c r="X1" s="190" t="s">
        <v>269</v>
      </c>
    </row>
    <row r="2" spans="1:24" x14ac:dyDescent="0.15">
      <c r="A2">
        <v>1</v>
      </c>
      <c r="B2" s="189" t="s">
        <v>192</v>
      </c>
      <c r="C2">
        <v>3.0000000000000001E-3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1E-4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3.0999999999999999E-3</v>
      </c>
    </row>
    <row r="3" spans="1:24" x14ac:dyDescent="0.15">
      <c r="A3">
        <v>2</v>
      </c>
      <c r="B3" s="189" t="s">
        <v>193</v>
      </c>
      <c r="C3">
        <v>3.0000000000000001E-3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5.0000000000000001E-4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3.5000000000000001E-3</v>
      </c>
    </row>
    <row r="4" spans="1:24" x14ac:dyDescent="0.15">
      <c r="A4">
        <v>3</v>
      </c>
      <c r="B4" s="189" t="s">
        <v>194</v>
      </c>
      <c r="C4">
        <v>0</v>
      </c>
      <c r="D4">
        <v>1.1999999999999999E-3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1.1999999999999999E-3</v>
      </c>
    </row>
    <row r="5" spans="1:24" x14ac:dyDescent="0.15">
      <c r="A5">
        <v>4</v>
      </c>
      <c r="B5" s="189" t="s">
        <v>195</v>
      </c>
      <c r="C5">
        <v>0</v>
      </c>
      <c r="D5">
        <v>1.1999999999999999E-3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1E-3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2.1999999999999997E-3</v>
      </c>
    </row>
    <row r="6" spans="1:24" x14ac:dyDescent="0.15">
      <c r="A6">
        <v>5</v>
      </c>
      <c r="B6" s="189" t="s">
        <v>196</v>
      </c>
      <c r="C6">
        <v>0</v>
      </c>
      <c r="D6">
        <v>0</v>
      </c>
      <c r="E6">
        <v>1E-3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1E-3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2E-3</v>
      </c>
    </row>
    <row r="7" spans="1:24" x14ac:dyDescent="0.15">
      <c r="A7">
        <v>6</v>
      </c>
      <c r="B7" s="189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4.0000000000000001E-3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4.0000000000000001E-3</v>
      </c>
    </row>
    <row r="8" spans="1:24" x14ac:dyDescent="0.15">
      <c r="A8">
        <v>7</v>
      </c>
      <c r="B8" s="189" t="s">
        <v>198</v>
      </c>
      <c r="C8">
        <v>0</v>
      </c>
      <c r="D8">
        <v>0</v>
      </c>
      <c r="E8">
        <v>0</v>
      </c>
      <c r="F8">
        <v>2.5000000000000001E-3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1E-3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3.5000000000000001E-3</v>
      </c>
    </row>
    <row r="9" spans="1:24" x14ac:dyDescent="0.15">
      <c r="A9">
        <v>8</v>
      </c>
      <c r="B9" s="189" t="s">
        <v>199</v>
      </c>
      <c r="C9">
        <v>0</v>
      </c>
      <c r="D9">
        <v>0</v>
      </c>
      <c r="E9">
        <v>0</v>
      </c>
      <c r="F9">
        <v>2.5000000000000001E-3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2E-3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4.5000000000000005E-3</v>
      </c>
    </row>
    <row r="10" spans="1:24" x14ac:dyDescent="0.15">
      <c r="A10">
        <v>9</v>
      </c>
      <c r="B10" s="189" t="s">
        <v>200</v>
      </c>
      <c r="C10">
        <v>0</v>
      </c>
      <c r="D10">
        <v>0</v>
      </c>
      <c r="E10">
        <v>0</v>
      </c>
      <c r="F10">
        <v>0</v>
      </c>
      <c r="G10">
        <v>1.4E-3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2.0000000000000001E-4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1.6000000000000001E-3</v>
      </c>
    </row>
    <row r="11" spans="1:24" x14ac:dyDescent="0.15">
      <c r="A11">
        <v>10</v>
      </c>
      <c r="B11" s="189" t="s">
        <v>201</v>
      </c>
      <c r="C11">
        <v>0</v>
      </c>
      <c r="D11">
        <v>0</v>
      </c>
      <c r="E11">
        <v>0</v>
      </c>
      <c r="F11">
        <v>0</v>
      </c>
      <c r="G11">
        <v>1.4E-3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6.9999999999999999E-4</v>
      </c>
      <c r="O11">
        <v>0</v>
      </c>
      <c r="P11">
        <v>0</v>
      </c>
      <c r="Q11">
        <v>2E-3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4.0999999999999995E-3</v>
      </c>
    </row>
    <row r="12" spans="1:24" x14ac:dyDescent="0.15">
      <c r="A12">
        <v>11</v>
      </c>
      <c r="B12" s="189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15">
      <c r="A13">
        <v>12</v>
      </c>
      <c r="B13" s="189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15">
      <c r="A14">
        <v>13</v>
      </c>
      <c r="B14" s="189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15">
      <c r="A15">
        <v>14</v>
      </c>
      <c r="B15" s="189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15">
      <c r="A16">
        <v>15</v>
      </c>
      <c r="B16" s="189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15">
      <c r="A17">
        <v>16</v>
      </c>
      <c r="B17" s="189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15">
      <c r="A18">
        <v>17</v>
      </c>
      <c r="B18" s="189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15">
      <c r="A19">
        <v>18</v>
      </c>
      <c r="B19" s="189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15">
      <c r="A20">
        <v>19</v>
      </c>
      <c r="B20" s="189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15">
      <c r="A21">
        <v>20</v>
      </c>
      <c r="B21" s="189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15">
      <c r="A22">
        <v>21</v>
      </c>
      <c r="B22" s="189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15">
      <c r="A23">
        <v>22</v>
      </c>
      <c r="B23" s="189" t="s">
        <v>213</v>
      </c>
      <c r="C23">
        <v>0.01</v>
      </c>
      <c r="D23">
        <v>1E-3</v>
      </c>
      <c r="E23">
        <v>0</v>
      </c>
      <c r="F23">
        <v>0.01</v>
      </c>
      <c r="G23">
        <v>0.01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5.0000000000000001E-4</v>
      </c>
      <c r="O23">
        <v>0</v>
      </c>
      <c r="P23">
        <v>0</v>
      </c>
      <c r="Q23">
        <v>0.01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4.1500000000000002E-2</v>
      </c>
    </row>
    <row r="24" spans="1:24" x14ac:dyDescent="0.15">
      <c r="A24">
        <v>23</v>
      </c>
      <c r="B24" s="189" t="s">
        <v>214</v>
      </c>
      <c r="C24">
        <v>0.02</v>
      </c>
      <c r="D24">
        <v>2E-3</v>
      </c>
      <c r="E24">
        <v>0</v>
      </c>
      <c r="F24">
        <v>0.02</v>
      </c>
      <c r="G24">
        <v>0.02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1E-3</v>
      </c>
      <c r="O24">
        <v>0</v>
      </c>
      <c r="P24">
        <v>0</v>
      </c>
      <c r="Q24">
        <v>0.03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9.2999999999999999E-2</v>
      </c>
    </row>
    <row r="25" spans="1:24" x14ac:dyDescent="0.15">
      <c r="A25">
        <v>24</v>
      </c>
      <c r="B25" s="189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15">
      <c r="A26">
        <v>25</v>
      </c>
      <c r="B26" s="189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15">
      <c r="A27">
        <v>26</v>
      </c>
      <c r="B27" s="189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15">
      <c r="A28">
        <v>27</v>
      </c>
      <c r="B28" s="189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</row>
    <row r="29" spans="1:24" x14ac:dyDescent="0.15">
      <c r="A29">
        <v>28</v>
      </c>
      <c r="B29" s="189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1:24" x14ac:dyDescent="0.15">
      <c r="A30">
        <v>29</v>
      </c>
      <c r="B30" s="189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1:24" x14ac:dyDescent="0.15">
      <c r="A31">
        <v>30</v>
      </c>
      <c r="B31" s="189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</row>
    <row r="32" spans="1:24" x14ac:dyDescent="0.15">
      <c r="A32">
        <v>31</v>
      </c>
      <c r="B32" s="189" t="s">
        <v>222</v>
      </c>
      <c r="C32">
        <v>0</v>
      </c>
      <c r="D32">
        <v>1E-3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0.01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1.0999999999999999E-2</v>
      </c>
    </row>
    <row r="33" spans="1:24" x14ac:dyDescent="0.15">
      <c r="A33">
        <v>32</v>
      </c>
      <c r="B33" s="189" t="s">
        <v>223</v>
      </c>
      <c r="C33">
        <v>1E-3</v>
      </c>
      <c r="D33">
        <v>0</v>
      </c>
      <c r="E33">
        <v>0</v>
      </c>
      <c r="F33">
        <v>4.0000000000000002E-4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1E-3</v>
      </c>
      <c r="R33">
        <v>3.0000000000000001E-3</v>
      </c>
      <c r="S33">
        <v>0</v>
      </c>
      <c r="T33">
        <v>0</v>
      </c>
      <c r="U33">
        <v>0</v>
      </c>
      <c r="V33">
        <v>0</v>
      </c>
      <c r="W33">
        <v>0</v>
      </c>
      <c r="X33">
        <v>5.4000000000000003E-3</v>
      </c>
    </row>
    <row r="34" spans="1:24" x14ac:dyDescent="0.15">
      <c r="A34">
        <v>33</v>
      </c>
      <c r="B34" s="189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</row>
    <row r="35" spans="1:24" x14ac:dyDescent="0.15">
      <c r="A35">
        <v>34</v>
      </c>
      <c r="B35" s="189" t="s">
        <v>225</v>
      </c>
      <c r="C35">
        <v>0</v>
      </c>
      <c r="D35">
        <v>1E-3</v>
      </c>
      <c r="E35">
        <v>0</v>
      </c>
      <c r="F35">
        <v>1E-3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2E-3</v>
      </c>
    </row>
    <row r="36" spans="1:24" x14ac:dyDescent="0.15">
      <c r="A36">
        <v>35</v>
      </c>
      <c r="B36" s="189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</row>
    <row r="37" spans="1:24" x14ac:dyDescent="0.15">
      <c r="A37">
        <v>36</v>
      </c>
      <c r="B37" s="189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</row>
    <row r="38" spans="1:24" x14ac:dyDescent="0.15">
      <c r="A38">
        <v>37</v>
      </c>
      <c r="B38" s="189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</row>
    <row r="39" spans="1:24" x14ac:dyDescent="0.15">
      <c r="A39">
        <v>38</v>
      </c>
      <c r="B39" s="189" t="s">
        <v>229</v>
      </c>
      <c r="C39">
        <v>0</v>
      </c>
      <c r="D39">
        <v>1E-3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4.0000000000000001E-3</v>
      </c>
      <c r="U39">
        <v>0</v>
      </c>
      <c r="V39">
        <v>0</v>
      </c>
      <c r="W39">
        <v>0</v>
      </c>
      <c r="X39">
        <v>5.0000000000000001E-3</v>
      </c>
    </row>
    <row r="40" spans="1:24" x14ac:dyDescent="0.15">
      <c r="A40">
        <v>39</v>
      </c>
      <c r="B40" s="189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</row>
    <row r="41" spans="1:24" x14ac:dyDescent="0.15">
      <c r="A41">
        <v>40</v>
      </c>
      <c r="B41" s="189" t="s">
        <v>231</v>
      </c>
      <c r="C41">
        <v>1.4E-2</v>
      </c>
      <c r="D41">
        <v>1E-3</v>
      </c>
      <c r="E41">
        <v>0</v>
      </c>
      <c r="F41">
        <v>0.01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0.02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4.4999999999999998E-2</v>
      </c>
    </row>
    <row r="42" spans="1:24" x14ac:dyDescent="0.15">
      <c r="A42">
        <v>41</v>
      </c>
      <c r="B42" s="189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</row>
    <row r="43" spans="1:24" x14ac:dyDescent="0.15">
      <c r="A43">
        <v>42</v>
      </c>
      <c r="B43" s="189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3.0000000000000001E-3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3.0000000000000001E-3</v>
      </c>
    </row>
    <row r="44" spans="1:24" x14ac:dyDescent="0.15">
      <c r="A44">
        <v>43</v>
      </c>
      <c r="B44" s="189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</row>
    <row r="45" spans="1:24" x14ac:dyDescent="0.15">
      <c r="A45">
        <v>44</v>
      </c>
      <c r="B45" s="189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</row>
    <row r="46" spans="1:24" x14ac:dyDescent="0.15">
      <c r="A46">
        <v>45</v>
      </c>
      <c r="B46" s="189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</row>
    <row r="47" spans="1:24" x14ac:dyDescent="0.15">
      <c r="A47">
        <v>46</v>
      </c>
      <c r="B47" s="189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</row>
    <row r="48" spans="1:24" x14ac:dyDescent="0.15">
      <c r="A48">
        <v>47</v>
      </c>
      <c r="B48" s="189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</row>
    <row r="49" spans="1:24" x14ac:dyDescent="0.15">
      <c r="A49">
        <v>48</v>
      </c>
      <c r="B49" s="189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</row>
    <row r="50" spans="1:24" x14ac:dyDescent="0.15">
      <c r="A50">
        <v>49</v>
      </c>
      <c r="B50" s="189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</row>
    <row r="51" spans="1:24" x14ac:dyDescent="0.15">
      <c r="A51">
        <v>50</v>
      </c>
      <c r="B51" s="189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</row>
    <row r="52" spans="1:24" x14ac:dyDescent="0.15">
      <c r="A52">
        <v>51</v>
      </c>
      <c r="B52" s="189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</row>
    <row r="53" spans="1:24" x14ac:dyDescent="0.15">
      <c r="A53">
        <v>52</v>
      </c>
      <c r="B53" s="189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</row>
    <row r="54" spans="1:24" x14ac:dyDescent="0.15">
      <c r="A54">
        <v>53</v>
      </c>
      <c r="B54" s="189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0.04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0.04</v>
      </c>
    </row>
    <row r="55" spans="1:24" x14ac:dyDescent="0.15">
      <c r="A55">
        <v>54</v>
      </c>
      <c r="B55" s="189" t="s">
        <v>245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</row>
    <row r="56" spans="1:24" x14ac:dyDescent="0.15">
      <c r="A56">
        <v>55</v>
      </c>
      <c r="B56" s="189" t="s">
        <v>67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</row>
    <row r="57" spans="1:24" x14ac:dyDescent="0.15">
      <c r="A57">
        <v>56</v>
      </c>
      <c r="B57" s="189" t="s">
        <v>246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</row>
    <row r="58" spans="1:24" x14ac:dyDescent="0.15">
      <c r="A58">
        <v>57</v>
      </c>
      <c r="B58" s="189" t="s">
        <v>247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0" bestFit="1" customWidth="1"/>
    <col min="6" max="6" width="4.83203125" bestFit="1" customWidth="1"/>
    <col min="7" max="9" width="3.83203125" bestFit="1" customWidth="1"/>
    <col min="10" max="11" width="4.83203125" style="116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8" customFormat="1" ht="14" thickBot="1" x14ac:dyDescent="0.2">
      <c r="D1" s="119" t="s">
        <v>8</v>
      </c>
      <c r="E1" s="119" t="s">
        <v>0</v>
      </c>
      <c r="F1" s="120" t="s">
        <v>99</v>
      </c>
      <c r="G1" s="121" t="s">
        <v>84</v>
      </c>
      <c r="H1" s="121" t="s">
        <v>85</v>
      </c>
      <c r="I1" s="121" t="s">
        <v>86</v>
      </c>
      <c r="J1" s="121" t="s">
        <v>87</v>
      </c>
      <c r="K1" s="121" t="s">
        <v>88</v>
      </c>
      <c r="L1" s="122" t="s">
        <v>89</v>
      </c>
      <c r="M1" s="122" t="s">
        <v>93</v>
      </c>
      <c r="N1" s="122" t="s">
        <v>92</v>
      </c>
      <c r="O1" s="122" t="s">
        <v>90</v>
      </c>
      <c r="P1" s="122" t="s">
        <v>91</v>
      </c>
      <c r="Q1" s="123" t="s">
        <v>94</v>
      </c>
      <c r="R1" s="123" t="s">
        <v>95</v>
      </c>
      <c r="S1" s="123" t="s">
        <v>96</v>
      </c>
      <c r="T1" s="123" t="s">
        <v>97</v>
      </c>
      <c r="U1" s="123" t="s">
        <v>98</v>
      </c>
      <c r="V1" s="121" t="s">
        <v>100</v>
      </c>
      <c r="W1" s="121" t="s">
        <v>101</v>
      </c>
      <c r="X1" s="121" t="s">
        <v>102</v>
      </c>
      <c r="Y1" s="121" t="s">
        <v>134</v>
      </c>
      <c r="Z1" s="122" t="s">
        <v>103</v>
      </c>
      <c r="AA1" s="122" t="s">
        <v>104</v>
      </c>
      <c r="AB1" s="122" t="s">
        <v>105</v>
      </c>
      <c r="AC1" s="124" t="s">
        <v>135</v>
      </c>
      <c r="AD1" s="123" t="s">
        <v>106</v>
      </c>
      <c r="AE1" s="123" t="s">
        <v>107</v>
      </c>
      <c r="AF1" s="123" t="s">
        <v>108</v>
      </c>
      <c r="AG1" s="123" t="s">
        <v>136</v>
      </c>
      <c r="AH1" s="121" t="s">
        <v>109</v>
      </c>
      <c r="AI1" s="121" t="s">
        <v>111</v>
      </c>
      <c r="AJ1" s="121" t="s">
        <v>110</v>
      </c>
      <c r="AK1" s="122" t="s">
        <v>115</v>
      </c>
      <c r="AL1" s="122" t="s">
        <v>116</v>
      </c>
      <c r="AM1" s="122" t="s">
        <v>117</v>
      </c>
      <c r="AN1" s="123" t="s">
        <v>112</v>
      </c>
      <c r="AO1" s="123" t="s">
        <v>113</v>
      </c>
      <c r="AP1" s="123" t="s">
        <v>114</v>
      </c>
    </row>
    <row r="2" spans="1:42" x14ac:dyDescent="0.15">
      <c r="A2" s="125" t="s">
        <v>74</v>
      </c>
      <c r="B2" s="126">
        <v>1</v>
      </c>
      <c r="D2">
        <v>1</v>
      </c>
      <c r="E2" s="191" t="s">
        <v>192</v>
      </c>
      <c r="F2">
        <v>0.98</v>
      </c>
      <c r="G2">
        <v>0.8</v>
      </c>
      <c r="H2">
        <v>0.8</v>
      </c>
      <c r="I2">
        <v>0.8</v>
      </c>
      <c r="J2" s="116">
        <v>0.25</v>
      </c>
      <c r="K2" s="116">
        <v>0.05</v>
      </c>
    </row>
    <row r="3" spans="1:42" x14ac:dyDescent="0.15">
      <c r="A3" s="125" t="s">
        <v>75</v>
      </c>
      <c r="B3" s="127">
        <v>1</v>
      </c>
      <c r="D3">
        <v>2</v>
      </c>
      <c r="E3" s="191" t="s">
        <v>193</v>
      </c>
      <c r="F3">
        <v>0.98</v>
      </c>
      <c r="G3">
        <v>0.8</v>
      </c>
      <c r="H3">
        <v>0.8</v>
      </c>
      <c r="I3">
        <v>0.8</v>
      </c>
      <c r="J3" s="116">
        <v>0.25</v>
      </c>
      <c r="K3" s="116">
        <v>0.05</v>
      </c>
    </row>
    <row r="4" spans="1:42" x14ac:dyDescent="0.15">
      <c r="A4" s="125" t="s">
        <v>76</v>
      </c>
      <c r="B4" s="127">
        <v>1</v>
      </c>
      <c r="D4">
        <v>3</v>
      </c>
      <c r="E4" s="191" t="s">
        <v>194</v>
      </c>
      <c r="F4">
        <v>0.98</v>
      </c>
      <c r="G4">
        <v>0.8</v>
      </c>
      <c r="H4">
        <v>0.8</v>
      </c>
      <c r="I4">
        <v>0.8</v>
      </c>
      <c r="J4" s="116">
        <v>0.25</v>
      </c>
      <c r="K4" s="116">
        <v>0.05</v>
      </c>
    </row>
    <row r="5" spans="1:42" x14ac:dyDescent="0.15">
      <c r="A5" s="125" t="s">
        <v>77</v>
      </c>
      <c r="B5" s="127">
        <v>1</v>
      </c>
      <c r="D5">
        <v>4</v>
      </c>
      <c r="E5" s="191" t="s">
        <v>195</v>
      </c>
      <c r="F5">
        <v>0.98</v>
      </c>
      <c r="G5">
        <v>0.8</v>
      </c>
      <c r="H5">
        <v>0.8</v>
      </c>
      <c r="I5">
        <v>0.8</v>
      </c>
      <c r="J5" s="116">
        <v>0.25</v>
      </c>
      <c r="K5" s="116">
        <v>0.05</v>
      </c>
    </row>
    <row r="6" spans="1:42" x14ac:dyDescent="0.15">
      <c r="A6" s="125" t="s">
        <v>78</v>
      </c>
      <c r="B6" s="127">
        <v>1</v>
      </c>
      <c r="D6">
        <v>5</v>
      </c>
      <c r="E6" s="191" t="s">
        <v>196</v>
      </c>
      <c r="F6">
        <v>0.98</v>
      </c>
      <c r="G6">
        <v>0.8</v>
      </c>
      <c r="H6">
        <v>0.8</v>
      </c>
      <c r="I6">
        <v>0.8</v>
      </c>
      <c r="J6" s="116">
        <v>0.25</v>
      </c>
      <c r="K6" s="116">
        <v>0.05</v>
      </c>
    </row>
    <row r="7" spans="1:42" x14ac:dyDescent="0.15">
      <c r="A7" s="125" t="s">
        <v>79</v>
      </c>
      <c r="B7" s="127">
        <v>1</v>
      </c>
      <c r="D7">
        <v>6</v>
      </c>
      <c r="E7" s="191" t="s">
        <v>197</v>
      </c>
      <c r="F7">
        <v>0.98</v>
      </c>
      <c r="G7">
        <v>0.8</v>
      </c>
      <c r="H7">
        <v>0.8</v>
      </c>
      <c r="I7">
        <v>0.8</v>
      </c>
      <c r="J7" s="116">
        <v>0.25</v>
      </c>
      <c r="K7" s="116">
        <v>0.05</v>
      </c>
    </row>
    <row r="8" spans="1:42" x14ac:dyDescent="0.15">
      <c r="A8" s="125" t="s">
        <v>80</v>
      </c>
      <c r="B8" s="127">
        <v>1</v>
      </c>
      <c r="D8">
        <v>7</v>
      </c>
      <c r="E8" s="191" t="s">
        <v>198</v>
      </c>
      <c r="F8">
        <v>0.98</v>
      </c>
      <c r="G8">
        <v>0.8</v>
      </c>
      <c r="H8">
        <v>0.8</v>
      </c>
      <c r="I8">
        <v>0.8</v>
      </c>
      <c r="J8" s="116">
        <v>0.25</v>
      </c>
      <c r="K8" s="116">
        <v>0.05</v>
      </c>
    </row>
    <row r="9" spans="1:42" x14ac:dyDescent="0.15">
      <c r="A9" s="125" t="s">
        <v>81</v>
      </c>
      <c r="B9" s="127">
        <v>0.1</v>
      </c>
      <c r="C9" s="61" t="s">
        <v>150</v>
      </c>
      <c r="D9">
        <v>8</v>
      </c>
      <c r="E9" s="191" t="s">
        <v>199</v>
      </c>
      <c r="F9">
        <v>0.98</v>
      </c>
      <c r="G9">
        <v>0.8</v>
      </c>
      <c r="H9">
        <v>0.8</v>
      </c>
      <c r="I9">
        <v>0.8</v>
      </c>
      <c r="J9" s="116">
        <v>0.25</v>
      </c>
      <c r="K9" s="116">
        <v>0.05</v>
      </c>
    </row>
    <row r="10" spans="1:42" ht="14" thickBot="1" x14ac:dyDescent="0.2">
      <c r="A10" s="125" t="s">
        <v>149</v>
      </c>
      <c r="B10" s="128">
        <f>1/3</f>
        <v>0.33333333333333331</v>
      </c>
      <c r="C10" s="61" t="s">
        <v>150</v>
      </c>
      <c r="D10">
        <v>9</v>
      </c>
      <c r="E10" s="191" t="s">
        <v>200</v>
      </c>
      <c r="F10">
        <v>0.98</v>
      </c>
      <c r="G10">
        <v>0.8</v>
      </c>
      <c r="H10">
        <v>0.8</v>
      </c>
      <c r="I10">
        <v>0.8</v>
      </c>
      <c r="J10" s="116">
        <v>0.25</v>
      </c>
      <c r="K10" s="116">
        <v>0.05</v>
      </c>
    </row>
    <row r="11" spans="1:42" x14ac:dyDescent="0.15">
      <c r="D11">
        <v>10</v>
      </c>
      <c r="E11" s="191" t="s">
        <v>201</v>
      </c>
      <c r="F11">
        <v>0.98</v>
      </c>
      <c r="G11">
        <v>0.8</v>
      </c>
      <c r="H11">
        <v>0.8</v>
      </c>
      <c r="I11">
        <v>0.8</v>
      </c>
      <c r="J11" s="116">
        <v>0.25</v>
      </c>
      <c r="K11" s="116">
        <v>0.05</v>
      </c>
    </row>
    <row r="12" spans="1:42" x14ac:dyDescent="0.15">
      <c r="D12">
        <v>11</v>
      </c>
      <c r="E12" s="191" t="s">
        <v>202</v>
      </c>
      <c r="F12">
        <v>0.98</v>
      </c>
      <c r="G12">
        <v>0.8</v>
      </c>
      <c r="H12">
        <v>0.8</v>
      </c>
      <c r="I12">
        <v>0.8</v>
      </c>
      <c r="J12" s="116">
        <v>0.25</v>
      </c>
      <c r="K12" s="116">
        <v>0.05</v>
      </c>
    </row>
    <row r="13" spans="1:42" x14ac:dyDescent="0.15">
      <c r="D13">
        <v>12</v>
      </c>
      <c r="E13" s="191" t="s">
        <v>203</v>
      </c>
      <c r="F13">
        <v>0.98</v>
      </c>
      <c r="G13">
        <v>0.8</v>
      </c>
      <c r="H13">
        <v>0.8</v>
      </c>
      <c r="I13">
        <v>0.8</v>
      </c>
      <c r="J13" s="116">
        <v>0.25</v>
      </c>
      <c r="K13" s="116">
        <v>0.05</v>
      </c>
    </row>
    <row r="14" spans="1:42" x14ac:dyDescent="0.15">
      <c r="D14">
        <v>13</v>
      </c>
      <c r="E14" s="191" t="s">
        <v>204</v>
      </c>
      <c r="F14">
        <v>0.98</v>
      </c>
      <c r="G14">
        <v>0.8</v>
      </c>
      <c r="H14">
        <v>0.8</v>
      </c>
      <c r="I14">
        <v>0.8</v>
      </c>
      <c r="J14" s="116">
        <v>0.25</v>
      </c>
      <c r="K14" s="116">
        <v>0.05</v>
      </c>
    </row>
    <row r="15" spans="1:42" x14ac:dyDescent="0.15">
      <c r="D15">
        <v>14</v>
      </c>
      <c r="E15" s="191" t="s">
        <v>205</v>
      </c>
      <c r="F15">
        <v>0.98</v>
      </c>
      <c r="G15">
        <v>0.8</v>
      </c>
      <c r="H15">
        <v>0.8</v>
      </c>
      <c r="I15">
        <v>0.8</v>
      </c>
      <c r="J15" s="116">
        <v>0.25</v>
      </c>
      <c r="K15" s="116">
        <v>0.05</v>
      </c>
    </row>
    <row r="16" spans="1:42" x14ac:dyDescent="0.15">
      <c r="D16">
        <v>15</v>
      </c>
      <c r="E16" s="191" t="s">
        <v>206</v>
      </c>
      <c r="F16">
        <v>0.98</v>
      </c>
      <c r="G16">
        <v>0.8</v>
      </c>
      <c r="H16">
        <v>0.8</v>
      </c>
      <c r="I16">
        <v>0.8</v>
      </c>
      <c r="J16" s="116">
        <v>0.25</v>
      </c>
      <c r="K16" s="116">
        <v>0.05</v>
      </c>
    </row>
    <row r="17" spans="4:33" ht="15" customHeight="1" x14ac:dyDescent="0.15">
      <c r="D17">
        <v>16</v>
      </c>
      <c r="E17" s="191" t="s">
        <v>207</v>
      </c>
      <c r="F17">
        <v>0.98</v>
      </c>
      <c r="G17">
        <v>0.8</v>
      </c>
      <c r="H17">
        <v>0.8</v>
      </c>
      <c r="I17">
        <v>0.8</v>
      </c>
      <c r="J17" s="116">
        <v>0.25</v>
      </c>
      <c r="K17" s="116">
        <v>0.05</v>
      </c>
    </row>
    <row r="18" spans="4:33" ht="15" customHeight="1" x14ac:dyDescent="0.15">
      <c r="D18">
        <v>17</v>
      </c>
      <c r="E18" s="191" t="s">
        <v>208</v>
      </c>
      <c r="F18">
        <v>0.98</v>
      </c>
      <c r="G18">
        <v>0.8</v>
      </c>
      <c r="H18">
        <v>0.8</v>
      </c>
      <c r="I18">
        <v>0.8</v>
      </c>
      <c r="J18" s="116">
        <v>0.25</v>
      </c>
      <c r="K18" s="116">
        <v>0.05</v>
      </c>
    </row>
    <row r="19" spans="4:33" ht="15" customHeight="1" x14ac:dyDescent="0.15">
      <c r="D19">
        <v>18</v>
      </c>
      <c r="E19" s="191" t="s">
        <v>209</v>
      </c>
      <c r="F19">
        <v>0.98</v>
      </c>
      <c r="G19">
        <v>0.8</v>
      </c>
      <c r="H19">
        <v>0.8</v>
      </c>
      <c r="I19">
        <v>0.8</v>
      </c>
      <c r="J19" s="116">
        <v>0.25</v>
      </c>
      <c r="K19" s="116">
        <v>0.05</v>
      </c>
    </row>
    <row r="20" spans="4:33" ht="15" customHeight="1" x14ac:dyDescent="0.15">
      <c r="D20">
        <v>19</v>
      </c>
      <c r="E20" s="191" t="s">
        <v>210</v>
      </c>
      <c r="F20">
        <v>0.98</v>
      </c>
      <c r="G20">
        <v>0.8</v>
      </c>
      <c r="H20">
        <v>0.8</v>
      </c>
      <c r="I20">
        <v>0.8</v>
      </c>
      <c r="J20" s="116">
        <v>0.25</v>
      </c>
      <c r="K20" s="116">
        <v>0.05</v>
      </c>
    </row>
    <row r="21" spans="4:33" ht="15" customHeight="1" x14ac:dyDescent="0.15">
      <c r="D21">
        <v>20</v>
      </c>
      <c r="E21" s="191" t="s">
        <v>211</v>
      </c>
      <c r="F21">
        <v>0.98</v>
      </c>
      <c r="G21">
        <v>0.8</v>
      </c>
      <c r="H21">
        <v>0.8</v>
      </c>
      <c r="I21">
        <v>0.8</v>
      </c>
      <c r="J21" s="116">
        <v>0.25</v>
      </c>
      <c r="K21" s="116">
        <v>0.05</v>
      </c>
    </row>
    <row r="22" spans="4:33" ht="15" customHeight="1" x14ac:dyDescent="0.15">
      <c r="D22">
        <v>21</v>
      </c>
      <c r="E22" s="191" t="s">
        <v>212</v>
      </c>
      <c r="F22">
        <v>0.98</v>
      </c>
      <c r="G22">
        <v>0.8</v>
      </c>
      <c r="H22">
        <v>0.8</v>
      </c>
      <c r="I22">
        <v>0.8</v>
      </c>
      <c r="J22" s="116">
        <v>0.25</v>
      </c>
      <c r="K22" s="116">
        <v>0.05</v>
      </c>
    </row>
    <row r="23" spans="4:33" ht="15" customHeight="1" x14ac:dyDescent="0.15">
      <c r="D23">
        <v>22</v>
      </c>
      <c r="E23" s="191" t="s">
        <v>213</v>
      </c>
      <c r="F23">
        <v>0.98</v>
      </c>
      <c r="G23">
        <v>0.8</v>
      </c>
      <c r="H23">
        <v>0.8</v>
      </c>
      <c r="I23">
        <v>0.8</v>
      </c>
      <c r="J23" s="116">
        <v>0.25</v>
      </c>
      <c r="K23" s="116">
        <v>0.05</v>
      </c>
    </row>
    <row r="24" spans="4:33" ht="15" customHeight="1" x14ac:dyDescent="0.15">
      <c r="D24">
        <v>23</v>
      </c>
      <c r="E24" s="191" t="s">
        <v>214</v>
      </c>
      <c r="F24">
        <v>0.98</v>
      </c>
      <c r="G24">
        <v>0.8</v>
      </c>
      <c r="H24">
        <v>0.8</v>
      </c>
      <c r="I24">
        <v>0.8</v>
      </c>
      <c r="J24" s="116">
        <v>0.25</v>
      </c>
      <c r="K24" s="116">
        <v>0.05</v>
      </c>
    </row>
    <row r="25" spans="4:33" ht="15" customHeight="1" x14ac:dyDescent="0.15">
      <c r="D25">
        <v>24</v>
      </c>
      <c r="E25" s="191" t="s">
        <v>215</v>
      </c>
      <c r="F25">
        <v>0.98</v>
      </c>
      <c r="G25">
        <v>0.8</v>
      </c>
      <c r="H25">
        <v>0.8</v>
      </c>
      <c r="I25">
        <v>0.8</v>
      </c>
      <c r="J25" s="116">
        <v>0.25</v>
      </c>
      <c r="K25" s="116">
        <v>0.05</v>
      </c>
    </row>
    <row r="26" spans="4:33" ht="15" customHeight="1" x14ac:dyDescent="0.15">
      <c r="D26">
        <v>25</v>
      </c>
      <c r="E26" s="191" t="s">
        <v>216</v>
      </c>
      <c r="F26">
        <v>0.98</v>
      </c>
      <c r="G26">
        <v>0.8</v>
      </c>
      <c r="H26">
        <v>0.8</v>
      </c>
      <c r="I26">
        <v>0.8</v>
      </c>
      <c r="J26" s="116">
        <v>0.25</v>
      </c>
      <c r="K26" s="116">
        <v>0.05</v>
      </c>
    </row>
    <row r="27" spans="4:33" ht="15" customHeight="1" x14ac:dyDescent="0.15">
      <c r="D27">
        <v>26</v>
      </c>
      <c r="E27" s="191" t="s">
        <v>217</v>
      </c>
      <c r="F27">
        <v>0.98</v>
      </c>
      <c r="G27">
        <v>0.8</v>
      </c>
      <c r="H27">
        <v>0.8</v>
      </c>
      <c r="I27">
        <v>0.8</v>
      </c>
      <c r="J27" s="116">
        <v>0.25</v>
      </c>
      <c r="K27" s="116">
        <v>0.05</v>
      </c>
    </row>
    <row r="28" spans="4:33" ht="15" customHeight="1" x14ac:dyDescent="0.15">
      <c r="D28">
        <v>27</v>
      </c>
      <c r="E28" s="191" t="s">
        <v>218</v>
      </c>
      <c r="F28">
        <v>0.98</v>
      </c>
      <c r="G28">
        <v>0.8</v>
      </c>
      <c r="H28">
        <v>0.8</v>
      </c>
      <c r="I28">
        <v>0.8</v>
      </c>
      <c r="J28" s="116">
        <v>0.25</v>
      </c>
      <c r="K28" s="116">
        <v>0.05</v>
      </c>
    </row>
    <row r="29" spans="4:33" ht="15" customHeight="1" x14ac:dyDescent="0.15">
      <c r="D29">
        <v>28</v>
      </c>
      <c r="E29" s="191" t="s">
        <v>219</v>
      </c>
      <c r="F29">
        <v>0.98</v>
      </c>
      <c r="G29">
        <v>0.8</v>
      </c>
      <c r="H29">
        <v>0.8</v>
      </c>
      <c r="I29">
        <v>0.8</v>
      </c>
      <c r="J29" s="116">
        <v>0.25</v>
      </c>
      <c r="K29" s="116">
        <v>0.05</v>
      </c>
      <c r="Y29"/>
      <c r="AC29"/>
      <c r="AG29"/>
    </row>
    <row r="30" spans="4:33" ht="15" customHeight="1" x14ac:dyDescent="0.15">
      <c r="D30">
        <v>29</v>
      </c>
      <c r="E30" s="191" t="s">
        <v>220</v>
      </c>
      <c r="F30">
        <v>0.98</v>
      </c>
      <c r="G30">
        <v>0.8</v>
      </c>
      <c r="H30">
        <v>0.8</v>
      </c>
      <c r="I30">
        <v>0.8</v>
      </c>
      <c r="J30" s="116">
        <v>0.25</v>
      </c>
      <c r="K30" s="116">
        <v>0.05</v>
      </c>
      <c r="Y30"/>
      <c r="AC30"/>
      <c r="AG30"/>
    </row>
    <row r="31" spans="4:33" ht="15" customHeight="1" x14ac:dyDescent="0.15">
      <c r="D31">
        <v>30</v>
      </c>
      <c r="E31" s="191" t="s">
        <v>221</v>
      </c>
      <c r="F31">
        <v>0.98</v>
      </c>
      <c r="G31">
        <v>0.8</v>
      </c>
      <c r="H31">
        <v>0.8</v>
      </c>
      <c r="I31">
        <v>0.8</v>
      </c>
      <c r="J31" s="116">
        <v>0.25</v>
      </c>
      <c r="K31" s="116">
        <v>0.05</v>
      </c>
      <c r="Y31"/>
      <c r="AC31"/>
      <c r="AG31"/>
    </row>
    <row r="32" spans="4:33" ht="15" customHeight="1" x14ac:dyDescent="0.15">
      <c r="D32">
        <v>31</v>
      </c>
      <c r="E32" s="191" t="s">
        <v>222</v>
      </c>
      <c r="F32">
        <v>0.98</v>
      </c>
      <c r="G32">
        <v>0.8</v>
      </c>
      <c r="H32">
        <v>0.8</v>
      </c>
      <c r="I32">
        <v>0.8</v>
      </c>
      <c r="J32" s="116">
        <v>0.25</v>
      </c>
      <c r="K32" s="116">
        <v>0.05</v>
      </c>
      <c r="Y32"/>
      <c r="AC32"/>
      <c r="AG32"/>
    </row>
    <row r="33" spans="4:33" ht="15" customHeight="1" x14ac:dyDescent="0.15">
      <c r="D33">
        <v>32</v>
      </c>
      <c r="E33" s="191" t="s">
        <v>223</v>
      </c>
      <c r="F33">
        <v>0.98</v>
      </c>
      <c r="G33">
        <v>0.8</v>
      </c>
      <c r="H33">
        <v>0.8</v>
      </c>
      <c r="I33">
        <v>0.8</v>
      </c>
      <c r="J33" s="116">
        <v>0.25</v>
      </c>
      <c r="K33" s="116">
        <v>0.05</v>
      </c>
      <c r="Y33"/>
      <c r="AC33"/>
      <c r="AG33"/>
    </row>
    <row r="34" spans="4:33" ht="15" customHeight="1" x14ac:dyDescent="0.15">
      <c r="D34">
        <v>33</v>
      </c>
      <c r="E34" s="191" t="s">
        <v>224</v>
      </c>
      <c r="F34">
        <v>0.98</v>
      </c>
      <c r="G34">
        <v>0.8</v>
      </c>
      <c r="H34">
        <v>0.8</v>
      </c>
      <c r="I34">
        <v>0.8</v>
      </c>
      <c r="J34" s="116">
        <v>0.25</v>
      </c>
      <c r="K34" s="116">
        <v>0.05</v>
      </c>
      <c r="Y34"/>
      <c r="AC34"/>
      <c r="AG34"/>
    </row>
    <row r="35" spans="4:33" ht="15" customHeight="1" x14ac:dyDescent="0.15">
      <c r="D35">
        <v>34</v>
      </c>
      <c r="E35" s="191" t="s">
        <v>225</v>
      </c>
      <c r="F35">
        <v>0.98</v>
      </c>
      <c r="G35">
        <v>0.8</v>
      </c>
      <c r="H35">
        <v>0.8</v>
      </c>
      <c r="I35">
        <v>0.8</v>
      </c>
      <c r="J35" s="116">
        <v>0.25</v>
      </c>
      <c r="K35" s="116">
        <v>0.05</v>
      </c>
      <c r="Y35"/>
      <c r="AC35"/>
      <c r="AG35"/>
    </row>
    <row r="36" spans="4:33" ht="15" customHeight="1" x14ac:dyDescent="0.15">
      <c r="D36">
        <v>35</v>
      </c>
      <c r="E36" s="191" t="s">
        <v>226</v>
      </c>
      <c r="F36">
        <v>0.98</v>
      </c>
      <c r="G36">
        <v>0.8</v>
      </c>
      <c r="H36">
        <v>0.8</v>
      </c>
      <c r="I36">
        <v>0.8</v>
      </c>
      <c r="J36" s="116">
        <v>0.25</v>
      </c>
      <c r="K36" s="116">
        <v>0.05</v>
      </c>
      <c r="Y36"/>
      <c r="AC36"/>
      <c r="AG36"/>
    </row>
    <row r="37" spans="4:33" ht="15" customHeight="1" x14ac:dyDescent="0.15">
      <c r="D37">
        <v>36</v>
      </c>
      <c r="E37" s="191" t="s">
        <v>227</v>
      </c>
      <c r="F37">
        <v>0.98</v>
      </c>
      <c r="G37">
        <v>0.8</v>
      </c>
      <c r="H37">
        <v>0.8</v>
      </c>
      <c r="I37">
        <v>0.8</v>
      </c>
      <c r="J37" s="116">
        <v>0.25</v>
      </c>
      <c r="K37" s="116">
        <v>0.05</v>
      </c>
      <c r="Y37"/>
      <c r="AC37"/>
      <c r="AG37"/>
    </row>
    <row r="38" spans="4:33" ht="15" customHeight="1" x14ac:dyDescent="0.15">
      <c r="D38">
        <v>37</v>
      </c>
      <c r="E38" s="191" t="s">
        <v>228</v>
      </c>
      <c r="F38">
        <v>0.98</v>
      </c>
      <c r="G38">
        <v>0.8</v>
      </c>
      <c r="H38">
        <v>0.8</v>
      </c>
      <c r="I38">
        <v>0.8</v>
      </c>
      <c r="J38" s="116">
        <v>0.25</v>
      </c>
      <c r="K38" s="116">
        <v>0.05</v>
      </c>
      <c r="Y38"/>
      <c r="AC38"/>
      <c r="AG38"/>
    </row>
    <row r="39" spans="4:33" ht="15" customHeight="1" x14ac:dyDescent="0.15">
      <c r="D39">
        <v>38</v>
      </c>
      <c r="E39" s="191" t="s">
        <v>229</v>
      </c>
      <c r="F39">
        <v>0.98</v>
      </c>
      <c r="G39">
        <v>0.8</v>
      </c>
      <c r="H39">
        <v>0.8</v>
      </c>
      <c r="I39">
        <v>0.8</v>
      </c>
      <c r="J39" s="116">
        <v>0.25</v>
      </c>
      <c r="K39" s="116">
        <v>0.05</v>
      </c>
    </row>
    <row r="40" spans="4:33" ht="15" customHeight="1" x14ac:dyDescent="0.15">
      <c r="D40">
        <v>39</v>
      </c>
      <c r="E40" s="191" t="s">
        <v>230</v>
      </c>
      <c r="F40">
        <v>0.98</v>
      </c>
      <c r="G40">
        <v>0.8</v>
      </c>
      <c r="H40">
        <v>0.8</v>
      </c>
      <c r="I40">
        <v>0.8</v>
      </c>
      <c r="J40" s="116">
        <v>0.25</v>
      </c>
      <c r="K40" s="116">
        <v>0.05</v>
      </c>
      <c r="Y40"/>
      <c r="AC40"/>
      <c r="AG40"/>
    </row>
    <row r="41" spans="4:33" ht="15" customHeight="1" x14ac:dyDescent="0.15">
      <c r="D41">
        <v>40</v>
      </c>
      <c r="E41" s="191" t="s">
        <v>231</v>
      </c>
      <c r="F41">
        <v>0.98</v>
      </c>
      <c r="G41">
        <v>0.8</v>
      </c>
      <c r="H41">
        <v>0.8</v>
      </c>
      <c r="I41">
        <v>0.8</v>
      </c>
      <c r="J41" s="116">
        <v>0.25</v>
      </c>
      <c r="K41" s="116">
        <v>0.05</v>
      </c>
      <c r="Y41"/>
      <c r="AC41"/>
      <c r="AG41"/>
    </row>
    <row r="42" spans="4:33" ht="15" customHeight="1" x14ac:dyDescent="0.15">
      <c r="D42">
        <v>41</v>
      </c>
      <c r="E42" s="191" t="s">
        <v>232</v>
      </c>
      <c r="F42">
        <v>0.98</v>
      </c>
      <c r="G42">
        <v>0.8</v>
      </c>
      <c r="H42">
        <v>0.8</v>
      </c>
      <c r="I42">
        <v>0.8</v>
      </c>
      <c r="J42" s="116">
        <v>0.25</v>
      </c>
      <c r="K42" s="116">
        <v>0.05</v>
      </c>
      <c r="Y42"/>
      <c r="AC42"/>
      <c r="AG42"/>
    </row>
    <row r="43" spans="4:33" ht="15" customHeight="1" x14ac:dyDescent="0.15">
      <c r="D43">
        <v>42</v>
      </c>
      <c r="E43" s="191" t="s">
        <v>233</v>
      </c>
      <c r="F43">
        <v>0.98</v>
      </c>
      <c r="G43">
        <v>0.8</v>
      </c>
      <c r="H43">
        <v>0.8</v>
      </c>
      <c r="I43">
        <v>0.8</v>
      </c>
      <c r="J43" s="116">
        <v>0.25</v>
      </c>
      <c r="K43" s="116">
        <v>0.05</v>
      </c>
      <c r="Y43"/>
      <c r="AC43"/>
      <c r="AG43"/>
    </row>
    <row r="44" spans="4:33" ht="15" customHeight="1" x14ac:dyDescent="0.15">
      <c r="D44">
        <v>43</v>
      </c>
      <c r="E44" s="191" t="s">
        <v>234</v>
      </c>
      <c r="F44">
        <v>0.98</v>
      </c>
      <c r="G44">
        <v>0.8</v>
      </c>
      <c r="H44">
        <v>0.8</v>
      </c>
      <c r="I44">
        <v>0.8</v>
      </c>
      <c r="J44" s="116">
        <v>0.25</v>
      </c>
      <c r="K44" s="116">
        <v>0.05</v>
      </c>
      <c r="Y44"/>
      <c r="AC44"/>
      <c r="AG44"/>
    </row>
    <row r="45" spans="4:33" ht="15" customHeight="1" x14ac:dyDescent="0.15">
      <c r="D45">
        <v>44</v>
      </c>
      <c r="E45" s="191" t="s">
        <v>235</v>
      </c>
      <c r="F45">
        <v>0.98</v>
      </c>
      <c r="G45">
        <v>0.8</v>
      </c>
      <c r="H45">
        <v>0.8</v>
      </c>
      <c r="I45">
        <v>0.8</v>
      </c>
      <c r="J45" s="116">
        <v>0.25</v>
      </c>
      <c r="K45" s="116">
        <v>0.05</v>
      </c>
      <c r="Y45"/>
      <c r="AC45"/>
      <c r="AG45"/>
    </row>
    <row r="46" spans="4:33" ht="15" customHeight="1" x14ac:dyDescent="0.15">
      <c r="D46">
        <v>45</v>
      </c>
      <c r="E46" s="191" t="s">
        <v>236</v>
      </c>
      <c r="F46">
        <v>0.98</v>
      </c>
      <c r="G46">
        <v>0.8</v>
      </c>
      <c r="H46">
        <v>0.8</v>
      </c>
      <c r="I46">
        <v>0.8</v>
      </c>
      <c r="J46" s="116">
        <v>0.25</v>
      </c>
      <c r="K46" s="116">
        <v>0.05</v>
      </c>
      <c r="Y46"/>
      <c r="AC46"/>
      <c r="AG46"/>
    </row>
    <row r="47" spans="4:33" ht="15" customHeight="1" x14ac:dyDescent="0.15">
      <c r="D47">
        <v>46</v>
      </c>
      <c r="E47" s="191" t="s">
        <v>237</v>
      </c>
      <c r="F47">
        <v>0.98</v>
      </c>
      <c r="G47">
        <v>0.8</v>
      </c>
      <c r="H47">
        <v>0.8</v>
      </c>
      <c r="I47">
        <v>0.8</v>
      </c>
      <c r="J47" s="116">
        <v>0.25</v>
      </c>
      <c r="K47" s="116">
        <v>0.05</v>
      </c>
      <c r="Y47"/>
      <c r="AC47"/>
      <c r="AG47"/>
    </row>
    <row r="48" spans="4:33" ht="15" customHeight="1" x14ac:dyDescent="0.15">
      <c r="D48">
        <v>47</v>
      </c>
      <c r="E48" s="191" t="s">
        <v>238</v>
      </c>
      <c r="F48">
        <v>0.98</v>
      </c>
      <c r="G48">
        <v>0.8</v>
      </c>
      <c r="H48">
        <v>0.8</v>
      </c>
      <c r="I48">
        <v>0.8</v>
      </c>
      <c r="J48" s="116">
        <v>0.25</v>
      </c>
      <c r="K48" s="116">
        <v>0.05</v>
      </c>
      <c r="Y48"/>
      <c r="AC48"/>
      <c r="AG48"/>
    </row>
    <row r="49" spans="4:33" ht="15" customHeight="1" x14ac:dyDescent="0.15">
      <c r="D49">
        <v>48</v>
      </c>
      <c r="E49" s="191" t="s">
        <v>239</v>
      </c>
      <c r="F49">
        <v>0.98</v>
      </c>
      <c r="G49">
        <v>0.8</v>
      </c>
      <c r="H49">
        <v>0.8</v>
      </c>
      <c r="I49">
        <v>0.8</v>
      </c>
      <c r="J49" s="116">
        <v>0.25</v>
      </c>
      <c r="K49" s="116">
        <v>0.05</v>
      </c>
      <c r="Y49"/>
      <c r="AC49"/>
      <c r="AG49"/>
    </row>
    <row r="50" spans="4:33" ht="15" customHeight="1" x14ac:dyDescent="0.15">
      <c r="D50">
        <v>49</v>
      </c>
      <c r="E50" s="191" t="s">
        <v>240</v>
      </c>
      <c r="F50">
        <v>0.98</v>
      </c>
      <c r="G50">
        <v>0.8</v>
      </c>
      <c r="H50">
        <v>0.8</v>
      </c>
      <c r="I50">
        <v>0.8</v>
      </c>
      <c r="J50" s="116">
        <v>0.25</v>
      </c>
      <c r="K50" s="116">
        <v>0.05</v>
      </c>
      <c r="Y50"/>
      <c r="AC50"/>
      <c r="AG50"/>
    </row>
    <row r="51" spans="4:33" ht="15" customHeight="1" x14ac:dyDescent="0.15">
      <c r="D51">
        <v>50</v>
      </c>
      <c r="E51" s="191" t="s">
        <v>241</v>
      </c>
      <c r="F51">
        <v>0.98</v>
      </c>
      <c r="G51">
        <v>0.8</v>
      </c>
      <c r="H51">
        <v>0.8</v>
      </c>
      <c r="I51">
        <v>0.8</v>
      </c>
      <c r="J51" s="116">
        <v>0.25</v>
      </c>
      <c r="K51" s="116">
        <v>0.05</v>
      </c>
      <c r="Y51"/>
      <c r="AC51"/>
      <c r="AG51"/>
    </row>
    <row r="52" spans="4:33" ht="15" customHeight="1" x14ac:dyDescent="0.15">
      <c r="D52">
        <v>51</v>
      </c>
      <c r="E52" s="191" t="s">
        <v>242</v>
      </c>
      <c r="F52">
        <v>0.98</v>
      </c>
      <c r="G52">
        <v>0.8</v>
      </c>
      <c r="H52">
        <v>0.8</v>
      </c>
      <c r="I52">
        <v>0.8</v>
      </c>
      <c r="J52" s="116">
        <v>0.25</v>
      </c>
      <c r="K52" s="116">
        <v>0.05</v>
      </c>
      <c r="Y52"/>
      <c r="AC52"/>
      <c r="AG52"/>
    </row>
    <row r="53" spans="4:33" ht="15" customHeight="1" x14ac:dyDescent="0.15">
      <c r="D53">
        <v>52</v>
      </c>
      <c r="E53" s="191" t="s">
        <v>243</v>
      </c>
      <c r="F53">
        <v>0.98</v>
      </c>
      <c r="G53">
        <v>0.8</v>
      </c>
      <c r="H53">
        <v>0.8</v>
      </c>
      <c r="I53">
        <v>0.8</v>
      </c>
      <c r="J53" s="116">
        <v>0.25</v>
      </c>
      <c r="K53" s="116">
        <v>0.05</v>
      </c>
      <c r="Y53"/>
      <c r="AC53"/>
      <c r="AG53"/>
    </row>
    <row r="54" spans="4:33" ht="15" customHeight="1" x14ac:dyDescent="0.15">
      <c r="D54">
        <v>53</v>
      </c>
      <c r="E54" s="191" t="s">
        <v>244</v>
      </c>
      <c r="F54">
        <v>0.98</v>
      </c>
      <c r="G54">
        <v>0.8</v>
      </c>
      <c r="H54">
        <v>0.8</v>
      </c>
      <c r="I54">
        <v>0.8</v>
      </c>
      <c r="J54" s="116">
        <v>0.25</v>
      </c>
      <c r="K54" s="116">
        <v>0.05</v>
      </c>
      <c r="Y54"/>
      <c r="AC54"/>
      <c r="AG54"/>
    </row>
    <row r="55" spans="4:33" ht="15" customHeight="1" x14ac:dyDescent="0.15">
      <c r="D55">
        <v>54</v>
      </c>
      <c r="E55" s="191" t="s">
        <v>245</v>
      </c>
      <c r="F55">
        <v>0.98</v>
      </c>
      <c r="G55">
        <v>0.8</v>
      </c>
      <c r="H55">
        <v>0.8</v>
      </c>
      <c r="I55">
        <v>0</v>
      </c>
      <c r="J55" s="116">
        <v>0</v>
      </c>
      <c r="K55" s="116">
        <v>0</v>
      </c>
      <c r="Y55"/>
      <c r="AC55"/>
      <c r="AG55"/>
    </row>
    <row r="56" spans="4:33" ht="15" customHeight="1" x14ac:dyDescent="0.15">
      <c r="D56">
        <v>55</v>
      </c>
      <c r="E56" s="191" t="s">
        <v>67</v>
      </c>
      <c r="F56">
        <v>0.98</v>
      </c>
      <c r="G56">
        <v>0.8</v>
      </c>
      <c r="H56">
        <v>0.8</v>
      </c>
      <c r="I56">
        <v>0</v>
      </c>
      <c r="J56" s="116">
        <v>0</v>
      </c>
      <c r="K56" s="116">
        <v>0</v>
      </c>
      <c r="Y56"/>
      <c r="AC56"/>
      <c r="AG56"/>
    </row>
    <row r="57" spans="4:33" ht="15" customHeight="1" x14ac:dyDescent="0.15">
      <c r="D57">
        <v>56</v>
      </c>
      <c r="E57" s="191" t="s">
        <v>246</v>
      </c>
      <c r="F57">
        <v>0.98</v>
      </c>
      <c r="G57">
        <v>0.8</v>
      </c>
      <c r="H57">
        <v>0</v>
      </c>
      <c r="I57">
        <v>0</v>
      </c>
      <c r="J57" s="116">
        <v>0</v>
      </c>
      <c r="K57" s="116">
        <v>0</v>
      </c>
      <c r="Y57"/>
      <c r="AC57"/>
      <c r="AG57"/>
    </row>
    <row r="58" spans="4:33" ht="15" customHeight="1" x14ac:dyDescent="0.15">
      <c r="D58">
        <v>57</v>
      </c>
      <c r="E58" s="191" t="s">
        <v>247</v>
      </c>
      <c r="F58">
        <v>0.98</v>
      </c>
      <c r="G58">
        <v>0.8</v>
      </c>
      <c r="H58">
        <v>0</v>
      </c>
      <c r="I58">
        <v>0</v>
      </c>
      <c r="J58" s="116">
        <v>0</v>
      </c>
      <c r="K58" s="116">
        <v>0</v>
      </c>
      <c r="Y58"/>
      <c r="AC58"/>
      <c r="AG58"/>
    </row>
    <row r="59" spans="4:33" ht="15" customHeight="1" x14ac:dyDescent="0.15">
      <c r="J59"/>
      <c r="K59"/>
      <c r="Y59"/>
      <c r="AC59"/>
      <c r="AG59"/>
    </row>
    <row r="60" spans="4:33" ht="15" customHeight="1" x14ac:dyDescent="0.15">
      <c r="J60"/>
      <c r="K60"/>
      <c r="Y60"/>
      <c r="AC60"/>
      <c r="AG60"/>
    </row>
    <row r="61" spans="4:33" ht="15" customHeight="1" x14ac:dyDescent="0.15">
      <c r="J61"/>
      <c r="K61"/>
      <c r="Y61"/>
      <c r="AC61"/>
      <c r="AG61"/>
    </row>
    <row r="62" spans="4:33" ht="15" customHeight="1" x14ac:dyDescent="0.15">
      <c r="J62"/>
      <c r="K62"/>
      <c r="Y62"/>
      <c r="AC62"/>
      <c r="AG62"/>
    </row>
    <row r="63" spans="4:33" ht="15" customHeight="1" x14ac:dyDescent="0.15">
      <c r="J63"/>
      <c r="K63"/>
      <c r="Y63"/>
      <c r="AC63"/>
      <c r="AG63"/>
    </row>
    <row r="64" spans="4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BF59"/>
  <sheetViews>
    <sheetView workbookViewId="0">
      <selection activeCell="A3" sqref="A3"/>
    </sheetView>
  </sheetViews>
  <sheetFormatPr baseColWidth="10" defaultRowHeight="13" x14ac:dyDescent="0.15"/>
  <cols>
    <col min="1" max="1" width="21.6640625" style="114" bestFit="1" customWidth="1"/>
    <col min="2" max="54" width="3.83203125" style="114" customWidth="1"/>
    <col min="55" max="58" width="2.33203125" style="114" customWidth="1"/>
    <col min="59" max="16384" width="10.83203125" style="114"/>
  </cols>
  <sheetData>
    <row r="1" spans="1:58" x14ac:dyDescent="0.15">
      <c r="A1" s="63" t="s">
        <v>118</v>
      </c>
      <c r="B1" s="193" t="s">
        <v>192</v>
      </c>
      <c r="C1" s="193" t="s">
        <v>193</v>
      </c>
      <c r="D1" s="193" t="s">
        <v>194</v>
      </c>
      <c r="E1" s="193" t="s">
        <v>195</v>
      </c>
      <c r="F1" s="193" t="s">
        <v>196</v>
      </c>
      <c r="G1" s="193" t="s">
        <v>197</v>
      </c>
      <c r="H1" s="193" t="s">
        <v>198</v>
      </c>
      <c r="I1" s="193" t="s">
        <v>199</v>
      </c>
      <c r="J1" s="193" t="s">
        <v>200</v>
      </c>
      <c r="K1" s="193" t="s">
        <v>201</v>
      </c>
      <c r="L1" s="193" t="s">
        <v>202</v>
      </c>
      <c r="M1" s="193" t="s">
        <v>203</v>
      </c>
      <c r="N1" s="193" t="s">
        <v>204</v>
      </c>
      <c r="O1" s="193" t="s">
        <v>205</v>
      </c>
      <c r="P1" s="193" t="s">
        <v>206</v>
      </c>
      <c r="Q1" s="193" t="s">
        <v>207</v>
      </c>
      <c r="R1" s="193" t="s">
        <v>208</v>
      </c>
      <c r="S1" s="193" t="s">
        <v>209</v>
      </c>
      <c r="T1" s="193" t="s">
        <v>210</v>
      </c>
      <c r="U1" s="193" t="s">
        <v>211</v>
      </c>
      <c r="V1" s="193" t="s">
        <v>212</v>
      </c>
      <c r="W1" s="193" t="s">
        <v>213</v>
      </c>
      <c r="X1" s="193" t="s">
        <v>214</v>
      </c>
      <c r="Y1" s="193" t="s">
        <v>215</v>
      </c>
      <c r="Z1" s="193" t="s">
        <v>216</v>
      </c>
      <c r="AA1" s="193" t="s">
        <v>217</v>
      </c>
      <c r="AB1" s="193" t="s">
        <v>218</v>
      </c>
      <c r="AC1" s="193" t="s">
        <v>219</v>
      </c>
      <c r="AD1" s="193" t="s">
        <v>220</v>
      </c>
      <c r="AE1" s="193" t="s">
        <v>221</v>
      </c>
      <c r="AF1" s="193" t="s">
        <v>222</v>
      </c>
      <c r="AG1" s="193" t="s">
        <v>223</v>
      </c>
      <c r="AH1" s="193" t="s">
        <v>224</v>
      </c>
      <c r="AI1" s="193" t="s">
        <v>225</v>
      </c>
      <c r="AJ1" s="193" t="s">
        <v>226</v>
      </c>
      <c r="AK1" s="193" t="s">
        <v>227</v>
      </c>
      <c r="AL1" s="193" t="s">
        <v>228</v>
      </c>
      <c r="AM1" s="193" t="s">
        <v>229</v>
      </c>
      <c r="AN1" s="193" t="s">
        <v>230</v>
      </c>
      <c r="AO1" s="193" t="s">
        <v>231</v>
      </c>
      <c r="AP1" s="193" t="s">
        <v>232</v>
      </c>
      <c r="AQ1" s="193" t="s">
        <v>233</v>
      </c>
      <c r="AR1" s="193" t="s">
        <v>234</v>
      </c>
      <c r="AS1" s="193" t="s">
        <v>235</v>
      </c>
      <c r="AT1" s="193" t="s">
        <v>236</v>
      </c>
      <c r="AU1" s="193" t="s">
        <v>237</v>
      </c>
      <c r="AV1" s="193" t="s">
        <v>238</v>
      </c>
      <c r="AW1" s="193" t="s">
        <v>239</v>
      </c>
      <c r="AX1" s="193" t="s">
        <v>240</v>
      </c>
      <c r="AY1" s="193" t="s">
        <v>241</v>
      </c>
      <c r="AZ1" s="193" t="s">
        <v>242</v>
      </c>
      <c r="BA1" s="193" t="s">
        <v>243</v>
      </c>
      <c r="BB1" s="193" t="s">
        <v>244</v>
      </c>
      <c r="BC1" s="193" t="s">
        <v>245</v>
      </c>
      <c r="BD1" s="193" t="s">
        <v>67</v>
      </c>
      <c r="BE1" s="193" t="s">
        <v>246</v>
      </c>
      <c r="BF1" s="193" t="s">
        <v>247</v>
      </c>
    </row>
    <row r="2" spans="1:58" customFormat="1" x14ac:dyDescent="0.15">
      <c r="A2" s="192" t="s">
        <v>192</v>
      </c>
      <c r="B2" s="114">
        <v>0</v>
      </c>
      <c r="C2" s="114">
        <v>0.8</v>
      </c>
      <c r="D2" s="114">
        <v>0</v>
      </c>
      <c r="E2" s="114">
        <v>0</v>
      </c>
      <c r="F2" s="114">
        <v>0</v>
      </c>
      <c r="G2" s="114">
        <v>0.8</v>
      </c>
      <c r="H2" s="114">
        <v>0</v>
      </c>
      <c r="I2" s="114">
        <v>0.8</v>
      </c>
      <c r="J2" s="114">
        <v>0</v>
      </c>
      <c r="K2" s="114">
        <v>0</v>
      </c>
      <c r="L2" s="114">
        <v>0</v>
      </c>
      <c r="M2" s="114">
        <v>0</v>
      </c>
      <c r="N2" s="114">
        <v>0</v>
      </c>
      <c r="O2" s="114">
        <v>0</v>
      </c>
      <c r="P2" s="114">
        <v>0</v>
      </c>
      <c r="Q2" s="114">
        <v>0</v>
      </c>
      <c r="R2" s="114">
        <v>0</v>
      </c>
      <c r="S2" s="114">
        <v>0</v>
      </c>
      <c r="T2" s="114">
        <v>0</v>
      </c>
      <c r="U2" s="114">
        <v>0</v>
      </c>
      <c r="V2" s="114">
        <v>0</v>
      </c>
      <c r="W2" s="114">
        <v>0</v>
      </c>
      <c r="X2" s="114">
        <v>0</v>
      </c>
      <c r="Y2" s="114">
        <v>0</v>
      </c>
      <c r="Z2" s="114">
        <v>0</v>
      </c>
      <c r="AA2" s="114">
        <v>0</v>
      </c>
      <c r="AB2" s="114">
        <v>0</v>
      </c>
      <c r="AC2" s="114">
        <v>0</v>
      </c>
      <c r="AD2" s="114">
        <v>0</v>
      </c>
      <c r="AE2" s="114">
        <v>0</v>
      </c>
      <c r="AF2" s="114">
        <v>0</v>
      </c>
      <c r="AG2" s="114">
        <v>0</v>
      </c>
      <c r="AH2" s="114">
        <v>0</v>
      </c>
      <c r="AI2" s="114">
        <v>0.8</v>
      </c>
      <c r="AJ2" s="114">
        <v>0</v>
      </c>
      <c r="AK2" s="114">
        <v>0</v>
      </c>
      <c r="AL2" s="114">
        <v>0</v>
      </c>
      <c r="AM2" s="114">
        <v>0</v>
      </c>
      <c r="AN2" s="114">
        <v>0</v>
      </c>
      <c r="AO2" s="114">
        <v>0</v>
      </c>
      <c r="AP2" s="114">
        <v>0</v>
      </c>
      <c r="AQ2" s="114">
        <v>0</v>
      </c>
      <c r="AR2" s="114">
        <v>0</v>
      </c>
      <c r="AS2" s="114">
        <v>0</v>
      </c>
      <c r="AT2" s="114">
        <v>0</v>
      </c>
      <c r="AU2" s="114">
        <v>0</v>
      </c>
      <c r="AV2" s="114">
        <v>0</v>
      </c>
      <c r="AW2" s="114">
        <v>0</v>
      </c>
      <c r="AX2" s="114">
        <v>0</v>
      </c>
      <c r="AY2" s="114">
        <v>0</v>
      </c>
      <c r="AZ2" s="114">
        <v>0</v>
      </c>
      <c r="BA2" s="114">
        <v>0</v>
      </c>
      <c r="BB2" s="114">
        <v>0</v>
      </c>
      <c r="BC2" s="114">
        <v>0</v>
      </c>
      <c r="BD2" s="114">
        <v>0</v>
      </c>
      <c r="BE2" s="114">
        <v>0</v>
      </c>
      <c r="BF2" s="114">
        <v>0</v>
      </c>
    </row>
    <row r="3" spans="1:58" customFormat="1" x14ac:dyDescent="0.15">
      <c r="A3" s="192" t="s">
        <v>193</v>
      </c>
      <c r="B3" s="114">
        <v>0</v>
      </c>
      <c r="C3" s="114">
        <v>0</v>
      </c>
      <c r="D3" s="114">
        <v>0</v>
      </c>
      <c r="E3" s="114">
        <v>0</v>
      </c>
      <c r="F3" s="114">
        <v>0</v>
      </c>
      <c r="G3" s="114">
        <v>0.8</v>
      </c>
      <c r="H3" s="114">
        <v>0</v>
      </c>
      <c r="I3" s="114">
        <v>0.8</v>
      </c>
      <c r="J3" s="114">
        <v>0</v>
      </c>
      <c r="K3" s="114">
        <v>0</v>
      </c>
      <c r="L3" s="114">
        <v>0</v>
      </c>
      <c r="M3" s="114">
        <v>0</v>
      </c>
      <c r="N3" s="114">
        <v>0</v>
      </c>
      <c r="O3" s="114">
        <v>0</v>
      </c>
      <c r="P3" s="114">
        <v>0</v>
      </c>
      <c r="Q3" s="114">
        <v>0</v>
      </c>
      <c r="R3" s="114">
        <v>0</v>
      </c>
      <c r="S3" s="114">
        <v>0</v>
      </c>
      <c r="T3" s="114">
        <v>0</v>
      </c>
      <c r="U3" s="114">
        <v>0</v>
      </c>
      <c r="V3" s="114">
        <v>0</v>
      </c>
      <c r="W3" s="114">
        <v>0</v>
      </c>
      <c r="X3" s="114">
        <v>0</v>
      </c>
      <c r="Y3" s="114">
        <v>0</v>
      </c>
      <c r="Z3" s="114">
        <v>0</v>
      </c>
      <c r="AA3" s="114">
        <v>0</v>
      </c>
      <c r="AB3" s="114">
        <v>0</v>
      </c>
      <c r="AC3" s="114">
        <v>0</v>
      </c>
      <c r="AD3" s="114">
        <v>0</v>
      </c>
      <c r="AE3" s="114">
        <v>0</v>
      </c>
      <c r="AF3" s="114">
        <v>0</v>
      </c>
      <c r="AG3" s="114">
        <v>0</v>
      </c>
      <c r="AH3" s="114">
        <v>0</v>
      </c>
      <c r="AI3" s="114">
        <v>0.8</v>
      </c>
      <c r="AJ3" s="114">
        <v>0</v>
      </c>
      <c r="AK3" s="114">
        <v>0</v>
      </c>
      <c r="AL3" s="114">
        <v>0</v>
      </c>
      <c r="AM3" s="114">
        <v>0</v>
      </c>
      <c r="AN3" s="114">
        <v>0</v>
      </c>
      <c r="AO3" s="114">
        <v>0</v>
      </c>
      <c r="AP3" s="114">
        <v>0</v>
      </c>
      <c r="AQ3" s="114">
        <v>0</v>
      </c>
      <c r="AR3" s="114">
        <v>0</v>
      </c>
      <c r="AS3" s="114">
        <v>0</v>
      </c>
      <c r="AT3" s="114">
        <v>0</v>
      </c>
      <c r="AU3" s="114">
        <v>0</v>
      </c>
      <c r="AV3" s="114">
        <v>0</v>
      </c>
      <c r="AW3" s="114">
        <v>0</v>
      </c>
      <c r="AX3" s="114">
        <v>0</v>
      </c>
      <c r="AY3" s="114">
        <v>0</v>
      </c>
      <c r="AZ3" s="114">
        <v>0</v>
      </c>
      <c r="BA3" s="114">
        <v>0</v>
      </c>
      <c r="BB3" s="114">
        <v>0</v>
      </c>
      <c r="BC3" s="114">
        <v>0</v>
      </c>
      <c r="BD3" s="114">
        <v>0</v>
      </c>
      <c r="BE3" s="114">
        <v>0</v>
      </c>
      <c r="BF3" s="114">
        <v>0</v>
      </c>
    </row>
    <row r="4" spans="1:58" customFormat="1" x14ac:dyDescent="0.15">
      <c r="A4" s="192" t="s">
        <v>194</v>
      </c>
      <c r="B4" s="114">
        <v>0</v>
      </c>
      <c r="C4" s="114">
        <v>0.8</v>
      </c>
      <c r="D4" s="114">
        <v>0</v>
      </c>
      <c r="E4" s="114">
        <v>0.8</v>
      </c>
      <c r="F4" s="114">
        <v>0</v>
      </c>
      <c r="G4" s="114">
        <v>0.8</v>
      </c>
      <c r="H4" s="114">
        <v>0</v>
      </c>
      <c r="I4" s="114">
        <v>0.8</v>
      </c>
      <c r="J4" s="114">
        <v>0</v>
      </c>
      <c r="K4" s="114">
        <v>0.8</v>
      </c>
      <c r="L4" s="114">
        <v>0</v>
      </c>
      <c r="M4" s="114">
        <v>0</v>
      </c>
      <c r="N4" s="114">
        <v>0</v>
      </c>
      <c r="O4" s="114">
        <v>0</v>
      </c>
      <c r="P4" s="114">
        <v>0</v>
      </c>
      <c r="Q4" s="114">
        <v>0</v>
      </c>
      <c r="R4" s="114">
        <v>0</v>
      </c>
      <c r="S4" s="114">
        <v>0.8</v>
      </c>
      <c r="T4" s="114">
        <v>0.8</v>
      </c>
      <c r="U4" s="114">
        <v>0</v>
      </c>
      <c r="V4" s="114">
        <v>0</v>
      </c>
      <c r="W4" s="114">
        <v>0.8</v>
      </c>
      <c r="X4" s="114">
        <v>0</v>
      </c>
      <c r="Y4" s="114">
        <v>0</v>
      </c>
      <c r="Z4" s="114">
        <v>0</v>
      </c>
      <c r="AA4" s="114">
        <v>0</v>
      </c>
      <c r="AB4" s="114">
        <v>0</v>
      </c>
      <c r="AC4" s="114">
        <v>0</v>
      </c>
      <c r="AD4" s="114">
        <v>0</v>
      </c>
      <c r="AE4" s="114">
        <v>0</v>
      </c>
      <c r="AF4" s="114">
        <v>0</v>
      </c>
      <c r="AG4" s="114">
        <v>0</v>
      </c>
      <c r="AH4" s="114">
        <v>0</v>
      </c>
      <c r="AI4" s="114">
        <v>0.8</v>
      </c>
      <c r="AJ4" s="114">
        <v>0</v>
      </c>
      <c r="AK4" s="114">
        <v>0</v>
      </c>
      <c r="AL4" s="114">
        <v>0</v>
      </c>
      <c r="AM4" s="114">
        <v>0</v>
      </c>
      <c r="AN4" s="114">
        <v>0</v>
      </c>
      <c r="AO4" s="114">
        <v>0</v>
      </c>
      <c r="AP4" s="114">
        <v>0</v>
      </c>
      <c r="AQ4" s="114">
        <v>0</v>
      </c>
      <c r="AR4" s="114">
        <v>0</v>
      </c>
      <c r="AS4" s="114">
        <v>0</v>
      </c>
      <c r="AT4" s="114">
        <v>0</v>
      </c>
      <c r="AU4" s="114">
        <v>0</v>
      </c>
      <c r="AV4" s="114">
        <v>0</v>
      </c>
      <c r="AW4" s="114">
        <v>0</v>
      </c>
      <c r="AX4" s="114">
        <v>0</v>
      </c>
      <c r="AY4" s="114">
        <v>0</v>
      </c>
      <c r="AZ4" s="114">
        <v>0</v>
      </c>
      <c r="BA4" s="114">
        <v>0</v>
      </c>
      <c r="BB4" s="114">
        <v>0</v>
      </c>
      <c r="BC4" s="114">
        <v>0</v>
      </c>
      <c r="BD4" s="114">
        <v>0</v>
      </c>
      <c r="BE4" s="114">
        <v>0</v>
      </c>
      <c r="BF4" s="114">
        <v>0</v>
      </c>
    </row>
    <row r="5" spans="1:58" customFormat="1" x14ac:dyDescent="0.15">
      <c r="A5" s="192" t="s">
        <v>195</v>
      </c>
      <c r="B5" s="114">
        <v>0</v>
      </c>
      <c r="C5" s="114">
        <v>0</v>
      </c>
      <c r="D5" s="114">
        <v>0</v>
      </c>
      <c r="E5" s="114">
        <v>0</v>
      </c>
      <c r="F5" s="114">
        <v>0</v>
      </c>
      <c r="G5" s="114">
        <v>0.8</v>
      </c>
      <c r="H5" s="114">
        <v>0</v>
      </c>
      <c r="I5" s="114">
        <v>0</v>
      </c>
      <c r="J5" s="114">
        <v>0</v>
      </c>
      <c r="K5" s="114">
        <v>0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0.8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0</v>
      </c>
      <c r="AG5" s="114">
        <v>0</v>
      </c>
      <c r="AH5" s="114">
        <v>0</v>
      </c>
      <c r="AI5" s="114">
        <v>0.8</v>
      </c>
      <c r="AJ5" s="114">
        <v>0</v>
      </c>
      <c r="AK5" s="114">
        <v>0</v>
      </c>
      <c r="AL5" s="114">
        <v>0</v>
      </c>
      <c r="AM5" s="114">
        <v>0</v>
      </c>
      <c r="AN5" s="114">
        <v>0</v>
      </c>
      <c r="AO5" s="114">
        <v>0</v>
      </c>
      <c r="AP5" s="114">
        <v>0</v>
      </c>
      <c r="AQ5" s="114">
        <v>0</v>
      </c>
      <c r="AR5" s="114">
        <v>0</v>
      </c>
      <c r="AS5" s="114">
        <v>0</v>
      </c>
      <c r="AT5" s="114">
        <v>0</v>
      </c>
      <c r="AU5" s="114">
        <v>0</v>
      </c>
      <c r="AV5" s="114">
        <v>0</v>
      </c>
      <c r="AW5" s="114">
        <v>0</v>
      </c>
      <c r="AX5" s="114">
        <v>0</v>
      </c>
      <c r="AY5" s="114">
        <v>0</v>
      </c>
      <c r="AZ5" s="114">
        <v>0</v>
      </c>
      <c r="BA5" s="114">
        <v>0</v>
      </c>
      <c r="BB5" s="114">
        <v>0</v>
      </c>
      <c r="BC5" s="114">
        <v>0</v>
      </c>
      <c r="BD5" s="114">
        <v>0</v>
      </c>
      <c r="BE5" s="114">
        <v>0</v>
      </c>
      <c r="BF5" s="114">
        <v>0</v>
      </c>
    </row>
    <row r="6" spans="1:58" customFormat="1" x14ac:dyDescent="0.15">
      <c r="A6" s="192" t="s">
        <v>196</v>
      </c>
      <c r="B6" s="114">
        <v>0</v>
      </c>
      <c r="C6" s="114">
        <v>0.8</v>
      </c>
      <c r="D6" s="114">
        <v>0</v>
      </c>
      <c r="E6" s="114">
        <v>0</v>
      </c>
      <c r="F6" s="114">
        <v>0</v>
      </c>
      <c r="G6" s="114">
        <v>0</v>
      </c>
      <c r="H6" s="114">
        <v>0</v>
      </c>
      <c r="I6" s="114">
        <v>0</v>
      </c>
      <c r="J6" s="114">
        <v>0</v>
      </c>
      <c r="K6" s="114">
        <v>0</v>
      </c>
      <c r="L6" s="114">
        <v>0</v>
      </c>
      <c r="M6" s="114">
        <v>0</v>
      </c>
      <c r="N6" s="114">
        <v>0</v>
      </c>
      <c r="O6" s="114">
        <v>0</v>
      </c>
      <c r="P6" s="114">
        <v>0</v>
      </c>
      <c r="Q6" s="114">
        <v>0</v>
      </c>
      <c r="R6" s="114">
        <v>0</v>
      </c>
      <c r="S6" s="114">
        <v>0</v>
      </c>
      <c r="T6" s="114">
        <v>0</v>
      </c>
      <c r="U6" s="114">
        <v>0</v>
      </c>
      <c r="V6" s="114">
        <v>0</v>
      </c>
      <c r="W6" s="114">
        <v>0</v>
      </c>
      <c r="X6" s="114">
        <v>0</v>
      </c>
      <c r="Y6" s="114">
        <v>0</v>
      </c>
      <c r="Z6" s="114">
        <v>0</v>
      </c>
      <c r="AA6" s="114">
        <v>0</v>
      </c>
      <c r="AB6" s="114">
        <v>0</v>
      </c>
      <c r="AC6" s="114">
        <v>0</v>
      </c>
      <c r="AD6" s="114">
        <v>0</v>
      </c>
      <c r="AE6" s="114">
        <v>0</v>
      </c>
      <c r="AF6" s="114">
        <v>0</v>
      </c>
      <c r="AG6" s="114">
        <v>0</v>
      </c>
      <c r="AH6" s="114">
        <v>0</v>
      </c>
      <c r="AI6" s="114">
        <v>0</v>
      </c>
      <c r="AJ6" s="114">
        <v>0</v>
      </c>
      <c r="AK6" s="114">
        <v>0</v>
      </c>
      <c r="AL6" s="114">
        <v>0</v>
      </c>
      <c r="AM6" s="114">
        <v>0</v>
      </c>
      <c r="AN6" s="114">
        <v>0</v>
      </c>
      <c r="AO6" s="114">
        <v>0</v>
      </c>
      <c r="AP6" s="114">
        <v>0</v>
      </c>
      <c r="AQ6" s="114">
        <v>0</v>
      </c>
      <c r="AR6" s="114">
        <v>0</v>
      </c>
      <c r="AS6" s="114">
        <v>0</v>
      </c>
      <c r="AT6" s="114">
        <v>0</v>
      </c>
      <c r="AU6" s="114">
        <v>0</v>
      </c>
      <c r="AV6" s="114">
        <v>0</v>
      </c>
      <c r="AW6" s="114">
        <v>0</v>
      </c>
      <c r="AX6" s="114">
        <v>0</v>
      </c>
      <c r="AY6" s="114">
        <v>0</v>
      </c>
      <c r="AZ6" s="114">
        <v>0</v>
      </c>
      <c r="BA6" s="114">
        <v>0</v>
      </c>
      <c r="BB6" s="114">
        <v>0</v>
      </c>
      <c r="BC6" s="114">
        <v>0</v>
      </c>
      <c r="BD6" s="114">
        <v>0</v>
      </c>
      <c r="BE6" s="114">
        <v>0</v>
      </c>
      <c r="BF6" s="114">
        <v>0</v>
      </c>
    </row>
    <row r="7" spans="1:58" customFormat="1" x14ac:dyDescent="0.15">
      <c r="A7" s="192" t="s">
        <v>197</v>
      </c>
      <c r="B7" s="114">
        <v>0</v>
      </c>
      <c r="C7" s="114">
        <v>0</v>
      </c>
      <c r="D7" s="114">
        <v>0</v>
      </c>
      <c r="E7" s="114">
        <v>0</v>
      </c>
      <c r="F7" s="114">
        <v>0</v>
      </c>
      <c r="G7" s="114">
        <v>0</v>
      </c>
      <c r="H7" s="114">
        <v>0</v>
      </c>
      <c r="I7" s="114">
        <v>0</v>
      </c>
      <c r="J7" s="114">
        <v>0</v>
      </c>
      <c r="K7" s="114">
        <v>0</v>
      </c>
      <c r="L7" s="114">
        <v>0</v>
      </c>
      <c r="M7" s="114">
        <v>0</v>
      </c>
      <c r="N7" s="114">
        <v>0</v>
      </c>
      <c r="O7" s="114">
        <v>0</v>
      </c>
      <c r="P7" s="114">
        <v>0</v>
      </c>
      <c r="Q7" s="114">
        <v>0</v>
      </c>
      <c r="R7" s="114">
        <v>0</v>
      </c>
      <c r="S7" s="114">
        <v>0</v>
      </c>
      <c r="T7" s="114">
        <v>0</v>
      </c>
      <c r="U7" s="114">
        <v>0</v>
      </c>
      <c r="V7" s="114">
        <v>0</v>
      </c>
      <c r="W7" s="114">
        <v>0</v>
      </c>
      <c r="X7" s="114">
        <v>0</v>
      </c>
      <c r="Y7" s="114">
        <v>0</v>
      </c>
      <c r="Z7" s="114">
        <v>0</v>
      </c>
      <c r="AA7" s="114">
        <v>0</v>
      </c>
      <c r="AB7" s="114">
        <v>0</v>
      </c>
      <c r="AC7" s="114">
        <v>0</v>
      </c>
      <c r="AD7" s="114">
        <v>0</v>
      </c>
      <c r="AE7" s="114">
        <v>0</v>
      </c>
      <c r="AF7" s="114">
        <v>0</v>
      </c>
      <c r="AG7" s="114">
        <v>0</v>
      </c>
      <c r="AH7" s="114">
        <v>0</v>
      </c>
      <c r="AI7" s="114">
        <v>0</v>
      </c>
      <c r="AJ7" s="114">
        <v>0</v>
      </c>
      <c r="AK7" s="114">
        <v>0</v>
      </c>
      <c r="AL7" s="114">
        <v>0</v>
      </c>
      <c r="AM7" s="114">
        <v>0</v>
      </c>
      <c r="AN7" s="114">
        <v>0</v>
      </c>
      <c r="AO7" s="114">
        <v>0</v>
      </c>
      <c r="AP7" s="114">
        <v>0</v>
      </c>
      <c r="AQ7" s="114">
        <v>0</v>
      </c>
      <c r="AR7" s="114">
        <v>0</v>
      </c>
      <c r="AS7" s="114">
        <v>0</v>
      </c>
      <c r="AT7" s="114">
        <v>0</v>
      </c>
      <c r="AU7" s="114">
        <v>0</v>
      </c>
      <c r="AV7" s="114">
        <v>0</v>
      </c>
      <c r="AW7" s="114">
        <v>0</v>
      </c>
      <c r="AX7" s="114">
        <v>0</v>
      </c>
      <c r="AY7" s="114">
        <v>0</v>
      </c>
      <c r="AZ7" s="114">
        <v>0</v>
      </c>
      <c r="BA7" s="114">
        <v>0</v>
      </c>
      <c r="BB7" s="114">
        <v>0</v>
      </c>
      <c r="BC7" s="114">
        <v>0</v>
      </c>
      <c r="BD7" s="114">
        <v>0</v>
      </c>
      <c r="BE7" s="114">
        <v>0</v>
      </c>
      <c r="BF7" s="114">
        <v>0</v>
      </c>
    </row>
    <row r="8" spans="1:58" customFormat="1" x14ac:dyDescent="0.15">
      <c r="A8" s="192" t="s">
        <v>198</v>
      </c>
      <c r="B8" s="114">
        <v>0</v>
      </c>
      <c r="C8" s="114">
        <v>0.8</v>
      </c>
      <c r="D8" s="114">
        <v>0</v>
      </c>
      <c r="E8" s="114">
        <v>0</v>
      </c>
      <c r="F8" s="114">
        <v>0</v>
      </c>
      <c r="G8" s="114">
        <v>0</v>
      </c>
      <c r="H8" s="114">
        <v>0</v>
      </c>
      <c r="I8" s="114">
        <v>0</v>
      </c>
      <c r="J8" s="114">
        <v>0</v>
      </c>
      <c r="K8" s="114">
        <v>0</v>
      </c>
      <c r="L8" s="114">
        <v>0</v>
      </c>
      <c r="M8" s="114">
        <v>0</v>
      </c>
      <c r="N8" s="114">
        <v>0</v>
      </c>
      <c r="O8" s="114">
        <v>0</v>
      </c>
      <c r="P8" s="114">
        <v>0</v>
      </c>
      <c r="Q8" s="114">
        <v>0.8</v>
      </c>
      <c r="R8" s="114">
        <v>0</v>
      </c>
      <c r="S8" s="114">
        <v>0.8</v>
      </c>
      <c r="T8" s="114">
        <v>0</v>
      </c>
      <c r="U8" s="114">
        <v>0</v>
      </c>
      <c r="V8" s="114">
        <v>0</v>
      </c>
      <c r="W8" s="114">
        <v>0</v>
      </c>
      <c r="X8" s="114">
        <v>0</v>
      </c>
      <c r="Y8" s="114">
        <v>0</v>
      </c>
      <c r="Z8" s="114">
        <v>0</v>
      </c>
      <c r="AA8" s="114">
        <v>0</v>
      </c>
      <c r="AB8" s="114">
        <v>0</v>
      </c>
      <c r="AC8" s="114">
        <v>0</v>
      </c>
      <c r="AD8" s="114">
        <v>0</v>
      </c>
      <c r="AE8" s="114">
        <v>0</v>
      </c>
      <c r="AF8" s="114">
        <v>0</v>
      </c>
      <c r="AG8" s="114">
        <v>0</v>
      </c>
      <c r="AH8" s="114">
        <v>0</v>
      </c>
      <c r="AI8" s="114">
        <v>0</v>
      </c>
      <c r="AJ8" s="114">
        <v>0</v>
      </c>
      <c r="AK8" s="114">
        <v>0</v>
      </c>
      <c r="AL8" s="114">
        <v>0</v>
      </c>
      <c r="AM8" s="114">
        <v>0</v>
      </c>
      <c r="AN8" s="114">
        <v>0</v>
      </c>
      <c r="AO8" s="114">
        <v>0</v>
      </c>
      <c r="AP8" s="114">
        <v>0</v>
      </c>
      <c r="AQ8" s="114">
        <v>0</v>
      </c>
      <c r="AR8" s="114">
        <v>0</v>
      </c>
      <c r="AS8" s="114">
        <v>0</v>
      </c>
      <c r="AT8" s="114">
        <v>0</v>
      </c>
      <c r="AU8" s="114">
        <v>0</v>
      </c>
      <c r="AV8" s="114">
        <v>0</v>
      </c>
      <c r="AW8" s="114">
        <v>0</v>
      </c>
      <c r="AX8" s="114">
        <v>0</v>
      </c>
      <c r="AY8" s="114">
        <v>0</v>
      </c>
      <c r="AZ8" s="114">
        <v>0</v>
      </c>
      <c r="BA8" s="114">
        <v>0</v>
      </c>
      <c r="BB8" s="114">
        <v>0</v>
      </c>
      <c r="BC8" s="114">
        <v>0</v>
      </c>
      <c r="BD8" s="114">
        <v>0</v>
      </c>
      <c r="BE8" s="114">
        <v>0</v>
      </c>
      <c r="BF8" s="114">
        <v>0</v>
      </c>
    </row>
    <row r="9" spans="1:58" customFormat="1" x14ac:dyDescent="0.15">
      <c r="A9" s="192" t="s">
        <v>199</v>
      </c>
      <c r="B9" s="114">
        <v>0</v>
      </c>
      <c r="C9" s="114">
        <v>0</v>
      </c>
      <c r="D9" s="114">
        <v>0</v>
      </c>
      <c r="E9" s="114">
        <v>0</v>
      </c>
      <c r="F9" s="114">
        <v>0</v>
      </c>
      <c r="G9" s="114">
        <v>0</v>
      </c>
      <c r="H9" s="114">
        <v>0</v>
      </c>
      <c r="I9" s="114">
        <v>0</v>
      </c>
      <c r="J9" s="114">
        <v>0</v>
      </c>
      <c r="K9" s="114">
        <v>0</v>
      </c>
      <c r="L9" s="114">
        <v>0</v>
      </c>
      <c r="M9" s="114">
        <v>0</v>
      </c>
      <c r="N9" s="114">
        <v>0</v>
      </c>
      <c r="O9" s="114">
        <v>0</v>
      </c>
      <c r="P9" s="114">
        <v>0</v>
      </c>
      <c r="Q9" s="114">
        <v>0.8</v>
      </c>
      <c r="R9" s="114">
        <v>0</v>
      </c>
      <c r="S9" s="114">
        <v>0.8</v>
      </c>
      <c r="T9" s="114">
        <v>0</v>
      </c>
      <c r="U9" s="114">
        <v>0</v>
      </c>
      <c r="V9" s="114">
        <v>0</v>
      </c>
      <c r="W9" s="114">
        <v>0</v>
      </c>
      <c r="X9" s="114">
        <v>0</v>
      </c>
      <c r="Y9" s="114">
        <v>0</v>
      </c>
      <c r="Z9" s="114">
        <v>0</v>
      </c>
      <c r="AA9" s="114">
        <v>0</v>
      </c>
      <c r="AB9" s="114">
        <v>0</v>
      </c>
      <c r="AC9" s="114">
        <v>0</v>
      </c>
      <c r="AD9" s="114">
        <v>0</v>
      </c>
      <c r="AE9" s="114">
        <v>0</v>
      </c>
      <c r="AF9" s="114">
        <v>0</v>
      </c>
      <c r="AG9" s="114">
        <v>0</v>
      </c>
      <c r="AH9" s="114">
        <v>0</v>
      </c>
      <c r="AI9" s="114">
        <v>0</v>
      </c>
      <c r="AJ9" s="114">
        <v>0</v>
      </c>
      <c r="AK9" s="114">
        <v>0</v>
      </c>
      <c r="AL9" s="114">
        <v>0</v>
      </c>
      <c r="AM9" s="114">
        <v>0</v>
      </c>
      <c r="AN9" s="114">
        <v>0</v>
      </c>
      <c r="AO9" s="114">
        <v>0</v>
      </c>
      <c r="AP9" s="114">
        <v>0</v>
      </c>
      <c r="AQ9" s="114">
        <v>0</v>
      </c>
      <c r="AR9" s="114">
        <v>0</v>
      </c>
      <c r="AS9" s="114">
        <v>0</v>
      </c>
      <c r="AT9" s="114">
        <v>0</v>
      </c>
      <c r="AU9" s="114">
        <v>0</v>
      </c>
      <c r="AV9" s="114">
        <v>0</v>
      </c>
      <c r="AW9" s="114">
        <v>0</v>
      </c>
      <c r="AX9" s="114">
        <v>0</v>
      </c>
      <c r="AY9" s="114">
        <v>0</v>
      </c>
      <c r="AZ9" s="114">
        <v>0</v>
      </c>
      <c r="BA9" s="114">
        <v>0</v>
      </c>
      <c r="BB9" s="114">
        <v>0</v>
      </c>
      <c r="BC9" s="114">
        <v>0</v>
      </c>
      <c r="BD9" s="114">
        <v>0</v>
      </c>
      <c r="BE9" s="114">
        <v>0</v>
      </c>
      <c r="BF9" s="114">
        <v>0</v>
      </c>
    </row>
    <row r="10" spans="1:58" customFormat="1" x14ac:dyDescent="0.15">
      <c r="A10" s="192" t="s">
        <v>200</v>
      </c>
      <c r="B10" s="114">
        <v>0</v>
      </c>
      <c r="C10" s="114">
        <v>0.8</v>
      </c>
      <c r="D10" s="114">
        <v>0</v>
      </c>
      <c r="E10" s="114">
        <v>0.8</v>
      </c>
      <c r="F10" s="114">
        <v>0</v>
      </c>
      <c r="G10" s="114">
        <v>0.8</v>
      </c>
      <c r="H10" s="114">
        <v>0</v>
      </c>
      <c r="I10" s="114">
        <v>0.8</v>
      </c>
      <c r="J10" s="114">
        <v>0</v>
      </c>
      <c r="K10" s="114">
        <v>0.8</v>
      </c>
      <c r="L10" s="114">
        <v>0</v>
      </c>
      <c r="M10" s="114">
        <v>0</v>
      </c>
      <c r="N10" s="114">
        <v>0.8</v>
      </c>
      <c r="O10" s="114">
        <v>0.8</v>
      </c>
      <c r="P10" s="114">
        <v>0</v>
      </c>
      <c r="Q10" s="114">
        <v>0.8</v>
      </c>
      <c r="R10" s="114">
        <v>0</v>
      </c>
      <c r="S10" s="114">
        <v>0.8</v>
      </c>
      <c r="T10" s="114">
        <v>0.8</v>
      </c>
      <c r="U10" s="114">
        <v>0</v>
      </c>
      <c r="V10" s="114">
        <v>0</v>
      </c>
      <c r="W10" s="114">
        <v>0.8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0.8</v>
      </c>
      <c r="AE10" s="114">
        <v>0</v>
      </c>
      <c r="AF10" s="114">
        <v>0</v>
      </c>
      <c r="AG10" s="114">
        <v>0.8</v>
      </c>
      <c r="AH10" s="114">
        <v>0.8</v>
      </c>
      <c r="AI10" s="114">
        <v>0.8</v>
      </c>
      <c r="AJ10" s="114">
        <v>0</v>
      </c>
      <c r="AK10" s="114">
        <v>0</v>
      </c>
      <c r="AL10" s="114">
        <v>0</v>
      </c>
      <c r="AM10" s="114">
        <v>0.8</v>
      </c>
      <c r="AN10" s="114">
        <v>0</v>
      </c>
      <c r="AO10" s="114">
        <v>0</v>
      </c>
      <c r="AP10" s="114">
        <v>0</v>
      </c>
      <c r="AQ10" s="114">
        <v>0</v>
      </c>
      <c r="AR10" s="114">
        <v>0</v>
      </c>
      <c r="AS10" s="114">
        <v>0</v>
      </c>
      <c r="AT10" s="114">
        <v>0</v>
      </c>
      <c r="AU10" s="114">
        <v>0</v>
      </c>
      <c r="AV10" s="114">
        <v>0</v>
      </c>
      <c r="AW10" s="114">
        <v>0</v>
      </c>
      <c r="AX10" s="114">
        <v>0</v>
      </c>
      <c r="AY10" s="114">
        <v>0</v>
      </c>
      <c r="AZ10" s="114">
        <v>0</v>
      </c>
      <c r="BA10" s="114">
        <v>0</v>
      </c>
      <c r="BB10" s="114">
        <v>0</v>
      </c>
      <c r="BC10" s="114">
        <v>0</v>
      </c>
      <c r="BD10" s="114">
        <v>0</v>
      </c>
      <c r="BE10" s="114">
        <v>0</v>
      </c>
      <c r="BF10" s="114">
        <v>0</v>
      </c>
    </row>
    <row r="11" spans="1:58" customFormat="1" x14ac:dyDescent="0.15">
      <c r="A11" s="192" t="s">
        <v>201</v>
      </c>
      <c r="B11" s="114">
        <v>0</v>
      </c>
      <c r="C11" s="114">
        <v>0.8</v>
      </c>
      <c r="D11" s="114">
        <v>0</v>
      </c>
      <c r="E11" s="114">
        <v>0.8</v>
      </c>
      <c r="F11" s="114">
        <v>0</v>
      </c>
      <c r="G11" s="114">
        <v>0.8</v>
      </c>
      <c r="H11" s="114">
        <v>0</v>
      </c>
      <c r="I11" s="114">
        <v>0.8</v>
      </c>
      <c r="J11" s="114">
        <v>0</v>
      </c>
      <c r="K11" s="114">
        <v>0</v>
      </c>
      <c r="L11" s="114">
        <v>0</v>
      </c>
      <c r="M11" s="114">
        <v>0</v>
      </c>
      <c r="N11" s="114">
        <v>0</v>
      </c>
      <c r="O11" s="114">
        <v>0</v>
      </c>
      <c r="P11" s="114">
        <v>0</v>
      </c>
      <c r="Q11" s="114">
        <v>0.8</v>
      </c>
      <c r="R11" s="114">
        <v>0</v>
      </c>
      <c r="S11" s="114">
        <v>0.8</v>
      </c>
      <c r="T11" s="114">
        <v>0.8</v>
      </c>
      <c r="U11" s="114">
        <v>0.8</v>
      </c>
      <c r="V11" s="114">
        <v>0</v>
      </c>
      <c r="W11" s="114">
        <v>0.8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0.8</v>
      </c>
      <c r="AH11" s="114">
        <v>0</v>
      </c>
      <c r="AI11" s="114">
        <v>0.8</v>
      </c>
      <c r="AJ11" s="114">
        <v>0</v>
      </c>
      <c r="AK11" s="114">
        <v>0</v>
      </c>
      <c r="AL11" s="114">
        <v>0</v>
      </c>
      <c r="AM11" s="114">
        <v>0</v>
      </c>
      <c r="AN11" s="114">
        <v>0</v>
      </c>
      <c r="AO11" s="114">
        <v>0</v>
      </c>
      <c r="AP11" s="114">
        <v>0</v>
      </c>
      <c r="AQ11" s="114">
        <v>0</v>
      </c>
      <c r="AR11" s="114">
        <v>0</v>
      </c>
      <c r="AS11" s="114">
        <v>0</v>
      </c>
      <c r="AT11" s="114">
        <v>0</v>
      </c>
      <c r="AU11" s="114">
        <v>0</v>
      </c>
      <c r="AV11" s="114">
        <v>0</v>
      </c>
      <c r="AW11" s="114">
        <v>0</v>
      </c>
      <c r="AX11" s="114">
        <v>0</v>
      </c>
      <c r="AY11" s="114">
        <v>0</v>
      </c>
      <c r="AZ11" s="114">
        <v>0</v>
      </c>
      <c r="BA11" s="114">
        <v>0</v>
      </c>
      <c r="BB11" s="114">
        <v>0</v>
      </c>
      <c r="BC11" s="114">
        <v>0</v>
      </c>
      <c r="BD11" s="114">
        <v>0</v>
      </c>
      <c r="BE11" s="114">
        <v>0</v>
      </c>
      <c r="BF11" s="114">
        <v>0</v>
      </c>
    </row>
    <row r="12" spans="1:58" customFormat="1" x14ac:dyDescent="0.15">
      <c r="A12" s="192" t="s">
        <v>202</v>
      </c>
      <c r="B12" s="114">
        <v>0</v>
      </c>
      <c r="C12" s="114">
        <v>0.8</v>
      </c>
      <c r="D12" s="114">
        <v>0</v>
      </c>
      <c r="E12" s="114">
        <v>0</v>
      </c>
      <c r="F12" s="114">
        <v>0.8</v>
      </c>
      <c r="G12" s="114">
        <v>0.8</v>
      </c>
      <c r="H12" s="114">
        <v>0</v>
      </c>
      <c r="I12" s="114">
        <v>0.8</v>
      </c>
      <c r="J12" s="114">
        <v>0</v>
      </c>
      <c r="K12" s="114">
        <v>0</v>
      </c>
      <c r="L12" s="114">
        <v>0</v>
      </c>
      <c r="M12" s="114">
        <v>0</v>
      </c>
      <c r="N12" s="114">
        <v>0.8</v>
      </c>
      <c r="O12" s="114">
        <v>0.8</v>
      </c>
      <c r="P12" s="114">
        <v>0</v>
      </c>
      <c r="Q12" s="114">
        <v>0.8</v>
      </c>
      <c r="R12" s="114">
        <v>0.8</v>
      </c>
      <c r="S12" s="114">
        <v>0.8</v>
      </c>
      <c r="T12" s="114">
        <v>0.8</v>
      </c>
      <c r="U12" s="114">
        <v>0</v>
      </c>
      <c r="V12" s="114">
        <v>0</v>
      </c>
      <c r="W12" s="114">
        <v>0.8</v>
      </c>
      <c r="X12" s="114">
        <v>0</v>
      </c>
      <c r="Y12" s="114">
        <v>0</v>
      </c>
      <c r="Z12" s="114">
        <v>0.8</v>
      </c>
      <c r="AA12" s="114">
        <v>0</v>
      </c>
      <c r="AB12" s="114">
        <v>0.8</v>
      </c>
      <c r="AC12" s="114">
        <v>0.8</v>
      </c>
      <c r="AD12" s="114">
        <v>0</v>
      </c>
      <c r="AE12" s="114">
        <v>0</v>
      </c>
      <c r="AF12" s="114">
        <v>0</v>
      </c>
      <c r="AG12" s="114">
        <v>0.8</v>
      </c>
      <c r="AH12" s="114">
        <v>0</v>
      </c>
      <c r="AI12" s="114">
        <v>0.8</v>
      </c>
      <c r="AJ12" s="114">
        <v>0</v>
      </c>
      <c r="AK12" s="114">
        <v>0</v>
      </c>
      <c r="AL12" s="114">
        <v>0</v>
      </c>
      <c r="AM12" s="114">
        <v>0</v>
      </c>
      <c r="AN12" s="114">
        <v>0</v>
      </c>
      <c r="AO12" s="114">
        <v>0</v>
      </c>
      <c r="AP12" s="114">
        <v>0</v>
      </c>
      <c r="AQ12" s="114">
        <v>0</v>
      </c>
      <c r="AR12" s="114">
        <v>0</v>
      </c>
      <c r="AS12" s="114">
        <v>0</v>
      </c>
      <c r="AT12" s="114">
        <v>0</v>
      </c>
      <c r="AU12" s="114">
        <v>0</v>
      </c>
      <c r="AV12" s="114">
        <v>0</v>
      </c>
      <c r="AW12" s="114">
        <v>0</v>
      </c>
      <c r="AX12" s="114">
        <v>0</v>
      </c>
      <c r="AY12" s="114">
        <v>0</v>
      </c>
      <c r="AZ12" s="114">
        <v>0</v>
      </c>
      <c r="BA12" s="114">
        <v>0</v>
      </c>
      <c r="BB12" s="114">
        <v>0</v>
      </c>
      <c r="BC12" s="114">
        <v>0</v>
      </c>
      <c r="BD12" s="114">
        <v>0</v>
      </c>
      <c r="BE12" s="114">
        <v>0</v>
      </c>
      <c r="BF12" s="114">
        <v>0</v>
      </c>
    </row>
    <row r="13" spans="1:58" customFormat="1" x14ac:dyDescent="0.15">
      <c r="A13" s="192" t="s">
        <v>203</v>
      </c>
      <c r="B13" s="114">
        <v>0</v>
      </c>
      <c r="C13" s="114">
        <v>0.8</v>
      </c>
      <c r="D13" s="114">
        <v>0</v>
      </c>
      <c r="E13" s="114">
        <v>0.8</v>
      </c>
      <c r="F13" s="114">
        <v>0.8</v>
      </c>
      <c r="G13" s="114">
        <v>0.8</v>
      </c>
      <c r="H13" s="114">
        <v>0</v>
      </c>
      <c r="I13" s="114">
        <v>0.8</v>
      </c>
      <c r="J13" s="114">
        <v>0</v>
      </c>
      <c r="K13" s="114">
        <v>0</v>
      </c>
      <c r="L13" s="114">
        <v>0</v>
      </c>
      <c r="M13" s="114">
        <v>0</v>
      </c>
      <c r="N13" s="114">
        <v>0.8</v>
      </c>
      <c r="O13" s="114">
        <v>0.8</v>
      </c>
      <c r="P13" s="114">
        <v>0</v>
      </c>
      <c r="Q13" s="114">
        <v>0.8</v>
      </c>
      <c r="R13" s="114">
        <v>0.8</v>
      </c>
      <c r="S13" s="114">
        <v>0.8</v>
      </c>
      <c r="T13" s="114">
        <v>0.8</v>
      </c>
      <c r="U13" s="114">
        <v>0</v>
      </c>
      <c r="V13" s="114">
        <v>0</v>
      </c>
      <c r="W13" s="114">
        <v>0.8</v>
      </c>
      <c r="X13" s="114">
        <v>0</v>
      </c>
      <c r="Y13" s="114">
        <v>0</v>
      </c>
      <c r="Z13" s="114">
        <v>0</v>
      </c>
      <c r="AA13" s="114">
        <v>0</v>
      </c>
      <c r="AB13" s="114">
        <v>0.8</v>
      </c>
      <c r="AC13" s="114">
        <v>0.8</v>
      </c>
      <c r="AD13" s="114">
        <v>0</v>
      </c>
      <c r="AE13" s="114">
        <v>0</v>
      </c>
      <c r="AF13" s="114">
        <v>0</v>
      </c>
      <c r="AG13" s="114">
        <v>0.8</v>
      </c>
      <c r="AH13" s="114">
        <v>0</v>
      </c>
      <c r="AI13" s="114">
        <v>0.8</v>
      </c>
      <c r="AJ13" s="114">
        <v>0</v>
      </c>
      <c r="AK13" s="114">
        <v>0</v>
      </c>
      <c r="AL13" s="114">
        <v>0</v>
      </c>
      <c r="AM13" s="114">
        <v>0</v>
      </c>
      <c r="AN13" s="114">
        <v>0</v>
      </c>
      <c r="AO13" s="114">
        <v>0</v>
      </c>
      <c r="AP13" s="114">
        <v>0</v>
      </c>
      <c r="AQ13" s="114">
        <v>0</v>
      </c>
      <c r="AR13" s="114">
        <v>0</v>
      </c>
      <c r="AS13" s="114">
        <v>0</v>
      </c>
      <c r="AT13" s="114">
        <v>0</v>
      </c>
      <c r="AU13" s="114">
        <v>0</v>
      </c>
      <c r="AV13" s="114">
        <v>0</v>
      </c>
      <c r="AW13" s="114">
        <v>0</v>
      </c>
      <c r="AX13" s="114">
        <v>0</v>
      </c>
      <c r="AY13" s="114">
        <v>0</v>
      </c>
      <c r="AZ13" s="114">
        <v>0</v>
      </c>
      <c r="BA13" s="114">
        <v>0</v>
      </c>
      <c r="BB13" s="114">
        <v>0</v>
      </c>
      <c r="BC13" s="114">
        <v>0</v>
      </c>
      <c r="BD13" s="114">
        <v>0</v>
      </c>
      <c r="BE13" s="114">
        <v>0</v>
      </c>
      <c r="BF13" s="114">
        <v>0</v>
      </c>
    </row>
    <row r="14" spans="1:58" customFormat="1" x14ac:dyDescent="0.15">
      <c r="A14" s="192" t="s">
        <v>204</v>
      </c>
      <c r="B14" s="114">
        <v>0</v>
      </c>
      <c r="C14" s="114">
        <v>0</v>
      </c>
      <c r="D14" s="114">
        <v>0</v>
      </c>
      <c r="E14" s="114">
        <v>0</v>
      </c>
      <c r="F14" s="114">
        <v>0</v>
      </c>
      <c r="G14" s="114">
        <v>0</v>
      </c>
      <c r="H14" s="114">
        <v>0</v>
      </c>
      <c r="I14" s="114">
        <v>0</v>
      </c>
      <c r="J14" s="114">
        <v>0</v>
      </c>
      <c r="K14" s="114">
        <v>0</v>
      </c>
      <c r="L14" s="114">
        <v>0</v>
      </c>
      <c r="M14" s="114">
        <v>0</v>
      </c>
      <c r="N14" s="114">
        <v>0</v>
      </c>
      <c r="O14" s="114">
        <v>0</v>
      </c>
      <c r="P14" s="114">
        <v>0</v>
      </c>
      <c r="Q14" s="114">
        <v>0</v>
      </c>
      <c r="R14" s="114">
        <v>0</v>
      </c>
      <c r="S14" s="114">
        <v>0</v>
      </c>
      <c r="T14" s="114">
        <v>0</v>
      </c>
      <c r="U14" s="114">
        <v>0</v>
      </c>
      <c r="V14" s="114">
        <v>0</v>
      </c>
      <c r="W14" s="114">
        <v>0</v>
      </c>
      <c r="X14" s="114">
        <v>0</v>
      </c>
      <c r="Y14" s="114">
        <v>0</v>
      </c>
      <c r="Z14" s="114">
        <v>0</v>
      </c>
      <c r="AA14" s="114">
        <v>0</v>
      </c>
      <c r="AB14" s="114">
        <v>0</v>
      </c>
      <c r="AC14" s="114">
        <v>0</v>
      </c>
      <c r="AD14" s="114">
        <v>0</v>
      </c>
      <c r="AE14" s="114">
        <v>0</v>
      </c>
      <c r="AF14" s="114">
        <v>0</v>
      </c>
      <c r="AG14" s="114">
        <v>0</v>
      </c>
      <c r="AH14" s="114">
        <v>0</v>
      </c>
      <c r="AI14" s="114">
        <v>0</v>
      </c>
      <c r="AJ14" s="114">
        <v>0</v>
      </c>
      <c r="AK14" s="114">
        <v>0</v>
      </c>
      <c r="AL14" s="114">
        <v>0</v>
      </c>
      <c r="AM14" s="114">
        <v>0</v>
      </c>
      <c r="AN14" s="114">
        <v>0</v>
      </c>
      <c r="AO14" s="114">
        <v>0</v>
      </c>
      <c r="AP14" s="114">
        <v>0</v>
      </c>
      <c r="AQ14" s="114">
        <v>0</v>
      </c>
      <c r="AR14" s="114">
        <v>0</v>
      </c>
      <c r="AS14" s="114">
        <v>0</v>
      </c>
      <c r="AT14" s="114">
        <v>0</v>
      </c>
      <c r="AU14" s="114">
        <v>0</v>
      </c>
      <c r="AV14" s="114">
        <v>0</v>
      </c>
      <c r="AW14" s="114">
        <v>0</v>
      </c>
      <c r="AX14" s="114">
        <v>0</v>
      </c>
      <c r="AY14" s="114">
        <v>0</v>
      </c>
      <c r="AZ14" s="114">
        <v>0</v>
      </c>
      <c r="BA14" s="114">
        <v>0</v>
      </c>
      <c r="BB14" s="114">
        <v>0</v>
      </c>
      <c r="BC14" s="114">
        <v>0</v>
      </c>
      <c r="BD14" s="114">
        <v>0</v>
      </c>
      <c r="BE14" s="114">
        <v>0</v>
      </c>
      <c r="BF14" s="114">
        <v>0</v>
      </c>
    </row>
    <row r="15" spans="1:58" customFormat="1" x14ac:dyDescent="0.15">
      <c r="A15" s="192" t="s">
        <v>205</v>
      </c>
      <c r="B15" s="114">
        <v>0</v>
      </c>
      <c r="C15" s="114">
        <v>0</v>
      </c>
      <c r="D15" s="114">
        <v>0</v>
      </c>
      <c r="E15" s="114">
        <v>0</v>
      </c>
      <c r="F15" s="114">
        <v>0</v>
      </c>
      <c r="G15" s="114">
        <v>0</v>
      </c>
      <c r="H15" s="114">
        <v>0</v>
      </c>
      <c r="I15" s="114">
        <v>0</v>
      </c>
      <c r="J15" s="114">
        <v>0</v>
      </c>
      <c r="K15" s="114">
        <v>0</v>
      </c>
      <c r="L15" s="114">
        <v>0</v>
      </c>
      <c r="M15" s="114">
        <v>0</v>
      </c>
      <c r="N15" s="114">
        <v>0</v>
      </c>
      <c r="O15" s="114">
        <v>0</v>
      </c>
      <c r="P15" s="114">
        <v>0</v>
      </c>
      <c r="Q15" s="114">
        <v>0</v>
      </c>
      <c r="R15" s="114">
        <v>0</v>
      </c>
      <c r="S15" s="114">
        <v>0</v>
      </c>
      <c r="T15" s="114">
        <v>0</v>
      </c>
      <c r="U15" s="114">
        <v>0</v>
      </c>
      <c r="V15" s="114">
        <v>0</v>
      </c>
      <c r="W15" s="114">
        <v>0</v>
      </c>
      <c r="X15" s="114">
        <v>0</v>
      </c>
      <c r="Y15" s="114">
        <v>0</v>
      </c>
      <c r="Z15" s="114">
        <v>0</v>
      </c>
      <c r="AA15" s="114">
        <v>0</v>
      </c>
      <c r="AB15" s="114">
        <v>0</v>
      </c>
      <c r="AC15" s="114">
        <v>0</v>
      </c>
      <c r="AD15" s="114">
        <v>0</v>
      </c>
      <c r="AE15" s="114">
        <v>0</v>
      </c>
      <c r="AF15" s="114">
        <v>0</v>
      </c>
      <c r="AG15" s="114">
        <v>0</v>
      </c>
      <c r="AH15" s="114">
        <v>0</v>
      </c>
      <c r="AI15" s="114">
        <v>0</v>
      </c>
      <c r="AJ15" s="114">
        <v>0</v>
      </c>
      <c r="AK15" s="114">
        <v>0</v>
      </c>
      <c r="AL15" s="114">
        <v>0</v>
      </c>
      <c r="AM15" s="114">
        <v>0</v>
      </c>
      <c r="AN15" s="114">
        <v>0</v>
      </c>
      <c r="AO15" s="114">
        <v>0</v>
      </c>
      <c r="AP15" s="114">
        <v>0</v>
      </c>
      <c r="AQ15" s="114">
        <v>0</v>
      </c>
      <c r="AR15" s="114">
        <v>0</v>
      </c>
      <c r="AS15" s="114">
        <v>0</v>
      </c>
      <c r="AT15" s="114">
        <v>0</v>
      </c>
      <c r="AU15" s="114">
        <v>0</v>
      </c>
      <c r="AV15" s="114">
        <v>0</v>
      </c>
      <c r="AW15" s="114">
        <v>0</v>
      </c>
      <c r="AX15" s="114">
        <v>0</v>
      </c>
      <c r="AY15" s="114">
        <v>0</v>
      </c>
      <c r="AZ15" s="114">
        <v>0</v>
      </c>
      <c r="BA15" s="114">
        <v>0</v>
      </c>
      <c r="BB15" s="114">
        <v>0</v>
      </c>
      <c r="BC15" s="114">
        <v>0</v>
      </c>
      <c r="BD15" s="114">
        <v>0</v>
      </c>
      <c r="BE15" s="114">
        <v>0</v>
      </c>
      <c r="BF15" s="114">
        <v>0</v>
      </c>
    </row>
    <row r="16" spans="1:58" customFormat="1" x14ac:dyDescent="0.15">
      <c r="A16" s="192" t="s">
        <v>206</v>
      </c>
      <c r="B16" s="114">
        <v>0</v>
      </c>
      <c r="C16" s="114">
        <v>0</v>
      </c>
      <c r="D16" s="114">
        <v>0</v>
      </c>
      <c r="E16" s="114">
        <v>0</v>
      </c>
      <c r="F16" s="114">
        <v>0</v>
      </c>
      <c r="G16" s="114">
        <v>0</v>
      </c>
      <c r="H16" s="114">
        <v>0</v>
      </c>
      <c r="I16" s="114">
        <v>0</v>
      </c>
      <c r="J16" s="114">
        <v>0</v>
      </c>
      <c r="K16" s="114">
        <v>0</v>
      </c>
      <c r="L16" s="114">
        <v>0</v>
      </c>
      <c r="M16" s="114">
        <v>0</v>
      </c>
      <c r="N16" s="114">
        <v>0</v>
      </c>
      <c r="O16" s="114">
        <v>0</v>
      </c>
      <c r="P16" s="114">
        <v>0</v>
      </c>
      <c r="Q16" s="114">
        <v>0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4">
        <v>0</v>
      </c>
      <c r="AP16" s="114">
        <v>0</v>
      </c>
      <c r="AQ16" s="114">
        <v>0</v>
      </c>
      <c r="AR16" s="114">
        <v>0</v>
      </c>
      <c r="AS16" s="114">
        <v>0</v>
      </c>
      <c r="AT16" s="114">
        <v>0</v>
      </c>
      <c r="AU16" s="114">
        <v>0</v>
      </c>
      <c r="AV16" s="114">
        <v>0</v>
      </c>
      <c r="AW16" s="114">
        <v>0</v>
      </c>
      <c r="AX16" s="114">
        <v>0</v>
      </c>
      <c r="AY16" s="114">
        <v>0</v>
      </c>
      <c r="AZ16" s="114">
        <v>0</v>
      </c>
      <c r="BA16" s="114">
        <v>0</v>
      </c>
      <c r="BB16" s="114">
        <v>0</v>
      </c>
      <c r="BC16" s="114">
        <v>0</v>
      </c>
      <c r="BD16" s="114">
        <v>0</v>
      </c>
      <c r="BE16" s="114">
        <v>0</v>
      </c>
      <c r="BF16" s="114">
        <v>0</v>
      </c>
    </row>
    <row r="17" spans="1:58" customFormat="1" x14ac:dyDescent="0.15">
      <c r="A17" s="192" t="s">
        <v>207</v>
      </c>
      <c r="B17" s="114">
        <v>0</v>
      </c>
      <c r="C17" s="114">
        <v>0</v>
      </c>
      <c r="D17" s="114">
        <v>0</v>
      </c>
      <c r="E17" s="114">
        <v>0</v>
      </c>
      <c r="F17" s="114">
        <v>0</v>
      </c>
      <c r="G17" s="114">
        <v>0</v>
      </c>
      <c r="H17" s="114">
        <v>0</v>
      </c>
      <c r="I17" s="114">
        <v>0</v>
      </c>
      <c r="J17" s="114">
        <v>0</v>
      </c>
      <c r="K17" s="114">
        <v>0</v>
      </c>
      <c r="L17" s="114">
        <v>0</v>
      </c>
      <c r="M17" s="114">
        <v>0</v>
      </c>
      <c r="N17" s="114">
        <v>0</v>
      </c>
      <c r="O17" s="114">
        <v>0</v>
      </c>
      <c r="P17" s="114">
        <v>0</v>
      </c>
      <c r="Q17" s="114">
        <v>0</v>
      </c>
      <c r="R17" s="114">
        <v>0</v>
      </c>
      <c r="S17" s="114">
        <v>0</v>
      </c>
      <c r="T17" s="114">
        <v>0</v>
      </c>
      <c r="U17" s="114">
        <v>0</v>
      </c>
      <c r="V17" s="114">
        <v>0</v>
      </c>
      <c r="W17" s="114">
        <v>0</v>
      </c>
      <c r="X17" s="114">
        <v>0</v>
      </c>
      <c r="Y17" s="114">
        <v>0</v>
      </c>
      <c r="Z17" s="114">
        <v>0</v>
      </c>
      <c r="AA17" s="114">
        <v>0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114">
        <v>0</v>
      </c>
      <c r="AH17" s="114">
        <v>0</v>
      </c>
      <c r="AI17" s="114">
        <v>0</v>
      </c>
      <c r="AJ17" s="114">
        <v>0</v>
      </c>
      <c r="AK17" s="114">
        <v>0</v>
      </c>
      <c r="AL17" s="114">
        <v>0</v>
      </c>
      <c r="AM17" s="114">
        <v>0</v>
      </c>
      <c r="AN17" s="114">
        <v>0</v>
      </c>
      <c r="AO17" s="114">
        <v>0</v>
      </c>
      <c r="AP17" s="114">
        <v>0</v>
      </c>
      <c r="AQ17" s="114">
        <v>0</v>
      </c>
      <c r="AR17" s="114">
        <v>0</v>
      </c>
      <c r="AS17" s="114">
        <v>0</v>
      </c>
      <c r="AT17" s="114">
        <v>0</v>
      </c>
      <c r="AU17" s="114">
        <v>0</v>
      </c>
      <c r="AV17" s="114">
        <v>0</v>
      </c>
      <c r="AW17" s="114">
        <v>0</v>
      </c>
      <c r="AX17" s="114">
        <v>0</v>
      </c>
      <c r="AY17" s="114">
        <v>0</v>
      </c>
      <c r="AZ17" s="114">
        <v>0</v>
      </c>
      <c r="BA17" s="114">
        <v>0</v>
      </c>
      <c r="BB17" s="114">
        <v>0</v>
      </c>
      <c r="BC17" s="114">
        <v>0</v>
      </c>
      <c r="BD17" s="114">
        <v>0</v>
      </c>
      <c r="BE17" s="114">
        <v>0</v>
      </c>
      <c r="BF17" s="114">
        <v>0</v>
      </c>
    </row>
    <row r="18" spans="1:58" customFormat="1" x14ac:dyDescent="0.15">
      <c r="A18" s="192" t="s">
        <v>208</v>
      </c>
      <c r="B18" s="114">
        <v>0</v>
      </c>
      <c r="C18" s="114">
        <v>0</v>
      </c>
      <c r="D18" s="114">
        <v>0</v>
      </c>
      <c r="E18" s="114">
        <v>0</v>
      </c>
      <c r="F18" s="114">
        <v>0</v>
      </c>
      <c r="G18" s="114">
        <v>0</v>
      </c>
      <c r="H18" s="114">
        <v>0</v>
      </c>
      <c r="I18" s="114">
        <v>0</v>
      </c>
      <c r="J18" s="114">
        <v>0</v>
      </c>
      <c r="K18" s="114">
        <v>0</v>
      </c>
      <c r="L18" s="114">
        <v>0</v>
      </c>
      <c r="M18" s="114">
        <v>0</v>
      </c>
      <c r="N18" s="114">
        <v>0</v>
      </c>
      <c r="O18" s="114">
        <v>0</v>
      </c>
      <c r="P18" s="114">
        <v>0</v>
      </c>
      <c r="Q18" s="114">
        <v>0.8</v>
      </c>
      <c r="R18" s="114">
        <v>0</v>
      </c>
      <c r="S18" s="114">
        <v>0</v>
      </c>
      <c r="T18" s="114">
        <v>0</v>
      </c>
      <c r="U18" s="114">
        <v>0</v>
      </c>
      <c r="V18" s="114">
        <v>0</v>
      </c>
      <c r="W18" s="114">
        <v>0</v>
      </c>
      <c r="X18" s="114">
        <v>0</v>
      </c>
      <c r="Y18" s="114">
        <v>0</v>
      </c>
      <c r="Z18" s="114">
        <v>0</v>
      </c>
      <c r="AA18" s="114">
        <v>0</v>
      </c>
      <c r="AB18" s="114">
        <v>0</v>
      </c>
      <c r="AC18" s="114">
        <v>0</v>
      </c>
      <c r="AD18" s="114">
        <v>0</v>
      </c>
      <c r="AE18" s="114">
        <v>0</v>
      </c>
      <c r="AF18" s="114">
        <v>0</v>
      </c>
      <c r="AG18" s="114">
        <v>0</v>
      </c>
      <c r="AH18" s="114">
        <v>0</v>
      </c>
      <c r="AI18" s="114">
        <v>0</v>
      </c>
      <c r="AJ18" s="114">
        <v>0</v>
      </c>
      <c r="AK18" s="114">
        <v>0</v>
      </c>
      <c r="AL18" s="114">
        <v>0</v>
      </c>
      <c r="AM18" s="114">
        <v>0</v>
      </c>
      <c r="AN18" s="114">
        <v>0</v>
      </c>
      <c r="AO18" s="114">
        <v>0</v>
      </c>
      <c r="AP18" s="114">
        <v>0</v>
      </c>
      <c r="AQ18" s="114">
        <v>0</v>
      </c>
      <c r="AR18" s="114">
        <v>0</v>
      </c>
      <c r="AS18" s="114">
        <v>0</v>
      </c>
      <c r="AT18" s="114">
        <v>0</v>
      </c>
      <c r="AU18" s="114">
        <v>0</v>
      </c>
      <c r="AV18" s="114">
        <v>0</v>
      </c>
      <c r="AW18" s="114">
        <v>0</v>
      </c>
      <c r="AX18" s="114">
        <v>0</v>
      </c>
      <c r="AY18" s="114">
        <v>0</v>
      </c>
      <c r="AZ18" s="114">
        <v>0</v>
      </c>
      <c r="BA18" s="114">
        <v>0</v>
      </c>
      <c r="BB18" s="114">
        <v>0</v>
      </c>
      <c r="BC18" s="114">
        <v>0</v>
      </c>
      <c r="BD18" s="114">
        <v>0</v>
      </c>
      <c r="BE18" s="114">
        <v>0</v>
      </c>
      <c r="BF18" s="114">
        <v>0</v>
      </c>
    </row>
    <row r="19" spans="1:58" customFormat="1" x14ac:dyDescent="0.15">
      <c r="A19" s="192" t="s">
        <v>209</v>
      </c>
      <c r="B19" s="114">
        <v>0</v>
      </c>
      <c r="C19" s="114">
        <v>0</v>
      </c>
      <c r="D19" s="114">
        <v>0</v>
      </c>
      <c r="E19" s="114">
        <v>0</v>
      </c>
      <c r="F19" s="114">
        <v>0</v>
      </c>
      <c r="G19" s="114">
        <v>0</v>
      </c>
      <c r="H19" s="114">
        <v>0</v>
      </c>
      <c r="I19" s="114">
        <v>0</v>
      </c>
      <c r="J19" s="114">
        <v>0</v>
      </c>
      <c r="K19" s="114">
        <v>0</v>
      </c>
      <c r="L19" s="114">
        <v>0</v>
      </c>
      <c r="M19" s="114">
        <v>0</v>
      </c>
      <c r="N19" s="114">
        <v>0</v>
      </c>
      <c r="O19" s="114">
        <v>0</v>
      </c>
      <c r="P19" s="114">
        <v>0</v>
      </c>
      <c r="Q19" s="114">
        <v>0.8</v>
      </c>
      <c r="R19" s="114">
        <v>0</v>
      </c>
      <c r="S19" s="114">
        <v>0</v>
      </c>
      <c r="T19" s="114">
        <v>0</v>
      </c>
      <c r="U19" s="114">
        <v>0</v>
      </c>
      <c r="V19" s="114">
        <v>0</v>
      </c>
      <c r="W19" s="114">
        <v>0</v>
      </c>
      <c r="X19" s="114">
        <v>0</v>
      </c>
      <c r="Y19" s="114">
        <v>0</v>
      </c>
      <c r="Z19" s="114">
        <v>0</v>
      </c>
      <c r="AA19" s="114">
        <v>0</v>
      </c>
      <c r="AB19" s="114">
        <v>0</v>
      </c>
      <c r="AC19" s="114">
        <v>0</v>
      </c>
      <c r="AD19" s="114">
        <v>0</v>
      </c>
      <c r="AE19" s="114">
        <v>0</v>
      </c>
      <c r="AF19" s="114">
        <v>0</v>
      </c>
      <c r="AG19" s="114">
        <v>0</v>
      </c>
      <c r="AH19" s="114">
        <v>0</v>
      </c>
      <c r="AI19" s="114">
        <v>0</v>
      </c>
      <c r="AJ19" s="114">
        <v>0</v>
      </c>
      <c r="AK19" s="114">
        <v>0</v>
      </c>
      <c r="AL19" s="114">
        <v>0</v>
      </c>
      <c r="AM19" s="114">
        <v>0</v>
      </c>
      <c r="AN19" s="114">
        <v>0</v>
      </c>
      <c r="AO19" s="114">
        <v>0</v>
      </c>
      <c r="AP19" s="114">
        <v>0</v>
      </c>
      <c r="AQ19" s="114">
        <v>0</v>
      </c>
      <c r="AR19" s="114">
        <v>0</v>
      </c>
      <c r="AS19" s="114">
        <v>0</v>
      </c>
      <c r="AT19" s="114">
        <v>0</v>
      </c>
      <c r="AU19" s="114">
        <v>0</v>
      </c>
      <c r="AV19" s="114">
        <v>0</v>
      </c>
      <c r="AW19" s="114">
        <v>0</v>
      </c>
      <c r="AX19" s="114">
        <v>0</v>
      </c>
      <c r="AY19" s="114">
        <v>0</v>
      </c>
      <c r="AZ19" s="114">
        <v>0</v>
      </c>
      <c r="BA19" s="114">
        <v>0</v>
      </c>
      <c r="BB19" s="114">
        <v>0</v>
      </c>
      <c r="BC19" s="114">
        <v>0</v>
      </c>
      <c r="BD19" s="114">
        <v>0</v>
      </c>
      <c r="BE19" s="114">
        <v>0</v>
      </c>
      <c r="BF19" s="114">
        <v>0</v>
      </c>
    </row>
    <row r="20" spans="1:58" customFormat="1" x14ac:dyDescent="0.15">
      <c r="A20" s="192" t="s">
        <v>210</v>
      </c>
      <c r="B20" s="114">
        <v>0</v>
      </c>
      <c r="C20" s="114">
        <v>0</v>
      </c>
      <c r="D20" s="114">
        <v>0</v>
      </c>
      <c r="E20" s="114">
        <v>0</v>
      </c>
      <c r="F20" s="114">
        <v>0</v>
      </c>
      <c r="G20" s="114">
        <v>0</v>
      </c>
      <c r="H20" s="114">
        <v>0</v>
      </c>
      <c r="I20" s="114">
        <v>0</v>
      </c>
      <c r="J20" s="114">
        <v>0</v>
      </c>
      <c r="K20" s="114">
        <v>0</v>
      </c>
      <c r="L20" s="114">
        <v>0</v>
      </c>
      <c r="M20" s="114">
        <v>0</v>
      </c>
      <c r="N20" s="114">
        <v>0</v>
      </c>
      <c r="O20" s="114">
        <v>0</v>
      </c>
      <c r="P20" s="114">
        <v>0</v>
      </c>
      <c r="Q20" s="114">
        <v>0.8</v>
      </c>
      <c r="R20" s="114">
        <v>0</v>
      </c>
      <c r="S20" s="114">
        <v>0</v>
      </c>
      <c r="T20" s="114">
        <v>0</v>
      </c>
      <c r="U20" s="114">
        <v>0</v>
      </c>
      <c r="V20" s="114">
        <v>0</v>
      </c>
      <c r="W20" s="114">
        <v>0</v>
      </c>
      <c r="X20" s="114">
        <v>0</v>
      </c>
      <c r="Y20" s="114">
        <v>0</v>
      </c>
      <c r="Z20" s="114">
        <v>0</v>
      </c>
      <c r="AA20" s="114">
        <v>0</v>
      </c>
      <c r="AB20" s="114">
        <v>0</v>
      </c>
      <c r="AC20" s="114">
        <v>0</v>
      </c>
      <c r="AD20" s="114">
        <v>0</v>
      </c>
      <c r="AE20" s="114">
        <v>0</v>
      </c>
      <c r="AF20" s="114">
        <v>0</v>
      </c>
      <c r="AG20" s="114">
        <v>0</v>
      </c>
      <c r="AH20" s="114">
        <v>0</v>
      </c>
      <c r="AI20" s="114">
        <v>0</v>
      </c>
      <c r="AJ20" s="114">
        <v>0</v>
      </c>
      <c r="AK20" s="114">
        <v>0</v>
      </c>
      <c r="AL20" s="114">
        <v>0</v>
      </c>
      <c r="AM20" s="114">
        <v>0</v>
      </c>
      <c r="AN20" s="114">
        <v>0</v>
      </c>
      <c r="AO20" s="114">
        <v>0</v>
      </c>
      <c r="AP20" s="114">
        <v>0</v>
      </c>
      <c r="AQ20" s="114">
        <v>0</v>
      </c>
      <c r="AR20" s="114">
        <v>0</v>
      </c>
      <c r="AS20" s="114">
        <v>0</v>
      </c>
      <c r="AT20" s="114">
        <v>0</v>
      </c>
      <c r="AU20" s="114">
        <v>0</v>
      </c>
      <c r="AV20" s="114">
        <v>0</v>
      </c>
      <c r="AW20" s="114">
        <v>0</v>
      </c>
      <c r="AX20" s="114">
        <v>0</v>
      </c>
      <c r="AY20" s="114">
        <v>0</v>
      </c>
      <c r="AZ20" s="114">
        <v>0</v>
      </c>
      <c r="BA20" s="114">
        <v>0</v>
      </c>
      <c r="BB20" s="114">
        <v>0</v>
      </c>
      <c r="BC20" s="114">
        <v>0</v>
      </c>
      <c r="BD20" s="114">
        <v>0</v>
      </c>
      <c r="BE20" s="114">
        <v>0</v>
      </c>
      <c r="BF20" s="114">
        <v>0</v>
      </c>
    </row>
    <row r="21" spans="1:58" customFormat="1" x14ac:dyDescent="0.15">
      <c r="A21" s="192" t="s">
        <v>211</v>
      </c>
      <c r="B21" s="114">
        <v>0</v>
      </c>
      <c r="C21" s="114">
        <v>0</v>
      </c>
      <c r="D21" s="114">
        <v>0</v>
      </c>
      <c r="E21" s="114">
        <v>0</v>
      </c>
      <c r="F21" s="114">
        <v>0</v>
      </c>
      <c r="G21" s="114">
        <v>0</v>
      </c>
      <c r="H21" s="114">
        <v>0</v>
      </c>
      <c r="I21" s="114">
        <v>0</v>
      </c>
      <c r="J21" s="114">
        <v>0</v>
      </c>
      <c r="K21" s="114">
        <v>0</v>
      </c>
      <c r="L21" s="114">
        <v>0</v>
      </c>
      <c r="M21" s="114">
        <v>0</v>
      </c>
      <c r="N21" s="114">
        <v>0</v>
      </c>
      <c r="O21" s="114">
        <v>0</v>
      </c>
      <c r="P21" s="114">
        <v>0</v>
      </c>
      <c r="Q21" s="114">
        <v>0</v>
      </c>
      <c r="R21" s="114">
        <v>0</v>
      </c>
      <c r="S21" s="114">
        <v>0</v>
      </c>
      <c r="T21" s="114">
        <v>0</v>
      </c>
      <c r="U21" s="114">
        <v>0</v>
      </c>
      <c r="V21" s="114">
        <v>0</v>
      </c>
      <c r="W21" s="114">
        <v>0</v>
      </c>
      <c r="X21" s="114">
        <v>0</v>
      </c>
      <c r="Y21" s="114">
        <v>0</v>
      </c>
      <c r="Z21" s="114">
        <v>0</v>
      </c>
      <c r="AA21" s="114">
        <v>0</v>
      </c>
      <c r="AB21" s="114">
        <v>0</v>
      </c>
      <c r="AC21" s="114">
        <v>0</v>
      </c>
      <c r="AD21" s="114">
        <v>0</v>
      </c>
      <c r="AE21" s="114">
        <v>0</v>
      </c>
      <c r="AF21" s="114">
        <v>0</v>
      </c>
      <c r="AG21" s="114">
        <v>0</v>
      </c>
      <c r="AH21" s="114">
        <v>0</v>
      </c>
      <c r="AI21" s="114">
        <v>0</v>
      </c>
      <c r="AJ21" s="114">
        <v>0</v>
      </c>
      <c r="AK21" s="114">
        <v>0</v>
      </c>
      <c r="AL21" s="114">
        <v>0</v>
      </c>
      <c r="AM21" s="114">
        <v>0</v>
      </c>
      <c r="AN21" s="114">
        <v>0</v>
      </c>
      <c r="AO21" s="114">
        <v>0</v>
      </c>
      <c r="AP21" s="114">
        <v>0</v>
      </c>
      <c r="AQ21" s="114">
        <v>0</v>
      </c>
      <c r="AR21" s="114">
        <v>0</v>
      </c>
      <c r="AS21" s="114">
        <v>0</v>
      </c>
      <c r="AT21" s="114">
        <v>0</v>
      </c>
      <c r="AU21" s="114">
        <v>0</v>
      </c>
      <c r="AV21" s="114">
        <v>0</v>
      </c>
      <c r="AW21" s="114">
        <v>0</v>
      </c>
      <c r="AX21" s="114">
        <v>0</v>
      </c>
      <c r="AY21" s="114">
        <v>0</v>
      </c>
      <c r="AZ21" s="114">
        <v>0</v>
      </c>
      <c r="BA21" s="114">
        <v>0</v>
      </c>
      <c r="BB21" s="114">
        <v>0</v>
      </c>
      <c r="BC21" s="114">
        <v>0</v>
      </c>
      <c r="BD21" s="114">
        <v>0</v>
      </c>
      <c r="BE21" s="114">
        <v>0</v>
      </c>
      <c r="BF21" s="114">
        <v>0</v>
      </c>
    </row>
    <row r="22" spans="1:58" customFormat="1" x14ac:dyDescent="0.15">
      <c r="A22" s="192" t="s">
        <v>212</v>
      </c>
      <c r="B22" s="114">
        <v>0</v>
      </c>
      <c r="C22" s="114">
        <v>0</v>
      </c>
      <c r="D22" s="114">
        <v>0</v>
      </c>
      <c r="E22" s="114">
        <v>0</v>
      </c>
      <c r="F22" s="114">
        <v>0</v>
      </c>
      <c r="G22" s="114">
        <v>0</v>
      </c>
      <c r="H22" s="114">
        <v>0</v>
      </c>
      <c r="I22" s="114">
        <v>0</v>
      </c>
      <c r="J22" s="114">
        <v>0</v>
      </c>
      <c r="K22" s="114">
        <v>0</v>
      </c>
      <c r="L22" s="114">
        <v>0</v>
      </c>
      <c r="M22" s="114">
        <v>0</v>
      </c>
      <c r="N22" s="114">
        <v>0</v>
      </c>
      <c r="O22" s="114">
        <v>0</v>
      </c>
      <c r="P22" s="114">
        <v>0</v>
      </c>
      <c r="Q22" s="114">
        <v>0</v>
      </c>
      <c r="R22" s="114">
        <v>0</v>
      </c>
      <c r="S22" s="114">
        <v>0</v>
      </c>
      <c r="T22" s="114">
        <v>0</v>
      </c>
      <c r="U22" s="114">
        <v>0</v>
      </c>
      <c r="V22" s="114">
        <v>0</v>
      </c>
      <c r="W22" s="114">
        <v>0</v>
      </c>
      <c r="X22" s="114">
        <v>0</v>
      </c>
      <c r="Y22" s="114">
        <v>0</v>
      </c>
      <c r="Z22" s="114">
        <v>0</v>
      </c>
      <c r="AA22" s="114">
        <v>0</v>
      </c>
      <c r="AB22" s="114">
        <v>0</v>
      </c>
      <c r="AC22" s="114">
        <v>0</v>
      </c>
      <c r="AD22" s="114">
        <v>0</v>
      </c>
      <c r="AE22" s="114">
        <v>0</v>
      </c>
      <c r="AF22" s="114">
        <v>0</v>
      </c>
      <c r="AG22" s="114">
        <v>0</v>
      </c>
      <c r="AH22" s="114">
        <v>0</v>
      </c>
      <c r="AI22" s="114">
        <v>0</v>
      </c>
      <c r="AJ22" s="114">
        <v>0</v>
      </c>
      <c r="AK22" s="114">
        <v>0</v>
      </c>
      <c r="AL22" s="114">
        <v>0</v>
      </c>
      <c r="AM22" s="114">
        <v>0</v>
      </c>
      <c r="AN22" s="114">
        <v>0</v>
      </c>
      <c r="AO22" s="114">
        <v>0</v>
      </c>
      <c r="AP22" s="114">
        <v>0</v>
      </c>
      <c r="AQ22" s="114">
        <v>0</v>
      </c>
      <c r="AR22" s="114">
        <v>0</v>
      </c>
      <c r="AS22" s="114">
        <v>0</v>
      </c>
      <c r="AT22" s="114">
        <v>0</v>
      </c>
      <c r="AU22" s="114">
        <v>0</v>
      </c>
      <c r="AV22" s="114">
        <v>0</v>
      </c>
      <c r="AW22" s="114">
        <v>0</v>
      </c>
      <c r="AX22" s="114">
        <v>0</v>
      </c>
      <c r="AY22" s="114">
        <v>0</v>
      </c>
      <c r="AZ22" s="114">
        <v>0</v>
      </c>
      <c r="BA22" s="114">
        <v>0</v>
      </c>
      <c r="BB22" s="114">
        <v>0</v>
      </c>
      <c r="BC22" s="114">
        <v>0</v>
      </c>
      <c r="BD22" s="114">
        <v>0</v>
      </c>
      <c r="BE22" s="114">
        <v>0</v>
      </c>
      <c r="BF22" s="114">
        <v>0</v>
      </c>
    </row>
    <row r="23" spans="1:58" customFormat="1" x14ac:dyDescent="0.15">
      <c r="A23" s="192" t="s">
        <v>213</v>
      </c>
      <c r="B23" s="114">
        <v>0</v>
      </c>
      <c r="C23" s="114">
        <v>0</v>
      </c>
      <c r="D23" s="114">
        <v>0</v>
      </c>
      <c r="E23" s="114">
        <v>0</v>
      </c>
      <c r="F23" s="114">
        <v>0</v>
      </c>
      <c r="G23" s="114">
        <v>0</v>
      </c>
      <c r="H23" s="114">
        <v>0</v>
      </c>
      <c r="I23" s="114">
        <v>0</v>
      </c>
      <c r="J23" s="114">
        <v>0</v>
      </c>
      <c r="K23" s="114">
        <v>0</v>
      </c>
      <c r="L23" s="114">
        <v>0</v>
      </c>
      <c r="M23" s="114">
        <v>0</v>
      </c>
      <c r="N23" s="114">
        <v>0</v>
      </c>
      <c r="O23" s="114">
        <v>0</v>
      </c>
      <c r="P23" s="114">
        <v>0</v>
      </c>
      <c r="Q23" s="114">
        <v>0.8</v>
      </c>
      <c r="R23" s="114">
        <v>0</v>
      </c>
      <c r="S23" s="114">
        <v>0</v>
      </c>
      <c r="T23" s="114">
        <v>0</v>
      </c>
      <c r="U23" s="114">
        <v>0.8</v>
      </c>
      <c r="V23" s="114">
        <v>0</v>
      </c>
      <c r="W23" s="114">
        <v>0</v>
      </c>
      <c r="X23" s="114">
        <v>0</v>
      </c>
      <c r="Y23" s="114">
        <v>0</v>
      </c>
      <c r="Z23" s="114">
        <v>0</v>
      </c>
      <c r="AA23" s="114">
        <v>0</v>
      </c>
      <c r="AB23" s="114">
        <v>0</v>
      </c>
      <c r="AC23" s="114">
        <v>0</v>
      </c>
      <c r="AD23" s="114">
        <v>0</v>
      </c>
      <c r="AE23" s="114">
        <v>0</v>
      </c>
      <c r="AF23" s="114">
        <v>0</v>
      </c>
      <c r="AG23" s="114">
        <v>0</v>
      </c>
      <c r="AH23" s="114">
        <v>0</v>
      </c>
      <c r="AI23" s="114">
        <v>0</v>
      </c>
      <c r="AJ23" s="114">
        <v>0</v>
      </c>
      <c r="AK23" s="114">
        <v>0</v>
      </c>
      <c r="AL23" s="114">
        <v>0</v>
      </c>
      <c r="AM23" s="114">
        <v>0</v>
      </c>
      <c r="AN23" s="114">
        <v>0</v>
      </c>
      <c r="AO23" s="114">
        <v>0</v>
      </c>
      <c r="AP23" s="114">
        <v>0</v>
      </c>
      <c r="AQ23" s="114">
        <v>0</v>
      </c>
      <c r="AR23" s="114">
        <v>0</v>
      </c>
      <c r="AS23" s="114">
        <v>0</v>
      </c>
      <c r="AT23" s="114">
        <v>0</v>
      </c>
      <c r="AU23" s="114">
        <v>0</v>
      </c>
      <c r="AV23" s="114">
        <v>0</v>
      </c>
      <c r="AW23" s="114">
        <v>0</v>
      </c>
      <c r="AX23" s="114">
        <v>0</v>
      </c>
      <c r="AY23" s="114">
        <v>0</v>
      </c>
      <c r="AZ23" s="114">
        <v>0</v>
      </c>
      <c r="BA23" s="114">
        <v>0</v>
      </c>
      <c r="BB23" s="114">
        <v>0</v>
      </c>
      <c r="BC23" s="114">
        <v>0</v>
      </c>
      <c r="BD23" s="114">
        <v>0</v>
      </c>
      <c r="BE23" s="114">
        <v>0</v>
      </c>
      <c r="BF23" s="114">
        <v>0</v>
      </c>
    </row>
    <row r="24" spans="1:58" customFormat="1" x14ac:dyDescent="0.15">
      <c r="A24" s="192" t="s">
        <v>214</v>
      </c>
      <c r="B24" s="114">
        <v>0</v>
      </c>
      <c r="C24" s="114">
        <v>0.8</v>
      </c>
      <c r="D24" s="114">
        <v>0</v>
      </c>
      <c r="E24" s="114">
        <v>0</v>
      </c>
      <c r="F24" s="114">
        <v>0</v>
      </c>
      <c r="G24" s="114">
        <v>0.8</v>
      </c>
      <c r="H24" s="114">
        <v>0</v>
      </c>
      <c r="I24" s="114">
        <v>0</v>
      </c>
      <c r="J24" s="114">
        <v>0</v>
      </c>
      <c r="K24" s="114">
        <v>0</v>
      </c>
      <c r="L24" s="114">
        <v>0</v>
      </c>
      <c r="M24" s="114">
        <v>0</v>
      </c>
      <c r="N24" s="114">
        <v>0</v>
      </c>
      <c r="O24" s="114">
        <v>0</v>
      </c>
      <c r="P24" s="114">
        <v>0</v>
      </c>
      <c r="Q24" s="114">
        <v>0</v>
      </c>
      <c r="R24" s="114">
        <v>0</v>
      </c>
      <c r="S24" s="114">
        <v>0.8</v>
      </c>
      <c r="T24" s="114">
        <v>0</v>
      </c>
      <c r="U24" s="114">
        <v>0</v>
      </c>
      <c r="V24" s="114">
        <v>0</v>
      </c>
      <c r="W24" s="114">
        <v>0.8</v>
      </c>
      <c r="X24" s="114">
        <v>0</v>
      </c>
      <c r="Y24" s="114">
        <v>0</v>
      </c>
      <c r="Z24" s="114">
        <v>0</v>
      </c>
      <c r="AA24" s="114">
        <v>0</v>
      </c>
      <c r="AB24" s="114">
        <v>0</v>
      </c>
      <c r="AC24" s="114">
        <v>0</v>
      </c>
      <c r="AD24" s="114">
        <v>0</v>
      </c>
      <c r="AE24" s="114">
        <v>0</v>
      </c>
      <c r="AF24" s="114">
        <v>0</v>
      </c>
      <c r="AG24" s="114">
        <v>0</v>
      </c>
      <c r="AH24" s="114">
        <v>0</v>
      </c>
      <c r="AI24" s="114">
        <v>0</v>
      </c>
      <c r="AJ24" s="114">
        <v>0</v>
      </c>
      <c r="AK24" s="114">
        <v>0</v>
      </c>
      <c r="AL24" s="114">
        <v>0</v>
      </c>
      <c r="AM24" s="114">
        <v>0</v>
      </c>
      <c r="AN24" s="114">
        <v>0</v>
      </c>
      <c r="AO24" s="114">
        <v>0</v>
      </c>
      <c r="AP24" s="114">
        <v>0</v>
      </c>
      <c r="AQ24" s="114">
        <v>0</v>
      </c>
      <c r="AR24" s="114">
        <v>0</v>
      </c>
      <c r="AS24" s="114">
        <v>0</v>
      </c>
      <c r="AT24" s="114">
        <v>0</v>
      </c>
      <c r="AU24" s="114">
        <v>0</v>
      </c>
      <c r="AV24" s="114">
        <v>0</v>
      </c>
      <c r="AW24" s="114">
        <v>0</v>
      </c>
      <c r="AX24" s="114">
        <v>0</v>
      </c>
      <c r="AY24" s="114">
        <v>0</v>
      </c>
      <c r="AZ24" s="114">
        <v>0</v>
      </c>
      <c r="BA24" s="114">
        <v>0</v>
      </c>
      <c r="BB24" s="114">
        <v>0</v>
      </c>
      <c r="BC24" s="114">
        <v>0</v>
      </c>
      <c r="BD24" s="114">
        <v>0</v>
      </c>
      <c r="BE24" s="114">
        <v>0</v>
      </c>
      <c r="BF24" s="114">
        <v>0</v>
      </c>
    </row>
    <row r="25" spans="1:58" customFormat="1" x14ac:dyDescent="0.15">
      <c r="A25" s="192" t="s">
        <v>215</v>
      </c>
      <c r="B25" s="114">
        <v>0</v>
      </c>
      <c r="C25" s="114">
        <v>0.8</v>
      </c>
      <c r="D25" s="114">
        <v>0</v>
      </c>
      <c r="E25" s="114">
        <v>0</v>
      </c>
      <c r="F25" s="114">
        <v>0.8</v>
      </c>
      <c r="G25" s="114">
        <v>0</v>
      </c>
      <c r="H25" s="114">
        <v>0</v>
      </c>
      <c r="I25" s="114">
        <v>0</v>
      </c>
      <c r="J25" s="114">
        <v>0</v>
      </c>
      <c r="K25" s="114">
        <v>0</v>
      </c>
      <c r="L25" s="114">
        <v>0</v>
      </c>
      <c r="M25" s="114">
        <v>0</v>
      </c>
      <c r="N25" s="114">
        <v>0</v>
      </c>
      <c r="O25" s="114">
        <v>0</v>
      </c>
      <c r="P25" s="114">
        <v>0</v>
      </c>
      <c r="Q25" s="114">
        <v>0.8</v>
      </c>
      <c r="R25" s="114">
        <v>0</v>
      </c>
      <c r="S25" s="114">
        <v>0.8</v>
      </c>
      <c r="T25" s="114">
        <v>0.8</v>
      </c>
      <c r="U25" s="114">
        <v>0.8</v>
      </c>
      <c r="V25" s="114">
        <v>0.8</v>
      </c>
      <c r="W25" s="114">
        <v>0</v>
      </c>
      <c r="X25" s="114">
        <v>0</v>
      </c>
      <c r="Y25" s="114">
        <v>0</v>
      </c>
      <c r="Z25" s="114">
        <v>0</v>
      </c>
      <c r="AA25" s="114">
        <v>0</v>
      </c>
      <c r="AB25" s="114">
        <v>0</v>
      </c>
      <c r="AC25" s="114">
        <v>0</v>
      </c>
      <c r="AD25" s="114">
        <v>0</v>
      </c>
      <c r="AE25" s="114">
        <v>0</v>
      </c>
      <c r="AF25" s="114">
        <v>0</v>
      </c>
      <c r="AG25" s="114">
        <v>0</v>
      </c>
      <c r="AH25" s="114">
        <v>0</v>
      </c>
      <c r="AI25" s="114">
        <v>0</v>
      </c>
      <c r="AJ25" s="114">
        <v>0</v>
      </c>
      <c r="AK25" s="114">
        <v>0</v>
      </c>
      <c r="AL25" s="114">
        <v>0</v>
      </c>
      <c r="AM25" s="114">
        <v>0</v>
      </c>
      <c r="AN25" s="114">
        <v>0</v>
      </c>
      <c r="AO25" s="114">
        <v>0</v>
      </c>
      <c r="AP25" s="114">
        <v>0</v>
      </c>
      <c r="AQ25" s="114">
        <v>0</v>
      </c>
      <c r="AR25" s="114">
        <v>0</v>
      </c>
      <c r="AS25" s="114">
        <v>0</v>
      </c>
      <c r="AT25" s="114">
        <v>0</v>
      </c>
      <c r="AU25" s="114">
        <v>0</v>
      </c>
      <c r="AV25" s="114">
        <v>0</v>
      </c>
      <c r="AW25" s="114">
        <v>0</v>
      </c>
      <c r="AX25" s="114">
        <v>0</v>
      </c>
      <c r="AY25" s="114">
        <v>0</v>
      </c>
      <c r="AZ25" s="114">
        <v>0</v>
      </c>
      <c r="BA25" s="114">
        <v>0</v>
      </c>
      <c r="BB25" s="114">
        <v>0</v>
      </c>
      <c r="BC25" s="114">
        <v>0</v>
      </c>
      <c r="BD25" s="114">
        <v>0</v>
      </c>
      <c r="BE25" s="114">
        <v>0</v>
      </c>
      <c r="BF25" s="114">
        <v>0</v>
      </c>
    </row>
    <row r="26" spans="1:58" customFormat="1" x14ac:dyDescent="0.15">
      <c r="A26" s="192" t="s">
        <v>216</v>
      </c>
      <c r="B26" s="114">
        <v>0</v>
      </c>
      <c r="C26" s="114">
        <v>0.8</v>
      </c>
      <c r="D26" s="114">
        <v>0</v>
      </c>
      <c r="E26" s="114">
        <v>0</v>
      </c>
      <c r="F26" s="114">
        <v>0.8</v>
      </c>
      <c r="G26" s="114">
        <v>0</v>
      </c>
      <c r="H26" s="114">
        <v>0</v>
      </c>
      <c r="I26" s="114">
        <v>0</v>
      </c>
      <c r="J26" s="114">
        <v>0</v>
      </c>
      <c r="K26" s="114">
        <v>0</v>
      </c>
      <c r="L26" s="114">
        <v>0</v>
      </c>
      <c r="M26" s="114">
        <v>0</v>
      </c>
      <c r="N26" s="114">
        <v>0</v>
      </c>
      <c r="O26" s="114">
        <v>0</v>
      </c>
      <c r="P26" s="114">
        <v>0</v>
      </c>
      <c r="Q26" s="114">
        <v>0.8</v>
      </c>
      <c r="R26" s="114">
        <v>0</v>
      </c>
      <c r="S26" s="114">
        <v>0.8</v>
      </c>
      <c r="T26" s="114">
        <v>0.8</v>
      </c>
      <c r="U26" s="114">
        <v>0.8</v>
      </c>
      <c r="V26" s="114">
        <v>0.8</v>
      </c>
      <c r="W26" s="114">
        <v>0</v>
      </c>
      <c r="X26" s="114">
        <v>0</v>
      </c>
      <c r="Y26" s="114">
        <v>0</v>
      </c>
      <c r="Z26" s="114">
        <v>0</v>
      </c>
      <c r="AA26" s="114">
        <v>0</v>
      </c>
      <c r="AB26" s="114">
        <v>0</v>
      </c>
      <c r="AC26" s="114">
        <v>0</v>
      </c>
      <c r="AD26" s="114">
        <v>0</v>
      </c>
      <c r="AE26" s="114">
        <v>0</v>
      </c>
      <c r="AF26" s="114">
        <v>0</v>
      </c>
      <c r="AG26" s="114">
        <v>0</v>
      </c>
      <c r="AH26" s="114">
        <v>0</v>
      </c>
      <c r="AI26" s="114">
        <v>0</v>
      </c>
      <c r="AJ26" s="114">
        <v>0</v>
      </c>
      <c r="AK26" s="114">
        <v>0</v>
      </c>
      <c r="AL26" s="114">
        <v>0</v>
      </c>
      <c r="AM26" s="114">
        <v>0</v>
      </c>
      <c r="AN26" s="114">
        <v>0</v>
      </c>
      <c r="AO26" s="114">
        <v>0</v>
      </c>
      <c r="AP26" s="114">
        <v>0</v>
      </c>
      <c r="AQ26" s="114">
        <v>0</v>
      </c>
      <c r="AR26" s="114">
        <v>0</v>
      </c>
      <c r="AS26" s="114">
        <v>0</v>
      </c>
      <c r="AT26" s="114">
        <v>0</v>
      </c>
      <c r="AU26" s="114">
        <v>0</v>
      </c>
      <c r="AV26" s="114">
        <v>0</v>
      </c>
      <c r="AW26" s="114">
        <v>0</v>
      </c>
      <c r="AX26" s="114">
        <v>0</v>
      </c>
      <c r="AY26" s="114">
        <v>0</v>
      </c>
      <c r="AZ26" s="114">
        <v>0</v>
      </c>
      <c r="BA26" s="114">
        <v>0</v>
      </c>
      <c r="BB26" s="114">
        <v>0</v>
      </c>
      <c r="BC26" s="114">
        <v>0</v>
      </c>
      <c r="BD26" s="114">
        <v>0</v>
      </c>
      <c r="BE26" s="114">
        <v>0</v>
      </c>
      <c r="BF26" s="114">
        <v>0</v>
      </c>
    </row>
    <row r="27" spans="1:58" customFormat="1" x14ac:dyDescent="0.15">
      <c r="A27" s="192" t="s">
        <v>217</v>
      </c>
      <c r="B27" s="114">
        <v>0</v>
      </c>
      <c r="C27" s="114">
        <v>0.8</v>
      </c>
      <c r="D27" s="114">
        <v>0</v>
      </c>
      <c r="E27" s="114">
        <v>0</v>
      </c>
      <c r="F27" s="114">
        <v>0</v>
      </c>
      <c r="G27" s="114">
        <v>0</v>
      </c>
      <c r="H27" s="114">
        <v>0</v>
      </c>
      <c r="I27" s="114">
        <v>0</v>
      </c>
      <c r="J27" s="114">
        <v>0</v>
      </c>
      <c r="K27" s="114">
        <v>0</v>
      </c>
      <c r="L27" s="114">
        <v>0</v>
      </c>
      <c r="M27" s="114">
        <v>0</v>
      </c>
      <c r="N27" s="114">
        <v>0</v>
      </c>
      <c r="O27" s="114">
        <v>0</v>
      </c>
      <c r="P27" s="114">
        <v>0</v>
      </c>
      <c r="Q27" s="114">
        <v>0.8</v>
      </c>
      <c r="R27" s="114">
        <v>0</v>
      </c>
      <c r="S27" s="114">
        <v>0.8</v>
      </c>
      <c r="T27" s="114">
        <v>0.8</v>
      </c>
      <c r="U27" s="114">
        <v>0.8</v>
      </c>
      <c r="V27" s="114">
        <v>0.8</v>
      </c>
      <c r="W27" s="114">
        <v>0</v>
      </c>
      <c r="X27" s="114">
        <v>0</v>
      </c>
      <c r="Y27" s="114">
        <v>0</v>
      </c>
      <c r="Z27" s="114">
        <v>0</v>
      </c>
      <c r="AA27" s="114">
        <v>0</v>
      </c>
      <c r="AB27" s="114">
        <v>0</v>
      </c>
      <c r="AC27" s="114">
        <v>0</v>
      </c>
      <c r="AD27" s="114">
        <v>0</v>
      </c>
      <c r="AE27" s="114">
        <v>0</v>
      </c>
      <c r="AF27" s="114">
        <v>0</v>
      </c>
      <c r="AG27" s="114">
        <v>0</v>
      </c>
      <c r="AH27" s="114">
        <v>0</v>
      </c>
      <c r="AI27" s="114">
        <v>0</v>
      </c>
      <c r="AJ27" s="114">
        <v>0</v>
      </c>
      <c r="AK27" s="114">
        <v>0</v>
      </c>
      <c r="AL27" s="114">
        <v>0</v>
      </c>
      <c r="AM27" s="114">
        <v>0</v>
      </c>
      <c r="AN27" s="114">
        <v>0</v>
      </c>
      <c r="AO27" s="114">
        <v>0</v>
      </c>
      <c r="AP27" s="114">
        <v>0</v>
      </c>
      <c r="AQ27" s="114">
        <v>0</v>
      </c>
      <c r="AR27" s="114">
        <v>0</v>
      </c>
      <c r="AS27" s="114">
        <v>0</v>
      </c>
      <c r="AT27" s="114">
        <v>0</v>
      </c>
      <c r="AU27" s="114">
        <v>0</v>
      </c>
      <c r="AV27" s="114">
        <v>0</v>
      </c>
      <c r="AW27" s="114">
        <v>0</v>
      </c>
      <c r="AX27" s="114">
        <v>0</v>
      </c>
      <c r="AY27" s="114">
        <v>0</v>
      </c>
      <c r="AZ27" s="114">
        <v>0</v>
      </c>
      <c r="BA27" s="114">
        <v>0</v>
      </c>
      <c r="BB27" s="114">
        <v>0</v>
      </c>
      <c r="BC27" s="114">
        <v>0</v>
      </c>
      <c r="BD27" s="114">
        <v>0</v>
      </c>
      <c r="BE27" s="114">
        <v>0</v>
      </c>
      <c r="BF27" s="114">
        <v>0</v>
      </c>
    </row>
    <row r="28" spans="1:58" customFormat="1" x14ac:dyDescent="0.15">
      <c r="A28" s="192" t="s">
        <v>218</v>
      </c>
      <c r="B28" s="114">
        <v>0</v>
      </c>
      <c r="C28" s="114">
        <v>0</v>
      </c>
      <c r="D28" s="114">
        <v>0</v>
      </c>
      <c r="E28" s="114">
        <v>0</v>
      </c>
      <c r="F28" s="114">
        <v>0</v>
      </c>
      <c r="G28" s="114">
        <v>0</v>
      </c>
      <c r="H28" s="114">
        <v>0</v>
      </c>
      <c r="I28" s="114">
        <v>0</v>
      </c>
      <c r="J28" s="114">
        <v>0</v>
      </c>
      <c r="K28" s="114">
        <v>0</v>
      </c>
      <c r="L28" s="114">
        <v>0</v>
      </c>
      <c r="M28" s="114">
        <v>0</v>
      </c>
      <c r="N28" s="114">
        <v>0</v>
      </c>
      <c r="O28" s="114">
        <v>0</v>
      </c>
      <c r="P28" s="114">
        <v>0</v>
      </c>
      <c r="Q28" s="114">
        <v>0.8</v>
      </c>
      <c r="R28" s="114">
        <v>0</v>
      </c>
      <c r="S28" s="114">
        <v>0.8</v>
      </c>
      <c r="T28" s="114">
        <v>0.8</v>
      </c>
      <c r="U28" s="114">
        <v>0.8</v>
      </c>
      <c r="V28" s="114">
        <v>0.8</v>
      </c>
      <c r="W28" s="114">
        <v>0.8</v>
      </c>
      <c r="X28" s="114">
        <v>0</v>
      </c>
      <c r="Y28" s="114">
        <v>0</v>
      </c>
      <c r="Z28" s="114">
        <v>0</v>
      </c>
      <c r="AA28" s="114">
        <v>0</v>
      </c>
      <c r="AB28" s="114">
        <v>0</v>
      </c>
      <c r="AC28" s="114">
        <v>0</v>
      </c>
      <c r="AD28" s="114">
        <v>0</v>
      </c>
      <c r="AE28" s="114">
        <v>0</v>
      </c>
      <c r="AF28" s="114">
        <v>0</v>
      </c>
      <c r="AG28" s="114">
        <v>0</v>
      </c>
      <c r="AH28" s="114">
        <v>0</v>
      </c>
      <c r="AI28" s="114">
        <v>0</v>
      </c>
      <c r="AJ28" s="114">
        <v>0</v>
      </c>
      <c r="AK28" s="114">
        <v>0</v>
      </c>
      <c r="AL28" s="114">
        <v>0</v>
      </c>
      <c r="AM28" s="114">
        <v>0</v>
      </c>
      <c r="AN28" s="114">
        <v>0</v>
      </c>
      <c r="AO28" s="114">
        <v>0</v>
      </c>
      <c r="AP28" s="114">
        <v>0</v>
      </c>
      <c r="AQ28" s="114">
        <v>0</v>
      </c>
      <c r="AR28" s="114">
        <v>0</v>
      </c>
      <c r="AS28" s="114">
        <v>0</v>
      </c>
      <c r="AT28" s="114">
        <v>0</v>
      </c>
      <c r="AU28" s="114">
        <v>0</v>
      </c>
      <c r="AV28" s="114">
        <v>0</v>
      </c>
      <c r="AW28" s="114">
        <v>0</v>
      </c>
      <c r="AX28" s="114">
        <v>0</v>
      </c>
      <c r="AY28" s="114">
        <v>0</v>
      </c>
      <c r="AZ28" s="114">
        <v>0</v>
      </c>
      <c r="BA28" s="114">
        <v>0</v>
      </c>
      <c r="BB28" s="114">
        <v>0</v>
      </c>
      <c r="BC28" s="114">
        <v>0</v>
      </c>
      <c r="BD28" s="114">
        <v>0</v>
      </c>
      <c r="BE28" s="114">
        <v>0</v>
      </c>
      <c r="BF28" s="114">
        <v>0</v>
      </c>
    </row>
    <row r="29" spans="1:58" customFormat="1" x14ac:dyDescent="0.15">
      <c r="A29" s="192" t="s">
        <v>219</v>
      </c>
      <c r="B29" s="114">
        <v>0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  <c r="H29" s="114">
        <v>0</v>
      </c>
      <c r="I29" s="114">
        <v>0</v>
      </c>
      <c r="J29" s="114">
        <v>0</v>
      </c>
      <c r="K29" s="114">
        <v>0</v>
      </c>
      <c r="L29" s="114">
        <v>0</v>
      </c>
      <c r="M29" s="114">
        <v>0</v>
      </c>
      <c r="N29" s="114">
        <v>0</v>
      </c>
      <c r="O29" s="114">
        <v>0</v>
      </c>
      <c r="P29" s="114">
        <v>0</v>
      </c>
      <c r="Q29" s="114">
        <v>0.8</v>
      </c>
      <c r="R29" s="114">
        <v>0</v>
      </c>
      <c r="S29" s="114">
        <v>0.8</v>
      </c>
      <c r="T29" s="114">
        <v>0.8</v>
      </c>
      <c r="U29" s="114">
        <v>0.8</v>
      </c>
      <c r="V29" s="114">
        <v>0.8</v>
      </c>
      <c r="W29" s="114">
        <v>0.8</v>
      </c>
      <c r="X29" s="114">
        <v>0</v>
      </c>
      <c r="Y29" s="114">
        <v>0</v>
      </c>
      <c r="Z29" s="114">
        <v>0</v>
      </c>
      <c r="AA29" s="114">
        <v>0</v>
      </c>
      <c r="AB29" s="114">
        <v>0</v>
      </c>
      <c r="AC29" s="114">
        <v>0</v>
      </c>
      <c r="AD29" s="114">
        <v>0</v>
      </c>
      <c r="AE29" s="114">
        <v>0</v>
      </c>
      <c r="AF29" s="114">
        <v>0</v>
      </c>
      <c r="AG29" s="114">
        <v>0</v>
      </c>
      <c r="AH29" s="114">
        <v>0</v>
      </c>
      <c r="AI29" s="114">
        <v>0</v>
      </c>
      <c r="AJ29" s="114">
        <v>0</v>
      </c>
      <c r="AK29" s="114">
        <v>0</v>
      </c>
      <c r="AL29" s="114">
        <v>0</v>
      </c>
      <c r="AM29" s="114">
        <v>0</v>
      </c>
      <c r="AN29" s="114">
        <v>0</v>
      </c>
      <c r="AO29" s="114">
        <v>0</v>
      </c>
      <c r="AP29" s="114">
        <v>0</v>
      </c>
      <c r="AQ29" s="114">
        <v>0</v>
      </c>
      <c r="AR29" s="114">
        <v>0</v>
      </c>
      <c r="AS29" s="114">
        <v>0</v>
      </c>
      <c r="AT29" s="114">
        <v>0</v>
      </c>
      <c r="AU29" s="114">
        <v>0</v>
      </c>
      <c r="AV29" s="114">
        <v>0</v>
      </c>
      <c r="AW29" s="114">
        <v>0</v>
      </c>
      <c r="AX29" s="114">
        <v>0</v>
      </c>
      <c r="AY29" s="114">
        <v>0</v>
      </c>
      <c r="AZ29" s="114">
        <v>0</v>
      </c>
      <c r="BA29" s="114">
        <v>0</v>
      </c>
      <c r="BB29" s="114">
        <v>0</v>
      </c>
      <c r="BC29" s="114">
        <v>0</v>
      </c>
      <c r="BD29" s="114">
        <v>0</v>
      </c>
      <c r="BE29" s="114">
        <v>0</v>
      </c>
      <c r="BF29" s="114">
        <v>0</v>
      </c>
    </row>
    <row r="30" spans="1:58" customFormat="1" x14ac:dyDescent="0.15">
      <c r="A30" s="192" t="s">
        <v>220</v>
      </c>
      <c r="B30" s="114">
        <v>0</v>
      </c>
      <c r="C30" s="114">
        <v>0</v>
      </c>
      <c r="D30" s="114">
        <v>0</v>
      </c>
      <c r="E30" s="114">
        <v>0</v>
      </c>
      <c r="F30" s="114">
        <v>0</v>
      </c>
      <c r="G30" s="114">
        <v>0.8</v>
      </c>
      <c r="H30" s="114">
        <v>0</v>
      </c>
      <c r="I30" s="114">
        <v>0</v>
      </c>
      <c r="J30" s="114">
        <v>0</v>
      </c>
      <c r="K30" s="114">
        <v>0</v>
      </c>
      <c r="L30" s="114">
        <v>0</v>
      </c>
      <c r="M30" s="114">
        <v>0</v>
      </c>
      <c r="N30" s="114">
        <v>0</v>
      </c>
      <c r="O30" s="114">
        <v>0</v>
      </c>
      <c r="P30" s="114">
        <v>0</v>
      </c>
      <c r="Q30" s="114">
        <v>0.8</v>
      </c>
      <c r="R30" s="114">
        <v>0</v>
      </c>
      <c r="S30" s="114">
        <v>0.8</v>
      </c>
      <c r="T30" s="114">
        <v>0.8</v>
      </c>
      <c r="U30" s="114">
        <v>0</v>
      </c>
      <c r="V30" s="114">
        <v>0</v>
      </c>
      <c r="W30" s="114">
        <v>0</v>
      </c>
      <c r="X30" s="114">
        <v>0</v>
      </c>
      <c r="Y30" s="114">
        <v>0</v>
      </c>
      <c r="Z30" s="114">
        <v>0</v>
      </c>
      <c r="AA30" s="114">
        <v>0</v>
      </c>
      <c r="AB30" s="114">
        <v>0</v>
      </c>
      <c r="AC30" s="114">
        <v>0.8</v>
      </c>
      <c r="AD30" s="114">
        <v>0</v>
      </c>
      <c r="AE30" s="114">
        <v>0</v>
      </c>
      <c r="AF30" s="114">
        <v>0</v>
      </c>
      <c r="AG30" s="114">
        <v>0</v>
      </c>
      <c r="AH30" s="114">
        <v>0</v>
      </c>
      <c r="AI30" s="114">
        <v>0.8</v>
      </c>
      <c r="AJ30" s="114">
        <v>0</v>
      </c>
      <c r="AK30" s="114">
        <v>0</v>
      </c>
      <c r="AL30" s="114">
        <v>0</v>
      </c>
      <c r="AM30" s="114">
        <v>0</v>
      </c>
      <c r="AN30" s="114">
        <v>0</v>
      </c>
      <c r="AO30" s="114">
        <v>0</v>
      </c>
      <c r="AP30" s="114">
        <v>0</v>
      </c>
      <c r="AQ30" s="114">
        <v>0</v>
      </c>
      <c r="AR30" s="114">
        <v>0</v>
      </c>
      <c r="AS30" s="114">
        <v>0</v>
      </c>
      <c r="AT30" s="114">
        <v>0</v>
      </c>
      <c r="AU30" s="114">
        <v>0</v>
      </c>
      <c r="AV30" s="114">
        <v>0</v>
      </c>
      <c r="AW30" s="114">
        <v>0</v>
      </c>
      <c r="AX30" s="114">
        <v>0</v>
      </c>
      <c r="AY30" s="114">
        <v>0</v>
      </c>
      <c r="AZ30" s="114">
        <v>0</v>
      </c>
      <c r="BA30" s="114">
        <v>0</v>
      </c>
      <c r="BB30" s="114">
        <v>0</v>
      </c>
      <c r="BC30" s="114">
        <v>0</v>
      </c>
      <c r="BD30" s="114">
        <v>0</v>
      </c>
      <c r="BE30" s="114">
        <v>0</v>
      </c>
      <c r="BF30" s="114">
        <v>0</v>
      </c>
    </row>
    <row r="31" spans="1:58" customFormat="1" x14ac:dyDescent="0.15">
      <c r="A31" s="192" t="s">
        <v>221</v>
      </c>
      <c r="B31" s="114">
        <v>0</v>
      </c>
      <c r="C31" s="114">
        <v>0</v>
      </c>
      <c r="D31" s="114">
        <v>0</v>
      </c>
      <c r="E31" s="114">
        <v>0</v>
      </c>
      <c r="F31" s="114">
        <v>0</v>
      </c>
      <c r="G31" s="114">
        <v>0</v>
      </c>
      <c r="H31" s="114">
        <v>0</v>
      </c>
      <c r="I31" s="114">
        <v>0</v>
      </c>
      <c r="J31" s="114">
        <v>0</v>
      </c>
      <c r="K31" s="114">
        <v>0</v>
      </c>
      <c r="L31" s="114">
        <v>0</v>
      </c>
      <c r="M31" s="114">
        <v>0</v>
      </c>
      <c r="N31" s="114">
        <v>0</v>
      </c>
      <c r="O31" s="114">
        <v>0</v>
      </c>
      <c r="P31" s="114">
        <v>0</v>
      </c>
      <c r="Q31" s="114">
        <v>0.8</v>
      </c>
      <c r="R31" s="114">
        <v>0</v>
      </c>
      <c r="S31" s="114">
        <v>0.8</v>
      </c>
      <c r="T31" s="114">
        <v>0.8</v>
      </c>
      <c r="U31" s="114">
        <v>0</v>
      </c>
      <c r="V31" s="114">
        <v>0</v>
      </c>
      <c r="W31" s="114">
        <v>0</v>
      </c>
      <c r="X31" s="114">
        <v>0</v>
      </c>
      <c r="Y31" s="114">
        <v>0</v>
      </c>
      <c r="Z31" s="114">
        <v>0</v>
      </c>
      <c r="AA31" s="114">
        <v>0</v>
      </c>
      <c r="AB31" s="114">
        <v>0</v>
      </c>
      <c r="AC31" s="114">
        <v>0</v>
      </c>
      <c r="AD31" s="114">
        <v>0</v>
      </c>
      <c r="AE31" s="114">
        <v>0</v>
      </c>
      <c r="AF31" s="114">
        <v>0</v>
      </c>
      <c r="AG31" s="114">
        <v>0</v>
      </c>
      <c r="AH31" s="114">
        <v>0</v>
      </c>
      <c r="AI31" s="114">
        <v>0</v>
      </c>
      <c r="AJ31" s="114">
        <v>0</v>
      </c>
      <c r="AK31" s="114">
        <v>0</v>
      </c>
      <c r="AL31" s="114">
        <v>0</v>
      </c>
      <c r="AM31" s="114">
        <v>0</v>
      </c>
      <c r="AN31" s="114">
        <v>0</v>
      </c>
      <c r="AO31" s="114">
        <v>0</v>
      </c>
      <c r="AP31" s="114">
        <v>0</v>
      </c>
      <c r="AQ31" s="114">
        <v>0</v>
      </c>
      <c r="AR31" s="114">
        <v>0</v>
      </c>
      <c r="AS31" s="114">
        <v>0</v>
      </c>
      <c r="AT31" s="114">
        <v>0</v>
      </c>
      <c r="AU31" s="114">
        <v>0</v>
      </c>
      <c r="AV31" s="114">
        <v>0</v>
      </c>
      <c r="AW31" s="114">
        <v>0</v>
      </c>
      <c r="AX31" s="114">
        <v>0</v>
      </c>
      <c r="AY31" s="114">
        <v>0</v>
      </c>
      <c r="AZ31" s="114">
        <v>0</v>
      </c>
      <c r="BA31" s="114">
        <v>0</v>
      </c>
      <c r="BB31" s="114">
        <v>0</v>
      </c>
      <c r="BC31" s="114">
        <v>0</v>
      </c>
      <c r="BD31" s="114">
        <v>0</v>
      </c>
      <c r="BE31" s="114">
        <v>0</v>
      </c>
      <c r="BF31" s="114">
        <v>0</v>
      </c>
    </row>
    <row r="32" spans="1:58" customFormat="1" x14ac:dyDescent="0.15">
      <c r="A32" s="192" t="s">
        <v>222</v>
      </c>
      <c r="B32" s="114">
        <v>0</v>
      </c>
      <c r="C32" s="114">
        <v>0.8</v>
      </c>
      <c r="D32" s="114">
        <v>0</v>
      </c>
      <c r="E32" s="114">
        <v>0</v>
      </c>
      <c r="F32" s="114">
        <v>0.8</v>
      </c>
      <c r="G32" s="114">
        <v>0</v>
      </c>
      <c r="H32" s="114">
        <v>0</v>
      </c>
      <c r="I32" s="114">
        <v>0</v>
      </c>
      <c r="J32" s="114">
        <v>0</v>
      </c>
      <c r="K32" s="114">
        <v>0</v>
      </c>
      <c r="L32" s="114">
        <v>0</v>
      </c>
      <c r="M32" s="114">
        <v>0</v>
      </c>
      <c r="N32" s="114">
        <v>0</v>
      </c>
      <c r="O32" s="114">
        <v>0</v>
      </c>
      <c r="P32" s="114">
        <v>0</v>
      </c>
      <c r="Q32" s="114">
        <v>0.8</v>
      </c>
      <c r="R32" s="114">
        <v>0</v>
      </c>
      <c r="S32" s="114">
        <v>0.8</v>
      </c>
      <c r="T32" s="114">
        <v>0.8</v>
      </c>
      <c r="U32" s="114">
        <v>0</v>
      </c>
      <c r="V32" s="114">
        <v>0</v>
      </c>
      <c r="W32" s="114">
        <v>0.8</v>
      </c>
      <c r="X32" s="114">
        <v>0</v>
      </c>
      <c r="Y32" s="114">
        <v>0</v>
      </c>
      <c r="Z32" s="114">
        <v>0</v>
      </c>
      <c r="AA32" s="114">
        <v>0</v>
      </c>
      <c r="AB32" s="114">
        <v>0</v>
      </c>
      <c r="AC32" s="114">
        <v>0.8</v>
      </c>
      <c r="AD32" s="114">
        <v>0</v>
      </c>
      <c r="AE32" s="114">
        <v>0</v>
      </c>
      <c r="AF32" s="114">
        <v>0</v>
      </c>
      <c r="AG32" s="114">
        <v>0</v>
      </c>
      <c r="AH32" s="114">
        <v>0</v>
      </c>
      <c r="AI32" s="114">
        <v>0.8</v>
      </c>
      <c r="AJ32" s="114">
        <v>0</v>
      </c>
      <c r="AK32" s="114">
        <v>0</v>
      </c>
      <c r="AL32" s="114">
        <v>0</v>
      </c>
      <c r="AM32" s="114">
        <v>0</v>
      </c>
      <c r="AN32" s="114">
        <v>0</v>
      </c>
      <c r="AO32" s="114">
        <v>0</v>
      </c>
      <c r="AP32" s="114">
        <v>0</v>
      </c>
      <c r="AQ32" s="114">
        <v>0</v>
      </c>
      <c r="AR32" s="114">
        <v>0</v>
      </c>
      <c r="AS32" s="114">
        <v>0</v>
      </c>
      <c r="AT32" s="114">
        <v>0</v>
      </c>
      <c r="AU32" s="114">
        <v>0</v>
      </c>
      <c r="AV32" s="114">
        <v>0</v>
      </c>
      <c r="AW32" s="114">
        <v>0</v>
      </c>
      <c r="AX32" s="114">
        <v>0</v>
      </c>
      <c r="AY32" s="114">
        <v>0</v>
      </c>
      <c r="AZ32" s="114">
        <v>0</v>
      </c>
      <c r="BA32" s="114">
        <v>0</v>
      </c>
      <c r="BB32" s="114">
        <v>0</v>
      </c>
      <c r="BC32" s="114">
        <v>0</v>
      </c>
      <c r="BD32" s="114">
        <v>0</v>
      </c>
      <c r="BE32" s="114">
        <v>0</v>
      </c>
      <c r="BF32" s="114">
        <v>0</v>
      </c>
    </row>
    <row r="33" spans="1:58" x14ac:dyDescent="0.15">
      <c r="A33" s="192" t="s">
        <v>223</v>
      </c>
      <c r="B33" s="114">
        <v>0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  <c r="H33" s="114">
        <v>0</v>
      </c>
      <c r="I33" s="114">
        <v>0</v>
      </c>
      <c r="J33" s="114">
        <v>0</v>
      </c>
      <c r="K33" s="114">
        <v>0</v>
      </c>
      <c r="L33" s="114">
        <v>0</v>
      </c>
      <c r="M33" s="114">
        <v>0</v>
      </c>
      <c r="N33" s="114">
        <v>0</v>
      </c>
      <c r="O33" s="114">
        <v>0</v>
      </c>
      <c r="P33" s="114">
        <v>0</v>
      </c>
      <c r="Q33" s="114">
        <v>0</v>
      </c>
      <c r="R33" s="114">
        <v>0</v>
      </c>
      <c r="S33" s="114">
        <v>0.8</v>
      </c>
      <c r="T33" s="114">
        <v>0.8</v>
      </c>
      <c r="U33" s="114">
        <v>0</v>
      </c>
      <c r="V33" s="114">
        <v>0</v>
      </c>
      <c r="W33" s="114">
        <v>0.8</v>
      </c>
      <c r="X33" s="114">
        <v>0</v>
      </c>
      <c r="Y33" s="114">
        <v>0</v>
      </c>
      <c r="Z33" s="114">
        <v>0</v>
      </c>
      <c r="AA33" s="114">
        <v>0</v>
      </c>
      <c r="AB33" s="114">
        <v>0</v>
      </c>
      <c r="AC33" s="114">
        <v>0</v>
      </c>
      <c r="AD33" s="114">
        <v>0</v>
      </c>
      <c r="AE33" s="114">
        <v>0</v>
      </c>
      <c r="AF33" s="114">
        <v>0</v>
      </c>
      <c r="AG33" s="114">
        <v>0.8</v>
      </c>
      <c r="AH33" s="114">
        <v>0</v>
      </c>
      <c r="AI33" s="114">
        <v>0.8</v>
      </c>
      <c r="AJ33" s="114">
        <v>0</v>
      </c>
      <c r="AK33" s="114">
        <v>0</v>
      </c>
      <c r="AL33" s="114">
        <v>0</v>
      </c>
      <c r="AM33" s="114">
        <v>0</v>
      </c>
      <c r="AN33" s="114">
        <v>0</v>
      </c>
      <c r="AO33" s="114">
        <v>0</v>
      </c>
      <c r="AP33" s="114">
        <v>0</v>
      </c>
      <c r="AQ33" s="114">
        <v>0</v>
      </c>
      <c r="AR33" s="114">
        <v>0</v>
      </c>
      <c r="AS33" s="114">
        <v>0</v>
      </c>
      <c r="AT33" s="114">
        <v>0</v>
      </c>
      <c r="AU33" s="114">
        <v>0</v>
      </c>
      <c r="AV33" s="114">
        <v>0</v>
      </c>
      <c r="AW33" s="114">
        <v>0</v>
      </c>
      <c r="AX33" s="114">
        <v>0</v>
      </c>
      <c r="AY33" s="114">
        <v>0</v>
      </c>
      <c r="AZ33" s="114">
        <v>0</v>
      </c>
      <c r="BA33" s="114">
        <v>0</v>
      </c>
      <c r="BB33" s="114">
        <v>0</v>
      </c>
      <c r="BC33" s="114">
        <v>0</v>
      </c>
      <c r="BD33" s="114">
        <v>0</v>
      </c>
      <c r="BE33" s="114">
        <v>0</v>
      </c>
      <c r="BF33" s="114">
        <v>0</v>
      </c>
    </row>
    <row r="34" spans="1:58" x14ac:dyDescent="0.15">
      <c r="A34" s="192" t="s">
        <v>224</v>
      </c>
      <c r="B34" s="114">
        <v>0</v>
      </c>
      <c r="C34" s="114">
        <v>0</v>
      </c>
      <c r="D34" s="114">
        <v>0</v>
      </c>
      <c r="E34" s="114">
        <v>0.8</v>
      </c>
      <c r="F34" s="114">
        <v>0</v>
      </c>
      <c r="G34" s="114">
        <v>0.8</v>
      </c>
      <c r="H34" s="114">
        <v>0</v>
      </c>
      <c r="I34" s="114">
        <v>0</v>
      </c>
      <c r="J34" s="114">
        <v>0</v>
      </c>
      <c r="K34" s="114">
        <v>0</v>
      </c>
      <c r="L34" s="114">
        <v>0</v>
      </c>
      <c r="M34" s="114">
        <v>0</v>
      </c>
      <c r="N34" s="114">
        <v>0</v>
      </c>
      <c r="O34" s="114">
        <v>0</v>
      </c>
      <c r="P34" s="114">
        <v>0</v>
      </c>
      <c r="Q34" s="114">
        <v>0.8</v>
      </c>
      <c r="R34" s="114">
        <v>0</v>
      </c>
      <c r="S34" s="114">
        <v>0.8</v>
      </c>
      <c r="T34" s="114">
        <v>0</v>
      </c>
      <c r="U34" s="114">
        <v>0</v>
      </c>
      <c r="V34" s="114">
        <v>0</v>
      </c>
      <c r="W34" s="114">
        <v>0</v>
      </c>
      <c r="X34" s="114">
        <v>0</v>
      </c>
      <c r="Y34" s="114">
        <v>0</v>
      </c>
      <c r="Z34" s="114">
        <v>0</v>
      </c>
      <c r="AA34" s="114">
        <v>0</v>
      </c>
      <c r="AB34" s="114">
        <v>0</v>
      </c>
      <c r="AC34" s="114">
        <v>0</v>
      </c>
      <c r="AD34" s="114">
        <v>0</v>
      </c>
      <c r="AE34" s="114">
        <v>0</v>
      </c>
      <c r="AF34" s="114">
        <v>0</v>
      </c>
      <c r="AG34" s="114">
        <v>0</v>
      </c>
      <c r="AH34" s="114">
        <v>0</v>
      </c>
      <c r="AI34" s="114">
        <v>0</v>
      </c>
      <c r="AJ34" s="114">
        <v>0</v>
      </c>
      <c r="AK34" s="114">
        <v>0</v>
      </c>
      <c r="AL34" s="114">
        <v>0</v>
      </c>
      <c r="AM34" s="114">
        <v>0</v>
      </c>
      <c r="AN34" s="114">
        <v>0</v>
      </c>
      <c r="AO34" s="114">
        <v>0</v>
      </c>
      <c r="AP34" s="114">
        <v>0</v>
      </c>
      <c r="AQ34" s="114">
        <v>0</v>
      </c>
      <c r="AR34" s="114">
        <v>0</v>
      </c>
      <c r="AS34" s="114">
        <v>0</v>
      </c>
      <c r="AT34" s="114">
        <v>0</v>
      </c>
      <c r="AU34" s="114">
        <v>0</v>
      </c>
      <c r="AV34" s="114">
        <v>0</v>
      </c>
      <c r="AW34" s="114">
        <v>0</v>
      </c>
      <c r="AX34" s="114">
        <v>0</v>
      </c>
      <c r="AY34" s="114">
        <v>0</v>
      </c>
      <c r="AZ34" s="114">
        <v>0</v>
      </c>
      <c r="BA34" s="114">
        <v>0</v>
      </c>
      <c r="BB34" s="114">
        <v>0</v>
      </c>
      <c r="BC34" s="114">
        <v>0</v>
      </c>
      <c r="BD34" s="114">
        <v>0</v>
      </c>
      <c r="BE34" s="114">
        <v>0</v>
      </c>
      <c r="BF34" s="114">
        <v>0</v>
      </c>
    </row>
    <row r="35" spans="1:58" x14ac:dyDescent="0.15">
      <c r="A35" s="192" t="s">
        <v>225</v>
      </c>
      <c r="B35" s="114">
        <v>0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  <c r="H35" s="114">
        <v>0</v>
      </c>
      <c r="I35" s="114">
        <v>0</v>
      </c>
      <c r="J35" s="114">
        <v>0</v>
      </c>
      <c r="K35" s="114">
        <v>0</v>
      </c>
      <c r="L35" s="114">
        <v>0</v>
      </c>
      <c r="M35" s="114">
        <v>0</v>
      </c>
      <c r="N35" s="114">
        <v>0</v>
      </c>
      <c r="O35" s="114">
        <v>0</v>
      </c>
      <c r="P35" s="114">
        <v>0</v>
      </c>
      <c r="Q35" s="114">
        <v>0</v>
      </c>
      <c r="R35" s="114">
        <v>0</v>
      </c>
      <c r="S35" s="114">
        <v>0</v>
      </c>
      <c r="T35" s="114">
        <v>0</v>
      </c>
      <c r="U35" s="114">
        <v>0</v>
      </c>
      <c r="V35" s="114">
        <v>0</v>
      </c>
      <c r="W35" s="114">
        <v>0</v>
      </c>
      <c r="X35" s="114">
        <v>0</v>
      </c>
      <c r="Y35" s="114">
        <v>0</v>
      </c>
      <c r="Z35" s="114">
        <v>0</v>
      </c>
      <c r="AA35" s="114">
        <v>0</v>
      </c>
      <c r="AB35" s="114">
        <v>0</v>
      </c>
      <c r="AC35" s="114">
        <v>0</v>
      </c>
      <c r="AD35" s="114">
        <v>0</v>
      </c>
      <c r="AE35" s="114">
        <v>0</v>
      </c>
      <c r="AF35" s="114">
        <v>0</v>
      </c>
      <c r="AG35" s="114">
        <v>0</v>
      </c>
      <c r="AH35" s="114">
        <v>0</v>
      </c>
      <c r="AI35" s="114">
        <v>0</v>
      </c>
      <c r="AJ35" s="114">
        <v>0</v>
      </c>
      <c r="AK35" s="114">
        <v>0</v>
      </c>
      <c r="AL35" s="114">
        <v>0</v>
      </c>
      <c r="AM35" s="114">
        <v>0</v>
      </c>
      <c r="AN35" s="114">
        <v>0</v>
      </c>
      <c r="AO35" s="114">
        <v>0</v>
      </c>
      <c r="AP35" s="114">
        <v>0</v>
      </c>
      <c r="AQ35" s="114">
        <v>0</v>
      </c>
      <c r="AR35" s="114">
        <v>0</v>
      </c>
      <c r="AS35" s="114">
        <v>0</v>
      </c>
      <c r="AT35" s="114">
        <v>0</v>
      </c>
      <c r="AU35" s="114">
        <v>0</v>
      </c>
      <c r="AV35" s="114">
        <v>0</v>
      </c>
      <c r="AW35" s="114">
        <v>0</v>
      </c>
      <c r="AX35" s="114">
        <v>0</v>
      </c>
      <c r="AY35" s="114">
        <v>0</v>
      </c>
      <c r="AZ35" s="114">
        <v>0</v>
      </c>
      <c r="BA35" s="114">
        <v>0</v>
      </c>
      <c r="BB35" s="114">
        <v>0</v>
      </c>
      <c r="BC35" s="114">
        <v>0</v>
      </c>
      <c r="BD35" s="114">
        <v>0</v>
      </c>
      <c r="BE35" s="114">
        <v>0</v>
      </c>
      <c r="BF35" s="114">
        <v>0</v>
      </c>
    </row>
    <row r="36" spans="1:58" x14ac:dyDescent="0.15">
      <c r="A36" s="192" t="s">
        <v>226</v>
      </c>
      <c r="B36" s="114">
        <v>0</v>
      </c>
      <c r="C36" s="114">
        <v>0</v>
      </c>
      <c r="D36" s="114">
        <v>0</v>
      </c>
      <c r="E36" s="114">
        <v>0</v>
      </c>
      <c r="F36" s="114">
        <v>0</v>
      </c>
      <c r="G36" s="114">
        <v>0</v>
      </c>
      <c r="H36" s="114">
        <v>0</v>
      </c>
      <c r="I36" s="114">
        <v>0</v>
      </c>
      <c r="J36" s="114">
        <v>0</v>
      </c>
      <c r="K36" s="114">
        <v>0</v>
      </c>
      <c r="L36" s="114">
        <v>0</v>
      </c>
      <c r="M36" s="114">
        <v>0</v>
      </c>
      <c r="N36" s="114">
        <v>0</v>
      </c>
      <c r="O36" s="114">
        <v>0</v>
      </c>
      <c r="P36" s="114">
        <v>0</v>
      </c>
      <c r="Q36" s="114">
        <v>0.8</v>
      </c>
      <c r="R36" s="114">
        <v>0</v>
      </c>
      <c r="S36" s="114">
        <v>0</v>
      </c>
      <c r="T36" s="114">
        <v>0</v>
      </c>
      <c r="U36" s="114">
        <v>0</v>
      </c>
      <c r="V36" s="114">
        <v>0</v>
      </c>
      <c r="W36" s="114">
        <v>0</v>
      </c>
      <c r="X36" s="114">
        <v>0</v>
      </c>
      <c r="Y36" s="114">
        <v>0</v>
      </c>
      <c r="Z36" s="114">
        <v>0</v>
      </c>
      <c r="AA36" s="114">
        <v>0</v>
      </c>
      <c r="AB36" s="114">
        <v>0</v>
      </c>
      <c r="AC36" s="114">
        <v>0</v>
      </c>
      <c r="AD36" s="114">
        <v>0</v>
      </c>
      <c r="AE36" s="114">
        <v>0</v>
      </c>
      <c r="AF36" s="114">
        <v>0</v>
      </c>
      <c r="AG36" s="114">
        <v>0</v>
      </c>
      <c r="AH36" s="114">
        <v>0</v>
      </c>
      <c r="AI36" s="114">
        <v>0.8</v>
      </c>
      <c r="AJ36" s="114">
        <v>0</v>
      </c>
      <c r="AK36" s="114">
        <v>0</v>
      </c>
      <c r="AL36" s="114">
        <v>0</v>
      </c>
      <c r="AM36" s="114">
        <v>0</v>
      </c>
      <c r="AN36" s="114">
        <v>0</v>
      </c>
      <c r="AO36" s="114">
        <v>0</v>
      </c>
      <c r="AP36" s="114">
        <v>0</v>
      </c>
      <c r="AQ36" s="114">
        <v>0</v>
      </c>
      <c r="AR36" s="114">
        <v>0</v>
      </c>
      <c r="AS36" s="114">
        <v>0</v>
      </c>
      <c r="AT36" s="114">
        <v>0</v>
      </c>
      <c r="AU36" s="114">
        <v>0</v>
      </c>
      <c r="AV36" s="114">
        <v>0</v>
      </c>
      <c r="AW36" s="114">
        <v>0</v>
      </c>
      <c r="AX36" s="114">
        <v>0</v>
      </c>
      <c r="AY36" s="114">
        <v>0</v>
      </c>
      <c r="AZ36" s="114">
        <v>0</v>
      </c>
      <c r="BA36" s="114">
        <v>0</v>
      </c>
      <c r="BB36" s="114">
        <v>0</v>
      </c>
      <c r="BC36" s="114">
        <v>0</v>
      </c>
      <c r="BD36" s="114">
        <v>0</v>
      </c>
      <c r="BE36" s="114">
        <v>0</v>
      </c>
      <c r="BF36" s="114">
        <v>0</v>
      </c>
    </row>
    <row r="37" spans="1:58" x14ac:dyDescent="0.15">
      <c r="A37" s="192" t="s">
        <v>227</v>
      </c>
      <c r="B37" s="114">
        <v>0</v>
      </c>
      <c r="C37" s="114">
        <v>0</v>
      </c>
      <c r="D37" s="114">
        <v>0</v>
      </c>
      <c r="E37" s="114">
        <v>0</v>
      </c>
      <c r="F37" s="114">
        <v>0</v>
      </c>
      <c r="G37" s="114">
        <v>0.8</v>
      </c>
      <c r="H37" s="114">
        <v>0</v>
      </c>
      <c r="I37" s="114">
        <v>0</v>
      </c>
      <c r="J37" s="114">
        <v>0</v>
      </c>
      <c r="K37" s="114">
        <v>0</v>
      </c>
      <c r="L37" s="114">
        <v>0</v>
      </c>
      <c r="M37" s="114">
        <v>0</v>
      </c>
      <c r="N37" s="114">
        <v>0</v>
      </c>
      <c r="O37" s="114">
        <v>0</v>
      </c>
      <c r="P37" s="114">
        <v>0</v>
      </c>
      <c r="Q37" s="114">
        <v>0.8</v>
      </c>
      <c r="R37" s="114">
        <v>0</v>
      </c>
      <c r="S37" s="114">
        <v>0.8</v>
      </c>
      <c r="T37" s="114">
        <v>0</v>
      </c>
      <c r="U37" s="114">
        <v>0</v>
      </c>
      <c r="V37" s="114">
        <v>0</v>
      </c>
      <c r="W37" s="114">
        <v>0.8</v>
      </c>
      <c r="X37" s="114">
        <v>0</v>
      </c>
      <c r="Y37" s="114">
        <v>0</v>
      </c>
      <c r="Z37" s="114">
        <v>0</v>
      </c>
      <c r="AA37" s="114">
        <v>0</v>
      </c>
      <c r="AB37" s="114">
        <v>0</v>
      </c>
      <c r="AC37" s="114">
        <v>0</v>
      </c>
      <c r="AD37" s="114">
        <v>0</v>
      </c>
      <c r="AE37" s="114">
        <v>0</v>
      </c>
      <c r="AF37" s="114">
        <v>0</v>
      </c>
      <c r="AG37" s="114">
        <v>0</v>
      </c>
      <c r="AH37" s="114">
        <v>0</v>
      </c>
      <c r="AI37" s="114">
        <v>0.8</v>
      </c>
      <c r="AJ37" s="114">
        <v>0</v>
      </c>
      <c r="AK37" s="114">
        <v>0</v>
      </c>
      <c r="AL37" s="114">
        <v>0</v>
      </c>
      <c r="AM37" s="114">
        <v>0</v>
      </c>
      <c r="AN37" s="114">
        <v>0</v>
      </c>
      <c r="AO37" s="114">
        <v>0</v>
      </c>
      <c r="AP37" s="114">
        <v>0</v>
      </c>
      <c r="AQ37" s="114">
        <v>0</v>
      </c>
      <c r="AR37" s="114">
        <v>0</v>
      </c>
      <c r="AS37" s="114">
        <v>0</v>
      </c>
      <c r="AT37" s="114">
        <v>0</v>
      </c>
      <c r="AU37" s="114">
        <v>0</v>
      </c>
      <c r="AV37" s="114">
        <v>0</v>
      </c>
      <c r="AW37" s="114">
        <v>0</v>
      </c>
      <c r="AX37" s="114">
        <v>0</v>
      </c>
      <c r="AY37" s="114">
        <v>0</v>
      </c>
      <c r="AZ37" s="114">
        <v>0</v>
      </c>
      <c r="BA37" s="114">
        <v>0</v>
      </c>
      <c r="BB37" s="114">
        <v>0</v>
      </c>
      <c r="BC37" s="114">
        <v>0</v>
      </c>
      <c r="BD37" s="114">
        <v>0</v>
      </c>
      <c r="BE37" s="114">
        <v>0</v>
      </c>
      <c r="BF37" s="114">
        <v>0</v>
      </c>
    </row>
    <row r="38" spans="1:58" x14ac:dyDescent="0.15">
      <c r="A38" s="192" t="s">
        <v>228</v>
      </c>
      <c r="B38" s="114">
        <v>0</v>
      </c>
      <c r="C38" s="114">
        <v>0</v>
      </c>
      <c r="D38" s="114">
        <v>0</v>
      </c>
      <c r="E38" s="114">
        <v>0</v>
      </c>
      <c r="F38" s="114">
        <v>0</v>
      </c>
      <c r="G38" s="114">
        <v>0</v>
      </c>
      <c r="H38" s="114">
        <v>0</v>
      </c>
      <c r="I38" s="114">
        <v>0</v>
      </c>
      <c r="J38" s="114">
        <v>0</v>
      </c>
      <c r="K38" s="114">
        <v>0</v>
      </c>
      <c r="L38" s="114">
        <v>0</v>
      </c>
      <c r="M38" s="114">
        <v>0</v>
      </c>
      <c r="N38" s="114">
        <v>0</v>
      </c>
      <c r="O38" s="114">
        <v>0</v>
      </c>
      <c r="P38" s="114">
        <v>0</v>
      </c>
      <c r="Q38" s="114">
        <v>0.8</v>
      </c>
      <c r="R38" s="114">
        <v>0</v>
      </c>
      <c r="S38" s="114">
        <v>0.8</v>
      </c>
      <c r="T38" s="114">
        <v>0</v>
      </c>
      <c r="U38" s="114">
        <v>0</v>
      </c>
      <c r="V38" s="114">
        <v>0</v>
      </c>
      <c r="W38" s="114">
        <v>0</v>
      </c>
      <c r="X38" s="114">
        <v>0</v>
      </c>
      <c r="Y38" s="114">
        <v>0</v>
      </c>
      <c r="Z38" s="114">
        <v>0</v>
      </c>
      <c r="AA38" s="114">
        <v>0</v>
      </c>
      <c r="AB38" s="114">
        <v>0</v>
      </c>
      <c r="AC38" s="114">
        <v>0</v>
      </c>
      <c r="AD38" s="114">
        <v>0</v>
      </c>
      <c r="AE38" s="114">
        <v>0</v>
      </c>
      <c r="AF38" s="114">
        <v>0</v>
      </c>
      <c r="AG38" s="114">
        <v>0</v>
      </c>
      <c r="AH38" s="114">
        <v>0</v>
      </c>
      <c r="AI38" s="114">
        <v>0.8</v>
      </c>
      <c r="AJ38" s="114">
        <v>0</v>
      </c>
      <c r="AK38" s="114">
        <v>0</v>
      </c>
      <c r="AL38" s="114">
        <v>0</v>
      </c>
      <c r="AM38" s="114">
        <v>0</v>
      </c>
      <c r="AN38" s="114">
        <v>0</v>
      </c>
      <c r="AO38" s="114">
        <v>0</v>
      </c>
      <c r="AP38" s="114">
        <v>0</v>
      </c>
      <c r="AQ38" s="114">
        <v>0</v>
      </c>
      <c r="AR38" s="114">
        <v>0</v>
      </c>
      <c r="AS38" s="114">
        <v>0</v>
      </c>
      <c r="AT38" s="114">
        <v>0</v>
      </c>
      <c r="AU38" s="114">
        <v>0</v>
      </c>
      <c r="AV38" s="114">
        <v>0</v>
      </c>
      <c r="AW38" s="114">
        <v>0</v>
      </c>
      <c r="AX38" s="114">
        <v>0</v>
      </c>
      <c r="AY38" s="114">
        <v>0</v>
      </c>
      <c r="AZ38" s="114">
        <v>0</v>
      </c>
      <c r="BA38" s="114">
        <v>0</v>
      </c>
      <c r="BB38" s="114">
        <v>0</v>
      </c>
      <c r="BC38" s="114">
        <v>0</v>
      </c>
      <c r="BD38" s="114">
        <v>0</v>
      </c>
      <c r="BE38" s="114">
        <v>0</v>
      </c>
      <c r="BF38" s="114">
        <v>0</v>
      </c>
    </row>
    <row r="39" spans="1:58" x14ac:dyDescent="0.15">
      <c r="A39" s="192" t="s">
        <v>229</v>
      </c>
      <c r="B39" s="114">
        <v>0</v>
      </c>
      <c r="C39" s="114">
        <v>0.8</v>
      </c>
      <c r="D39" s="114">
        <v>0</v>
      </c>
      <c r="E39" s="114">
        <v>0</v>
      </c>
      <c r="F39" s="114">
        <v>0.8</v>
      </c>
      <c r="G39" s="114">
        <v>0.8</v>
      </c>
      <c r="H39" s="114">
        <v>0</v>
      </c>
      <c r="I39" s="114">
        <v>0</v>
      </c>
      <c r="J39" s="114">
        <v>0</v>
      </c>
      <c r="K39" s="114">
        <v>0</v>
      </c>
      <c r="L39" s="114">
        <v>0</v>
      </c>
      <c r="M39" s="114">
        <v>0</v>
      </c>
      <c r="N39" s="114">
        <v>0</v>
      </c>
      <c r="O39" s="114">
        <v>0</v>
      </c>
      <c r="P39" s="114">
        <v>0</v>
      </c>
      <c r="Q39" s="114">
        <v>0</v>
      </c>
      <c r="R39" s="114">
        <v>0</v>
      </c>
      <c r="S39" s="114">
        <v>0.8</v>
      </c>
      <c r="T39" s="114">
        <v>0</v>
      </c>
      <c r="U39" s="114">
        <v>0</v>
      </c>
      <c r="V39" s="114">
        <v>0</v>
      </c>
      <c r="W39" s="114">
        <v>0.8</v>
      </c>
      <c r="X39" s="114">
        <v>0</v>
      </c>
      <c r="Y39" s="114">
        <v>0</v>
      </c>
      <c r="Z39" s="114">
        <v>0</v>
      </c>
      <c r="AA39" s="114">
        <v>0</v>
      </c>
      <c r="AB39" s="114">
        <v>0</v>
      </c>
      <c r="AC39" s="114">
        <v>0</v>
      </c>
      <c r="AD39" s="114">
        <v>0.8</v>
      </c>
      <c r="AE39" s="114">
        <v>0</v>
      </c>
      <c r="AF39" s="114">
        <v>0</v>
      </c>
      <c r="AG39" s="114">
        <v>0.8</v>
      </c>
      <c r="AH39" s="114">
        <v>0</v>
      </c>
      <c r="AI39" s="114">
        <v>0.8</v>
      </c>
      <c r="AJ39" s="114">
        <v>0</v>
      </c>
      <c r="AK39" s="114">
        <v>0</v>
      </c>
      <c r="AL39" s="114">
        <v>0</v>
      </c>
      <c r="AM39" s="114">
        <v>0</v>
      </c>
      <c r="AN39" s="114">
        <v>0</v>
      </c>
      <c r="AO39" s="114">
        <v>0.8</v>
      </c>
      <c r="AP39" s="114">
        <v>0</v>
      </c>
      <c r="AQ39" s="114">
        <v>0</v>
      </c>
      <c r="AR39" s="114">
        <v>0</v>
      </c>
      <c r="AS39" s="114">
        <v>0</v>
      </c>
      <c r="AT39" s="114">
        <v>0</v>
      </c>
      <c r="AU39" s="114">
        <v>0</v>
      </c>
      <c r="AV39" s="114">
        <v>0</v>
      </c>
      <c r="AW39" s="114">
        <v>0</v>
      </c>
      <c r="AX39" s="114">
        <v>0</v>
      </c>
      <c r="AY39" s="114">
        <v>0</v>
      </c>
      <c r="AZ39" s="114">
        <v>0</v>
      </c>
      <c r="BA39" s="114">
        <v>0</v>
      </c>
      <c r="BB39" s="114">
        <v>0</v>
      </c>
      <c r="BC39" s="114">
        <v>0</v>
      </c>
      <c r="BD39" s="114">
        <v>0</v>
      </c>
      <c r="BE39" s="114">
        <v>0</v>
      </c>
      <c r="BF39" s="114">
        <v>0</v>
      </c>
    </row>
    <row r="40" spans="1:58" x14ac:dyDescent="0.15">
      <c r="A40" s="192" t="s">
        <v>230</v>
      </c>
      <c r="B40" s="114">
        <v>0</v>
      </c>
      <c r="C40" s="114">
        <v>0.8</v>
      </c>
      <c r="D40" s="114">
        <v>0</v>
      </c>
      <c r="E40" s="114">
        <v>0</v>
      </c>
      <c r="F40" s="114">
        <v>0.8</v>
      </c>
      <c r="G40" s="114">
        <v>0</v>
      </c>
      <c r="H40" s="114">
        <v>0</v>
      </c>
      <c r="I40" s="114">
        <v>0.8</v>
      </c>
      <c r="J40" s="114">
        <v>0</v>
      </c>
      <c r="K40" s="114">
        <v>0.8</v>
      </c>
      <c r="L40" s="114">
        <v>0</v>
      </c>
      <c r="M40" s="114">
        <v>0</v>
      </c>
      <c r="N40" s="114">
        <v>0.8</v>
      </c>
      <c r="O40" s="114">
        <v>0.8</v>
      </c>
      <c r="P40" s="114">
        <v>0</v>
      </c>
      <c r="Q40" s="114">
        <v>0.8</v>
      </c>
      <c r="R40" s="114">
        <v>0</v>
      </c>
      <c r="S40" s="114">
        <v>0</v>
      </c>
      <c r="T40" s="114">
        <v>0</v>
      </c>
      <c r="U40" s="114">
        <v>0.8</v>
      </c>
      <c r="V40" s="114">
        <v>0.8</v>
      </c>
      <c r="W40" s="114">
        <v>0</v>
      </c>
      <c r="X40" s="114">
        <v>0</v>
      </c>
      <c r="Y40" s="114">
        <v>0.8</v>
      </c>
      <c r="Z40" s="114">
        <v>0.8</v>
      </c>
      <c r="AA40" s="114">
        <v>0.8</v>
      </c>
      <c r="AB40" s="114">
        <v>0.8</v>
      </c>
      <c r="AC40" s="114">
        <v>0.8</v>
      </c>
      <c r="AD40" s="114">
        <v>0</v>
      </c>
      <c r="AE40" s="114">
        <v>0</v>
      </c>
      <c r="AF40" s="114">
        <v>0</v>
      </c>
      <c r="AG40" s="114">
        <v>0</v>
      </c>
      <c r="AH40" s="114">
        <v>0</v>
      </c>
      <c r="AI40" s="114">
        <v>0</v>
      </c>
      <c r="AJ40" s="114">
        <v>0</v>
      </c>
      <c r="AK40" s="114">
        <v>0</v>
      </c>
      <c r="AL40" s="114">
        <v>0</v>
      </c>
      <c r="AM40" s="114">
        <v>0</v>
      </c>
      <c r="AN40" s="114">
        <v>0</v>
      </c>
      <c r="AO40" s="114">
        <v>0</v>
      </c>
      <c r="AP40" s="114">
        <v>0.8</v>
      </c>
      <c r="AQ40" s="114">
        <v>0</v>
      </c>
      <c r="AR40" s="114">
        <v>0</v>
      </c>
      <c r="AS40" s="114">
        <v>0</v>
      </c>
      <c r="AT40" s="114">
        <v>0</v>
      </c>
      <c r="AU40" s="114">
        <v>0</v>
      </c>
      <c r="AV40" s="114">
        <v>0.8</v>
      </c>
      <c r="AW40" s="114">
        <v>0</v>
      </c>
      <c r="AX40" s="114">
        <v>0</v>
      </c>
      <c r="AY40" s="114">
        <v>0</v>
      </c>
      <c r="AZ40" s="114">
        <v>0</v>
      </c>
      <c r="BA40" s="114">
        <v>0</v>
      </c>
      <c r="BB40" s="114">
        <v>0</v>
      </c>
      <c r="BC40" s="114">
        <v>0</v>
      </c>
      <c r="BD40" s="114">
        <v>0</v>
      </c>
      <c r="BE40" s="114">
        <v>0</v>
      </c>
      <c r="BF40" s="114">
        <v>0</v>
      </c>
    </row>
    <row r="41" spans="1:58" x14ac:dyDescent="0.15">
      <c r="A41" s="192" t="s">
        <v>231</v>
      </c>
      <c r="B41" s="114">
        <v>0.8</v>
      </c>
      <c r="C41" s="114">
        <v>0.8</v>
      </c>
      <c r="D41" s="114">
        <v>0.8</v>
      </c>
      <c r="E41" s="114">
        <v>0.8</v>
      </c>
      <c r="F41" s="114">
        <v>0.8</v>
      </c>
      <c r="G41" s="114">
        <v>0.8</v>
      </c>
      <c r="H41" s="114">
        <v>0.8</v>
      </c>
      <c r="I41" s="114">
        <v>0.8</v>
      </c>
      <c r="J41" s="114">
        <v>0.8</v>
      </c>
      <c r="K41" s="114">
        <v>0.8</v>
      </c>
      <c r="L41" s="114">
        <v>0</v>
      </c>
      <c r="M41" s="114">
        <v>0</v>
      </c>
      <c r="N41" s="114">
        <v>0.8</v>
      </c>
      <c r="O41" s="114">
        <v>0.8</v>
      </c>
      <c r="P41" s="114">
        <v>0</v>
      </c>
      <c r="Q41" s="114">
        <v>0.8</v>
      </c>
      <c r="R41" s="114">
        <v>0</v>
      </c>
      <c r="S41" s="114">
        <v>0.8</v>
      </c>
      <c r="T41" s="114">
        <v>0.8</v>
      </c>
      <c r="U41" s="114">
        <v>0</v>
      </c>
      <c r="V41" s="114">
        <v>0.8</v>
      </c>
      <c r="W41" s="114">
        <v>0.8</v>
      </c>
      <c r="X41" s="114">
        <v>0.8</v>
      </c>
      <c r="Y41" s="114">
        <v>0.8</v>
      </c>
      <c r="Z41" s="114">
        <v>0.8</v>
      </c>
      <c r="AA41" s="114">
        <v>0.8</v>
      </c>
      <c r="AB41" s="114">
        <v>0.8</v>
      </c>
      <c r="AC41" s="114">
        <v>0.8</v>
      </c>
      <c r="AD41" s="114">
        <v>0.8</v>
      </c>
      <c r="AE41" s="114">
        <v>0</v>
      </c>
      <c r="AF41" s="114">
        <v>0.8</v>
      </c>
      <c r="AG41" s="114">
        <v>0.8</v>
      </c>
      <c r="AH41" s="114">
        <v>0.8</v>
      </c>
      <c r="AI41" s="114">
        <v>0.8</v>
      </c>
      <c r="AJ41" s="114">
        <v>0.8</v>
      </c>
      <c r="AK41" s="114">
        <v>0.8</v>
      </c>
      <c r="AL41" s="114">
        <v>0</v>
      </c>
      <c r="AM41" s="114">
        <v>0.8</v>
      </c>
      <c r="AN41" s="114">
        <v>0</v>
      </c>
      <c r="AO41" s="114">
        <v>0.8</v>
      </c>
      <c r="AP41" s="114">
        <v>0</v>
      </c>
      <c r="AQ41" s="114">
        <v>0.8</v>
      </c>
      <c r="AR41" s="114">
        <v>0</v>
      </c>
      <c r="AS41" s="114">
        <v>0</v>
      </c>
      <c r="AT41" s="114">
        <v>0</v>
      </c>
      <c r="AU41" s="114">
        <v>0</v>
      </c>
      <c r="AV41" s="114">
        <v>0</v>
      </c>
      <c r="AW41" s="114">
        <v>0</v>
      </c>
      <c r="AX41" s="114">
        <v>0</v>
      </c>
      <c r="AY41" s="114">
        <v>0</v>
      </c>
      <c r="AZ41" s="114">
        <v>0</v>
      </c>
      <c r="BA41" s="114">
        <v>0</v>
      </c>
      <c r="BB41" s="114">
        <v>0</v>
      </c>
      <c r="BC41" s="114">
        <v>0</v>
      </c>
      <c r="BD41" s="114">
        <v>0</v>
      </c>
      <c r="BE41" s="114">
        <v>0</v>
      </c>
      <c r="BF41" s="114">
        <v>0</v>
      </c>
    </row>
    <row r="42" spans="1:58" x14ac:dyDescent="0.15">
      <c r="A42" s="192" t="s">
        <v>232</v>
      </c>
      <c r="B42" s="114">
        <v>0</v>
      </c>
      <c r="C42" s="114">
        <v>0</v>
      </c>
      <c r="D42" s="114">
        <v>0</v>
      </c>
      <c r="E42" s="114">
        <v>0</v>
      </c>
      <c r="F42" s="114">
        <v>0</v>
      </c>
      <c r="G42" s="114">
        <v>0</v>
      </c>
      <c r="H42" s="114">
        <v>0</v>
      </c>
      <c r="I42" s="114">
        <v>0</v>
      </c>
      <c r="J42" s="114">
        <v>0</v>
      </c>
      <c r="K42" s="114">
        <v>0</v>
      </c>
      <c r="L42" s="114">
        <v>0</v>
      </c>
      <c r="M42" s="114">
        <v>0</v>
      </c>
      <c r="N42" s="114">
        <v>0</v>
      </c>
      <c r="O42" s="114">
        <v>0</v>
      </c>
      <c r="P42" s="114">
        <v>0</v>
      </c>
      <c r="Q42" s="114">
        <v>0.8</v>
      </c>
      <c r="R42" s="114">
        <v>0</v>
      </c>
      <c r="S42" s="114">
        <v>0.8</v>
      </c>
      <c r="T42" s="114">
        <v>0.8</v>
      </c>
      <c r="U42" s="114">
        <v>0.8</v>
      </c>
      <c r="V42" s="114">
        <v>0.8</v>
      </c>
      <c r="W42" s="114">
        <v>0</v>
      </c>
      <c r="X42" s="114">
        <v>0</v>
      </c>
      <c r="Y42" s="114">
        <v>0</v>
      </c>
      <c r="Z42" s="114">
        <v>0</v>
      </c>
      <c r="AA42" s="114">
        <v>0</v>
      </c>
      <c r="AB42" s="114">
        <v>0</v>
      </c>
      <c r="AC42" s="114">
        <v>0</v>
      </c>
      <c r="AD42" s="114">
        <v>0</v>
      </c>
      <c r="AE42" s="114">
        <v>0</v>
      </c>
      <c r="AF42" s="114">
        <v>0</v>
      </c>
      <c r="AG42" s="114">
        <v>0</v>
      </c>
      <c r="AH42" s="114">
        <v>0</v>
      </c>
      <c r="AI42" s="114">
        <v>0</v>
      </c>
      <c r="AJ42" s="114">
        <v>0</v>
      </c>
      <c r="AK42" s="114">
        <v>0</v>
      </c>
      <c r="AL42" s="114">
        <v>0</v>
      </c>
      <c r="AM42" s="114">
        <v>0</v>
      </c>
      <c r="AN42" s="114">
        <v>0</v>
      </c>
      <c r="AO42" s="114">
        <v>0</v>
      </c>
      <c r="AP42" s="114">
        <v>0</v>
      </c>
      <c r="AQ42" s="114">
        <v>0</v>
      </c>
      <c r="AR42" s="114">
        <v>0</v>
      </c>
      <c r="AS42" s="114">
        <v>0</v>
      </c>
      <c r="AT42" s="114">
        <v>0</v>
      </c>
      <c r="AU42" s="114">
        <v>0</v>
      </c>
      <c r="AV42" s="114">
        <v>0</v>
      </c>
      <c r="AW42" s="114">
        <v>0</v>
      </c>
      <c r="AX42" s="114">
        <v>0</v>
      </c>
      <c r="AY42" s="114">
        <v>0</v>
      </c>
      <c r="AZ42" s="114">
        <v>0</v>
      </c>
      <c r="BA42" s="114">
        <v>0</v>
      </c>
      <c r="BB42" s="114">
        <v>0</v>
      </c>
      <c r="BC42" s="114">
        <v>0</v>
      </c>
      <c r="BD42" s="114">
        <v>0</v>
      </c>
      <c r="BE42" s="114">
        <v>0</v>
      </c>
      <c r="BF42" s="114">
        <v>0</v>
      </c>
    </row>
    <row r="43" spans="1:58" x14ac:dyDescent="0.15">
      <c r="A43" s="192" t="s">
        <v>233</v>
      </c>
      <c r="B43" s="114">
        <v>0.8</v>
      </c>
      <c r="C43" s="114">
        <v>0.8</v>
      </c>
      <c r="D43" s="114">
        <v>0.8</v>
      </c>
      <c r="E43" s="114">
        <v>0.8</v>
      </c>
      <c r="F43" s="114">
        <v>0</v>
      </c>
      <c r="G43" s="114">
        <v>0.8</v>
      </c>
      <c r="H43" s="114">
        <v>0.8</v>
      </c>
      <c r="I43" s="114">
        <v>0.8</v>
      </c>
      <c r="J43" s="114">
        <v>0.8</v>
      </c>
      <c r="K43" s="114">
        <v>0.8</v>
      </c>
      <c r="L43" s="114">
        <v>0</v>
      </c>
      <c r="M43" s="114">
        <v>0</v>
      </c>
      <c r="N43" s="114">
        <v>0.8</v>
      </c>
      <c r="O43" s="114">
        <v>0.8</v>
      </c>
      <c r="P43" s="114">
        <v>0</v>
      </c>
      <c r="Q43" s="114">
        <v>0.8</v>
      </c>
      <c r="R43" s="114">
        <v>0.8</v>
      </c>
      <c r="S43" s="114">
        <v>0.8</v>
      </c>
      <c r="T43" s="114">
        <v>0.8</v>
      </c>
      <c r="U43" s="114">
        <v>0.8</v>
      </c>
      <c r="V43" s="114">
        <v>0.8</v>
      </c>
      <c r="W43" s="114">
        <v>0.8</v>
      </c>
      <c r="X43" s="114">
        <v>0</v>
      </c>
      <c r="Y43" s="114">
        <v>0.8</v>
      </c>
      <c r="Z43" s="114">
        <v>0.8</v>
      </c>
      <c r="AA43" s="114">
        <v>0.8</v>
      </c>
      <c r="AB43" s="114">
        <v>0.8</v>
      </c>
      <c r="AC43" s="114">
        <v>0.8</v>
      </c>
      <c r="AD43" s="114">
        <v>0</v>
      </c>
      <c r="AE43" s="114">
        <v>0</v>
      </c>
      <c r="AF43" s="114">
        <v>0</v>
      </c>
      <c r="AG43" s="114">
        <v>0.8</v>
      </c>
      <c r="AH43" s="114">
        <v>0</v>
      </c>
      <c r="AI43" s="114">
        <v>0.8</v>
      </c>
      <c r="AJ43" s="114">
        <v>0.8</v>
      </c>
      <c r="AK43" s="114">
        <v>0.8</v>
      </c>
      <c r="AL43" s="114">
        <v>0</v>
      </c>
      <c r="AM43" s="114">
        <v>0</v>
      </c>
      <c r="AN43" s="114">
        <v>0</v>
      </c>
      <c r="AO43" s="114">
        <v>0.8</v>
      </c>
      <c r="AP43" s="114">
        <v>0.8</v>
      </c>
      <c r="AQ43" s="114">
        <v>0.8</v>
      </c>
      <c r="AR43" s="114">
        <v>0</v>
      </c>
      <c r="AS43" s="114">
        <v>0</v>
      </c>
      <c r="AT43" s="114">
        <v>0</v>
      </c>
      <c r="AU43" s="114">
        <v>0</v>
      </c>
      <c r="AV43" s="114">
        <v>0.8</v>
      </c>
      <c r="AW43" s="114">
        <v>0</v>
      </c>
      <c r="AX43" s="114">
        <v>0</v>
      </c>
      <c r="AY43" s="114">
        <v>0</v>
      </c>
      <c r="AZ43" s="114">
        <v>0</v>
      </c>
      <c r="BA43" s="114">
        <v>0</v>
      </c>
      <c r="BB43" s="114">
        <v>0</v>
      </c>
      <c r="BC43" s="114">
        <v>0</v>
      </c>
      <c r="BD43" s="114">
        <v>0</v>
      </c>
      <c r="BE43" s="114">
        <v>0</v>
      </c>
      <c r="BF43" s="114">
        <v>0</v>
      </c>
    </row>
    <row r="44" spans="1:58" x14ac:dyDescent="0.15">
      <c r="A44" s="192" t="s">
        <v>234</v>
      </c>
      <c r="B44" s="114">
        <v>0.8</v>
      </c>
      <c r="C44" s="114">
        <v>0.8</v>
      </c>
      <c r="D44" s="114">
        <v>0.8</v>
      </c>
      <c r="E44" s="114">
        <v>0.8</v>
      </c>
      <c r="F44" s="114">
        <v>0</v>
      </c>
      <c r="G44" s="114">
        <v>0</v>
      </c>
      <c r="H44" s="114">
        <v>0.8</v>
      </c>
      <c r="I44" s="114">
        <v>0.8</v>
      </c>
      <c r="J44" s="114">
        <v>0.8</v>
      </c>
      <c r="K44" s="114">
        <v>0.8</v>
      </c>
      <c r="L44" s="114">
        <v>0.8</v>
      </c>
      <c r="M44" s="114">
        <v>0.8</v>
      </c>
      <c r="N44" s="114">
        <v>0.8</v>
      </c>
      <c r="O44" s="114">
        <v>0.8</v>
      </c>
      <c r="P44" s="114">
        <v>0.8</v>
      </c>
      <c r="Q44" s="114">
        <v>0</v>
      </c>
      <c r="R44" s="114">
        <v>0.8</v>
      </c>
      <c r="S44" s="114">
        <v>0</v>
      </c>
      <c r="T44" s="114">
        <v>0</v>
      </c>
      <c r="U44" s="114">
        <v>0</v>
      </c>
      <c r="V44" s="114">
        <v>0.8</v>
      </c>
      <c r="W44" s="114">
        <v>0.8</v>
      </c>
      <c r="X44" s="114">
        <v>0</v>
      </c>
      <c r="Y44" s="114">
        <v>0.8</v>
      </c>
      <c r="Z44" s="114">
        <v>0.8</v>
      </c>
      <c r="AA44" s="114">
        <v>0.8</v>
      </c>
      <c r="AB44" s="114">
        <v>0.8</v>
      </c>
      <c r="AC44" s="114">
        <v>0.8</v>
      </c>
      <c r="AD44" s="114">
        <v>0.8</v>
      </c>
      <c r="AE44" s="114">
        <v>0.8</v>
      </c>
      <c r="AF44" s="114">
        <v>0.8</v>
      </c>
      <c r="AG44" s="114">
        <v>0.8</v>
      </c>
      <c r="AH44" s="114">
        <v>0.8</v>
      </c>
      <c r="AI44" s="114">
        <v>0</v>
      </c>
      <c r="AJ44" s="114">
        <v>0.8</v>
      </c>
      <c r="AK44" s="114">
        <v>0</v>
      </c>
      <c r="AL44" s="114">
        <v>0</v>
      </c>
      <c r="AM44" s="114">
        <v>0</v>
      </c>
      <c r="AN44" s="114">
        <v>0.8</v>
      </c>
      <c r="AO44" s="114">
        <v>0.8</v>
      </c>
      <c r="AP44" s="114">
        <v>0.8</v>
      </c>
      <c r="AQ44" s="114">
        <v>0.8</v>
      </c>
      <c r="AR44" s="114">
        <v>0</v>
      </c>
      <c r="AS44" s="114">
        <v>0.8</v>
      </c>
      <c r="AT44" s="114">
        <v>0</v>
      </c>
      <c r="AU44" s="114">
        <v>0.8</v>
      </c>
      <c r="AV44" s="114">
        <v>0.8</v>
      </c>
      <c r="AW44" s="114">
        <v>0.8</v>
      </c>
      <c r="AX44" s="114">
        <v>0.8</v>
      </c>
      <c r="AY44" s="114">
        <v>0</v>
      </c>
      <c r="AZ44" s="114">
        <v>0</v>
      </c>
      <c r="BA44" s="114">
        <v>0</v>
      </c>
      <c r="BB44" s="114">
        <v>0</v>
      </c>
      <c r="BC44" s="114">
        <v>0</v>
      </c>
      <c r="BD44" s="114">
        <v>0</v>
      </c>
      <c r="BE44" s="114">
        <v>0</v>
      </c>
      <c r="BF44" s="114">
        <v>0</v>
      </c>
    </row>
    <row r="45" spans="1:58" x14ac:dyDescent="0.15">
      <c r="A45" s="192" t="s">
        <v>235</v>
      </c>
      <c r="B45" s="114">
        <v>0</v>
      </c>
      <c r="C45" s="114">
        <v>0</v>
      </c>
      <c r="D45" s="114">
        <v>0.8</v>
      </c>
      <c r="E45" s="114">
        <v>0</v>
      </c>
      <c r="F45" s="114">
        <v>0</v>
      </c>
      <c r="G45" s="114">
        <v>0</v>
      </c>
      <c r="H45" s="114">
        <v>0.8</v>
      </c>
      <c r="I45" s="114">
        <v>0.8</v>
      </c>
      <c r="J45" s="114">
        <v>0.8</v>
      </c>
      <c r="K45" s="114">
        <v>0.8</v>
      </c>
      <c r="L45" s="114">
        <v>0.8</v>
      </c>
      <c r="M45" s="114">
        <v>0.8</v>
      </c>
      <c r="N45" s="114">
        <v>0</v>
      </c>
      <c r="O45" s="114">
        <v>0.8</v>
      </c>
      <c r="P45" s="114">
        <v>0.8</v>
      </c>
      <c r="Q45" s="114">
        <v>0</v>
      </c>
      <c r="R45" s="114">
        <v>0.8</v>
      </c>
      <c r="S45" s="114">
        <v>0</v>
      </c>
      <c r="T45" s="114">
        <v>0</v>
      </c>
      <c r="U45" s="114">
        <v>0</v>
      </c>
      <c r="V45" s="114">
        <v>0</v>
      </c>
      <c r="W45" s="114">
        <v>0.8</v>
      </c>
      <c r="X45" s="114">
        <v>0</v>
      </c>
      <c r="Y45" s="114">
        <v>0.8</v>
      </c>
      <c r="Z45" s="114">
        <v>0.8</v>
      </c>
      <c r="AA45" s="114">
        <v>0.8</v>
      </c>
      <c r="AB45" s="114">
        <v>0.8</v>
      </c>
      <c r="AC45" s="114">
        <v>0</v>
      </c>
      <c r="AD45" s="114">
        <v>0</v>
      </c>
      <c r="AE45" s="114">
        <v>0.8</v>
      </c>
      <c r="AF45" s="114">
        <v>0</v>
      </c>
      <c r="AG45" s="114">
        <v>0.8</v>
      </c>
      <c r="AH45" s="114">
        <v>0.8</v>
      </c>
      <c r="AI45" s="114">
        <v>0</v>
      </c>
      <c r="AJ45" s="114">
        <v>0.8</v>
      </c>
      <c r="AK45" s="114">
        <v>0.8</v>
      </c>
      <c r="AL45" s="114">
        <v>0.8</v>
      </c>
      <c r="AM45" s="114">
        <v>0</v>
      </c>
      <c r="AN45" s="114">
        <v>0.8</v>
      </c>
      <c r="AO45" s="114">
        <v>0.8</v>
      </c>
      <c r="AP45" s="114">
        <v>0.8</v>
      </c>
      <c r="AQ45" s="114">
        <v>0.8</v>
      </c>
      <c r="AR45" s="114">
        <v>0.8</v>
      </c>
      <c r="AS45" s="114">
        <v>0.8</v>
      </c>
      <c r="AT45" s="114">
        <v>0</v>
      </c>
      <c r="AU45" s="114">
        <v>0.8</v>
      </c>
      <c r="AV45" s="114">
        <v>0.8</v>
      </c>
      <c r="AW45" s="114">
        <v>0.8</v>
      </c>
      <c r="AX45" s="114">
        <v>0.8</v>
      </c>
      <c r="AY45" s="114">
        <v>0</v>
      </c>
      <c r="AZ45" s="114">
        <v>0.8</v>
      </c>
      <c r="BA45" s="114">
        <v>0</v>
      </c>
      <c r="BB45" s="114">
        <v>0.8</v>
      </c>
      <c r="BC45" s="114">
        <v>0</v>
      </c>
      <c r="BD45" s="114">
        <v>0</v>
      </c>
      <c r="BE45" s="114">
        <v>0</v>
      </c>
      <c r="BF45" s="114">
        <v>0</v>
      </c>
    </row>
    <row r="46" spans="1:58" x14ac:dyDescent="0.15">
      <c r="A46" s="192" t="s">
        <v>236</v>
      </c>
      <c r="B46" s="114">
        <v>0</v>
      </c>
      <c r="C46" s="114">
        <v>0</v>
      </c>
      <c r="D46" s="114">
        <v>0.8</v>
      </c>
      <c r="E46" s="114">
        <v>0</v>
      </c>
      <c r="F46" s="114">
        <v>0</v>
      </c>
      <c r="G46" s="114">
        <v>0</v>
      </c>
      <c r="H46" s="114">
        <v>0</v>
      </c>
      <c r="I46" s="114">
        <v>0</v>
      </c>
      <c r="J46" s="114">
        <v>0.8</v>
      </c>
      <c r="K46" s="114">
        <v>0.8</v>
      </c>
      <c r="L46" s="114">
        <v>0.8</v>
      </c>
      <c r="M46" s="114">
        <v>0.8</v>
      </c>
      <c r="N46" s="114">
        <v>0</v>
      </c>
      <c r="O46" s="114">
        <v>0</v>
      </c>
      <c r="P46" s="114">
        <v>0</v>
      </c>
      <c r="Q46" s="114">
        <v>0</v>
      </c>
      <c r="R46" s="114">
        <v>0</v>
      </c>
      <c r="S46" s="114">
        <v>0</v>
      </c>
      <c r="T46" s="114">
        <v>0</v>
      </c>
      <c r="U46" s="114">
        <v>0</v>
      </c>
      <c r="V46" s="114">
        <v>0</v>
      </c>
      <c r="W46" s="114">
        <v>0</v>
      </c>
      <c r="X46" s="114">
        <v>0</v>
      </c>
      <c r="Y46" s="114">
        <v>0.8</v>
      </c>
      <c r="Z46" s="114">
        <v>0.8</v>
      </c>
      <c r="AA46" s="114">
        <v>0.8</v>
      </c>
      <c r="AB46" s="114">
        <v>0</v>
      </c>
      <c r="AC46" s="114">
        <v>0</v>
      </c>
      <c r="AD46" s="114">
        <v>0</v>
      </c>
      <c r="AE46" s="114">
        <v>0</v>
      </c>
      <c r="AF46" s="114">
        <v>0</v>
      </c>
      <c r="AG46" s="114">
        <v>0.8</v>
      </c>
      <c r="AH46" s="114">
        <v>0.8</v>
      </c>
      <c r="AI46" s="114">
        <v>0</v>
      </c>
      <c r="AJ46" s="114">
        <v>0</v>
      </c>
      <c r="AK46" s="114">
        <v>0</v>
      </c>
      <c r="AL46" s="114">
        <v>0</v>
      </c>
      <c r="AM46" s="114">
        <v>0</v>
      </c>
      <c r="AN46" s="114">
        <v>0.8</v>
      </c>
      <c r="AO46" s="114">
        <v>0</v>
      </c>
      <c r="AP46" s="114">
        <v>0</v>
      </c>
      <c r="AQ46" s="114">
        <v>0.8</v>
      </c>
      <c r="AR46" s="114">
        <v>0.8</v>
      </c>
      <c r="AS46" s="114">
        <v>0.8</v>
      </c>
      <c r="AT46" s="114">
        <v>0</v>
      </c>
      <c r="AU46" s="114">
        <v>0.8</v>
      </c>
      <c r="AV46" s="114">
        <v>0.8</v>
      </c>
      <c r="AW46" s="114">
        <v>0.8</v>
      </c>
      <c r="AX46" s="114">
        <v>0.8</v>
      </c>
      <c r="AY46" s="114">
        <v>0</v>
      </c>
      <c r="AZ46" s="114">
        <v>0.8</v>
      </c>
      <c r="BA46" s="114">
        <v>0</v>
      </c>
      <c r="BB46" s="114">
        <v>0.8</v>
      </c>
      <c r="BC46" s="114">
        <v>0</v>
      </c>
      <c r="BD46" s="114">
        <v>0</v>
      </c>
      <c r="BE46" s="114">
        <v>0</v>
      </c>
      <c r="BF46" s="114">
        <v>0</v>
      </c>
    </row>
    <row r="47" spans="1:58" x14ac:dyDescent="0.15">
      <c r="A47" s="192" t="s">
        <v>237</v>
      </c>
      <c r="B47" s="114">
        <v>0</v>
      </c>
      <c r="C47" s="114">
        <v>0</v>
      </c>
      <c r="D47" s="114">
        <v>0</v>
      </c>
      <c r="E47" s="114">
        <v>0</v>
      </c>
      <c r="F47" s="114">
        <v>0</v>
      </c>
      <c r="G47" s="114">
        <v>0</v>
      </c>
      <c r="H47" s="114">
        <v>0</v>
      </c>
      <c r="I47" s="114">
        <v>0.8</v>
      </c>
      <c r="J47" s="114">
        <v>0.8</v>
      </c>
      <c r="K47" s="114">
        <v>0</v>
      </c>
      <c r="L47" s="114">
        <v>0</v>
      </c>
      <c r="M47" s="114">
        <v>0</v>
      </c>
      <c r="N47" s="114">
        <v>0</v>
      </c>
      <c r="O47" s="114">
        <v>0</v>
      </c>
      <c r="P47" s="114">
        <v>0</v>
      </c>
      <c r="Q47" s="114">
        <v>0</v>
      </c>
      <c r="R47" s="114">
        <v>0</v>
      </c>
      <c r="S47" s="114">
        <v>0</v>
      </c>
      <c r="T47" s="114">
        <v>0</v>
      </c>
      <c r="U47" s="114">
        <v>0</v>
      </c>
      <c r="V47" s="114">
        <v>0</v>
      </c>
      <c r="W47" s="114">
        <v>0.8</v>
      </c>
      <c r="X47" s="114">
        <v>0</v>
      </c>
      <c r="Y47" s="114">
        <v>0.8</v>
      </c>
      <c r="Z47" s="114">
        <v>0.8</v>
      </c>
      <c r="AA47" s="114">
        <v>0.8</v>
      </c>
      <c r="AB47" s="114">
        <v>0</v>
      </c>
      <c r="AC47" s="114">
        <v>0</v>
      </c>
      <c r="AD47" s="114">
        <v>0</v>
      </c>
      <c r="AE47" s="114">
        <v>0</v>
      </c>
      <c r="AF47" s="114">
        <v>0</v>
      </c>
      <c r="AG47" s="114">
        <v>0</v>
      </c>
      <c r="AH47" s="114">
        <v>0.8</v>
      </c>
      <c r="AI47" s="114">
        <v>0</v>
      </c>
      <c r="AJ47" s="114">
        <v>0</v>
      </c>
      <c r="AK47" s="114">
        <v>0</v>
      </c>
      <c r="AL47" s="114">
        <v>0</v>
      </c>
      <c r="AM47" s="114">
        <v>0</v>
      </c>
      <c r="AN47" s="114">
        <v>0</v>
      </c>
      <c r="AO47" s="114">
        <v>0</v>
      </c>
      <c r="AP47" s="114">
        <v>0</v>
      </c>
      <c r="AQ47" s="114">
        <v>0</v>
      </c>
      <c r="AR47" s="114">
        <v>0</v>
      </c>
      <c r="AS47" s="114">
        <v>0</v>
      </c>
      <c r="AT47" s="114">
        <v>0</v>
      </c>
      <c r="AU47" s="114">
        <v>0.8</v>
      </c>
      <c r="AV47" s="114">
        <v>0</v>
      </c>
      <c r="AW47" s="114">
        <v>0</v>
      </c>
      <c r="AX47" s="114">
        <v>0</v>
      </c>
      <c r="AY47" s="114">
        <v>0</v>
      </c>
      <c r="AZ47" s="114">
        <v>0</v>
      </c>
      <c r="BA47" s="114">
        <v>0</v>
      </c>
      <c r="BB47" s="114">
        <v>0</v>
      </c>
      <c r="BC47" s="114">
        <v>0</v>
      </c>
      <c r="BD47" s="114">
        <v>0</v>
      </c>
      <c r="BE47" s="114">
        <v>0</v>
      </c>
      <c r="BF47" s="114">
        <v>0</v>
      </c>
    </row>
    <row r="48" spans="1:58" x14ac:dyDescent="0.15">
      <c r="A48" s="192" t="s">
        <v>238</v>
      </c>
      <c r="B48" s="114">
        <v>0</v>
      </c>
      <c r="C48" s="114">
        <v>0</v>
      </c>
      <c r="D48" s="114">
        <v>0</v>
      </c>
      <c r="E48" s="114">
        <v>0</v>
      </c>
      <c r="F48" s="114">
        <v>0</v>
      </c>
      <c r="G48" s="114">
        <v>0.8</v>
      </c>
      <c r="H48" s="114">
        <v>0</v>
      </c>
      <c r="I48" s="114">
        <v>0.8</v>
      </c>
      <c r="J48" s="114">
        <v>0</v>
      </c>
      <c r="K48" s="114">
        <v>0</v>
      </c>
      <c r="L48" s="114">
        <v>0</v>
      </c>
      <c r="M48" s="114">
        <v>0</v>
      </c>
      <c r="N48" s="114">
        <v>0.8</v>
      </c>
      <c r="O48" s="114">
        <v>0.8</v>
      </c>
      <c r="P48" s="114">
        <v>0</v>
      </c>
      <c r="Q48" s="114">
        <v>0.8</v>
      </c>
      <c r="R48" s="114">
        <v>0</v>
      </c>
      <c r="S48" s="114">
        <v>0.8</v>
      </c>
      <c r="T48" s="114">
        <v>0.8</v>
      </c>
      <c r="U48" s="114">
        <v>0.8</v>
      </c>
      <c r="V48" s="114">
        <v>0.8</v>
      </c>
      <c r="W48" s="114">
        <v>0</v>
      </c>
      <c r="X48" s="114">
        <v>0</v>
      </c>
      <c r="Y48" s="114">
        <v>0</v>
      </c>
      <c r="Z48" s="114">
        <v>0</v>
      </c>
      <c r="AA48" s="114">
        <v>0</v>
      </c>
      <c r="AB48" s="114">
        <v>0</v>
      </c>
      <c r="AC48" s="114">
        <v>0</v>
      </c>
      <c r="AD48" s="114">
        <v>0</v>
      </c>
      <c r="AE48" s="114">
        <v>0</v>
      </c>
      <c r="AF48" s="114">
        <v>0</v>
      </c>
      <c r="AG48" s="114">
        <v>0</v>
      </c>
      <c r="AH48" s="114">
        <v>0</v>
      </c>
      <c r="AI48" s="114">
        <v>0</v>
      </c>
      <c r="AJ48" s="114">
        <v>0</v>
      </c>
      <c r="AK48" s="114">
        <v>0</v>
      </c>
      <c r="AL48" s="114">
        <v>0</v>
      </c>
      <c r="AM48" s="114">
        <v>0</v>
      </c>
      <c r="AN48" s="114">
        <v>0</v>
      </c>
      <c r="AO48" s="114">
        <v>0</v>
      </c>
      <c r="AP48" s="114">
        <v>0</v>
      </c>
      <c r="AQ48" s="114">
        <v>0</v>
      </c>
      <c r="AR48" s="114">
        <v>0</v>
      </c>
      <c r="AS48" s="114">
        <v>0</v>
      </c>
      <c r="AT48" s="114">
        <v>0</v>
      </c>
      <c r="AU48" s="114">
        <v>0</v>
      </c>
      <c r="AV48" s="114">
        <v>0</v>
      </c>
      <c r="AW48" s="114">
        <v>0</v>
      </c>
      <c r="AX48" s="114">
        <v>0</v>
      </c>
      <c r="AY48" s="114">
        <v>0</v>
      </c>
      <c r="AZ48" s="114">
        <v>0</v>
      </c>
      <c r="BA48" s="114">
        <v>0</v>
      </c>
      <c r="BB48" s="114">
        <v>0</v>
      </c>
      <c r="BC48" s="114">
        <v>0</v>
      </c>
      <c r="BD48" s="114">
        <v>0</v>
      </c>
      <c r="BE48" s="114">
        <v>0</v>
      </c>
      <c r="BF48" s="114">
        <v>0</v>
      </c>
    </row>
    <row r="49" spans="1:58" x14ac:dyDescent="0.15">
      <c r="A49" s="192" t="s">
        <v>239</v>
      </c>
      <c r="B49" s="114">
        <v>0</v>
      </c>
      <c r="C49" s="114">
        <v>0.8</v>
      </c>
      <c r="D49" s="114">
        <v>0.8</v>
      </c>
      <c r="E49" s="114">
        <v>0</v>
      </c>
      <c r="F49" s="114">
        <v>0.8</v>
      </c>
      <c r="G49" s="114">
        <v>0</v>
      </c>
      <c r="H49" s="114">
        <v>0.8</v>
      </c>
      <c r="I49" s="114">
        <v>0</v>
      </c>
      <c r="J49" s="114">
        <v>0.8</v>
      </c>
      <c r="K49" s="114">
        <v>0</v>
      </c>
      <c r="L49" s="114">
        <v>0</v>
      </c>
      <c r="M49" s="114">
        <v>0</v>
      </c>
      <c r="N49" s="114">
        <v>0.8</v>
      </c>
      <c r="O49" s="114">
        <v>0.8</v>
      </c>
      <c r="P49" s="114">
        <v>0</v>
      </c>
      <c r="Q49" s="114">
        <v>0.8</v>
      </c>
      <c r="R49" s="114">
        <v>0.8</v>
      </c>
      <c r="S49" s="114">
        <v>0.8</v>
      </c>
      <c r="T49" s="114">
        <v>0.8</v>
      </c>
      <c r="U49" s="114">
        <v>0.8</v>
      </c>
      <c r="V49" s="114">
        <v>0.8</v>
      </c>
      <c r="W49" s="114">
        <v>0</v>
      </c>
      <c r="X49" s="114">
        <v>0</v>
      </c>
      <c r="Y49" s="114">
        <v>0.8</v>
      </c>
      <c r="Z49" s="114">
        <v>0.8</v>
      </c>
      <c r="AA49" s="114">
        <v>0.8</v>
      </c>
      <c r="AB49" s="114">
        <v>0.8</v>
      </c>
      <c r="AC49" s="114">
        <v>0.8</v>
      </c>
      <c r="AD49" s="114">
        <v>0</v>
      </c>
      <c r="AE49" s="114">
        <v>0</v>
      </c>
      <c r="AF49" s="114">
        <v>0.8</v>
      </c>
      <c r="AG49" s="114">
        <v>0</v>
      </c>
      <c r="AH49" s="114">
        <v>0</v>
      </c>
      <c r="AI49" s="114">
        <v>0</v>
      </c>
      <c r="AJ49" s="114">
        <v>0.8</v>
      </c>
      <c r="AK49" s="114">
        <v>0</v>
      </c>
      <c r="AL49" s="114">
        <v>0</v>
      </c>
      <c r="AM49" s="114">
        <v>0</v>
      </c>
      <c r="AN49" s="114">
        <v>0</v>
      </c>
      <c r="AO49" s="114">
        <v>0.8</v>
      </c>
      <c r="AP49" s="114">
        <v>0.8</v>
      </c>
      <c r="AQ49" s="114">
        <v>0</v>
      </c>
      <c r="AR49" s="114">
        <v>0</v>
      </c>
      <c r="AS49" s="114">
        <v>0</v>
      </c>
      <c r="AT49" s="114">
        <v>0</v>
      </c>
      <c r="AU49" s="114">
        <v>0</v>
      </c>
      <c r="AV49" s="114">
        <v>0.8</v>
      </c>
      <c r="AW49" s="114">
        <v>0.8</v>
      </c>
      <c r="AX49" s="114">
        <v>0</v>
      </c>
      <c r="AY49" s="114">
        <v>0</v>
      </c>
      <c r="AZ49" s="114">
        <v>0</v>
      </c>
      <c r="BA49" s="114">
        <v>0</v>
      </c>
      <c r="BB49" s="114">
        <v>0</v>
      </c>
      <c r="BC49" s="114">
        <v>0</v>
      </c>
      <c r="BD49" s="114">
        <v>0</v>
      </c>
      <c r="BE49" s="114">
        <v>0</v>
      </c>
      <c r="BF49" s="114">
        <v>0</v>
      </c>
    </row>
    <row r="50" spans="1:58" x14ac:dyDescent="0.15">
      <c r="A50" s="192" t="s">
        <v>240</v>
      </c>
      <c r="B50" s="114">
        <v>0.8</v>
      </c>
      <c r="C50" s="114">
        <v>0.8</v>
      </c>
      <c r="D50" s="114">
        <v>0.8</v>
      </c>
      <c r="E50" s="114">
        <v>0.8</v>
      </c>
      <c r="F50" s="114">
        <v>0.8</v>
      </c>
      <c r="G50" s="114">
        <v>0</v>
      </c>
      <c r="H50" s="114">
        <v>0</v>
      </c>
      <c r="I50" s="114">
        <v>0.8</v>
      </c>
      <c r="J50" s="114">
        <v>0.8</v>
      </c>
      <c r="K50" s="114">
        <v>0.8</v>
      </c>
      <c r="L50" s="114">
        <v>0.8</v>
      </c>
      <c r="M50" s="114">
        <v>0</v>
      </c>
      <c r="N50" s="114">
        <v>0</v>
      </c>
      <c r="O50" s="114">
        <v>0.8</v>
      </c>
      <c r="P50" s="114">
        <v>0</v>
      </c>
      <c r="Q50" s="114">
        <v>0</v>
      </c>
      <c r="R50" s="114">
        <v>0.8</v>
      </c>
      <c r="S50" s="114">
        <v>0</v>
      </c>
      <c r="T50" s="114">
        <v>0</v>
      </c>
      <c r="U50" s="114">
        <v>0</v>
      </c>
      <c r="V50" s="114">
        <v>0.8</v>
      </c>
      <c r="W50" s="114">
        <v>0.8</v>
      </c>
      <c r="X50" s="114">
        <v>0.8</v>
      </c>
      <c r="Y50" s="114">
        <v>0.8</v>
      </c>
      <c r="Z50" s="114">
        <v>0.8</v>
      </c>
      <c r="AA50" s="114">
        <v>0.8</v>
      </c>
      <c r="AB50" s="114">
        <v>0</v>
      </c>
      <c r="AC50" s="114">
        <v>0</v>
      </c>
      <c r="AD50" s="114">
        <v>0.8</v>
      </c>
      <c r="AE50" s="114">
        <v>0</v>
      </c>
      <c r="AF50" s="114">
        <v>0.8</v>
      </c>
      <c r="AG50" s="114">
        <v>0.8</v>
      </c>
      <c r="AH50" s="114">
        <v>0</v>
      </c>
      <c r="AI50" s="114">
        <v>0</v>
      </c>
      <c r="AJ50" s="114">
        <v>0.8</v>
      </c>
      <c r="AK50" s="114">
        <v>0.8</v>
      </c>
      <c r="AL50" s="114">
        <v>0</v>
      </c>
      <c r="AM50" s="114">
        <v>0.8</v>
      </c>
      <c r="AN50" s="114">
        <v>0.8</v>
      </c>
      <c r="AO50" s="114">
        <v>0.8</v>
      </c>
      <c r="AP50" s="114">
        <v>0.8</v>
      </c>
      <c r="AQ50" s="114">
        <v>0.8</v>
      </c>
      <c r="AR50" s="114">
        <v>0</v>
      </c>
      <c r="AS50" s="114">
        <v>0</v>
      </c>
      <c r="AT50" s="114">
        <v>0</v>
      </c>
      <c r="AU50" s="114">
        <v>0</v>
      </c>
      <c r="AV50" s="114">
        <v>0</v>
      </c>
      <c r="AW50" s="114">
        <v>0</v>
      </c>
      <c r="AX50" s="114">
        <v>0</v>
      </c>
      <c r="AY50" s="114">
        <v>0</v>
      </c>
      <c r="AZ50" s="114">
        <v>0</v>
      </c>
      <c r="BA50" s="114">
        <v>0</v>
      </c>
      <c r="BB50" s="114">
        <v>0</v>
      </c>
      <c r="BC50" s="114">
        <v>0</v>
      </c>
      <c r="BD50" s="114">
        <v>0</v>
      </c>
      <c r="BE50" s="114">
        <v>0</v>
      </c>
      <c r="BF50" s="114">
        <v>0</v>
      </c>
    </row>
    <row r="51" spans="1:58" x14ac:dyDescent="0.15">
      <c r="A51" s="192" t="s">
        <v>241</v>
      </c>
      <c r="B51" s="114">
        <v>0</v>
      </c>
      <c r="C51" s="114">
        <v>0</v>
      </c>
      <c r="D51" s="114">
        <v>0.8</v>
      </c>
      <c r="E51" s="114">
        <v>0.8</v>
      </c>
      <c r="F51" s="114">
        <v>0.8</v>
      </c>
      <c r="G51" s="114">
        <v>0.8</v>
      </c>
      <c r="H51" s="114">
        <v>0</v>
      </c>
      <c r="I51" s="114">
        <v>0.8</v>
      </c>
      <c r="J51" s="114">
        <v>0.8</v>
      </c>
      <c r="K51" s="114">
        <v>0.8</v>
      </c>
      <c r="L51" s="114">
        <v>0</v>
      </c>
      <c r="M51" s="114">
        <v>0</v>
      </c>
      <c r="N51" s="114">
        <v>0</v>
      </c>
      <c r="O51" s="114">
        <v>0</v>
      </c>
      <c r="P51" s="114">
        <v>0</v>
      </c>
      <c r="Q51" s="114">
        <v>0</v>
      </c>
      <c r="R51" s="114">
        <v>0.8</v>
      </c>
      <c r="S51" s="114">
        <v>0</v>
      </c>
      <c r="T51" s="114">
        <v>0</v>
      </c>
      <c r="U51" s="114">
        <v>0</v>
      </c>
      <c r="V51" s="114">
        <v>0.8</v>
      </c>
      <c r="W51" s="114">
        <v>0.8</v>
      </c>
      <c r="X51" s="114">
        <v>0.8</v>
      </c>
      <c r="Y51" s="114">
        <v>0.8</v>
      </c>
      <c r="Z51" s="114">
        <v>0.8</v>
      </c>
      <c r="AA51" s="114">
        <v>0</v>
      </c>
      <c r="AB51" s="114">
        <v>0</v>
      </c>
      <c r="AC51" s="114">
        <v>0.8</v>
      </c>
      <c r="AD51" s="114">
        <v>0</v>
      </c>
      <c r="AE51" s="114">
        <v>0</v>
      </c>
      <c r="AF51" s="114">
        <v>0.8</v>
      </c>
      <c r="AG51" s="114">
        <v>0</v>
      </c>
      <c r="AH51" s="114">
        <v>0</v>
      </c>
      <c r="AI51" s="114">
        <v>0</v>
      </c>
      <c r="AJ51" s="114">
        <v>0.8</v>
      </c>
      <c r="AK51" s="114">
        <v>0.8</v>
      </c>
      <c r="AL51" s="114">
        <v>0</v>
      </c>
      <c r="AM51" s="114">
        <v>0.8</v>
      </c>
      <c r="AN51" s="114">
        <v>0</v>
      </c>
      <c r="AO51" s="114">
        <v>0.8</v>
      </c>
      <c r="AP51" s="114">
        <v>0</v>
      </c>
      <c r="AQ51" s="114">
        <v>0.8</v>
      </c>
      <c r="AR51" s="114">
        <v>0</v>
      </c>
      <c r="AS51" s="114">
        <v>0</v>
      </c>
      <c r="AT51" s="114">
        <v>0</v>
      </c>
      <c r="AU51" s="114">
        <v>0</v>
      </c>
      <c r="AV51" s="114">
        <v>0</v>
      </c>
      <c r="AW51" s="114">
        <v>0</v>
      </c>
      <c r="AX51" s="114">
        <v>0</v>
      </c>
      <c r="AY51" s="114">
        <v>0.8</v>
      </c>
      <c r="AZ51" s="114">
        <v>0</v>
      </c>
      <c r="BA51" s="114">
        <v>0</v>
      </c>
      <c r="BB51" s="114">
        <v>0</v>
      </c>
      <c r="BC51" s="114">
        <v>0</v>
      </c>
      <c r="BD51" s="114">
        <v>0</v>
      </c>
      <c r="BE51" s="114">
        <v>0</v>
      </c>
      <c r="BF51" s="114">
        <v>0</v>
      </c>
    </row>
    <row r="52" spans="1:58" x14ac:dyDescent="0.15">
      <c r="A52" s="192" t="s">
        <v>242</v>
      </c>
      <c r="B52" s="114">
        <v>0</v>
      </c>
      <c r="C52" s="114">
        <v>0</v>
      </c>
      <c r="D52" s="114">
        <v>0</v>
      </c>
      <c r="E52" s="114">
        <v>0.8</v>
      </c>
      <c r="F52" s="114">
        <v>0</v>
      </c>
      <c r="G52" s="114">
        <v>0</v>
      </c>
      <c r="H52" s="114">
        <v>0</v>
      </c>
      <c r="I52" s="114">
        <v>0</v>
      </c>
      <c r="J52" s="114">
        <v>0</v>
      </c>
      <c r="K52" s="114">
        <v>0</v>
      </c>
      <c r="L52" s="114">
        <v>0</v>
      </c>
      <c r="M52" s="114">
        <v>0</v>
      </c>
      <c r="N52" s="114">
        <v>0</v>
      </c>
      <c r="O52" s="114">
        <v>0</v>
      </c>
      <c r="P52" s="114">
        <v>0</v>
      </c>
      <c r="Q52" s="114">
        <v>0</v>
      </c>
      <c r="R52" s="114">
        <v>0.8</v>
      </c>
      <c r="S52" s="114">
        <v>0</v>
      </c>
      <c r="T52" s="114">
        <v>0</v>
      </c>
      <c r="U52" s="114">
        <v>0</v>
      </c>
      <c r="V52" s="114">
        <v>0</v>
      </c>
      <c r="W52" s="114">
        <v>0.8</v>
      </c>
      <c r="X52" s="114">
        <v>0.8</v>
      </c>
      <c r="Y52" s="114">
        <v>0.8</v>
      </c>
      <c r="Z52" s="114">
        <v>0.8</v>
      </c>
      <c r="AA52" s="114">
        <v>0</v>
      </c>
      <c r="AB52" s="114">
        <v>0</v>
      </c>
      <c r="AC52" s="114">
        <v>0</v>
      </c>
      <c r="AD52" s="114">
        <v>0</v>
      </c>
      <c r="AE52" s="114">
        <v>0</v>
      </c>
      <c r="AF52" s="114">
        <v>0</v>
      </c>
      <c r="AG52" s="114">
        <v>0</v>
      </c>
      <c r="AH52" s="114">
        <v>0.8</v>
      </c>
      <c r="AI52" s="114">
        <v>0</v>
      </c>
      <c r="AJ52" s="114">
        <v>0.8</v>
      </c>
      <c r="AK52" s="114">
        <v>0.8</v>
      </c>
      <c r="AL52" s="114">
        <v>0.8</v>
      </c>
      <c r="AM52" s="114">
        <v>0</v>
      </c>
      <c r="AN52" s="114">
        <v>0</v>
      </c>
      <c r="AO52" s="114">
        <v>0.8</v>
      </c>
      <c r="AP52" s="114">
        <v>0</v>
      </c>
      <c r="AQ52" s="114">
        <v>0</v>
      </c>
      <c r="AR52" s="114">
        <v>0</v>
      </c>
      <c r="AS52" s="114">
        <v>0</v>
      </c>
      <c r="AT52" s="114">
        <v>0</v>
      </c>
      <c r="AU52" s="114">
        <v>0</v>
      </c>
      <c r="AV52" s="114">
        <v>0</v>
      </c>
      <c r="AW52" s="114">
        <v>0</v>
      </c>
      <c r="AX52" s="114">
        <v>0</v>
      </c>
      <c r="AY52" s="114">
        <v>0.8</v>
      </c>
      <c r="AZ52" s="114">
        <v>0</v>
      </c>
      <c r="BA52" s="114">
        <v>0</v>
      </c>
      <c r="BB52" s="114">
        <v>0</v>
      </c>
      <c r="BC52" s="114">
        <v>0</v>
      </c>
      <c r="BD52" s="114">
        <v>0</v>
      </c>
      <c r="BE52" s="114">
        <v>0</v>
      </c>
      <c r="BF52" s="114">
        <v>0</v>
      </c>
    </row>
    <row r="53" spans="1:58" x14ac:dyDescent="0.15">
      <c r="A53" s="192" t="s">
        <v>243</v>
      </c>
      <c r="B53" s="114">
        <v>0</v>
      </c>
      <c r="C53" s="114">
        <v>0</v>
      </c>
      <c r="D53" s="114">
        <v>0</v>
      </c>
      <c r="E53" s="114">
        <v>0.8</v>
      </c>
      <c r="F53" s="114">
        <v>0</v>
      </c>
      <c r="G53" s="114">
        <v>0</v>
      </c>
      <c r="H53" s="114">
        <v>0</v>
      </c>
      <c r="I53" s="114">
        <v>0</v>
      </c>
      <c r="J53" s="114">
        <v>0</v>
      </c>
      <c r="K53" s="114">
        <v>0.8</v>
      </c>
      <c r="L53" s="114">
        <v>0</v>
      </c>
      <c r="M53" s="114">
        <v>0</v>
      </c>
      <c r="N53" s="114">
        <v>0</v>
      </c>
      <c r="O53" s="114">
        <v>0</v>
      </c>
      <c r="P53" s="114">
        <v>0</v>
      </c>
      <c r="Q53" s="114">
        <v>0</v>
      </c>
      <c r="R53" s="114">
        <v>0.8</v>
      </c>
      <c r="S53" s="114">
        <v>0</v>
      </c>
      <c r="T53" s="114">
        <v>0</v>
      </c>
      <c r="U53" s="114">
        <v>0</v>
      </c>
      <c r="V53" s="114">
        <v>0</v>
      </c>
      <c r="W53" s="114">
        <v>0</v>
      </c>
      <c r="X53" s="114">
        <v>0.8</v>
      </c>
      <c r="Y53" s="114">
        <v>0</v>
      </c>
      <c r="Z53" s="114">
        <v>0</v>
      </c>
      <c r="AA53" s="114">
        <v>0</v>
      </c>
      <c r="AB53" s="114">
        <v>0</v>
      </c>
      <c r="AC53" s="114">
        <v>0</v>
      </c>
      <c r="AD53" s="114">
        <v>0</v>
      </c>
      <c r="AE53" s="114">
        <v>0</v>
      </c>
      <c r="AF53" s="114">
        <v>0</v>
      </c>
      <c r="AG53" s="114">
        <v>0</v>
      </c>
      <c r="AH53" s="114">
        <v>0</v>
      </c>
      <c r="AI53" s="114">
        <v>0</v>
      </c>
      <c r="AJ53" s="114">
        <v>0.8</v>
      </c>
      <c r="AK53" s="114">
        <v>0.8</v>
      </c>
      <c r="AL53" s="114">
        <v>0</v>
      </c>
      <c r="AM53" s="114">
        <v>0.8</v>
      </c>
      <c r="AN53" s="114">
        <v>0</v>
      </c>
      <c r="AO53" s="114">
        <v>0.8</v>
      </c>
      <c r="AP53" s="114">
        <v>0</v>
      </c>
      <c r="AQ53" s="114">
        <v>0</v>
      </c>
      <c r="AR53" s="114">
        <v>0</v>
      </c>
      <c r="AS53" s="114">
        <v>0</v>
      </c>
      <c r="AT53" s="114">
        <v>0</v>
      </c>
      <c r="AU53" s="114">
        <v>0</v>
      </c>
      <c r="AV53" s="114">
        <v>0</v>
      </c>
      <c r="AW53" s="114">
        <v>0</v>
      </c>
      <c r="AX53" s="114">
        <v>0</v>
      </c>
      <c r="AY53" s="114">
        <v>0.8</v>
      </c>
      <c r="AZ53" s="114">
        <v>0</v>
      </c>
      <c r="BA53" s="114">
        <v>0</v>
      </c>
      <c r="BB53" s="114">
        <v>0</v>
      </c>
      <c r="BC53" s="114">
        <v>0</v>
      </c>
      <c r="BD53" s="114">
        <v>0</v>
      </c>
      <c r="BE53" s="114">
        <v>0</v>
      </c>
      <c r="BF53" s="114">
        <v>0</v>
      </c>
    </row>
    <row r="54" spans="1:58" x14ac:dyDescent="0.15">
      <c r="A54" s="192" t="s">
        <v>244</v>
      </c>
      <c r="B54" s="114">
        <v>0.8</v>
      </c>
      <c r="C54" s="114">
        <v>0.8</v>
      </c>
      <c r="D54" s="114">
        <v>0.8</v>
      </c>
      <c r="E54" s="114">
        <v>0.8</v>
      </c>
      <c r="F54" s="114">
        <v>0.8</v>
      </c>
      <c r="G54" s="114">
        <v>0.8</v>
      </c>
      <c r="H54" s="114">
        <v>0.8</v>
      </c>
      <c r="I54" s="114">
        <v>0.8</v>
      </c>
      <c r="J54" s="114">
        <v>0.8</v>
      </c>
      <c r="K54" s="114">
        <v>0.8</v>
      </c>
      <c r="L54" s="114">
        <v>0.8</v>
      </c>
      <c r="M54" s="114">
        <v>0</v>
      </c>
      <c r="N54" s="114">
        <v>0.8</v>
      </c>
      <c r="O54" s="114">
        <v>0.8</v>
      </c>
      <c r="P54" s="114">
        <v>0</v>
      </c>
      <c r="Q54" s="114">
        <v>0</v>
      </c>
      <c r="R54" s="114">
        <v>0.8</v>
      </c>
      <c r="S54" s="114">
        <v>0.8</v>
      </c>
      <c r="T54" s="114">
        <v>0.8</v>
      </c>
      <c r="U54" s="114">
        <v>0</v>
      </c>
      <c r="V54" s="114">
        <v>0</v>
      </c>
      <c r="W54" s="114">
        <v>0.8</v>
      </c>
      <c r="X54" s="114">
        <v>0.8</v>
      </c>
      <c r="Y54" s="114">
        <v>0.8</v>
      </c>
      <c r="Z54" s="114">
        <v>0.8</v>
      </c>
      <c r="AA54" s="114">
        <v>0.8</v>
      </c>
      <c r="AB54" s="114">
        <v>0</v>
      </c>
      <c r="AC54" s="114">
        <v>0</v>
      </c>
      <c r="AD54" s="114">
        <v>0.8</v>
      </c>
      <c r="AE54" s="114">
        <v>0.8</v>
      </c>
      <c r="AF54" s="114">
        <v>0.8</v>
      </c>
      <c r="AG54" s="114">
        <v>0.8</v>
      </c>
      <c r="AH54" s="114">
        <v>0.8</v>
      </c>
      <c r="AI54" s="114">
        <v>0.8</v>
      </c>
      <c r="AJ54" s="114">
        <v>0.8</v>
      </c>
      <c r="AK54" s="114">
        <v>0.8</v>
      </c>
      <c r="AL54" s="114">
        <v>0.8</v>
      </c>
      <c r="AM54" s="114">
        <v>0.8</v>
      </c>
      <c r="AN54" s="114">
        <v>0.8</v>
      </c>
      <c r="AO54" s="114">
        <v>0.8</v>
      </c>
      <c r="AP54" s="114">
        <v>0</v>
      </c>
      <c r="AQ54" s="114">
        <v>0.8</v>
      </c>
      <c r="AR54" s="114">
        <v>0</v>
      </c>
      <c r="AS54" s="114">
        <v>0</v>
      </c>
      <c r="AT54" s="114">
        <v>0</v>
      </c>
      <c r="AU54" s="114">
        <v>0</v>
      </c>
      <c r="AV54" s="114">
        <v>0</v>
      </c>
      <c r="AW54" s="114">
        <v>0</v>
      </c>
      <c r="AX54" s="114">
        <v>0</v>
      </c>
      <c r="AY54" s="114">
        <v>0.8</v>
      </c>
      <c r="AZ54" s="114">
        <v>0</v>
      </c>
      <c r="BA54" s="114">
        <v>0.8</v>
      </c>
      <c r="BB54" s="114">
        <v>0.8</v>
      </c>
      <c r="BC54" s="114">
        <v>0</v>
      </c>
      <c r="BD54" s="114">
        <v>0</v>
      </c>
      <c r="BE54" s="114">
        <v>0</v>
      </c>
      <c r="BF54" s="114">
        <v>0</v>
      </c>
    </row>
    <row r="55" spans="1:58" x14ac:dyDescent="0.15">
      <c r="A55" s="192" t="s">
        <v>245</v>
      </c>
      <c r="B55" s="114">
        <v>0</v>
      </c>
      <c r="C55" s="114">
        <v>0</v>
      </c>
      <c r="D55" s="114">
        <v>0</v>
      </c>
      <c r="E55" s="114">
        <v>0</v>
      </c>
      <c r="F55" s="114">
        <v>0</v>
      </c>
      <c r="G55" s="114">
        <v>0</v>
      </c>
      <c r="H55" s="114">
        <v>0</v>
      </c>
      <c r="I55" s="114">
        <v>0</v>
      </c>
      <c r="J55" s="114">
        <v>0</v>
      </c>
      <c r="K55" s="114">
        <v>0</v>
      </c>
      <c r="L55" s="114">
        <v>0</v>
      </c>
      <c r="M55" s="114">
        <v>0</v>
      </c>
      <c r="N55" s="114">
        <v>0</v>
      </c>
      <c r="O55" s="114">
        <v>0</v>
      </c>
      <c r="P55" s="114">
        <v>0</v>
      </c>
      <c r="Q55" s="114">
        <v>0</v>
      </c>
      <c r="R55" s="114">
        <v>0</v>
      </c>
      <c r="S55" s="114">
        <v>0</v>
      </c>
      <c r="T55" s="114">
        <v>0</v>
      </c>
      <c r="U55" s="114">
        <v>0</v>
      </c>
      <c r="V55" s="114">
        <v>0</v>
      </c>
      <c r="W55" s="114">
        <v>0</v>
      </c>
      <c r="X55" s="114">
        <v>0</v>
      </c>
      <c r="Y55" s="114">
        <v>0</v>
      </c>
      <c r="Z55" s="114">
        <v>0</v>
      </c>
      <c r="AA55" s="114">
        <v>0</v>
      </c>
      <c r="AB55" s="114">
        <v>0</v>
      </c>
      <c r="AC55" s="114">
        <v>0</v>
      </c>
      <c r="AD55" s="114">
        <v>0</v>
      </c>
      <c r="AE55" s="114">
        <v>0</v>
      </c>
      <c r="AF55" s="114">
        <v>0</v>
      </c>
      <c r="AG55" s="114">
        <v>0</v>
      </c>
      <c r="AH55" s="114">
        <v>0</v>
      </c>
      <c r="AI55" s="114">
        <v>0</v>
      </c>
      <c r="AJ55" s="114">
        <v>0</v>
      </c>
      <c r="AK55" s="114">
        <v>0</v>
      </c>
      <c r="AL55" s="114">
        <v>0</v>
      </c>
      <c r="AM55" s="114">
        <v>0</v>
      </c>
      <c r="AN55" s="114">
        <v>0</v>
      </c>
      <c r="AO55" s="114">
        <v>0</v>
      </c>
      <c r="AP55" s="114">
        <v>0</v>
      </c>
      <c r="AQ55" s="114">
        <v>0</v>
      </c>
      <c r="AR55" s="114">
        <v>0.8</v>
      </c>
      <c r="AS55" s="114">
        <v>0.8</v>
      </c>
      <c r="AT55" s="114">
        <v>0.8</v>
      </c>
      <c r="AU55" s="114">
        <v>0.8</v>
      </c>
      <c r="AV55" s="114">
        <v>0</v>
      </c>
      <c r="AW55" s="114">
        <v>0</v>
      </c>
      <c r="AX55" s="114">
        <v>0</v>
      </c>
      <c r="AY55" s="114">
        <v>0</v>
      </c>
      <c r="AZ55" s="114">
        <v>0.8</v>
      </c>
      <c r="BA55" s="114">
        <v>0</v>
      </c>
      <c r="BB55" s="114">
        <v>0.8</v>
      </c>
      <c r="BC55" s="114">
        <v>0</v>
      </c>
      <c r="BD55" s="114">
        <v>0</v>
      </c>
      <c r="BE55" s="114">
        <v>0</v>
      </c>
      <c r="BF55" s="114">
        <v>0</v>
      </c>
    </row>
    <row r="56" spans="1:58" x14ac:dyDescent="0.15">
      <c r="A56" s="192" t="s">
        <v>67</v>
      </c>
      <c r="B56" s="114">
        <v>0</v>
      </c>
      <c r="C56" s="114">
        <v>0</v>
      </c>
      <c r="D56" s="114">
        <v>0</v>
      </c>
      <c r="E56" s="114">
        <v>0</v>
      </c>
      <c r="F56" s="114">
        <v>0</v>
      </c>
      <c r="G56" s="114">
        <v>0</v>
      </c>
      <c r="H56" s="114">
        <v>0</v>
      </c>
      <c r="I56" s="114">
        <v>0</v>
      </c>
      <c r="J56" s="114">
        <v>0</v>
      </c>
      <c r="K56" s="114">
        <v>0</v>
      </c>
      <c r="L56" s="114">
        <v>0</v>
      </c>
      <c r="M56" s="114">
        <v>0</v>
      </c>
      <c r="N56" s="114">
        <v>0</v>
      </c>
      <c r="O56" s="114">
        <v>0</v>
      </c>
      <c r="P56" s="114">
        <v>0</v>
      </c>
      <c r="Q56" s="114">
        <v>0</v>
      </c>
      <c r="R56" s="114">
        <v>0</v>
      </c>
      <c r="S56" s="114">
        <v>0</v>
      </c>
      <c r="T56" s="114">
        <v>0</v>
      </c>
      <c r="U56" s="114">
        <v>0</v>
      </c>
      <c r="V56" s="114">
        <v>0</v>
      </c>
      <c r="W56" s="114">
        <v>0</v>
      </c>
      <c r="X56" s="114">
        <v>0</v>
      </c>
      <c r="Y56" s="114">
        <v>0</v>
      </c>
      <c r="Z56" s="114">
        <v>0</v>
      </c>
      <c r="AA56" s="114">
        <v>0</v>
      </c>
      <c r="AB56" s="114">
        <v>0</v>
      </c>
      <c r="AC56" s="114">
        <v>0</v>
      </c>
      <c r="AD56" s="114">
        <v>0</v>
      </c>
      <c r="AE56" s="114">
        <v>0</v>
      </c>
      <c r="AF56" s="114">
        <v>0</v>
      </c>
      <c r="AG56" s="114">
        <v>0</v>
      </c>
      <c r="AH56" s="114">
        <v>0</v>
      </c>
      <c r="AI56" s="114">
        <v>0</v>
      </c>
      <c r="AJ56" s="114">
        <v>0</v>
      </c>
      <c r="AK56" s="114">
        <v>0</v>
      </c>
      <c r="AL56" s="114">
        <v>0</v>
      </c>
      <c r="AM56" s="114">
        <v>0</v>
      </c>
      <c r="AN56" s="114">
        <v>0</v>
      </c>
      <c r="AO56" s="114">
        <v>0</v>
      </c>
      <c r="AP56" s="114">
        <v>0</v>
      </c>
      <c r="AQ56" s="114">
        <v>0</v>
      </c>
      <c r="AR56" s="114">
        <v>0</v>
      </c>
      <c r="AS56" s="114">
        <v>0</v>
      </c>
      <c r="AT56" s="114">
        <v>0</v>
      </c>
      <c r="AU56" s="114">
        <v>0</v>
      </c>
      <c r="AV56" s="114">
        <v>0</v>
      </c>
      <c r="AW56" s="114">
        <v>0</v>
      </c>
      <c r="AX56" s="114">
        <v>0</v>
      </c>
      <c r="AY56" s="114">
        <v>0.8</v>
      </c>
      <c r="AZ56" s="114">
        <v>0</v>
      </c>
      <c r="BA56" s="114">
        <v>0.8</v>
      </c>
      <c r="BB56" s="114">
        <v>0.8</v>
      </c>
      <c r="BC56" s="114">
        <v>0</v>
      </c>
      <c r="BD56" s="114">
        <v>0</v>
      </c>
      <c r="BE56" s="114">
        <v>0</v>
      </c>
      <c r="BF56" s="114">
        <v>0</v>
      </c>
    </row>
    <row r="57" spans="1:58" x14ac:dyDescent="0.15">
      <c r="A57" s="192" t="s">
        <v>246</v>
      </c>
      <c r="B57" s="114">
        <v>0</v>
      </c>
      <c r="C57" s="114">
        <v>0</v>
      </c>
      <c r="D57" s="114">
        <v>0</v>
      </c>
      <c r="E57" s="114">
        <v>0</v>
      </c>
      <c r="F57" s="114">
        <v>0</v>
      </c>
      <c r="G57" s="114">
        <v>0</v>
      </c>
      <c r="H57" s="114">
        <v>0</v>
      </c>
      <c r="I57" s="114">
        <v>0.8</v>
      </c>
      <c r="J57" s="114">
        <v>0</v>
      </c>
      <c r="K57" s="114">
        <v>0</v>
      </c>
      <c r="L57" s="114">
        <v>0</v>
      </c>
      <c r="M57" s="114">
        <v>0</v>
      </c>
      <c r="N57" s="114">
        <v>0</v>
      </c>
      <c r="O57" s="114">
        <v>0</v>
      </c>
      <c r="P57" s="114">
        <v>0</v>
      </c>
      <c r="Q57" s="114">
        <v>0</v>
      </c>
      <c r="R57" s="114">
        <v>0</v>
      </c>
      <c r="S57" s="114">
        <v>0</v>
      </c>
      <c r="T57" s="114">
        <v>0</v>
      </c>
      <c r="U57" s="114">
        <v>0</v>
      </c>
      <c r="V57" s="114">
        <v>0</v>
      </c>
      <c r="W57" s="114">
        <v>0</v>
      </c>
      <c r="X57" s="114">
        <v>0</v>
      </c>
      <c r="Y57" s="114">
        <v>0</v>
      </c>
      <c r="Z57" s="114">
        <v>0</v>
      </c>
      <c r="AA57" s="114">
        <v>0</v>
      </c>
      <c r="AB57" s="114">
        <v>0</v>
      </c>
      <c r="AC57" s="114">
        <v>0</v>
      </c>
      <c r="AD57" s="114">
        <v>0</v>
      </c>
      <c r="AE57" s="114">
        <v>0</v>
      </c>
      <c r="AF57" s="114">
        <v>0</v>
      </c>
      <c r="AG57" s="114">
        <v>0</v>
      </c>
      <c r="AH57" s="114">
        <v>0</v>
      </c>
      <c r="AI57" s="114">
        <v>0</v>
      </c>
      <c r="AJ57" s="114">
        <v>0</v>
      </c>
      <c r="AK57" s="114">
        <v>0</v>
      </c>
      <c r="AL57" s="114">
        <v>0</v>
      </c>
      <c r="AM57" s="114">
        <v>0</v>
      </c>
      <c r="AN57" s="114">
        <v>0</v>
      </c>
      <c r="AO57" s="114">
        <v>0</v>
      </c>
      <c r="AP57" s="114">
        <v>0</v>
      </c>
      <c r="AQ57" s="114">
        <v>0</v>
      </c>
      <c r="AR57" s="114">
        <v>0</v>
      </c>
      <c r="AS57" s="114">
        <v>0</v>
      </c>
      <c r="AT57" s="114">
        <v>0</v>
      </c>
      <c r="AU57" s="114">
        <v>0</v>
      </c>
      <c r="AV57" s="114">
        <v>0</v>
      </c>
      <c r="AW57" s="114">
        <v>0</v>
      </c>
      <c r="AX57" s="114">
        <v>0.8</v>
      </c>
      <c r="AY57" s="114">
        <v>0.8</v>
      </c>
      <c r="AZ57" s="114">
        <v>0.8</v>
      </c>
      <c r="BA57" s="114">
        <v>0.8</v>
      </c>
      <c r="BB57" s="114">
        <v>0.8</v>
      </c>
      <c r="BC57" s="114">
        <v>0</v>
      </c>
      <c r="BD57" s="114">
        <v>0</v>
      </c>
      <c r="BE57" s="114">
        <v>0</v>
      </c>
      <c r="BF57" s="114">
        <v>0</v>
      </c>
    </row>
    <row r="58" spans="1:58" x14ac:dyDescent="0.15">
      <c r="A58" s="192" t="s">
        <v>247</v>
      </c>
      <c r="B58" s="114">
        <v>0</v>
      </c>
      <c r="C58" s="114">
        <v>0</v>
      </c>
      <c r="D58" s="114">
        <v>0</v>
      </c>
      <c r="E58" s="114">
        <v>0</v>
      </c>
      <c r="F58" s="114">
        <v>0</v>
      </c>
      <c r="G58" s="114">
        <v>0</v>
      </c>
      <c r="H58" s="114">
        <v>0</v>
      </c>
      <c r="I58" s="114">
        <v>0</v>
      </c>
      <c r="J58" s="114">
        <v>0</v>
      </c>
      <c r="K58" s="114">
        <v>0</v>
      </c>
      <c r="L58" s="114">
        <v>0</v>
      </c>
      <c r="M58" s="114">
        <v>0</v>
      </c>
      <c r="N58" s="114">
        <v>0</v>
      </c>
      <c r="O58" s="114">
        <v>0</v>
      </c>
      <c r="P58" s="114">
        <v>0</v>
      </c>
      <c r="Q58" s="114">
        <v>0</v>
      </c>
      <c r="R58" s="114">
        <v>0</v>
      </c>
      <c r="S58" s="114">
        <v>0</v>
      </c>
      <c r="T58" s="114">
        <v>0</v>
      </c>
      <c r="U58" s="114">
        <v>0</v>
      </c>
      <c r="V58" s="114">
        <v>0</v>
      </c>
      <c r="W58" s="114">
        <v>0</v>
      </c>
      <c r="X58" s="114">
        <v>0</v>
      </c>
      <c r="Y58" s="114">
        <v>0</v>
      </c>
      <c r="Z58" s="114">
        <v>0</v>
      </c>
      <c r="AA58" s="114">
        <v>0</v>
      </c>
      <c r="AB58" s="114">
        <v>0</v>
      </c>
      <c r="AC58" s="114">
        <v>0</v>
      </c>
      <c r="AD58" s="114">
        <v>0</v>
      </c>
      <c r="AE58" s="114">
        <v>0</v>
      </c>
      <c r="AF58" s="114">
        <v>0</v>
      </c>
      <c r="AG58" s="114">
        <v>0</v>
      </c>
      <c r="AH58" s="114">
        <v>0</v>
      </c>
      <c r="AI58" s="114">
        <v>0</v>
      </c>
      <c r="AJ58" s="114">
        <v>0</v>
      </c>
      <c r="AK58" s="114">
        <v>0</v>
      </c>
      <c r="AL58" s="114">
        <v>0</v>
      </c>
      <c r="AM58" s="114">
        <v>0</v>
      </c>
      <c r="AN58" s="114">
        <v>0</v>
      </c>
      <c r="AO58" s="114">
        <v>0</v>
      </c>
      <c r="AP58" s="114">
        <v>0</v>
      </c>
      <c r="AQ58" s="114">
        <v>0</v>
      </c>
      <c r="AR58" s="114">
        <v>0</v>
      </c>
      <c r="AS58" s="114">
        <v>0</v>
      </c>
      <c r="AT58" s="114">
        <v>0</v>
      </c>
      <c r="AU58" s="114">
        <v>0</v>
      </c>
      <c r="AV58" s="114">
        <v>0</v>
      </c>
      <c r="AW58" s="114">
        <v>0</v>
      </c>
      <c r="AX58" s="114">
        <v>0</v>
      </c>
      <c r="AY58" s="114">
        <v>0</v>
      </c>
      <c r="AZ58" s="114">
        <v>0</v>
      </c>
      <c r="BA58" s="114">
        <v>0</v>
      </c>
      <c r="BB58" s="114">
        <v>0</v>
      </c>
      <c r="BC58" s="114">
        <v>0</v>
      </c>
      <c r="BD58" s="114">
        <v>0</v>
      </c>
      <c r="BE58" s="114">
        <v>0</v>
      </c>
      <c r="BF58" s="114">
        <v>0</v>
      </c>
    </row>
    <row r="59" spans="1:58" x14ac:dyDescent="0.15">
      <c r="A59" s="192" t="s">
        <v>266</v>
      </c>
      <c r="B59" s="114">
        <v>0</v>
      </c>
      <c r="C59" s="114">
        <v>0</v>
      </c>
      <c r="D59" s="114">
        <v>0</v>
      </c>
      <c r="E59" s="114">
        <v>0</v>
      </c>
      <c r="F59" s="114">
        <v>0</v>
      </c>
      <c r="G59" s="114">
        <v>0</v>
      </c>
      <c r="H59" s="114">
        <v>0</v>
      </c>
      <c r="I59" s="114">
        <v>0</v>
      </c>
      <c r="J59" s="114">
        <v>0</v>
      </c>
      <c r="K59" s="114">
        <v>0</v>
      </c>
      <c r="L59" s="114">
        <v>0</v>
      </c>
      <c r="M59" s="114">
        <v>0</v>
      </c>
      <c r="N59" s="114">
        <v>0</v>
      </c>
      <c r="O59" s="114">
        <v>0</v>
      </c>
      <c r="P59" s="114">
        <v>0</v>
      </c>
      <c r="Q59" s="114">
        <v>0</v>
      </c>
      <c r="R59" s="114">
        <v>0</v>
      </c>
      <c r="S59" s="114">
        <v>0</v>
      </c>
      <c r="T59" s="114">
        <v>0</v>
      </c>
      <c r="U59" s="114">
        <v>0</v>
      </c>
      <c r="V59" s="114">
        <v>0</v>
      </c>
      <c r="W59" s="114">
        <v>0</v>
      </c>
      <c r="X59" s="114">
        <v>0</v>
      </c>
      <c r="Y59" s="114">
        <v>0</v>
      </c>
      <c r="Z59" s="114">
        <v>0</v>
      </c>
      <c r="AA59" s="114">
        <v>0</v>
      </c>
      <c r="AB59" s="114">
        <v>0</v>
      </c>
      <c r="AC59" s="114">
        <v>0</v>
      </c>
      <c r="AD59" s="114">
        <v>0</v>
      </c>
      <c r="AE59" s="114">
        <v>0</v>
      </c>
      <c r="AF59" s="114">
        <v>0</v>
      </c>
      <c r="AG59" s="114">
        <v>0</v>
      </c>
      <c r="AH59" s="114">
        <v>0</v>
      </c>
      <c r="AI59" s="114">
        <v>0</v>
      </c>
      <c r="AJ59" s="114">
        <v>0</v>
      </c>
      <c r="AK59" s="114">
        <v>0</v>
      </c>
      <c r="AL59" s="114">
        <v>0</v>
      </c>
      <c r="AM59" s="114">
        <v>0</v>
      </c>
      <c r="AN59" s="114">
        <v>0</v>
      </c>
      <c r="AO59" s="114">
        <v>0</v>
      </c>
      <c r="AP59" s="114">
        <v>0</v>
      </c>
      <c r="AQ59" s="114">
        <v>0</v>
      </c>
      <c r="AR59" s="114">
        <v>0</v>
      </c>
      <c r="AS59" s="114">
        <v>0</v>
      </c>
      <c r="AT59" s="114">
        <v>0</v>
      </c>
      <c r="AU59" s="114">
        <v>0</v>
      </c>
      <c r="AV59" s="114">
        <v>0</v>
      </c>
      <c r="AW59" s="114">
        <v>0</v>
      </c>
      <c r="AX59" s="114">
        <v>0</v>
      </c>
      <c r="AY59" s="114">
        <v>0</v>
      </c>
      <c r="AZ59" s="114">
        <v>0</v>
      </c>
      <c r="BA59" s="114">
        <v>0</v>
      </c>
      <c r="BB59" s="114">
        <v>0</v>
      </c>
      <c r="BC59" s="114">
        <v>0</v>
      </c>
      <c r="BD59" s="114">
        <v>0</v>
      </c>
      <c r="BE59" s="114">
        <v>0</v>
      </c>
      <c r="BF59" s="11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BF59"/>
  <sheetViews>
    <sheetView workbookViewId="0">
      <selection activeCell="A3" sqref="A3"/>
    </sheetView>
  </sheetViews>
  <sheetFormatPr baseColWidth="10" defaultRowHeight="13" x14ac:dyDescent="0.15"/>
  <cols>
    <col min="1" max="1" width="21.6640625" style="114" bestFit="1" customWidth="1"/>
    <col min="2" max="58" width="2.33203125" style="114" customWidth="1"/>
    <col min="59" max="16384" width="10.83203125" style="114"/>
  </cols>
  <sheetData>
    <row r="1" spans="1:58" x14ac:dyDescent="0.15">
      <c r="A1" s="63" t="s">
        <v>139</v>
      </c>
      <c r="B1" s="195" t="s">
        <v>192</v>
      </c>
      <c r="C1" s="195" t="s">
        <v>193</v>
      </c>
      <c r="D1" s="195" t="s">
        <v>194</v>
      </c>
      <c r="E1" s="195" t="s">
        <v>195</v>
      </c>
      <c r="F1" s="195" t="s">
        <v>196</v>
      </c>
      <c r="G1" s="195" t="s">
        <v>197</v>
      </c>
      <c r="H1" s="195" t="s">
        <v>198</v>
      </c>
      <c r="I1" s="195" t="s">
        <v>199</v>
      </c>
      <c r="J1" s="195" t="s">
        <v>200</v>
      </c>
      <c r="K1" s="195" t="s">
        <v>201</v>
      </c>
      <c r="L1" s="195" t="s">
        <v>202</v>
      </c>
      <c r="M1" s="195" t="s">
        <v>203</v>
      </c>
      <c r="N1" s="195" t="s">
        <v>204</v>
      </c>
      <c r="O1" s="195" t="s">
        <v>205</v>
      </c>
      <c r="P1" s="195" t="s">
        <v>206</v>
      </c>
      <c r="Q1" s="195" t="s">
        <v>207</v>
      </c>
      <c r="R1" s="195" t="s">
        <v>208</v>
      </c>
      <c r="S1" s="195" t="s">
        <v>209</v>
      </c>
      <c r="T1" s="195" t="s">
        <v>210</v>
      </c>
      <c r="U1" s="195" t="s">
        <v>211</v>
      </c>
      <c r="V1" s="195" t="s">
        <v>212</v>
      </c>
      <c r="W1" s="195" t="s">
        <v>213</v>
      </c>
      <c r="X1" s="195" t="s">
        <v>214</v>
      </c>
      <c r="Y1" s="195" t="s">
        <v>215</v>
      </c>
      <c r="Z1" s="195" t="s">
        <v>216</v>
      </c>
      <c r="AA1" s="195" t="s">
        <v>217</v>
      </c>
      <c r="AB1" s="195" t="s">
        <v>218</v>
      </c>
      <c r="AC1" s="195" t="s">
        <v>219</v>
      </c>
      <c r="AD1" s="195" t="s">
        <v>220</v>
      </c>
      <c r="AE1" s="195" t="s">
        <v>221</v>
      </c>
      <c r="AF1" s="195" t="s">
        <v>222</v>
      </c>
      <c r="AG1" s="195" t="s">
        <v>223</v>
      </c>
      <c r="AH1" s="195" t="s">
        <v>224</v>
      </c>
      <c r="AI1" s="195" t="s">
        <v>225</v>
      </c>
      <c r="AJ1" s="195" t="s">
        <v>226</v>
      </c>
      <c r="AK1" s="195" t="s">
        <v>227</v>
      </c>
      <c r="AL1" s="195" t="s">
        <v>228</v>
      </c>
      <c r="AM1" s="195" t="s">
        <v>229</v>
      </c>
      <c r="AN1" s="195" t="s">
        <v>230</v>
      </c>
      <c r="AO1" s="195" t="s">
        <v>231</v>
      </c>
      <c r="AP1" s="195" t="s">
        <v>232</v>
      </c>
      <c r="AQ1" s="195" t="s">
        <v>233</v>
      </c>
      <c r="AR1" s="195" t="s">
        <v>234</v>
      </c>
      <c r="AS1" s="195" t="s">
        <v>235</v>
      </c>
      <c r="AT1" s="195" t="s">
        <v>236</v>
      </c>
      <c r="AU1" s="195" t="s">
        <v>237</v>
      </c>
      <c r="AV1" s="195" t="s">
        <v>238</v>
      </c>
      <c r="AW1" s="195" t="s">
        <v>239</v>
      </c>
      <c r="AX1" s="195" t="s">
        <v>240</v>
      </c>
      <c r="AY1" s="195" t="s">
        <v>241</v>
      </c>
      <c r="AZ1" s="195" t="s">
        <v>242</v>
      </c>
      <c r="BA1" s="195" t="s">
        <v>243</v>
      </c>
      <c r="BB1" s="195" t="s">
        <v>244</v>
      </c>
      <c r="BC1" s="195" t="s">
        <v>245</v>
      </c>
      <c r="BD1" s="195" t="s">
        <v>67</v>
      </c>
      <c r="BE1" s="195" t="s">
        <v>246</v>
      </c>
      <c r="BF1" s="195" t="s">
        <v>247</v>
      </c>
    </row>
    <row r="2" spans="1:58" customFormat="1" x14ac:dyDescent="0.15">
      <c r="A2" s="194" t="s">
        <v>192</v>
      </c>
      <c r="B2" s="114">
        <v>0</v>
      </c>
      <c r="C2" s="114">
        <v>1</v>
      </c>
      <c r="D2" s="114">
        <v>0</v>
      </c>
      <c r="E2" s="114">
        <v>0</v>
      </c>
      <c r="F2" s="114">
        <v>0</v>
      </c>
      <c r="G2" s="114">
        <v>1</v>
      </c>
      <c r="H2" s="114">
        <v>0</v>
      </c>
      <c r="I2" s="114">
        <v>1</v>
      </c>
      <c r="J2" s="114">
        <v>0</v>
      </c>
      <c r="K2" s="114">
        <v>0</v>
      </c>
      <c r="L2" s="114">
        <v>0</v>
      </c>
      <c r="M2" s="114">
        <v>0</v>
      </c>
      <c r="N2" s="114">
        <v>0</v>
      </c>
      <c r="O2" s="114">
        <v>0</v>
      </c>
      <c r="P2" s="114">
        <v>0</v>
      </c>
      <c r="Q2" s="114">
        <v>0</v>
      </c>
      <c r="R2" s="114">
        <v>0</v>
      </c>
      <c r="S2" s="114">
        <v>0</v>
      </c>
      <c r="T2" s="114">
        <v>0</v>
      </c>
      <c r="U2" s="114">
        <v>0</v>
      </c>
      <c r="V2" s="114">
        <v>0</v>
      </c>
      <c r="W2" s="114">
        <v>0</v>
      </c>
      <c r="X2" s="114">
        <v>0</v>
      </c>
      <c r="Y2" s="114">
        <v>0</v>
      </c>
      <c r="Z2" s="114">
        <v>0</v>
      </c>
      <c r="AA2" s="114">
        <v>0</v>
      </c>
      <c r="AB2" s="114">
        <v>0</v>
      </c>
      <c r="AC2" s="114">
        <v>0</v>
      </c>
      <c r="AD2" s="114">
        <v>0</v>
      </c>
      <c r="AE2" s="114">
        <v>0</v>
      </c>
      <c r="AF2" s="114">
        <v>0</v>
      </c>
      <c r="AG2" s="114">
        <v>0</v>
      </c>
      <c r="AH2" s="114">
        <v>0</v>
      </c>
      <c r="AI2" s="114">
        <v>1</v>
      </c>
      <c r="AJ2" s="114">
        <v>0</v>
      </c>
      <c r="AK2" s="114">
        <v>0</v>
      </c>
      <c r="AL2" s="114">
        <v>0</v>
      </c>
      <c r="AM2" s="114">
        <v>0</v>
      </c>
      <c r="AN2" s="114">
        <v>0</v>
      </c>
      <c r="AO2" s="114">
        <v>0</v>
      </c>
      <c r="AP2" s="114">
        <v>0</v>
      </c>
      <c r="AQ2" s="114">
        <v>0</v>
      </c>
      <c r="AR2" s="114">
        <v>0</v>
      </c>
      <c r="AS2" s="114">
        <v>0</v>
      </c>
      <c r="AT2" s="114">
        <v>0</v>
      </c>
      <c r="AU2" s="114">
        <v>0</v>
      </c>
      <c r="AV2" s="114">
        <v>0</v>
      </c>
      <c r="AW2" s="114">
        <v>0</v>
      </c>
      <c r="AX2" s="114">
        <v>0</v>
      </c>
      <c r="AY2" s="114">
        <v>0</v>
      </c>
      <c r="AZ2" s="114">
        <v>0</v>
      </c>
      <c r="BA2" s="114">
        <v>0</v>
      </c>
      <c r="BB2" s="114">
        <v>0</v>
      </c>
      <c r="BC2" s="114">
        <v>0</v>
      </c>
      <c r="BD2" s="114">
        <v>0</v>
      </c>
      <c r="BE2" s="114">
        <v>0</v>
      </c>
      <c r="BF2" s="114">
        <v>0</v>
      </c>
    </row>
    <row r="3" spans="1:58" customFormat="1" x14ac:dyDescent="0.15">
      <c r="A3" s="194" t="s">
        <v>193</v>
      </c>
      <c r="B3" s="114">
        <v>0</v>
      </c>
      <c r="C3" s="114">
        <v>0</v>
      </c>
      <c r="D3" s="114">
        <v>0</v>
      </c>
      <c r="E3" s="114">
        <v>0</v>
      </c>
      <c r="F3" s="114">
        <v>0</v>
      </c>
      <c r="G3" s="114">
        <v>1</v>
      </c>
      <c r="H3" s="114">
        <v>0</v>
      </c>
      <c r="I3" s="114">
        <v>1</v>
      </c>
      <c r="J3" s="114">
        <v>0</v>
      </c>
      <c r="K3" s="114">
        <v>0</v>
      </c>
      <c r="L3" s="114">
        <v>0</v>
      </c>
      <c r="M3" s="114">
        <v>0</v>
      </c>
      <c r="N3" s="114">
        <v>0</v>
      </c>
      <c r="O3" s="114">
        <v>0</v>
      </c>
      <c r="P3" s="114">
        <v>0</v>
      </c>
      <c r="Q3" s="114">
        <v>0</v>
      </c>
      <c r="R3" s="114">
        <v>0</v>
      </c>
      <c r="S3" s="114">
        <v>0</v>
      </c>
      <c r="T3" s="114">
        <v>0</v>
      </c>
      <c r="U3" s="114">
        <v>0</v>
      </c>
      <c r="V3" s="114">
        <v>0</v>
      </c>
      <c r="W3" s="114">
        <v>0</v>
      </c>
      <c r="X3" s="114">
        <v>0</v>
      </c>
      <c r="Y3" s="114">
        <v>0</v>
      </c>
      <c r="Z3" s="114">
        <v>0</v>
      </c>
      <c r="AA3" s="114">
        <v>0</v>
      </c>
      <c r="AB3" s="114">
        <v>0</v>
      </c>
      <c r="AC3" s="114">
        <v>0</v>
      </c>
      <c r="AD3" s="114">
        <v>0</v>
      </c>
      <c r="AE3" s="114">
        <v>0</v>
      </c>
      <c r="AF3" s="114">
        <v>0</v>
      </c>
      <c r="AG3" s="114">
        <v>0</v>
      </c>
      <c r="AH3" s="114">
        <v>0</v>
      </c>
      <c r="AI3" s="114">
        <v>1</v>
      </c>
      <c r="AJ3" s="114">
        <v>0</v>
      </c>
      <c r="AK3" s="114">
        <v>0</v>
      </c>
      <c r="AL3" s="114">
        <v>0</v>
      </c>
      <c r="AM3" s="114">
        <v>0</v>
      </c>
      <c r="AN3" s="114">
        <v>0</v>
      </c>
      <c r="AO3" s="114">
        <v>0</v>
      </c>
      <c r="AP3" s="114">
        <v>0</v>
      </c>
      <c r="AQ3" s="114">
        <v>0</v>
      </c>
      <c r="AR3" s="114">
        <v>0</v>
      </c>
      <c r="AS3" s="114">
        <v>0</v>
      </c>
      <c r="AT3" s="114">
        <v>0</v>
      </c>
      <c r="AU3" s="114">
        <v>0</v>
      </c>
      <c r="AV3" s="114">
        <v>0</v>
      </c>
      <c r="AW3" s="114">
        <v>0</v>
      </c>
      <c r="AX3" s="114">
        <v>0</v>
      </c>
      <c r="AY3" s="114">
        <v>0</v>
      </c>
      <c r="AZ3" s="114">
        <v>0</v>
      </c>
      <c r="BA3" s="114">
        <v>0</v>
      </c>
      <c r="BB3" s="114">
        <v>0</v>
      </c>
      <c r="BC3" s="114">
        <v>0</v>
      </c>
      <c r="BD3" s="114">
        <v>0</v>
      </c>
      <c r="BE3" s="114">
        <v>0</v>
      </c>
      <c r="BF3" s="114">
        <v>0</v>
      </c>
    </row>
    <row r="4" spans="1:58" customFormat="1" x14ac:dyDescent="0.15">
      <c r="A4" s="194" t="s">
        <v>194</v>
      </c>
      <c r="B4" s="114">
        <v>0</v>
      </c>
      <c r="C4" s="114">
        <v>1</v>
      </c>
      <c r="D4" s="114">
        <v>0</v>
      </c>
      <c r="E4" s="114">
        <v>1</v>
      </c>
      <c r="F4" s="114">
        <v>0</v>
      </c>
      <c r="G4" s="114">
        <v>1</v>
      </c>
      <c r="H4" s="114">
        <v>0</v>
      </c>
      <c r="I4" s="114">
        <v>1</v>
      </c>
      <c r="J4" s="114">
        <v>0</v>
      </c>
      <c r="K4" s="114">
        <v>1</v>
      </c>
      <c r="L4" s="114">
        <v>0</v>
      </c>
      <c r="M4" s="114">
        <v>0</v>
      </c>
      <c r="N4" s="114">
        <v>0</v>
      </c>
      <c r="O4" s="114">
        <v>0</v>
      </c>
      <c r="P4" s="114">
        <v>0</v>
      </c>
      <c r="Q4" s="114">
        <v>0</v>
      </c>
      <c r="R4" s="114">
        <v>0</v>
      </c>
      <c r="S4" s="114">
        <v>1</v>
      </c>
      <c r="T4" s="114">
        <v>1</v>
      </c>
      <c r="U4" s="114">
        <v>0</v>
      </c>
      <c r="V4" s="114">
        <v>0</v>
      </c>
      <c r="W4" s="114">
        <v>1</v>
      </c>
      <c r="X4" s="114">
        <v>0</v>
      </c>
      <c r="Y4" s="114">
        <v>0</v>
      </c>
      <c r="Z4" s="114">
        <v>0</v>
      </c>
      <c r="AA4" s="114">
        <v>0</v>
      </c>
      <c r="AB4" s="114">
        <v>0</v>
      </c>
      <c r="AC4" s="114">
        <v>0</v>
      </c>
      <c r="AD4" s="114">
        <v>0</v>
      </c>
      <c r="AE4" s="114">
        <v>0</v>
      </c>
      <c r="AF4" s="114">
        <v>0</v>
      </c>
      <c r="AG4" s="114">
        <v>0</v>
      </c>
      <c r="AH4" s="114">
        <v>0</v>
      </c>
      <c r="AI4" s="114">
        <v>1</v>
      </c>
      <c r="AJ4" s="114">
        <v>0</v>
      </c>
      <c r="AK4" s="114">
        <v>0</v>
      </c>
      <c r="AL4" s="114">
        <v>0</v>
      </c>
      <c r="AM4" s="114">
        <v>0</v>
      </c>
      <c r="AN4" s="114">
        <v>0</v>
      </c>
      <c r="AO4" s="114">
        <v>0</v>
      </c>
      <c r="AP4" s="114">
        <v>0</v>
      </c>
      <c r="AQ4" s="114">
        <v>0</v>
      </c>
      <c r="AR4" s="114">
        <v>0</v>
      </c>
      <c r="AS4" s="114">
        <v>0</v>
      </c>
      <c r="AT4" s="114">
        <v>0</v>
      </c>
      <c r="AU4" s="114">
        <v>0</v>
      </c>
      <c r="AV4" s="114">
        <v>0</v>
      </c>
      <c r="AW4" s="114">
        <v>0</v>
      </c>
      <c r="AX4" s="114">
        <v>0</v>
      </c>
      <c r="AY4" s="114">
        <v>0</v>
      </c>
      <c r="AZ4" s="114">
        <v>0</v>
      </c>
      <c r="BA4" s="114">
        <v>0</v>
      </c>
      <c r="BB4" s="114">
        <v>0</v>
      </c>
      <c r="BC4" s="114">
        <v>0</v>
      </c>
      <c r="BD4" s="114">
        <v>0</v>
      </c>
      <c r="BE4" s="114">
        <v>0</v>
      </c>
      <c r="BF4" s="114">
        <v>0</v>
      </c>
    </row>
    <row r="5" spans="1:58" customFormat="1" x14ac:dyDescent="0.15">
      <c r="A5" s="194" t="s">
        <v>195</v>
      </c>
      <c r="B5" s="114">
        <v>0</v>
      </c>
      <c r="C5" s="114">
        <v>0</v>
      </c>
      <c r="D5" s="114">
        <v>0</v>
      </c>
      <c r="E5" s="114">
        <v>0</v>
      </c>
      <c r="F5" s="114">
        <v>0</v>
      </c>
      <c r="G5" s="114">
        <v>1</v>
      </c>
      <c r="H5" s="114">
        <v>0</v>
      </c>
      <c r="I5" s="114">
        <v>0</v>
      </c>
      <c r="J5" s="114">
        <v>0</v>
      </c>
      <c r="K5" s="114">
        <v>0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1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0</v>
      </c>
      <c r="AG5" s="114">
        <v>0</v>
      </c>
      <c r="AH5" s="114">
        <v>0</v>
      </c>
      <c r="AI5" s="114">
        <v>1</v>
      </c>
      <c r="AJ5" s="114">
        <v>0</v>
      </c>
      <c r="AK5" s="114">
        <v>0</v>
      </c>
      <c r="AL5" s="114">
        <v>0</v>
      </c>
      <c r="AM5" s="114">
        <v>0</v>
      </c>
      <c r="AN5" s="114">
        <v>0</v>
      </c>
      <c r="AO5" s="114">
        <v>0</v>
      </c>
      <c r="AP5" s="114">
        <v>0</v>
      </c>
      <c r="AQ5" s="114">
        <v>0</v>
      </c>
      <c r="AR5" s="114">
        <v>0</v>
      </c>
      <c r="AS5" s="114">
        <v>0</v>
      </c>
      <c r="AT5" s="114">
        <v>0</v>
      </c>
      <c r="AU5" s="114">
        <v>0</v>
      </c>
      <c r="AV5" s="114">
        <v>0</v>
      </c>
      <c r="AW5" s="114">
        <v>0</v>
      </c>
      <c r="AX5" s="114">
        <v>0</v>
      </c>
      <c r="AY5" s="114">
        <v>0</v>
      </c>
      <c r="AZ5" s="114">
        <v>0</v>
      </c>
      <c r="BA5" s="114">
        <v>0</v>
      </c>
      <c r="BB5" s="114">
        <v>0</v>
      </c>
      <c r="BC5" s="114">
        <v>0</v>
      </c>
      <c r="BD5" s="114">
        <v>0</v>
      </c>
      <c r="BE5" s="114">
        <v>0</v>
      </c>
      <c r="BF5" s="114">
        <v>0</v>
      </c>
    </row>
    <row r="6" spans="1:58" customFormat="1" x14ac:dyDescent="0.15">
      <c r="A6" s="194" t="s">
        <v>196</v>
      </c>
      <c r="B6" s="114">
        <v>0</v>
      </c>
      <c r="C6" s="114">
        <v>1</v>
      </c>
      <c r="D6" s="114">
        <v>0</v>
      </c>
      <c r="E6" s="114">
        <v>0</v>
      </c>
      <c r="F6" s="114">
        <v>0</v>
      </c>
      <c r="G6" s="114">
        <v>0</v>
      </c>
      <c r="H6" s="114">
        <v>0</v>
      </c>
      <c r="I6" s="114">
        <v>0</v>
      </c>
      <c r="J6" s="114">
        <v>0</v>
      </c>
      <c r="K6" s="114">
        <v>0</v>
      </c>
      <c r="L6" s="114">
        <v>0</v>
      </c>
      <c r="M6" s="114">
        <v>0</v>
      </c>
      <c r="N6" s="114">
        <v>0</v>
      </c>
      <c r="O6" s="114">
        <v>0</v>
      </c>
      <c r="P6" s="114">
        <v>0</v>
      </c>
      <c r="Q6" s="114">
        <v>0</v>
      </c>
      <c r="R6" s="114">
        <v>0</v>
      </c>
      <c r="S6" s="114">
        <v>0</v>
      </c>
      <c r="T6" s="114">
        <v>0</v>
      </c>
      <c r="U6" s="114">
        <v>0</v>
      </c>
      <c r="V6" s="114">
        <v>0</v>
      </c>
      <c r="W6" s="114">
        <v>0</v>
      </c>
      <c r="X6" s="114">
        <v>0</v>
      </c>
      <c r="Y6" s="114">
        <v>0</v>
      </c>
      <c r="Z6" s="114">
        <v>0</v>
      </c>
      <c r="AA6" s="114">
        <v>0</v>
      </c>
      <c r="AB6" s="114">
        <v>0</v>
      </c>
      <c r="AC6" s="114">
        <v>0</v>
      </c>
      <c r="AD6" s="114">
        <v>0</v>
      </c>
      <c r="AE6" s="114">
        <v>0</v>
      </c>
      <c r="AF6" s="114">
        <v>0</v>
      </c>
      <c r="AG6" s="114">
        <v>0</v>
      </c>
      <c r="AH6" s="114">
        <v>0</v>
      </c>
      <c r="AI6" s="114">
        <v>0</v>
      </c>
      <c r="AJ6" s="114">
        <v>0</v>
      </c>
      <c r="AK6" s="114">
        <v>0</v>
      </c>
      <c r="AL6" s="114">
        <v>0</v>
      </c>
      <c r="AM6" s="114">
        <v>0</v>
      </c>
      <c r="AN6" s="114">
        <v>0</v>
      </c>
      <c r="AO6" s="114">
        <v>0</v>
      </c>
      <c r="AP6" s="114">
        <v>0</v>
      </c>
      <c r="AQ6" s="114">
        <v>0</v>
      </c>
      <c r="AR6" s="114">
        <v>0</v>
      </c>
      <c r="AS6" s="114">
        <v>0</v>
      </c>
      <c r="AT6" s="114">
        <v>0</v>
      </c>
      <c r="AU6" s="114">
        <v>0</v>
      </c>
      <c r="AV6" s="114">
        <v>0</v>
      </c>
      <c r="AW6" s="114">
        <v>0</v>
      </c>
      <c r="AX6" s="114">
        <v>0</v>
      </c>
      <c r="AY6" s="114">
        <v>0</v>
      </c>
      <c r="AZ6" s="114">
        <v>0</v>
      </c>
      <c r="BA6" s="114">
        <v>0</v>
      </c>
      <c r="BB6" s="114">
        <v>0</v>
      </c>
      <c r="BC6" s="114">
        <v>0</v>
      </c>
      <c r="BD6" s="114">
        <v>0</v>
      </c>
      <c r="BE6" s="114">
        <v>0</v>
      </c>
      <c r="BF6" s="114">
        <v>0</v>
      </c>
    </row>
    <row r="7" spans="1:58" customFormat="1" x14ac:dyDescent="0.15">
      <c r="A7" s="194" t="s">
        <v>197</v>
      </c>
      <c r="B7" s="114">
        <v>0</v>
      </c>
      <c r="C7" s="114">
        <v>0</v>
      </c>
      <c r="D7" s="114">
        <v>0</v>
      </c>
      <c r="E7" s="114">
        <v>0</v>
      </c>
      <c r="F7" s="114">
        <v>0</v>
      </c>
      <c r="G7" s="114">
        <v>0</v>
      </c>
      <c r="H7" s="114">
        <v>0</v>
      </c>
      <c r="I7" s="114">
        <v>0</v>
      </c>
      <c r="J7" s="114">
        <v>0</v>
      </c>
      <c r="K7" s="114">
        <v>0</v>
      </c>
      <c r="L7" s="114">
        <v>0</v>
      </c>
      <c r="M7" s="114">
        <v>0</v>
      </c>
      <c r="N7" s="114">
        <v>0</v>
      </c>
      <c r="O7" s="114">
        <v>0</v>
      </c>
      <c r="P7" s="114">
        <v>0</v>
      </c>
      <c r="Q7" s="114">
        <v>0</v>
      </c>
      <c r="R7" s="114">
        <v>0</v>
      </c>
      <c r="S7" s="114">
        <v>0</v>
      </c>
      <c r="T7" s="114">
        <v>0</v>
      </c>
      <c r="U7" s="114">
        <v>0</v>
      </c>
      <c r="V7" s="114">
        <v>0</v>
      </c>
      <c r="W7" s="114">
        <v>0</v>
      </c>
      <c r="X7" s="114">
        <v>0</v>
      </c>
      <c r="Y7" s="114">
        <v>0</v>
      </c>
      <c r="Z7" s="114">
        <v>0</v>
      </c>
      <c r="AA7" s="114">
        <v>0</v>
      </c>
      <c r="AB7" s="114">
        <v>0</v>
      </c>
      <c r="AC7" s="114">
        <v>0</v>
      </c>
      <c r="AD7" s="114">
        <v>0</v>
      </c>
      <c r="AE7" s="114">
        <v>0</v>
      </c>
      <c r="AF7" s="114">
        <v>0</v>
      </c>
      <c r="AG7" s="114">
        <v>0</v>
      </c>
      <c r="AH7" s="114">
        <v>0</v>
      </c>
      <c r="AI7" s="114">
        <v>0</v>
      </c>
      <c r="AJ7" s="114">
        <v>0</v>
      </c>
      <c r="AK7" s="114">
        <v>0</v>
      </c>
      <c r="AL7" s="114">
        <v>0</v>
      </c>
      <c r="AM7" s="114">
        <v>0</v>
      </c>
      <c r="AN7" s="114">
        <v>0</v>
      </c>
      <c r="AO7" s="114">
        <v>0</v>
      </c>
      <c r="AP7" s="114">
        <v>0</v>
      </c>
      <c r="AQ7" s="114">
        <v>0</v>
      </c>
      <c r="AR7" s="114">
        <v>0</v>
      </c>
      <c r="AS7" s="114">
        <v>0</v>
      </c>
      <c r="AT7" s="114">
        <v>0</v>
      </c>
      <c r="AU7" s="114">
        <v>0</v>
      </c>
      <c r="AV7" s="114">
        <v>0</v>
      </c>
      <c r="AW7" s="114">
        <v>0</v>
      </c>
      <c r="AX7" s="114">
        <v>0</v>
      </c>
      <c r="AY7" s="114">
        <v>0</v>
      </c>
      <c r="AZ7" s="114">
        <v>0</v>
      </c>
      <c r="BA7" s="114">
        <v>0</v>
      </c>
      <c r="BB7" s="114">
        <v>0</v>
      </c>
      <c r="BC7" s="114">
        <v>0</v>
      </c>
      <c r="BD7" s="114">
        <v>0</v>
      </c>
      <c r="BE7" s="114">
        <v>0</v>
      </c>
      <c r="BF7" s="114">
        <v>0</v>
      </c>
    </row>
    <row r="8" spans="1:58" customFormat="1" x14ac:dyDescent="0.15">
      <c r="A8" s="194" t="s">
        <v>198</v>
      </c>
      <c r="B8" s="114">
        <v>0</v>
      </c>
      <c r="C8" s="114">
        <v>1</v>
      </c>
      <c r="D8" s="114">
        <v>0</v>
      </c>
      <c r="E8" s="114">
        <v>0</v>
      </c>
      <c r="F8" s="114">
        <v>0</v>
      </c>
      <c r="G8" s="114">
        <v>0</v>
      </c>
      <c r="H8" s="114">
        <v>0</v>
      </c>
      <c r="I8" s="114">
        <v>0</v>
      </c>
      <c r="J8" s="114">
        <v>0</v>
      </c>
      <c r="K8" s="114">
        <v>0</v>
      </c>
      <c r="L8" s="114">
        <v>0</v>
      </c>
      <c r="M8" s="114">
        <v>0</v>
      </c>
      <c r="N8" s="114">
        <v>0</v>
      </c>
      <c r="O8" s="114">
        <v>0</v>
      </c>
      <c r="P8" s="114">
        <v>0</v>
      </c>
      <c r="Q8" s="114">
        <v>1</v>
      </c>
      <c r="R8" s="114">
        <v>0</v>
      </c>
      <c r="S8" s="114">
        <v>1</v>
      </c>
      <c r="T8" s="114">
        <v>0</v>
      </c>
      <c r="U8" s="114">
        <v>0</v>
      </c>
      <c r="V8" s="114">
        <v>0</v>
      </c>
      <c r="W8" s="114">
        <v>0</v>
      </c>
      <c r="X8" s="114">
        <v>0</v>
      </c>
      <c r="Y8" s="114">
        <v>0</v>
      </c>
      <c r="Z8" s="114">
        <v>0</v>
      </c>
      <c r="AA8" s="114">
        <v>0</v>
      </c>
      <c r="AB8" s="114">
        <v>0</v>
      </c>
      <c r="AC8" s="114">
        <v>0</v>
      </c>
      <c r="AD8" s="114">
        <v>0</v>
      </c>
      <c r="AE8" s="114">
        <v>0</v>
      </c>
      <c r="AF8" s="114">
        <v>0</v>
      </c>
      <c r="AG8" s="114">
        <v>0</v>
      </c>
      <c r="AH8" s="114">
        <v>0</v>
      </c>
      <c r="AI8" s="114">
        <v>0</v>
      </c>
      <c r="AJ8" s="114">
        <v>0</v>
      </c>
      <c r="AK8" s="114">
        <v>0</v>
      </c>
      <c r="AL8" s="114">
        <v>0</v>
      </c>
      <c r="AM8" s="114">
        <v>0</v>
      </c>
      <c r="AN8" s="114">
        <v>0</v>
      </c>
      <c r="AO8" s="114">
        <v>0</v>
      </c>
      <c r="AP8" s="114">
        <v>0</v>
      </c>
      <c r="AQ8" s="114">
        <v>0</v>
      </c>
      <c r="AR8" s="114">
        <v>0</v>
      </c>
      <c r="AS8" s="114">
        <v>0</v>
      </c>
      <c r="AT8" s="114">
        <v>0</v>
      </c>
      <c r="AU8" s="114">
        <v>0</v>
      </c>
      <c r="AV8" s="114">
        <v>0</v>
      </c>
      <c r="AW8" s="114">
        <v>0</v>
      </c>
      <c r="AX8" s="114">
        <v>0</v>
      </c>
      <c r="AY8" s="114">
        <v>0</v>
      </c>
      <c r="AZ8" s="114">
        <v>0</v>
      </c>
      <c r="BA8" s="114">
        <v>0</v>
      </c>
      <c r="BB8" s="114">
        <v>0</v>
      </c>
      <c r="BC8" s="114">
        <v>0</v>
      </c>
      <c r="BD8" s="114">
        <v>0</v>
      </c>
      <c r="BE8" s="114">
        <v>0</v>
      </c>
      <c r="BF8" s="114">
        <v>0</v>
      </c>
    </row>
    <row r="9" spans="1:58" customFormat="1" x14ac:dyDescent="0.15">
      <c r="A9" s="194" t="s">
        <v>199</v>
      </c>
      <c r="B9" s="114">
        <v>0</v>
      </c>
      <c r="C9" s="114">
        <v>0</v>
      </c>
      <c r="D9" s="114">
        <v>0</v>
      </c>
      <c r="E9" s="114">
        <v>0</v>
      </c>
      <c r="F9" s="114">
        <v>0</v>
      </c>
      <c r="G9" s="114">
        <v>0</v>
      </c>
      <c r="H9" s="114">
        <v>0</v>
      </c>
      <c r="I9" s="114">
        <v>0</v>
      </c>
      <c r="J9" s="114">
        <v>0</v>
      </c>
      <c r="K9" s="114">
        <v>0</v>
      </c>
      <c r="L9" s="114">
        <v>0</v>
      </c>
      <c r="M9" s="114">
        <v>0</v>
      </c>
      <c r="N9" s="114">
        <v>0</v>
      </c>
      <c r="O9" s="114">
        <v>0</v>
      </c>
      <c r="P9" s="114">
        <v>0</v>
      </c>
      <c r="Q9" s="114">
        <v>1</v>
      </c>
      <c r="R9" s="114">
        <v>0</v>
      </c>
      <c r="S9" s="114">
        <v>1</v>
      </c>
      <c r="T9" s="114">
        <v>0</v>
      </c>
      <c r="U9" s="114">
        <v>0</v>
      </c>
      <c r="V9" s="114">
        <v>0</v>
      </c>
      <c r="W9" s="114">
        <v>0</v>
      </c>
      <c r="X9" s="114">
        <v>0</v>
      </c>
      <c r="Y9" s="114">
        <v>0</v>
      </c>
      <c r="Z9" s="114">
        <v>0</v>
      </c>
      <c r="AA9" s="114">
        <v>0</v>
      </c>
      <c r="AB9" s="114">
        <v>0</v>
      </c>
      <c r="AC9" s="114">
        <v>0</v>
      </c>
      <c r="AD9" s="114">
        <v>0</v>
      </c>
      <c r="AE9" s="114">
        <v>0</v>
      </c>
      <c r="AF9" s="114">
        <v>0</v>
      </c>
      <c r="AG9" s="114">
        <v>0</v>
      </c>
      <c r="AH9" s="114">
        <v>0</v>
      </c>
      <c r="AI9" s="114">
        <v>0</v>
      </c>
      <c r="AJ9" s="114">
        <v>0</v>
      </c>
      <c r="AK9" s="114">
        <v>0</v>
      </c>
      <c r="AL9" s="114">
        <v>0</v>
      </c>
      <c r="AM9" s="114">
        <v>0</v>
      </c>
      <c r="AN9" s="114">
        <v>0</v>
      </c>
      <c r="AO9" s="114">
        <v>0</v>
      </c>
      <c r="AP9" s="114">
        <v>0</v>
      </c>
      <c r="AQ9" s="114">
        <v>0</v>
      </c>
      <c r="AR9" s="114">
        <v>0</v>
      </c>
      <c r="AS9" s="114">
        <v>0</v>
      </c>
      <c r="AT9" s="114">
        <v>0</v>
      </c>
      <c r="AU9" s="114">
        <v>0</v>
      </c>
      <c r="AV9" s="114">
        <v>0</v>
      </c>
      <c r="AW9" s="114">
        <v>0</v>
      </c>
      <c r="AX9" s="114">
        <v>0</v>
      </c>
      <c r="AY9" s="114">
        <v>0</v>
      </c>
      <c r="AZ9" s="114">
        <v>0</v>
      </c>
      <c r="BA9" s="114">
        <v>0</v>
      </c>
      <c r="BB9" s="114">
        <v>0</v>
      </c>
      <c r="BC9" s="114">
        <v>0</v>
      </c>
      <c r="BD9" s="114">
        <v>0</v>
      </c>
      <c r="BE9" s="114">
        <v>0</v>
      </c>
      <c r="BF9" s="114">
        <v>0</v>
      </c>
    </row>
    <row r="10" spans="1:58" customFormat="1" x14ac:dyDescent="0.15">
      <c r="A10" s="194" t="s">
        <v>200</v>
      </c>
      <c r="B10" s="114">
        <v>0</v>
      </c>
      <c r="C10" s="114">
        <v>1</v>
      </c>
      <c r="D10" s="114">
        <v>0</v>
      </c>
      <c r="E10" s="114">
        <v>1</v>
      </c>
      <c r="F10" s="114">
        <v>0</v>
      </c>
      <c r="G10" s="114">
        <v>1</v>
      </c>
      <c r="H10" s="114">
        <v>0</v>
      </c>
      <c r="I10" s="114">
        <v>1</v>
      </c>
      <c r="J10" s="114">
        <v>0</v>
      </c>
      <c r="K10" s="114">
        <v>1</v>
      </c>
      <c r="L10" s="114">
        <v>0</v>
      </c>
      <c r="M10" s="114">
        <v>0</v>
      </c>
      <c r="N10" s="114">
        <v>1</v>
      </c>
      <c r="O10" s="114">
        <v>1</v>
      </c>
      <c r="P10" s="114">
        <v>0</v>
      </c>
      <c r="Q10" s="114">
        <v>1</v>
      </c>
      <c r="R10" s="114">
        <v>0</v>
      </c>
      <c r="S10" s="114">
        <v>1</v>
      </c>
      <c r="T10" s="114">
        <v>1</v>
      </c>
      <c r="U10" s="114">
        <v>0</v>
      </c>
      <c r="V10" s="114">
        <v>0</v>
      </c>
      <c r="W10" s="114">
        <v>1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1</v>
      </c>
      <c r="AE10" s="114">
        <v>0</v>
      </c>
      <c r="AF10" s="114">
        <v>0</v>
      </c>
      <c r="AG10" s="114">
        <v>1</v>
      </c>
      <c r="AH10" s="114">
        <v>1</v>
      </c>
      <c r="AI10" s="114">
        <v>1</v>
      </c>
      <c r="AJ10" s="114">
        <v>0</v>
      </c>
      <c r="AK10" s="114">
        <v>0</v>
      </c>
      <c r="AL10" s="114">
        <v>0</v>
      </c>
      <c r="AM10" s="114">
        <v>1</v>
      </c>
      <c r="AN10" s="114">
        <v>0</v>
      </c>
      <c r="AO10" s="114">
        <v>0</v>
      </c>
      <c r="AP10" s="114">
        <v>0</v>
      </c>
      <c r="AQ10" s="114">
        <v>0</v>
      </c>
      <c r="AR10" s="114">
        <v>0</v>
      </c>
      <c r="AS10" s="114">
        <v>0</v>
      </c>
      <c r="AT10" s="114">
        <v>0</v>
      </c>
      <c r="AU10" s="114">
        <v>0</v>
      </c>
      <c r="AV10" s="114">
        <v>0</v>
      </c>
      <c r="AW10" s="114">
        <v>0</v>
      </c>
      <c r="AX10" s="114">
        <v>0</v>
      </c>
      <c r="AY10" s="114">
        <v>0</v>
      </c>
      <c r="AZ10" s="114">
        <v>0</v>
      </c>
      <c r="BA10" s="114">
        <v>0</v>
      </c>
      <c r="BB10" s="114">
        <v>0</v>
      </c>
      <c r="BC10" s="114">
        <v>0</v>
      </c>
      <c r="BD10" s="114">
        <v>0</v>
      </c>
      <c r="BE10" s="114">
        <v>0</v>
      </c>
      <c r="BF10" s="114">
        <v>0</v>
      </c>
    </row>
    <row r="11" spans="1:58" customFormat="1" x14ac:dyDescent="0.15">
      <c r="A11" s="194" t="s">
        <v>201</v>
      </c>
      <c r="B11" s="114">
        <v>0</v>
      </c>
      <c r="C11" s="114">
        <v>1</v>
      </c>
      <c r="D11" s="114">
        <v>0</v>
      </c>
      <c r="E11" s="114">
        <v>1</v>
      </c>
      <c r="F11" s="114">
        <v>0</v>
      </c>
      <c r="G11" s="114">
        <v>1</v>
      </c>
      <c r="H11" s="114">
        <v>0</v>
      </c>
      <c r="I11" s="114">
        <v>1</v>
      </c>
      <c r="J11" s="114">
        <v>0</v>
      </c>
      <c r="K11" s="114">
        <v>0</v>
      </c>
      <c r="L11" s="114">
        <v>0</v>
      </c>
      <c r="M11" s="114">
        <v>0</v>
      </c>
      <c r="N11" s="114">
        <v>0</v>
      </c>
      <c r="O11" s="114">
        <v>0</v>
      </c>
      <c r="P11" s="114">
        <v>0</v>
      </c>
      <c r="Q11" s="114">
        <v>1</v>
      </c>
      <c r="R11" s="114">
        <v>0</v>
      </c>
      <c r="S11" s="114">
        <v>1</v>
      </c>
      <c r="T11" s="114">
        <v>1</v>
      </c>
      <c r="U11" s="114">
        <v>1</v>
      </c>
      <c r="V11" s="114">
        <v>0</v>
      </c>
      <c r="W11" s="114">
        <v>1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1</v>
      </c>
      <c r="AH11" s="114">
        <v>0</v>
      </c>
      <c r="AI11" s="114">
        <v>1</v>
      </c>
      <c r="AJ11" s="114">
        <v>0</v>
      </c>
      <c r="AK11" s="114">
        <v>0</v>
      </c>
      <c r="AL11" s="114">
        <v>0</v>
      </c>
      <c r="AM11" s="114">
        <v>0</v>
      </c>
      <c r="AN11" s="114">
        <v>0</v>
      </c>
      <c r="AO11" s="114">
        <v>0</v>
      </c>
      <c r="AP11" s="114">
        <v>0</v>
      </c>
      <c r="AQ11" s="114">
        <v>0</v>
      </c>
      <c r="AR11" s="114">
        <v>0</v>
      </c>
      <c r="AS11" s="114">
        <v>0</v>
      </c>
      <c r="AT11" s="114">
        <v>0</v>
      </c>
      <c r="AU11" s="114">
        <v>0</v>
      </c>
      <c r="AV11" s="114">
        <v>0</v>
      </c>
      <c r="AW11" s="114">
        <v>0</v>
      </c>
      <c r="AX11" s="114">
        <v>0</v>
      </c>
      <c r="AY11" s="114">
        <v>0</v>
      </c>
      <c r="AZ11" s="114">
        <v>0</v>
      </c>
      <c r="BA11" s="114">
        <v>0</v>
      </c>
      <c r="BB11" s="114">
        <v>0</v>
      </c>
      <c r="BC11" s="114">
        <v>0</v>
      </c>
      <c r="BD11" s="114">
        <v>0</v>
      </c>
      <c r="BE11" s="114">
        <v>0</v>
      </c>
      <c r="BF11" s="114">
        <v>0</v>
      </c>
    </row>
    <row r="12" spans="1:58" customFormat="1" x14ac:dyDescent="0.15">
      <c r="A12" s="194" t="s">
        <v>202</v>
      </c>
      <c r="B12" s="114">
        <v>0</v>
      </c>
      <c r="C12" s="114">
        <v>1</v>
      </c>
      <c r="D12" s="114">
        <v>0</v>
      </c>
      <c r="E12" s="114">
        <v>0</v>
      </c>
      <c r="F12" s="114">
        <v>1</v>
      </c>
      <c r="G12" s="114">
        <v>1</v>
      </c>
      <c r="H12" s="114">
        <v>0</v>
      </c>
      <c r="I12" s="114">
        <v>1</v>
      </c>
      <c r="J12" s="114">
        <v>0</v>
      </c>
      <c r="K12" s="114">
        <v>0</v>
      </c>
      <c r="L12" s="114">
        <v>0</v>
      </c>
      <c r="M12" s="114">
        <v>0</v>
      </c>
      <c r="N12" s="114">
        <v>1</v>
      </c>
      <c r="O12" s="114">
        <v>1</v>
      </c>
      <c r="P12" s="114">
        <v>0</v>
      </c>
      <c r="Q12" s="114">
        <v>1</v>
      </c>
      <c r="R12" s="114">
        <v>1</v>
      </c>
      <c r="S12" s="114">
        <v>1</v>
      </c>
      <c r="T12" s="114">
        <v>1</v>
      </c>
      <c r="U12" s="114">
        <v>0</v>
      </c>
      <c r="V12" s="114">
        <v>0</v>
      </c>
      <c r="W12" s="114">
        <v>1</v>
      </c>
      <c r="X12" s="114">
        <v>0</v>
      </c>
      <c r="Y12" s="114">
        <v>0</v>
      </c>
      <c r="Z12" s="114">
        <v>1</v>
      </c>
      <c r="AA12" s="114">
        <v>0</v>
      </c>
      <c r="AB12" s="114">
        <v>1</v>
      </c>
      <c r="AC12" s="114">
        <v>1</v>
      </c>
      <c r="AD12" s="114">
        <v>0</v>
      </c>
      <c r="AE12" s="114">
        <v>0</v>
      </c>
      <c r="AF12" s="114">
        <v>0</v>
      </c>
      <c r="AG12" s="114">
        <v>1</v>
      </c>
      <c r="AH12" s="114">
        <v>0</v>
      </c>
      <c r="AI12" s="114">
        <v>1</v>
      </c>
      <c r="AJ12" s="114">
        <v>0</v>
      </c>
      <c r="AK12" s="114">
        <v>0</v>
      </c>
      <c r="AL12" s="114">
        <v>0</v>
      </c>
      <c r="AM12" s="114">
        <v>0</v>
      </c>
      <c r="AN12" s="114">
        <v>0</v>
      </c>
      <c r="AO12" s="114">
        <v>0</v>
      </c>
      <c r="AP12" s="114">
        <v>0</v>
      </c>
      <c r="AQ12" s="114">
        <v>0</v>
      </c>
      <c r="AR12" s="114">
        <v>0</v>
      </c>
      <c r="AS12" s="114">
        <v>0</v>
      </c>
      <c r="AT12" s="114">
        <v>0</v>
      </c>
      <c r="AU12" s="114">
        <v>0</v>
      </c>
      <c r="AV12" s="114">
        <v>0</v>
      </c>
      <c r="AW12" s="114">
        <v>0</v>
      </c>
      <c r="AX12" s="114">
        <v>0</v>
      </c>
      <c r="AY12" s="114">
        <v>0</v>
      </c>
      <c r="AZ12" s="114">
        <v>0</v>
      </c>
      <c r="BA12" s="114">
        <v>0</v>
      </c>
      <c r="BB12" s="114">
        <v>0</v>
      </c>
      <c r="BC12" s="114">
        <v>0</v>
      </c>
      <c r="BD12" s="114">
        <v>0</v>
      </c>
      <c r="BE12" s="114">
        <v>0</v>
      </c>
      <c r="BF12" s="114">
        <v>0</v>
      </c>
    </row>
    <row r="13" spans="1:58" customFormat="1" x14ac:dyDescent="0.15">
      <c r="A13" s="194" t="s">
        <v>203</v>
      </c>
      <c r="B13" s="114">
        <v>0</v>
      </c>
      <c r="C13" s="114">
        <v>1</v>
      </c>
      <c r="D13" s="114">
        <v>0</v>
      </c>
      <c r="E13" s="114">
        <v>1</v>
      </c>
      <c r="F13" s="114">
        <v>1</v>
      </c>
      <c r="G13" s="114">
        <v>1</v>
      </c>
      <c r="H13" s="114">
        <v>0</v>
      </c>
      <c r="I13" s="114">
        <v>1</v>
      </c>
      <c r="J13" s="114">
        <v>0</v>
      </c>
      <c r="K13" s="114">
        <v>0</v>
      </c>
      <c r="L13" s="114">
        <v>0</v>
      </c>
      <c r="M13" s="114">
        <v>0</v>
      </c>
      <c r="N13" s="114">
        <v>1</v>
      </c>
      <c r="O13" s="114">
        <v>1</v>
      </c>
      <c r="P13" s="114">
        <v>0</v>
      </c>
      <c r="Q13" s="114">
        <v>1</v>
      </c>
      <c r="R13" s="114">
        <v>1</v>
      </c>
      <c r="S13" s="114">
        <v>1</v>
      </c>
      <c r="T13" s="114">
        <v>1</v>
      </c>
      <c r="U13" s="114">
        <v>0</v>
      </c>
      <c r="V13" s="114">
        <v>0</v>
      </c>
      <c r="W13" s="114">
        <v>1</v>
      </c>
      <c r="X13" s="114">
        <v>0</v>
      </c>
      <c r="Y13" s="114">
        <v>0</v>
      </c>
      <c r="Z13" s="114">
        <v>0</v>
      </c>
      <c r="AA13" s="114">
        <v>0</v>
      </c>
      <c r="AB13" s="114">
        <v>1</v>
      </c>
      <c r="AC13" s="114">
        <v>1</v>
      </c>
      <c r="AD13" s="114">
        <v>0</v>
      </c>
      <c r="AE13" s="114">
        <v>0</v>
      </c>
      <c r="AF13" s="114">
        <v>0</v>
      </c>
      <c r="AG13" s="114">
        <v>1</v>
      </c>
      <c r="AH13" s="114">
        <v>0</v>
      </c>
      <c r="AI13" s="114">
        <v>1</v>
      </c>
      <c r="AJ13" s="114">
        <v>0</v>
      </c>
      <c r="AK13" s="114">
        <v>0</v>
      </c>
      <c r="AL13" s="114">
        <v>0</v>
      </c>
      <c r="AM13" s="114">
        <v>0</v>
      </c>
      <c r="AN13" s="114">
        <v>0</v>
      </c>
      <c r="AO13" s="114">
        <v>0</v>
      </c>
      <c r="AP13" s="114">
        <v>0</v>
      </c>
      <c r="AQ13" s="114">
        <v>0</v>
      </c>
      <c r="AR13" s="114">
        <v>0</v>
      </c>
      <c r="AS13" s="114">
        <v>0</v>
      </c>
      <c r="AT13" s="114">
        <v>0</v>
      </c>
      <c r="AU13" s="114">
        <v>0</v>
      </c>
      <c r="AV13" s="114">
        <v>0</v>
      </c>
      <c r="AW13" s="114">
        <v>0</v>
      </c>
      <c r="AX13" s="114">
        <v>0</v>
      </c>
      <c r="AY13" s="114">
        <v>0</v>
      </c>
      <c r="AZ13" s="114">
        <v>0</v>
      </c>
      <c r="BA13" s="114">
        <v>0</v>
      </c>
      <c r="BB13" s="114">
        <v>0</v>
      </c>
      <c r="BC13" s="114">
        <v>0</v>
      </c>
      <c r="BD13" s="114">
        <v>0</v>
      </c>
      <c r="BE13" s="114">
        <v>0</v>
      </c>
      <c r="BF13" s="114">
        <v>0</v>
      </c>
    </row>
    <row r="14" spans="1:58" customFormat="1" x14ac:dyDescent="0.15">
      <c r="A14" s="194" t="s">
        <v>204</v>
      </c>
      <c r="B14" s="114">
        <v>0</v>
      </c>
      <c r="C14" s="114">
        <v>0</v>
      </c>
      <c r="D14" s="114">
        <v>0</v>
      </c>
      <c r="E14" s="114">
        <v>0</v>
      </c>
      <c r="F14" s="114">
        <v>0</v>
      </c>
      <c r="G14" s="114">
        <v>0</v>
      </c>
      <c r="H14" s="114">
        <v>0</v>
      </c>
      <c r="I14" s="114">
        <v>0</v>
      </c>
      <c r="J14" s="114">
        <v>0</v>
      </c>
      <c r="K14" s="114">
        <v>0</v>
      </c>
      <c r="L14" s="114">
        <v>0</v>
      </c>
      <c r="M14" s="114">
        <v>0</v>
      </c>
      <c r="N14" s="114">
        <v>0</v>
      </c>
      <c r="O14" s="114">
        <v>0</v>
      </c>
      <c r="P14" s="114">
        <v>0</v>
      </c>
      <c r="Q14" s="114">
        <v>0</v>
      </c>
      <c r="R14" s="114">
        <v>0</v>
      </c>
      <c r="S14" s="114">
        <v>0</v>
      </c>
      <c r="T14" s="114">
        <v>0</v>
      </c>
      <c r="U14" s="114">
        <v>0</v>
      </c>
      <c r="V14" s="114">
        <v>0</v>
      </c>
      <c r="W14" s="114">
        <v>0</v>
      </c>
      <c r="X14" s="114">
        <v>0</v>
      </c>
      <c r="Y14" s="114">
        <v>0</v>
      </c>
      <c r="Z14" s="114">
        <v>0</v>
      </c>
      <c r="AA14" s="114">
        <v>0</v>
      </c>
      <c r="AB14" s="114">
        <v>0</v>
      </c>
      <c r="AC14" s="114">
        <v>0</v>
      </c>
      <c r="AD14" s="114">
        <v>0</v>
      </c>
      <c r="AE14" s="114">
        <v>0</v>
      </c>
      <c r="AF14" s="114">
        <v>0</v>
      </c>
      <c r="AG14" s="114">
        <v>0</v>
      </c>
      <c r="AH14" s="114">
        <v>0</v>
      </c>
      <c r="AI14" s="114">
        <v>0</v>
      </c>
      <c r="AJ14" s="114">
        <v>0</v>
      </c>
      <c r="AK14" s="114">
        <v>0</v>
      </c>
      <c r="AL14" s="114">
        <v>0</v>
      </c>
      <c r="AM14" s="114">
        <v>0</v>
      </c>
      <c r="AN14" s="114">
        <v>0</v>
      </c>
      <c r="AO14" s="114">
        <v>0</v>
      </c>
      <c r="AP14" s="114">
        <v>0</v>
      </c>
      <c r="AQ14" s="114">
        <v>0</v>
      </c>
      <c r="AR14" s="114">
        <v>0</v>
      </c>
      <c r="AS14" s="114">
        <v>0</v>
      </c>
      <c r="AT14" s="114">
        <v>0</v>
      </c>
      <c r="AU14" s="114">
        <v>0</v>
      </c>
      <c r="AV14" s="114">
        <v>0</v>
      </c>
      <c r="AW14" s="114">
        <v>0</v>
      </c>
      <c r="AX14" s="114">
        <v>0</v>
      </c>
      <c r="AY14" s="114">
        <v>0</v>
      </c>
      <c r="AZ14" s="114">
        <v>0</v>
      </c>
      <c r="BA14" s="114">
        <v>0</v>
      </c>
      <c r="BB14" s="114">
        <v>0</v>
      </c>
      <c r="BC14" s="114">
        <v>0</v>
      </c>
      <c r="BD14" s="114">
        <v>0</v>
      </c>
      <c r="BE14" s="114">
        <v>0</v>
      </c>
      <c r="BF14" s="114">
        <v>0</v>
      </c>
    </row>
    <row r="15" spans="1:58" customFormat="1" x14ac:dyDescent="0.15">
      <c r="A15" s="194" t="s">
        <v>205</v>
      </c>
      <c r="B15" s="114">
        <v>0</v>
      </c>
      <c r="C15" s="114">
        <v>0</v>
      </c>
      <c r="D15" s="114">
        <v>0</v>
      </c>
      <c r="E15" s="114">
        <v>0</v>
      </c>
      <c r="F15" s="114">
        <v>0</v>
      </c>
      <c r="G15" s="114">
        <v>0</v>
      </c>
      <c r="H15" s="114">
        <v>0</v>
      </c>
      <c r="I15" s="114">
        <v>0</v>
      </c>
      <c r="J15" s="114">
        <v>0</v>
      </c>
      <c r="K15" s="114">
        <v>0</v>
      </c>
      <c r="L15" s="114">
        <v>0</v>
      </c>
      <c r="M15" s="114">
        <v>0</v>
      </c>
      <c r="N15" s="114">
        <v>0</v>
      </c>
      <c r="O15" s="114">
        <v>0</v>
      </c>
      <c r="P15" s="114">
        <v>0</v>
      </c>
      <c r="Q15" s="114">
        <v>0</v>
      </c>
      <c r="R15" s="114">
        <v>0</v>
      </c>
      <c r="S15" s="114">
        <v>0</v>
      </c>
      <c r="T15" s="114">
        <v>0</v>
      </c>
      <c r="U15" s="114">
        <v>0</v>
      </c>
      <c r="V15" s="114">
        <v>0</v>
      </c>
      <c r="W15" s="114">
        <v>0</v>
      </c>
      <c r="X15" s="114">
        <v>0</v>
      </c>
      <c r="Y15" s="114">
        <v>0</v>
      </c>
      <c r="Z15" s="114">
        <v>0</v>
      </c>
      <c r="AA15" s="114">
        <v>0</v>
      </c>
      <c r="AB15" s="114">
        <v>0</v>
      </c>
      <c r="AC15" s="114">
        <v>0</v>
      </c>
      <c r="AD15" s="114">
        <v>0</v>
      </c>
      <c r="AE15" s="114">
        <v>0</v>
      </c>
      <c r="AF15" s="114">
        <v>0</v>
      </c>
      <c r="AG15" s="114">
        <v>0</v>
      </c>
      <c r="AH15" s="114">
        <v>0</v>
      </c>
      <c r="AI15" s="114">
        <v>0</v>
      </c>
      <c r="AJ15" s="114">
        <v>0</v>
      </c>
      <c r="AK15" s="114">
        <v>0</v>
      </c>
      <c r="AL15" s="114">
        <v>0</v>
      </c>
      <c r="AM15" s="114">
        <v>0</v>
      </c>
      <c r="AN15" s="114">
        <v>0</v>
      </c>
      <c r="AO15" s="114">
        <v>0</v>
      </c>
      <c r="AP15" s="114">
        <v>0</v>
      </c>
      <c r="AQ15" s="114">
        <v>0</v>
      </c>
      <c r="AR15" s="114">
        <v>0</v>
      </c>
      <c r="AS15" s="114">
        <v>0</v>
      </c>
      <c r="AT15" s="114">
        <v>0</v>
      </c>
      <c r="AU15" s="114">
        <v>0</v>
      </c>
      <c r="AV15" s="114">
        <v>0</v>
      </c>
      <c r="AW15" s="114">
        <v>0</v>
      </c>
      <c r="AX15" s="114">
        <v>0</v>
      </c>
      <c r="AY15" s="114">
        <v>0</v>
      </c>
      <c r="AZ15" s="114">
        <v>0</v>
      </c>
      <c r="BA15" s="114">
        <v>0</v>
      </c>
      <c r="BB15" s="114">
        <v>0</v>
      </c>
      <c r="BC15" s="114">
        <v>0</v>
      </c>
      <c r="BD15" s="114">
        <v>0</v>
      </c>
      <c r="BE15" s="114">
        <v>0</v>
      </c>
      <c r="BF15" s="114">
        <v>0</v>
      </c>
    </row>
    <row r="16" spans="1:58" customFormat="1" x14ac:dyDescent="0.15">
      <c r="A16" s="194" t="s">
        <v>206</v>
      </c>
      <c r="B16" s="114">
        <v>0</v>
      </c>
      <c r="C16" s="114">
        <v>0</v>
      </c>
      <c r="D16" s="114">
        <v>0</v>
      </c>
      <c r="E16" s="114">
        <v>0</v>
      </c>
      <c r="F16" s="114">
        <v>0</v>
      </c>
      <c r="G16" s="114">
        <v>0</v>
      </c>
      <c r="H16" s="114">
        <v>0</v>
      </c>
      <c r="I16" s="114">
        <v>0</v>
      </c>
      <c r="J16" s="114">
        <v>0</v>
      </c>
      <c r="K16" s="114">
        <v>0</v>
      </c>
      <c r="L16" s="114">
        <v>0</v>
      </c>
      <c r="M16" s="114">
        <v>0</v>
      </c>
      <c r="N16" s="114">
        <v>0</v>
      </c>
      <c r="O16" s="114">
        <v>0</v>
      </c>
      <c r="P16" s="114">
        <v>0</v>
      </c>
      <c r="Q16" s="114">
        <v>0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4">
        <v>0</v>
      </c>
      <c r="AP16" s="114">
        <v>0</v>
      </c>
      <c r="AQ16" s="114">
        <v>0</v>
      </c>
      <c r="AR16" s="114">
        <v>0</v>
      </c>
      <c r="AS16" s="114">
        <v>0</v>
      </c>
      <c r="AT16" s="114">
        <v>0</v>
      </c>
      <c r="AU16" s="114">
        <v>0</v>
      </c>
      <c r="AV16" s="114">
        <v>0</v>
      </c>
      <c r="AW16" s="114">
        <v>0</v>
      </c>
      <c r="AX16" s="114">
        <v>0</v>
      </c>
      <c r="AY16" s="114">
        <v>0</v>
      </c>
      <c r="AZ16" s="114">
        <v>0</v>
      </c>
      <c r="BA16" s="114">
        <v>0</v>
      </c>
      <c r="BB16" s="114">
        <v>0</v>
      </c>
      <c r="BC16" s="114">
        <v>0</v>
      </c>
      <c r="BD16" s="114">
        <v>0</v>
      </c>
      <c r="BE16" s="114">
        <v>0</v>
      </c>
      <c r="BF16" s="114">
        <v>0</v>
      </c>
    </row>
    <row r="17" spans="1:58" customFormat="1" x14ac:dyDescent="0.15">
      <c r="A17" s="194" t="s">
        <v>207</v>
      </c>
      <c r="B17" s="114">
        <v>0</v>
      </c>
      <c r="C17" s="114">
        <v>0</v>
      </c>
      <c r="D17" s="114">
        <v>0</v>
      </c>
      <c r="E17" s="114">
        <v>0</v>
      </c>
      <c r="F17" s="114">
        <v>0</v>
      </c>
      <c r="G17" s="114">
        <v>0</v>
      </c>
      <c r="H17" s="114">
        <v>0</v>
      </c>
      <c r="I17" s="114">
        <v>0</v>
      </c>
      <c r="J17" s="114">
        <v>0</v>
      </c>
      <c r="K17" s="114">
        <v>0</v>
      </c>
      <c r="L17" s="114">
        <v>0</v>
      </c>
      <c r="M17" s="114">
        <v>0</v>
      </c>
      <c r="N17" s="114">
        <v>0</v>
      </c>
      <c r="O17" s="114">
        <v>0</v>
      </c>
      <c r="P17" s="114">
        <v>0</v>
      </c>
      <c r="Q17" s="114">
        <v>0</v>
      </c>
      <c r="R17" s="114">
        <v>0</v>
      </c>
      <c r="S17" s="114">
        <v>0</v>
      </c>
      <c r="T17" s="114">
        <v>0</v>
      </c>
      <c r="U17" s="114">
        <v>0</v>
      </c>
      <c r="V17" s="114">
        <v>0</v>
      </c>
      <c r="W17" s="114">
        <v>0</v>
      </c>
      <c r="X17" s="114">
        <v>0</v>
      </c>
      <c r="Y17" s="114">
        <v>0</v>
      </c>
      <c r="Z17" s="114">
        <v>0</v>
      </c>
      <c r="AA17" s="114">
        <v>0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114">
        <v>0</v>
      </c>
      <c r="AH17" s="114">
        <v>0</v>
      </c>
      <c r="AI17" s="114">
        <v>0</v>
      </c>
      <c r="AJ17" s="114">
        <v>0</v>
      </c>
      <c r="AK17" s="114">
        <v>0</v>
      </c>
      <c r="AL17" s="114">
        <v>0</v>
      </c>
      <c r="AM17" s="114">
        <v>0</v>
      </c>
      <c r="AN17" s="114">
        <v>0</v>
      </c>
      <c r="AO17" s="114">
        <v>0</v>
      </c>
      <c r="AP17" s="114">
        <v>0</v>
      </c>
      <c r="AQ17" s="114">
        <v>0</v>
      </c>
      <c r="AR17" s="114">
        <v>0</v>
      </c>
      <c r="AS17" s="114">
        <v>0</v>
      </c>
      <c r="AT17" s="114">
        <v>0</v>
      </c>
      <c r="AU17" s="114">
        <v>0</v>
      </c>
      <c r="AV17" s="114">
        <v>0</v>
      </c>
      <c r="AW17" s="114">
        <v>0</v>
      </c>
      <c r="AX17" s="114">
        <v>0</v>
      </c>
      <c r="AY17" s="114">
        <v>0</v>
      </c>
      <c r="AZ17" s="114">
        <v>0</v>
      </c>
      <c r="BA17" s="114">
        <v>0</v>
      </c>
      <c r="BB17" s="114">
        <v>0</v>
      </c>
      <c r="BC17" s="114">
        <v>0</v>
      </c>
      <c r="BD17" s="114">
        <v>0</v>
      </c>
      <c r="BE17" s="114">
        <v>0</v>
      </c>
      <c r="BF17" s="114">
        <v>0</v>
      </c>
    </row>
    <row r="18" spans="1:58" customFormat="1" x14ac:dyDescent="0.15">
      <c r="A18" s="194" t="s">
        <v>208</v>
      </c>
      <c r="B18" s="114">
        <v>0</v>
      </c>
      <c r="C18" s="114">
        <v>0</v>
      </c>
      <c r="D18" s="114">
        <v>0</v>
      </c>
      <c r="E18" s="114">
        <v>0</v>
      </c>
      <c r="F18" s="114">
        <v>0</v>
      </c>
      <c r="G18" s="114">
        <v>0</v>
      </c>
      <c r="H18" s="114">
        <v>0</v>
      </c>
      <c r="I18" s="114">
        <v>0</v>
      </c>
      <c r="J18" s="114">
        <v>0</v>
      </c>
      <c r="K18" s="114">
        <v>0</v>
      </c>
      <c r="L18" s="114">
        <v>0</v>
      </c>
      <c r="M18" s="114">
        <v>0</v>
      </c>
      <c r="N18" s="114">
        <v>0</v>
      </c>
      <c r="O18" s="114">
        <v>0</v>
      </c>
      <c r="P18" s="114">
        <v>0</v>
      </c>
      <c r="Q18" s="114">
        <v>1</v>
      </c>
      <c r="R18" s="114">
        <v>0</v>
      </c>
      <c r="S18" s="114">
        <v>0</v>
      </c>
      <c r="T18" s="114">
        <v>0</v>
      </c>
      <c r="U18" s="114">
        <v>0</v>
      </c>
      <c r="V18" s="114">
        <v>0</v>
      </c>
      <c r="W18" s="114">
        <v>0</v>
      </c>
      <c r="X18" s="114">
        <v>0</v>
      </c>
      <c r="Y18" s="114">
        <v>0</v>
      </c>
      <c r="Z18" s="114">
        <v>0</v>
      </c>
      <c r="AA18" s="114">
        <v>0</v>
      </c>
      <c r="AB18" s="114">
        <v>0</v>
      </c>
      <c r="AC18" s="114">
        <v>0</v>
      </c>
      <c r="AD18" s="114">
        <v>0</v>
      </c>
      <c r="AE18" s="114">
        <v>0</v>
      </c>
      <c r="AF18" s="114">
        <v>0</v>
      </c>
      <c r="AG18" s="114">
        <v>0</v>
      </c>
      <c r="AH18" s="114">
        <v>0</v>
      </c>
      <c r="AI18" s="114">
        <v>0</v>
      </c>
      <c r="AJ18" s="114">
        <v>0</v>
      </c>
      <c r="AK18" s="114">
        <v>0</v>
      </c>
      <c r="AL18" s="114">
        <v>0</v>
      </c>
      <c r="AM18" s="114">
        <v>0</v>
      </c>
      <c r="AN18" s="114">
        <v>0</v>
      </c>
      <c r="AO18" s="114">
        <v>0</v>
      </c>
      <c r="AP18" s="114">
        <v>0</v>
      </c>
      <c r="AQ18" s="114">
        <v>0</v>
      </c>
      <c r="AR18" s="114">
        <v>0</v>
      </c>
      <c r="AS18" s="114">
        <v>0</v>
      </c>
      <c r="AT18" s="114">
        <v>0</v>
      </c>
      <c r="AU18" s="114">
        <v>0</v>
      </c>
      <c r="AV18" s="114">
        <v>0</v>
      </c>
      <c r="AW18" s="114">
        <v>0</v>
      </c>
      <c r="AX18" s="114">
        <v>0</v>
      </c>
      <c r="AY18" s="114">
        <v>0</v>
      </c>
      <c r="AZ18" s="114">
        <v>0</v>
      </c>
      <c r="BA18" s="114">
        <v>0</v>
      </c>
      <c r="BB18" s="114">
        <v>0</v>
      </c>
      <c r="BC18" s="114">
        <v>0</v>
      </c>
      <c r="BD18" s="114">
        <v>0</v>
      </c>
      <c r="BE18" s="114">
        <v>0</v>
      </c>
      <c r="BF18" s="114">
        <v>0</v>
      </c>
    </row>
    <row r="19" spans="1:58" customFormat="1" x14ac:dyDescent="0.15">
      <c r="A19" s="194" t="s">
        <v>209</v>
      </c>
      <c r="B19" s="114">
        <v>0</v>
      </c>
      <c r="C19" s="114">
        <v>0</v>
      </c>
      <c r="D19" s="114">
        <v>0</v>
      </c>
      <c r="E19" s="114">
        <v>0</v>
      </c>
      <c r="F19" s="114">
        <v>0</v>
      </c>
      <c r="G19" s="114">
        <v>0</v>
      </c>
      <c r="H19" s="114">
        <v>0</v>
      </c>
      <c r="I19" s="114">
        <v>0</v>
      </c>
      <c r="J19" s="114">
        <v>0</v>
      </c>
      <c r="K19" s="114">
        <v>0</v>
      </c>
      <c r="L19" s="114">
        <v>0</v>
      </c>
      <c r="M19" s="114">
        <v>0</v>
      </c>
      <c r="N19" s="114">
        <v>0</v>
      </c>
      <c r="O19" s="114">
        <v>0</v>
      </c>
      <c r="P19" s="114">
        <v>0</v>
      </c>
      <c r="Q19" s="114">
        <v>1</v>
      </c>
      <c r="R19" s="114">
        <v>0</v>
      </c>
      <c r="S19" s="114">
        <v>0</v>
      </c>
      <c r="T19" s="114">
        <v>0</v>
      </c>
      <c r="U19" s="114">
        <v>0</v>
      </c>
      <c r="V19" s="114">
        <v>0</v>
      </c>
      <c r="W19" s="114">
        <v>0</v>
      </c>
      <c r="X19" s="114">
        <v>0</v>
      </c>
      <c r="Y19" s="114">
        <v>0</v>
      </c>
      <c r="Z19" s="114">
        <v>0</v>
      </c>
      <c r="AA19" s="114">
        <v>0</v>
      </c>
      <c r="AB19" s="114">
        <v>0</v>
      </c>
      <c r="AC19" s="114">
        <v>0</v>
      </c>
      <c r="AD19" s="114">
        <v>0</v>
      </c>
      <c r="AE19" s="114">
        <v>0</v>
      </c>
      <c r="AF19" s="114">
        <v>0</v>
      </c>
      <c r="AG19" s="114">
        <v>0</v>
      </c>
      <c r="AH19" s="114">
        <v>0</v>
      </c>
      <c r="AI19" s="114">
        <v>0</v>
      </c>
      <c r="AJ19" s="114">
        <v>0</v>
      </c>
      <c r="AK19" s="114">
        <v>0</v>
      </c>
      <c r="AL19" s="114">
        <v>0</v>
      </c>
      <c r="AM19" s="114">
        <v>0</v>
      </c>
      <c r="AN19" s="114">
        <v>0</v>
      </c>
      <c r="AO19" s="114">
        <v>0</v>
      </c>
      <c r="AP19" s="114">
        <v>0</v>
      </c>
      <c r="AQ19" s="114">
        <v>0</v>
      </c>
      <c r="AR19" s="114">
        <v>0</v>
      </c>
      <c r="AS19" s="114">
        <v>0</v>
      </c>
      <c r="AT19" s="114">
        <v>0</v>
      </c>
      <c r="AU19" s="114">
        <v>0</v>
      </c>
      <c r="AV19" s="114">
        <v>0</v>
      </c>
      <c r="AW19" s="114">
        <v>0</v>
      </c>
      <c r="AX19" s="114">
        <v>0</v>
      </c>
      <c r="AY19" s="114">
        <v>0</v>
      </c>
      <c r="AZ19" s="114">
        <v>0</v>
      </c>
      <c r="BA19" s="114">
        <v>0</v>
      </c>
      <c r="BB19" s="114">
        <v>0</v>
      </c>
      <c r="BC19" s="114">
        <v>0</v>
      </c>
      <c r="BD19" s="114">
        <v>0</v>
      </c>
      <c r="BE19" s="114">
        <v>0</v>
      </c>
      <c r="BF19" s="114">
        <v>0</v>
      </c>
    </row>
    <row r="20" spans="1:58" customFormat="1" x14ac:dyDescent="0.15">
      <c r="A20" s="194" t="s">
        <v>210</v>
      </c>
      <c r="B20" s="114">
        <v>0</v>
      </c>
      <c r="C20" s="114">
        <v>0</v>
      </c>
      <c r="D20" s="114">
        <v>0</v>
      </c>
      <c r="E20" s="114">
        <v>0</v>
      </c>
      <c r="F20" s="114">
        <v>0</v>
      </c>
      <c r="G20" s="114">
        <v>0</v>
      </c>
      <c r="H20" s="114">
        <v>0</v>
      </c>
      <c r="I20" s="114">
        <v>0</v>
      </c>
      <c r="J20" s="114">
        <v>0</v>
      </c>
      <c r="K20" s="114">
        <v>0</v>
      </c>
      <c r="L20" s="114">
        <v>0</v>
      </c>
      <c r="M20" s="114">
        <v>0</v>
      </c>
      <c r="N20" s="114">
        <v>0</v>
      </c>
      <c r="O20" s="114">
        <v>0</v>
      </c>
      <c r="P20" s="114">
        <v>0</v>
      </c>
      <c r="Q20" s="114">
        <v>1</v>
      </c>
      <c r="R20" s="114">
        <v>0</v>
      </c>
      <c r="S20" s="114">
        <v>0</v>
      </c>
      <c r="T20" s="114">
        <v>0</v>
      </c>
      <c r="U20" s="114">
        <v>0</v>
      </c>
      <c r="V20" s="114">
        <v>0</v>
      </c>
      <c r="W20" s="114">
        <v>0</v>
      </c>
      <c r="X20" s="114">
        <v>0</v>
      </c>
      <c r="Y20" s="114">
        <v>0</v>
      </c>
      <c r="Z20" s="114">
        <v>0</v>
      </c>
      <c r="AA20" s="114">
        <v>0</v>
      </c>
      <c r="AB20" s="114">
        <v>0</v>
      </c>
      <c r="AC20" s="114">
        <v>0</v>
      </c>
      <c r="AD20" s="114">
        <v>0</v>
      </c>
      <c r="AE20" s="114">
        <v>0</v>
      </c>
      <c r="AF20" s="114">
        <v>0</v>
      </c>
      <c r="AG20" s="114">
        <v>0</v>
      </c>
      <c r="AH20" s="114">
        <v>0</v>
      </c>
      <c r="AI20" s="114">
        <v>0</v>
      </c>
      <c r="AJ20" s="114">
        <v>0</v>
      </c>
      <c r="AK20" s="114">
        <v>0</v>
      </c>
      <c r="AL20" s="114">
        <v>0</v>
      </c>
      <c r="AM20" s="114">
        <v>0</v>
      </c>
      <c r="AN20" s="114">
        <v>0</v>
      </c>
      <c r="AO20" s="114">
        <v>0</v>
      </c>
      <c r="AP20" s="114">
        <v>0</v>
      </c>
      <c r="AQ20" s="114">
        <v>0</v>
      </c>
      <c r="AR20" s="114">
        <v>0</v>
      </c>
      <c r="AS20" s="114">
        <v>0</v>
      </c>
      <c r="AT20" s="114">
        <v>0</v>
      </c>
      <c r="AU20" s="114">
        <v>0</v>
      </c>
      <c r="AV20" s="114">
        <v>0</v>
      </c>
      <c r="AW20" s="114">
        <v>0</v>
      </c>
      <c r="AX20" s="114">
        <v>0</v>
      </c>
      <c r="AY20" s="114">
        <v>0</v>
      </c>
      <c r="AZ20" s="114">
        <v>0</v>
      </c>
      <c r="BA20" s="114">
        <v>0</v>
      </c>
      <c r="BB20" s="114">
        <v>0</v>
      </c>
      <c r="BC20" s="114">
        <v>0</v>
      </c>
      <c r="BD20" s="114">
        <v>0</v>
      </c>
      <c r="BE20" s="114">
        <v>0</v>
      </c>
      <c r="BF20" s="114">
        <v>0</v>
      </c>
    </row>
    <row r="21" spans="1:58" customFormat="1" x14ac:dyDescent="0.15">
      <c r="A21" s="194" t="s">
        <v>211</v>
      </c>
      <c r="B21" s="114">
        <v>0</v>
      </c>
      <c r="C21" s="114">
        <v>0</v>
      </c>
      <c r="D21" s="114">
        <v>0</v>
      </c>
      <c r="E21" s="114">
        <v>0</v>
      </c>
      <c r="F21" s="114">
        <v>0</v>
      </c>
      <c r="G21" s="114">
        <v>0</v>
      </c>
      <c r="H21" s="114">
        <v>0</v>
      </c>
      <c r="I21" s="114">
        <v>0</v>
      </c>
      <c r="J21" s="114">
        <v>0</v>
      </c>
      <c r="K21" s="114">
        <v>0</v>
      </c>
      <c r="L21" s="114">
        <v>0</v>
      </c>
      <c r="M21" s="114">
        <v>0</v>
      </c>
      <c r="N21" s="114">
        <v>0</v>
      </c>
      <c r="O21" s="114">
        <v>0</v>
      </c>
      <c r="P21" s="114">
        <v>0</v>
      </c>
      <c r="Q21" s="114">
        <v>0</v>
      </c>
      <c r="R21" s="114">
        <v>0</v>
      </c>
      <c r="S21" s="114">
        <v>0</v>
      </c>
      <c r="T21" s="114">
        <v>0</v>
      </c>
      <c r="U21" s="114">
        <v>0</v>
      </c>
      <c r="V21" s="114">
        <v>0</v>
      </c>
      <c r="W21" s="114">
        <v>0</v>
      </c>
      <c r="X21" s="114">
        <v>0</v>
      </c>
      <c r="Y21" s="114">
        <v>0</v>
      </c>
      <c r="Z21" s="114">
        <v>0</v>
      </c>
      <c r="AA21" s="114">
        <v>0</v>
      </c>
      <c r="AB21" s="114">
        <v>0</v>
      </c>
      <c r="AC21" s="114">
        <v>0</v>
      </c>
      <c r="AD21" s="114">
        <v>0</v>
      </c>
      <c r="AE21" s="114">
        <v>0</v>
      </c>
      <c r="AF21" s="114">
        <v>0</v>
      </c>
      <c r="AG21" s="114">
        <v>0</v>
      </c>
      <c r="AH21" s="114">
        <v>0</v>
      </c>
      <c r="AI21" s="114">
        <v>0</v>
      </c>
      <c r="AJ21" s="114">
        <v>0</v>
      </c>
      <c r="AK21" s="114">
        <v>0</v>
      </c>
      <c r="AL21" s="114">
        <v>0</v>
      </c>
      <c r="AM21" s="114">
        <v>0</v>
      </c>
      <c r="AN21" s="114">
        <v>0</v>
      </c>
      <c r="AO21" s="114">
        <v>0</v>
      </c>
      <c r="AP21" s="114">
        <v>0</v>
      </c>
      <c r="AQ21" s="114">
        <v>0</v>
      </c>
      <c r="AR21" s="114">
        <v>0</v>
      </c>
      <c r="AS21" s="114">
        <v>0</v>
      </c>
      <c r="AT21" s="114">
        <v>0</v>
      </c>
      <c r="AU21" s="114">
        <v>0</v>
      </c>
      <c r="AV21" s="114">
        <v>0</v>
      </c>
      <c r="AW21" s="114">
        <v>0</v>
      </c>
      <c r="AX21" s="114">
        <v>0</v>
      </c>
      <c r="AY21" s="114">
        <v>0</v>
      </c>
      <c r="AZ21" s="114">
        <v>0</v>
      </c>
      <c r="BA21" s="114">
        <v>0</v>
      </c>
      <c r="BB21" s="114">
        <v>0</v>
      </c>
      <c r="BC21" s="114">
        <v>0</v>
      </c>
      <c r="BD21" s="114">
        <v>0</v>
      </c>
      <c r="BE21" s="114">
        <v>0</v>
      </c>
      <c r="BF21" s="114">
        <v>0</v>
      </c>
    </row>
    <row r="22" spans="1:58" customFormat="1" x14ac:dyDescent="0.15">
      <c r="A22" s="194" t="s">
        <v>212</v>
      </c>
      <c r="B22" s="114">
        <v>0</v>
      </c>
      <c r="C22" s="114">
        <v>0</v>
      </c>
      <c r="D22" s="114">
        <v>0</v>
      </c>
      <c r="E22" s="114">
        <v>0</v>
      </c>
      <c r="F22" s="114">
        <v>0</v>
      </c>
      <c r="G22" s="114">
        <v>0</v>
      </c>
      <c r="H22" s="114">
        <v>0</v>
      </c>
      <c r="I22" s="114">
        <v>0</v>
      </c>
      <c r="J22" s="114">
        <v>0</v>
      </c>
      <c r="K22" s="114">
        <v>0</v>
      </c>
      <c r="L22" s="114">
        <v>0</v>
      </c>
      <c r="M22" s="114">
        <v>0</v>
      </c>
      <c r="N22" s="114">
        <v>0</v>
      </c>
      <c r="O22" s="114">
        <v>0</v>
      </c>
      <c r="P22" s="114">
        <v>0</v>
      </c>
      <c r="Q22" s="114">
        <v>0</v>
      </c>
      <c r="R22" s="114">
        <v>0</v>
      </c>
      <c r="S22" s="114">
        <v>0</v>
      </c>
      <c r="T22" s="114">
        <v>0</v>
      </c>
      <c r="U22" s="114">
        <v>0</v>
      </c>
      <c r="V22" s="114">
        <v>0</v>
      </c>
      <c r="W22" s="114">
        <v>0</v>
      </c>
      <c r="X22" s="114">
        <v>0</v>
      </c>
      <c r="Y22" s="114">
        <v>0</v>
      </c>
      <c r="Z22" s="114">
        <v>0</v>
      </c>
      <c r="AA22" s="114">
        <v>0</v>
      </c>
      <c r="AB22" s="114">
        <v>0</v>
      </c>
      <c r="AC22" s="114">
        <v>0</v>
      </c>
      <c r="AD22" s="114">
        <v>0</v>
      </c>
      <c r="AE22" s="114">
        <v>0</v>
      </c>
      <c r="AF22" s="114">
        <v>0</v>
      </c>
      <c r="AG22" s="114">
        <v>0</v>
      </c>
      <c r="AH22" s="114">
        <v>0</v>
      </c>
      <c r="AI22" s="114">
        <v>0</v>
      </c>
      <c r="AJ22" s="114">
        <v>0</v>
      </c>
      <c r="AK22" s="114">
        <v>0</v>
      </c>
      <c r="AL22" s="114">
        <v>0</v>
      </c>
      <c r="AM22" s="114">
        <v>0</v>
      </c>
      <c r="AN22" s="114">
        <v>0</v>
      </c>
      <c r="AO22" s="114">
        <v>0</v>
      </c>
      <c r="AP22" s="114">
        <v>0</v>
      </c>
      <c r="AQ22" s="114">
        <v>0</v>
      </c>
      <c r="AR22" s="114">
        <v>0</v>
      </c>
      <c r="AS22" s="114">
        <v>0</v>
      </c>
      <c r="AT22" s="114">
        <v>0</v>
      </c>
      <c r="AU22" s="114">
        <v>0</v>
      </c>
      <c r="AV22" s="114">
        <v>0</v>
      </c>
      <c r="AW22" s="114">
        <v>0</v>
      </c>
      <c r="AX22" s="114">
        <v>0</v>
      </c>
      <c r="AY22" s="114">
        <v>0</v>
      </c>
      <c r="AZ22" s="114">
        <v>0</v>
      </c>
      <c r="BA22" s="114">
        <v>0</v>
      </c>
      <c r="BB22" s="114">
        <v>0</v>
      </c>
      <c r="BC22" s="114">
        <v>0</v>
      </c>
      <c r="BD22" s="114">
        <v>0</v>
      </c>
      <c r="BE22" s="114">
        <v>0</v>
      </c>
      <c r="BF22" s="114">
        <v>0</v>
      </c>
    </row>
    <row r="23" spans="1:58" customFormat="1" x14ac:dyDescent="0.15">
      <c r="A23" s="194" t="s">
        <v>213</v>
      </c>
      <c r="B23" s="114">
        <v>0</v>
      </c>
      <c r="C23" s="114">
        <v>0</v>
      </c>
      <c r="D23" s="114">
        <v>0</v>
      </c>
      <c r="E23" s="114">
        <v>0</v>
      </c>
      <c r="F23" s="114">
        <v>0</v>
      </c>
      <c r="G23" s="114">
        <v>0</v>
      </c>
      <c r="H23" s="114">
        <v>0</v>
      </c>
      <c r="I23" s="114">
        <v>0</v>
      </c>
      <c r="J23" s="114">
        <v>0</v>
      </c>
      <c r="K23" s="114">
        <v>0</v>
      </c>
      <c r="L23" s="114">
        <v>0</v>
      </c>
      <c r="M23" s="114">
        <v>0</v>
      </c>
      <c r="N23" s="114">
        <v>0</v>
      </c>
      <c r="O23" s="114">
        <v>0</v>
      </c>
      <c r="P23" s="114">
        <v>0</v>
      </c>
      <c r="Q23" s="114">
        <v>1</v>
      </c>
      <c r="R23" s="114">
        <v>0</v>
      </c>
      <c r="S23" s="114">
        <v>0</v>
      </c>
      <c r="T23" s="114">
        <v>0</v>
      </c>
      <c r="U23" s="114">
        <v>1</v>
      </c>
      <c r="V23" s="114">
        <v>0</v>
      </c>
      <c r="W23" s="114">
        <v>0</v>
      </c>
      <c r="X23" s="114">
        <v>0</v>
      </c>
      <c r="Y23" s="114">
        <v>0</v>
      </c>
      <c r="Z23" s="114">
        <v>0</v>
      </c>
      <c r="AA23" s="114">
        <v>0</v>
      </c>
      <c r="AB23" s="114">
        <v>0</v>
      </c>
      <c r="AC23" s="114">
        <v>0</v>
      </c>
      <c r="AD23" s="114">
        <v>0</v>
      </c>
      <c r="AE23" s="114">
        <v>0</v>
      </c>
      <c r="AF23" s="114">
        <v>0</v>
      </c>
      <c r="AG23" s="114">
        <v>0</v>
      </c>
      <c r="AH23" s="114">
        <v>0</v>
      </c>
      <c r="AI23" s="114">
        <v>0</v>
      </c>
      <c r="AJ23" s="114">
        <v>0</v>
      </c>
      <c r="AK23" s="114">
        <v>0</v>
      </c>
      <c r="AL23" s="114">
        <v>0</v>
      </c>
      <c r="AM23" s="114">
        <v>0</v>
      </c>
      <c r="AN23" s="114">
        <v>0</v>
      </c>
      <c r="AO23" s="114">
        <v>0</v>
      </c>
      <c r="AP23" s="114">
        <v>0</v>
      </c>
      <c r="AQ23" s="114">
        <v>0</v>
      </c>
      <c r="AR23" s="114">
        <v>0</v>
      </c>
      <c r="AS23" s="114">
        <v>0</v>
      </c>
      <c r="AT23" s="114">
        <v>0</v>
      </c>
      <c r="AU23" s="114">
        <v>0</v>
      </c>
      <c r="AV23" s="114">
        <v>0</v>
      </c>
      <c r="AW23" s="114">
        <v>0</v>
      </c>
      <c r="AX23" s="114">
        <v>0</v>
      </c>
      <c r="AY23" s="114">
        <v>0</v>
      </c>
      <c r="AZ23" s="114">
        <v>0</v>
      </c>
      <c r="BA23" s="114">
        <v>0</v>
      </c>
      <c r="BB23" s="114">
        <v>0</v>
      </c>
      <c r="BC23" s="114">
        <v>0</v>
      </c>
      <c r="BD23" s="114">
        <v>0</v>
      </c>
      <c r="BE23" s="114">
        <v>0</v>
      </c>
      <c r="BF23" s="114">
        <v>0</v>
      </c>
    </row>
    <row r="24" spans="1:58" customFormat="1" x14ac:dyDescent="0.15">
      <c r="A24" s="194" t="s">
        <v>214</v>
      </c>
      <c r="B24" s="114">
        <v>0</v>
      </c>
      <c r="C24" s="114">
        <v>1</v>
      </c>
      <c r="D24" s="114">
        <v>0</v>
      </c>
      <c r="E24" s="114">
        <v>0</v>
      </c>
      <c r="F24" s="114">
        <v>0</v>
      </c>
      <c r="G24" s="114">
        <v>1</v>
      </c>
      <c r="H24" s="114">
        <v>0</v>
      </c>
      <c r="I24" s="114">
        <v>0</v>
      </c>
      <c r="J24" s="114">
        <v>0</v>
      </c>
      <c r="K24" s="114">
        <v>0</v>
      </c>
      <c r="L24" s="114">
        <v>0</v>
      </c>
      <c r="M24" s="114">
        <v>0</v>
      </c>
      <c r="N24" s="114">
        <v>0</v>
      </c>
      <c r="O24" s="114">
        <v>0</v>
      </c>
      <c r="P24" s="114">
        <v>0</v>
      </c>
      <c r="Q24" s="114">
        <v>0</v>
      </c>
      <c r="R24" s="114">
        <v>0</v>
      </c>
      <c r="S24" s="114">
        <v>1</v>
      </c>
      <c r="T24" s="114">
        <v>0</v>
      </c>
      <c r="U24" s="114">
        <v>0</v>
      </c>
      <c r="V24" s="114">
        <v>0</v>
      </c>
      <c r="W24" s="114">
        <v>1</v>
      </c>
      <c r="X24" s="114">
        <v>0</v>
      </c>
      <c r="Y24" s="114">
        <v>0</v>
      </c>
      <c r="Z24" s="114">
        <v>0</v>
      </c>
      <c r="AA24" s="114">
        <v>0</v>
      </c>
      <c r="AB24" s="114">
        <v>0</v>
      </c>
      <c r="AC24" s="114">
        <v>0</v>
      </c>
      <c r="AD24" s="114">
        <v>0</v>
      </c>
      <c r="AE24" s="114">
        <v>0</v>
      </c>
      <c r="AF24" s="114">
        <v>0</v>
      </c>
      <c r="AG24" s="114">
        <v>0</v>
      </c>
      <c r="AH24" s="114">
        <v>0</v>
      </c>
      <c r="AI24" s="114">
        <v>0</v>
      </c>
      <c r="AJ24" s="114">
        <v>0</v>
      </c>
      <c r="AK24" s="114">
        <v>0</v>
      </c>
      <c r="AL24" s="114">
        <v>0</v>
      </c>
      <c r="AM24" s="114">
        <v>0</v>
      </c>
      <c r="AN24" s="114">
        <v>0</v>
      </c>
      <c r="AO24" s="114">
        <v>0</v>
      </c>
      <c r="AP24" s="114">
        <v>0</v>
      </c>
      <c r="AQ24" s="114">
        <v>0</v>
      </c>
      <c r="AR24" s="114">
        <v>0</v>
      </c>
      <c r="AS24" s="114">
        <v>0</v>
      </c>
      <c r="AT24" s="114">
        <v>0</v>
      </c>
      <c r="AU24" s="114">
        <v>0</v>
      </c>
      <c r="AV24" s="114">
        <v>0</v>
      </c>
      <c r="AW24" s="114">
        <v>0</v>
      </c>
      <c r="AX24" s="114">
        <v>0</v>
      </c>
      <c r="AY24" s="114">
        <v>0</v>
      </c>
      <c r="AZ24" s="114">
        <v>0</v>
      </c>
      <c r="BA24" s="114">
        <v>0</v>
      </c>
      <c r="BB24" s="114">
        <v>0</v>
      </c>
      <c r="BC24" s="114">
        <v>0</v>
      </c>
      <c r="BD24" s="114">
        <v>0</v>
      </c>
      <c r="BE24" s="114">
        <v>0</v>
      </c>
      <c r="BF24" s="114">
        <v>0</v>
      </c>
    </row>
    <row r="25" spans="1:58" customFormat="1" x14ac:dyDescent="0.15">
      <c r="A25" s="194" t="s">
        <v>215</v>
      </c>
      <c r="B25" s="114">
        <v>0</v>
      </c>
      <c r="C25" s="114">
        <v>1</v>
      </c>
      <c r="D25" s="114">
        <v>0</v>
      </c>
      <c r="E25" s="114">
        <v>0</v>
      </c>
      <c r="F25" s="114">
        <v>1</v>
      </c>
      <c r="G25" s="114">
        <v>0</v>
      </c>
      <c r="H25" s="114">
        <v>0</v>
      </c>
      <c r="I25" s="114">
        <v>0</v>
      </c>
      <c r="J25" s="114">
        <v>0</v>
      </c>
      <c r="K25" s="114">
        <v>0</v>
      </c>
      <c r="L25" s="114">
        <v>0</v>
      </c>
      <c r="M25" s="114">
        <v>0</v>
      </c>
      <c r="N25" s="114">
        <v>0</v>
      </c>
      <c r="O25" s="114">
        <v>0</v>
      </c>
      <c r="P25" s="114">
        <v>0</v>
      </c>
      <c r="Q25" s="114">
        <v>1</v>
      </c>
      <c r="R25" s="114">
        <v>0</v>
      </c>
      <c r="S25" s="114">
        <v>1</v>
      </c>
      <c r="T25" s="114">
        <v>1</v>
      </c>
      <c r="U25" s="114">
        <v>1</v>
      </c>
      <c r="V25" s="114">
        <v>1</v>
      </c>
      <c r="W25" s="114">
        <v>0</v>
      </c>
      <c r="X25" s="114">
        <v>0</v>
      </c>
      <c r="Y25" s="114">
        <v>0</v>
      </c>
      <c r="Z25" s="114">
        <v>0</v>
      </c>
      <c r="AA25" s="114">
        <v>0</v>
      </c>
      <c r="AB25" s="114">
        <v>0</v>
      </c>
      <c r="AC25" s="114">
        <v>0</v>
      </c>
      <c r="AD25" s="114">
        <v>0</v>
      </c>
      <c r="AE25" s="114">
        <v>0</v>
      </c>
      <c r="AF25" s="114">
        <v>0</v>
      </c>
      <c r="AG25" s="114">
        <v>0</v>
      </c>
      <c r="AH25" s="114">
        <v>0</v>
      </c>
      <c r="AI25" s="114">
        <v>0</v>
      </c>
      <c r="AJ25" s="114">
        <v>0</v>
      </c>
      <c r="AK25" s="114">
        <v>0</v>
      </c>
      <c r="AL25" s="114">
        <v>0</v>
      </c>
      <c r="AM25" s="114">
        <v>0</v>
      </c>
      <c r="AN25" s="114">
        <v>0</v>
      </c>
      <c r="AO25" s="114">
        <v>0</v>
      </c>
      <c r="AP25" s="114">
        <v>0</v>
      </c>
      <c r="AQ25" s="114">
        <v>0</v>
      </c>
      <c r="AR25" s="114">
        <v>0</v>
      </c>
      <c r="AS25" s="114">
        <v>0</v>
      </c>
      <c r="AT25" s="114">
        <v>0</v>
      </c>
      <c r="AU25" s="114">
        <v>0</v>
      </c>
      <c r="AV25" s="114">
        <v>0</v>
      </c>
      <c r="AW25" s="114">
        <v>0</v>
      </c>
      <c r="AX25" s="114">
        <v>0</v>
      </c>
      <c r="AY25" s="114">
        <v>0</v>
      </c>
      <c r="AZ25" s="114">
        <v>0</v>
      </c>
      <c r="BA25" s="114">
        <v>0</v>
      </c>
      <c r="BB25" s="114">
        <v>0</v>
      </c>
      <c r="BC25" s="114">
        <v>0</v>
      </c>
      <c r="BD25" s="114">
        <v>0</v>
      </c>
      <c r="BE25" s="114">
        <v>0</v>
      </c>
      <c r="BF25" s="114">
        <v>0</v>
      </c>
    </row>
    <row r="26" spans="1:58" customFormat="1" x14ac:dyDescent="0.15">
      <c r="A26" s="194" t="s">
        <v>216</v>
      </c>
      <c r="B26" s="114">
        <v>0</v>
      </c>
      <c r="C26" s="114">
        <v>1</v>
      </c>
      <c r="D26" s="114">
        <v>0</v>
      </c>
      <c r="E26" s="114">
        <v>0</v>
      </c>
      <c r="F26" s="114">
        <v>1</v>
      </c>
      <c r="G26" s="114">
        <v>0</v>
      </c>
      <c r="H26" s="114">
        <v>0</v>
      </c>
      <c r="I26" s="114">
        <v>0</v>
      </c>
      <c r="J26" s="114">
        <v>0</v>
      </c>
      <c r="K26" s="114">
        <v>0</v>
      </c>
      <c r="L26" s="114">
        <v>0</v>
      </c>
      <c r="M26" s="114">
        <v>0</v>
      </c>
      <c r="N26" s="114">
        <v>0</v>
      </c>
      <c r="O26" s="114">
        <v>0</v>
      </c>
      <c r="P26" s="114">
        <v>0</v>
      </c>
      <c r="Q26" s="114">
        <v>1</v>
      </c>
      <c r="R26" s="114">
        <v>0</v>
      </c>
      <c r="S26" s="114">
        <v>1</v>
      </c>
      <c r="T26" s="114">
        <v>1</v>
      </c>
      <c r="U26" s="114">
        <v>1</v>
      </c>
      <c r="V26" s="114">
        <v>1</v>
      </c>
      <c r="W26" s="114">
        <v>0</v>
      </c>
      <c r="X26" s="114">
        <v>0</v>
      </c>
      <c r="Y26" s="114">
        <v>0</v>
      </c>
      <c r="Z26" s="114">
        <v>0</v>
      </c>
      <c r="AA26" s="114">
        <v>0</v>
      </c>
      <c r="AB26" s="114">
        <v>0</v>
      </c>
      <c r="AC26" s="114">
        <v>0</v>
      </c>
      <c r="AD26" s="114">
        <v>0</v>
      </c>
      <c r="AE26" s="114">
        <v>0</v>
      </c>
      <c r="AF26" s="114">
        <v>0</v>
      </c>
      <c r="AG26" s="114">
        <v>0</v>
      </c>
      <c r="AH26" s="114">
        <v>0</v>
      </c>
      <c r="AI26" s="114">
        <v>0</v>
      </c>
      <c r="AJ26" s="114">
        <v>0</v>
      </c>
      <c r="AK26" s="114">
        <v>0</v>
      </c>
      <c r="AL26" s="114">
        <v>0</v>
      </c>
      <c r="AM26" s="114">
        <v>0</v>
      </c>
      <c r="AN26" s="114">
        <v>0</v>
      </c>
      <c r="AO26" s="114">
        <v>0</v>
      </c>
      <c r="AP26" s="114">
        <v>0</v>
      </c>
      <c r="AQ26" s="114">
        <v>0</v>
      </c>
      <c r="AR26" s="114">
        <v>0</v>
      </c>
      <c r="AS26" s="114">
        <v>0</v>
      </c>
      <c r="AT26" s="114">
        <v>0</v>
      </c>
      <c r="AU26" s="114">
        <v>0</v>
      </c>
      <c r="AV26" s="114">
        <v>0</v>
      </c>
      <c r="AW26" s="114">
        <v>0</v>
      </c>
      <c r="AX26" s="114">
        <v>0</v>
      </c>
      <c r="AY26" s="114">
        <v>0</v>
      </c>
      <c r="AZ26" s="114">
        <v>0</v>
      </c>
      <c r="BA26" s="114">
        <v>0</v>
      </c>
      <c r="BB26" s="114">
        <v>0</v>
      </c>
      <c r="BC26" s="114">
        <v>0</v>
      </c>
      <c r="BD26" s="114">
        <v>0</v>
      </c>
      <c r="BE26" s="114">
        <v>0</v>
      </c>
      <c r="BF26" s="114">
        <v>0</v>
      </c>
    </row>
    <row r="27" spans="1:58" customFormat="1" x14ac:dyDescent="0.15">
      <c r="A27" s="194" t="s">
        <v>217</v>
      </c>
      <c r="B27" s="114">
        <v>0</v>
      </c>
      <c r="C27" s="114">
        <v>1</v>
      </c>
      <c r="D27" s="114">
        <v>0</v>
      </c>
      <c r="E27" s="114">
        <v>0</v>
      </c>
      <c r="F27" s="114">
        <v>0</v>
      </c>
      <c r="G27" s="114">
        <v>0</v>
      </c>
      <c r="H27" s="114">
        <v>0</v>
      </c>
      <c r="I27" s="114">
        <v>0</v>
      </c>
      <c r="J27" s="114">
        <v>0</v>
      </c>
      <c r="K27" s="114">
        <v>0</v>
      </c>
      <c r="L27" s="114">
        <v>0</v>
      </c>
      <c r="M27" s="114">
        <v>0</v>
      </c>
      <c r="N27" s="114">
        <v>0</v>
      </c>
      <c r="O27" s="114">
        <v>0</v>
      </c>
      <c r="P27" s="114">
        <v>0</v>
      </c>
      <c r="Q27" s="114">
        <v>1</v>
      </c>
      <c r="R27" s="114">
        <v>0</v>
      </c>
      <c r="S27" s="114">
        <v>1</v>
      </c>
      <c r="T27" s="114">
        <v>1</v>
      </c>
      <c r="U27" s="114">
        <v>1</v>
      </c>
      <c r="V27" s="114">
        <v>1</v>
      </c>
      <c r="W27" s="114">
        <v>0</v>
      </c>
      <c r="X27" s="114">
        <v>0</v>
      </c>
      <c r="Y27" s="114">
        <v>0</v>
      </c>
      <c r="Z27" s="114">
        <v>0</v>
      </c>
      <c r="AA27" s="114">
        <v>0</v>
      </c>
      <c r="AB27" s="114">
        <v>0</v>
      </c>
      <c r="AC27" s="114">
        <v>0</v>
      </c>
      <c r="AD27" s="114">
        <v>0</v>
      </c>
      <c r="AE27" s="114">
        <v>0</v>
      </c>
      <c r="AF27" s="114">
        <v>0</v>
      </c>
      <c r="AG27" s="114">
        <v>0</v>
      </c>
      <c r="AH27" s="114">
        <v>0</v>
      </c>
      <c r="AI27" s="114">
        <v>0</v>
      </c>
      <c r="AJ27" s="114">
        <v>0</v>
      </c>
      <c r="AK27" s="114">
        <v>0</v>
      </c>
      <c r="AL27" s="114">
        <v>0</v>
      </c>
      <c r="AM27" s="114">
        <v>0</v>
      </c>
      <c r="AN27" s="114">
        <v>0</v>
      </c>
      <c r="AO27" s="114">
        <v>0</v>
      </c>
      <c r="AP27" s="114">
        <v>0</v>
      </c>
      <c r="AQ27" s="114">
        <v>0</v>
      </c>
      <c r="AR27" s="114">
        <v>0</v>
      </c>
      <c r="AS27" s="114">
        <v>0</v>
      </c>
      <c r="AT27" s="114">
        <v>0</v>
      </c>
      <c r="AU27" s="114">
        <v>0</v>
      </c>
      <c r="AV27" s="114">
        <v>0</v>
      </c>
      <c r="AW27" s="114">
        <v>0</v>
      </c>
      <c r="AX27" s="114">
        <v>0</v>
      </c>
      <c r="AY27" s="114">
        <v>0</v>
      </c>
      <c r="AZ27" s="114">
        <v>0</v>
      </c>
      <c r="BA27" s="114">
        <v>0</v>
      </c>
      <c r="BB27" s="114">
        <v>0</v>
      </c>
      <c r="BC27" s="114">
        <v>0</v>
      </c>
      <c r="BD27" s="114">
        <v>0</v>
      </c>
      <c r="BE27" s="114">
        <v>0</v>
      </c>
      <c r="BF27" s="114">
        <v>0</v>
      </c>
    </row>
    <row r="28" spans="1:58" customFormat="1" x14ac:dyDescent="0.15">
      <c r="A28" s="194" t="s">
        <v>218</v>
      </c>
      <c r="B28" s="114">
        <v>0</v>
      </c>
      <c r="C28" s="114">
        <v>0</v>
      </c>
      <c r="D28" s="114">
        <v>0</v>
      </c>
      <c r="E28" s="114">
        <v>0</v>
      </c>
      <c r="F28" s="114">
        <v>0</v>
      </c>
      <c r="G28" s="114">
        <v>0</v>
      </c>
      <c r="H28" s="114">
        <v>0</v>
      </c>
      <c r="I28" s="114">
        <v>0</v>
      </c>
      <c r="J28" s="114">
        <v>0</v>
      </c>
      <c r="K28" s="114">
        <v>0</v>
      </c>
      <c r="L28" s="114">
        <v>0</v>
      </c>
      <c r="M28" s="114">
        <v>0</v>
      </c>
      <c r="N28" s="114">
        <v>0</v>
      </c>
      <c r="O28" s="114">
        <v>0</v>
      </c>
      <c r="P28" s="114">
        <v>0</v>
      </c>
      <c r="Q28" s="114">
        <v>1</v>
      </c>
      <c r="R28" s="114">
        <v>0</v>
      </c>
      <c r="S28" s="114">
        <v>1</v>
      </c>
      <c r="T28" s="114">
        <v>1</v>
      </c>
      <c r="U28" s="114">
        <v>1</v>
      </c>
      <c r="V28" s="114">
        <v>1</v>
      </c>
      <c r="W28" s="114">
        <v>1</v>
      </c>
      <c r="X28" s="114">
        <v>0</v>
      </c>
      <c r="Y28" s="114">
        <v>0</v>
      </c>
      <c r="Z28" s="114">
        <v>0</v>
      </c>
      <c r="AA28" s="114">
        <v>0</v>
      </c>
      <c r="AB28" s="114">
        <v>0</v>
      </c>
      <c r="AC28" s="114">
        <v>0</v>
      </c>
      <c r="AD28" s="114">
        <v>0</v>
      </c>
      <c r="AE28" s="114">
        <v>0</v>
      </c>
      <c r="AF28" s="114">
        <v>0</v>
      </c>
      <c r="AG28" s="114">
        <v>0</v>
      </c>
      <c r="AH28" s="114">
        <v>0</v>
      </c>
      <c r="AI28" s="114">
        <v>0</v>
      </c>
      <c r="AJ28" s="114">
        <v>0</v>
      </c>
      <c r="AK28" s="114">
        <v>0</v>
      </c>
      <c r="AL28" s="114">
        <v>0</v>
      </c>
      <c r="AM28" s="114">
        <v>0</v>
      </c>
      <c r="AN28" s="114">
        <v>0</v>
      </c>
      <c r="AO28" s="114">
        <v>0</v>
      </c>
      <c r="AP28" s="114">
        <v>0</v>
      </c>
      <c r="AQ28" s="114">
        <v>0</v>
      </c>
      <c r="AR28" s="114">
        <v>0</v>
      </c>
      <c r="AS28" s="114">
        <v>0</v>
      </c>
      <c r="AT28" s="114">
        <v>0</v>
      </c>
      <c r="AU28" s="114">
        <v>0</v>
      </c>
      <c r="AV28" s="114">
        <v>0</v>
      </c>
      <c r="AW28" s="114">
        <v>0</v>
      </c>
      <c r="AX28" s="114">
        <v>0</v>
      </c>
      <c r="AY28" s="114">
        <v>0</v>
      </c>
      <c r="AZ28" s="114">
        <v>0</v>
      </c>
      <c r="BA28" s="114">
        <v>0</v>
      </c>
      <c r="BB28" s="114">
        <v>0</v>
      </c>
      <c r="BC28" s="114">
        <v>0</v>
      </c>
      <c r="BD28" s="114">
        <v>0</v>
      </c>
      <c r="BE28" s="114">
        <v>0</v>
      </c>
      <c r="BF28" s="114">
        <v>0</v>
      </c>
    </row>
    <row r="29" spans="1:58" customFormat="1" x14ac:dyDescent="0.15">
      <c r="A29" s="194" t="s">
        <v>219</v>
      </c>
      <c r="B29" s="114">
        <v>0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  <c r="H29" s="114">
        <v>0</v>
      </c>
      <c r="I29" s="114">
        <v>0</v>
      </c>
      <c r="J29" s="114">
        <v>0</v>
      </c>
      <c r="K29" s="114">
        <v>0</v>
      </c>
      <c r="L29" s="114">
        <v>0</v>
      </c>
      <c r="M29" s="114">
        <v>0</v>
      </c>
      <c r="N29" s="114">
        <v>0</v>
      </c>
      <c r="O29" s="114">
        <v>0</v>
      </c>
      <c r="P29" s="114">
        <v>0</v>
      </c>
      <c r="Q29" s="114">
        <v>1</v>
      </c>
      <c r="R29" s="114">
        <v>0</v>
      </c>
      <c r="S29" s="114">
        <v>1</v>
      </c>
      <c r="T29" s="114">
        <v>1</v>
      </c>
      <c r="U29" s="114">
        <v>1</v>
      </c>
      <c r="V29" s="114">
        <v>1</v>
      </c>
      <c r="W29" s="114">
        <v>1</v>
      </c>
      <c r="X29" s="114">
        <v>0</v>
      </c>
      <c r="Y29" s="114">
        <v>0</v>
      </c>
      <c r="Z29" s="114">
        <v>0</v>
      </c>
      <c r="AA29" s="114">
        <v>0</v>
      </c>
      <c r="AB29" s="114">
        <v>0</v>
      </c>
      <c r="AC29" s="114">
        <v>0</v>
      </c>
      <c r="AD29" s="114">
        <v>0</v>
      </c>
      <c r="AE29" s="114">
        <v>0</v>
      </c>
      <c r="AF29" s="114">
        <v>0</v>
      </c>
      <c r="AG29" s="114">
        <v>0</v>
      </c>
      <c r="AH29" s="114">
        <v>0</v>
      </c>
      <c r="AI29" s="114">
        <v>0</v>
      </c>
      <c r="AJ29" s="114">
        <v>0</v>
      </c>
      <c r="AK29" s="114">
        <v>0</v>
      </c>
      <c r="AL29" s="114">
        <v>0</v>
      </c>
      <c r="AM29" s="114">
        <v>0</v>
      </c>
      <c r="AN29" s="114">
        <v>0</v>
      </c>
      <c r="AO29" s="114">
        <v>0</v>
      </c>
      <c r="AP29" s="114">
        <v>0</v>
      </c>
      <c r="AQ29" s="114">
        <v>0</v>
      </c>
      <c r="AR29" s="114">
        <v>0</v>
      </c>
      <c r="AS29" s="114">
        <v>0</v>
      </c>
      <c r="AT29" s="114">
        <v>0</v>
      </c>
      <c r="AU29" s="114">
        <v>0</v>
      </c>
      <c r="AV29" s="114">
        <v>0</v>
      </c>
      <c r="AW29" s="114">
        <v>0</v>
      </c>
      <c r="AX29" s="114">
        <v>0</v>
      </c>
      <c r="AY29" s="114">
        <v>0</v>
      </c>
      <c r="AZ29" s="114">
        <v>0</v>
      </c>
      <c r="BA29" s="114">
        <v>0</v>
      </c>
      <c r="BB29" s="114">
        <v>0</v>
      </c>
      <c r="BC29" s="114">
        <v>0</v>
      </c>
      <c r="BD29" s="114">
        <v>0</v>
      </c>
      <c r="BE29" s="114">
        <v>0</v>
      </c>
      <c r="BF29" s="114">
        <v>0</v>
      </c>
    </row>
    <row r="30" spans="1:58" customFormat="1" x14ac:dyDescent="0.15">
      <c r="A30" s="194" t="s">
        <v>220</v>
      </c>
      <c r="B30" s="114">
        <v>0</v>
      </c>
      <c r="C30" s="114">
        <v>0</v>
      </c>
      <c r="D30" s="114">
        <v>0</v>
      </c>
      <c r="E30" s="114">
        <v>0</v>
      </c>
      <c r="F30" s="114">
        <v>0</v>
      </c>
      <c r="G30" s="114">
        <v>1</v>
      </c>
      <c r="H30" s="114">
        <v>0</v>
      </c>
      <c r="I30" s="114">
        <v>0</v>
      </c>
      <c r="J30" s="114">
        <v>0</v>
      </c>
      <c r="K30" s="114">
        <v>0</v>
      </c>
      <c r="L30" s="114">
        <v>0</v>
      </c>
      <c r="M30" s="114">
        <v>0</v>
      </c>
      <c r="N30" s="114">
        <v>0</v>
      </c>
      <c r="O30" s="114">
        <v>0</v>
      </c>
      <c r="P30" s="114">
        <v>0</v>
      </c>
      <c r="Q30" s="114">
        <v>1</v>
      </c>
      <c r="R30" s="114">
        <v>0</v>
      </c>
      <c r="S30" s="114">
        <v>1</v>
      </c>
      <c r="T30" s="114">
        <v>1</v>
      </c>
      <c r="U30" s="114">
        <v>0</v>
      </c>
      <c r="V30" s="114">
        <v>0</v>
      </c>
      <c r="W30" s="114">
        <v>0</v>
      </c>
      <c r="X30" s="114">
        <v>0</v>
      </c>
      <c r="Y30" s="114">
        <v>0</v>
      </c>
      <c r="Z30" s="114">
        <v>0</v>
      </c>
      <c r="AA30" s="114">
        <v>0</v>
      </c>
      <c r="AB30" s="114">
        <v>0</v>
      </c>
      <c r="AC30" s="114">
        <v>1</v>
      </c>
      <c r="AD30" s="114">
        <v>0</v>
      </c>
      <c r="AE30" s="114">
        <v>0</v>
      </c>
      <c r="AF30" s="114">
        <v>0</v>
      </c>
      <c r="AG30" s="114">
        <v>0</v>
      </c>
      <c r="AH30" s="114">
        <v>0</v>
      </c>
      <c r="AI30" s="114">
        <v>1</v>
      </c>
      <c r="AJ30" s="114">
        <v>0</v>
      </c>
      <c r="AK30" s="114">
        <v>0</v>
      </c>
      <c r="AL30" s="114">
        <v>0</v>
      </c>
      <c r="AM30" s="114">
        <v>0</v>
      </c>
      <c r="AN30" s="114">
        <v>0</v>
      </c>
      <c r="AO30" s="114">
        <v>0</v>
      </c>
      <c r="AP30" s="114">
        <v>0</v>
      </c>
      <c r="AQ30" s="114">
        <v>0</v>
      </c>
      <c r="AR30" s="114">
        <v>0</v>
      </c>
      <c r="AS30" s="114">
        <v>0</v>
      </c>
      <c r="AT30" s="114">
        <v>0</v>
      </c>
      <c r="AU30" s="114">
        <v>0</v>
      </c>
      <c r="AV30" s="114">
        <v>0</v>
      </c>
      <c r="AW30" s="114">
        <v>0</v>
      </c>
      <c r="AX30" s="114">
        <v>0</v>
      </c>
      <c r="AY30" s="114">
        <v>0</v>
      </c>
      <c r="AZ30" s="114">
        <v>0</v>
      </c>
      <c r="BA30" s="114">
        <v>0</v>
      </c>
      <c r="BB30" s="114">
        <v>0</v>
      </c>
      <c r="BC30" s="114">
        <v>0</v>
      </c>
      <c r="BD30" s="114">
        <v>0</v>
      </c>
      <c r="BE30" s="114">
        <v>0</v>
      </c>
      <c r="BF30" s="114">
        <v>0</v>
      </c>
    </row>
    <row r="31" spans="1:58" customFormat="1" x14ac:dyDescent="0.15">
      <c r="A31" s="194" t="s">
        <v>221</v>
      </c>
      <c r="B31" s="114">
        <v>0</v>
      </c>
      <c r="C31" s="114">
        <v>0</v>
      </c>
      <c r="D31" s="114">
        <v>0</v>
      </c>
      <c r="E31" s="114">
        <v>0</v>
      </c>
      <c r="F31" s="114">
        <v>0</v>
      </c>
      <c r="G31" s="114">
        <v>0</v>
      </c>
      <c r="H31" s="114">
        <v>0</v>
      </c>
      <c r="I31" s="114">
        <v>0</v>
      </c>
      <c r="J31" s="114">
        <v>0</v>
      </c>
      <c r="K31" s="114">
        <v>0</v>
      </c>
      <c r="L31" s="114">
        <v>0</v>
      </c>
      <c r="M31" s="114">
        <v>0</v>
      </c>
      <c r="N31" s="114">
        <v>0</v>
      </c>
      <c r="O31" s="114">
        <v>0</v>
      </c>
      <c r="P31" s="114">
        <v>0</v>
      </c>
      <c r="Q31" s="114">
        <v>1</v>
      </c>
      <c r="R31" s="114">
        <v>0</v>
      </c>
      <c r="S31" s="114">
        <v>1</v>
      </c>
      <c r="T31" s="114">
        <v>1</v>
      </c>
      <c r="U31" s="114">
        <v>0</v>
      </c>
      <c r="V31" s="114">
        <v>0</v>
      </c>
      <c r="W31" s="114">
        <v>0</v>
      </c>
      <c r="X31" s="114">
        <v>0</v>
      </c>
      <c r="Y31" s="114">
        <v>0</v>
      </c>
      <c r="Z31" s="114">
        <v>0</v>
      </c>
      <c r="AA31" s="114">
        <v>0</v>
      </c>
      <c r="AB31" s="114">
        <v>0</v>
      </c>
      <c r="AC31" s="114">
        <v>0</v>
      </c>
      <c r="AD31" s="114">
        <v>0</v>
      </c>
      <c r="AE31" s="114">
        <v>0</v>
      </c>
      <c r="AF31" s="114">
        <v>0</v>
      </c>
      <c r="AG31" s="114">
        <v>0</v>
      </c>
      <c r="AH31" s="114">
        <v>0</v>
      </c>
      <c r="AI31" s="114">
        <v>0</v>
      </c>
      <c r="AJ31" s="114">
        <v>0</v>
      </c>
      <c r="AK31" s="114">
        <v>0</v>
      </c>
      <c r="AL31" s="114">
        <v>0</v>
      </c>
      <c r="AM31" s="114">
        <v>0</v>
      </c>
      <c r="AN31" s="114">
        <v>0</v>
      </c>
      <c r="AO31" s="114">
        <v>0</v>
      </c>
      <c r="AP31" s="114">
        <v>0</v>
      </c>
      <c r="AQ31" s="114">
        <v>0</v>
      </c>
      <c r="AR31" s="114">
        <v>0</v>
      </c>
      <c r="AS31" s="114">
        <v>0</v>
      </c>
      <c r="AT31" s="114">
        <v>0</v>
      </c>
      <c r="AU31" s="114">
        <v>0</v>
      </c>
      <c r="AV31" s="114">
        <v>0</v>
      </c>
      <c r="AW31" s="114">
        <v>0</v>
      </c>
      <c r="AX31" s="114">
        <v>0</v>
      </c>
      <c r="AY31" s="114">
        <v>0</v>
      </c>
      <c r="AZ31" s="114">
        <v>0</v>
      </c>
      <c r="BA31" s="114">
        <v>0</v>
      </c>
      <c r="BB31" s="114">
        <v>0</v>
      </c>
      <c r="BC31" s="114">
        <v>0</v>
      </c>
      <c r="BD31" s="114">
        <v>0</v>
      </c>
      <c r="BE31" s="114">
        <v>0</v>
      </c>
      <c r="BF31" s="114">
        <v>0</v>
      </c>
    </row>
    <row r="32" spans="1:58" x14ac:dyDescent="0.15">
      <c r="A32" s="194" t="s">
        <v>222</v>
      </c>
      <c r="B32" s="114">
        <v>0</v>
      </c>
      <c r="C32" s="114">
        <v>1</v>
      </c>
      <c r="D32" s="114">
        <v>0</v>
      </c>
      <c r="E32" s="114">
        <v>0</v>
      </c>
      <c r="F32" s="114">
        <v>1</v>
      </c>
      <c r="G32" s="114">
        <v>0</v>
      </c>
      <c r="H32" s="114">
        <v>0</v>
      </c>
      <c r="I32" s="114">
        <v>0</v>
      </c>
      <c r="J32" s="114">
        <v>0</v>
      </c>
      <c r="K32" s="114">
        <v>0</v>
      </c>
      <c r="L32" s="114">
        <v>0</v>
      </c>
      <c r="M32" s="114">
        <v>0</v>
      </c>
      <c r="N32" s="114">
        <v>0</v>
      </c>
      <c r="O32" s="114">
        <v>0</v>
      </c>
      <c r="P32" s="114">
        <v>0</v>
      </c>
      <c r="Q32" s="114">
        <v>1</v>
      </c>
      <c r="R32" s="114">
        <v>0</v>
      </c>
      <c r="S32" s="114">
        <v>1</v>
      </c>
      <c r="T32" s="114">
        <v>1</v>
      </c>
      <c r="U32" s="114">
        <v>0</v>
      </c>
      <c r="V32" s="114">
        <v>0</v>
      </c>
      <c r="W32" s="114">
        <v>1</v>
      </c>
      <c r="X32" s="114">
        <v>0</v>
      </c>
      <c r="Y32" s="114">
        <v>0</v>
      </c>
      <c r="Z32" s="114">
        <v>0</v>
      </c>
      <c r="AA32" s="114">
        <v>0</v>
      </c>
      <c r="AB32" s="114">
        <v>0</v>
      </c>
      <c r="AC32" s="114">
        <v>1</v>
      </c>
      <c r="AD32" s="114">
        <v>0</v>
      </c>
      <c r="AE32" s="114">
        <v>0</v>
      </c>
      <c r="AF32" s="114">
        <v>0</v>
      </c>
      <c r="AG32" s="114">
        <v>0</v>
      </c>
      <c r="AH32" s="114">
        <v>0</v>
      </c>
      <c r="AI32" s="114">
        <v>1</v>
      </c>
      <c r="AJ32" s="114">
        <v>0</v>
      </c>
      <c r="AK32" s="114">
        <v>0</v>
      </c>
      <c r="AL32" s="114">
        <v>0</v>
      </c>
      <c r="AM32" s="114">
        <v>0</v>
      </c>
      <c r="AN32" s="114">
        <v>0</v>
      </c>
      <c r="AO32" s="114">
        <v>0</v>
      </c>
      <c r="AP32" s="114">
        <v>0</v>
      </c>
      <c r="AQ32" s="114">
        <v>0</v>
      </c>
      <c r="AR32" s="114">
        <v>0</v>
      </c>
      <c r="AS32" s="114">
        <v>0</v>
      </c>
      <c r="AT32" s="114">
        <v>0</v>
      </c>
      <c r="AU32" s="114">
        <v>0</v>
      </c>
      <c r="AV32" s="114">
        <v>0</v>
      </c>
      <c r="AW32" s="114">
        <v>0</v>
      </c>
      <c r="AX32" s="114">
        <v>0</v>
      </c>
      <c r="AY32" s="114">
        <v>0</v>
      </c>
      <c r="AZ32" s="114">
        <v>0</v>
      </c>
      <c r="BA32" s="114">
        <v>0</v>
      </c>
      <c r="BB32" s="114">
        <v>0</v>
      </c>
      <c r="BC32" s="114">
        <v>0</v>
      </c>
      <c r="BD32" s="114">
        <v>0</v>
      </c>
      <c r="BE32" s="114">
        <v>0</v>
      </c>
      <c r="BF32" s="114">
        <v>0</v>
      </c>
    </row>
    <row r="33" spans="1:58" x14ac:dyDescent="0.15">
      <c r="A33" s="194" t="s">
        <v>223</v>
      </c>
      <c r="B33" s="114">
        <v>0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  <c r="H33" s="114">
        <v>0</v>
      </c>
      <c r="I33" s="114">
        <v>0</v>
      </c>
      <c r="J33" s="114">
        <v>0</v>
      </c>
      <c r="K33" s="114">
        <v>0</v>
      </c>
      <c r="L33" s="114">
        <v>0</v>
      </c>
      <c r="M33" s="114">
        <v>0</v>
      </c>
      <c r="N33" s="114">
        <v>0</v>
      </c>
      <c r="O33" s="114">
        <v>0</v>
      </c>
      <c r="P33" s="114">
        <v>0</v>
      </c>
      <c r="Q33" s="114">
        <v>0</v>
      </c>
      <c r="R33" s="114">
        <v>0</v>
      </c>
      <c r="S33" s="114">
        <v>1</v>
      </c>
      <c r="T33" s="114">
        <v>1</v>
      </c>
      <c r="U33" s="114">
        <v>0</v>
      </c>
      <c r="V33" s="114">
        <v>0</v>
      </c>
      <c r="W33" s="114">
        <v>1</v>
      </c>
      <c r="X33" s="114">
        <v>0</v>
      </c>
      <c r="Y33" s="114">
        <v>0</v>
      </c>
      <c r="Z33" s="114">
        <v>0</v>
      </c>
      <c r="AA33" s="114">
        <v>0</v>
      </c>
      <c r="AB33" s="114">
        <v>0</v>
      </c>
      <c r="AC33" s="114">
        <v>0</v>
      </c>
      <c r="AD33" s="114">
        <v>0</v>
      </c>
      <c r="AE33" s="114">
        <v>0</v>
      </c>
      <c r="AF33" s="114">
        <v>0</v>
      </c>
      <c r="AG33" s="114">
        <v>1</v>
      </c>
      <c r="AH33" s="114">
        <v>0</v>
      </c>
      <c r="AI33" s="114">
        <v>1</v>
      </c>
      <c r="AJ33" s="114">
        <v>0</v>
      </c>
      <c r="AK33" s="114">
        <v>0</v>
      </c>
      <c r="AL33" s="114">
        <v>0</v>
      </c>
      <c r="AM33" s="114">
        <v>0</v>
      </c>
      <c r="AN33" s="114">
        <v>0</v>
      </c>
      <c r="AO33" s="114">
        <v>0</v>
      </c>
      <c r="AP33" s="114">
        <v>0</v>
      </c>
      <c r="AQ33" s="114">
        <v>0</v>
      </c>
      <c r="AR33" s="114">
        <v>0</v>
      </c>
      <c r="AS33" s="114">
        <v>0</v>
      </c>
      <c r="AT33" s="114">
        <v>0</v>
      </c>
      <c r="AU33" s="114">
        <v>0</v>
      </c>
      <c r="AV33" s="114">
        <v>0</v>
      </c>
      <c r="AW33" s="114">
        <v>0</v>
      </c>
      <c r="AX33" s="114">
        <v>0</v>
      </c>
      <c r="AY33" s="114">
        <v>0</v>
      </c>
      <c r="AZ33" s="114">
        <v>0</v>
      </c>
      <c r="BA33" s="114">
        <v>0</v>
      </c>
      <c r="BB33" s="114">
        <v>0</v>
      </c>
      <c r="BC33" s="114">
        <v>0</v>
      </c>
      <c r="BD33" s="114">
        <v>0</v>
      </c>
      <c r="BE33" s="114">
        <v>0</v>
      </c>
      <c r="BF33" s="114">
        <v>0</v>
      </c>
    </row>
    <row r="34" spans="1:58" x14ac:dyDescent="0.15">
      <c r="A34" s="194" t="s">
        <v>224</v>
      </c>
      <c r="B34" s="114">
        <v>0</v>
      </c>
      <c r="C34" s="114">
        <v>0</v>
      </c>
      <c r="D34" s="114">
        <v>0</v>
      </c>
      <c r="E34" s="114">
        <v>1</v>
      </c>
      <c r="F34" s="114">
        <v>0</v>
      </c>
      <c r="G34" s="114">
        <v>1</v>
      </c>
      <c r="H34" s="114">
        <v>0</v>
      </c>
      <c r="I34" s="114">
        <v>0</v>
      </c>
      <c r="J34" s="114">
        <v>0</v>
      </c>
      <c r="K34" s="114">
        <v>0</v>
      </c>
      <c r="L34" s="114">
        <v>0</v>
      </c>
      <c r="M34" s="114">
        <v>0</v>
      </c>
      <c r="N34" s="114">
        <v>0</v>
      </c>
      <c r="O34" s="114">
        <v>0</v>
      </c>
      <c r="P34" s="114">
        <v>0</v>
      </c>
      <c r="Q34" s="114">
        <v>1</v>
      </c>
      <c r="R34" s="114">
        <v>0</v>
      </c>
      <c r="S34" s="114">
        <v>1</v>
      </c>
      <c r="T34" s="114">
        <v>0</v>
      </c>
      <c r="U34" s="114">
        <v>0</v>
      </c>
      <c r="V34" s="114">
        <v>0</v>
      </c>
      <c r="W34" s="114">
        <v>0</v>
      </c>
      <c r="X34" s="114">
        <v>0</v>
      </c>
      <c r="Y34" s="114">
        <v>0</v>
      </c>
      <c r="Z34" s="114">
        <v>0</v>
      </c>
      <c r="AA34" s="114">
        <v>0</v>
      </c>
      <c r="AB34" s="114">
        <v>0</v>
      </c>
      <c r="AC34" s="114">
        <v>0</v>
      </c>
      <c r="AD34" s="114">
        <v>0</v>
      </c>
      <c r="AE34" s="114">
        <v>0</v>
      </c>
      <c r="AF34" s="114">
        <v>0</v>
      </c>
      <c r="AG34" s="114">
        <v>0</v>
      </c>
      <c r="AH34" s="114">
        <v>0</v>
      </c>
      <c r="AI34" s="114">
        <v>0</v>
      </c>
      <c r="AJ34" s="114">
        <v>0</v>
      </c>
      <c r="AK34" s="114">
        <v>0</v>
      </c>
      <c r="AL34" s="114">
        <v>0</v>
      </c>
      <c r="AM34" s="114">
        <v>0</v>
      </c>
      <c r="AN34" s="114">
        <v>0</v>
      </c>
      <c r="AO34" s="114">
        <v>0</v>
      </c>
      <c r="AP34" s="114">
        <v>0</v>
      </c>
      <c r="AQ34" s="114">
        <v>0</v>
      </c>
      <c r="AR34" s="114">
        <v>0</v>
      </c>
      <c r="AS34" s="114">
        <v>0</v>
      </c>
      <c r="AT34" s="114">
        <v>0</v>
      </c>
      <c r="AU34" s="114">
        <v>0</v>
      </c>
      <c r="AV34" s="114">
        <v>0</v>
      </c>
      <c r="AW34" s="114">
        <v>0</v>
      </c>
      <c r="AX34" s="114">
        <v>0</v>
      </c>
      <c r="AY34" s="114">
        <v>0</v>
      </c>
      <c r="AZ34" s="114">
        <v>0</v>
      </c>
      <c r="BA34" s="114">
        <v>0</v>
      </c>
      <c r="BB34" s="114">
        <v>0</v>
      </c>
      <c r="BC34" s="114">
        <v>0</v>
      </c>
      <c r="BD34" s="114">
        <v>0</v>
      </c>
      <c r="BE34" s="114">
        <v>0</v>
      </c>
      <c r="BF34" s="114">
        <v>0</v>
      </c>
    </row>
    <row r="35" spans="1:58" x14ac:dyDescent="0.15">
      <c r="A35" s="194" t="s">
        <v>225</v>
      </c>
      <c r="B35" s="114">
        <v>0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  <c r="H35" s="114">
        <v>0</v>
      </c>
      <c r="I35" s="114">
        <v>0</v>
      </c>
      <c r="J35" s="114">
        <v>0</v>
      </c>
      <c r="K35" s="114">
        <v>0</v>
      </c>
      <c r="L35" s="114">
        <v>0</v>
      </c>
      <c r="M35" s="114">
        <v>0</v>
      </c>
      <c r="N35" s="114">
        <v>0</v>
      </c>
      <c r="O35" s="114">
        <v>0</v>
      </c>
      <c r="P35" s="114">
        <v>0</v>
      </c>
      <c r="Q35" s="114">
        <v>0</v>
      </c>
      <c r="R35" s="114">
        <v>0</v>
      </c>
      <c r="S35" s="114">
        <v>0</v>
      </c>
      <c r="T35" s="114">
        <v>0</v>
      </c>
      <c r="U35" s="114">
        <v>0</v>
      </c>
      <c r="V35" s="114">
        <v>0</v>
      </c>
      <c r="W35" s="114">
        <v>0</v>
      </c>
      <c r="X35" s="114">
        <v>0</v>
      </c>
      <c r="Y35" s="114">
        <v>0</v>
      </c>
      <c r="Z35" s="114">
        <v>0</v>
      </c>
      <c r="AA35" s="114">
        <v>0</v>
      </c>
      <c r="AB35" s="114">
        <v>0</v>
      </c>
      <c r="AC35" s="114">
        <v>0</v>
      </c>
      <c r="AD35" s="114">
        <v>0</v>
      </c>
      <c r="AE35" s="114">
        <v>0</v>
      </c>
      <c r="AF35" s="114">
        <v>0</v>
      </c>
      <c r="AG35" s="114">
        <v>0</v>
      </c>
      <c r="AH35" s="114">
        <v>0</v>
      </c>
      <c r="AI35" s="114">
        <v>0</v>
      </c>
      <c r="AJ35" s="114">
        <v>0</v>
      </c>
      <c r="AK35" s="114">
        <v>0</v>
      </c>
      <c r="AL35" s="114">
        <v>0</v>
      </c>
      <c r="AM35" s="114">
        <v>0</v>
      </c>
      <c r="AN35" s="114">
        <v>0</v>
      </c>
      <c r="AO35" s="114">
        <v>0</v>
      </c>
      <c r="AP35" s="114">
        <v>0</v>
      </c>
      <c r="AQ35" s="114">
        <v>0</v>
      </c>
      <c r="AR35" s="114">
        <v>0</v>
      </c>
      <c r="AS35" s="114">
        <v>0</v>
      </c>
      <c r="AT35" s="114">
        <v>0</v>
      </c>
      <c r="AU35" s="114">
        <v>0</v>
      </c>
      <c r="AV35" s="114">
        <v>0</v>
      </c>
      <c r="AW35" s="114">
        <v>0</v>
      </c>
      <c r="AX35" s="114">
        <v>0</v>
      </c>
      <c r="AY35" s="114">
        <v>0</v>
      </c>
      <c r="AZ35" s="114">
        <v>0</v>
      </c>
      <c r="BA35" s="114">
        <v>0</v>
      </c>
      <c r="BB35" s="114">
        <v>0</v>
      </c>
      <c r="BC35" s="114">
        <v>0</v>
      </c>
      <c r="BD35" s="114">
        <v>0</v>
      </c>
      <c r="BE35" s="114">
        <v>0</v>
      </c>
      <c r="BF35" s="114">
        <v>0</v>
      </c>
    </row>
    <row r="36" spans="1:58" x14ac:dyDescent="0.15">
      <c r="A36" s="194" t="s">
        <v>226</v>
      </c>
      <c r="B36" s="114">
        <v>0</v>
      </c>
      <c r="C36" s="114">
        <v>0</v>
      </c>
      <c r="D36" s="114">
        <v>0</v>
      </c>
      <c r="E36" s="114">
        <v>0</v>
      </c>
      <c r="F36" s="114">
        <v>0</v>
      </c>
      <c r="G36" s="114">
        <v>0</v>
      </c>
      <c r="H36" s="114">
        <v>0</v>
      </c>
      <c r="I36" s="114">
        <v>0</v>
      </c>
      <c r="J36" s="114">
        <v>0</v>
      </c>
      <c r="K36" s="114">
        <v>0</v>
      </c>
      <c r="L36" s="114">
        <v>0</v>
      </c>
      <c r="M36" s="114">
        <v>0</v>
      </c>
      <c r="N36" s="114">
        <v>0</v>
      </c>
      <c r="O36" s="114">
        <v>0</v>
      </c>
      <c r="P36" s="114">
        <v>0</v>
      </c>
      <c r="Q36" s="114">
        <v>1</v>
      </c>
      <c r="R36" s="114">
        <v>0</v>
      </c>
      <c r="S36" s="114">
        <v>0</v>
      </c>
      <c r="T36" s="114">
        <v>0</v>
      </c>
      <c r="U36" s="114">
        <v>0</v>
      </c>
      <c r="V36" s="114">
        <v>0</v>
      </c>
      <c r="W36" s="114">
        <v>0</v>
      </c>
      <c r="X36" s="114">
        <v>0</v>
      </c>
      <c r="Y36" s="114">
        <v>0</v>
      </c>
      <c r="Z36" s="114">
        <v>0</v>
      </c>
      <c r="AA36" s="114">
        <v>0</v>
      </c>
      <c r="AB36" s="114">
        <v>0</v>
      </c>
      <c r="AC36" s="114">
        <v>0</v>
      </c>
      <c r="AD36" s="114">
        <v>0</v>
      </c>
      <c r="AE36" s="114">
        <v>0</v>
      </c>
      <c r="AF36" s="114">
        <v>0</v>
      </c>
      <c r="AG36" s="114">
        <v>0</v>
      </c>
      <c r="AH36" s="114">
        <v>0</v>
      </c>
      <c r="AI36" s="114">
        <v>1</v>
      </c>
      <c r="AJ36" s="114">
        <v>0</v>
      </c>
      <c r="AK36" s="114">
        <v>0</v>
      </c>
      <c r="AL36" s="114">
        <v>0</v>
      </c>
      <c r="AM36" s="114">
        <v>0</v>
      </c>
      <c r="AN36" s="114">
        <v>0</v>
      </c>
      <c r="AO36" s="114">
        <v>0</v>
      </c>
      <c r="AP36" s="114">
        <v>0</v>
      </c>
      <c r="AQ36" s="114">
        <v>0</v>
      </c>
      <c r="AR36" s="114">
        <v>0</v>
      </c>
      <c r="AS36" s="114">
        <v>0</v>
      </c>
      <c r="AT36" s="114">
        <v>0</v>
      </c>
      <c r="AU36" s="114">
        <v>0</v>
      </c>
      <c r="AV36" s="114">
        <v>0</v>
      </c>
      <c r="AW36" s="114">
        <v>0</v>
      </c>
      <c r="AX36" s="114">
        <v>0</v>
      </c>
      <c r="AY36" s="114">
        <v>0</v>
      </c>
      <c r="AZ36" s="114">
        <v>0</v>
      </c>
      <c r="BA36" s="114">
        <v>0</v>
      </c>
      <c r="BB36" s="114">
        <v>0</v>
      </c>
      <c r="BC36" s="114">
        <v>0</v>
      </c>
      <c r="BD36" s="114">
        <v>0</v>
      </c>
      <c r="BE36" s="114">
        <v>0</v>
      </c>
      <c r="BF36" s="114">
        <v>0</v>
      </c>
    </row>
    <row r="37" spans="1:58" x14ac:dyDescent="0.15">
      <c r="A37" s="194" t="s">
        <v>227</v>
      </c>
      <c r="B37" s="114">
        <v>0</v>
      </c>
      <c r="C37" s="114">
        <v>0</v>
      </c>
      <c r="D37" s="114">
        <v>0</v>
      </c>
      <c r="E37" s="114">
        <v>0</v>
      </c>
      <c r="F37" s="114">
        <v>0</v>
      </c>
      <c r="G37" s="114">
        <v>1</v>
      </c>
      <c r="H37" s="114">
        <v>0</v>
      </c>
      <c r="I37" s="114">
        <v>0</v>
      </c>
      <c r="J37" s="114">
        <v>0</v>
      </c>
      <c r="K37" s="114">
        <v>0</v>
      </c>
      <c r="L37" s="114">
        <v>0</v>
      </c>
      <c r="M37" s="114">
        <v>0</v>
      </c>
      <c r="N37" s="114">
        <v>0</v>
      </c>
      <c r="O37" s="114">
        <v>0</v>
      </c>
      <c r="P37" s="114">
        <v>0</v>
      </c>
      <c r="Q37" s="114">
        <v>1</v>
      </c>
      <c r="R37" s="114">
        <v>0</v>
      </c>
      <c r="S37" s="114">
        <v>1</v>
      </c>
      <c r="T37" s="114">
        <v>0</v>
      </c>
      <c r="U37" s="114">
        <v>0</v>
      </c>
      <c r="V37" s="114">
        <v>0</v>
      </c>
      <c r="W37" s="114">
        <v>1</v>
      </c>
      <c r="X37" s="114">
        <v>0</v>
      </c>
      <c r="Y37" s="114">
        <v>0</v>
      </c>
      <c r="Z37" s="114">
        <v>0</v>
      </c>
      <c r="AA37" s="114">
        <v>0</v>
      </c>
      <c r="AB37" s="114">
        <v>0</v>
      </c>
      <c r="AC37" s="114">
        <v>0</v>
      </c>
      <c r="AD37" s="114">
        <v>0</v>
      </c>
      <c r="AE37" s="114">
        <v>0</v>
      </c>
      <c r="AF37" s="114">
        <v>0</v>
      </c>
      <c r="AG37" s="114">
        <v>0</v>
      </c>
      <c r="AH37" s="114">
        <v>0</v>
      </c>
      <c r="AI37" s="114">
        <v>1</v>
      </c>
      <c r="AJ37" s="114">
        <v>0</v>
      </c>
      <c r="AK37" s="114">
        <v>0</v>
      </c>
      <c r="AL37" s="114">
        <v>0</v>
      </c>
      <c r="AM37" s="114">
        <v>0</v>
      </c>
      <c r="AN37" s="114">
        <v>0</v>
      </c>
      <c r="AO37" s="114">
        <v>0</v>
      </c>
      <c r="AP37" s="114">
        <v>0</v>
      </c>
      <c r="AQ37" s="114">
        <v>0</v>
      </c>
      <c r="AR37" s="114">
        <v>0</v>
      </c>
      <c r="AS37" s="114">
        <v>0</v>
      </c>
      <c r="AT37" s="114">
        <v>0</v>
      </c>
      <c r="AU37" s="114">
        <v>0</v>
      </c>
      <c r="AV37" s="114">
        <v>0</v>
      </c>
      <c r="AW37" s="114">
        <v>0</v>
      </c>
      <c r="AX37" s="114">
        <v>0</v>
      </c>
      <c r="AY37" s="114">
        <v>0</v>
      </c>
      <c r="AZ37" s="114">
        <v>0</v>
      </c>
      <c r="BA37" s="114">
        <v>0</v>
      </c>
      <c r="BB37" s="114">
        <v>0</v>
      </c>
      <c r="BC37" s="114">
        <v>0</v>
      </c>
      <c r="BD37" s="114">
        <v>0</v>
      </c>
      <c r="BE37" s="114">
        <v>0</v>
      </c>
      <c r="BF37" s="114">
        <v>0</v>
      </c>
    </row>
    <row r="38" spans="1:58" x14ac:dyDescent="0.15">
      <c r="A38" s="194" t="s">
        <v>228</v>
      </c>
      <c r="B38" s="114">
        <v>0</v>
      </c>
      <c r="C38" s="114">
        <v>0</v>
      </c>
      <c r="D38" s="114">
        <v>0</v>
      </c>
      <c r="E38" s="114">
        <v>0</v>
      </c>
      <c r="F38" s="114">
        <v>0</v>
      </c>
      <c r="G38" s="114">
        <v>0</v>
      </c>
      <c r="H38" s="114">
        <v>0</v>
      </c>
      <c r="I38" s="114">
        <v>0</v>
      </c>
      <c r="J38" s="114">
        <v>0</v>
      </c>
      <c r="K38" s="114">
        <v>0</v>
      </c>
      <c r="L38" s="114">
        <v>0</v>
      </c>
      <c r="M38" s="114">
        <v>0</v>
      </c>
      <c r="N38" s="114">
        <v>0</v>
      </c>
      <c r="O38" s="114">
        <v>0</v>
      </c>
      <c r="P38" s="114">
        <v>0</v>
      </c>
      <c r="Q38" s="114">
        <v>1</v>
      </c>
      <c r="R38" s="114">
        <v>0</v>
      </c>
      <c r="S38" s="114">
        <v>1</v>
      </c>
      <c r="T38" s="114">
        <v>0</v>
      </c>
      <c r="U38" s="114">
        <v>0</v>
      </c>
      <c r="V38" s="114">
        <v>0</v>
      </c>
      <c r="W38" s="114">
        <v>0</v>
      </c>
      <c r="X38" s="114">
        <v>0</v>
      </c>
      <c r="Y38" s="114">
        <v>0</v>
      </c>
      <c r="Z38" s="114">
        <v>0</v>
      </c>
      <c r="AA38" s="114">
        <v>0</v>
      </c>
      <c r="AB38" s="114">
        <v>0</v>
      </c>
      <c r="AC38" s="114">
        <v>0</v>
      </c>
      <c r="AD38" s="114">
        <v>0</v>
      </c>
      <c r="AE38" s="114">
        <v>0</v>
      </c>
      <c r="AF38" s="114">
        <v>0</v>
      </c>
      <c r="AG38" s="114">
        <v>0</v>
      </c>
      <c r="AH38" s="114">
        <v>0</v>
      </c>
      <c r="AI38" s="114">
        <v>1</v>
      </c>
      <c r="AJ38" s="114">
        <v>0</v>
      </c>
      <c r="AK38" s="114">
        <v>0</v>
      </c>
      <c r="AL38" s="114">
        <v>0</v>
      </c>
      <c r="AM38" s="114">
        <v>0</v>
      </c>
      <c r="AN38" s="114">
        <v>0</v>
      </c>
      <c r="AO38" s="114">
        <v>0</v>
      </c>
      <c r="AP38" s="114">
        <v>0</v>
      </c>
      <c r="AQ38" s="114">
        <v>0</v>
      </c>
      <c r="AR38" s="114">
        <v>0</v>
      </c>
      <c r="AS38" s="114">
        <v>0</v>
      </c>
      <c r="AT38" s="114">
        <v>0</v>
      </c>
      <c r="AU38" s="114">
        <v>0</v>
      </c>
      <c r="AV38" s="114">
        <v>0</v>
      </c>
      <c r="AW38" s="114">
        <v>0</v>
      </c>
      <c r="AX38" s="114">
        <v>0</v>
      </c>
      <c r="AY38" s="114">
        <v>0</v>
      </c>
      <c r="AZ38" s="114">
        <v>0</v>
      </c>
      <c r="BA38" s="114">
        <v>0</v>
      </c>
      <c r="BB38" s="114">
        <v>0</v>
      </c>
      <c r="BC38" s="114">
        <v>0</v>
      </c>
      <c r="BD38" s="114">
        <v>0</v>
      </c>
      <c r="BE38" s="114">
        <v>0</v>
      </c>
      <c r="BF38" s="114">
        <v>0</v>
      </c>
    </row>
    <row r="39" spans="1:58" x14ac:dyDescent="0.15">
      <c r="A39" s="194" t="s">
        <v>229</v>
      </c>
      <c r="B39" s="114">
        <v>0</v>
      </c>
      <c r="C39" s="114">
        <v>1</v>
      </c>
      <c r="D39" s="114">
        <v>0</v>
      </c>
      <c r="E39" s="114">
        <v>0</v>
      </c>
      <c r="F39" s="114">
        <v>1</v>
      </c>
      <c r="G39" s="114">
        <v>1</v>
      </c>
      <c r="H39" s="114">
        <v>0</v>
      </c>
      <c r="I39" s="114">
        <v>0</v>
      </c>
      <c r="J39" s="114">
        <v>0</v>
      </c>
      <c r="K39" s="114">
        <v>0</v>
      </c>
      <c r="L39" s="114">
        <v>0</v>
      </c>
      <c r="M39" s="114">
        <v>0</v>
      </c>
      <c r="N39" s="114">
        <v>0</v>
      </c>
      <c r="O39" s="114">
        <v>0</v>
      </c>
      <c r="P39" s="114">
        <v>0</v>
      </c>
      <c r="Q39" s="114">
        <v>0</v>
      </c>
      <c r="R39" s="114">
        <v>0</v>
      </c>
      <c r="S39" s="114">
        <v>1</v>
      </c>
      <c r="T39" s="114">
        <v>0</v>
      </c>
      <c r="U39" s="114">
        <v>0</v>
      </c>
      <c r="V39" s="114">
        <v>0</v>
      </c>
      <c r="W39" s="114">
        <v>1</v>
      </c>
      <c r="X39" s="114">
        <v>0</v>
      </c>
      <c r="Y39" s="114">
        <v>0</v>
      </c>
      <c r="Z39" s="114">
        <v>0</v>
      </c>
      <c r="AA39" s="114">
        <v>0</v>
      </c>
      <c r="AB39" s="114">
        <v>0</v>
      </c>
      <c r="AC39" s="114">
        <v>0</v>
      </c>
      <c r="AD39" s="114">
        <v>1</v>
      </c>
      <c r="AE39" s="114">
        <v>0</v>
      </c>
      <c r="AF39" s="114">
        <v>0</v>
      </c>
      <c r="AG39" s="114">
        <v>1</v>
      </c>
      <c r="AH39" s="114">
        <v>0</v>
      </c>
      <c r="AI39" s="114">
        <v>1</v>
      </c>
      <c r="AJ39" s="114">
        <v>0</v>
      </c>
      <c r="AK39" s="114">
        <v>0</v>
      </c>
      <c r="AL39" s="114">
        <v>0</v>
      </c>
      <c r="AM39" s="114">
        <v>0</v>
      </c>
      <c r="AN39" s="114">
        <v>0</v>
      </c>
      <c r="AO39" s="114">
        <v>1</v>
      </c>
      <c r="AP39" s="114">
        <v>0</v>
      </c>
      <c r="AQ39" s="114">
        <v>0</v>
      </c>
      <c r="AR39" s="114">
        <v>0</v>
      </c>
      <c r="AS39" s="114">
        <v>0</v>
      </c>
      <c r="AT39" s="114">
        <v>0</v>
      </c>
      <c r="AU39" s="114">
        <v>0</v>
      </c>
      <c r="AV39" s="114">
        <v>0</v>
      </c>
      <c r="AW39" s="114">
        <v>0</v>
      </c>
      <c r="AX39" s="114">
        <v>0</v>
      </c>
      <c r="AY39" s="114">
        <v>0</v>
      </c>
      <c r="AZ39" s="114">
        <v>0</v>
      </c>
      <c r="BA39" s="114">
        <v>0</v>
      </c>
      <c r="BB39" s="114">
        <v>0</v>
      </c>
      <c r="BC39" s="114">
        <v>0</v>
      </c>
      <c r="BD39" s="114">
        <v>0</v>
      </c>
      <c r="BE39" s="114">
        <v>0</v>
      </c>
      <c r="BF39" s="114">
        <v>0</v>
      </c>
    </row>
    <row r="40" spans="1:58" x14ac:dyDescent="0.15">
      <c r="A40" s="194" t="s">
        <v>230</v>
      </c>
      <c r="B40" s="114">
        <v>0</v>
      </c>
      <c r="C40" s="114">
        <v>1</v>
      </c>
      <c r="D40" s="114">
        <v>0</v>
      </c>
      <c r="E40" s="114">
        <v>0</v>
      </c>
      <c r="F40" s="114">
        <v>1</v>
      </c>
      <c r="G40" s="114">
        <v>0</v>
      </c>
      <c r="H40" s="114">
        <v>0</v>
      </c>
      <c r="I40" s="114">
        <v>1</v>
      </c>
      <c r="J40" s="114">
        <v>0</v>
      </c>
      <c r="K40" s="114">
        <v>1</v>
      </c>
      <c r="L40" s="114">
        <v>0</v>
      </c>
      <c r="M40" s="114">
        <v>0</v>
      </c>
      <c r="N40" s="114">
        <v>1</v>
      </c>
      <c r="O40" s="114">
        <v>1</v>
      </c>
      <c r="P40" s="114">
        <v>0</v>
      </c>
      <c r="Q40" s="114">
        <v>1</v>
      </c>
      <c r="R40" s="114">
        <v>0</v>
      </c>
      <c r="S40" s="114">
        <v>0</v>
      </c>
      <c r="T40" s="114">
        <v>0</v>
      </c>
      <c r="U40" s="114">
        <v>1</v>
      </c>
      <c r="V40" s="114">
        <v>1</v>
      </c>
      <c r="W40" s="114">
        <v>0</v>
      </c>
      <c r="X40" s="114">
        <v>0</v>
      </c>
      <c r="Y40" s="114">
        <v>1</v>
      </c>
      <c r="Z40" s="114">
        <v>1</v>
      </c>
      <c r="AA40" s="114">
        <v>1</v>
      </c>
      <c r="AB40" s="114">
        <v>1</v>
      </c>
      <c r="AC40" s="114">
        <v>1</v>
      </c>
      <c r="AD40" s="114">
        <v>0</v>
      </c>
      <c r="AE40" s="114">
        <v>0</v>
      </c>
      <c r="AF40" s="114">
        <v>0</v>
      </c>
      <c r="AG40" s="114">
        <v>0</v>
      </c>
      <c r="AH40" s="114">
        <v>0</v>
      </c>
      <c r="AI40" s="114">
        <v>0</v>
      </c>
      <c r="AJ40" s="114">
        <v>0</v>
      </c>
      <c r="AK40" s="114">
        <v>0</v>
      </c>
      <c r="AL40" s="114">
        <v>0</v>
      </c>
      <c r="AM40" s="114">
        <v>0</v>
      </c>
      <c r="AN40" s="114">
        <v>0</v>
      </c>
      <c r="AO40" s="114">
        <v>0</v>
      </c>
      <c r="AP40" s="114">
        <v>1</v>
      </c>
      <c r="AQ40" s="114">
        <v>0</v>
      </c>
      <c r="AR40" s="114">
        <v>0</v>
      </c>
      <c r="AS40" s="114">
        <v>0</v>
      </c>
      <c r="AT40" s="114">
        <v>0</v>
      </c>
      <c r="AU40" s="114">
        <v>0</v>
      </c>
      <c r="AV40" s="114">
        <v>1</v>
      </c>
      <c r="AW40" s="114">
        <v>0</v>
      </c>
      <c r="AX40" s="114">
        <v>0</v>
      </c>
      <c r="AY40" s="114">
        <v>0</v>
      </c>
      <c r="AZ40" s="114">
        <v>0</v>
      </c>
      <c r="BA40" s="114">
        <v>0</v>
      </c>
      <c r="BB40" s="114">
        <v>0</v>
      </c>
      <c r="BC40" s="114">
        <v>0</v>
      </c>
      <c r="BD40" s="114">
        <v>0</v>
      </c>
      <c r="BE40" s="114">
        <v>0</v>
      </c>
      <c r="BF40" s="114">
        <v>0</v>
      </c>
    </row>
    <row r="41" spans="1:58" x14ac:dyDescent="0.15">
      <c r="A41" s="194" t="s">
        <v>231</v>
      </c>
      <c r="B41" s="114">
        <v>1</v>
      </c>
      <c r="C41" s="114">
        <v>1</v>
      </c>
      <c r="D41" s="114">
        <v>1</v>
      </c>
      <c r="E41" s="114">
        <v>1</v>
      </c>
      <c r="F41" s="114">
        <v>1</v>
      </c>
      <c r="G41" s="114">
        <v>1</v>
      </c>
      <c r="H41" s="114">
        <v>1</v>
      </c>
      <c r="I41" s="114">
        <v>1</v>
      </c>
      <c r="J41" s="114">
        <v>1</v>
      </c>
      <c r="K41" s="114">
        <v>1</v>
      </c>
      <c r="L41" s="114">
        <v>0</v>
      </c>
      <c r="M41" s="114">
        <v>0</v>
      </c>
      <c r="N41" s="114">
        <v>1</v>
      </c>
      <c r="O41" s="114">
        <v>1</v>
      </c>
      <c r="P41" s="114">
        <v>0</v>
      </c>
      <c r="Q41" s="114">
        <v>1</v>
      </c>
      <c r="R41" s="114">
        <v>0</v>
      </c>
      <c r="S41" s="114">
        <v>1</v>
      </c>
      <c r="T41" s="114">
        <v>1</v>
      </c>
      <c r="U41" s="114">
        <v>0</v>
      </c>
      <c r="V41" s="114">
        <v>1</v>
      </c>
      <c r="W41" s="114">
        <v>1</v>
      </c>
      <c r="X41" s="114">
        <v>1</v>
      </c>
      <c r="Y41" s="114">
        <v>1</v>
      </c>
      <c r="Z41" s="114">
        <v>1</v>
      </c>
      <c r="AA41" s="114">
        <v>1</v>
      </c>
      <c r="AB41" s="114">
        <v>1</v>
      </c>
      <c r="AC41" s="114">
        <v>1</v>
      </c>
      <c r="AD41" s="114">
        <v>1</v>
      </c>
      <c r="AE41" s="114">
        <v>0</v>
      </c>
      <c r="AF41" s="114">
        <v>1</v>
      </c>
      <c r="AG41" s="114">
        <v>1</v>
      </c>
      <c r="AH41" s="114">
        <v>1</v>
      </c>
      <c r="AI41" s="114">
        <v>1</v>
      </c>
      <c r="AJ41" s="114">
        <v>1</v>
      </c>
      <c r="AK41" s="114">
        <v>1</v>
      </c>
      <c r="AL41" s="114">
        <v>0</v>
      </c>
      <c r="AM41" s="114">
        <v>1</v>
      </c>
      <c r="AN41" s="114">
        <v>0</v>
      </c>
      <c r="AO41" s="114">
        <v>1</v>
      </c>
      <c r="AP41" s="114">
        <v>0</v>
      </c>
      <c r="AQ41" s="114">
        <v>1</v>
      </c>
      <c r="AR41" s="114">
        <v>0</v>
      </c>
      <c r="AS41" s="114">
        <v>0</v>
      </c>
      <c r="AT41" s="114">
        <v>0</v>
      </c>
      <c r="AU41" s="114">
        <v>0</v>
      </c>
      <c r="AV41" s="114">
        <v>0</v>
      </c>
      <c r="AW41" s="114">
        <v>0</v>
      </c>
      <c r="AX41" s="114">
        <v>0</v>
      </c>
      <c r="AY41" s="114">
        <v>0</v>
      </c>
      <c r="AZ41" s="114">
        <v>0</v>
      </c>
      <c r="BA41" s="114">
        <v>0</v>
      </c>
      <c r="BB41" s="114">
        <v>0</v>
      </c>
      <c r="BC41" s="114">
        <v>0</v>
      </c>
      <c r="BD41" s="114">
        <v>0</v>
      </c>
      <c r="BE41" s="114">
        <v>0</v>
      </c>
      <c r="BF41" s="114">
        <v>0</v>
      </c>
    </row>
    <row r="42" spans="1:58" x14ac:dyDescent="0.15">
      <c r="A42" s="194" t="s">
        <v>232</v>
      </c>
      <c r="B42" s="114">
        <v>0</v>
      </c>
      <c r="C42" s="114">
        <v>0</v>
      </c>
      <c r="D42" s="114">
        <v>0</v>
      </c>
      <c r="E42" s="114">
        <v>0</v>
      </c>
      <c r="F42" s="114">
        <v>0</v>
      </c>
      <c r="G42" s="114">
        <v>0</v>
      </c>
      <c r="H42" s="114">
        <v>0</v>
      </c>
      <c r="I42" s="114">
        <v>0</v>
      </c>
      <c r="J42" s="114">
        <v>0</v>
      </c>
      <c r="K42" s="114">
        <v>0</v>
      </c>
      <c r="L42" s="114">
        <v>0</v>
      </c>
      <c r="M42" s="114">
        <v>0</v>
      </c>
      <c r="N42" s="114">
        <v>0</v>
      </c>
      <c r="O42" s="114">
        <v>0</v>
      </c>
      <c r="P42" s="114">
        <v>0</v>
      </c>
      <c r="Q42" s="114">
        <v>1</v>
      </c>
      <c r="R42" s="114">
        <v>0</v>
      </c>
      <c r="S42" s="114">
        <v>1</v>
      </c>
      <c r="T42" s="114">
        <v>1</v>
      </c>
      <c r="U42" s="114">
        <v>1</v>
      </c>
      <c r="V42" s="114">
        <v>1</v>
      </c>
      <c r="W42" s="114">
        <v>0</v>
      </c>
      <c r="X42" s="114">
        <v>0</v>
      </c>
      <c r="Y42" s="114">
        <v>0</v>
      </c>
      <c r="Z42" s="114">
        <v>0</v>
      </c>
      <c r="AA42" s="114">
        <v>0</v>
      </c>
      <c r="AB42" s="114">
        <v>0</v>
      </c>
      <c r="AC42" s="114">
        <v>0</v>
      </c>
      <c r="AD42" s="114">
        <v>0</v>
      </c>
      <c r="AE42" s="114">
        <v>0</v>
      </c>
      <c r="AF42" s="114">
        <v>0</v>
      </c>
      <c r="AG42" s="114">
        <v>0</v>
      </c>
      <c r="AH42" s="114">
        <v>0</v>
      </c>
      <c r="AI42" s="114">
        <v>0</v>
      </c>
      <c r="AJ42" s="114">
        <v>0</v>
      </c>
      <c r="AK42" s="114">
        <v>0</v>
      </c>
      <c r="AL42" s="114">
        <v>0</v>
      </c>
      <c r="AM42" s="114">
        <v>0</v>
      </c>
      <c r="AN42" s="114">
        <v>0</v>
      </c>
      <c r="AO42" s="114">
        <v>0</v>
      </c>
      <c r="AP42" s="114">
        <v>0</v>
      </c>
      <c r="AQ42" s="114">
        <v>0</v>
      </c>
      <c r="AR42" s="114">
        <v>0</v>
      </c>
      <c r="AS42" s="114">
        <v>0</v>
      </c>
      <c r="AT42" s="114">
        <v>0</v>
      </c>
      <c r="AU42" s="114">
        <v>0</v>
      </c>
      <c r="AV42" s="114">
        <v>0</v>
      </c>
      <c r="AW42" s="114">
        <v>0</v>
      </c>
      <c r="AX42" s="114">
        <v>0</v>
      </c>
      <c r="AY42" s="114">
        <v>0</v>
      </c>
      <c r="AZ42" s="114">
        <v>0</v>
      </c>
      <c r="BA42" s="114">
        <v>0</v>
      </c>
      <c r="BB42" s="114">
        <v>0</v>
      </c>
      <c r="BC42" s="114">
        <v>0</v>
      </c>
      <c r="BD42" s="114">
        <v>0</v>
      </c>
      <c r="BE42" s="114">
        <v>0</v>
      </c>
      <c r="BF42" s="114">
        <v>0</v>
      </c>
    </row>
    <row r="43" spans="1:58" x14ac:dyDescent="0.15">
      <c r="A43" s="194" t="s">
        <v>233</v>
      </c>
      <c r="B43" s="114">
        <v>1</v>
      </c>
      <c r="C43" s="114">
        <v>1</v>
      </c>
      <c r="D43" s="114">
        <v>1</v>
      </c>
      <c r="E43" s="114">
        <v>1</v>
      </c>
      <c r="F43" s="114">
        <v>0</v>
      </c>
      <c r="G43" s="114">
        <v>1</v>
      </c>
      <c r="H43" s="114">
        <v>1</v>
      </c>
      <c r="I43" s="114">
        <v>1</v>
      </c>
      <c r="J43" s="114">
        <v>1</v>
      </c>
      <c r="K43" s="114">
        <v>1</v>
      </c>
      <c r="L43" s="114">
        <v>0</v>
      </c>
      <c r="M43" s="114">
        <v>0</v>
      </c>
      <c r="N43" s="114">
        <v>1</v>
      </c>
      <c r="O43" s="114">
        <v>1</v>
      </c>
      <c r="P43" s="114">
        <v>0</v>
      </c>
      <c r="Q43" s="114">
        <v>1</v>
      </c>
      <c r="R43" s="114">
        <v>1</v>
      </c>
      <c r="S43" s="114">
        <v>1</v>
      </c>
      <c r="T43" s="114">
        <v>1</v>
      </c>
      <c r="U43" s="114">
        <v>1</v>
      </c>
      <c r="V43" s="114">
        <v>1</v>
      </c>
      <c r="W43" s="114">
        <v>1</v>
      </c>
      <c r="X43" s="114">
        <v>0</v>
      </c>
      <c r="Y43" s="114">
        <v>1</v>
      </c>
      <c r="Z43" s="114">
        <v>1</v>
      </c>
      <c r="AA43" s="114">
        <v>1</v>
      </c>
      <c r="AB43" s="114">
        <v>1</v>
      </c>
      <c r="AC43" s="114">
        <v>1</v>
      </c>
      <c r="AD43" s="114">
        <v>0</v>
      </c>
      <c r="AE43" s="114">
        <v>0</v>
      </c>
      <c r="AF43" s="114">
        <v>0</v>
      </c>
      <c r="AG43" s="114">
        <v>1</v>
      </c>
      <c r="AH43" s="114">
        <v>0</v>
      </c>
      <c r="AI43" s="114">
        <v>1</v>
      </c>
      <c r="AJ43" s="114">
        <v>1</v>
      </c>
      <c r="AK43" s="114">
        <v>1</v>
      </c>
      <c r="AL43" s="114">
        <v>0</v>
      </c>
      <c r="AM43" s="114">
        <v>0</v>
      </c>
      <c r="AN43" s="114">
        <v>0</v>
      </c>
      <c r="AO43" s="114">
        <v>1</v>
      </c>
      <c r="AP43" s="114">
        <v>1</v>
      </c>
      <c r="AQ43" s="114">
        <v>1</v>
      </c>
      <c r="AR43" s="114">
        <v>0</v>
      </c>
      <c r="AS43" s="114">
        <v>0</v>
      </c>
      <c r="AT43" s="114">
        <v>0</v>
      </c>
      <c r="AU43" s="114">
        <v>0</v>
      </c>
      <c r="AV43" s="114">
        <v>1</v>
      </c>
      <c r="AW43" s="114">
        <v>0</v>
      </c>
      <c r="AX43" s="114">
        <v>0</v>
      </c>
      <c r="AY43" s="114">
        <v>0</v>
      </c>
      <c r="AZ43" s="114">
        <v>0</v>
      </c>
      <c r="BA43" s="114">
        <v>0</v>
      </c>
      <c r="BB43" s="114">
        <v>0</v>
      </c>
      <c r="BC43" s="114">
        <v>0</v>
      </c>
      <c r="BD43" s="114">
        <v>0</v>
      </c>
      <c r="BE43" s="114">
        <v>0</v>
      </c>
      <c r="BF43" s="114">
        <v>0</v>
      </c>
    </row>
    <row r="44" spans="1:58" x14ac:dyDescent="0.15">
      <c r="A44" s="194" t="s">
        <v>234</v>
      </c>
      <c r="B44" s="114">
        <v>1</v>
      </c>
      <c r="C44" s="114">
        <v>1</v>
      </c>
      <c r="D44" s="114">
        <v>1</v>
      </c>
      <c r="E44" s="114">
        <v>1</v>
      </c>
      <c r="F44" s="114">
        <v>0</v>
      </c>
      <c r="G44" s="114">
        <v>0</v>
      </c>
      <c r="H44" s="114">
        <v>1</v>
      </c>
      <c r="I44" s="114">
        <v>1</v>
      </c>
      <c r="J44" s="114">
        <v>1</v>
      </c>
      <c r="K44" s="114">
        <v>1</v>
      </c>
      <c r="L44" s="114">
        <v>1</v>
      </c>
      <c r="M44" s="114">
        <v>1</v>
      </c>
      <c r="N44" s="114">
        <v>1</v>
      </c>
      <c r="O44" s="114">
        <v>1</v>
      </c>
      <c r="P44" s="114">
        <v>1</v>
      </c>
      <c r="Q44" s="114">
        <v>0</v>
      </c>
      <c r="R44" s="114">
        <v>1</v>
      </c>
      <c r="S44" s="114">
        <v>0</v>
      </c>
      <c r="T44" s="114">
        <v>0</v>
      </c>
      <c r="U44" s="114">
        <v>0</v>
      </c>
      <c r="V44" s="114">
        <v>1</v>
      </c>
      <c r="W44" s="114">
        <v>1</v>
      </c>
      <c r="X44" s="114">
        <v>0</v>
      </c>
      <c r="Y44" s="114">
        <v>1</v>
      </c>
      <c r="Z44" s="114">
        <v>1</v>
      </c>
      <c r="AA44" s="114">
        <v>1</v>
      </c>
      <c r="AB44" s="114">
        <v>1</v>
      </c>
      <c r="AC44" s="114">
        <v>1</v>
      </c>
      <c r="AD44" s="114">
        <v>1</v>
      </c>
      <c r="AE44" s="114">
        <v>1</v>
      </c>
      <c r="AF44" s="114">
        <v>1</v>
      </c>
      <c r="AG44" s="114">
        <v>1</v>
      </c>
      <c r="AH44" s="114">
        <v>1</v>
      </c>
      <c r="AI44" s="114">
        <v>0</v>
      </c>
      <c r="AJ44" s="114">
        <v>1</v>
      </c>
      <c r="AK44" s="114">
        <v>0</v>
      </c>
      <c r="AL44" s="114">
        <v>0</v>
      </c>
      <c r="AM44" s="114">
        <v>0</v>
      </c>
      <c r="AN44" s="114">
        <v>1</v>
      </c>
      <c r="AO44" s="114">
        <v>1</v>
      </c>
      <c r="AP44" s="114">
        <v>1</v>
      </c>
      <c r="AQ44" s="114">
        <v>1</v>
      </c>
      <c r="AR44" s="114">
        <v>0</v>
      </c>
      <c r="AS44" s="114">
        <v>1</v>
      </c>
      <c r="AT44" s="114">
        <v>0</v>
      </c>
      <c r="AU44" s="114">
        <v>1</v>
      </c>
      <c r="AV44" s="114">
        <v>1</v>
      </c>
      <c r="AW44" s="114">
        <v>1</v>
      </c>
      <c r="AX44" s="114">
        <v>1</v>
      </c>
      <c r="AY44" s="114">
        <v>0</v>
      </c>
      <c r="AZ44" s="114">
        <v>0</v>
      </c>
      <c r="BA44" s="114">
        <v>0</v>
      </c>
      <c r="BB44" s="114">
        <v>0</v>
      </c>
      <c r="BC44" s="114">
        <v>0</v>
      </c>
      <c r="BD44" s="114">
        <v>0</v>
      </c>
      <c r="BE44" s="114">
        <v>0</v>
      </c>
      <c r="BF44" s="114">
        <v>0</v>
      </c>
    </row>
    <row r="45" spans="1:58" x14ac:dyDescent="0.15">
      <c r="A45" s="194" t="s">
        <v>235</v>
      </c>
      <c r="B45" s="114">
        <v>0</v>
      </c>
      <c r="C45" s="114">
        <v>0</v>
      </c>
      <c r="D45" s="114">
        <v>1</v>
      </c>
      <c r="E45" s="114">
        <v>0</v>
      </c>
      <c r="F45" s="114">
        <v>0</v>
      </c>
      <c r="G45" s="114">
        <v>0</v>
      </c>
      <c r="H45" s="114">
        <v>1</v>
      </c>
      <c r="I45" s="114">
        <v>1</v>
      </c>
      <c r="J45" s="114">
        <v>1</v>
      </c>
      <c r="K45" s="114">
        <v>1</v>
      </c>
      <c r="L45" s="114">
        <v>1</v>
      </c>
      <c r="M45" s="114">
        <v>1</v>
      </c>
      <c r="N45" s="114">
        <v>0</v>
      </c>
      <c r="O45" s="114">
        <v>1</v>
      </c>
      <c r="P45" s="114">
        <v>1</v>
      </c>
      <c r="Q45" s="114">
        <v>0</v>
      </c>
      <c r="R45" s="114">
        <v>1</v>
      </c>
      <c r="S45" s="114">
        <v>0</v>
      </c>
      <c r="T45" s="114">
        <v>0</v>
      </c>
      <c r="U45" s="114">
        <v>0</v>
      </c>
      <c r="V45" s="114">
        <v>0</v>
      </c>
      <c r="W45" s="114">
        <v>1</v>
      </c>
      <c r="X45" s="114">
        <v>0</v>
      </c>
      <c r="Y45" s="114">
        <v>1</v>
      </c>
      <c r="Z45" s="114">
        <v>1</v>
      </c>
      <c r="AA45" s="114">
        <v>1</v>
      </c>
      <c r="AB45" s="114">
        <v>1</v>
      </c>
      <c r="AC45" s="114">
        <v>0</v>
      </c>
      <c r="AD45" s="114">
        <v>0</v>
      </c>
      <c r="AE45" s="114">
        <v>1</v>
      </c>
      <c r="AF45" s="114">
        <v>0</v>
      </c>
      <c r="AG45" s="114">
        <v>1</v>
      </c>
      <c r="AH45" s="114">
        <v>1</v>
      </c>
      <c r="AI45" s="114">
        <v>0</v>
      </c>
      <c r="AJ45" s="114">
        <v>1</v>
      </c>
      <c r="AK45" s="114">
        <v>1</v>
      </c>
      <c r="AL45" s="114">
        <v>1</v>
      </c>
      <c r="AM45" s="114">
        <v>0</v>
      </c>
      <c r="AN45" s="114">
        <v>1</v>
      </c>
      <c r="AO45" s="114">
        <v>1</v>
      </c>
      <c r="AP45" s="114">
        <v>1</v>
      </c>
      <c r="AQ45" s="114">
        <v>1</v>
      </c>
      <c r="AR45" s="114">
        <v>1</v>
      </c>
      <c r="AS45" s="114">
        <v>1</v>
      </c>
      <c r="AT45" s="114">
        <v>0</v>
      </c>
      <c r="AU45" s="114">
        <v>1</v>
      </c>
      <c r="AV45" s="114">
        <v>1</v>
      </c>
      <c r="AW45" s="114">
        <v>1</v>
      </c>
      <c r="AX45" s="114">
        <v>1</v>
      </c>
      <c r="AY45" s="114">
        <v>0</v>
      </c>
      <c r="AZ45" s="114">
        <v>1</v>
      </c>
      <c r="BA45" s="114">
        <v>0</v>
      </c>
      <c r="BB45" s="114">
        <v>1</v>
      </c>
      <c r="BC45" s="114">
        <v>0</v>
      </c>
      <c r="BD45" s="114">
        <v>0</v>
      </c>
      <c r="BE45" s="114">
        <v>0</v>
      </c>
      <c r="BF45" s="114">
        <v>0</v>
      </c>
    </row>
    <row r="46" spans="1:58" x14ac:dyDescent="0.15">
      <c r="A46" s="194" t="s">
        <v>236</v>
      </c>
      <c r="B46" s="114">
        <v>0</v>
      </c>
      <c r="C46" s="114">
        <v>0</v>
      </c>
      <c r="D46" s="114">
        <v>1</v>
      </c>
      <c r="E46" s="114">
        <v>0</v>
      </c>
      <c r="F46" s="114">
        <v>0</v>
      </c>
      <c r="G46" s="114">
        <v>0</v>
      </c>
      <c r="H46" s="114">
        <v>0</v>
      </c>
      <c r="I46" s="114">
        <v>0</v>
      </c>
      <c r="J46" s="114">
        <v>1</v>
      </c>
      <c r="K46" s="114">
        <v>1</v>
      </c>
      <c r="L46" s="114">
        <v>1</v>
      </c>
      <c r="M46" s="114">
        <v>1</v>
      </c>
      <c r="N46" s="114">
        <v>0</v>
      </c>
      <c r="O46" s="114">
        <v>0</v>
      </c>
      <c r="P46" s="114">
        <v>0</v>
      </c>
      <c r="Q46" s="114">
        <v>0</v>
      </c>
      <c r="R46" s="114">
        <v>0</v>
      </c>
      <c r="S46" s="114">
        <v>0</v>
      </c>
      <c r="T46" s="114">
        <v>0</v>
      </c>
      <c r="U46" s="114">
        <v>0</v>
      </c>
      <c r="V46" s="114">
        <v>0</v>
      </c>
      <c r="W46" s="114">
        <v>0</v>
      </c>
      <c r="X46" s="114">
        <v>0</v>
      </c>
      <c r="Y46" s="114">
        <v>1</v>
      </c>
      <c r="Z46" s="114">
        <v>1</v>
      </c>
      <c r="AA46" s="114">
        <v>1</v>
      </c>
      <c r="AB46" s="114">
        <v>0</v>
      </c>
      <c r="AC46" s="114">
        <v>0</v>
      </c>
      <c r="AD46" s="114">
        <v>0</v>
      </c>
      <c r="AE46" s="114">
        <v>0</v>
      </c>
      <c r="AF46" s="114">
        <v>0</v>
      </c>
      <c r="AG46" s="114">
        <v>1</v>
      </c>
      <c r="AH46" s="114">
        <v>1</v>
      </c>
      <c r="AI46" s="114">
        <v>0</v>
      </c>
      <c r="AJ46" s="114">
        <v>0</v>
      </c>
      <c r="AK46" s="114">
        <v>0</v>
      </c>
      <c r="AL46" s="114">
        <v>0</v>
      </c>
      <c r="AM46" s="114">
        <v>0</v>
      </c>
      <c r="AN46" s="114">
        <v>1</v>
      </c>
      <c r="AO46" s="114">
        <v>0</v>
      </c>
      <c r="AP46" s="114">
        <v>0</v>
      </c>
      <c r="AQ46" s="114">
        <v>1</v>
      </c>
      <c r="AR46" s="114">
        <v>1</v>
      </c>
      <c r="AS46" s="114">
        <v>1</v>
      </c>
      <c r="AT46" s="114">
        <v>0</v>
      </c>
      <c r="AU46" s="114">
        <v>1</v>
      </c>
      <c r="AV46" s="114">
        <v>1</v>
      </c>
      <c r="AW46" s="114">
        <v>1</v>
      </c>
      <c r="AX46" s="114">
        <v>1</v>
      </c>
      <c r="AY46" s="114">
        <v>0</v>
      </c>
      <c r="AZ46" s="114">
        <v>1</v>
      </c>
      <c r="BA46" s="114">
        <v>0</v>
      </c>
      <c r="BB46" s="114">
        <v>1</v>
      </c>
      <c r="BC46" s="114">
        <v>0</v>
      </c>
      <c r="BD46" s="114">
        <v>0</v>
      </c>
      <c r="BE46" s="114">
        <v>0</v>
      </c>
      <c r="BF46" s="114">
        <v>0</v>
      </c>
    </row>
    <row r="47" spans="1:58" x14ac:dyDescent="0.15">
      <c r="A47" s="194" t="s">
        <v>237</v>
      </c>
      <c r="B47" s="114">
        <v>0</v>
      </c>
      <c r="C47" s="114">
        <v>0</v>
      </c>
      <c r="D47" s="114">
        <v>0</v>
      </c>
      <c r="E47" s="114">
        <v>0</v>
      </c>
      <c r="F47" s="114">
        <v>0</v>
      </c>
      <c r="G47" s="114">
        <v>0</v>
      </c>
      <c r="H47" s="114">
        <v>0</v>
      </c>
      <c r="I47" s="114">
        <v>1</v>
      </c>
      <c r="J47" s="114">
        <v>1</v>
      </c>
      <c r="K47" s="114">
        <v>0</v>
      </c>
      <c r="L47" s="114">
        <v>0</v>
      </c>
      <c r="M47" s="114">
        <v>0</v>
      </c>
      <c r="N47" s="114">
        <v>0</v>
      </c>
      <c r="O47" s="114">
        <v>0</v>
      </c>
      <c r="P47" s="114">
        <v>0</v>
      </c>
      <c r="Q47" s="114">
        <v>0</v>
      </c>
      <c r="R47" s="114">
        <v>0</v>
      </c>
      <c r="S47" s="114">
        <v>0</v>
      </c>
      <c r="T47" s="114">
        <v>0</v>
      </c>
      <c r="U47" s="114">
        <v>0</v>
      </c>
      <c r="V47" s="114">
        <v>0</v>
      </c>
      <c r="W47" s="114">
        <v>1</v>
      </c>
      <c r="X47" s="114">
        <v>0</v>
      </c>
      <c r="Y47" s="114">
        <v>1</v>
      </c>
      <c r="Z47" s="114">
        <v>1</v>
      </c>
      <c r="AA47" s="114">
        <v>1</v>
      </c>
      <c r="AB47" s="114">
        <v>0</v>
      </c>
      <c r="AC47" s="114">
        <v>0</v>
      </c>
      <c r="AD47" s="114">
        <v>0</v>
      </c>
      <c r="AE47" s="114">
        <v>0</v>
      </c>
      <c r="AF47" s="114">
        <v>0</v>
      </c>
      <c r="AG47" s="114">
        <v>0</v>
      </c>
      <c r="AH47" s="114">
        <v>1</v>
      </c>
      <c r="AI47" s="114">
        <v>0</v>
      </c>
      <c r="AJ47" s="114">
        <v>0</v>
      </c>
      <c r="AK47" s="114">
        <v>0</v>
      </c>
      <c r="AL47" s="114">
        <v>0</v>
      </c>
      <c r="AM47" s="114">
        <v>0</v>
      </c>
      <c r="AN47" s="114">
        <v>0</v>
      </c>
      <c r="AO47" s="114">
        <v>0</v>
      </c>
      <c r="AP47" s="114">
        <v>0</v>
      </c>
      <c r="AQ47" s="114">
        <v>0</v>
      </c>
      <c r="AR47" s="114">
        <v>0</v>
      </c>
      <c r="AS47" s="114">
        <v>0</v>
      </c>
      <c r="AT47" s="114">
        <v>0</v>
      </c>
      <c r="AU47" s="114">
        <v>1</v>
      </c>
      <c r="AV47" s="114">
        <v>0</v>
      </c>
      <c r="AW47" s="114">
        <v>0</v>
      </c>
      <c r="AX47" s="114">
        <v>0</v>
      </c>
      <c r="AY47" s="114">
        <v>0</v>
      </c>
      <c r="AZ47" s="114">
        <v>0</v>
      </c>
      <c r="BA47" s="114">
        <v>0</v>
      </c>
      <c r="BB47" s="114">
        <v>0</v>
      </c>
      <c r="BC47" s="114">
        <v>0</v>
      </c>
      <c r="BD47" s="114">
        <v>0</v>
      </c>
      <c r="BE47" s="114">
        <v>0</v>
      </c>
      <c r="BF47" s="114">
        <v>0</v>
      </c>
    </row>
    <row r="48" spans="1:58" x14ac:dyDescent="0.15">
      <c r="A48" s="194" t="s">
        <v>238</v>
      </c>
      <c r="B48" s="114">
        <v>0</v>
      </c>
      <c r="C48" s="114">
        <v>0</v>
      </c>
      <c r="D48" s="114">
        <v>0</v>
      </c>
      <c r="E48" s="114">
        <v>0</v>
      </c>
      <c r="F48" s="114">
        <v>0</v>
      </c>
      <c r="G48" s="114">
        <v>1</v>
      </c>
      <c r="H48" s="114">
        <v>0</v>
      </c>
      <c r="I48" s="114">
        <v>1</v>
      </c>
      <c r="J48" s="114">
        <v>0</v>
      </c>
      <c r="K48" s="114">
        <v>0</v>
      </c>
      <c r="L48" s="114">
        <v>0</v>
      </c>
      <c r="M48" s="114">
        <v>0</v>
      </c>
      <c r="N48" s="114">
        <v>1</v>
      </c>
      <c r="O48" s="114">
        <v>1</v>
      </c>
      <c r="P48" s="114">
        <v>0</v>
      </c>
      <c r="Q48" s="114">
        <v>1</v>
      </c>
      <c r="R48" s="114">
        <v>0</v>
      </c>
      <c r="S48" s="114">
        <v>1</v>
      </c>
      <c r="T48" s="114">
        <v>1</v>
      </c>
      <c r="U48" s="114">
        <v>1</v>
      </c>
      <c r="V48" s="114">
        <v>1</v>
      </c>
      <c r="W48" s="114">
        <v>0</v>
      </c>
      <c r="X48" s="114">
        <v>0</v>
      </c>
      <c r="Y48" s="114">
        <v>0</v>
      </c>
      <c r="Z48" s="114">
        <v>0</v>
      </c>
      <c r="AA48" s="114">
        <v>0</v>
      </c>
      <c r="AB48" s="114">
        <v>0</v>
      </c>
      <c r="AC48" s="114">
        <v>0</v>
      </c>
      <c r="AD48" s="114">
        <v>0</v>
      </c>
      <c r="AE48" s="114">
        <v>0</v>
      </c>
      <c r="AF48" s="114">
        <v>0</v>
      </c>
      <c r="AG48" s="114">
        <v>0</v>
      </c>
      <c r="AH48" s="114">
        <v>0</v>
      </c>
      <c r="AI48" s="114">
        <v>0</v>
      </c>
      <c r="AJ48" s="114">
        <v>0</v>
      </c>
      <c r="AK48" s="114">
        <v>0</v>
      </c>
      <c r="AL48" s="114">
        <v>0</v>
      </c>
      <c r="AM48" s="114">
        <v>0</v>
      </c>
      <c r="AN48" s="114">
        <v>0</v>
      </c>
      <c r="AO48" s="114">
        <v>0</v>
      </c>
      <c r="AP48" s="114">
        <v>0</v>
      </c>
      <c r="AQ48" s="114">
        <v>0</v>
      </c>
      <c r="AR48" s="114">
        <v>0</v>
      </c>
      <c r="AS48" s="114">
        <v>0</v>
      </c>
      <c r="AT48" s="114">
        <v>0</v>
      </c>
      <c r="AU48" s="114">
        <v>0</v>
      </c>
      <c r="AV48" s="114">
        <v>0</v>
      </c>
      <c r="AW48" s="114">
        <v>0</v>
      </c>
      <c r="AX48" s="114">
        <v>0</v>
      </c>
      <c r="AY48" s="114">
        <v>0</v>
      </c>
      <c r="AZ48" s="114">
        <v>0</v>
      </c>
      <c r="BA48" s="114">
        <v>0</v>
      </c>
      <c r="BB48" s="114">
        <v>0</v>
      </c>
      <c r="BC48" s="114">
        <v>0</v>
      </c>
      <c r="BD48" s="114">
        <v>0</v>
      </c>
      <c r="BE48" s="114">
        <v>0</v>
      </c>
      <c r="BF48" s="114">
        <v>0</v>
      </c>
    </row>
    <row r="49" spans="1:58" x14ac:dyDescent="0.15">
      <c r="A49" s="194" t="s">
        <v>239</v>
      </c>
      <c r="B49" s="114">
        <v>0</v>
      </c>
      <c r="C49" s="114">
        <v>1</v>
      </c>
      <c r="D49" s="114">
        <v>1</v>
      </c>
      <c r="E49" s="114">
        <v>0</v>
      </c>
      <c r="F49" s="114">
        <v>1</v>
      </c>
      <c r="G49" s="114">
        <v>0</v>
      </c>
      <c r="H49" s="114">
        <v>1</v>
      </c>
      <c r="I49" s="114">
        <v>0</v>
      </c>
      <c r="J49" s="114">
        <v>1</v>
      </c>
      <c r="K49" s="114">
        <v>0</v>
      </c>
      <c r="L49" s="114">
        <v>0</v>
      </c>
      <c r="M49" s="114">
        <v>0</v>
      </c>
      <c r="N49" s="114">
        <v>1</v>
      </c>
      <c r="O49" s="114">
        <v>1</v>
      </c>
      <c r="P49" s="114">
        <v>0</v>
      </c>
      <c r="Q49" s="114">
        <v>1</v>
      </c>
      <c r="R49" s="114">
        <v>1</v>
      </c>
      <c r="S49" s="114">
        <v>1</v>
      </c>
      <c r="T49" s="114">
        <v>1</v>
      </c>
      <c r="U49" s="114">
        <v>1</v>
      </c>
      <c r="V49" s="114">
        <v>1</v>
      </c>
      <c r="W49" s="114">
        <v>0</v>
      </c>
      <c r="X49" s="114">
        <v>0</v>
      </c>
      <c r="Y49" s="114">
        <v>1</v>
      </c>
      <c r="Z49" s="114">
        <v>1</v>
      </c>
      <c r="AA49" s="114">
        <v>1</v>
      </c>
      <c r="AB49" s="114">
        <v>1</v>
      </c>
      <c r="AC49" s="114">
        <v>1</v>
      </c>
      <c r="AD49" s="114">
        <v>0</v>
      </c>
      <c r="AE49" s="114">
        <v>0</v>
      </c>
      <c r="AF49" s="114">
        <v>1</v>
      </c>
      <c r="AG49" s="114">
        <v>0</v>
      </c>
      <c r="AH49" s="114">
        <v>0</v>
      </c>
      <c r="AI49" s="114">
        <v>0</v>
      </c>
      <c r="AJ49" s="114">
        <v>1</v>
      </c>
      <c r="AK49" s="114">
        <v>0</v>
      </c>
      <c r="AL49" s="114">
        <v>0</v>
      </c>
      <c r="AM49" s="114">
        <v>0</v>
      </c>
      <c r="AN49" s="114">
        <v>0</v>
      </c>
      <c r="AO49" s="114">
        <v>1</v>
      </c>
      <c r="AP49" s="114">
        <v>1</v>
      </c>
      <c r="AQ49" s="114">
        <v>0</v>
      </c>
      <c r="AR49" s="114">
        <v>0</v>
      </c>
      <c r="AS49" s="114">
        <v>0</v>
      </c>
      <c r="AT49" s="114">
        <v>0</v>
      </c>
      <c r="AU49" s="114">
        <v>0</v>
      </c>
      <c r="AV49" s="114">
        <v>1</v>
      </c>
      <c r="AW49" s="114">
        <v>1</v>
      </c>
      <c r="AX49" s="114">
        <v>0</v>
      </c>
      <c r="AY49" s="114">
        <v>0</v>
      </c>
      <c r="AZ49" s="114">
        <v>0</v>
      </c>
      <c r="BA49" s="114">
        <v>0</v>
      </c>
      <c r="BB49" s="114">
        <v>0</v>
      </c>
      <c r="BC49" s="114">
        <v>0</v>
      </c>
      <c r="BD49" s="114">
        <v>0</v>
      </c>
      <c r="BE49" s="114">
        <v>0</v>
      </c>
      <c r="BF49" s="114">
        <v>0</v>
      </c>
    </row>
    <row r="50" spans="1:58" x14ac:dyDescent="0.15">
      <c r="A50" s="194" t="s">
        <v>240</v>
      </c>
      <c r="B50" s="114">
        <v>1</v>
      </c>
      <c r="C50" s="114">
        <v>1</v>
      </c>
      <c r="D50" s="114">
        <v>1</v>
      </c>
      <c r="E50" s="114">
        <v>1</v>
      </c>
      <c r="F50" s="114">
        <v>1</v>
      </c>
      <c r="G50" s="114">
        <v>0</v>
      </c>
      <c r="H50" s="114">
        <v>0</v>
      </c>
      <c r="I50" s="114">
        <v>1</v>
      </c>
      <c r="J50" s="114">
        <v>1</v>
      </c>
      <c r="K50" s="114">
        <v>1</v>
      </c>
      <c r="L50" s="114">
        <v>1</v>
      </c>
      <c r="M50" s="114">
        <v>0</v>
      </c>
      <c r="N50" s="114">
        <v>0</v>
      </c>
      <c r="O50" s="114">
        <v>1</v>
      </c>
      <c r="P50" s="114">
        <v>0</v>
      </c>
      <c r="Q50" s="114">
        <v>0</v>
      </c>
      <c r="R50" s="114">
        <v>1</v>
      </c>
      <c r="S50" s="114">
        <v>0</v>
      </c>
      <c r="T50" s="114">
        <v>0</v>
      </c>
      <c r="U50" s="114">
        <v>0</v>
      </c>
      <c r="V50" s="114">
        <v>1</v>
      </c>
      <c r="W50" s="114">
        <v>1</v>
      </c>
      <c r="X50" s="114">
        <v>1</v>
      </c>
      <c r="Y50" s="114">
        <v>1</v>
      </c>
      <c r="Z50" s="114">
        <v>1</v>
      </c>
      <c r="AA50" s="114">
        <v>1</v>
      </c>
      <c r="AB50" s="114">
        <v>0</v>
      </c>
      <c r="AC50" s="114">
        <v>0</v>
      </c>
      <c r="AD50" s="114">
        <v>1</v>
      </c>
      <c r="AE50" s="114">
        <v>0</v>
      </c>
      <c r="AF50" s="114">
        <v>1</v>
      </c>
      <c r="AG50" s="114">
        <v>1</v>
      </c>
      <c r="AH50" s="114">
        <v>0</v>
      </c>
      <c r="AI50" s="114">
        <v>0</v>
      </c>
      <c r="AJ50" s="114">
        <v>1</v>
      </c>
      <c r="AK50" s="114">
        <v>1</v>
      </c>
      <c r="AL50" s="114">
        <v>0</v>
      </c>
      <c r="AM50" s="114">
        <v>1</v>
      </c>
      <c r="AN50" s="114">
        <v>1</v>
      </c>
      <c r="AO50" s="114">
        <v>1</v>
      </c>
      <c r="AP50" s="114">
        <v>1</v>
      </c>
      <c r="AQ50" s="114">
        <v>1</v>
      </c>
      <c r="AR50" s="114">
        <v>0</v>
      </c>
      <c r="AS50" s="114">
        <v>0</v>
      </c>
      <c r="AT50" s="114">
        <v>0</v>
      </c>
      <c r="AU50" s="114">
        <v>0</v>
      </c>
      <c r="AV50" s="114">
        <v>0</v>
      </c>
      <c r="AW50" s="114">
        <v>0</v>
      </c>
      <c r="AX50" s="114">
        <v>0</v>
      </c>
      <c r="AY50" s="114">
        <v>0</v>
      </c>
      <c r="AZ50" s="114">
        <v>0</v>
      </c>
      <c r="BA50" s="114">
        <v>0</v>
      </c>
      <c r="BB50" s="114">
        <v>0</v>
      </c>
      <c r="BC50" s="114">
        <v>0</v>
      </c>
      <c r="BD50" s="114">
        <v>0</v>
      </c>
      <c r="BE50" s="114">
        <v>0</v>
      </c>
      <c r="BF50" s="114">
        <v>0</v>
      </c>
    </row>
    <row r="51" spans="1:58" x14ac:dyDescent="0.15">
      <c r="A51" s="194" t="s">
        <v>241</v>
      </c>
      <c r="B51" s="114">
        <v>0</v>
      </c>
      <c r="C51" s="114">
        <v>0</v>
      </c>
      <c r="D51" s="114">
        <v>1</v>
      </c>
      <c r="E51" s="114">
        <v>1</v>
      </c>
      <c r="F51" s="114">
        <v>1</v>
      </c>
      <c r="G51" s="114">
        <v>1</v>
      </c>
      <c r="H51" s="114">
        <v>0</v>
      </c>
      <c r="I51" s="114">
        <v>1</v>
      </c>
      <c r="J51" s="114">
        <v>1</v>
      </c>
      <c r="K51" s="114">
        <v>1</v>
      </c>
      <c r="L51" s="114">
        <v>0</v>
      </c>
      <c r="M51" s="114">
        <v>0</v>
      </c>
      <c r="N51" s="114">
        <v>0</v>
      </c>
      <c r="O51" s="114">
        <v>0</v>
      </c>
      <c r="P51" s="114">
        <v>0</v>
      </c>
      <c r="Q51" s="114">
        <v>0</v>
      </c>
      <c r="R51" s="114">
        <v>1</v>
      </c>
      <c r="S51" s="114">
        <v>0</v>
      </c>
      <c r="T51" s="114">
        <v>0</v>
      </c>
      <c r="U51" s="114">
        <v>0</v>
      </c>
      <c r="V51" s="114">
        <v>1</v>
      </c>
      <c r="W51" s="114">
        <v>1</v>
      </c>
      <c r="X51" s="114">
        <v>1</v>
      </c>
      <c r="Y51" s="114">
        <v>1</v>
      </c>
      <c r="Z51" s="114">
        <v>1</v>
      </c>
      <c r="AA51" s="114">
        <v>0</v>
      </c>
      <c r="AB51" s="114">
        <v>0</v>
      </c>
      <c r="AC51" s="114">
        <v>1</v>
      </c>
      <c r="AD51" s="114">
        <v>0</v>
      </c>
      <c r="AE51" s="114">
        <v>0</v>
      </c>
      <c r="AF51" s="114">
        <v>1</v>
      </c>
      <c r="AG51" s="114">
        <v>0</v>
      </c>
      <c r="AH51" s="114">
        <v>0</v>
      </c>
      <c r="AI51" s="114">
        <v>0</v>
      </c>
      <c r="AJ51" s="114">
        <v>1</v>
      </c>
      <c r="AK51" s="114">
        <v>1</v>
      </c>
      <c r="AL51" s="114">
        <v>0</v>
      </c>
      <c r="AM51" s="114">
        <v>1</v>
      </c>
      <c r="AN51" s="114">
        <v>0</v>
      </c>
      <c r="AO51" s="114">
        <v>1</v>
      </c>
      <c r="AP51" s="114">
        <v>0</v>
      </c>
      <c r="AQ51" s="114">
        <v>1</v>
      </c>
      <c r="AR51" s="114">
        <v>0</v>
      </c>
      <c r="AS51" s="114">
        <v>0</v>
      </c>
      <c r="AT51" s="114">
        <v>0</v>
      </c>
      <c r="AU51" s="114">
        <v>0</v>
      </c>
      <c r="AV51" s="114">
        <v>0</v>
      </c>
      <c r="AW51" s="114">
        <v>0</v>
      </c>
      <c r="AX51" s="114">
        <v>0</v>
      </c>
      <c r="AY51" s="114">
        <v>1</v>
      </c>
      <c r="AZ51" s="114">
        <v>0</v>
      </c>
      <c r="BA51" s="114">
        <v>0</v>
      </c>
      <c r="BB51" s="114">
        <v>0</v>
      </c>
      <c r="BC51" s="114">
        <v>0</v>
      </c>
      <c r="BD51" s="114">
        <v>0</v>
      </c>
      <c r="BE51" s="114">
        <v>0</v>
      </c>
      <c r="BF51" s="114">
        <v>0</v>
      </c>
    </row>
    <row r="52" spans="1:58" x14ac:dyDescent="0.15">
      <c r="A52" s="194" t="s">
        <v>242</v>
      </c>
      <c r="B52" s="114">
        <v>0</v>
      </c>
      <c r="C52" s="114">
        <v>0</v>
      </c>
      <c r="D52" s="114">
        <v>0</v>
      </c>
      <c r="E52" s="114">
        <v>1</v>
      </c>
      <c r="F52" s="114">
        <v>0</v>
      </c>
      <c r="G52" s="114">
        <v>0</v>
      </c>
      <c r="H52" s="114">
        <v>0</v>
      </c>
      <c r="I52" s="114">
        <v>0</v>
      </c>
      <c r="J52" s="114">
        <v>0</v>
      </c>
      <c r="K52" s="114">
        <v>0</v>
      </c>
      <c r="L52" s="114">
        <v>0</v>
      </c>
      <c r="M52" s="114">
        <v>0</v>
      </c>
      <c r="N52" s="114">
        <v>0</v>
      </c>
      <c r="O52" s="114">
        <v>0</v>
      </c>
      <c r="P52" s="114">
        <v>0</v>
      </c>
      <c r="Q52" s="114">
        <v>0</v>
      </c>
      <c r="R52" s="114">
        <v>1</v>
      </c>
      <c r="S52" s="114">
        <v>0</v>
      </c>
      <c r="T52" s="114">
        <v>0</v>
      </c>
      <c r="U52" s="114">
        <v>0</v>
      </c>
      <c r="V52" s="114">
        <v>0</v>
      </c>
      <c r="W52" s="114">
        <v>1</v>
      </c>
      <c r="X52" s="114">
        <v>1</v>
      </c>
      <c r="Y52" s="114">
        <v>1</v>
      </c>
      <c r="Z52" s="114">
        <v>1</v>
      </c>
      <c r="AA52" s="114">
        <v>0</v>
      </c>
      <c r="AB52" s="114">
        <v>0</v>
      </c>
      <c r="AC52" s="114">
        <v>0</v>
      </c>
      <c r="AD52" s="114">
        <v>0</v>
      </c>
      <c r="AE52" s="114">
        <v>0</v>
      </c>
      <c r="AF52" s="114">
        <v>0</v>
      </c>
      <c r="AG52" s="114">
        <v>0</v>
      </c>
      <c r="AH52" s="114">
        <v>1</v>
      </c>
      <c r="AI52" s="114">
        <v>0</v>
      </c>
      <c r="AJ52" s="114">
        <v>1</v>
      </c>
      <c r="AK52" s="114">
        <v>1</v>
      </c>
      <c r="AL52" s="114">
        <v>1</v>
      </c>
      <c r="AM52" s="114">
        <v>0</v>
      </c>
      <c r="AN52" s="114">
        <v>0</v>
      </c>
      <c r="AO52" s="114">
        <v>1</v>
      </c>
      <c r="AP52" s="114">
        <v>0</v>
      </c>
      <c r="AQ52" s="114">
        <v>0</v>
      </c>
      <c r="AR52" s="114">
        <v>0</v>
      </c>
      <c r="AS52" s="114">
        <v>0</v>
      </c>
      <c r="AT52" s="114">
        <v>0</v>
      </c>
      <c r="AU52" s="114">
        <v>0</v>
      </c>
      <c r="AV52" s="114">
        <v>0</v>
      </c>
      <c r="AW52" s="114">
        <v>0</v>
      </c>
      <c r="AX52" s="114">
        <v>0</v>
      </c>
      <c r="AY52" s="114">
        <v>1</v>
      </c>
      <c r="AZ52" s="114">
        <v>0</v>
      </c>
      <c r="BA52" s="114">
        <v>0</v>
      </c>
      <c r="BB52" s="114">
        <v>0</v>
      </c>
      <c r="BC52" s="114">
        <v>0</v>
      </c>
      <c r="BD52" s="114">
        <v>0</v>
      </c>
      <c r="BE52" s="114">
        <v>0</v>
      </c>
      <c r="BF52" s="114">
        <v>0</v>
      </c>
    </row>
    <row r="53" spans="1:58" x14ac:dyDescent="0.15">
      <c r="A53" s="194" t="s">
        <v>243</v>
      </c>
      <c r="B53" s="114">
        <v>0</v>
      </c>
      <c r="C53" s="114">
        <v>0</v>
      </c>
      <c r="D53" s="114">
        <v>0</v>
      </c>
      <c r="E53" s="114">
        <v>1</v>
      </c>
      <c r="F53" s="114">
        <v>0</v>
      </c>
      <c r="G53" s="114">
        <v>0</v>
      </c>
      <c r="H53" s="114">
        <v>0</v>
      </c>
      <c r="I53" s="114">
        <v>0</v>
      </c>
      <c r="J53" s="114">
        <v>0</v>
      </c>
      <c r="K53" s="114">
        <v>1</v>
      </c>
      <c r="L53" s="114">
        <v>0</v>
      </c>
      <c r="M53" s="114">
        <v>0</v>
      </c>
      <c r="N53" s="114">
        <v>0</v>
      </c>
      <c r="O53" s="114">
        <v>0</v>
      </c>
      <c r="P53" s="114">
        <v>0</v>
      </c>
      <c r="Q53" s="114">
        <v>0</v>
      </c>
      <c r="R53" s="114">
        <v>1</v>
      </c>
      <c r="S53" s="114">
        <v>0</v>
      </c>
      <c r="T53" s="114">
        <v>0</v>
      </c>
      <c r="U53" s="114">
        <v>0</v>
      </c>
      <c r="V53" s="114">
        <v>0</v>
      </c>
      <c r="W53" s="114">
        <v>0</v>
      </c>
      <c r="X53" s="114">
        <v>1</v>
      </c>
      <c r="Y53" s="114">
        <v>0</v>
      </c>
      <c r="Z53" s="114">
        <v>0</v>
      </c>
      <c r="AA53" s="114">
        <v>0</v>
      </c>
      <c r="AB53" s="114">
        <v>0</v>
      </c>
      <c r="AC53" s="114">
        <v>0</v>
      </c>
      <c r="AD53" s="114">
        <v>0</v>
      </c>
      <c r="AE53" s="114">
        <v>0</v>
      </c>
      <c r="AF53" s="114">
        <v>0</v>
      </c>
      <c r="AG53" s="114">
        <v>0</v>
      </c>
      <c r="AH53" s="114">
        <v>0</v>
      </c>
      <c r="AI53" s="114">
        <v>0</v>
      </c>
      <c r="AJ53" s="114">
        <v>1</v>
      </c>
      <c r="AK53" s="114">
        <v>1</v>
      </c>
      <c r="AL53" s="114">
        <v>0</v>
      </c>
      <c r="AM53" s="114">
        <v>1</v>
      </c>
      <c r="AN53" s="114">
        <v>0</v>
      </c>
      <c r="AO53" s="114">
        <v>1</v>
      </c>
      <c r="AP53" s="114">
        <v>0</v>
      </c>
      <c r="AQ53" s="114">
        <v>0</v>
      </c>
      <c r="AR53" s="114">
        <v>0</v>
      </c>
      <c r="AS53" s="114">
        <v>0</v>
      </c>
      <c r="AT53" s="114">
        <v>0</v>
      </c>
      <c r="AU53" s="114">
        <v>0</v>
      </c>
      <c r="AV53" s="114">
        <v>0</v>
      </c>
      <c r="AW53" s="114">
        <v>0</v>
      </c>
      <c r="AX53" s="114">
        <v>0</v>
      </c>
      <c r="AY53" s="114">
        <v>1</v>
      </c>
      <c r="AZ53" s="114">
        <v>0</v>
      </c>
      <c r="BA53" s="114">
        <v>0</v>
      </c>
      <c r="BB53" s="114">
        <v>0</v>
      </c>
      <c r="BC53" s="114">
        <v>0</v>
      </c>
      <c r="BD53" s="114">
        <v>0</v>
      </c>
      <c r="BE53" s="114">
        <v>0</v>
      </c>
      <c r="BF53" s="114">
        <v>0</v>
      </c>
    </row>
    <row r="54" spans="1:58" x14ac:dyDescent="0.15">
      <c r="A54" s="194" t="s">
        <v>244</v>
      </c>
      <c r="B54" s="114">
        <v>1</v>
      </c>
      <c r="C54" s="114">
        <v>1</v>
      </c>
      <c r="D54" s="114">
        <v>1</v>
      </c>
      <c r="E54" s="114">
        <v>1</v>
      </c>
      <c r="F54" s="114">
        <v>1</v>
      </c>
      <c r="G54" s="114">
        <v>1</v>
      </c>
      <c r="H54" s="114">
        <v>1</v>
      </c>
      <c r="I54" s="114">
        <v>1</v>
      </c>
      <c r="J54" s="114">
        <v>1</v>
      </c>
      <c r="K54" s="114">
        <v>1</v>
      </c>
      <c r="L54" s="114">
        <v>1</v>
      </c>
      <c r="M54" s="114">
        <v>0</v>
      </c>
      <c r="N54" s="114">
        <v>1</v>
      </c>
      <c r="O54" s="114">
        <v>1</v>
      </c>
      <c r="P54" s="114">
        <v>0</v>
      </c>
      <c r="Q54" s="114">
        <v>0</v>
      </c>
      <c r="R54" s="114">
        <v>1</v>
      </c>
      <c r="S54" s="114">
        <v>1</v>
      </c>
      <c r="T54" s="114">
        <v>1</v>
      </c>
      <c r="U54" s="114">
        <v>0</v>
      </c>
      <c r="V54" s="114">
        <v>0</v>
      </c>
      <c r="W54" s="114">
        <v>1</v>
      </c>
      <c r="X54" s="114">
        <v>1</v>
      </c>
      <c r="Y54" s="114">
        <v>1</v>
      </c>
      <c r="Z54" s="114">
        <v>1</v>
      </c>
      <c r="AA54" s="114">
        <v>1</v>
      </c>
      <c r="AB54" s="114">
        <v>0</v>
      </c>
      <c r="AC54" s="114">
        <v>0</v>
      </c>
      <c r="AD54" s="114">
        <v>1</v>
      </c>
      <c r="AE54" s="114">
        <v>1</v>
      </c>
      <c r="AF54" s="114">
        <v>1</v>
      </c>
      <c r="AG54" s="114">
        <v>1</v>
      </c>
      <c r="AH54" s="114">
        <v>1</v>
      </c>
      <c r="AI54" s="114">
        <v>1</v>
      </c>
      <c r="AJ54" s="114">
        <v>1</v>
      </c>
      <c r="AK54" s="114">
        <v>1</v>
      </c>
      <c r="AL54" s="114">
        <v>1</v>
      </c>
      <c r="AM54" s="114">
        <v>1</v>
      </c>
      <c r="AN54" s="114">
        <v>1</v>
      </c>
      <c r="AO54" s="114">
        <v>1</v>
      </c>
      <c r="AP54" s="114">
        <v>0</v>
      </c>
      <c r="AQ54" s="114">
        <v>1</v>
      </c>
      <c r="AR54" s="114">
        <v>0</v>
      </c>
      <c r="AS54" s="114">
        <v>0</v>
      </c>
      <c r="AT54" s="114">
        <v>0</v>
      </c>
      <c r="AU54" s="114">
        <v>0</v>
      </c>
      <c r="AV54" s="114">
        <v>0</v>
      </c>
      <c r="AW54" s="114">
        <v>0</v>
      </c>
      <c r="AX54" s="114">
        <v>0</v>
      </c>
      <c r="AY54" s="114">
        <v>1</v>
      </c>
      <c r="AZ54" s="114">
        <v>0</v>
      </c>
      <c r="BA54" s="114">
        <v>1</v>
      </c>
      <c r="BB54" s="114">
        <v>1</v>
      </c>
      <c r="BC54" s="114">
        <v>0</v>
      </c>
      <c r="BD54" s="114">
        <v>0</v>
      </c>
      <c r="BE54" s="114">
        <v>0</v>
      </c>
      <c r="BF54" s="114">
        <v>0</v>
      </c>
    </row>
    <row r="55" spans="1:58" x14ac:dyDescent="0.15">
      <c r="A55" s="194" t="s">
        <v>245</v>
      </c>
      <c r="B55" s="114">
        <v>0</v>
      </c>
      <c r="C55" s="114">
        <v>0</v>
      </c>
      <c r="D55" s="114">
        <v>0</v>
      </c>
      <c r="E55" s="114">
        <v>0</v>
      </c>
      <c r="F55" s="114">
        <v>0</v>
      </c>
      <c r="G55" s="114">
        <v>0</v>
      </c>
      <c r="H55" s="114">
        <v>0</v>
      </c>
      <c r="I55" s="114">
        <v>0</v>
      </c>
      <c r="J55" s="114">
        <v>0</v>
      </c>
      <c r="K55" s="114">
        <v>0</v>
      </c>
      <c r="L55" s="114">
        <v>0</v>
      </c>
      <c r="M55" s="114">
        <v>0</v>
      </c>
      <c r="N55" s="114">
        <v>0</v>
      </c>
      <c r="O55" s="114">
        <v>0</v>
      </c>
      <c r="P55" s="114">
        <v>0</v>
      </c>
      <c r="Q55" s="114">
        <v>0</v>
      </c>
      <c r="R55" s="114">
        <v>0</v>
      </c>
      <c r="S55" s="114">
        <v>0</v>
      </c>
      <c r="T55" s="114">
        <v>0</v>
      </c>
      <c r="U55" s="114">
        <v>0</v>
      </c>
      <c r="V55" s="114">
        <v>0</v>
      </c>
      <c r="W55" s="114">
        <v>0</v>
      </c>
      <c r="X55" s="114">
        <v>0</v>
      </c>
      <c r="Y55" s="114">
        <v>0</v>
      </c>
      <c r="Z55" s="114">
        <v>0</v>
      </c>
      <c r="AA55" s="114">
        <v>0</v>
      </c>
      <c r="AB55" s="114">
        <v>0</v>
      </c>
      <c r="AC55" s="114">
        <v>0</v>
      </c>
      <c r="AD55" s="114">
        <v>0</v>
      </c>
      <c r="AE55" s="114">
        <v>0</v>
      </c>
      <c r="AF55" s="114">
        <v>0</v>
      </c>
      <c r="AG55" s="114">
        <v>0</v>
      </c>
      <c r="AH55" s="114">
        <v>0</v>
      </c>
      <c r="AI55" s="114">
        <v>0</v>
      </c>
      <c r="AJ55" s="114">
        <v>0</v>
      </c>
      <c r="AK55" s="114">
        <v>0</v>
      </c>
      <c r="AL55" s="114">
        <v>0</v>
      </c>
      <c r="AM55" s="114">
        <v>0</v>
      </c>
      <c r="AN55" s="114">
        <v>0</v>
      </c>
      <c r="AO55" s="114">
        <v>0</v>
      </c>
      <c r="AP55" s="114">
        <v>0</v>
      </c>
      <c r="AQ55" s="114">
        <v>0</v>
      </c>
      <c r="AR55" s="114">
        <v>1</v>
      </c>
      <c r="AS55" s="114">
        <v>1</v>
      </c>
      <c r="AT55" s="114">
        <v>1</v>
      </c>
      <c r="AU55" s="114">
        <v>1</v>
      </c>
      <c r="AV55" s="114">
        <v>0</v>
      </c>
      <c r="AW55" s="114">
        <v>0</v>
      </c>
      <c r="AX55" s="114">
        <v>0</v>
      </c>
      <c r="AY55" s="114">
        <v>0</v>
      </c>
      <c r="AZ55" s="114">
        <v>1</v>
      </c>
      <c r="BA55" s="114">
        <v>0</v>
      </c>
      <c r="BB55" s="114">
        <v>1</v>
      </c>
      <c r="BC55" s="114">
        <v>0</v>
      </c>
      <c r="BD55" s="114">
        <v>0</v>
      </c>
      <c r="BE55" s="114">
        <v>0</v>
      </c>
      <c r="BF55" s="114">
        <v>0</v>
      </c>
    </row>
    <row r="56" spans="1:58" x14ac:dyDescent="0.15">
      <c r="A56" s="194" t="s">
        <v>67</v>
      </c>
      <c r="B56" s="114">
        <v>0</v>
      </c>
      <c r="C56" s="114">
        <v>0</v>
      </c>
      <c r="D56" s="114">
        <v>0</v>
      </c>
      <c r="E56" s="114">
        <v>0</v>
      </c>
      <c r="F56" s="114">
        <v>0</v>
      </c>
      <c r="G56" s="114">
        <v>0</v>
      </c>
      <c r="H56" s="114">
        <v>0</v>
      </c>
      <c r="I56" s="114">
        <v>0</v>
      </c>
      <c r="J56" s="114">
        <v>0</v>
      </c>
      <c r="K56" s="114">
        <v>0</v>
      </c>
      <c r="L56" s="114">
        <v>0</v>
      </c>
      <c r="M56" s="114">
        <v>0</v>
      </c>
      <c r="N56" s="114">
        <v>0</v>
      </c>
      <c r="O56" s="114">
        <v>0</v>
      </c>
      <c r="P56" s="114">
        <v>0</v>
      </c>
      <c r="Q56" s="114">
        <v>0</v>
      </c>
      <c r="R56" s="114">
        <v>0</v>
      </c>
      <c r="S56" s="114">
        <v>0</v>
      </c>
      <c r="T56" s="114">
        <v>0</v>
      </c>
      <c r="U56" s="114">
        <v>0</v>
      </c>
      <c r="V56" s="114">
        <v>0</v>
      </c>
      <c r="W56" s="114">
        <v>0</v>
      </c>
      <c r="X56" s="114">
        <v>0</v>
      </c>
      <c r="Y56" s="114">
        <v>0</v>
      </c>
      <c r="Z56" s="114">
        <v>0</v>
      </c>
      <c r="AA56" s="114">
        <v>0</v>
      </c>
      <c r="AB56" s="114">
        <v>0</v>
      </c>
      <c r="AC56" s="114">
        <v>0</v>
      </c>
      <c r="AD56" s="114">
        <v>0</v>
      </c>
      <c r="AE56" s="114">
        <v>0</v>
      </c>
      <c r="AF56" s="114">
        <v>0</v>
      </c>
      <c r="AG56" s="114">
        <v>0</v>
      </c>
      <c r="AH56" s="114">
        <v>0</v>
      </c>
      <c r="AI56" s="114">
        <v>0</v>
      </c>
      <c r="AJ56" s="114">
        <v>0</v>
      </c>
      <c r="AK56" s="114">
        <v>0</v>
      </c>
      <c r="AL56" s="114">
        <v>0</v>
      </c>
      <c r="AM56" s="114">
        <v>0</v>
      </c>
      <c r="AN56" s="114">
        <v>0</v>
      </c>
      <c r="AO56" s="114">
        <v>0</v>
      </c>
      <c r="AP56" s="114">
        <v>0</v>
      </c>
      <c r="AQ56" s="114">
        <v>0</v>
      </c>
      <c r="AR56" s="114">
        <v>0</v>
      </c>
      <c r="AS56" s="114">
        <v>0</v>
      </c>
      <c r="AT56" s="114">
        <v>0</v>
      </c>
      <c r="AU56" s="114">
        <v>0</v>
      </c>
      <c r="AV56" s="114">
        <v>0</v>
      </c>
      <c r="AW56" s="114">
        <v>0</v>
      </c>
      <c r="AX56" s="114">
        <v>0</v>
      </c>
      <c r="AY56" s="114">
        <v>1</v>
      </c>
      <c r="AZ56" s="114">
        <v>0</v>
      </c>
      <c r="BA56" s="114">
        <v>1</v>
      </c>
      <c r="BB56" s="114">
        <v>1</v>
      </c>
      <c r="BC56" s="114">
        <v>0</v>
      </c>
      <c r="BD56" s="114">
        <v>0</v>
      </c>
      <c r="BE56" s="114">
        <v>0</v>
      </c>
      <c r="BF56" s="114">
        <v>0</v>
      </c>
    </row>
    <row r="57" spans="1:58" x14ac:dyDescent="0.15">
      <c r="A57" s="194" t="s">
        <v>246</v>
      </c>
      <c r="B57" s="114">
        <v>0</v>
      </c>
      <c r="C57" s="114">
        <v>0</v>
      </c>
      <c r="D57" s="114">
        <v>0</v>
      </c>
      <c r="E57" s="114">
        <v>0</v>
      </c>
      <c r="F57" s="114">
        <v>0</v>
      </c>
      <c r="G57" s="114">
        <v>0</v>
      </c>
      <c r="H57" s="114">
        <v>0</v>
      </c>
      <c r="I57" s="114">
        <v>1</v>
      </c>
      <c r="J57" s="114">
        <v>0</v>
      </c>
      <c r="K57" s="114">
        <v>0</v>
      </c>
      <c r="L57" s="114">
        <v>0</v>
      </c>
      <c r="M57" s="114">
        <v>0</v>
      </c>
      <c r="N57" s="114">
        <v>0</v>
      </c>
      <c r="O57" s="114">
        <v>0</v>
      </c>
      <c r="P57" s="114">
        <v>0</v>
      </c>
      <c r="Q57" s="114">
        <v>0</v>
      </c>
      <c r="R57" s="114">
        <v>0</v>
      </c>
      <c r="S57" s="114">
        <v>0</v>
      </c>
      <c r="T57" s="114">
        <v>0</v>
      </c>
      <c r="U57" s="114">
        <v>0</v>
      </c>
      <c r="V57" s="114">
        <v>0</v>
      </c>
      <c r="W57" s="114">
        <v>0</v>
      </c>
      <c r="X57" s="114">
        <v>0</v>
      </c>
      <c r="Y57" s="114">
        <v>0</v>
      </c>
      <c r="Z57" s="114">
        <v>0</v>
      </c>
      <c r="AA57" s="114">
        <v>0</v>
      </c>
      <c r="AB57" s="114">
        <v>0</v>
      </c>
      <c r="AC57" s="114">
        <v>0</v>
      </c>
      <c r="AD57" s="114">
        <v>0</v>
      </c>
      <c r="AE57" s="114">
        <v>0</v>
      </c>
      <c r="AF57" s="114">
        <v>0</v>
      </c>
      <c r="AG57" s="114">
        <v>0</v>
      </c>
      <c r="AH57" s="114">
        <v>0</v>
      </c>
      <c r="AI57" s="114">
        <v>0</v>
      </c>
      <c r="AJ57" s="114">
        <v>0</v>
      </c>
      <c r="AK57" s="114">
        <v>0</v>
      </c>
      <c r="AL57" s="114">
        <v>0</v>
      </c>
      <c r="AM57" s="114">
        <v>0</v>
      </c>
      <c r="AN57" s="114">
        <v>0</v>
      </c>
      <c r="AO57" s="114">
        <v>0</v>
      </c>
      <c r="AP57" s="114">
        <v>0</v>
      </c>
      <c r="AQ57" s="114">
        <v>0</v>
      </c>
      <c r="AR57" s="114">
        <v>0</v>
      </c>
      <c r="AS57" s="114">
        <v>0</v>
      </c>
      <c r="AT57" s="114">
        <v>0</v>
      </c>
      <c r="AU57" s="114">
        <v>0</v>
      </c>
      <c r="AV57" s="114">
        <v>0</v>
      </c>
      <c r="AW57" s="114">
        <v>0</v>
      </c>
      <c r="AX57" s="114">
        <v>1</v>
      </c>
      <c r="AY57" s="114">
        <v>1</v>
      </c>
      <c r="AZ57" s="114">
        <v>1</v>
      </c>
      <c r="BA57" s="114">
        <v>1</v>
      </c>
      <c r="BB57" s="114">
        <v>1</v>
      </c>
      <c r="BC57" s="114">
        <v>0</v>
      </c>
      <c r="BD57" s="114">
        <v>0</v>
      </c>
      <c r="BE57" s="114">
        <v>0</v>
      </c>
      <c r="BF57" s="114">
        <v>0</v>
      </c>
    </row>
    <row r="58" spans="1:58" x14ac:dyDescent="0.15">
      <c r="A58" s="194" t="s">
        <v>247</v>
      </c>
      <c r="B58" s="114">
        <v>0</v>
      </c>
      <c r="C58" s="114">
        <v>0</v>
      </c>
      <c r="D58" s="114">
        <v>0</v>
      </c>
      <c r="E58" s="114">
        <v>0</v>
      </c>
      <c r="F58" s="114">
        <v>0</v>
      </c>
      <c r="G58" s="114">
        <v>0</v>
      </c>
      <c r="H58" s="114">
        <v>0</v>
      </c>
      <c r="I58" s="114">
        <v>0</v>
      </c>
      <c r="J58" s="114">
        <v>0</v>
      </c>
      <c r="K58" s="114">
        <v>0</v>
      </c>
      <c r="L58" s="114">
        <v>0</v>
      </c>
      <c r="M58" s="114">
        <v>0</v>
      </c>
      <c r="N58" s="114">
        <v>0</v>
      </c>
      <c r="O58" s="114">
        <v>0</v>
      </c>
      <c r="P58" s="114">
        <v>0</v>
      </c>
      <c r="Q58" s="114">
        <v>0</v>
      </c>
      <c r="R58" s="114">
        <v>0</v>
      </c>
      <c r="S58" s="114">
        <v>0</v>
      </c>
      <c r="T58" s="114">
        <v>0</v>
      </c>
      <c r="U58" s="114">
        <v>0</v>
      </c>
      <c r="V58" s="114">
        <v>0</v>
      </c>
      <c r="W58" s="114">
        <v>0</v>
      </c>
      <c r="X58" s="114">
        <v>0</v>
      </c>
      <c r="Y58" s="114">
        <v>0</v>
      </c>
      <c r="Z58" s="114">
        <v>0</v>
      </c>
      <c r="AA58" s="114">
        <v>0</v>
      </c>
      <c r="AB58" s="114">
        <v>0</v>
      </c>
      <c r="AC58" s="114">
        <v>0</v>
      </c>
      <c r="AD58" s="114">
        <v>0</v>
      </c>
      <c r="AE58" s="114">
        <v>0</v>
      </c>
      <c r="AF58" s="114">
        <v>0</v>
      </c>
      <c r="AG58" s="114">
        <v>0</v>
      </c>
      <c r="AH58" s="114">
        <v>0</v>
      </c>
      <c r="AI58" s="114">
        <v>0</v>
      </c>
      <c r="AJ58" s="114">
        <v>0</v>
      </c>
      <c r="AK58" s="114">
        <v>0</v>
      </c>
      <c r="AL58" s="114">
        <v>0</v>
      </c>
      <c r="AM58" s="114">
        <v>0</v>
      </c>
      <c r="AN58" s="114">
        <v>0</v>
      </c>
      <c r="AO58" s="114">
        <v>0</v>
      </c>
      <c r="AP58" s="114">
        <v>0</v>
      </c>
      <c r="AQ58" s="114">
        <v>0</v>
      </c>
      <c r="AR58" s="114">
        <v>0</v>
      </c>
      <c r="AS58" s="114">
        <v>0</v>
      </c>
      <c r="AT58" s="114">
        <v>0</v>
      </c>
      <c r="AU58" s="114">
        <v>0</v>
      </c>
      <c r="AV58" s="114">
        <v>0</v>
      </c>
      <c r="AW58" s="114">
        <v>0</v>
      </c>
      <c r="AX58" s="114">
        <v>0</v>
      </c>
      <c r="AY58" s="114">
        <v>0</v>
      </c>
      <c r="AZ58" s="114">
        <v>0</v>
      </c>
      <c r="BA58" s="114">
        <v>0</v>
      </c>
      <c r="BB58" s="114">
        <v>0</v>
      </c>
      <c r="BC58" s="114">
        <v>0</v>
      </c>
      <c r="BD58" s="114">
        <v>0</v>
      </c>
      <c r="BE58" s="114">
        <v>0</v>
      </c>
      <c r="BF58" s="114">
        <v>0</v>
      </c>
    </row>
    <row r="59" spans="1:58" x14ac:dyDescent="0.15">
      <c r="A59" s="194" t="s">
        <v>266</v>
      </c>
      <c r="B59" s="114">
        <v>0</v>
      </c>
      <c r="C59" s="114">
        <v>0</v>
      </c>
      <c r="D59" s="114">
        <v>0</v>
      </c>
      <c r="E59" s="114">
        <v>0</v>
      </c>
      <c r="F59" s="114">
        <v>0</v>
      </c>
      <c r="G59" s="114">
        <v>0</v>
      </c>
      <c r="H59" s="114">
        <v>0</v>
      </c>
      <c r="I59" s="114">
        <v>0</v>
      </c>
      <c r="J59" s="114">
        <v>0</v>
      </c>
      <c r="K59" s="114">
        <v>0</v>
      </c>
      <c r="L59" s="114">
        <v>0</v>
      </c>
      <c r="M59" s="114">
        <v>0</v>
      </c>
      <c r="N59" s="114">
        <v>0</v>
      </c>
      <c r="O59" s="114">
        <v>0</v>
      </c>
      <c r="P59" s="114">
        <v>0</v>
      </c>
      <c r="Q59" s="114">
        <v>0</v>
      </c>
      <c r="R59" s="114">
        <v>0</v>
      </c>
      <c r="S59" s="114">
        <v>0</v>
      </c>
      <c r="T59" s="114">
        <v>0</v>
      </c>
      <c r="U59" s="114">
        <v>0</v>
      </c>
      <c r="V59" s="114">
        <v>0</v>
      </c>
      <c r="W59" s="114">
        <v>0</v>
      </c>
      <c r="X59" s="114">
        <v>0</v>
      </c>
      <c r="Y59" s="114">
        <v>0</v>
      </c>
      <c r="Z59" s="114">
        <v>0</v>
      </c>
      <c r="AA59" s="114">
        <v>0</v>
      </c>
      <c r="AB59" s="114">
        <v>0</v>
      </c>
      <c r="AC59" s="114">
        <v>0</v>
      </c>
      <c r="AD59" s="114">
        <v>0</v>
      </c>
      <c r="AE59" s="114">
        <v>0</v>
      </c>
      <c r="AF59" s="114">
        <v>0</v>
      </c>
      <c r="AG59" s="114">
        <v>0</v>
      </c>
      <c r="AH59" s="114">
        <v>0</v>
      </c>
      <c r="AI59" s="114">
        <v>0</v>
      </c>
      <c r="AJ59" s="114">
        <v>0</v>
      </c>
      <c r="AK59" s="114">
        <v>0</v>
      </c>
      <c r="AL59" s="114">
        <v>0</v>
      </c>
      <c r="AM59" s="114">
        <v>0</v>
      </c>
      <c r="AN59" s="114">
        <v>0</v>
      </c>
      <c r="AO59" s="114">
        <v>0</v>
      </c>
      <c r="AP59" s="114">
        <v>0</v>
      </c>
      <c r="AQ59" s="114">
        <v>0</v>
      </c>
      <c r="AR59" s="114">
        <v>0</v>
      </c>
      <c r="AS59" s="114">
        <v>0</v>
      </c>
      <c r="AT59" s="114">
        <v>0</v>
      </c>
      <c r="AU59" s="114">
        <v>0</v>
      </c>
      <c r="AV59" s="114">
        <v>0</v>
      </c>
      <c r="AW59" s="114">
        <v>0</v>
      </c>
      <c r="AX59" s="114">
        <v>0</v>
      </c>
      <c r="AY59" s="114">
        <v>0</v>
      </c>
      <c r="AZ59" s="114">
        <v>0</v>
      </c>
      <c r="BA59" s="114">
        <v>0</v>
      </c>
      <c r="BB59" s="114">
        <v>0</v>
      </c>
      <c r="BC59" s="114">
        <v>0</v>
      </c>
      <c r="BD59" s="114">
        <v>0</v>
      </c>
      <c r="BE59" s="114">
        <v>0</v>
      </c>
      <c r="BF59" s="11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W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0" bestFit="1" customWidth="1"/>
    <col min="3" max="4" width="3.83203125" bestFit="1" customWidth="1"/>
    <col min="5" max="23" width="3.83203125" customWidth="1"/>
  </cols>
  <sheetData>
    <row r="1" spans="1:23" ht="112" x14ac:dyDescent="0.15">
      <c r="A1" s="5" t="s">
        <v>83</v>
      </c>
      <c r="B1" s="3" t="s">
        <v>0</v>
      </c>
      <c r="C1" s="197" t="s">
        <v>248</v>
      </c>
      <c r="D1" s="197" t="s">
        <v>249</v>
      </c>
      <c r="E1" s="197" t="s">
        <v>250</v>
      </c>
      <c r="F1" s="197" t="s">
        <v>251</v>
      </c>
      <c r="G1" s="197" t="s">
        <v>252</v>
      </c>
      <c r="H1" s="197" t="s">
        <v>216</v>
      </c>
      <c r="I1" s="197" t="s">
        <v>215</v>
      </c>
      <c r="J1" s="197" t="s">
        <v>253</v>
      </c>
      <c r="K1" s="197" t="s">
        <v>217</v>
      </c>
      <c r="L1" s="197" t="s">
        <v>254</v>
      </c>
      <c r="M1" s="197" t="s">
        <v>255</v>
      </c>
      <c r="N1" s="197" t="s">
        <v>256</v>
      </c>
      <c r="O1" s="197" t="s">
        <v>257</v>
      </c>
      <c r="P1" s="197" t="s">
        <v>258</v>
      </c>
      <c r="Q1" s="197" t="s">
        <v>259</v>
      </c>
      <c r="R1" s="197" t="s">
        <v>260</v>
      </c>
      <c r="S1" s="197" t="s">
        <v>261</v>
      </c>
      <c r="T1" s="197" t="s">
        <v>262</v>
      </c>
      <c r="U1" s="197" t="s">
        <v>263</v>
      </c>
      <c r="V1" s="197" t="s">
        <v>264</v>
      </c>
      <c r="W1" s="197" t="s">
        <v>265</v>
      </c>
    </row>
    <row r="2" spans="1:23" x14ac:dyDescent="0.15">
      <c r="A2">
        <v>1</v>
      </c>
      <c r="B2" s="196" t="s">
        <v>192</v>
      </c>
      <c r="C2">
        <v>0.8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0.8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</row>
    <row r="3" spans="1:23" x14ac:dyDescent="0.15">
      <c r="A3">
        <v>2</v>
      </c>
      <c r="B3" s="196" t="s">
        <v>193</v>
      </c>
      <c r="C3">
        <v>0.8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0.8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</row>
    <row r="4" spans="1:23" x14ac:dyDescent="0.15">
      <c r="A4">
        <v>3</v>
      </c>
      <c r="B4" s="196" t="s">
        <v>194</v>
      </c>
      <c r="C4">
        <v>0</v>
      </c>
      <c r="D4">
        <v>0.8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</row>
    <row r="5" spans="1:23" x14ac:dyDescent="0.15">
      <c r="A5">
        <v>4</v>
      </c>
      <c r="B5" s="196" t="s">
        <v>195</v>
      </c>
      <c r="C5">
        <v>0</v>
      </c>
      <c r="D5">
        <v>0.8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0.8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</row>
    <row r="6" spans="1:23" x14ac:dyDescent="0.15">
      <c r="A6">
        <v>5</v>
      </c>
      <c r="B6" s="196" t="s">
        <v>196</v>
      </c>
      <c r="C6">
        <v>0</v>
      </c>
      <c r="D6">
        <v>0</v>
      </c>
      <c r="E6">
        <v>0.8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0.8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15">
      <c r="A7">
        <v>6</v>
      </c>
      <c r="B7" s="196" t="s">
        <v>197</v>
      </c>
      <c r="C7">
        <v>0</v>
      </c>
      <c r="D7">
        <v>0</v>
      </c>
      <c r="E7">
        <v>0.8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0.8</v>
      </c>
      <c r="R7">
        <v>0</v>
      </c>
      <c r="S7">
        <v>0</v>
      </c>
      <c r="T7">
        <v>0</v>
      </c>
      <c r="U7">
        <v>0</v>
      </c>
      <c r="V7">
        <v>0</v>
      </c>
      <c r="W7">
        <v>0.8</v>
      </c>
    </row>
    <row r="8" spans="1:23" x14ac:dyDescent="0.15">
      <c r="A8">
        <v>7</v>
      </c>
      <c r="B8" s="196" t="s">
        <v>198</v>
      </c>
      <c r="C8">
        <v>0</v>
      </c>
      <c r="D8">
        <v>0</v>
      </c>
      <c r="E8">
        <v>0</v>
      </c>
      <c r="F8">
        <v>0.8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0.8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15">
      <c r="A9">
        <v>8</v>
      </c>
      <c r="B9" s="196" t="s">
        <v>199</v>
      </c>
      <c r="C9">
        <v>0</v>
      </c>
      <c r="D9">
        <v>0</v>
      </c>
      <c r="E9">
        <v>0</v>
      </c>
      <c r="F9">
        <v>0.8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0.8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15">
      <c r="A10">
        <v>9</v>
      </c>
      <c r="B10" s="196" t="s">
        <v>200</v>
      </c>
      <c r="C10">
        <v>0</v>
      </c>
      <c r="D10">
        <v>0</v>
      </c>
      <c r="E10">
        <v>0</v>
      </c>
      <c r="F10">
        <v>0</v>
      </c>
      <c r="G10">
        <v>0.8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0.8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15">
      <c r="A11">
        <v>10</v>
      </c>
      <c r="B11" s="196" t="s">
        <v>201</v>
      </c>
      <c r="C11">
        <v>0</v>
      </c>
      <c r="D11">
        <v>0</v>
      </c>
      <c r="E11">
        <v>0</v>
      </c>
      <c r="F11">
        <v>0</v>
      </c>
      <c r="G11">
        <v>0.8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0.8</v>
      </c>
      <c r="O11">
        <v>0</v>
      </c>
      <c r="P11">
        <v>0</v>
      </c>
      <c r="Q11">
        <v>0.8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15">
      <c r="A12">
        <v>11</v>
      </c>
      <c r="B12" s="196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15">
      <c r="A13">
        <v>12</v>
      </c>
      <c r="B13" s="196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0.8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 x14ac:dyDescent="0.15">
      <c r="A14">
        <v>13</v>
      </c>
      <c r="B14" s="196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</row>
    <row r="15" spans="1:23" x14ac:dyDescent="0.15">
      <c r="A15">
        <v>14</v>
      </c>
      <c r="B15" s="196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</row>
    <row r="16" spans="1:23" x14ac:dyDescent="0.15">
      <c r="A16">
        <v>15</v>
      </c>
      <c r="B16" s="196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15">
      <c r="A17">
        <v>16</v>
      </c>
      <c r="B17" s="196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</row>
    <row r="18" spans="1:23" x14ac:dyDescent="0.15">
      <c r="A18">
        <v>17</v>
      </c>
      <c r="B18" s="196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 x14ac:dyDescent="0.15">
      <c r="A19">
        <v>18</v>
      </c>
      <c r="B19" s="196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x14ac:dyDescent="0.15">
      <c r="A20">
        <v>19</v>
      </c>
      <c r="B20" s="196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</row>
    <row r="21" spans="1:23" x14ac:dyDescent="0.15">
      <c r="A21">
        <v>20</v>
      </c>
      <c r="B21" s="196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 x14ac:dyDescent="0.15">
      <c r="A22">
        <v>21</v>
      </c>
      <c r="B22" s="196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</row>
    <row r="23" spans="1:23" x14ac:dyDescent="0.15">
      <c r="A23">
        <v>22</v>
      </c>
      <c r="B23" s="196" t="s">
        <v>213</v>
      </c>
      <c r="C23">
        <v>0.8</v>
      </c>
      <c r="D23">
        <v>0.8</v>
      </c>
      <c r="E23">
        <v>0</v>
      </c>
      <c r="F23">
        <v>0.8</v>
      </c>
      <c r="G23">
        <v>0.8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0.8</v>
      </c>
      <c r="O23">
        <v>0</v>
      </c>
      <c r="P23">
        <v>0</v>
      </c>
      <c r="Q23">
        <v>0.8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</row>
    <row r="24" spans="1:23" x14ac:dyDescent="0.15">
      <c r="A24">
        <v>23</v>
      </c>
      <c r="B24" s="196" t="s">
        <v>214</v>
      </c>
      <c r="C24">
        <v>0.8</v>
      </c>
      <c r="D24">
        <v>0.8</v>
      </c>
      <c r="E24">
        <v>0</v>
      </c>
      <c r="F24">
        <v>0.8</v>
      </c>
      <c r="G24">
        <v>0.8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0.8</v>
      </c>
      <c r="O24">
        <v>0</v>
      </c>
      <c r="P24">
        <v>0</v>
      </c>
      <c r="Q24">
        <v>0.8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15">
      <c r="A25">
        <v>24</v>
      </c>
      <c r="B25" s="196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0.8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 x14ac:dyDescent="0.15">
      <c r="A26">
        <v>25</v>
      </c>
      <c r="B26" s="196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0.8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</row>
    <row r="27" spans="1:23" x14ac:dyDescent="0.15">
      <c r="A27">
        <v>26</v>
      </c>
      <c r="B27" s="196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0.8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</row>
    <row r="28" spans="1:23" x14ac:dyDescent="0.15">
      <c r="A28">
        <v>27</v>
      </c>
      <c r="B28" s="196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0.8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0.8</v>
      </c>
    </row>
    <row r="29" spans="1:23" x14ac:dyDescent="0.15">
      <c r="A29">
        <v>28</v>
      </c>
      <c r="B29" s="196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0.8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0.8</v>
      </c>
    </row>
    <row r="30" spans="1:23" x14ac:dyDescent="0.15">
      <c r="A30">
        <v>29</v>
      </c>
      <c r="B30" s="196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0.8</v>
      </c>
      <c r="T30">
        <v>0</v>
      </c>
      <c r="U30">
        <v>0</v>
      </c>
      <c r="V30">
        <v>0</v>
      </c>
      <c r="W30">
        <v>0</v>
      </c>
    </row>
    <row r="31" spans="1:23" x14ac:dyDescent="0.15">
      <c r="A31">
        <v>30</v>
      </c>
      <c r="B31" s="196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0.8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</row>
    <row r="32" spans="1:23" x14ac:dyDescent="0.15">
      <c r="A32">
        <v>31</v>
      </c>
      <c r="B32" s="196" t="s">
        <v>222</v>
      </c>
      <c r="C32">
        <v>0</v>
      </c>
      <c r="D32">
        <v>0.8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0.8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</row>
    <row r="33" spans="1:23" x14ac:dyDescent="0.15">
      <c r="A33">
        <v>32</v>
      </c>
      <c r="B33" s="196" t="s">
        <v>223</v>
      </c>
      <c r="C33">
        <v>0.8</v>
      </c>
      <c r="D33">
        <v>0</v>
      </c>
      <c r="E33">
        <v>0</v>
      </c>
      <c r="F33">
        <v>0.8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0.8</v>
      </c>
      <c r="R33">
        <v>0.8</v>
      </c>
      <c r="S33">
        <v>0</v>
      </c>
      <c r="T33">
        <v>0</v>
      </c>
      <c r="U33">
        <v>0</v>
      </c>
      <c r="V33">
        <v>0</v>
      </c>
      <c r="W33">
        <v>0</v>
      </c>
    </row>
    <row r="34" spans="1:23" x14ac:dyDescent="0.15">
      <c r="A34">
        <v>33</v>
      </c>
      <c r="B34" s="196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</row>
    <row r="35" spans="1:23" x14ac:dyDescent="0.15">
      <c r="A35">
        <v>34</v>
      </c>
      <c r="B35" s="196" t="s">
        <v>225</v>
      </c>
      <c r="C35">
        <v>0</v>
      </c>
      <c r="D35">
        <v>0.8</v>
      </c>
      <c r="E35">
        <v>0</v>
      </c>
      <c r="F35">
        <v>0.8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0.8</v>
      </c>
      <c r="R35">
        <v>0</v>
      </c>
      <c r="S35">
        <v>0</v>
      </c>
      <c r="T35">
        <v>0</v>
      </c>
      <c r="U35">
        <v>0</v>
      </c>
      <c r="V35">
        <v>0</v>
      </c>
      <c r="W35">
        <v>0.8</v>
      </c>
    </row>
    <row r="36" spans="1:23" x14ac:dyDescent="0.15">
      <c r="A36">
        <v>35</v>
      </c>
      <c r="B36" s="196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0.8</v>
      </c>
      <c r="U36">
        <v>0</v>
      </c>
      <c r="V36">
        <v>0</v>
      </c>
      <c r="W36">
        <v>0</v>
      </c>
    </row>
    <row r="37" spans="1:23" x14ac:dyDescent="0.15">
      <c r="A37">
        <v>36</v>
      </c>
      <c r="B37" s="196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0.8</v>
      </c>
      <c r="U37">
        <v>0</v>
      </c>
      <c r="V37">
        <v>0</v>
      </c>
      <c r="W37">
        <v>0</v>
      </c>
    </row>
    <row r="38" spans="1:23" x14ac:dyDescent="0.15">
      <c r="A38">
        <v>37</v>
      </c>
      <c r="B38" s="196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0.8</v>
      </c>
      <c r="U38">
        <v>0</v>
      </c>
      <c r="V38">
        <v>0</v>
      </c>
      <c r="W38">
        <v>0</v>
      </c>
    </row>
    <row r="39" spans="1:23" x14ac:dyDescent="0.15">
      <c r="A39">
        <v>38</v>
      </c>
      <c r="B39" s="196" t="s">
        <v>229</v>
      </c>
      <c r="C39">
        <v>0</v>
      </c>
      <c r="D39">
        <v>0.8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0.8</v>
      </c>
      <c r="U39">
        <v>0</v>
      </c>
      <c r="V39">
        <v>0</v>
      </c>
      <c r="W39">
        <v>0</v>
      </c>
    </row>
    <row r="40" spans="1:23" x14ac:dyDescent="0.15">
      <c r="A40">
        <v>39</v>
      </c>
      <c r="B40" s="196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15">
      <c r="A41">
        <v>40</v>
      </c>
      <c r="B41" s="196" t="s">
        <v>231</v>
      </c>
      <c r="C41">
        <v>0.8</v>
      </c>
      <c r="D41">
        <v>0.8</v>
      </c>
      <c r="E41">
        <v>0</v>
      </c>
      <c r="F41">
        <v>0.8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0.8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</row>
    <row r="42" spans="1:23" x14ac:dyDescent="0.15">
      <c r="A42">
        <v>41</v>
      </c>
      <c r="B42" s="196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0.8</v>
      </c>
      <c r="W42">
        <v>0</v>
      </c>
    </row>
    <row r="43" spans="1:23" x14ac:dyDescent="0.15">
      <c r="A43">
        <v>42</v>
      </c>
      <c r="B43" s="196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0.8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</v>
      </c>
      <c r="V43">
        <v>0</v>
      </c>
      <c r="W43">
        <v>0</v>
      </c>
    </row>
    <row r="44" spans="1:23" x14ac:dyDescent="0.15">
      <c r="A44">
        <v>43</v>
      </c>
      <c r="B44" s="196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</row>
    <row r="45" spans="1:23" x14ac:dyDescent="0.15">
      <c r="A45">
        <v>44</v>
      </c>
      <c r="B45" s="196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</row>
    <row r="46" spans="1:23" x14ac:dyDescent="0.15">
      <c r="A46">
        <v>45</v>
      </c>
      <c r="B46" s="196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</row>
    <row r="47" spans="1:23" x14ac:dyDescent="0.15">
      <c r="A47">
        <v>46</v>
      </c>
      <c r="B47" s="196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</row>
    <row r="48" spans="1:23" x14ac:dyDescent="0.15">
      <c r="A48">
        <v>47</v>
      </c>
      <c r="B48" s="196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0.8</v>
      </c>
      <c r="W48">
        <v>0</v>
      </c>
    </row>
    <row r="49" spans="1:23" x14ac:dyDescent="0.15">
      <c r="A49">
        <v>48</v>
      </c>
      <c r="B49" s="196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</row>
    <row r="50" spans="1:23" x14ac:dyDescent="0.15">
      <c r="A50">
        <v>49</v>
      </c>
      <c r="B50" s="196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0.8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0.8</v>
      </c>
    </row>
    <row r="51" spans="1:23" x14ac:dyDescent="0.15">
      <c r="A51">
        <v>50</v>
      </c>
      <c r="B51" s="196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0.8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0.8</v>
      </c>
    </row>
    <row r="52" spans="1:23" x14ac:dyDescent="0.15">
      <c r="A52">
        <v>51</v>
      </c>
      <c r="B52" s="196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0.8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0.8</v>
      </c>
    </row>
    <row r="53" spans="1:23" x14ac:dyDescent="0.15">
      <c r="A53">
        <v>52</v>
      </c>
      <c r="B53" s="196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0.8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</row>
    <row r="54" spans="1:23" x14ac:dyDescent="0.15">
      <c r="A54">
        <v>53</v>
      </c>
      <c r="B54" s="196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0.8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</row>
    <row r="55" spans="1:23" x14ac:dyDescent="0.15">
      <c r="A55">
        <v>54</v>
      </c>
      <c r="B55" s="196" t="s">
        <v>245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</row>
    <row r="56" spans="1:23" x14ac:dyDescent="0.15">
      <c r="A56">
        <v>55</v>
      </c>
      <c r="B56" s="196" t="s">
        <v>67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</row>
    <row r="57" spans="1:23" x14ac:dyDescent="0.15">
      <c r="A57">
        <v>56</v>
      </c>
      <c r="B57" s="196" t="s">
        <v>246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</row>
    <row r="58" spans="1:23" x14ac:dyDescent="0.15">
      <c r="A58">
        <v>57</v>
      </c>
      <c r="B58" s="196" t="s">
        <v>247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W58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0" bestFit="1" customWidth="1"/>
    <col min="3" max="4" width="3.83203125" bestFit="1" customWidth="1"/>
    <col min="5" max="23" width="3.83203125" customWidth="1"/>
  </cols>
  <sheetData>
    <row r="1" spans="1:23" ht="112" x14ac:dyDescent="0.15">
      <c r="A1" s="5" t="s">
        <v>82</v>
      </c>
      <c r="B1" s="3" t="s">
        <v>0</v>
      </c>
      <c r="C1" s="199" t="s">
        <v>248</v>
      </c>
      <c r="D1" s="199" t="s">
        <v>249</v>
      </c>
      <c r="E1" s="199" t="s">
        <v>250</v>
      </c>
      <c r="F1" s="199" t="s">
        <v>251</v>
      </c>
      <c r="G1" s="199" t="s">
        <v>252</v>
      </c>
      <c r="H1" s="199" t="s">
        <v>216</v>
      </c>
      <c r="I1" s="199" t="s">
        <v>215</v>
      </c>
      <c r="J1" s="199" t="s">
        <v>253</v>
      </c>
      <c r="K1" s="199" t="s">
        <v>217</v>
      </c>
      <c r="L1" s="199" t="s">
        <v>254</v>
      </c>
      <c r="M1" s="199" t="s">
        <v>255</v>
      </c>
      <c r="N1" s="199" t="s">
        <v>256</v>
      </c>
      <c r="O1" s="199" t="s">
        <v>257</v>
      </c>
      <c r="P1" s="199" t="s">
        <v>258</v>
      </c>
      <c r="Q1" s="199" t="s">
        <v>259</v>
      </c>
      <c r="R1" s="199" t="s">
        <v>260</v>
      </c>
      <c r="S1" s="199" t="s">
        <v>261</v>
      </c>
      <c r="T1" s="199" t="s">
        <v>262</v>
      </c>
      <c r="U1" s="199" t="s">
        <v>263</v>
      </c>
      <c r="V1" s="199" t="s">
        <v>264</v>
      </c>
      <c r="W1" s="199" t="s">
        <v>265</v>
      </c>
    </row>
    <row r="2" spans="1:23" x14ac:dyDescent="0.15">
      <c r="A2">
        <v>1</v>
      </c>
      <c r="B2" s="198" t="s">
        <v>192</v>
      </c>
      <c r="C2">
        <v>0.8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0.8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</row>
    <row r="3" spans="1:23" x14ac:dyDescent="0.15">
      <c r="A3">
        <v>2</v>
      </c>
      <c r="B3" s="198" t="s">
        <v>193</v>
      </c>
      <c r="C3">
        <v>0.8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0.8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</row>
    <row r="4" spans="1:23" x14ac:dyDescent="0.15">
      <c r="A4">
        <v>3</v>
      </c>
      <c r="B4" s="198" t="s">
        <v>194</v>
      </c>
      <c r="C4">
        <v>0</v>
      </c>
      <c r="D4">
        <v>0.8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</row>
    <row r="5" spans="1:23" x14ac:dyDescent="0.15">
      <c r="A5">
        <v>4</v>
      </c>
      <c r="B5" s="198" t="s">
        <v>195</v>
      </c>
      <c r="C5">
        <v>0</v>
      </c>
      <c r="D5">
        <v>0.8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0.8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</row>
    <row r="6" spans="1:23" x14ac:dyDescent="0.15">
      <c r="A6">
        <v>5</v>
      </c>
      <c r="B6" s="198" t="s">
        <v>196</v>
      </c>
      <c r="C6">
        <v>0</v>
      </c>
      <c r="D6">
        <v>0</v>
      </c>
      <c r="E6">
        <v>0.8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0.8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15">
      <c r="A7">
        <v>6</v>
      </c>
      <c r="B7" s="198" t="s">
        <v>197</v>
      </c>
      <c r="C7">
        <v>0</v>
      </c>
      <c r="D7">
        <v>0</v>
      </c>
      <c r="E7">
        <v>0.8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0.8</v>
      </c>
      <c r="R7">
        <v>0</v>
      </c>
      <c r="S7">
        <v>0</v>
      </c>
      <c r="T7">
        <v>0</v>
      </c>
      <c r="U7">
        <v>0</v>
      </c>
      <c r="V7">
        <v>0</v>
      </c>
      <c r="W7">
        <v>0.8</v>
      </c>
    </row>
    <row r="8" spans="1:23" x14ac:dyDescent="0.15">
      <c r="A8">
        <v>7</v>
      </c>
      <c r="B8" s="198" t="s">
        <v>198</v>
      </c>
      <c r="C8">
        <v>0</v>
      </c>
      <c r="D8">
        <v>0</v>
      </c>
      <c r="E8">
        <v>0</v>
      </c>
      <c r="F8">
        <v>0.8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0.8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15">
      <c r="A9">
        <v>8</v>
      </c>
      <c r="B9" s="198" t="s">
        <v>199</v>
      </c>
      <c r="C9">
        <v>0</v>
      </c>
      <c r="D9">
        <v>0</v>
      </c>
      <c r="E9">
        <v>0</v>
      </c>
      <c r="F9">
        <v>0.8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0.8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15">
      <c r="A10">
        <v>9</v>
      </c>
      <c r="B10" s="198" t="s">
        <v>200</v>
      </c>
      <c r="C10">
        <v>0</v>
      </c>
      <c r="D10">
        <v>0</v>
      </c>
      <c r="E10">
        <v>0</v>
      </c>
      <c r="F10">
        <v>0</v>
      </c>
      <c r="G10">
        <v>0.8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0.8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15">
      <c r="A11">
        <v>10</v>
      </c>
      <c r="B11" s="198" t="s">
        <v>201</v>
      </c>
      <c r="C11">
        <v>0</v>
      </c>
      <c r="D11">
        <v>0</v>
      </c>
      <c r="E11">
        <v>0</v>
      </c>
      <c r="F11">
        <v>0</v>
      </c>
      <c r="G11">
        <v>0.8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0.8</v>
      </c>
      <c r="O11">
        <v>0</v>
      </c>
      <c r="P11">
        <v>0</v>
      </c>
      <c r="Q11">
        <v>0.8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15">
      <c r="A12">
        <v>11</v>
      </c>
      <c r="B12" s="198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15">
      <c r="A13">
        <v>12</v>
      </c>
      <c r="B13" s="198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0.8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 x14ac:dyDescent="0.15">
      <c r="A14">
        <v>13</v>
      </c>
      <c r="B14" s="198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</row>
    <row r="15" spans="1:23" x14ac:dyDescent="0.15">
      <c r="A15">
        <v>14</v>
      </c>
      <c r="B15" s="198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</row>
    <row r="16" spans="1:23" x14ac:dyDescent="0.15">
      <c r="A16">
        <v>15</v>
      </c>
      <c r="B16" s="198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15">
      <c r="A17">
        <v>16</v>
      </c>
      <c r="B17" s="198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</row>
    <row r="18" spans="1:23" x14ac:dyDescent="0.15">
      <c r="A18">
        <v>17</v>
      </c>
      <c r="B18" s="198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 x14ac:dyDescent="0.15">
      <c r="A19">
        <v>18</v>
      </c>
      <c r="B19" s="198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x14ac:dyDescent="0.15">
      <c r="A20">
        <v>19</v>
      </c>
      <c r="B20" s="198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</row>
    <row r="21" spans="1:23" x14ac:dyDescent="0.15">
      <c r="A21">
        <v>20</v>
      </c>
      <c r="B21" s="198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 x14ac:dyDescent="0.15">
      <c r="A22">
        <v>21</v>
      </c>
      <c r="B22" s="198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</row>
    <row r="23" spans="1:23" x14ac:dyDescent="0.15">
      <c r="A23">
        <v>22</v>
      </c>
      <c r="B23" s="198" t="s">
        <v>213</v>
      </c>
      <c r="C23">
        <v>0.8</v>
      </c>
      <c r="D23">
        <v>0.8</v>
      </c>
      <c r="E23">
        <v>0</v>
      </c>
      <c r="F23">
        <v>0.8</v>
      </c>
      <c r="G23">
        <v>0.8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0.8</v>
      </c>
      <c r="O23">
        <v>0</v>
      </c>
      <c r="P23">
        <v>0</v>
      </c>
      <c r="Q23">
        <v>0.8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</row>
    <row r="24" spans="1:23" x14ac:dyDescent="0.15">
      <c r="A24">
        <v>23</v>
      </c>
      <c r="B24" s="198" t="s">
        <v>214</v>
      </c>
      <c r="C24">
        <v>0.8</v>
      </c>
      <c r="D24">
        <v>0.8</v>
      </c>
      <c r="E24">
        <v>0</v>
      </c>
      <c r="F24">
        <v>0.8</v>
      </c>
      <c r="G24">
        <v>0.8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0.8</v>
      </c>
      <c r="O24">
        <v>0</v>
      </c>
      <c r="P24">
        <v>0</v>
      </c>
      <c r="Q24">
        <v>0.8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15">
      <c r="A25">
        <v>24</v>
      </c>
      <c r="B25" s="198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0.8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 x14ac:dyDescent="0.15">
      <c r="A26">
        <v>25</v>
      </c>
      <c r="B26" s="198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0.8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</row>
    <row r="27" spans="1:23" x14ac:dyDescent="0.15">
      <c r="A27">
        <v>26</v>
      </c>
      <c r="B27" s="198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0.8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</row>
    <row r="28" spans="1:23" x14ac:dyDescent="0.15">
      <c r="A28">
        <v>27</v>
      </c>
      <c r="B28" s="198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0.8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0.8</v>
      </c>
    </row>
    <row r="29" spans="1:23" x14ac:dyDescent="0.15">
      <c r="A29">
        <v>28</v>
      </c>
      <c r="B29" s="198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0.8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0.8</v>
      </c>
    </row>
    <row r="30" spans="1:23" x14ac:dyDescent="0.15">
      <c r="A30">
        <v>29</v>
      </c>
      <c r="B30" s="198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0.8</v>
      </c>
      <c r="T30">
        <v>0</v>
      </c>
      <c r="U30">
        <v>0</v>
      </c>
      <c r="V30">
        <v>0</v>
      </c>
      <c r="W30">
        <v>0</v>
      </c>
    </row>
    <row r="31" spans="1:23" x14ac:dyDescent="0.15">
      <c r="A31">
        <v>30</v>
      </c>
      <c r="B31" s="198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0.8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</row>
    <row r="32" spans="1:23" x14ac:dyDescent="0.15">
      <c r="A32">
        <v>31</v>
      </c>
      <c r="B32" s="198" t="s">
        <v>222</v>
      </c>
      <c r="C32">
        <v>0</v>
      </c>
      <c r="D32">
        <v>0.8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0.8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</row>
    <row r="33" spans="1:23" x14ac:dyDescent="0.15">
      <c r="A33">
        <v>32</v>
      </c>
      <c r="B33" s="198" t="s">
        <v>223</v>
      </c>
      <c r="C33">
        <v>0.8</v>
      </c>
      <c r="D33">
        <v>0</v>
      </c>
      <c r="E33">
        <v>0</v>
      </c>
      <c r="F33">
        <v>0.8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0.8</v>
      </c>
      <c r="R33">
        <v>0.8</v>
      </c>
      <c r="S33">
        <v>0</v>
      </c>
      <c r="T33">
        <v>0</v>
      </c>
      <c r="U33">
        <v>0</v>
      </c>
      <c r="V33">
        <v>0</v>
      </c>
      <c r="W33">
        <v>0</v>
      </c>
    </row>
    <row r="34" spans="1:23" x14ac:dyDescent="0.15">
      <c r="A34">
        <v>33</v>
      </c>
      <c r="B34" s="198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</row>
    <row r="35" spans="1:23" x14ac:dyDescent="0.15">
      <c r="A35">
        <v>34</v>
      </c>
      <c r="B35" s="198" t="s">
        <v>225</v>
      </c>
      <c r="C35">
        <v>0</v>
      </c>
      <c r="D35">
        <v>0.8</v>
      </c>
      <c r="E35">
        <v>0</v>
      </c>
      <c r="F35">
        <v>0.8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0.8</v>
      </c>
      <c r="R35">
        <v>0</v>
      </c>
      <c r="S35">
        <v>0</v>
      </c>
      <c r="T35">
        <v>0</v>
      </c>
      <c r="U35">
        <v>0</v>
      </c>
      <c r="V35">
        <v>0</v>
      </c>
      <c r="W35">
        <v>0.8</v>
      </c>
    </row>
    <row r="36" spans="1:23" x14ac:dyDescent="0.15">
      <c r="A36">
        <v>35</v>
      </c>
      <c r="B36" s="198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0.8</v>
      </c>
      <c r="U36">
        <v>0</v>
      </c>
      <c r="V36">
        <v>0</v>
      </c>
      <c r="W36">
        <v>0</v>
      </c>
    </row>
    <row r="37" spans="1:23" x14ac:dyDescent="0.15">
      <c r="A37">
        <v>36</v>
      </c>
      <c r="B37" s="198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0.8</v>
      </c>
      <c r="U37">
        <v>0</v>
      </c>
      <c r="V37">
        <v>0</v>
      </c>
      <c r="W37">
        <v>0</v>
      </c>
    </row>
    <row r="38" spans="1:23" x14ac:dyDescent="0.15">
      <c r="A38">
        <v>37</v>
      </c>
      <c r="B38" s="198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0.8</v>
      </c>
      <c r="U38">
        <v>0</v>
      </c>
      <c r="V38">
        <v>0</v>
      </c>
      <c r="W38">
        <v>0</v>
      </c>
    </row>
    <row r="39" spans="1:23" x14ac:dyDescent="0.15">
      <c r="A39">
        <v>38</v>
      </c>
      <c r="B39" s="198" t="s">
        <v>229</v>
      </c>
      <c r="C39">
        <v>0</v>
      </c>
      <c r="D39">
        <v>0.8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0.8</v>
      </c>
      <c r="U39">
        <v>0</v>
      </c>
      <c r="V39">
        <v>0</v>
      </c>
      <c r="W39">
        <v>0</v>
      </c>
    </row>
    <row r="40" spans="1:23" x14ac:dyDescent="0.15">
      <c r="A40">
        <v>39</v>
      </c>
      <c r="B40" s="198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15">
      <c r="A41">
        <v>40</v>
      </c>
      <c r="B41" s="198" t="s">
        <v>231</v>
      </c>
      <c r="C41">
        <v>0.8</v>
      </c>
      <c r="D41">
        <v>0.8</v>
      </c>
      <c r="E41">
        <v>0</v>
      </c>
      <c r="F41">
        <v>0.8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0.8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</row>
    <row r="42" spans="1:23" x14ac:dyDescent="0.15">
      <c r="A42">
        <v>41</v>
      </c>
      <c r="B42" s="198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0.8</v>
      </c>
      <c r="W42">
        <v>0</v>
      </c>
    </row>
    <row r="43" spans="1:23" x14ac:dyDescent="0.15">
      <c r="A43">
        <v>42</v>
      </c>
      <c r="B43" s="198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0.8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</v>
      </c>
      <c r="V43">
        <v>0</v>
      </c>
      <c r="W43">
        <v>0</v>
      </c>
    </row>
    <row r="44" spans="1:23" x14ac:dyDescent="0.15">
      <c r="A44">
        <v>43</v>
      </c>
      <c r="B44" s="198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</row>
    <row r="45" spans="1:23" x14ac:dyDescent="0.15">
      <c r="A45">
        <v>44</v>
      </c>
      <c r="B45" s="198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</row>
    <row r="46" spans="1:23" x14ac:dyDescent="0.15">
      <c r="A46">
        <v>45</v>
      </c>
      <c r="B46" s="198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</row>
    <row r="47" spans="1:23" x14ac:dyDescent="0.15">
      <c r="A47">
        <v>46</v>
      </c>
      <c r="B47" s="198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</row>
    <row r="48" spans="1:23" x14ac:dyDescent="0.15">
      <c r="A48">
        <v>47</v>
      </c>
      <c r="B48" s="198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0.8</v>
      </c>
      <c r="W48">
        <v>0</v>
      </c>
    </row>
    <row r="49" spans="1:23" x14ac:dyDescent="0.15">
      <c r="A49">
        <v>48</v>
      </c>
      <c r="B49" s="198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</row>
    <row r="50" spans="1:23" x14ac:dyDescent="0.15">
      <c r="A50">
        <v>49</v>
      </c>
      <c r="B50" s="198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0.8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0.8</v>
      </c>
    </row>
    <row r="51" spans="1:23" x14ac:dyDescent="0.15">
      <c r="A51">
        <v>50</v>
      </c>
      <c r="B51" s="198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0.8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0.8</v>
      </c>
    </row>
    <row r="52" spans="1:23" x14ac:dyDescent="0.15">
      <c r="A52">
        <v>51</v>
      </c>
      <c r="B52" s="198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0.8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0.8</v>
      </c>
    </row>
    <row r="53" spans="1:23" x14ac:dyDescent="0.15">
      <c r="A53">
        <v>52</v>
      </c>
      <c r="B53" s="198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0.8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</row>
    <row r="54" spans="1:23" x14ac:dyDescent="0.15">
      <c r="A54">
        <v>53</v>
      </c>
      <c r="B54" s="198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0.8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</row>
    <row r="55" spans="1:23" x14ac:dyDescent="0.15">
      <c r="A55">
        <v>54</v>
      </c>
      <c r="B55" s="198" t="s">
        <v>245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</row>
    <row r="56" spans="1:23" x14ac:dyDescent="0.15">
      <c r="A56">
        <v>55</v>
      </c>
      <c r="B56" s="198" t="s">
        <v>67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</row>
    <row r="57" spans="1:23" x14ac:dyDescent="0.15">
      <c r="A57">
        <v>56</v>
      </c>
      <c r="B57" s="198" t="s">
        <v>246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</row>
    <row r="58" spans="1:23" x14ac:dyDescent="0.15">
      <c r="A58">
        <v>57</v>
      </c>
      <c r="B58" s="198" t="s">
        <v>247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85"/>
    <col min="2" max="2" width="41.83203125" style="85" bestFit="1" customWidth="1"/>
    <col min="3" max="3" width="9.33203125" style="85" bestFit="1" customWidth="1"/>
    <col min="4" max="4" width="13" style="85" bestFit="1" customWidth="1"/>
    <col min="5" max="6" width="9.33203125" style="85" bestFit="1" customWidth="1"/>
    <col min="7" max="7" width="9.33203125" style="101" bestFit="1" customWidth="1"/>
    <col min="8" max="8" width="9.33203125" style="85" bestFit="1" customWidth="1"/>
    <col min="9" max="9" width="11" style="85" customWidth="1"/>
    <col min="10" max="10" width="8.83203125" style="85"/>
    <col min="15" max="16384" width="8.83203125" style="85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51">
        <v>1</v>
      </c>
      <c r="B2" s="151" t="s">
        <v>192</v>
      </c>
      <c r="C2" s="8">
        <v>3.7988693714141846</v>
      </c>
      <c r="D2" s="9">
        <v>2.3624595254659653E-2</v>
      </c>
      <c r="E2" s="9">
        <v>0.5</v>
      </c>
      <c r="F2" s="9">
        <v>4.5767941474914551</v>
      </c>
      <c r="G2" s="9">
        <v>0.85319900512695312</v>
      </c>
      <c r="H2" s="9">
        <v>0.10924677550792694</v>
      </c>
      <c r="I2">
        <v>3.1000000890344381E-3</v>
      </c>
      <c r="J2"/>
    </row>
    <row r="3" spans="1:10" ht="15" customHeight="1" x14ac:dyDescent="0.15">
      <c r="A3" s="152">
        <v>2</v>
      </c>
      <c r="B3" s="152" t="s">
        <v>193</v>
      </c>
      <c r="C3" s="8">
        <v>3.8417463302612305</v>
      </c>
      <c r="D3" s="9">
        <v>0.2800000011920929</v>
      </c>
      <c r="E3" s="9">
        <v>0.25</v>
      </c>
      <c r="F3" s="9">
        <v>2</v>
      </c>
      <c r="G3" s="9">
        <v>0.32904228568077087</v>
      </c>
      <c r="H3" s="9">
        <v>0.125</v>
      </c>
      <c r="I3">
        <v>1.2600000016391277E-2</v>
      </c>
      <c r="J3"/>
    </row>
    <row r="4" spans="1:10" ht="15" customHeight="1" x14ac:dyDescent="0.15">
      <c r="A4" s="153">
        <v>3</v>
      </c>
      <c r="B4" s="153" t="s">
        <v>194</v>
      </c>
      <c r="C4" s="8">
        <v>3.6633832454681396</v>
      </c>
      <c r="D4" s="9">
        <v>0.28193867206573486</v>
      </c>
      <c r="E4" s="9">
        <v>0.80000001192092896</v>
      </c>
      <c r="F4" s="9">
        <v>3.4217629432678223</v>
      </c>
      <c r="G4" s="9">
        <v>0.49940532445907593</v>
      </c>
      <c r="H4" s="9">
        <v>0.23379760980606079</v>
      </c>
      <c r="I4">
        <v>1.2000000569969416E-3</v>
      </c>
      <c r="J4"/>
    </row>
    <row r="5" spans="1:10" ht="15" customHeight="1" x14ac:dyDescent="0.15">
      <c r="A5" s="154">
        <v>4</v>
      </c>
      <c r="B5" s="154" t="s">
        <v>195</v>
      </c>
      <c r="C5" s="8">
        <v>3.6954700946807861</v>
      </c>
      <c r="D5" s="9">
        <v>0.47999998927116394</v>
      </c>
      <c r="E5" s="9">
        <v>0.6600000262260437</v>
      </c>
      <c r="F5" s="9">
        <v>1.7999999523162842</v>
      </c>
      <c r="G5" s="9">
        <v>0.46135795116424561</v>
      </c>
      <c r="H5" s="9">
        <v>0.36666670441627502</v>
      </c>
      <c r="I5">
        <v>5.4600000381469727E-2</v>
      </c>
      <c r="J5"/>
    </row>
    <row r="6" spans="1:10" ht="15" customHeight="1" x14ac:dyDescent="0.15">
      <c r="A6" s="155">
        <v>5</v>
      </c>
      <c r="B6" s="155" t="s">
        <v>196</v>
      </c>
      <c r="C6" s="8">
        <v>3.7493457794189453</v>
      </c>
      <c r="D6" s="9">
        <v>2.1970883011817932E-2</v>
      </c>
      <c r="E6" s="9">
        <v>0.5</v>
      </c>
      <c r="F6" s="9">
        <v>2.5504682064056396</v>
      </c>
      <c r="G6" s="9">
        <v>0.23303569853305817</v>
      </c>
      <c r="H6" s="9">
        <v>0.19604243338108063</v>
      </c>
      <c r="I6">
        <v>2.0000000949949026E-3</v>
      </c>
      <c r="J6"/>
    </row>
    <row r="7" spans="1:10" ht="15" customHeight="1" x14ac:dyDescent="0.15">
      <c r="A7" s="156">
        <v>6</v>
      </c>
      <c r="B7" s="156" t="s">
        <v>197</v>
      </c>
      <c r="C7" s="8">
        <v>4.0177464485168457</v>
      </c>
      <c r="D7" s="9">
        <v>0.17000000178813934</v>
      </c>
      <c r="E7" s="9">
        <v>0.30000001192092896</v>
      </c>
      <c r="F7" s="9">
        <v>1</v>
      </c>
      <c r="G7" s="9">
        <v>0.69019603729248047</v>
      </c>
      <c r="H7" s="9">
        <v>0.30000001192092896</v>
      </c>
      <c r="I7">
        <v>3.5199999809265137E-2</v>
      </c>
      <c r="J7"/>
    </row>
    <row r="8" spans="1:10" ht="15" customHeight="1" x14ac:dyDescent="0.15">
      <c r="A8" s="157">
        <v>7</v>
      </c>
      <c r="B8" s="157" t="s">
        <v>198</v>
      </c>
      <c r="C8" s="8">
        <v>3.8016207218170166</v>
      </c>
      <c r="D8" s="9">
        <v>3.3585164695978165E-2</v>
      </c>
      <c r="E8" s="9">
        <v>0.30000001192092896</v>
      </c>
      <c r="F8" s="9">
        <v>4.4128155708312988</v>
      </c>
      <c r="G8" s="9">
        <v>0.66908508539199829</v>
      </c>
      <c r="H8" s="9">
        <v>6.7983806133270264E-2</v>
      </c>
      <c r="I8">
        <v>3.5000001080334187E-3</v>
      </c>
      <c r="J8"/>
    </row>
    <row r="9" spans="1:10" ht="15" customHeight="1" x14ac:dyDescent="0.15">
      <c r="A9" s="158">
        <v>8</v>
      </c>
      <c r="B9" s="158" t="s">
        <v>199</v>
      </c>
      <c r="C9" s="8">
        <v>3.5635092258453369</v>
      </c>
      <c r="D9" s="9">
        <v>0.20280000567436218</v>
      </c>
      <c r="E9" s="9">
        <v>0.20000000298023224</v>
      </c>
      <c r="F9" s="9">
        <v>2.2000000476837158</v>
      </c>
      <c r="G9" s="9">
        <v>0.39663216471672058</v>
      </c>
      <c r="H9" s="9">
        <v>9.0909093618392944E-2</v>
      </c>
      <c r="I9">
        <v>7.1000000461935997E-3</v>
      </c>
      <c r="J9"/>
    </row>
    <row r="10" spans="1:10" ht="15" customHeight="1" x14ac:dyDescent="0.15">
      <c r="A10" s="159">
        <v>9</v>
      </c>
      <c r="B10" s="159" t="s">
        <v>200</v>
      </c>
      <c r="C10" s="8">
        <v>3.6380512714385986</v>
      </c>
      <c r="D10" s="9">
        <v>0.11327428370714188</v>
      </c>
      <c r="E10" s="9">
        <v>0.80000001192092896</v>
      </c>
      <c r="F10" s="9">
        <v>6.7148532867431641</v>
      </c>
      <c r="G10" s="9">
        <v>0.8012239933013916</v>
      </c>
      <c r="H10" s="9">
        <v>0.11913886666297913</v>
      </c>
      <c r="I10">
        <v>1.5999999595806003E-3</v>
      </c>
      <c r="J10"/>
    </row>
    <row r="11" spans="1:10" ht="15" customHeight="1" x14ac:dyDescent="0.15">
      <c r="A11" s="160">
        <v>10</v>
      </c>
      <c r="B11" s="160" t="s">
        <v>201</v>
      </c>
      <c r="C11" s="8">
        <v>3.5174832344055176</v>
      </c>
      <c r="D11" s="9">
        <v>3.2683000564575195</v>
      </c>
      <c r="E11" s="9">
        <v>0.40000000596046448</v>
      </c>
      <c r="F11" s="9">
        <v>2</v>
      </c>
      <c r="G11" s="9">
        <v>0.71494072675704956</v>
      </c>
      <c r="H11" s="9">
        <v>0.20000000298023224</v>
      </c>
      <c r="I11">
        <v>0.12459999322891235</v>
      </c>
      <c r="J11"/>
    </row>
    <row r="12" spans="1:10" ht="15" customHeight="1" x14ac:dyDescent="0.15">
      <c r="A12" s="161">
        <v>11</v>
      </c>
      <c r="B12" s="161" t="s">
        <v>202</v>
      </c>
      <c r="C12" s="8">
        <v>3.3416998386383057</v>
      </c>
      <c r="D12" s="9">
        <v>0.27603909373283386</v>
      </c>
      <c r="E12" s="9">
        <v>0.80000001192092896</v>
      </c>
      <c r="F12" s="9">
        <v>7.2990708351135254</v>
      </c>
      <c r="G12" s="9">
        <v>0.85302579402923584</v>
      </c>
      <c r="H12" s="9">
        <v>0.10960299521684647</v>
      </c>
      <c r="I12">
        <v>0</v>
      </c>
      <c r="J12"/>
    </row>
    <row r="13" spans="1:10" ht="15" customHeight="1" x14ac:dyDescent="0.15">
      <c r="A13" s="162">
        <v>12</v>
      </c>
      <c r="B13" s="162" t="s">
        <v>203</v>
      </c>
      <c r="C13" s="8">
        <v>3.2778260707855225</v>
      </c>
      <c r="D13" s="9">
        <v>0.44999998807907104</v>
      </c>
      <c r="E13" s="9">
        <v>0.64999997615814209</v>
      </c>
      <c r="F13" s="9">
        <v>4.4000000953674316</v>
      </c>
      <c r="G13" s="9">
        <v>0.85826140642166138</v>
      </c>
      <c r="H13" s="9">
        <v>0.14772726595401764</v>
      </c>
      <c r="I13">
        <v>0.14589999616146088</v>
      </c>
      <c r="J13"/>
    </row>
    <row r="14" spans="1:10" ht="15" customHeight="1" x14ac:dyDescent="0.15">
      <c r="A14" s="163">
        <v>13</v>
      </c>
      <c r="B14" s="163" t="s">
        <v>204</v>
      </c>
      <c r="C14" s="8">
        <v>4.3309130668640137</v>
      </c>
      <c r="D14" s="9">
        <v>1.0999999940395355E-3</v>
      </c>
      <c r="E14" s="9">
        <v>0.11599999666213989</v>
      </c>
      <c r="F14" s="9">
        <v>170</v>
      </c>
      <c r="G14" s="7">
        <v>0</v>
      </c>
      <c r="H14" s="9">
        <v>6.8235292565077543E-4</v>
      </c>
      <c r="I14">
        <v>0</v>
      </c>
      <c r="J14"/>
    </row>
    <row r="15" spans="1:10" ht="15" customHeight="1" x14ac:dyDescent="0.15">
      <c r="A15" s="164">
        <v>14</v>
      </c>
      <c r="B15" s="164" t="s">
        <v>205</v>
      </c>
      <c r="C15" s="8">
        <v>4.4025096893310547</v>
      </c>
      <c r="D15" s="9">
        <v>2.79999990016222E-3</v>
      </c>
      <c r="E15" s="9">
        <v>6.3000001013278961E-2</v>
      </c>
      <c r="F15" s="9">
        <v>148</v>
      </c>
      <c r="G15" s="7">
        <v>0</v>
      </c>
      <c r="H15" s="9">
        <v>4.2567568016238511E-4</v>
      </c>
      <c r="I15">
        <v>0</v>
      </c>
      <c r="J15"/>
    </row>
    <row r="16" spans="1:10" ht="15" customHeight="1" x14ac:dyDescent="0.15">
      <c r="A16" s="165">
        <v>15</v>
      </c>
      <c r="B16" s="165" t="s">
        <v>206</v>
      </c>
      <c r="C16" s="8">
        <v>3.5041768550872803</v>
      </c>
      <c r="D16" s="9">
        <v>3.0000001424923539E-4</v>
      </c>
      <c r="E16" s="9">
        <v>0.17399999499320984</v>
      </c>
      <c r="F16" s="9">
        <v>251</v>
      </c>
      <c r="G16" s="7">
        <v>0</v>
      </c>
      <c r="H16" s="9">
        <v>6.9322704803198576E-4</v>
      </c>
      <c r="I16">
        <v>0</v>
      </c>
      <c r="J16"/>
    </row>
    <row r="17" spans="1:10" ht="15" customHeight="1" x14ac:dyDescent="0.15">
      <c r="A17" s="166">
        <v>16</v>
      </c>
      <c r="B17" s="166" t="s">
        <v>207</v>
      </c>
      <c r="C17" s="8">
        <v>4.7531552314758301</v>
      </c>
      <c r="D17" s="9">
        <v>3.5999998450279236E-2</v>
      </c>
      <c r="E17" s="9">
        <v>2.9999999329447746E-2</v>
      </c>
      <c r="F17" s="9">
        <v>13.100000381469727</v>
      </c>
      <c r="G17" s="7">
        <v>0</v>
      </c>
      <c r="H17" s="9">
        <v>2.2900761105120182E-3</v>
      </c>
      <c r="I17">
        <v>0</v>
      </c>
      <c r="J17"/>
    </row>
    <row r="18" spans="1:10" ht="15" customHeight="1" x14ac:dyDescent="0.15">
      <c r="A18" s="167">
        <v>17</v>
      </c>
      <c r="B18" s="167" t="s">
        <v>208</v>
      </c>
      <c r="C18" s="8">
        <v>3.4159936904907227</v>
      </c>
      <c r="D18" s="9">
        <v>0.1550000011920929</v>
      </c>
      <c r="E18" s="9">
        <v>1.9999999552965164E-2</v>
      </c>
      <c r="F18" s="9">
        <v>13.369999885559082</v>
      </c>
      <c r="G18" s="9">
        <v>1.521290373057127E-2</v>
      </c>
      <c r="H18" s="9">
        <v>1.4958862448111176E-3</v>
      </c>
      <c r="I18">
        <v>0</v>
      </c>
      <c r="J18"/>
    </row>
    <row r="19" spans="1:10" ht="15" customHeight="1" x14ac:dyDescent="0.15">
      <c r="A19" s="168">
        <v>18</v>
      </c>
      <c r="B19" s="168" t="s">
        <v>209</v>
      </c>
      <c r="C19" s="8">
        <v>4.6150341033935547</v>
      </c>
      <c r="D19" s="9">
        <v>0.17399999499320984</v>
      </c>
      <c r="E19" s="9">
        <v>5.9999998658895493E-2</v>
      </c>
      <c r="F19" s="9">
        <v>12.699999809265137</v>
      </c>
      <c r="G19" s="9">
        <v>0.90344834327697754</v>
      </c>
      <c r="H19" s="9">
        <v>4.724409431219101E-3</v>
      </c>
      <c r="I19">
        <v>0</v>
      </c>
      <c r="J19"/>
    </row>
    <row r="20" spans="1:10" ht="15" customHeight="1" x14ac:dyDescent="0.15">
      <c r="A20" s="169">
        <v>19</v>
      </c>
      <c r="B20" s="169" t="s">
        <v>210</v>
      </c>
      <c r="C20" s="8">
        <v>4.7964262962341309</v>
      </c>
      <c r="D20" s="9">
        <v>1.0000000474974513E-3</v>
      </c>
      <c r="E20" s="9">
        <v>0.15999999642372131</v>
      </c>
      <c r="F20" s="9">
        <v>15.949999809265137</v>
      </c>
      <c r="G20" s="9">
        <v>0.29475000500679016</v>
      </c>
      <c r="H20" s="9">
        <v>1.0031348094344139E-2</v>
      </c>
      <c r="I20">
        <v>0</v>
      </c>
      <c r="J20"/>
    </row>
    <row r="21" spans="1:10" ht="15" customHeight="1" x14ac:dyDescent="0.15">
      <c r="A21" s="170">
        <v>20</v>
      </c>
      <c r="B21" s="170" t="s">
        <v>211</v>
      </c>
      <c r="C21" s="8">
        <v>4.9652729034423828</v>
      </c>
      <c r="D21" s="9">
        <v>1.9999999552965164E-2</v>
      </c>
      <c r="E21" s="9">
        <v>0.20000000298023224</v>
      </c>
      <c r="F21" s="9">
        <v>1.2000000476837158</v>
      </c>
      <c r="G21" s="7">
        <v>0</v>
      </c>
      <c r="H21" s="9">
        <v>0.1666666567325592</v>
      </c>
      <c r="I21">
        <v>0</v>
      </c>
      <c r="J21"/>
    </row>
    <row r="22" spans="1:10" ht="15" customHeight="1" x14ac:dyDescent="0.15">
      <c r="A22" s="171">
        <v>21</v>
      </c>
      <c r="B22" s="171" t="s">
        <v>212</v>
      </c>
      <c r="C22" s="8">
        <v>4.8479065895080566</v>
      </c>
      <c r="D22" s="9">
        <v>2.9999999329447746E-2</v>
      </c>
      <c r="E22" s="9">
        <v>0.14000000059604645</v>
      </c>
      <c r="F22" s="9">
        <v>1</v>
      </c>
      <c r="G22" s="7">
        <v>0</v>
      </c>
      <c r="H22" s="9">
        <v>0.14000000059604645</v>
      </c>
      <c r="I22">
        <v>0</v>
      </c>
      <c r="J22"/>
    </row>
    <row r="23" spans="1:10" ht="15" customHeight="1" x14ac:dyDescent="0.15">
      <c r="A23" s="172">
        <v>22</v>
      </c>
      <c r="B23" s="172" t="s">
        <v>213</v>
      </c>
      <c r="C23" s="8">
        <v>3.9291079044342041</v>
      </c>
      <c r="D23" s="9">
        <v>1.2999999523162842</v>
      </c>
      <c r="E23" s="9">
        <v>0.10000000149011612</v>
      </c>
      <c r="F23" s="9">
        <v>2.7000000476837158</v>
      </c>
      <c r="G23" s="9">
        <v>0.7074769139289856</v>
      </c>
      <c r="H23" s="9">
        <v>3.7037037312984467E-2</v>
      </c>
      <c r="I23">
        <v>6.759999692440033E-2</v>
      </c>
      <c r="J23"/>
    </row>
    <row r="24" spans="1:10" ht="15" customHeight="1" x14ac:dyDescent="0.15">
      <c r="A24" s="173">
        <v>23</v>
      </c>
      <c r="B24" s="173" t="s">
        <v>214</v>
      </c>
      <c r="C24" s="8">
        <v>3.3482596874237061</v>
      </c>
      <c r="D24" s="9">
        <v>0.83500003814697266</v>
      </c>
      <c r="E24" s="9">
        <v>0.30000001192092896</v>
      </c>
      <c r="F24" s="9">
        <v>1.3197604417800903</v>
      </c>
      <c r="G24" s="9">
        <v>0.88209974765777588</v>
      </c>
      <c r="H24" s="9">
        <v>0.22731399536132812</v>
      </c>
      <c r="I24">
        <v>0.10249999910593033</v>
      </c>
      <c r="J24"/>
    </row>
    <row r="25" spans="1:10" ht="15" customHeight="1" x14ac:dyDescent="0.15">
      <c r="A25" s="174">
        <v>24</v>
      </c>
      <c r="B25" s="174" t="s">
        <v>215</v>
      </c>
      <c r="C25" s="8">
        <v>3.9038095474243164</v>
      </c>
      <c r="D25" s="9">
        <v>0.20000000298023224</v>
      </c>
      <c r="E25" s="9">
        <v>1.3999999761581421</v>
      </c>
      <c r="F25" s="9">
        <v>8.8999996185302734</v>
      </c>
      <c r="G25" s="9">
        <v>0.67556089162826538</v>
      </c>
      <c r="H25" s="9">
        <v>0.15730337798595428</v>
      </c>
      <c r="I25">
        <v>6.3699997961521149E-2</v>
      </c>
      <c r="J25"/>
    </row>
    <row r="26" spans="1:10" ht="15" customHeight="1" x14ac:dyDescent="0.15">
      <c r="A26" s="175">
        <v>25</v>
      </c>
      <c r="B26" s="175" t="s">
        <v>216</v>
      </c>
      <c r="C26" s="8">
        <v>3.832111120223999</v>
      </c>
      <c r="D26" s="9">
        <v>0.40000000596046448</v>
      </c>
      <c r="E26" s="9">
        <v>1</v>
      </c>
      <c r="F26" s="9">
        <v>7</v>
      </c>
      <c r="G26" s="9">
        <v>0.48769634962081909</v>
      </c>
      <c r="H26" s="9">
        <v>0.1428571492433548</v>
      </c>
      <c r="I26">
        <v>6.2199998646974564E-2</v>
      </c>
      <c r="J26"/>
    </row>
    <row r="27" spans="1:10" ht="15" customHeight="1" x14ac:dyDescent="0.15">
      <c r="A27" s="176">
        <v>26</v>
      </c>
      <c r="B27" s="176" t="s">
        <v>217</v>
      </c>
      <c r="C27" s="8">
        <v>4.1334619522094727</v>
      </c>
      <c r="D27" s="9">
        <v>0.20000000298023224</v>
      </c>
      <c r="E27" s="9">
        <v>1.2699999809265137</v>
      </c>
      <c r="F27" s="9">
        <v>8.3999996185302734</v>
      </c>
      <c r="G27" s="9">
        <v>0.67863231897354126</v>
      </c>
      <c r="H27" s="9">
        <v>0.15119047462940216</v>
      </c>
      <c r="I27">
        <v>6.6899999976158142E-2</v>
      </c>
      <c r="J27"/>
    </row>
    <row r="28" spans="1:10" ht="15" customHeight="1" x14ac:dyDescent="0.15">
      <c r="A28" s="177">
        <v>27</v>
      </c>
      <c r="B28" s="177" t="s">
        <v>218</v>
      </c>
      <c r="C28" s="8">
        <v>4.2971549034118652</v>
      </c>
      <c r="D28" s="9">
        <v>0.25</v>
      </c>
      <c r="E28" s="9">
        <v>1.1000000238418579</v>
      </c>
      <c r="F28" s="9">
        <v>7.6999998092651367</v>
      </c>
      <c r="G28" s="9">
        <v>0.52796733379364014</v>
      </c>
      <c r="H28" s="9">
        <v>0.1428571492433548</v>
      </c>
      <c r="I28">
        <v>2.4999998509883881E-2</v>
      </c>
      <c r="J28"/>
    </row>
    <row r="29" spans="1:10" ht="15" customHeight="1" x14ac:dyDescent="0.15">
      <c r="A29" s="178">
        <v>28</v>
      </c>
      <c r="B29" s="178" t="s">
        <v>219</v>
      </c>
      <c r="C29" s="8">
        <v>4.22320556640625</v>
      </c>
      <c r="D29" s="9">
        <v>0.38999998569488525</v>
      </c>
      <c r="E29" s="9">
        <v>0.74000000953674316</v>
      </c>
      <c r="F29" s="9">
        <v>5</v>
      </c>
      <c r="G29" s="9">
        <v>0.5409390926361084</v>
      </c>
      <c r="H29" s="9">
        <v>0.14800000190734863</v>
      </c>
      <c r="I29">
        <v>3.7699997425079346E-2</v>
      </c>
      <c r="J29"/>
    </row>
    <row r="30" spans="1:10" ht="15" customHeight="1" x14ac:dyDescent="0.15">
      <c r="A30" s="179">
        <v>29</v>
      </c>
      <c r="B30" s="179" t="s">
        <v>220</v>
      </c>
      <c r="C30" s="8">
        <v>3.3773715496063232</v>
      </c>
      <c r="D30" s="9">
        <v>1.2999999523162842</v>
      </c>
      <c r="E30" s="9">
        <v>0.10000000149011612</v>
      </c>
      <c r="F30" s="9">
        <v>2.4000000953674316</v>
      </c>
      <c r="G30" s="9">
        <v>0.51421350240707397</v>
      </c>
      <c r="H30" s="9">
        <v>4.1666664183139801E-2</v>
      </c>
      <c r="I30">
        <v>4.4100001454353333E-2</v>
      </c>
      <c r="J30"/>
    </row>
    <row r="31" spans="1:10" ht="15" customHeight="1" x14ac:dyDescent="0.15">
      <c r="A31" s="180">
        <v>30</v>
      </c>
      <c r="B31" s="180" t="s">
        <v>221</v>
      </c>
      <c r="C31" s="8">
        <v>3.1682069301605225</v>
      </c>
      <c r="D31" s="9">
        <v>0.15800000727176666</v>
      </c>
      <c r="E31" s="9">
        <v>0.15000000596046448</v>
      </c>
      <c r="F31" s="9">
        <v>2.5999999046325684</v>
      </c>
      <c r="G31" s="9">
        <v>0.30311179161071777</v>
      </c>
      <c r="H31" s="9">
        <v>5.7692311704158783E-2</v>
      </c>
      <c r="I31">
        <v>2.6000000070780516E-3</v>
      </c>
      <c r="J31"/>
    </row>
    <row r="32" spans="1:10" ht="15" customHeight="1" x14ac:dyDescent="0.15">
      <c r="A32" s="208">
        <v>31</v>
      </c>
      <c r="B32" s="208" t="s">
        <v>222</v>
      </c>
      <c r="C32" s="8">
        <v>3.5477871894836426</v>
      </c>
      <c r="D32" s="9">
        <v>1</v>
      </c>
      <c r="E32" s="9">
        <v>0.18000000715255737</v>
      </c>
      <c r="F32" s="9">
        <v>2.5999999046325684</v>
      </c>
      <c r="G32" s="9">
        <v>0.85263389348983765</v>
      </c>
      <c r="H32" s="9">
        <v>6.923077255487442E-2</v>
      </c>
      <c r="I32">
        <v>0.11840000003576279</v>
      </c>
      <c r="J32"/>
    </row>
    <row r="33" spans="1:10" ht="15" customHeight="1" x14ac:dyDescent="0.15">
      <c r="A33" s="209">
        <v>32</v>
      </c>
      <c r="B33" s="209" t="s">
        <v>223</v>
      </c>
      <c r="C33" s="8">
        <v>3.3373954296112061</v>
      </c>
      <c r="D33" s="9">
        <v>9.3000002205371857E-2</v>
      </c>
      <c r="E33" s="9">
        <v>0.5</v>
      </c>
      <c r="F33" s="9">
        <v>2.4000000953674316</v>
      </c>
      <c r="G33" s="9">
        <v>0.79522794485092163</v>
      </c>
      <c r="H33" s="9">
        <v>0.2083333283662796</v>
      </c>
      <c r="I33">
        <v>2.5399999693036079E-2</v>
      </c>
      <c r="J33"/>
    </row>
    <row r="34" spans="1:10" ht="15" customHeight="1" x14ac:dyDescent="0.15">
      <c r="A34" s="210">
        <v>33</v>
      </c>
      <c r="B34" s="210" t="s">
        <v>224</v>
      </c>
      <c r="C34" s="8">
        <v>3.5536222457885742</v>
      </c>
      <c r="D34" s="9">
        <v>0.26899999380111694</v>
      </c>
      <c r="E34" s="9">
        <v>0.60000002384185791</v>
      </c>
      <c r="F34" s="9">
        <v>3</v>
      </c>
      <c r="G34" s="9">
        <v>0.39633211493492126</v>
      </c>
      <c r="H34" s="9">
        <v>0.20000000298023224</v>
      </c>
      <c r="I34">
        <v>0</v>
      </c>
      <c r="J34"/>
    </row>
    <row r="35" spans="1:10" ht="15" customHeight="1" x14ac:dyDescent="0.15">
      <c r="A35" s="211">
        <v>34</v>
      </c>
      <c r="B35" s="211" t="s">
        <v>225</v>
      </c>
      <c r="C35" s="8">
        <v>4.4022297859191895</v>
      </c>
      <c r="D35" s="9">
        <v>0.36300000548362732</v>
      </c>
      <c r="E35" s="9">
        <v>0.24000000953674316</v>
      </c>
      <c r="F35" s="9">
        <v>2.4000000953674316</v>
      </c>
      <c r="G35" s="9">
        <v>0.35697886347770691</v>
      </c>
      <c r="H35" s="9">
        <v>0.10000000149011612</v>
      </c>
      <c r="I35">
        <v>3.1100001186132431E-2</v>
      </c>
      <c r="J35"/>
    </row>
    <row r="36" spans="1:10" ht="15" customHeight="1" x14ac:dyDescent="0.15">
      <c r="A36" s="212">
        <v>35</v>
      </c>
      <c r="B36" s="212" t="s">
        <v>226</v>
      </c>
      <c r="C36" s="8">
        <v>3.3720426559448242</v>
      </c>
      <c r="D36" s="9">
        <v>0.50499999523162842</v>
      </c>
      <c r="E36" s="9">
        <v>0.18999999761581421</v>
      </c>
      <c r="F36" s="9">
        <v>2.4000000953674316</v>
      </c>
      <c r="G36" s="9">
        <v>0.74155294895172119</v>
      </c>
      <c r="H36" s="9">
        <v>7.916666567325592E-2</v>
      </c>
      <c r="I36">
        <v>4.0300000458955765E-2</v>
      </c>
      <c r="J36"/>
    </row>
    <row r="37" spans="1:10" ht="15" customHeight="1" x14ac:dyDescent="0.15">
      <c r="A37" s="213">
        <v>36</v>
      </c>
      <c r="B37" s="213" t="s">
        <v>227</v>
      </c>
      <c r="C37" s="8">
        <v>3.4038128852844238</v>
      </c>
      <c r="D37" s="9">
        <v>0.57200002670288086</v>
      </c>
      <c r="E37" s="9">
        <v>0.2199999988079071</v>
      </c>
      <c r="F37" s="9">
        <v>2.2999999523162842</v>
      </c>
      <c r="G37" s="9">
        <v>0.76776069402694702</v>
      </c>
      <c r="H37" s="9">
        <v>9.5652177929878235E-2</v>
      </c>
      <c r="I37">
        <v>5.2999998442828655E-3</v>
      </c>
      <c r="J37"/>
    </row>
    <row r="38" spans="1:10" ht="15" customHeight="1" x14ac:dyDescent="0.15">
      <c r="A38" s="214">
        <v>37</v>
      </c>
      <c r="B38" s="214" t="s">
        <v>228</v>
      </c>
      <c r="C38" s="8">
        <v>3.2289345264434814</v>
      </c>
      <c r="D38" s="9">
        <v>0.460999995470047</v>
      </c>
      <c r="E38" s="9">
        <v>0.25</v>
      </c>
      <c r="F38" s="9">
        <v>2</v>
      </c>
      <c r="G38" s="9">
        <v>0.74826902151107788</v>
      </c>
      <c r="H38" s="9">
        <v>0.125</v>
      </c>
      <c r="I38">
        <v>1.7999999690800905E-3</v>
      </c>
      <c r="J38"/>
    </row>
    <row r="39" spans="1:10" ht="15" customHeight="1" x14ac:dyDescent="0.15">
      <c r="A39" s="215">
        <v>38</v>
      </c>
      <c r="B39" s="215" t="s">
        <v>229</v>
      </c>
      <c r="C39" s="8">
        <v>3.4053864479064941</v>
      </c>
      <c r="D39" s="9">
        <v>1.2999999523162842</v>
      </c>
      <c r="E39" s="9">
        <v>0.60000002384185791</v>
      </c>
      <c r="F39" s="9">
        <v>3</v>
      </c>
      <c r="G39" s="9">
        <v>0.91160035133361816</v>
      </c>
      <c r="H39" s="9">
        <v>0.20000000298023224</v>
      </c>
      <c r="I39">
        <v>4.4999998062849045E-2</v>
      </c>
      <c r="J39"/>
    </row>
    <row r="40" spans="1:10" ht="15" customHeight="1" x14ac:dyDescent="0.15">
      <c r="A40" s="216">
        <v>39</v>
      </c>
      <c r="B40" s="216" t="s">
        <v>230</v>
      </c>
      <c r="C40" s="8">
        <v>3.2841565608978271</v>
      </c>
      <c r="D40" s="9">
        <v>4.5</v>
      </c>
      <c r="E40" s="9">
        <v>0.5</v>
      </c>
      <c r="F40" s="9">
        <v>6.8000001907348633</v>
      </c>
      <c r="G40" s="9">
        <v>0.65962111949920654</v>
      </c>
      <c r="H40" s="9">
        <v>7.3529407382011414E-2</v>
      </c>
      <c r="I40">
        <v>0</v>
      </c>
      <c r="J40"/>
    </row>
    <row r="41" spans="1:10" ht="15" customHeight="1" x14ac:dyDescent="0.15">
      <c r="A41" s="217">
        <v>40</v>
      </c>
      <c r="B41" s="217" t="s">
        <v>231</v>
      </c>
      <c r="C41" s="8">
        <v>3.6005575656890869</v>
      </c>
      <c r="D41" s="9">
        <v>7</v>
      </c>
      <c r="E41" s="9">
        <v>1.5768001079559326</v>
      </c>
      <c r="F41" s="9">
        <v>5.2560000419616699</v>
      </c>
      <c r="G41" s="9">
        <v>0.61283719539642334</v>
      </c>
      <c r="H41" s="9">
        <v>0.30000001192092896</v>
      </c>
      <c r="I41">
        <v>4.8000000417232513E-2</v>
      </c>
      <c r="J41"/>
    </row>
    <row r="42" spans="1:10" ht="15" customHeight="1" x14ac:dyDescent="0.15">
      <c r="A42" s="218">
        <v>41</v>
      </c>
      <c r="B42" s="218" t="s">
        <v>232</v>
      </c>
      <c r="C42" s="8">
        <v>4.4880671501159668</v>
      </c>
      <c r="D42" s="9">
        <v>0.20999999344348907</v>
      </c>
      <c r="E42" s="9">
        <v>0.44999998807907104</v>
      </c>
      <c r="F42" s="9">
        <v>6.5999999046325684</v>
      </c>
      <c r="G42" s="9">
        <v>0.47610053420066833</v>
      </c>
      <c r="H42" s="9">
        <v>6.8181820213794708E-2</v>
      </c>
      <c r="I42">
        <v>2.79000005684793E-3</v>
      </c>
      <c r="J42"/>
    </row>
    <row r="43" spans="1:10" ht="15" customHeight="1" x14ac:dyDescent="0.15">
      <c r="A43" s="219">
        <v>42</v>
      </c>
      <c r="B43" s="219" t="s">
        <v>233</v>
      </c>
      <c r="C43" s="8">
        <v>3.5559952259063721</v>
      </c>
      <c r="D43" s="9">
        <v>7.8371357917785645</v>
      </c>
      <c r="E43" s="9">
        <v>2.2999999523162842</v>
      </c>
      <c r="F43" s="9">
        <v>7.6666660308837891</v>
      </c>
      <c r="G43" s="9">
        <v>0.94999998807907104</v>
      </c>
      <c r="H43" s="9">
        <v>0.30000001192092896</v>
      </c>
      <c r="I43">
        <v>4.9700001254677773E-3</v>
      </c>
      <c r="J43"/>
    </row>
    <row r="44" spans="1:10" ht="15" customHeight="1" x14ac:dyDescent="0.15">
      <c r="A44" s="220">
        <v>43</v>
      </c>
      <c r="B44" s="220" t="s">
        <v>234</v>
      </c>
      <c r="C44" s="8">
        <v>2.1251647472381592</v>
      </c>
      <c r="D44" s="9">
        <v>18</v>
      </c>
      <c r="E44" s="9">
        <v>6</v>
      </c>
      <c r="F44" s="9">
        <v>24.799999237060547</v>
      </c>
      <c r="G44" s="9">
        <v>0.90362101793289185</v>
      </c>
      <c r="H44" s="9">
        <v>0.24193549156188965</v>
      </c>
      <c r="I44">
        <v>0</v>
      </c>
      <c r="J44"/>
    </row>
    <row r="45" spans="1:10" ht="15" customHeight="1" x14ac:dyDescent="0.15">
      <c r="A45" s="221">
        <v>44</v>
      </c>
      <c r="B45" s="221" t="s">
        <v>235</v>
      </c>
      <c r="C45" s="8">
        <v>3.0065877437591553</v>
      </c>
      <c r="D45" s="9">
        <v>25</v>
      </c>
      <c r="E45" s="9">
        <v>7</v>
      </c>
      <c r="F45" s="9">
        <v>20</v>
      </c>
      <c r="G45" s="9">
        <v>0.91887688636779785</v>
      </c>
      <c r="H45" s="9">
        <v>0.34999999403953552</v>
      </c>
      <c r="I45">
        <v>0</v>
      </c>
      <c r="J45"/>
    </row>
    <row r="46" spans="1:10" ht="15" customHeight="1" x14ac:dyDescent="0.15">
      <c r="A46" s="222">
        <v>45</v>
      </c>
      <c r="B46" s="222" t="s">
        <v>236</v>
      </c>
      <c r="C46" s="8">
        <v>2</v>
      </c>
      <c r="D46" s="9">
        <v>25</v>
      </c>
      <c r="E46" s="9">
        <v>27</v>
      </c>
      <c r="F46" s="9">
        <v>80</v>
      </c>
      <c r="G46" s="9">
        <v>0.82984691858291626</v>
      </c>
      <c r="H46" s="9">
        <v>0.33750000596046448</v>
      </c>
      <c r="I46">
        <v>0</v>
      </c>
      <c r="J46"/>
    </row>
    <row r="47" spans="1:10" ht="15" customHeight="1" x14ac:dyDescent="0.15">
      <c r="A47" s="223">
        <v>46</v>
      </c>
      <c r="B47" s="223" t="s">
        <v>237</v>
      </c>
      <c r="C47" s="8">
        <v>3.2075724601745605</v>
      </c>
      <c r="D47" s="9">
        <v>12.5</v>
      </c>
      <c r="E47" s="9">
        <v>9.6000003814697266</v>
      </c>
      <c r="F47" s="9">
        <v>13</v>
      </c>
      <c r="G47" s="9">
        <v>7.3262959718704224E-2</v>
      </c>
      <c r="H47" s="9">
        <v>0.73846155405044556</v>
      </c>
      <c r="I47">
        <v>0</v>
      </c>
      <c r="J47"/>
    </row>
    <row r="48" spans="1:10" ht="15" customHeight="1" x14ac:dyDescent="0.15">
      <c r="A48" s="224">
        <v>47</v>
      </c>
      <c r="B48" s="224" t="s">
        <v>238</v>
      </c>
      <c r="C48" s="8">
        <v>4.1644992828369141</v>
      </c>
      <c r="D48" s="9">
        <v>0.5</v>
      </c>
      <c r="E48" s="9">
        <v>2.5999999046325684</v>
      </c>
      <c r="F48" s="9">
        <v>6.4000000953674316</v>
      </c>
      <c r="G48" s="9">
        <v>0.14863012731075287</v>
      </c>
      <c r="H48" s="9">
        <v>0.40624997019767761</v>
      </c>
      <c r="I48">
        <v>1.0000000474974513E-3</v>
      </c>
      <c r="J48"/>
    </row>
    <row r="49" spans="1:10" ht="15" customHeight="1" x14ac:dyDescent="0.15">
      <c r="A49" s="225">
        <v>48</v>
      </c>
      <c r="B49" s="225" t="s">
        <v>239</v>
      </c>
      <c r="C49" s="8">
        <v>3.5623743534088135</v>
      </c>
      <c r="D49" s="9">
        <v>2.7186963558197021</v>
      </c>
      <c r="E49" s="9">
        <v>3</v>
      </c>
      <c r="F49" s="9">
        <v>15</v>
      </c>
      <c r="G49" s="9">
        <v>0.89999997615814209</v>
      </c>
      <c r="H49" s="9">
        <v>0.20000000298023224</v>
      </c>
      <c r="I49">
        <v>0</v>
      </c>
      <c r="J49"/>
    </row>
    <row r="50" spans="1:10" ht="15" customHeight="1" x14ac:dyDescent="0.15">
      <c r="A50" s="226">
        <v>49</v>
      </c>
      <c r="B50" s="226" t="s">
        <v>240</v>
      </c>
      <c r="C50" s="8">
        <v>3.0329382419586182</v>
      </c>
      <c r="D50" s="9">
        <v>5.6500000953674316</v>
      </c>
      <c r="E50" s="9">
        <v>1.2000000476837158</v>
      </c>
      <c r="F50" s="9">
        <v>9.6669998168945312</v>
      </c>
      <c r="G50" s="9">
        <v>0.88165611028671265</v>
      </c>
      <c r="H50" s="9">
        <v>0.12413366138935089</v>
      </c>
      <c r="I50">
        <v>3.8999997079372406E-2</v>
      </c>
      <c r="J50"/>
    </row>
    <row r="51" spans="1:10" ht="15" customHeight="1" x14ac:dyDescent="0.15">
      <c r="A51" s="227">
        <v>50</v>
      </c>
      <c r="B51" s="227" t="s">
        <v>241</v>
      </c>
      <c r="C51" s="8">
        <v>2.8243443965911865</v>
      </c>
      <c r="D51" s="9">
        <v>3.7999999523162842</v>
      </c>
      <c r="E51" s="9">
        <v>1.5</v>
      </c>
      <c r="F51" s="9">
        <v>3.5</v>
      </c>
      <c r="G51" s="9">
        <v>0.74140769243240356</v>
      </c>
      <c r="H51" s="9">
        <v>0.4285714328289032</v>
      </c>
      <c r="I51">
        <v>3.880000114440918E-2</v>
      </c>
      <c r="J51"/>
    </row>
    <row r="52" spans="1:10" ht="15" customHeight="1" x14ac:dyDescent="0.15">
      <c r="A52" s="228">
        <v>51</v>
      </c>
      <c r="B52" s="228" t="s">
        <v>242</v>
      </c>
      <c r="C52" s="8">
        <v>2.2506587505340576</v>
      </c>
      <c r="D52" s="9">
        <v>7.6999998092651367</v>
      </c>
      <c r="E52" s="9">
        <v>0.89999997615814209</v>
      </c>
      <c r="F52" s="9">
        <v>4.5</v>
      </c>
      <c r="G52" s="9">
        <v>0.38871249556541443</v>
      </c>
      <c r="H52" s="9">
        <v>0.19999998807907104</v>
      </c>
      <c r="I52">
        <v>2.8999999165534973E-2</v>
      </c>
      <c r="J52"/>
    </row>
    <row r="53" spans="1:10" ht="15" customHeight="1" x14ac:dyDescent="0.15">
      <c r="A53" s="229">
        <v>52</v>
      </c>
      <c r="B53" s="229" t="s">
        <v>243</v>
      </c>
      <c r="C53" s="8">
        <v>2.7516031265258789</v>
      </c>
      <c r="D53" s="9">
        <v>14.800000190734863</v>
      </c>
      <c r="E53" s="9">
        <v>0.30000001192092896</v>
      </c>
      <c r="F53" s="9">
        <v>1.2000000476837158</v>
      </c>
      <c r="G53" s="9">
        <v>0.67044776678085327</v>
      </c>
      <c r="H53" s="9">
        <v>0.25</v>
      </c>
      <c r="I53">
        <v>3.9999999105930328E-2</v>
      </c>
      <c r="J53"/>
    </row>
    <row r="54" spans="1:10" ht="15" customHeight="1" x14ac:dyDescent="0.15">
      <c r="A54" s="230">
        <v>53</v>
      </c>
      <c r="B54" s="230" t="s">
        <v>244</v>
      </c>
      <c r="C54" s="8">
        <v>2.073718786239624</v>
      </c>
      <c r="D54" s="9">
        <v>43</v>
      </c>
      <c r="E54" s="9">
        <v>4.5</v>
      </c>
      <c r="F54" s="9">
        <v>14.999999046325684</v>
      </c>
      <c r="G54" s="9">
        <v>0.53486913442611694</v>
      </c>
      <c r="H54" s="9">
        <v>0.30000001192092896</v>
      </c>
      <c r="I54">
        <v>3.9999999105930328E-2</v>
      </c>
      <c r="J54"/>
    </row>
    <row r="55" spans="1:10" ht="15" customHeight="1" x14ac:dyDescent="0.15">
      <c r="A55" s="231">
        <v>54</v>
      </c>
      <c r="B55" s="231" t="s">
        <v>245</v>
      </c>
      <c r="C55" s="8">
        <v>1</v>
      </c>
      <c r="D55" s="9">
        <v>22</v>
      </c>
      <c r="E55" s="9">
        <v>130</v>
      </c>
      <c r="F55" s="10"/>
      <c r="G55" s="9">
        <v>0.95675438642501831</v>
      </c>
      <c r="H55" s="10"/>
      <c r="I55">
        <v>0</v>
      </c>
      <c r="J55"/>
    </row>
    <row r="56" spans="1:10" ht="15" customHeight="1" x14ac:dyDescent="0.15">
      <c r="A56" s="232">
        <v>55</v>
      </c>
      <c r="B56" s="232" t="s">
        <v>67</v>
      </c>
      <c r="C56" s="8">
        <v>1</v>
      </c>
      <c r="D56" s="9">
        <v>9</v>
      </c>
      <c r="E56" s="9">
        <v>9</v>
      </c>
      <c r="F56" s="10"/>
      <c r="G56" s="9">
        <v>0.86753082275390625</v>
      </c>
      <c r="H56" s="10"/>
      <c r="I56">
        <v>0</v>
      </c>
      <c r="J56"/>
    </row>
    <row r="57" spans="1:10" ht="15" customHeight="1" x14ac:dyDescent="0.15">
      <c r="A57" s="233">
        <v>56</v>
      </c>
      <c r="B57" s="233" t="s">
        <v>246</v>
      </c>
      <c r="C57" s="8">
        <v>1</v>
      </c>
      <c r="D57" s="9">
        <v>10</v>
      </c>
      <c r="E57" s="10"/>
      <c r="F57" s="10"/>
      <c r="G57" s="7">
        <v>0.23500224947929382</v>
      </c>
      <c r="H57" s="10"/>
      <c r="I57">
        <v>0</v>
      </c>
      <c r="J57"/>
    </row>
    <row r="58" spans="1:10" ht="15" customHeight="1" x14ac:dyDescent="0.15">
      <c r="A58" s="234">
        <v>57</v>
      </c>
      <c r="B58" s="234" t="s">
        <v>247</v>
      </c>
      <c r="C58" s="8">
        <v>1</v>
      </c>
      <c r="D58" s="9">
        <v>5</v>
      </c>
      <c r="E58" s="10"/>
      <c r="F58" s="10"/>
      <c r="G58" s="7">
        <v>0</v>
      </c>
      <c r="H58" s="10"/>
      <c r="I58">
        <v>0</v>
      </c>
      <c r="J58"/>
    </row>
    <row r="59" spans="1:10" ht="15" customHeight="1" x14ac:dyDescent="0.15">
      <c r="A59" s="235">
        <v>58</v>
      </c>
      <c r="B59" s="235" t="s">
        <v>248</v>
      </c>
      <c r="C59" s="8">
        <v>4.6253457069396973</v>
      </c>
      <c r="D59" s="10"/>
      <c r="E59" s="10"/>
      <c r="F59" s="10"/>
      <c r="G59" s="10"/>
      <c r="H59" s="10"/>
      <c r="I59">
        <v>6.0099996626377106E-2</v>
      </c>
      <c r="J59"/>
    </row>
    <row r="60" spans="1:10" ht="15" customHeight="1" x14ac:dyDescent="0.15">
      <c r="A60" s="236">
        <v>59</v>
      </c>
      <c r="B60" s="236" t="s">
        <v>249</v>
      </c>
      <c r="C60" s="8">
        <v>4.6902093887329102</v>
      </c>
      <c r="D60" s="10"/>
      <c r="E60" s="10"/>
      <c r="F60" s="10"/>
      <c r="G60" s="10"/>
      <c r="H60" s="10"/>
      <c r="I60">
        <v>6.1799991875886917E-2</v>
      </c>
      <c r="J60"/>
    </row>
    <row r="61" spans="1:10" ht="15" customHeight="1" x14ac:dyDescent="0.15">
      <c r="A61" s="237">
        <v>60</v>
      </c>
      <c r="B61" s="237" t="s">
        <v>250</v>
      </c>
      <c r="C61" s="8">
        <v>5.0066547393798828</v>
      </c>
      <c r="D61" s="10"/>
      <c r="E61" s="10"/>
      <c r="F61" s="10"/>
      <c r="G61" s="10"/>
      <c r="H61" s="10"/>
      <c r="I61">
        <v>2.4199999868869781E-2</v>
      </c>
      <c r="J61"/>
    </row>
    <row r="62" spans="1:10" ht="15" customHeight="1" x14ac:dyDescent="0.15">
      <c r="A62" s="238">
        <v>61</v>
      </c>
      <c r="B62" s="238" t="s">
        <v>251</v>
      </c>
      <c r="C62" s="8">
        <v>4.5852451324462891</v>
      </c>
      <c r="D62" s="10"/>
      <c r="E62" s="10"/>
      <c r="F62" s="10"/>
      <c r="G62" s="10"/>
      <c r="H62" s="10"/>
      <c r="I62">
        <v>4.8999994993209839E-2</v>
      </c>
      <c r="J62"/>
    </row>
    <row r="63" spans="1:10" ht="15" customHeight="1" x14ac:dyDescent="0.15">
      <c r="A63" s="239">
        <v>62</v>
      </c>
      <c r="B63" s="239" t="s">
        <v>252</v>
      </c>
      <c r="C63" s="8">
        <v>4.5233588218688965</v>
      </c>
      <c r="D63" s="10"/>
      <c r="E63" s="10"/>
      <c r="F63" s="10"/>
      <c r="G63" s="10"/>
      <c r="H63" s="10"/>
      <c r="I63">
        <v>0.15330000221729279</v>
      </c>
      <c r="J63"/>
    </row>
    <row r="64" spans="1:10" ht="15" customHeight="1" x14ac:dyDescent="0.15">
      <c r="A64" s="240">
        <v>63</v>
      </c>
      <c r="B64" s="240" t="s">
        <v>216</v>
      </c>
      <c r="C64" s="8">
        <v>4.8321113586425781</v>
      </c>
      <c r="D64" s="10"/>
      <c r="E64" s="10"/>
      <c r="F64" s="10"/>
      <c r="G64" s="10"/>
      <c r="H64" s="10"/>
      <c r="I64">
        <v>6.2199998646974564E-2</v>
      </c>
      <c r="J64"/>
    </row>
    <row r="65" spans="1:10" ht="15" customHeight="1" x14ac:dyDescent="0.15">
      <c r="A65" s="241">
        <v>64</v>
      </c>
      <c r="B65" s="241" t="s">
        <v>215</v>
      </c>
      <c r="C65" s="8">
        <v>4.9038090705871582</v>
      </c>
      <c r="D65" s="10"/>
      <c r="E65" s="10"/>
      <c r="F65" s="10"/>
      <c r="G65" s="10"/>
      <c r="H65" s="10"/>
      <c r="I65">
        <v>6.3699997961521149E-2</v>
      </c>
      <c r="J65"/>
    </row>
    <row r="66" spans="1:10" ht="15" customHeight="1" x14ac:dyDescent="0.15">
      <c r="A66" s="242">
        <v>65</v>
      </c>
      <c r="B66" s="242" t="s">
        <v>253</v>
      </c>
      <c r="C66" s="8">
        <v>4.2778263092041016</v>
      </c>
      <c r="D66" s="10"/>
      <c r="E66" s="10"/>
      <c r="F66" s="10"/>
      <c r="G66" s="10"/>
      <c r="H66" s="10"/>
      <c r="I66">
        <v>0.14589999616146088</v>
      </c>
      <c r="J66"/>
    </row>
    <row r="67" spans="1:10" ht="15" customHeight="1" x14ac:dyDescent="0.15">
      <c r="A67" s="243">
        <v>66</v>
      </c>
      <c r="B67" s="243" t="s">
        <v>217</v>
      </c>
      <c r="C67" s="8">
        <v>5.1334619522094727</v>
      </c>
      <c r="D67" s="10"/>
      <c r="E67" s="10"/>
      <c r="F67" s="10"/>
      <c r="G67" s="10"/>
      <c r="H67" s="10"/>
      <c r="I67">
        <v>6.6899999976158142E-2</v>
      </c>
      <c r="J67"/>
    </row>
    <row r="68" spans="1:10" ht="15" customHeight="1" x14ac:dyDescent="0.15">
      <c r="A68" s="244">
        <v>67</v>
      </c>
      <c r="B68" s="244" t="s">
        <v>254</v>
      </c>
      <c r="C68" s="8">
        <v>5.2523198127746582</v>
      </c>
      <c r="D68" s="10"/>
      <c r="E68" s="10"/>
      <c r="F68" s="10"/>
      <c r="G68" s="10"/>
      <c r="H68" s="10"/>
      <c r="I68">
        <v>1.269999984651804E-2</v>
      </c>
      <c r="J68"/>
    </row>
    <row r="69" spans="1:10" ht="15" customHeight="1" x14ac:dyDescent="0.15">
      <c r="A69" s="245">
        <v>68</v>
      </c>
      <c r="B69" s="245" t="s">
        <v>255</v>
      </c>
      <c r="C69" s="8">
        <v>3.2506585121154785</v>
      </c>
      <c r="D69" s="10"/>
      <c r="E69" s="10"/>
      <c r="F69" s="10"/>
      <c r="G69" s="10"/>
      <c r="H69" s="10"/>
      <c r="I69">
        <v>1.9999999552965164E-2</v>
      </c>
      <c r="J69"/>
    </row>
    <row r="70" spans="1:10" ht="15" customHeight="1" x14ac:dyDescent="0.15">
      <c r="A70" s="246">
        <v>69</v>
      </c>
      <c r="B70" s="246" t="s">
        <v>256</v>
      </c>
      <c r="C70" s="8">
        <v>4.1238760948181152</v>
      </c>
      <c r="D70" s="10"/>
      <c r="E70" s="10"/>
      <c r="F70" s="10"/>
      <c r="G70" s="10"/>
      <c r="H70" s="10"/>
      <c r="I70">
        <v>3.5999998450279236E-2</v>
      </c>
      <c r="J70"/>
    </row>
    <row r="71" spans="1:10" ht="15" customHeight="1" x14ac:dyDescent="0.15">
      <c r="A71" s="247">
        <v>70</v>
      </c>
      <c r="B71" s="247" t="s">
        <v>257</v>
      </c>
      <c r="C71" s="8">
        <v>3.8243446350097656</v>
      </c>
      <c r="D71" s="10"/>
      <c r="E71" s="10"/>
      <c r="F71" s="10"/>
      <c r="G71" s="10"/>
      <c r="H71" s="10"/>
      <c r="I71">
        <v>2.8799999505281448E-2</v>
      </c>
      <c r="J71"/>
    </row>
    <row r="72" spans="1:10" ht="15" customHeight="1" x14ac:dyDescent="0.15">
      <c r="A72" s="248">
        <v>71</v>
      </c>
      <c r="B72" s="248" t="s">
        <v>258</v>
      </c>
      <c r="C72" s="8">
        <v>3.7516031265258789</v>
      </c>
      <c r="D72" s="10"/>
      <c r="E72" s="10"/>
      <c r="F72" s="10"/>
      <c r="G72" s="10"/>
      <c r="H72" s="10"/>
      <c r="I72">
        <v>3.9999999105930328E-2</v>
      </c>
      <c r="J72"/>
    </row>
    <row r="73" spans="1:10" ht="15" customHeight="1" x14ac:dyDescent="0.15">
      <c r="A73" s="249">
        <v>72</v>
      </c>
      <c r="B73" s="249" t="s">
        <v>259</v>
      </c>
      <c r="C73" s="8">
        <v>4.4192495346069336</v>
      </c>
      <c r="D73" s="10"/>
      <c r="E73" s="10"/>
      <c r="F73" s="10"/>
      <c r="G73" s="10"/>
      <c r="H73" s="10"/>
      <c r="I73">
        <v>0.28670001029968262</v>
      </c>
      <c r="J73"/>
    </row>
    <row r="74" spans="1:10" ht="15" customHeight="1" x14ac:dyDescent="0.15">
      <c r="A74" s="250">
        <v>73</v>
      </c>
      <c r="B74" s="250" t="s">
        <v>260</v>
      </c>
      <c r="C74" s="8">
        <v>4.3373956680297852</v>
      </c>
      <c r="D74" s="10"/>
      <c r="E74" s="10"/>
      <c r="F74" s="10"/>
      <c r="G74" s="10"/>
      <c r="H74" s="10"/>
      <c r="I74">
        <v>2.3000000044703484E-2</v>
      </c>
      <c r="J74"/>
    </row>
    <row r="75" spans="1:10" ht="15" customHeight="1" x14ac:dyDescent="0.15">
      <c r="A75" s="251">
        <v>74</v>
      </c>
      <c r="B75" s="251" t="s">
        <v>261</v>
      </c>
      <c r="C75" s="8">
        <v>4.3773713111877441</v>
      </c>
      <c r="D75" s="10"/>
      <c r="E75" s="10"/>
      <c r="F75" s="10"/>
      <c r="G75" s="10"/>
      <c r="H75" s="10"/>
      <c r="I75">
        <v>4.4100001454353333E-2</v>
      </c>
      <c r="J75"/>
    </row>
    <row r="76" spans="1:10" ht="15" customHeight="1" x14ac:dyDescent="0.15">
      <c r="A76" s="252">
        <v>75</v>
      </c>
      <c r="B76" s="252" t="s">
        <v>262</v>
      </c>
      <c r="C76" s="8">
        <v>4.387117862701416</v>
      </c>
      <c r="D76" s="10"/>
      <c r="E76" s="10"/>
      <c r="F76" s="10"/>
      <c r="G76" s="10"/>
      <c r="H76" s="10"/>
      <c r="I76">
        <v>9.1399997472763062E-2</v>
      </c>
      <c r="J76"/>
    </row>
    <row r="77" spans="1:10" ht="15" customHeight="1" x14ac:dyDescent="0.15">
      <c r="A77" s="253">
        <v>76</v>
      </c>
      <c r="B77" s="253" t="s">
        <v>263</v>
      </c>
      <c r="C77" s="8">
        <v>4.555994987487793</v>
      </c>
      <c r="D77" s="10"/>
      <c r="E77" s="10"/>
      <c r="F77" s="10"/>
      <c r="G77" s="10"/>
      <c r="H77" s="10"/>
      <c r="I77">
        <v>1.9700000993907452E-3</v>
      </c>
      <c r="J77"/>
    </row>
    <row r="78" spans="1:10" ht="15" customHeight="1" x14ac:dyDescent="0.15">
      <c r="A78" s="254">
        <v>77</v>
      </c>
      <c r="B78" s="254" t="s">
        <v>264</v>
      </c>
      <c r="C78" s="8">
        <v>5.4026932716369629</v>
      </c>
      <c r="D78" s="10"/>
      <c r="E78" s="10"/>
      <c r="F78" s="10"/>
      <c r="G78" s="10"/>
      <c r="H78" s="10"/>
      <c r="I78">
        <v>3.7899999879300594E-3</v>
      </c>
      <c r="J78"/>
    </row>
    <row r="79" spans="1:10" ht="15" customHeight="1" x14ac:dyDescent="0.15">
      <c r="A79" s="255">
        <v>78</v>
      </c>
      <c r="B79" s="255" t="s">
        <v>265</v>
      </c>
      <c r="C79" s="8">
        <v>4.8162221908569336</v>
      </c>
      <c r="D79" s="10"/>
      <c r="E79" s="10"/>
      <c r="F79" s="10"/>
      <c r="G79" s="10"/>
      <c r="H79" s="10"/>
      <c r="I79">
        <v>9.89999920129776E-2</v>
      </c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5" bestFit="1" customWidth="1"/>
    <col min="2" max="4" width="9.5" style="85" bestFit="1" customWidth="1"/>
    <col min="5" max="7" width="9" style="85" bestFit="1" customWidth="1"/>
    <col min="8" max="16" width="12.6640625" style="85" bestFit="1" customWidth="1"/>
    <col min="17" max="17" width="12.33203125" style="85" bestFit="1" customWidth="1"/>
    <col min="18" max="18" width="8.83203125" style="85"/>
    <col min="19" max="21" width="9.33203125" style="85" bestFit="1" customWidth="1"/>
    <col min="22" max="23" width="8.83203125" style="85"/>
    <col min="24" max="24" width="9.33203125" style="85" bestFit="1" customWidth="1"/>
    <col min="25" max="27" width="8.83203125" style="85"/>
    <col min="28" max="58" width="9" style="85" bestFit="1" customWidth="1"/>
    <col min="59" max="59" width="12.33203125" style="85" bestFit="1" customWidth="1"/>
    <col min="60" max="60" width="9" style="85" bestFit="1" customWidth="1"/>
    <col min="61" max="61" width="11.33203125" style="85" bestFit="1" customWidth="1"/>
    <col min="62" max="77" width="9" style="85" bestFit="1" customWidth="1"/>
    <col min="78" max="78" width="12.33203125" style="85" bestFit="1" customWidth="1"/>
    <col min="79" max="79" width="9" style="85" bestFit="1" customWidth="1"/>
    <col min="80" max="80" width="12.33203125" style="85" bestFit="1" customWidth="1"/>
    <col min="81" max="107" width="9" style="85" bestFit="1" customWidth="1"/>
    <col min="108" max="108" width="11.33203125" style="85" bestFit="1" customWidth="1"/>
    <col min="109" max="124" width="9" style="85" bestFit="1" customWidth="1"/>
    <col min="125" max="125" width="10.33203125" style="85" bestFit="1" customWidth="1"/>
    <col min="126" max="129" width="9.33203125" style="85" bestFit="1" customWidth="1"/>
    <col min="130" max="130" width="9" style="85" bestFit="1" customWidth="1"/>
    <col min="131" max="134" width="9.33203125" style="85" bestFit="1" customWidth="1"/>
    <col min="135" max="165" width="9" style="85" bestFit="1" customWidth="1"/>
    <col min="166" max="166" width="12.33203125" style="85" bestFit="1" customWidth="1"/>
    <col min="167" max="170" width="9" style="85" bestFit="1" customWidth="1"/>
    <col min="171" max="176" width="8.83203125" style="85"/>
    <col min="177" max="177" width="13.83203125" style="85" bestFit="1" customWidth="1"/>
    <col min="178" max="16384" width="8.83203125" style="85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270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282</v>
      </c>
      <c r="Q1" t="s">
        <v>283</v>
      </c>
      <c r="R1" t="s">
        <v>284</v>
      </c>
      <c r="S1" t="s">
        <v>285</v>
      </c>
      <c r="T1" t="s">
        <v>286</v>
      </c>
      <c r="U1" t="s">
        <v>287</v>
      </c>
      <c r="V1" t="s">
        <v>288</v>
      </c>
      <c r="W1" t="s">
        <v>289</v>
      </c>
      <c r="X1" t="s">
        <v>290</v>
      </c>
      <c r="Y1" t="s">
        <v>192</v>
      </c>
      <c r="Z1" t="s">
        <v>193</v>
      </c>
      <c r="AA1" t="s">
        <v>194</v>
      </c>
      <c r="AB1" t="s">
        <v>195</v>
      </c>
      <c r="AC1" t="s">
        <v>196</v>
      </c>
      <c r="AD1" t="s">
        <v>197</v>
      </c>
      <c r="AE1" t="s">
        <v>198</v>
      </c>
      <c r="AF1" t="s">
        <v>199</v>
      </c>
      <c r="AG1" t="s">
        <v>200</v>
      </c>
      <c r="AH1" t="s">
        <v>201</v>
      </c>
      <c r="AI1" t="s">
        <v>202</v>
      </c>
      <c r="AJ1" t="s">
        <v>203</v>
      </c>
      <c r="AK1" t="s">
        <v>204</v>
      </c>
      <c r="AL1" t="s">
        <v>205</v>
      </c>
      <c r="AM1" t="s">
        <v>206</v>
      </c>
      <c r="AN1" t="s">
        <v>207</v>
      </c>
      <c r="AO1" t="s">
        <v>208</v>
      </c>
      <c r="AP1" t="s">
        <v>209</v>
      </c>
      <c r="AQ1" t="s">
        <v>210</v>
      </c>
      <c r="AR1" t="s">
        <v>211</v>
      </c>
      <c r="AS1" t="s">
        <v>212</v>
      </c>
      <c r="AT1" t="s">
        <v>213</v>
      </c>
      <c r="AU1" t="s">
        <v>214</v>
      </c>
      <c r="AV1" t="s">
        <v>215</v>
      </c>
      <c r="AW1" t="s">
        <v>216</v>
      </c>
      <c r="AX1" t="s">
        <v>217</v>
      </c>
      <c r="AY1" t="s">
        <v>218</v>
      </c>
      <c r="AZ1" t="s">
        <v>219</v>
      </c>
      <c r="BA1" t="s">
        <v>220</v>
      </c>
      <c r="BB1" t="s">
        <v>221</v>
      </c>
      <c r="BC1" t="s">
        <v>222</v>
      </c>
      <c r="BD1" t="s">
        <v>223</v>
      </c>
      <c r="BE1" t="s">
        <v>224</v>
      </c>
      <c r="BF1" t="s">
        <v>225</v>
      </c>
      <c r="BG1" t="s">
        <v>226</v>
      </c>
      <c r="BH1" t="s">
        <v>227</v>
      </c>
      <c r="BI1" t="s">
        <v>228</v>
      </c>
      <c r="BJ1" t="s">
        <v>229</v>
      </c>
      <c r="BK1" t="s">
        <v>230</v>
      </c>
      <c r="BL1" t="s">
        <v>231</v>
      </c>
      <c r="BM1" t="s">
        <v>232</v>
      </c>
      <c r="BN1" t="s">
        <v>233</v>
      </c>
      <c r="BO1" t="s">
        <v>234</v>
      </c>
      <c r="BP1" t="s">
        <v>235</v>
      </c>
      <c r="BQ1" t="s">
        <v>236</v>
      </c>
      <c r="BR1" t="s">
        <v>237</v>
      </c>
      <c r="BS1" t="s">
        <v>238</v>
      </c>
      <c r="BT1" t="s">
        <v>239</v>
      </c>
      <c r="BU1" t="s">
        <v>240</v>
      </c>
      <c r="BV1" t="s">
        <v>241</v>
      </c>
      <c r="BW1" t="s">
        <v>242</v>
      </c>
      <c r="BX1" t="s">
        <v>243</v>
      </c>
      <c r="BY1" t="s">
        <v>244</v>
      </c>
      <c r="BZ1" t="s">
        <v>245</v>
      </c>
      <c r="CA1" t="s">
        <v>67</v>
      </c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0.5</v>
      </c>
      <c r="C2">
        <v>7.3400497436523438E-2</v>
      </c>
      <c r="D2" s="150">
        <v>0.1269863098859787</v>
      </c>
      <c r="E2"/>
      <c r="F2"/>
      <c r="G2"/>
      <c r="H2"/>
      <c r="I2"/>
      <c r="J2"/>
      <c r="K2"/>
      <c r="L2"/>
      <c r="M2"/>
      <c r="N2"/>
      <c r="O2" s="22">
        <v>4.232876468449831E-3</v>
      </c>
      <c r="P2"/>
      <c r="Q2"/>
      <c r="R2"/>
      <c r="S2"/>
      <c r="T2"/>
      <c r="U2"/>
      <c r="V2"/>
      <c r="W2"/>
      <c r="X2"/>
      <c r="Y2"/>
      <c r="Z2" s="279">
        <v>9.4816438853740692E-2</v>
      </c>
      <c r="AA2"/>
      <c r="AB2"/>
      <c r="AC2"/>
      <c r="AD2" s="147">
        <v>1.4391781762242317E-2</v>
      </c>
      <c r="AE2"/>
      <c r="AF2" s="277">
        <v>7.554161548614502E-2</v>
      </c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 s="79">
        <v>0.11063047498464584</v>
      </c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0.25</v>
      </c>
      <c r="C3">
        <v>0.16773942112922668</v>
      </c>
      <c r="D3" s="112">
        <v>4.3214287608861923E-2</v>
      </c>
      <c r="E3"/>
      <c r="F3"/>
      <c r="G3"/>
      <c r="H3"/>
      <c r="I3"/>
      <c r="J3"/>
      <c r="K3"/>
      <c r="L3"/>
      <c r="M3"/>
      <c r="N3"/>
      <c r="O3" s="22">
        <v>1.7857144121080637E-3</v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 s="265">
        <v>1.2142857536673546E-2</v>
      </c>
      <c r="AE3"/>
      <c r="AF3" s="280">
        <v>9.5605719834566116E-3</v>
      </c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 s="68">
        <v>1.5557142905890942E-2</v>
      </c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0.80000001192092896</v>
      </c>
      <c r="C4">
        <v>0.40047574043273926</v>
      </c>
      <c r="D4"/>
      <c r="E4" s="23">
        <v>4.2562447488307953E-3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 s="280">
        <v>3.177996352314949E-2</v>
      </c>
      <c r="AA4"/>
      <c r="AB4" s="280">
        <v>3.0644960701465607E-2</v>
      </c>
      <c r="AC4"/>
      <c r="AD4" s="22">
        <v>6.0296803712844849E-3</v>
      </c>
      <c r="AE4"/>
      <c r="AF4" s="21">
        <v>1.5824718400835991E-2</v>
      </c>
      <c r="AG4"/>
      <c r="AH4" s="109">
        <v>0.23184475302696228</v>
      </c>
      <c r="AI4"/>
      <c r="AJ4"/>
      <c r="AK4"/>
      <c r="AL4"/>
      <c r="AM4"/>
      <c r="AN4"/>
      <c r="AO4"/>
      <c r="AP4" s="15">
        <v>7.8378757461905479E-3</v>
      </c>
      <c r="AQ4" s="11">
        <v>5.6572596804471686E-5</v>
      </c>
      <c r="AR4"/>
      <c r="AS4"/>
      <c r="AT4" s="25">
        <v>2.4899033829569817E-2</v>
      </c>
      <c r="AU4"/>
      <c r="AV4"/>
      <c r="AW4"/>
      <c r="AX4"/>
      <c r="AY4"/>
      <c r="AZ4"/>
      <c r="BA4"/>
      <c r="BB4"/>
      <c r="BC4"/>
      <c r="BD4"/>
      <c r="BE4"/>
      <c r="BF4" s="67">
        <v>4.635050892829895E-2</v>
      </c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0.6600000262260437</v>
      </c>
      <c r="C5">
        <v>0.35550376772880554</v>
      </c>
      <c r="D5"/>
      <c r="E5" s="80">
        <v>0.11166667193174362</v>
      </c>
      <c r="F5"/>
      <c r="G5"/>
      <c r="H5"/>
      <c r="I5"/>
      <c r="J5"/>
      <c r="K5"/>
      <c r="L5"/>
      <c r="M5"/>
      <c r="N5"/>
      <c r="O5"/>
      <c r="P5"/>
      <c r="Q5"/>
      <c r="R5" s="12">
        <v>2.0833334419876337E-3</v>
      </c>
      <c r="S5"/>
      <c r="T5"/>
      <c r="U5"/>
      <c r="V5"/>
      <c r="W5"/>
      <c r="X5"/>
      <c r="Y5"/>
      <c r="Z5"/>
      <c r="AA5"/>
      <c r="AB5"/>
      <c r="AC5"/>
      <c r="AD5" s="12">
        <v>2.1249998826533556E-3</v>
      </c>
      <c r="AE5"/>
      <c r="AF5"/>
      <c r="AG5"/>
      <c r="AH5"/>
      <c r="AI5"/>
      <c r="AJ5"/>
      <c r="AK5"/>
      <c r="AL5"/>
      <c r="AM5"/>
      <c r="AN5"/>
      <c r="AO5"/>
      <c r="AP5" s="298">
        <v>0.17954626679420471</v>
      </c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 s="17">
        <v>9.0750008821487427E-3</v>
      </c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0.5</v>
      </c>
      <c r="C6">
        <v>0.38348215818405151</v>
      </c>
      <c r="D6"/>
      <c r="E6"/>
      <c r="F6" s="257">
        <v>4.5514784753322601E-2</v>
      </c>
      <c r="G6"/>
      <c r="H6"/>
      <c r="I6"/>
      <c r="J6"/>
      <c r="K6"/>
      <c r="L6"/>
      <c r="M6"/>
      <c r="N6"/>
      <c r="O6"/>
      <c r="P6"/>
      <c r="Q6"/>
      <c r="R6" s="257">
        <v>4.5514784753322601E-2</v>
      </c>
      <c r="S6"/>
      <c r="T6"/>
      <c r="U6"/>
      <c r="V6"/>
      <c r="W6"/>
      <c r="X6"/>
      <c r="Y6"/>
      <c r="Z6" s="69">
        <v>2.5488279759883881E-2</v>
      </c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0.30000001192092896</v>
      </c>
      <c r="C7">
        <v>9.2941194772720337E-2</v>
      </c>
      <c r="D7"/>
      <c r="E7"/>
      <c r="F7" s="258">
        <v>0.13647058606147766</v>
      </c>
      <c r="G7"/>
      <c r="H7"/>
      <c r="I7"/>
      <c r="J7"/>
      <c r="K7"/>
      <c r="L7"/>
      <c r="M7"/>
      <c r="N7"/>
      <c r="O7"/>
      <c r="P7"/>
      <c r="Q7"/>
      <c r="R7" s="75">
        <v>2.3529412224888802E-2</v>
      </c>
      <c r="S7"/>
      <c r="T7"/>
      <c r="U7"/>
      <c r="V7"/>
      <c r="W7"/>
      <c r="X7" s="110">
        <v>4.7058824449777603E-2</v>
      </c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0.30000001192092896</v>
      </c>
      <c r="C8">
        <v>9.9274478852748871E-2</v>
      </c>
      <c r="D8"/>
      <c r="E8"/>
      <c r="F8"/>
      <c r="G8" s="259">
        <v>7.4437625706195831E-2</v>
      </c>
      <c r="H8"/>
      <c r="I8"/>
      <c r="J8"/>
      <c r="K8"/>
      <c r="L8"/>
      <c r="M8"/>
      <c r="N8"/>
      <c r="O8"/>
      <c r="P8"/>
      <c r="Q8"/>
      <c r="R8" s="144">
        <v>2.9775053262710571E-2</v>
      </c>
      <c r="S8"/>
      <c r="T8"/>
      <c r="U8"/>
      <c r="V8"/>
      <c r="W8"/>
      <c r="X8"/>
      <c r="Y8"/>
      <c r="Z8" s="64">
        <v>1.667402870953083E-2</v>
      </c>
      <c r="AA8"/>
      <c r="AB8"/>
      <c r="AC8"/>
      <c r="AD8"/>
      <c r="AE8"/>
      <c r="AF8"/>
      <c r="AG8"/>
      <c r="AH8"/>
      <c r="AI8"/>
      <c r="AJ8"/>
      <c r="AK8"/>
      <c r="AL8"/>
      <c r="AM8"/>
      <c r="AN8" s="29">
        <v>1.4041914604604244E-2</v>
      </c>
      <c r="AO8"/>
      <c r="AP8" s="278">
        <v>6.5796919167041779E-2</v>
      </c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0.20000000298023224</v>
      </c>
      <c r="C9">
        <v>0.12067356705665588</v>
      </c>
      <c r="D9"/>
      <c r="E9"/>
      <c r="F9"/>
      <c r="G9" s="260">
        <v>2.5147927924990654E-2</v>
      </c>
      <c r="H9"/>
      <c r="I9"/>
      <c r="J9"/>
      <c r="K9"/>
      <c r="L9"/>
      <c r="M9"/>
      <c r="N9"/>
      <c r="O9"/>
      <c r="P9"/>
      <c r="Q9"/>
      <c r="R9" s="265">
        <v>9.8619330674409866E-3</v>
      </c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 s="67">
        <v>1.1627218686044216E-2</v>
      </c>
      <c r="AO9"/>
      <c r="AP9" s="283">
        <v>3.2689351588487625E-2</v>
      </c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0.80000001192092896</v>
      </c>
      <c r="C10">
        <v>0.1590208113193512</v>
      </c>
      <c r="D10"/>
      <c r="E10"/>
      <c r="F10"/>
      <c r="G10"/>
      <c r="H10" s="16">
        <v>1.2359380722045898E-2</v>
      </c>
      <c r="I10"/>
      <c r="J10"/>
      <c r="K10"/>
      <c r="L10"/>
      <c r="M10"/>
      <c r="N10"/>
      <c r="O10" s="14">
        <v>1.7656257841736078E-3</v>
      </c>
      <c r="P10"/>
      <c r="Q10"/>
      <c r="R10"/>
      <c r="S10"/>
      <c r="T10"/>
      <c r="U10"/>
      <c r="V10"/>
      <c r="W10"/>
      <c r="X10"/>
      <c r="Y10"/>
      <c r="Z10" s="18">
        <v>9.8875043913722038E-3</v>
      </c>
      <c r="AA10"/>
      <c r="AB10" s="15">
        <v>7.6275034807622433E-3</v>
      </c>
      <c r="AC10"/>
      <c r="AD10" s="12">
        <v>3.0015641823410988E-3</v>
      </c>
      <c r="AE10"/>
      <c r="AF10" s="15">
        <v>7.8775165602564812E-3</v>
      </c>
      <c r="AG10"/>
      <c r="AH10" s="292">
        <v>0.1154119074344635</v>
      </c>
      <c r="AI10"/>
      <c r="AJ10"/>
      <c r="AK10" s="66">
        <v>3.3017203211784363E-2</v>
      </c>
      <c r="AL10" s="15">
        <v>7.3167537339031696E-3</v>
      </c>
      <c r="AM10"/>
      <c r="AN10" s="274">
        <v>8.3266913890838623E-2</v>
      </c>
      <c r="AO10"/>
      <c r="AP10" s="290">
        <v>9.754200279712677E-2</v>
      </c>
      <c r="AQ10" s="14">
        <v>1.2672781012952328E-3</v>
      </c>
      <c r="AR10"/>
      <c r="AS10"/>
      <c r="AT10" s="261">
        <v>0.12394694238901138</v>
      </c>
      <c r="AU10"/>
      <c r="AV10"/>
      <c r="AW10"/>
      <c r="AX10"/>
      <c r="AY10"/>
      <c r="AZ10"/>
      <c r="BA10" s="282">
        <v>5.5087529122829437E-2</v>
      </c>
      <c r="BB10"/>
      <c r="BC10"/>
      <c r="BD10" s="18">
        <v>9.8521923646330833E-3</v>
      </c>
      <c r="BE10" s="19">
        <v>1.4248601160943508E-2</v>
      </c>
      <c r="BF10" s="147">
        <v>2.3073198273777962E-2</v>
      </c>
      <c r="BG10"/>
      <c r="BH10"/>
      <c r="BI10"/>
      <c r="BJ10" s="20">
        <v>3.4429702907800674E-2</v>
      </c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0.40000000596046448</v>
      </c>
      <c r="C11">
        <v>0.11402370780706406</v>
      </c>
      <c r="D11"/>
      <c r="E11"/>
      <c r="F11"/>
      <c r="G11"/>
      <c r="H11" s="74">
        <v>3.7297677248716354E-2</v>
      </c>
      <c r="I11"/>
      <c r="J11"/>
      <c r="K11"/>
      <c r="L11"/>
      <c r="M11"/>
      <c r="N11"/>
      <c r="O11" s="11">
        <v>2.1417860989458859E-4</v>
      </c>
      <c r="P11"/>
      <c r="Q11"/>
      <c r="R11" s="14">
        <v>6.1193894362077117E-4</v>
      </c>
      <c r="S11"/>
      <c r="T11"/>
      <c r="U11"/>
      <c r="V11"/>
      <c r="W11"/>
      <c r="X11"/>
      <c r="Y11"/>
      <c r="Z11" s="17">
        <v>5.1402868703007698E-3</v>
      </c>
      <c r="AA11"/>
      <c r="AB11" s="21">
        <v>7.9307276755571365E-3</v>
      </c>
      <c r="AC11"/>
      <c r="AD11" s="17">
        <v>5.2014812827110291E-3</v>
      </c>
      <c r="AE11"/>
      <c r="AF11" s="15">
        <v>4.0953401476144791E-3</v>
      </c>
      <c r="AG11"/>
      <c r="AH11"/>
      <c r="AI11"/>
      <c r="AJ11"/>
      <c r="AK11"/>
      <c r="AL11"/>
      <c r="AM11"/>
      <c r="AN11" s="147">
        <v>1.1543615721166134E-2</v>
      </c>
      <c r="AO11"/>
      <c r="AP11" s="312">
        <v>0.13522627949714661</v>
      </c>
      <c r="AQ11" s="14">
        <v>4.8802132369019091E-4</v>
      </c>
      <c r="AR11" s="11">
        <v>2.423278201604262E-4</v>
      </c>
      <c r="AS11"/>
      <c r="AT11" s="269">
        <v>7.4102737009525299E-2</v>
      </c>
      <c r="AU11"/>
      <c r="AV11"/>
      <c r="AW11"/>
      <c r="AX11"/>
      <c r="AY11"/>
      <c r="AZ11"/>
      <c r="BA11"/>
      <c r="BB11"/>
      <c r="BC11"/>
      <c r="BD11" s="14">
        <v>6.8292382638901472E-4</v>
      </c>
      <c r="BE11"/>
      <c r="BF11" s="22">
        <v>3.1987272668629885E-3</v>
      </c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0.80000001192092896</v>
      </c>
      <c r="C12">
        <v>0.11757936328649521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 s="26">
        <v>2.0286981016397476E-2</v>
      </c>
      <c r="AA12"/>
      <c r="AB12"/>
      <c r="AC12" s="11">
        <v>2.0300038158893585E-4</v>
      </c>
      <c r="AD12" s="12">
        <v>3.079273970797658E-3</v>
      </c>
      <c r="AE12"/>
      <c r="AF12" s="23">
        <v>4.8488783650100231E-3</v>
      </c>
      <c r="AG12"/>
      <c r="AH12"/>
      <c r="AI12"/>
      <c r="AJ12"/>
      <c r="AK12" s="20">
        <v>3.3872012048959732E-2</v>
      </c>
      <c r="AL12" s="15">
        <v>7.5061828829348087E-3</v>
      </c>
      <c r="AM12"/>
      <c r="AN12" s="65">
        <v>1.7084537073969841E-2</v>
      </c>
      <c r="AO12" s="29">
        <v>3.7537254393100739E-2</v>
      </c>
      <c r="AP12" s="69">
        <v>4.0026940405368805E-2</v>
      </c>
      <c r="AQ12" s="11">
        <v>5.7781679788604379E-4</v>
      </c>
      <c r="AR12"/>
      <c r="AS12"/>
      <c r="AT12" s="304">
        <v>0.25431180000305176</v>
      </c>
      <c r="AU12"/>
      <c r="AV12"/>
      <c r="AW12" s="68">
        <v>5.0717450678348541E-2</v>
      </c>
      <c r="AX12"/>
      <c r="AY12" s="295">
        <v>6.9736495614051819E-2</v>
      </c>
      <c r="AZ12" s="296">
        <v>7.0642165839672089E-2</v>
      </c>
      <c r="BA12"/>
      <c r="BB12"/>
      <c r="BC12"/>
      <c r="BD12" s="69">
        <v>4.0429059416055679E-2</v>
      </c>
      <c r="BE12"/>
      <c r="BF12" s="280">
        <v>3.1560748815536499E-2</v>
      </c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0.64999997615814209</v>
      </c>
      <c r="C13">
        <v>9.2130079865455627E-2</v>
      </c>
      <c r="D13"/>
      <c r="E13"/>
      <c r="F13"/>
      <c r="G13"/>
      <c r="H13"/>
      <c r="I13"/>
      <c r="J13"/>
      <c r="K13" s="263">
        <v>0.32422223687171936</v>
      </c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 s="280">
        <v>2.4888888001441956E-2</v>
      </c>
      <c r="AA13"/>
      <c r="AB13" s="147">
        <v>1.9199999049305916E-2</v>
      </c>
      <c r="AC13" s="11">
        <v>6.2262266874313354E-4</v>
      </c>
      <c r="AD13" s="14">
        <v>1.8888890044763684E-3</v>
      </c>
      <c r="AE13"/>
      <c r="AF13" s="15">
        <v>6.9402670487761497E-3</v>
      </c>
      <c r="AG13"/>
      <c r="AH13"/>
      <c r="AI13"/>
      <c r="AJ13"/>
      <c r="AK13" s="17">
        <v>8.3111105486750603E-3</v>
      </c>
      <c r="AL13" s="17">
        <v>9.2088887467980385E-3</v>
      </c>
      <c r="AM13"/>
      <c r="AN13" s="25">
        <v>2.0960001274943352E-2</v>
      </c>
      <c r="AO13" s="65">
        <v>1.3815666548907757E-2</v>
      </c>
      <c r="AP13" s="13">
        <v>2.4553334340453148E-2</v>
      </c>
      <c r="AQ13" s="11">
        <v>3.5444449167698622E-4</v>
      </c>
      <c r="AR13"/>
      <c r="AS13"/>
      <c r="AT13" s="148">
        <v>3.8999997079372406E-2</v>
      </c>
      <c r="AU13"/>
      <c r="AV13"/>
      <c r="AW13"/>
      <c r="AX13"/>
      <c r="AY13" s="281">
        <v>2.1388890221714973E-2</v>
      </c>
      <c r="AZ13" s="281">
        <v>2.1666666492819786E-2</v>
      </c>
      <c r="BA13"/>
      <c r="BB13"/>
      <c r="BC13"/>
      <c r="BD13" s="14">
        <v>1.4880001544952393E-3</v>
      </c>
      <c r="BE13"/>
      <c r="BF13" s="147">
        <v>1.9360000267624855E-2</v>
      </c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0.11599999666213989</v>
      </c>
      <c r="C14">
        <v>0.11599999666213989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6.3000001013278961E-2</v>
      </c>
      <c r="C15">
        <v>6.3000001013278961E-2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0.17399999499320984</v>
      </c>
      <c r="C16">
        <v>0.17399999499320984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2.9999999329447746E-2</v>
      </c>
      <c r="C17">
        <v>2.9999999329447746E-2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1.9999999552965164E-2</v>
      </c>
      <c r="C18">
        <v>1.9695742055773735E-2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 s="16">
        <v>3.0425805016420782E-4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5.9999998658895493E-2</v>
      </c>
      <c r="C19">
        <v>5.7930992916226387E-3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 s="286">
        <v>5.4206900298595428E-2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0.15999999642372131</v>
      </c>
      <c r="C20">
        <v>0.11283999681472778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 s="276">
        <v>4.7159995883703232E-2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0.20000000298023224</v>
      </c>
      <c r="C21">
        <v>0.20000000298023224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0.14000000059604645</v>
      </c>
      <c r="C22">
        <v>0.14000000059604645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0.10000000149011612</v>
      </c>
      <c r="C23">
        <v>2.92523093521595E-2</v>
      </c>
      <c r="D23" s="27">
        <v>7.6923076994717121E-3</v>
      </c>
      <c r="E23" s="22">
        <v>7.6923082815483212E-4</v>
      </c>
      <c r="F23"/>
      <c r="G23" s="27">
        <v>7.6923076994717121E-3</v>
      </c>
      <c r="H23" s="27">
        <v>7.6923076994717121E-3</v>
      </c>
      <c r="I23"/>
      <c r="J23"/>
      <c r="K23"/>
      <c r="L23"/>
      <c r="M23"/>
      <c r="N23"/>
      <c r="O23" s="12">
        <v>3.8461541407741606E-4</v>
      </c>
      <c r="P23"/>
      <c r="Q23"/>
      <c r="R23" s="266">
        <v>2.7769232168793678E-2</v>
      </c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 s="113">
        <v>1.8138462677598E-2</v>
      </c>
      <c r="AO23"/>
      <c r="AP23"/>
      <c r="AQ23"/>
      <c r="AR23" s="23">
        <v>6.092308321967721E-4</v>
      </c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0.30000001192092896</v>
      </c>
      <c r="C24">
        <v>3.5370077937841415E-2</v>
      </c>
      <c r="D24" s="256">
        <v>2.3952094838023186E-2</v>
      </c>
      <c r="E24" s="22">
        <v>2.3952096235007048E-3</v>
      </c>
      <c r="F24"/>
      <c r="G24" s="256">
        <v>2.3952094838023186E-2</v>
      </c>
      <c r="H24" s="256">
        <v>2.3952094838023186E-2</v>
      </c>
      <c r="I24"/>
      <c r="J24"/>
      <c r="K24"/>
      <c r="L24"/>
      <c r="M24"/>
      <c r="N24"/>
      <c r="O24" s="12">
        <v>1.1976048117503524E-3</v>
      </c>
      <c r="P24"/>
      <c r="Q24"/>
      <c r="R24" s="110">
        <v>4.7305386513471603E-2</v>
      </c>
      <c r="S24"/>
      <c r="T24"/>
      <c r="U24"/>
      <c r="V24"/>
      <c r="W24"/>
      <c r="X24"/>
      <c r="Y24"/>
      <c r="Z24" s="291">
        <v>1.3413172215223312E-2</v>
      </c>
      <c r="AA24"/>
      <c r="AB24"/>
      <c r="AC24"/>
      <c r="AD24" s="17">
        <v>4.0718563832342625E-3</v>
      </c>
      <c r="AE24"/>
      <c r="AF24"/>
      <c r="AG24"/>
      <c r="AH24"/>
      <c r="AI24"/>
      <c r="AJ24"/>
      <c r="AK24"/>
      <c r="AL24"/>
      <c r="AM24"/>
      <c r="AN24"/>
      <c r="AO24"/>
      <c r="AP24" s="299">
        <v>5.2929341793060303E-2</v>
      </c>
      <c r="AQ24"/>
      <c r="AR24"/>
      <c r="AS24"/>
      <c r="AT24" s="302">
        <v>7.146107405424118E-2</v>
      </c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1.3999999761581421</v>
      </c>
      <c r="C25">
        <v>0.45421475172042847</v>
      </c>
      <c r="D25"/>
      <c r="E25"/>
      <c r="F25"/>
      <c r="G25"/>
      <c r="H25"/>
      <c r="I25"/>
      <c r="J25" s="262">
        <v>0.31849998235702515</v>
      </c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 s="21">
        <v>2.79999990016222E-2</v>
      </c>
      <c r="AA25"/>
      <c r="AB25"/>
      <c r="AC25" s="11">
        <v>2.8018021839670837E-4</v>
      </c>
      <c r="AD25"/>
      <c r="AE25"/>
      <c r="AF25"/>
      <c r="AG25"/>
      <c r="AH25"/>
      <c r="AI25"/>
      <c r="AJ25"/>
      <c r="AK25"/>
      <c r="AL25"/>
      <c r="AM25"/>
      <c r="AN25" s="19">
        <v>2.3579999804496765E-2</v>
      </c>
      <c r="AO25"/>
      <c r="AP25" s="308">
        <v>0.55245006084442139</v>
      </c>
      <c r="AQ25" s="23">
        <v>7.9750008881092072E-3</v>
      </c>
      <c r="AR25" s="22">
        <v>1.2000000104308128E-2</v>
      </c>
      <c r="AS25" s="14">
        <v>2.9999997932463884E-3</v>
      </c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1</v>
      </c>
      <c r="C26">
        <v>0.51230365037918091</v>
      </c>
      <c r="D26"/>
      <c r="E26"/>
      <c r="F26"/>
      <c r="G26"/>
      <c r="H26"/>
      <c r="I26" s="261">
        <v>0.15549999475479126</v>
      </c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 s="17">
        <v>1.39999995008111E-2</v>
      </c>
      <c r="AA26"/>
      <c r="AB26"/>
      <c r="AC26" s="11">
        <v>1.4009010919835418E-4</v>
      </c>
      <c r="AD26"/>
      <c r="AE26"/>
      <c r="AF26"/>
      <c r="AG26"/>
      <c r="AH26"/>
      <c r="AI26"/>
      <c r="AJ26"/>
      <c r="AK26"/>
      <c r="AL26"/>
      <c r="AM26"/>
      <c r="AN26" s="285">
        <v>2.3579999804496765E-2</v>
      </c>
      <c r="AO26"/>
      <c r="AP26" s="309">
        <v>0.27622503042221069</v>
      </c>
      <c r="AQ26" s="23">
        <v>5.9812511317431927E-3</v>
      </c>
      <c r="AR26" s="15">
        <v>1.0019998997449875E-2</v>
      </c>
      <c r="AS26" s="14">
        <v>2.2499999031424522E-3</v>
      </c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1.2699999809265137</v>
      </c>
      <c r="C27">
        <v>0.40813693404197693</v>
      </c>
      <c r="D27"/>
      <c r="E27"/>
      <c r="F27"/>
      <c r="G27"/>
      <c r="H27"/>
      <c r="I27"/>
      <c r="J27"/>
      <c r="K27"/>
      <c r="L27" s="264">
        <v>0.33449998497962952</v>
      </c>
      <c r="M27"/>
      <c r="N27"/>
      <c r="O27"/>
      <c r="P27"/>
      <c r="Q27"/>
      <c r="R27"/>
      <c r="S27"/>
      <c r="T27"/>
      <c r="U27"/>
      <c r="V27"/>
      <c r="W27"/>
      <c r="X27"/>
      <c r="Y27"/>
      <c r="Z27" s="65">
        <v>2.79999990016222E-2</v>
      </c>
      <c r="AA27"/>
      <c r="AB27"/>
      <c r="AC27"/>
      <c r="AD27"/>
      <c r="AE27"/>
      <c r="AF27"/>
      <c r="AG27"/>
      <c r="AH27"/>
      <c r="AI27"/>
      <c r="AJ27"/>
      <c r="AK27"/>
      <c r="AL27"/>
      <c r="AM27"/>
      <c r="AN27" s="288">
        <v>9.4319999217987061E-2</v>
      </c>
      <c r="AO27"/>
      <c r="AP27" s="266">
        <v>0.35356804728507996</v>
      </c>
      <c r="AQ27" s="23">
        <v>7.9750008881092072E-3</v>
      </c>
      <c r="AR27" s="24">
        <v>3.6000002175569534E-2</v>
      </c>
      <c r="AS27" s="23">
        <v>7.4999998323619366E-3</v>
      </c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1.1000000238418579</v>
      </c>
      <c r="C28">
        <v>0.51923596858978271</v>
      </c>
      <c r="D28"/>
      <c r="E28"/>
      <c r="F28"/>
      <c r="G28"/>
      <c r="H28"/>
      <c r="I28"/>
      <c r="J28"/>
      <c r="K28"/>
      <c r="L28"/>
      <c r="M28" s="19">
        <v>1.9999999552965164E-2</v>
      </c>
      <c r="N28"/>
      <c r="O28"/>
      <c r="P28"/>
      <c r="Q28"/>
      <c r="R28"/>
      <c r="S28"/>
      <c r="T28"/>
      <c r="U28"/>
      <c r="V28"/>
      <c r="W28"/>
      <c r="X28" s="273">
        <v>7.9999998211860657E-2</v>
      </c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 s="22">
        <v>9.432000108063221E-3</v>
      </c>
      <c r="AO28"/>
      <c r="AP28" s="307">
        <v>0.44196006655693054</v>
      </c>
      <c r="AQ28" s="23">
        <v>6.3800006173551083E-3</v>
      </c>
      <c r="AR28" s="22">
        <v>8.3520002663135529E-3</v>
      </c>
      <c r="AS28" s="11">
        <v>5.9999997029080987E-4</v>
      </c>
      <c r="AT28" s="17">
        <v>1.4040000736713409E-2</v>
      </c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0.74000000953674316</v>
      </c>
      <c r="C29">
        <v>0.33970507979393005</v>
      </c>
      <c r="D29"/>
      <c r="E29"/>
      <c r="F29"/>
      <c r="G29"/>
      <c r="H29"/>
      <c r="I29"/>
      <c r="J29"/>
      <c r="K29"/>
      <c r="L29"/>
      <c r="M29" s="24">
        <v>1.974358968436718E-2</v>
      </c>
      <c r="N29"/>
      <c r="O29"/>
      <c r="P29"/>
      <c r="Q29"/>
      <c r="R29"/>
      <c r="S29"/>
      <c r="T29"/>
      <c r="U29"/>
      <c r="V29"/>
      <c r="W29"/>
      <c r="X29" s="274">
        <v>7.6923079788684845E-2</v>
      </c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 s="22">
        <v>6.0461540706455708E-3</v>
      </c>
      <c r="AO29"/>
      <c r="AP29" s="306">
        <v>0.28330773115158081</v>
      </c>
      <c r="AQ29" s="23">
        <v>4.089744295924902E-3</v>
      </c>
      <c r="AR29" s="14">
        <v>8.0000009620562196E-4</v>
      </c>
      <c r="AS29" s="11">
        <v>3.8461538497358561E-4</v>
      </c>
      <c r="AT29" s="18">
        <v>9.0000005438923836E-3</v>
      </c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0.10000000149011612</v>
      </c>
      <c r="C30">
        <v>4.8578649759292603E-2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 s="143">
        <v>3.3923078328371048E-2</v>
      </c>
      <c r="U30"/>
      <c r="V30"/>
      <c r="W30"/>
      <c r="X30"/>
      <c r="Y30"/>
      <c r="Z30"/>
      <c r="AA30"/>
      <c r="AB30"/>
      <c r="AC30"/>
      <c r="AD30" s="17">
        <v>1.3076923787593842E-3</v>
      </c>
      <c r="AE30"/>
      <c r="AF30"/>
      <c r="AG30"/>
      <c r="AH30"/>
      <c r="AI30"/>
      <c r="AJ30"/>
      <c r="AK30"/>
      <c r="AL30"/>
      <c r="AM30"/>
      <c r="AN30" s="13">
        <v>3.6276925820857286E-3</v>
      </c>
      <c r="AO30"/>
      <c r="AP30" s="19">
        <v>1.6998464707285166E-3</v>
      </c>
      <c r="AQ30" s="11">
        <v>1.2269233593542594E-5</v>
      </c>
      <c r="AR30"/>
      <c r="AS30"/>
      <c r="AT30"/>
      <c r="AU30"/>
      <c r="AV30"/>
      <c r="AW30"/>
      <c r="AX30"/>
      <c r="AY30"/>
      <c r="AZ30" s="288">
        <v>7.4999998323619366E-3</v>
      </c>
      <c r="BA30"/>
      <c r="BB30"/>
      <c r="BC30"/>
      <c r="BD30"/>
      <c r="BE30"/>
      <c r="BF30" s="281">
        <v>3.3507694024592638E-3</v>
      </c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0.15000000596046448</v>
      </c>
      <c r="C31">
        <v>0.10453323274850845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 s="267">
        <v>1.6455695033073425E-2</v>
      </c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 s="144">
        <v>1.4924050308763981E-2</v>
      </c>
      <c r="AO31"/>
      <c r="AP31" s="74">
        <v>1.3986077159643173E-2</v>
      </c>
      <c r="AQ31" s="11">
        <v>1.0094938625115901E-4</v>
      </c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0.18000000715255737</v>
      </c>
      <c r="C32">
        <v>2.6525899767875671E-2</v>
      </c>
      <c r="D32"/>
      <c r="E32" s="23">
        <v>1.0000000474974513E-3</v>
      </c>
      <c r="F32"/>
      <c r="G32"/>
      <c r="H32"/>
      <c r="I32"/>
      <c r="J32"/>
      <c r="K32"/>
      <c r="L32"/>
      <c r="M32"/>
      <c r="N32"/>
      <c r="O32"/>
      <c r="P32"/>
      <c r="Q32"/>
      <c r="R32" s="268">
        <v>0.11739999800920486</v>
      </c>
      <c r="S32"/>
      <c r="T32"/>
      <c r="U32"/>
      <c r="V32"/>
      <c r="W32"/>
      <c r="X32"/>
      <c r="Y32"/>
      <c r="Z32" s="25">
        <v>5.59999980032444E-3</v>
      </c>
      <c r="AA32"/>
      <c r="AB32"/>
      <c r="AC32" s="12">
        <v>5.6036037858575583E-4</v>
      </c>
      <c r="AD32"/>
      <c r="AE32"/>
      <c r="AF32"/>
      <c r="AG32"/>
      <c r="AH32"/>
      <c r="AI32"/>
      <c r="AJ32"/>
      <c r="AK32"/>
      <c r="AL32"/>
      <c r="AM32"/>
      <c r="AN32" s="26">
        <v>4.7160000540316105E-3</v>
      </c>
      <c r="AO32"/>
      <c r="AP32" s="18">
        <v>2.2098002955317497E-3</v>
      </c>
      <c r="AQ32" s="11">
        <v>1.5950003216858022E-5</v>
      </c>
      <c r="AR32"/>
      <c r="AS32"/>
      <c r="AT32" s="21">
        <v>3.5100001841783524E-3</v>
      </c>
      <c r="AU32"/>
      <c r="AV32"/>
      <c r="AW32"/>
      <c r="AX32"/>
      <c r="AY32"/>
      <c r="AZ32" s="64">
        <v>9.7499992698431015E-3</v>
      </c>
      <c r="BA32"/>
      <c r="BB32"/>
      <c r="BC32"/>
      <c r="BD32"/>
      <c r="BE32"/>
      <c r="BF32" s="265">
        <v>8.7120002135634422E-3</v>
      </c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0.5</v>
      </c>
      <c r="C33">
        <v>0.10238602757453918</v>
      </c>
      <c r="D33" s="65">
        <v>1.075268816202879E-2</v>
      </c>
      <c r="E33"/>
      <c r="F33"/>
      <c r="G33" s="22">
        <v>4.301074892282486E-3</v>
      </c>
      <c r="H33"/>
      <c r="I33"/>
      <c r="J33"/>
      <c r="K33"/>
      <c r="L33"/>
      <c r="M33"/>
      <c r="N33"/>
      <c r="O33"/>
      <c r="P33"/>
      <c r="Q33"/>
      <c r="R33" s="65">
        <v>1.075268816202879E-2</v>
      </c>
      <c r="S33" s="270">
        <v>0.24731181561946869</v>
      </c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 s="29">
        <v>2.3761292919516563E-2</v>
      </c>
      <c r="AQ33" s="12">
        <v>1.7150539206340909E-3</v>
      </c>
      <c r="AR33"/>
      <c r="AS33"/>
      <c r="AT33" s="277">
        <v>7.548387348651886E-2</v>
      </c>
      <c r="AU33"/>
      <c r="AV33"/>
      <c r="AW33"/>
      <c r="AX33"/>
      <c r="AY33"/>
      <c r="AZ33"/>
      <c r="BA33"/>
      <c r="BB33"/>
      <c r="BC33"/>
      <c r="BD33" s="15">
        <v>4.8000002279877663E-3</v>
      </c>
      <c r="BE33"/>
      <c r="BF33" s="13">
        <v>1.8735485151410103E-2</v>
      </c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0.60000002384185791</v>
      </c>
      <c r="C34">
        <v>0.36220073699951172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84">
        <v>3.2118957489728928E-2</v>
      </c>
      <c r="AC34"/>
      <c r="AD34" s="15">
        <v>6.3197026029229164E-3</v>
      </c>
      <c r="AE34"/>
      <c r="AF34"/>
      <c r="AG34"/>
      <c r="AH34"/>
      <c r="AI34"/>
      <c r="AJ34"/>
      <c r="AK34"/>
      <c r="AL34"/>
      <c r="AM34"/>
      <c r="AN34" s="67">
        <v>3.5063199698925018E-2</v>
      </c>
      <c r="AO34"/>
      <c r="AP34" s="300">
        <v>0.16429741680622101</v>
      </c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0.24000000953674316</v>
      </c>
      <c r="C35">
        <v>0.15432508289813995</v>
      </c>
      <c r="D35"/>
      <c r="E35" s="18">
        <v>2.7548209764063358E-3</v>
      </c>
      <c r="F35"/>
      <c r="G35" s="18">
        <v>2.7548209764063358E-3</v>
      </c>
      <c r="H35"/>
      <c r="I35"/>
      <c r="J35"/>
      <c r="K35"/>
      <c r="L35"/>
      <c r="M35"/>
      <c r="N35"/>
      <c r="O35"/>
      <c r="P35"/>
      <c r="Q35"/>
      <c r="R35" s="269">
        <v>4.4352617114782333E-2</v>
      </c>
      <c r="S35"/>
      <c r="T35"/>
      <c r="U35"/>
      <c r="V35"/>
      <c r="W35"/>
      <c r="X35" s="275">
        <v>3.5812672227621078E-2</v>
      </c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0.18999999761581421</v>
      </c>
      <c r="C36">
        <v>4.9104940146207809E-2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 s="271">
        <v>7.9801984131336212E-2</v>
      </c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 s="265">
        <v>9.3386135995388031E-3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 s="298">
        <v>5.1754459738731384E-2</v>
      </c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0.2199999988079071</v>
      </c>
      <c r="C37">
        <v>5.1092647016048431E-2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 s="66">
        <v>9.2657338827848434E-3</v>
      </c>
      <c r="V37"/>
      <c r="W37"/>
      <c r="X37"/>
      <c r="Y37"/>
      <c r="Z37"/>
      <c r="AA37"/>
      <c r="AB37"/>
      <c r="AC37"/>
      <c r="AD37" s="24">
        <v>5.9440559707581997E-3</v>
      </c>
      <c r="AE37"/>
      <c r="AF37"/>
      <c r="AG37"/>
      <c r="AH37"/>
      <c r="AI37"/>
      <c r="AJ37"/>
      <c r="AK37"/>
      <c r="AL37"/>
      <c r="AM37"/>
      <c r="AN37" s="13">
        <v>8.244754746556282E-3</v>
      </c>
      <c r="AO37"/>
      <c r="AP37" s="301">
        <v>9.6582174301147461E-2</v>
      </c>
      <c r="AQ37"/>
      <c r="AR37"/>
      <c r="AS37"/>
      <c r="AT37" s="289">
        <v>1.8409090116620064E-2</v>
      </c>
      <c r="AU37"/>
      <c r="AV37"/>
      <c r="AW37"/>
      <c r="AX37"/>
      <c r="AY37"/>
      <c r="AZ37"/>
      <c r="BA37"/>
      <c r="BB37"/>
      <c r="BC37"/>
      <c r="BD37"/>
      <c r="BE37"/>
      <c r="BF37" s="293">
        <v>3.0461538583040237E-2</v>
      </c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0.25</v>
      </c>
      <c r="C38">
        <v>6.293274462223053E-2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 s="16">
        <v>3.9045552257448435E-3</v>
      </c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 s="287">
        <v>2.0459869876503944E-2</v>
      </c>
      <c r="AO38"/>
      <c r="AP38" s="303">
        <v>0.14380478858947754</v>
      </c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 s="27">
        <v>1.8898047506809235E-2</v>
      </c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0.60000002384185791</v>
      </c>
      <c r="C39">
        <v>5.30397929251194E-2</v>
      </c>
      <c r="D39"/>
      <c r="E39" s="14">
        <v>7.6923082815483212E-4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 s="272">
        <v>3.3846154808998108E-2</v>
      </c>
      <c r="V39"/>
      <c r="W39"/>
      <c r="X39"/>
      <c r="Y39"/>
      <c r="Z39" s="17">
        <v>8.6153848096728325E-3</v>
      </c>
      <c r="AA39"/>
      <c r="AB39"/>
      <c r="AC39" s="14">
        <v>1.2931394157931209E-3</v>
      </c>
      <c r="AD39" s="17">
        <v>7.8461533412337303E-3</v>
      </c>
      <c r="AE39"/>
      <c r="AF39"/>
      <c r="AG39"/>
      <c r="AH39"/>
      <c r="AI39"/>
      <c r="AJ39"/>
      <c r="AK39"/>
      <c r="AL39"/>
      <c r="AM39"/>
      <c r="AN39"/>
      <c r="AO39"/>
      <c r="AP39" s="305">
        <v>6.7993849515914917E-2</v>
      </c>
      <c r="AQ39"/>
      <c r="AR39"/>
      <c r="AS39"/>
      <c r="AT39" s="273">
        <v>4.320000484585762E-2</v>
      </c>
      <c r="AU39"/>
      <c r="AV39"/>
      <c r="AW39"/>
      <c r="AX39"/>
      <c r="AY39"/>
      <c r="AZ39"/>
      <c r="BA39" s="310">
        <v>9.6000000834465027E-2</v>
      </c>
      <c r="BB39"/>
      <c r="BC39"/>
      <c r="BD39" s="14">
        <v>1.030153944157064E-3</v>
      </c>
      <c r="BE39"/>
      <c r="BF39" s="23">
        <v>3.3507694024592638E-3</v>
      </c>
      <c r="BG39"/>
      <c r="BH39"/>
      <c r="BI39"/>
      <c r="BJ39"/>
      <c r="BK39"/>
      <c r="BL39" s="311">
        <v>0.28301542997360229</v>
      </c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>
        <v>0.5</v>
      </c>
      <c r="C40">
        <v>0.17018944025039673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 s="14">
        <v>1.2444444000720978E-3</v>
      </c>
      <c r="AA40"/>
      <c r="AB40"/>
      <c r="AC40" s="11">
        <v>1.2452452210709453E-4</v>
      </c>
      <c r="AD40"/>
      <c r="AE40"/>
      <c r="AF40" s="14">
        <v>9.9146668799221516E-4</v>
      </c>
      <c r="AG40"/>
      <c r="AH40" s="14">
        <v>1.4525778824463487E-3</v>
      </c>
      <c r="AI40"/>
      <c r="AJ40"/>
      <c r="AK40" s="69">
        <v>2.5016443803906441E-2</v>
      </c>
      <c r="AL40" s="12">
        <v>1.841777702793479E-3</v>
      </c>
      <c r="AM40"/>
      <c r="AN40" s="65">
        <v>1.0479999706149101E-2</v>
      </c>
      <c r="AO40"/>
      <c r="AP40"/>
      <c r="AQ40"/>
      <c r="AR40" s="11">
        <v>1.7600000137463212E-4</v>
      </c>
      <c r="AS40" s="11">
        <v>1.9999999494757503E-4</v>
      </c>
      <c r="AT40"/>
      <c r="AU40"/>
      <c r="AV40" s="285">
        <v>1.1866665445268154E-2</v>
      </c>
      <c r="AW40" s="23">
        <v>3.1111110001802444E-3</v>
      </c>
      <c r="AX40" s="65">
        <v>1.1199998669326305E-2</v>
      </c>
      <c r="AY40" s="313">
        <v>0.10908332467079163</v>
      </c>
      <c r="AZ40" s="112">
        <v>8.6666665971279144E-2</v>
      </c>
      <c r="BA40"/>
      <c r="BB40"/>
      <c r="BC40"/>
      <c r="BD40"/>
      <c r="BE40"/>
      <c r="BF40"/>
      <c r="BG40"/>
      <c r="BH40"/>
      <c r="BI40"/>
      <c r="BJ40"/>
      <c r="BK40"/>
      <c r="BL40"/>
      <c r="BM40" s="148">
        <v>3.0799997970461845E-2</v>
      </c>
      <c r="BN40"/>
      <c r="BO40"/>
      <c r="BP40"/>
      <c r="BQ40"/>
      <c r="BR40"/>
      <c r="BS40" s="71">
        <v>3.5555556416511536E-2</v>
      </c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>
        <v>1.5768001079559326</v>
      </c>
      <c r="C41">
        <v>0.61047834157943726</v>
      </c>
      <c r="D41" s="14">
        <v>2.0000000949949026E-3</v>
      </c>
      <c r="E41" s="11">
        <v>1.4285715587902814E-4</v>
      </c>
      <c r="F41"/>
      <c r="G41" s="11">
        <v>1.4285714132711291E-3</v>
      </c>
      <c r="H41"/>
      <c r="I41"/>
      <c r="J41"/>
      <c r="K41"/>
      <c r="L41"/>
      <c r="M41"/>
      <c r="N41"/>
      <c r="O41"/>
      <c r="P41"/>
      <c r="Q41"/>
      <c r="R41" s="14">
        <v>3.2857141923159361E-3</v>
      </c>
      <c r="S41"/>
      <c r="T41"/>
      <c r="U41"/>
      <c r="V41"/>
      <c r="W41"/>
      <c r="X41"/>
      <c r="Y41" s="14">
        <v>2.3169624619185925E-3</v>
      </c>
      <c r="Z41" s="23">
        <v>8.0000003799796104E-3</v>
      </c>
      <c r="AA41" s="14">
        <v>4.1345455683767796E-3</v>
      </c>
      <c r="AB41" s="18">
        <v>1.8514286726713181E-2</v>
      </c>
      <c r="AC41" s="11">
        <v>8.0051488475874066E-4</v>
      </c>
      <c r="AD41" s="14">
        <v>3.6428573075681925E-3</v>
      </c>
      <c r="AE41" s="14">
        <v>3.1758246477693319E-3</v>
      </c>
      <c r="AF41" s="23">
        <v>8.7957261130213737E-3</v>
      </c>
      <c r="AG41" s="23">
        <v>8.5841426625847816E-3</v>
      </c>
      <c r="AH41" s="66">
        <v>6.5365999937057495E-2</v>
      </c>
      <c r="AI41"/>
      <c r="AJ41"/>
      <c r="AK41" s="14">
        <v>1.6028571408241987E-3</v>
      </c>
      <c r="AL41" s="26">
        <v>3.9486400783061981E-2</v>
      </c>
      <c r="AM41"/>
      <c r="AN41" s="14">
        <v>3.368571400642395E-3</v>
      </c>
      <c r="AO41"/>
      <c r="AP41" s="15">
        <v>1.5784287825226784E-2</v>
      </c>
      <c r="AQ41" s="11">
        <v>4.5571436203317717E-5</v>
      </c>
      <c r="AR41"/>
      <c r="AS41" s="11">
        <v>4.2857142398133874E-4</v>
      </c>
      <c r="AT41" s="25">
        <v>4.9139998853206635E-2</v>
      </c>
      <c r="AU41" s="14">
        <v>1.5742856776341796E-3</v>
      </c>
      <c r="AV41" s="15">
        <v>1.6274286434054375E-2</v>
      </c>
      <c r="AW41" s="21">
        <v>3.0000001192092896E-2</v>
      </c>
      <c r="AX41" s="12">
        <v>6.2399995513260365E-3</v>
      </c>
      <c r="AY41" s="11">
        <v>1.3749999925494194E-3</v>
      </c>
      <c r="AZ41" s="11">
        <v>2.785714459605515E-4</v>
      </c>
      <c r="BA41" s="23">
        <v>8.9142853394150734E-3</v>
      </c>
      <c r="BB41"/>
      <c r="BC41" s="285">
        <v>3.7142854183912277E-2</v>
      </c>
      <c r="BD41" s="11">
        <v>5.4205721244215965E-4</v>
      </c>
      <c r="BE41" s="14">
        <v>4.6114283613860607E-3</v>
      </c>
      <c r="BF41" s="16">
        <v>2.5513714179396629E-2</v>
      </c>
      <c r="BG41" s="12">
        <v>6.4062858000397682E-3</v>
      </c>
      <c r="BH41" s="21">
        <v>3.0822630971670151E-2</v>
      </c>
      <c r="BI41"/>
      <c r="BJ41" s="17">
        <v>2.2285712882876396E-2</v>
      </c>
      <c r="BK41"/>
      <c r="BL41" s="111">
        <v>0.10512001067399979</v>
      </c>
      <c r="BM41"/>
      <c r="BN41" s="298">
        <v>0.42917647957801819</v>
      </c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>
        <v>0.44999998807907104</v>
      </c>
      <c r="C42">
        <v>0.23575475811958313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 s="147">
        <v>1.3285715132951736E-2</v>
      </c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 s="294">
        <v>8.9828573167324066E-2</v>
      </c>
      <c r="AO42"/>
      <c r="AP42" s="297">
        <v>0.10522858053445816</v>
      </c>
      <c r="AQ42" s="14">
        <v>7.5952394399791956E-4</v>
      </c>
      <c r="AR42" s="23">
        <v>2.2857142612338066E-3</v>
      </c>
      <c r="AS42" s="23">
        <v>2.8571428265422583E-3</v>
      </c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233</v>
      </c>
      <c r="B43">
        <v>2.2999999523162842</v>
      </c>
      <c r="C43">
        <v>0.11500002443790436</v>
      </c>
      <c r="D43"/>
      <c r="E43"/>
      <c r="F43"/>
      <c r="G43"/>
      <c r="H43"/>
      <c r="I43"/>
      <c r="J43"/>
      <c r="K43"/>
      <c r="L43"/>
      <c r="M43"/>
      <c r="N43"/>
      <c r="O43" s="11">
        <v>3.8279290311038494E-4</v>
      </c>
      <c r="P43"/>
      <c r="Q43"/>
      <c r="R43"/>
      <c r="S43"/>
      <c r="T43"/>
      <c r="U43"/>
      <c r="V43" s="11">
        <v>2.5136736803688109E-4</v>
      </c>
      <c r="W43"/>
      <c r="X43"/>
      <c r="Y43" s="14">
        <v>3.173191100358963E-3</v>
      </c>
      <c r="Z43" s="12">
        <v>9.9322004243731499E-3</v>
      </c>
      <c r="AA43" s="14">
        <v>3.6929077468812466E-3</v>
      </c>
      <c r="AB43" s="14">
        <v>5.5122175253927708E-3</v>
      </c>
      <c r="AC43"/>
      <c r="AD43" s="11">
        <v>9.1104710008949041E-4</v>
      </c>
      <c r="AE43" s="14">
        <v>3.7821251899003983E-3</v>
      </c>
      <c r="AF43" s="11">
        <v>1.1385792167857289E-3</v>
      </c>
      <c r="AG43" s="12">
        <v>7.6672141440212727E-3</v>
      </c>
      <c r="AH43" s="22">
        <v>1.6681093722581863E-2</v>
      </c>
      <c r="AI43"/>
      <c r="AJ43"/>
      <c r="AK43" s="14">
        <v>3.8177210371941328E-3</v>
      </c>
      <c r="AL43" s="14">
        <v>5.2876458503305912E-3</v>
      </c>
      <c r="AM43"/>
      <c r="AN43" s="12">
        <v>7.1608303114771843E-3</v>
      </c>
      <c r="AO43" s="16">
        <v>3.7019774317741394E-2</v>
      </c>
      <c r="AP43" s="147">
        <v>6.5415941178798676E-2</v>
      </c>
      <c r="AQ43" s="11">
        <v>4.6809198101982474E-4</v>
      </c>
      <c r="AR43" s="11">
        <v>1.4393012679647654E-4</v>
      </c>
      <c r="AS43" s="11">
        <v>1.1483787238830701E-4</v>
      </c>
      <c r="AT43" s="280">
        <v>9.2260748147964478E-2</v>
      </c>
      <c r="AU43"/>
      <c r="AV43" s="15">
        <v>2.3280186578631401E-2</v>
      </c>
      <c r="AW43" s="21">
        <v>4.4659171253442764E-2</v>
      </c>
      <c r="AX43" s="14">
        <v>6.4309197477996349E-3</v>
      </c>
      <c r="AY43" s="26">
        <v>5.7967603206634521E-2</v>
      </c>
      <c r="AZ43" s="28">
        <v>8.3353154361248016E-2</v>
      </c>
      <c r="BA43"/>
      <c r="BB43"/>
      <c r="BC43"/>
      <c r="BD43" s="11">
        <v>1.9935856107622385E-4</v>
      </c>
      <c r="BE43"/>
      <c r="BF43" s="24">
        <v>6.1139687895774841E-2</v>
      </c>
      <c r="BG43" s="11">
        <v>4.6394503442570567E-4</v>
      </c>
      <c r="BH43" s="11">
        <v>6.7146983928978443E-4</v>
      </c>
      <c r="BI43"/>
      <c r="BJ43"/>
      <c r="BK43"/>
      <c r="BL43" s="323">
        <v>1.1736431121826172</v>
      </c>
      <c r="BM43" s="21">
        <v>4.4212579727172852E-2</v>
      </c>
      <c r="BN43" s="322">
        <v>0.38333332538604736</v>
      </c>
      <c r="BO43"/>
      <c r="BP43"/>
      <c r="BQ43"/>
      <c r="BR43"/>
      <c r="BS43" s="19">
        <v>4.0831245481967926E-2</v>
      </c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234</v>
      </c>
      <c r="B44">
        <v>6</v>
      </c>
      <c r="C44">
        <v>0.57827389240264893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 s="11">
        <v>1.3215267099440098E-3</v>
      </c>
      <c r="Z44" s="11">
        <v>4.666666965931654E-3</v>
      </c>
      <c r="AA44" s="14">
        <v>6.1635356396436691E-3</v>
      </c>
      <c r="AB44" s="11">
        <v>2.3999998811632395E-3</v>
      </c>
      <c r="AC44"/>
      <c r="AD44"/>
      <c r="AE44" s="11">
        <v>1.6467238310724497E-3</v>
      </c>
      <c r="AF44" s="11">
        <v>1.9829333759844303E-3</v>
      </c>
      <c r="AG44" s="14">
        <v>7.7329715713858604E-3</v>
      </c>
      <c r="AH44" s="24">
        <v>0.16050985455513</v>
      </c>
      <c r="AI44" s="14">
        <v>1.4775412157177925E-2</v>
      </c>
      <c r="AJ44" s="23">
        <v>4.0700003504753113E-2</v>
      </c>
      <c r="AK44" s="11">
        <v>1.0388888767920434E-4</v>
      </c>
      <c r="AL44" s="11">
        <v>8.2879996625706553E-4</v>
      </c>
      <c r="AM44" s="11">
        <v>2.3845001123845577E-3</v>
      </c>
      <c r="AN44"/>
      <c r="AO44" s="12">
        <v>1.8420888110995293E-2</v>
      </c>
      <c r="AP44"/>
      <c r="AQ44"/>
      <c r="AR44"/>
      <c r="AS44" s="11">
        <v>8.3333332440815866E-5</v>
      </c>
      <c r="AT44" s="12">
        <v>2.7104998007416725E-2</v>
      </c>
      <c r="AU44"/>
      <c r="AV44" s="14">
        <v>8.8505558669567108E-3</v>
      </c>
      <c r="AW44" s="14">
        <v>8.5555557161569595E-3</v>
      </c>
      <c r="AX44" s="11">
        <v>4.1066664271056652E-3</v>
      </c>
      <c r="AY44" s="14">
        <v>1.326111052185297E-2</v>
      </c>
      <c r="AZ44" s="12">
        <v>1.8416665494441986E-2</v>
      </c>
      <c r="BA44" s="21">
        <v>0.11613333225250244</v>
      </c>
      <c r="BB44" s="12">
        <v>2.1224668249487877E-2</v>
      </c>
      <c r="BC44" s="12">
        <v>2.8888888657093048E-2</v>
      </c>
      <c r="BD44" s="14">
        <v>8.6924005299806595E-3</v>
      </c>
      <c r="BE44" s="14">
        <v>6.7250002175569534E-3</v>
      </c>
      <c r="BF44"/>
      <c r="BG44" s="11">
        <v>4.7133336192928255E-4</v>
      </c>
      <c r="BH44"/>
      <c r="BI44"/>
      <c r="BJ44"/>
      <c r="BK44" s="77">
        <v>0.39100000262260437</v>
      </c>
      <c r="BL44" s="12">
        <v>2.0440002903342247E-2</v>
      </c>
      <c r="BM44" s="11">
        <v>1.5399999683722854E-3</v>
      </c>
      <c r="BN44" s="324">
        <v>0.66760784387588501</v>
      </c>
      <c r="BO44"/>
      <c r="BP44" s="327">
        <v>1.3888888359069824</v>
      </c>
      <c r="BQ44"/>
      <c r="BR44" s="325">
        <v>1.0833333730697632</v>
      </c>
      <c r="BS44" s="12">
        <v>1.7777778208255768E-2</v>
      </c>
      <c r="BT44" s="74">
        <v>0.56639504432678223</v>
      </c>
      <c r="BU44" s="260">
        <v>0.7585909366607666</v>
      </c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235</v>
      </c>
      <c r="B45">
        <v>7</v>
      </c>
      <c r="C45">
        <v>0.56786179542541504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 s="14">
        <v>1.6168830916285515E-2</v>
      </c>
      <c r="AB45"/>
      <c r="AC45"/>
      <c r="AD45"/>
      <c r="AE45" s="11">
        <v>1.1263589840382338E-3</v>
      </c>
      <c r="AF45" s="11">
        <v>3.5692800884135067E-4</v>
      </c>
      <c r="AG45" s="14">
        <v>9.3404166400432587E-3</v>
      </c>
      <c r="AH45" s="12">
        <v>2.6146400719881058E-2</v>
      </c>
      <c r="AI45" s="12">
        <v>2.4500317871570587E-2</v>
      </c>
      <c r="AJ45" s="14">
        <v>1.8216000869870186E-2</v>
      </c>
      <c r="AK45"/>
      <c r="AL45" s="11">
        <v>1.6575999325141311E-4</v>
      </c>
      <c r="AM45" s="11">
        <v>1.295160036534071E-3</v>
      </c>
      <c r="AN45"/>
      <c r="AO45" s="11">
        <v>1.077622058801353E-3</v>
      </c>
      <c r="AP45"/>
      <c r="AQ45"/>
      <c r="AR45"/>
      <c r="AS45"/>
      <c r="AT45" s="14">
        <v>1.3899599201977253E-2</v>
      </c>
      <c r="AU45"/>
      <c r="AV45" s="12">
        <v>2.7839198708534241E-2</v>
      </c>
      <c r="AW45" s="12">
        <v>3.3487997949123383E-2</v>
      </c>
      <c r="AX45" s="12">
        <v>2.4729600176215172E-2</v>
      </c>
      <c r="AY45" s="11">
        <v>1.5399999683722854E-3</v>
      </c>
      <c r="AZ45"/>
      <c r="BA45"/>
      <c r="BB45" s="11">
        <v>8.216000278480351E-4</v>
      </c>
      <c r="BC45"/>
      <c r="BD45" s="11">
        <v>9.017281117849052E-4</v>
      </c>
      <c r="BE45" s="14">
        <v>7.1015995927155018E-3</v>
      </c>
      <c r="BF45"/>
      <c r="BG45" s="11">
        <v>4.5086401514708996E-3</v>
      </c>
      <c r="BH45" s="11">
        <v>3.1574401073157787E-3</v>
      </c>
      <c r="BI45" s="11">
        <v>3.6880001425743103E-3</v>
      </c>
      <c r="BJ45"/>
      <c r="BK45" s="280">
        <v>0.26927998661994934</v>
      </c>
      <c r="BL45" s="14">
        <v>1.4716801233589649E-2</v>
      </c>
      <c r="BM45" s="11">
        <v>5.5439997231587768E-4</v>
      </c>
      <c r="BN45" s="267">
        <v>0.76908415555953979</v>
      </c>
      <c r="BO45" s="77">
        <v>0.446399986743927</v>
      </c>
      <c r="BP45" s="328">
        <v>1</v>
      </c>
      <c r="BQ45"/>
      <c r="BR45" s="329">
        <v>2.1450002193450928</v>
      </c>
      <c r="BS45" s="14">
        <v>1.9200000911951065E-2</v>
      </c>
      <c r="BT45" s="274">
        <v>0.73404800891876221</v>
      </c>
      <c r="BU45" s="75">
        <v>0.54618549346923828</v>
      </c>
      <c r="BV45"/>
      <c r="BW45" s="21">
        <v>0.13859999179840088</v>
      </c>
      <c r="BX45"/>
      <c r="BY45" s="19">
        <v>0.1289999932050705</v>
      </c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236</v>
      </c>
      <c r="B46">
        <v>27</v>
      </c>
      <c r="C46">
        <v>4.5941333770751953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 s="11">
        <v>4.2062113061547279E-3</v>
      </c>
      <c r="AB46"/>
      <c r="AC46"/>
      <c r="AD46"/>
      <c r="AE46"/>
      <c r="AF46"/>
      <c r="AG46" s="11">
        <v>8.7014958262443542E-3</v>
      </c>
      <c r="AH46" s="11">
        <v>5.2292798645794392E-3</v>
      </c>
      <c r="AI46" s="14">
        <v>3.4977428615093231E-2</v>
      </c>
      <c r="AJ46" s="14">
        <v>3.1679999083280563E-2</v>
      </c>
      <c r="AK46"/>
      <c r="AL46"/>
      <c r="AM46"/>
      <c r="AN46"/>
      <c r="AO46"/>
      <c r="AP46"/>
      <c r="AQ46"/>
      <c r="AR46"/>
      <c r="AS46"/>
      <c r="AT46"/>
      <c r="AU46"/>
      <c r="AV46" s="11">
        <v>7.0843994617462158E-3</v>
      </c>
      <c r="AW46" s="11">
        <v>1.5680000185966492E-2</v>
      </c>
      <c r="AX46" s="11">
        <v>5.5775996297597885E-3</v>
      </c>
      <c r="AY46"/>
      <c r="AZ46"/>
      <c r="BA46"/>
      <c r="BB46"/>
      <c r="BC46"/>
      <c r="BD46" s="11">
        <v>4.4640005216933787E-4</v>
      </c>
      <c r="BE46" s="11">
        <v>7.1015995927155018E-3</v>
      </c>
      <c r="BF46"/>
      <c r="BG46"/>
      <c r="BH46"/>
      <c r="BI46"/>
      <c r="BJ46"/>
      <c r="BK46" s="15">
        <v>0.26927998661994934</v>
      </c>
      <c r="BL46"/>
      <c r="BM46"/>
      <c r="BN46" s="16">
        <v>0.43260985612869263</v>
      </c>
      <c r="BO46" s="265">
        <v>1.3392000198364258</v>
      </c>
      <c r="BP46" s="331">
        <v>17</v>
      </c>
      <c r="BQ46"/>
      <c r="BR46" s="273">
        <v>1.9500001668930054</v>
      </c>
      <c r="BS46" s="11">
        <v>1.2800000607967377E-2</v>
      </c>
      <c r="BT46" s="16">
        <v>0.4078044593334198</v>
      </c>
      <c r="BU46" s="21">
        <v>0.54618549346923828</v>
      </c>
      <c r="BV46"/>
      <c r="BW46" s="14">
        <v>6.9299995899200439E-2</v>
      </c>
      <c r="BX46"/>
      <c r="BY46" s="15">
        <v>0.25799998641014099</v>
      </c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237</v>
      </c>
      <c r="B47">
        <v>9.6000003814697266</v>
      </c>
      <c r="C47">
        <v>8.8966760635375977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 s="11">
        <v>4.6400637365877628E-3</v>
      </c>
      <c r="AG47" s="11">
        <v>4.259473062120378E-4</v>
      </c>
      <c r="AH47"/>
      <c r="AI47"/>
      <c r="AJ47"/>
      <c r="AK47"/>
      <c r="AL47"/>
      <c r="AM47"/>
      <c r="AN47"/>
      <c r="AO47"/>
      <c r="AP47"/>
      <c r="AQ47"/>
      <c r="AR47"/>
      <c r="AS47"/>
      <c r="AT47" s="14">
        <v>1.0389599949121475E-2</v>
      </c>
      <c r="AU47"/>
      <c r="AV47" s="11">
        <v>7.8319996828213334E-4</v>
      </c>
      <c r="AW47" s="14">
        <v>2.4416001513600349E-2</v>
      </c>
      <c r="AX47" s="11">
        <v>4.0319998515769839E-4</v>
      </c>
      <c r="AY47"/>
      <c r="AZ47"/>
      <c r="BA47"/>
      <c r="BB47"/>
      <c r="BC47"/>
      <c r="BD47"/>
      <c r="BE47" s="14">
        <v>1.2266398407518864E-2</v>
      </c>
      <c r="BF47"/>
      <c r="BG47"/>
      <c r="BH47"/>
      <c r="BI47"/>
      <c r="BJ47"/>
      <c r="BK47"/>
      <c r="BL47"/>
      <c r="BM47"/>
      <c r="BN47"/>
      <c r="BO47"/>
      <c r="BP47"/>
      <c r="BQ47"/>
      <c r="BR47" s="282">
        <v>0.64999997615814209</v>
      </c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238</v>
      </c>
      <c r="B48">
        <v>2.5999999046325684</v>
      </c>
      <c r="C48">
        <v>2.2135615348815918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 s="11">
        <v>2.0000000949949026E-3</v>
      </c>
      <c r="X48"/>
      <c r="Y48"/>
      <c r="Z48"/>
      <c r="AA48"/>
      <c r="AB48"/>
      <c r="AC48"/>
      <c r="AD48" s="14">
        <v>3.4000000450760126E-3</v>
      </c>
      <c r="AE48"/>
      <c r="AF48" s="19">
        <v>4.4616002589464188E-2</v>
      </c>
      <c r="AG48"/>
      <c r="AH48"/>
      <c r="AI48"/>
      <c r="AJ48"/>
      <c r="AK48" s="14">
        <v>3.7399998400360346E-3</v>
      </c>
      <c r="AL48" s="12">
        <v>8.2879997789859772E-3</v>
      </c>
      <c r="AM48"/>
      <c r="AN48" s="27">
        <v>0.19788336753845215</v>
      </c>
      <c r="AO48"/>
      <c r="AP48" s="281">
        <v>8.8392004370689392E-2</v>
      </c>
      <c r="AQ48" s="11">
        <v>3.190000425092876E-4</v>
      </c>
      <c r="AR48" s="14">
        <v>4.8000002279877663E-3</v>
      </c>
      <c r="AS48" s="18">
        <v>3.2999999821186066E-2</v>
      </c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239</v>
      </c>
      <c r="B49">
        <v>3</v>
      </c>
      <c r="C49">
        <v>0.30000007152557373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 s="14">
        <v>5.7674702256917953E-3</v>
      </c>
      <c r="AA49" s="14">
        <v>3.548492444679141E-3</v>
      </c>
      <c r="AB49"/>
      <c r="AC49" s="11">
        <v>2.0611363288480788E-4</v>
      </c>
      <c r="AD49"/>
      <c r="AE49" s="11">
        <v>5.4513307986781001E-4</v>
      </c>
      <c r="AF49"/>
      <c r="AG49" s="11">
        <v>2.7977386489510536E-3</v>
      </c>
      <c r="AH49"/>
      <c r="AI49"/>
      <c r="AJ49"/>
      <c r="AK49" s="11">
        <v>2.7513185050338507E-3</v>
      </c>
      <c r="AL49" s="14">
        <v>7.1640214882791042E-3</v>
      </c>
      <c r="AM49"/>
      <c r="AN49" s="23">
        <v>1.9081203266978264E-2</v>
      </c>
      <c r="AO49" s="22">
        <v>2.2867761552333832E-2</v>
      </c>
      <c r="AP49" s="23">
        <v>1.6256321221590042E-2</v>
      </c>
      <c r="AQ49" s="11">
        <v>5.8667832490755245E-5</v>
      </c>
      <c r="AR49" s="11">
        <v>5.9145997511222959E-4</v>
      </c>
      <c r="AS49" s="11">
        <v>5.517350509762764E-4</v>
      </c>
      <c r="AT49"/>
      <c r="AU49"/>
      <c r="AV49" s="65">
        <v>6.6781997680664062E-2</v>
      </c>
      <c r="AW49" s="22">
        <v>2.059810608625412E-2</v>
      </c>
      <c r="AX49" s="287">
        <v>0.24717727303504944</v>
      </c>
      <c r="AY49" s="287">
        <v>0.24428066611289978</v>
      </c>
      <c r="AZ49" s="284">
        <v>0.16138248145580292</v>
      </c>
      <c r="BA49"/>
      <c r="BB49"/>
      <c r="BC49" s="25">
        <v>9.5634065568447113E-2</v>
      </c>
      <c r="BD49"/>
      <c r="BE49"/>
      <c r="BF49"/>
      <c r="BG49" s="11">
        <v>2.2290095221251249E-3</v>
      </c>
      <c r="BH49"/>
      <c r="BI49"/>
      <c r="BJ49"/>
      <c r="BK49"/>
      <c r="BL49" s="291">
        <v>0.13532958924770355</v>
      </c>
      <c r="BM49" s="316">
        <v>0.30588188767433167</v>
      </c>
      <c r="BN49"/>
      <c r="BO49"/>
      <c r="BP49"/>
      <c r="BQ49"/>
      <c r="BR49"/>
      <c r="BS49" s="320">
        <v>0.58851736783981323</v>
      </c>
      <c r="BT49" s="149">
        <v>0.75</v>
      </c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240</v>
      </c>
      <c r="B50">
        <v>1.2000000476837158</v>
      </c>
      <c r="C50">
        <v>0.14201267063617706</v>
      </c>
      <c r="D50"/>
      <c r="E50"/>
      <c r="F50"/>
      <c r="G50"/>
      <c r="H50"/>
      <c r="I50"/>
      <c r="J50"/>
      <c r="K50"/>
      <c r="L50"/>
      <c r="M50"/>
      <c r="N50"/>
      <c r="O50" s="12">
        <v>5.3097344934940338E-3</v>
      </c>
      <c r="P50"/>
      <c r="Q50"/>
      <c r="R50"/>
      <c r="S50"/>
      <c r="T50"/>
      <c r="U50"/>
      <c r="V50"/>
      <c r="W50"/>
      <c r="X50" s="14">
        <v>1.592920278199017E-3</v>
      </c>
      <c r="Y50" s="14">
        <v>2.8705727308988571E-3</v>
      </c>
      <c r="Z50" s="15">
        <v>1.0902654379606247E-2</v>
      </c>
      <c r="AA50" s="22">
        <v>9.5619000494480133E-3</v>
      </c>
      <c r="AB50" s="23">
        <v>7.6460172422230244E-3</v>
      </c>
      <c r="AC50" s="14">
        <v>2.9753649141639471E-3</v>
      </c>
      <c r="AD50"/>
      <c r="AE50"/>
      <c r="AF50" s="23">
        <v>6.3173095695674419E-3</v>
      </c>
      <c r="AG50" s="14">
        <v>2.2885918151587248E-3</v>
      </c>
      <c r="AH50" s="292">
        <v>0.17353805899620056</v>
      </c>
      <c r="AI50" s="12">
        <v>3.566068597137928E-3</v>
      </c>
      <c r="AJ50"/>
      <c r="AK50"/>
      <c r="AL50" s="11">
        <v>1.1001769453287125E-3</v>
      </c>
      <c r="AM50"/>
      <c r="AN50"/>
      <c r="AO50" s="11">
        <v>3.6678762990050018E-4</v>
      </c>
      <c r="AP50"/>
      <c r="AQ50"/>
      <c r="AR50"/>
      <c r="AS50" s="11">
        <v>1.5929203073028475E-4</v>
      </c>
      <c r="AT50" s="12">
        <v>4.9699116498231888E-3</v>
      </c>
      <c r="AU50" s="14">
        <v>1.9504424417391419E-3</v>
      </c>
      <c r="AV50" s="12">
        <v>4.4106189161539078E-3</v>
      </c>
      <c r="AW50" s="23">
        <v>5.9469030238687992E-3</v>
      </c>
      <c r="AX50" s="11">
        <v>2.9734513373114169E-4</v>
      </c>
      <c r="AY50"/>
      <c r="AZ50"/>
      <c r="BA50" s="296">
        <v>0.10492035746574402</v>
      </c>
      <c r="BB50"/>
      <c r="BC50" s="265">
        <v>5.982300266623497E-2</v>
      </c>
      <c r="BD50" s="11">
        <v>3.9504429878434166E-5</v>
      </c>
      <c r="BE50"/>
      <c r="BF50"/>
      <c r="BG50" s="12">
        <v>4.7192918136715889E-3</v>
      </c>
      <c r="BH50" s="11">
        <v>2.3284957569558173E-4</v>
      </c>
      <c r="BI50"/>
      <c r="BJ50" s="272">
        <v>6.9026544690132141E-2</v>
      </c>
      <c r="BK50" s="291">
        <v>5.4159291088581085E-2</v>
      </c>
      <c r="BL50" s="283">
        <v>0.19535574316978455</v>
      </c>
      <c r="BM50" s="12">
        <v>4.9061942845582962E-3</v>
      </c>
      <c r="BN50" s="321">
        <v>0.31903380155563354</v>
      </c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241</v>
      </c>
      <c r="B51">
        <v>1.5</v>
      </c>
      <c r="C51">
        <v>0.38788846135139465</v>
      </c>
      <c r="D51"/>
      <c r="E51"/>
      <c r="F51"/>
      <c r="G51"/>
      <c r="H51"/>
      <c r="I51"/>
      <c r="J51"/>
      <c r="K51"/>
      <c r="L51"/>
      <c r="M51"/>
      <c r="N51"/>
      <c r="O51"/>
      <c r="P51" s="23">
        <v>7.5789471156895161E-3</v>
      </c>
      <c r="Q51"/>
      <c r="R51"/>
      <c r="S51"/>
      <c r="T51"/>
      <c r="U51"/>
      <c r="V51"/>
      <c r="W51"/>
      <c r="X51" s="14">
        <v>2.6315788272768259E-3</v>
      </c>
      <c r="Y51"/>
      <c r="Z51"/>
      <c r="AA51" s="15">
        <v>1.4217034913599491E-2</v>
      </c>
      <c r="AB51" s="281">
        <v>5.002104863524437E-2</v>
      </c>
      <c r="AC51" s="14">
        <v>2.801802009344101E-3</v>
      </c>
      <c r="AD51" s="15">
        <v>1.4763158746063709E-2</v>
      </c>
      <c r="AE51"/>
      <c r="AF51" s="12">
        <v>4.6964208595454693E-3</v>
      </c>
      <c r="AG51" s="14">
        <v>3.4027746878564358E-3</v>
      </c>
      <c r="AH51" s="285">
        <v>3.4403156489133835E-2</v>
      </c>
      <c r="AI51"/>
      <c r="AJ51"/>
      <c r="AK51"/>
      <c r="AL51"/>
      <c r="AM51"/>
      <c r="AN51"/>
      <c r="AO51" s="12">
        <v>6.5442631021142006E-3</v>
      </c>
      <c r="AP51"/>
      <c r="AQ51"/>
      <c r="AR51"/>
      <c r="AS51" s="11">
        <v>2.3684209736529738E-4</v>
      </c>
      <c r="AT51" s="291">
        <v>6.7428946495056152E-2</v>
      </c>
      <c r="AU51" s="26">
        <v>3.7700001150369644E-2</v>
      </c>
      <c r="AV51" s="12">
        <v>6.55789440497756E-3</v>
      </c>
      <c r="AW51" s="23">
        <v>8.8421059772372246E-3</v>
      </c>
      <c r="AX51"/>
      <c r="AY51"/>
      <c r="AZ51" s="16">
        <v>2.2578947246074677E-2</v>
      </c>
      <c r="BA51"/>
      <c r="BB51"/>
      <c r="BC51" s="285">
        <v>3.4210525453090668E-2</v>
      </c>
      <c r="BD51"/>
      <c r="BE51"/>
      <c r="BF51"/>
      <c r="BG51" s="18">
        <v>1.6585264354944229E-2</v>
      </c>
      <c r="BH51" s="12">
        <v>5.1931580528616905E-3</v>
      </c>
      <c r="BI51"/>
      <c r="BJ51" s="281">
        <v>5.1315788179636002E-2</v>
      </c>
      <c r="BK51"/>
      <c r="BL51" s="318">
        <v>0.38728424906730652</v>
      </c>
      <c r="BM51"/>
      <c r="BN51" s="314">
        <v>0.1581176370382309</v>
      </c>
      <c r="BO51"/>
      <c r="BP51"/>
      <c r="BQ51"/>
      <c r="BR51"/>
      <c r="BS51"/>
      <c r="BT51"/>
      <c r="BU51"/>
      <c r="BV51" s="315">
        <v>0.17500001192092896</v>
      </c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242</v>
      </c>
      <c r="B52">
        <v>0.89999997615814209</v>
      </c>
      <c r="C52">
        <v>0.55015873908996582</v>
      </c>
      <c r="D52"/>
      <c r="E52"/>
      <c r="F52"/>
      <c r="G52"/>
      <c r="H52"/>
      <c r="I52"/>
      <c r="J52"/>
      <c r="K52"/>
      <c r="L52"/>
      <c r="M52"/>
      <c r="N52" s="14">
        <v>2.597402548417449E-3</v>
      </c>
      <c r="O52"/>
      <c r="P52"/>
      <c r="Q52"/>
      <c r="R52"/>
      <c r="S52"/>
      <c r="T52"/>
      <c r="U52"/>
      <c r="V52"/>
      <c r="W52"/>
      <c r="X52" s="14">
        <v>1.1688311351463199E-3</v>
      </c>
      <c r="Y52"/>
      <c r="Z52"/>
      <c r="AA52"/>
      <c r="AB52" s="14">
        <v>1.1220779269933701E-3</v>
      </c>
      <c r="AC52"/>
      <c r="AD52"/>
      <c r="AE52"/>
      <c r="AF52"/>
      <c r="AG52"/>
      <c r="AH52"/>
      <c r="AI52"/>
      <c r="AJ52"/>
      <c r="AK52"/>
      <c r="AL52"/>
      <c r="AM52"/>
      <c r="AN52"/>
      <c r="AO52" s="24">
        <v>2.4222273379564285E-2</v>
      </c>
      <c r="AP52"/>
      <c r="AQ52"/>
      <c r="AR52"/>
      <c r="AS52"/>
      <c r="AT52" s="14">
        <v>1.8233767477795482E-3</v>
      </c>
      <c r="AU52" s="24">
        <v>2.4329870939254761E-2</v>
      </c>
      <c r="AV52" s="11">
        <v>1.155844220193103E-4</v>
      </c>
      <c r="AW52" s="14">
        <v>1.818181830458343E-3</v>
      </c>
      <c r="AX52"/>
      <c r="AY52"/>
      <c r="AZ52"/>
      <c r="BA52"/>
      <c r="BB52"/>
      <c r="BC52"/>
      <c r="BD52"/>
      <c r="BE52" s="14">
        <v>2.0961037371307611E-3</v>
      </c>
      <c r="BF52"/>
      <c r="BG52" s="24">
        <v>2.4712210521101952E-2</v>
      </c>
      <c r="BH52" s="12">
        <v>3.4171428997069597E-3</v>
      </c>
      <c r="BI52" s="29">
        <v>4.1909091174602509E-2</v>
      </c>
      <c r="BJ52"/>
      <c r="BK52"/>
      <c r="BL52" s="284">
        <v>4.7781825065612793E-2</v>
      </c>
      <c r="BM52"/>
      <c r="BN52"/>
      <c r="BO52"/>
      <c r="BP52"/>
      <c r="BQ52"/>
      <c r="BR52"/>
      <c r="BS52"/>
      <c r="BT52"/>
      <c r="BU52"/>
      <c r="BV52" s="317">
        <v>0.17272728681564331</v>
      </c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 t="s">
        <v>243</v>
      </c>
      <c r="B53">
        <v>0.30000001192092896</v>
      </c>
      <c r="C53">
        <v>9.8865672945976257E-2</v>
      </c>
      <c r="D53"/>
      <c r="E53"/>
      <c r="F53"/>
      <c r="G53"/>
      <c r="H53"/>
      <c r="I53"/>
      <c r="J53"/>
      <c r="K53"/>
      <c r="L53"/>
      <c r="M53"/>
      <c r="N53"/>
      <c r="O53"/>
      <c r="P53"/>
      <c r="Q53" s="15">
        <v>2.7027025353163481E-3</v>
      </c>
      <c r="R53"/>
      <c r="S53"/>
      <c r="T53"/>
      <c r="U53"/>
      <c r="V53"/>
      <c r="W53"/>
      <c r="X53"/>
      <c r="Y53"/>
      <c r="Z53"/>
      <c r="AA53"/>
      <c r="AB53" s="12">
        <v>1.1675675632432103E-3</v>
      </c>
      <c r="AC53"/>
      <c r="AD53"/>
      <c r="AE53"/>
      <c r="AF53"/>
      <c r="AG53"/>
      <c r="AH53" s="147">
        <v>8.8332435116171837E-3</v>
      </c>
      <c r="AI53"/>
      <c r="AJ53"/>
      <c r="AK53"/>
      <c r="AL53"/>
      <c r="AM53"/>
      <c r="AN53"/>
      <c r="AO53" s="285">
        <v>7.0011825300753117E-3</v>
      </c>
      <c r="AP53"/>
      <c r="AQ53"/>
      <c r="AR53"/>
      <c r="AS53"/>
      <c r="AT53"/>
      <c r="AU53" s="291">
        <v>1.340270321816206E-2</v>
      </c>
      <c r="AV53"/>
      <c r="AW53"/>
      <c r="AX53"/>
      <c r="AY53"/>
      <c r="AZ53"/>
      <c r="BA53"/>
      <c r="BB53"/>
      <c r="BC53"/>
      <c r="BD53"/>
      <c r="BE53"/>
      <c r="BF53"/>
      <c r="BG53" s="65">
        <v>6.6332430578768253E-3</v>
      </c>
      <c r="BH53" s="11">
        <v>2.6667569181881845E-4</v>
      </c>
      <c r="BI53"/>
      <c r="BJ53" s="299">
        <v>5.2702698856592178E-2</v>
      </c>
      <c r="BK53"/>
      <c r="BL53" s="319">
        <v>9.943784773349762E-2</v>
      </c>
      <c r="BM53"/>
      <c r="BN53"/>
      <c r="BO53"/>
      <c r="BP53"/>
      <c r="BQ53"/>
      <c r="BR53"/>
      <c r="BS53"/>
      <c r="BT53"/>
      <c r="BU53"/>
      <c r="BV53" s="147">
        <v>8.9864861220121384E-3</v>
      </c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 t="s">
        <v>244</v>
      </c>
      <c r="B54">
        <v>4.5</v>
      </c>
      <c r="C54">
        <v>2.0930888652801514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 s="11">
        <v>9.3023251974955201E-4</v>
      </c>
      <c r="S54"/>
      <c r="T54"/>
      <c r="U54"/>
      <c r="V54"/>
      <c r="W54"/>
      <c r="X54"/>
      <c r="Y54" s="11">
        <v>6.2863319180905819E-4</v>
      </c>
      <c r="Z54" s="11">
        <v>3.8939535152167082E-3</v>
      </c>
      <c r="AA54" s="11">
        <v>3.9262161590158939E-3</v>
      </c>
      <c r="AB54" s="14">
        <v>7.8161861747503281E-3</v>
      </c>
      <c r="AC54" s="11">
        <v>4.4568200246430933E-4</v>
      </c>
      <c r="AD54" s="11">
        <v>7.8279065201058984E-4</v>
      </c>
      <c r="AE54" s="11">
        <v>8.6165772518143058E-4</v>
      </c>
      <c r="AF54" s="11">
        <v>1.55637226998806E-3</v>
      </c>
      <c r="AG54" s="11">
        <v>2.653326082509011E-4</v>
      </c>
      <c r="AH54" s="12">
        <v>2.204202301800251E-2</v>
      </c>
      <c r="AI54" s="14">
        <v>5.6227780878543854E-3</v>
      </c>
      <c r="AJ54"/>
      <c r="AK54" s="11">
        <v>1.2176745076430961E-4</v>
      </c>
      <c r="AL54" s="11">
        <v>7.5170234777033329E-4</v>
      </c>
      <c r="AM54"/>
      <c r="AN54"/>
      <c r="AO54" s="23">
        <v>2.3904316127300262E-2</v>
      </c>
      <c r="AP54" s="11">
        <v>1.95284653455019E-3</v>
      </c>
      <c r="AQ54" s="11">
        <v>1.0015117368311621E-5</v>
      </c>
      <c r="AR54"/>
      <c r="AS54"/>
      <c r="AT54" s="12">
        <v>1.5917440876364708E-2</v>
      </c>
      <c r="AU54" s="14">
        <v>1.2813953682780266E-2</v>
      </c>
      <c r="AV54" s="11">
        <v>3.6220927722752094E-3</v>
      </c>
      <c r="AW54" s="14">
        <v>8.9860465377569199E-3</v>
      </c>
      <c r="AX54" s="11">
        <v>5.8604642981663346E-4</v>
      </c>
      <c r="AY54"/>
      <c r="AZ54"/>
      <c r="BA54" s="14">
        <v>5.6595350615680218E-3</v>
      </c>
      <c r="BB54" s="11">
        <v>1.9106977561023086E-4</v>
      </c>
      <c r="BC54" s="23">
        <v>2.53953468054533E-2</v>
      </c>
      <c r="BD54" s="11">
        <v>2.4396280059590936E-4</v>
      </c>
      <c r="BE54" s="11">
        <v>2.9652558732777834E-3</v>
      </c>
      <c r="BF54" s="11">
        <v>2.0260466262698174E-3</v>
      </c>
      <c r="BG54" s="12">
        <v>1.5305022709071636E-2</v>
      </c>
      <c r="BH54" s="23">
        <v>2.2426391020417213E-2</v>
      </c>
      <c r="BI54" s="14">
        <v>1.1793022975325584E-2</v>
      </c>
      <c r="BJ54" s="18">
        <v>5.5234886705875397E-2</v>
      </c>
      <c r="BK54" s="69">
        <v>0.22772093117237091</v>
      </c>
      <c r="BL54" s="326">
        <v>0.48770794272422791</v>
      </c>
      <c r="BM54"/>
      <c r="BN54" s="265">
        <v>0.22357097268104553</v>
      </c>
      <c r="BO54"/>
      <c r="BP54"/>
      <c r="BQ54"/>
      <c r="BR54"/>
      <c r="BS54"/>
      <c r="BT54"/>
      <c r="BU54"/>
      <c r="BV54" s="13">
        <v>0.17011627554893494</v>
      </c>
      <c r="BW54"/>
      <c r="BX54" s="77">
        <v>0.28911629319190979</v>
      </c>
      <c r="BY54" s="322">
        <v>0.75</v>
      </c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 t="s">
        <v>245</v>
      </c>
      <c r="B55">
        <v>130</v>
      </c>
      <c r="C55">
        <v>5.6219296455383301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 s="78">
        <v>18.261817932128906</v>
      </c>
      <c r="BP55" s="22">
        <v>1.1363636255264282</v>
      </c>
      <c r="BQ55" s="332">
        <v>90.909088134765625</v>
      </c>
      <c r="BR55" s="18">
        <v>1.4772727489471436</v>
      </c>
      <c r="BS55"/>
      <c r="BT55"/>
      <c r="BU55"/>
      <c r="BV55"/>
      <c r="BW55" s="23">
        <v>0.86625003814697266</v>
      </c>
      <c r="BX55"/>
      <c r="BY55" s="257">
        <v>11.727272987365723</v>
      </c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 t="s">
        <v>67</v>
      </c>
      <c r="B56">
        <v>9</v>
      </c>
      <c r="C56">
        <v>1.1922225952148438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 s="16">
        <v>0.14777778089046478</v>
      </c>
      <c r="BW56"/>
      <c r="BX56" s="64">
        <v>0.49333333969116211</v>
      </c>
      <c r="BY56" s="330">
        <v>7.1666665077209473</v>
      </c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 t="s">
        <v>246</v>
      </c>
      <c r="B57"/>
      <c r="C57">
        <v>0.23500224947929382</v>
      </c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 s="9">
        <v>9.8155207931995392E-2</v>
      </c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 s="9">
        <v>13.654637336730957</v>
      </c>
      <c r="BV57" s="9">
        <v>2.5269999504089355</v>
      </c>
      <c r="BW57" s="9">
        <v>10.395000457763672</v>
      </c>
      <c r="BX57" s="9">
        <v>0.88800007104873657</v>
      </c>
      <c r="BY57" s="9">
        <v>280.57498168945312</v>
      </c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 t="s">
        <v>247</v>
      </c>
      <c r="B58"/>
      <c r="C58">
        <v>0</v>
      </c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200" t="s">
        <v>192</v>
      </c>
      <c r="E5">
        <v>4</v>
      </c>
      <c r="F5">
        <v>3.22</v>
      </c>
      <c r="G5">
        <v>4</v>
      </c>
      <c r="H5" s="201" t="s">
        <v>192</v>
      </c>
      <c r="J5" s="57"/>
      <c r="K5" s="58"/>
    </row>
    <row r="6" spans="1:12" ht="14" thickBot="1" x14ac:dyDescent="0.2">
      <c r="A6" s="41" t="s">
        <v>121</v>
      </c>
      <c r="D6" s="200" t="s">
        <v>193</v>
      </c>
      <c r="E6">
        <v>5</v>
      </c>
      <c r="F6">
        <v>3.22</v>
      </c>
      <c r="G6">
        <v>5</v>
      </c>
      <c r="H6" s="201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200" t="s">
        <v>194</v>
      </c>
      <c r="E7">
        <v>6</v>
      </c>
      <c r="F7">
        <v>3.22</v>
      </c>
      <c r="G7">
        <v>6</v>
      </c>
      <c r="H7" s="201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200" t="s">
        <v>195</v>
      </c>
      <c r="E8">
        <v>7</v>
      </c>
      <c r="F8">
        <v>3.22</v>
      </c>
      <c r="G8">
        <v>7</v>
      </c>
      <c r="H8" s="201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200" t="s">
        <v>196</v>
      </c>
      <c r="E9">
        <v>8</v>
      </c>
      <c r="F9">
        <v>3.22</v>
      </c>
      <c r="G9">
        <v>8</v>
      </c>
      <c r="H9" s="201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200" t="s">
        <v>197</v>
      </c>
      <c r="E10">
        <v>9</v>
      </c>
      <c r="F10">
        <v>3.22</v>
      </c>
      <c r="G10">
        <v>9</v>
      </c>
      <c r="H10" s="201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200" t="s">
        <v>198</v>
      </c>
      <c r="E11">
        <v>10</v>
      </c>
      <c r="F11">
        <v>3.12</v>
      </c>
      <c r="G11">
        <v>10</v>
      </c>
      <c r="H11" s="201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200" t="s">
        <v>199</v>
      </c>
      <c r="E12">
        <v>11</v>
      </c>
      <c r="F12">
        <v>3.12</v>
      </c>
      <c r="G12">
        <v>11</v>
      </c>
      <c r="H12" s="201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200" t="s">
        <v>200</v>
      </c>
      <c r="E13">
        <v>12</v>
      </c>
      <c r="F13">
        <v>3.22</v>
      </c>
      <c r="G13">
        <v>12</v>
      </c>
      <c r="H13" s="201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200" t="s">
        <v>201</v>
      </c>
      <c r="E14">
        <v>13</v>
      </c>
      <c r="F14">
        <v>3.22</v>
      </c>
      <c r="G14">
        <v>13</v>
      </c>
      <c r="H14" s="201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200" t="s">
        <v>202</v>
      </c>
      <c r="E15">
        <v>14</v>
      </c>
      <c r="F15">
        <v>3.12</v>
      </c>
      <c r="G15">
        <v>14</v>
      </c>
      <c r="H15" s="201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200" t="s">
        <v>203</v>
      </c>
      <c r="E16">
        <v>15</v>
      </c>
      <c r="F16">
        <v>3.12</v>
      </c>
      <c r="G16">
        <v>15</v>
      </c>
      <c r="H16" s="201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200" t="s">
        <v>204</v>
      </c>
      <c r="E17">
        <v>16</v>
      </c>
      <c r="F17">
        <v>3.13</v>
      </c>
      <c r="G17">
        <v>16</v>
      </c>
      <c r="H17" s="201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200" t="s">
        <v>205</v>
      </c>
      <c r="E18">
        <v>17</v>
      </c>
      <c r="F18">
        <v>3.13</v>
      </c>
      <c r="G18">
        <v>17</v>
      </c>
      <c r="H18" s="201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200" t="s">
        <v>206</v>
      </c>
      <c r="E19">
        <v>18</v>
      </c>
      <c r="F19">
        <v>3.13</v>
      </c>
      <c r="G19">
        <v>18</v>
      </c>
      <c r="H19" s="201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200" t="s">
        <v>207</v>
      </c>
      <c r="E20">
        <v>19</v>
      </c>
      <c r="F20">
        <v>3.13</v>
      </c>
      <c r="G20">
        <v>19</v>
      </c>
      <c r="H20" s="201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200" t="s">
        <v>208</v>
      </c>
      <c r="E21">
        <v>20</v>
      </c>
      <c r="F21">
        <v>3.13</v>
      </c>
      <c r="G21">
        <v>20</v>
      </c>
      <c r="H21" s="201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200" t="s">
        <v>209</v>
      </c>
      <c r="E22">
        <v>21</v>
      </c>
      <c r="F22">
        <v>3.13</v>
      </c>
      <c r="G22">
        <v>21</v>
      </c>
      <c r="H22" s="201" t="s">
        <v>209</v>
      </c>
    </row>
    <row r="23" spans="1:12" x14ac:dyDescent="0.15">
      <c r="A23" s="36" t="s">
        <v>129</v>
      </c>
      <c r="B23" s="44">
        <v>4</v>
      </c>
      <c r="C23" s="38"/>
      <c r="D23" s="200" t="s">
        <v>210</v>
      </c>
      <c r="E23">
        <v>22</v>
      </c>
      <c r="F23">
        <v>3.13</v>
      </c>
      <c r="G23">
        <v>22</v>
      </c>
      <c r="H23" s="201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200" t="s">
        <v>211</v>
      </c>
      <c r="E24">
        <v>23</v>
      </c>
      <c r="F24">
        <v>3.12</v>
      </c>
      <c r="G24">
        <v>23</v>
      </c>
      <c r="H24" s="201" t="s">
        <v>211</v>
      </c>
    </row>
    <row r="25" spans="1:12" x14ac:dyDescent="0.15">
      <c r="A25" s="36" t="s">
        <v>70</v>
      </c>
      <c r="B25" s="44">
        <v>4.2</v>
      </c>
      <c r="C25" s="38"/>
      <c r="D25" s="200" t="s">
        <v>212</v>
      </c>
      <c r="E25">
        <v>24</v>
      </c>
      <c r="F25">
        <v>3.12</v>
      </c>
      <c r="G25">
        <v>24</v>
      </c>
      <c r="H25" s="201" t="s">
        <v>212</v>
      </c>
    </row>
    <row r="26" spans="1:12" x14ac:dyDescent="0.15">
      <c r="A26" s="36" t="s">
        <v>123</v>
      </c>
      <c r="B26" s="44">
        <v>4.3</v>
      </c>
      <c r="C26" s="38"/>
      <c r="D26" s="200" t="s">
        <v>213</v>
      </c>
      <c r="E26">
        <v>25</v>
      </c>
      <c r="F26">
        <v>3.22</v>
      </c>
      <c r="G26">
        <v>25</v>
      </c>
      <c r="H26" s="201" t="s">
        <v>213</v>
      </c>
    </row>
    <row r="27" spans="1:12" x14ac:dyDescent="0.15">
      <c r="A27" s="36" t="s">
        <v>125</v>
      </c>
      <c r="B27" s="44">
        <v>6.1</v>
      </c>
      <c r="D27" s="200" t="s">
        <v>214</v>
      </c>
      <c r="E27">
        <v>26</v>
      </c>
      <c r="F27">
        <v>3.22</v>
      </c>
      <c r="G27">
        <v>26</v>
      </c>
      <c r="H27" s="201" t="s">
        <v>214</v>
      </c>
    </row>
    <row r="28" spans="1:12" x14ac:dyDescent="0.15">
      <c r="A28" s="36" t="s">
        <v>124</v>
      </c>
      <c r="B28" s="44">
        <v>6.2</v>
      </c>
      <c r="D28" s="200" t="s">
        <v>215</v>
      </c>
      <c r="E28">
        <v>27</v>
      </c>
      <c r="F28">
        <v>3</v>
      </c>
      <c r="G28">
        <v>27</v>
      </c>
      <c r="H28" s="201" t="s">
        <v>215</v>
      </c>
    </row>
    <row r="29" spans="1:12" x14ac:dyDescent="0.15">
      <c r="A29" s="36" t="s">
        <v>44</v>
      </c>
      <c r="B29" s="44">
        <v>5</v>
      </c>
      <c r="D29" s="200" t="s">
        <v>216</v>
      </c>
      <c r="E29">
        <v>28</v>
      </c>
      <c r="F29">
        <v>3.12</v>
      </c>
      <c r="G29">
        <v>28</v>
      </c>
      <c r="H29" s="201" t="s">
        <v>216</v>
      </c>
    </row>
    <row r="30" spans="1:12" x14ac:dyDescent="0.15">
      <c r="A30" s="36" t="s">
        <v>73</v>
      </c>
      <c r="B30" s="44">
        <v>7</v>
      </c>
      <c r="D30" s="200" t="s">
        <v>217</v>
      </c>
      <c r="E30">
        <v>29</v>
      </c>
      <c r="F30">
        <v>3.12</v>
      </c>
      <c r="G30">
        <v>29</v>
      </c>
      <c r="H30" s="201" t="s">
        <v>217</v>
      </c>
    </row>
    <row r="31" spans="1:12" x14ac:dyDescent="0.15">
      <c r="A31" s="36" t="s">
        <v>169</v>
      </c>
      <c r="B31" s="44">
        <v>3.14</v>
      </c>
      <c r="D31" s="200" t="s">
        <v>218</v>
      </c>
      <c r="E31">
        <v>30</v>
      </c>
      <c r="F31">
        <v>3.12</v>
      </c>
      <c r="G31">
        <v>30</v>
      </c>
      <c r="H31" s="201" t="s">
        <v>218</v>
      </c>
    </row>
    <row r="32" spans="1:12" ht="12" customHeight="1" thickBot="1" x14ac:dyDescent="0.2">
      <c r="A32" s="42" t="s">
        <v>170</v>
      </c>
      <c r="B32" s="45">
        <v>9</v>
      </c>
      <c r="D32" s="200" t="s">
        <v>219</v>
      </c>
      <c r="E32">
        <v>31</v>
      </c>
      <c r="F32">
        <v>3.12</v>
      </c>
      <c r="G32">
        <v>31</v>
      </c>
      <c r="H32" s="201" t="s">
        <v>219</v>
      </c>
    </row>
    <row r="33" spans="4:8" customFormat="1" ht="12" customHeight="1" x14ac:dyDescent="0.15">
      <c r="D33" s="200" t="s">
        <v>220</v>
      </c>
      <c r="E33">
        <v>32</v>
      </c>
      <c r="F33">
        <v>3.12</v>
      </c>
      <c r="G33">
        <v>32</v>
      </c>
      <c r="H33" s="201" t="s">
        <v>220</v>
      </c>
    </row>
    <row r="34" spans="4:8" customFormat="1" ht="12" customHeight="1" x14ac:dyDescent="0.15">
      <c r="D34" s="200" t="s">
        <v>221</v>
      </c>
      <c r="E34">
        <v>33</v>
      </c>
      <c r="F34">
        <v>3.12</v>
      </c>
      <c r="G34">
        <v>33</v>
      </c>
      <c r="H34" s="201" t="s">
        <v>221</v>
      </c>
    </row>
    <row r="35" spans="4:8" customFormat="1" x14ac:dyDescent="0.15">
      <c r="D35" s="200" t="s">
        <v>222</v>
      </c>
      <c r="E35">
        <v>34</v>
      </c>
      <c r="F35">
        <v>3.12</v>
      </c>
      <c r="G35">
        <v>34</v>
      </c>
      <c r="H35" s="201" t="s">
        <v>222</v>
      </c>
    </row>
    <row r="36" spans="4:8" customFormat="1" x14ac:dyDescent="0.15">
      <c r="D36" s="200" t="s">
        <v>223</v>
      </c>
      <c r="E36">
        <v>35</v>
      </c>
      <c r="F36">
        <v>3.12</v>
      </c>
      <c r="G36">
        <v>35</v>
      </c>
      <c r="H36" s="201" t="s">
        <v>223</v>
      </c>
    </row>
    <row r="37" spans="4:8" customFormat="1" ht="12" customHeight="1" x14ac:dyDescent="0.15">
      <c r="D37" s="200" t="s">
        <v>224</v>
      </c>
      <c r="E37">
        <v>36</v>
      </c>
      <c r="F37">
        <v>3.12</v>
      </c>
      <c r="G37">
        <v>36</v>
      </c>
      <c r="H37" s="201" t="s">
        <v>224</v>
      </c>
    </row>
    <row r="38" spans="4:8" customFormat="1" x14ac:dyDescent="0.15">
      <c r="D38" s="200" t="s">
        <v>225</v>
      </c>
      <c r="E38">
        <v>37</v>
      </c>
      <c r="F38">
        <v>3.12</v>
      </c>
      <c r="G38">
        <v>37</v>
      </c>
      <c r="H38" s="201" t="s">
        <v>225</v>
      </c>
    </row>
    <row r="39" spans="4:8" customFormat="1" x14ac:dyDescent="0.15">
      <c r="D39" s="200" t="s">
        <v>226</v>
      </c>
      <c r="E39">
        <v>38</v>
      </c>
      <c r="F39">
        <v>3.22</v>
      </c>
      <c r="G39">
        <v>38</v>
      </c>
      <c r="H39" s="201" t="s">
        <v>226</v>
      </c>
    </row>
    <row r="40" spans="4:8" customFormat="1" x14ac:dyDescent="0.15">
      <c r="D40" s="200" t="s">
        <v>227</v>
      </c>
      <c r="E40">
        <v>39</v>
      </c>
      <c r="F40">
        <v>3.22</v>
      </c>
      <c r="G40">
        <v>39</v>
      </c>
      <c r="H40" s="201" t="s">
        <v>227</v>
      </c>
    </row>
    <row r="41" spans="4:8" customFormat="1" x14ac:dyDescent="0.15">
      <c r="D41" s="200" t="s">
        <v>228</v>
      </c>
      <c r="E41">
        <v>40</v>
      </c>
      <c r="F41">
        <v>3.22</v>
      </c>
      <c r="G41">
        <v>40</v>
      </c>
      <c r="H41" s="201" t="s">
        <v>228</v>
      </c>
    </row>
    <row r="42" spans="4:8" customFormat="1" x14ac:dyDescent="0.15">
      <c r="D42" s="200" t="s">
        <v>229</v>
      </c>
      <c r="E42">
        <v>41</v>
      </c>
      <c r="F42">
        <v>3.22</v>
      </c>
      <c r="G42">
        <v>41</v>
      </c>
      <c r="H42" s="201" t="s">
        <v>229</v>
      </c>
    </row>
    <row r="43" spans="4:8" customFormat="1" x14ac:dyDescent="0.15">
      <c r="D43" s="200" t="s">
        <v>230</v>
      </c>
      <c r="E43">
        <v>42</v>
      </c>
      <c r="F43">
        <v>3.12</v>
      </c>
      <c r="G43">
        <v>42</v>
      </c>
      <c r="H43" s="201" t="s">
        <v>230</v>
      </c>
    </row>
    <row r="44" spans="4:8" customFormat="1" x14ac:dyDescent="0.15">
      <c r="D44" s="200" t="s">
        <v>231</v>
      </c>
      <c r="E44">
        <v>43</v>
      </c>
      <c r="F44">
        <v>3.2</v>
      </c>
      <c r="G44">
        <v>43</v>
      </c>
      <c r="H44" s="201" t="s">
        <v>231</v>
      </c>
    </row>
    <row r="45" spans="4:8" customFormat="1" x14ac:dyDescent="0.15">
      <c r="D45" s="200" t="s">
        <v>232</v>
      </c>
      <c r="E45">
        <v>44</v>
      </c>
      <c r="F45">
        <v>3.1</v>
      </c>
      <c r="G45">
        <v>44</v>
      </c>
      <c r="H45" s="201" t="s">
        <v>232</v>
      </c>
    </row>
    <row r="46" spans="4:8" customFormat="1" x14ac:dyDescent="0.15">
      <c r="D46" s="200" t="s">
        <v>233</v>
      </c>
      <c r="E46">
        <v>45</v>
      </c>
      <c r="F46">
        <v>3.1</v>
      </c>
      <c r="G46">
        <v>45</v>
      </c>
      <c r="H46" s="201" t="s">
        <v>233</v>
      </c>
    </row>
    <row r="47" spans="4:8" customFormat="1" x14ac:dyDescent="0.15">
      <c r="D47" s="200" t="s">
        <v>234</v>
      </c>
      <c r="E47">
        <v>46</v>
      </c>
      <c r="F47">
        <v>3.12</v>
      </c>
      <c r="G47">
        <v>46</v>
      </c>
      <c r="H47" s="201" t="s">
        <v>234</v>
      </c>
    </row>
    <row r="48" spans="4:8" customFormat="1" x14ac:dyDescent="0.15">
      <c r="D48" s="200" t="s">
        <v>235</v>
      </c>
      <c r="E48">
        <v>47</v>
      </c>
      <c r="F48">
        <v>3.11</v>
      </c>
      <c r="G48">
        <v>47</v>
      </c>
      <c r="H48" s="201" t="s">
        <v>235</v>
      </c>
    </row>
    <row r="49" spans="4:8" customFormat="1" x14ac:dyDescent="0.15">
      <c r="D49" s="200" t="s">
        <v>236</v>
      </c>
      <c r="E49">
        <v>48</v>
      </c>
      <c r="F49">
        <v>3.11</v>
      </c>
      <c r="G49">
        <v>48</v>
      </c>
      <c r="H49" s="201" t="s">
        <v>236</v>
      </c>
    </row>
    <row r="50" spans="4:8" customFormat="1" ht="12" customHeight="1" x14ac:dyDescent="0.15">
      <c r="D50" s="200" t="s">
        <v>237</v>
      </c>
      <c r="E50">
        <v>49</v>
      </c>
      <c r="F50">
        <v>3.11</v>
      </c>
      <c r="G50">
        <v>49</v>
      </c>
      <c r="H50" s="201" t="s">
        <v>237</v>
      </c>
    </row>
    <row r="51" spans="4:8" customFormat="1" x14ac:dyDescent="0.15">
      <c r="D51" s="200" t="s">
        <v>238</v>
      </c>
      <c r="E51">
        <v>50</v>
      </c>
      <c r="F51">
        <v>3.12</v>
      </c>
      <c r="G51">
        <v>50</v>
      </c>
      <c r="H51" s="201" t="s">
        <v>238</v>
      </c>
    </row>
    <row r="52" spans="4:8" customFormat="1" ht="12" customHeight="1" x14ac:dyDescent="0.15">
      <c r="D52" s="200" t="s">
        <v>239</v>
      </c>
      <c r="E52">
        <v>51</v>
      </c>
      <c r="F52">
        <v>3.12</v>
      </c>
      <c r="G52">
        <v>51</v>
      </c>
      <c r="H52" s="201" t="s">
        <v>239</v>
      </c>
    </row>
    <row r="53" spans="4:8" customFormat="1" x14ac:dyDescent="0.15">
      <c r="D53" s="200" t="s">
        <v>240</v>
      </c>
      <c r="E53">
        <v>52</v>
      </c>
      <c r="F53">
        <v>3</v>
      </c>
      <c r="G53">
        <v>52</v>
      </c>
      <c r="H53" s="201" t="s">
        <v>240</v>
      </c>
    </row>
    <row r="54" spans="4:8" customFormat="1" ht="12" customHeight="1" x14ac:dyDescent="0.15">
      <c r="D54" s="200" t="s">
        <v>241</v>
      </c>
      <c r="E54">
        <v>53</v>
      </c>
      <c r="F54">
        <v>3.21</v>
      </c>
      <c r="G54">
        <v>53</v>
      </c>
      <c r="H54" s="201" t="s">
        <v>241</v>
      </c>
    </row>
    <row r="55" spans="4:8" customFormat="1" ht="12" customHeight="1" x14ac:dyDescent="0.15">
      <c r="D55" s="200" t="s">
        <v>242</v>
      </c>
      <c r="E55">
        <v>54</v>
      </c>
      <c r="F55">
        <v>3.21</v>
      </c>
      <c r="G55">
        <v>54</v>
      </c>
      <c r="H55" s="201" t="s">
        <v>242</v>
      </c>
    </row>
    <row r="56" spans="4:8" customFormat="1" x14ac:dyDescent="0.15">
      <c r="D56" s="200" t="s">
        <v>243</v>
      </c>
      <c r="E56">
        <v>55</v>
      </c>
      <c r="F56">
        <v>3.21</v>
      </c>
      <c r="G56">
        <v>55</v>
      </c>
      <c r="H56" s="201" t="s">
        <v>243</v>
      </c>
    </row>
    <row r="57" spans="4:8" customFormat="1" x14ac:dyDescent="0.15">
      <c r="D57" s="200" t="s">
        <v>244</v>
      </c>
      <c r="E57">
        <v>56</v>
      </c>
      <c r="F57">
        <v>3.2</v>
      </c>
      <c r="G57">
        <v>56</v>
      </c>
      <c r="H57" s="201" t="s">
        <v>244</v>
      </c>
    </row>
    <row r="58" spans="4:8" customFormat="1" x14ac:dyDescent="0.15">
      <c r="D58" s="200" t="s">
        <v>245</v>
      </c>
      <c r="E58">
        <v>57</v>
      </c>
      <c r="F58">
        <v>2</v>
      </c>
      <c r="G58">
        <v>57</v>
      </c>
      <c r="H58" s="201" t="s">
        <v>245</v>
      </c>
    </row>
    <row r="59" spans="4:8" customFormat="1" x14ac:dyDescent="0.15">
      <c r="D59" s="200" t="s">
        <v>67</v>
      </c>
      <c r="E59">
        <v>58</v>
      </c>
      <c r="F59">
        <v>2.2999999999999998</v>
      </c>
      <c r="G59">
        <v>58</v>
      </c>
      <c r="H59" s="201" t="s">
        <v>67</v>
      </c>
    </row>
    <row r="60" spans="4:8" customFormat="1" x14ac:dyDescent="0.15">
      <c r="D60" s="200" t="s">
        <v>246</v>
      </c>
      <c r="E60">
        <v>59</v>
      </c>
      <c r="F60">
        <v>4.0999999999999996</v>
      </c>
      <c r="G60">
        <v>59</v>
      </c>
      <c r="H60" s="201" t="s">
        <v>246</v>
      </c>
    </row>
    <row r="61" spans="4:8" customFormat="1" x14ac:dyDescent="0.15">
      <c r="D61" s="200" t="s">
        <v>247</v>
      </c>
      <c r="E61">
        <v>60</v>
      </c>
      <c r="F61">
        <v>4.3</v>
      </c>
      <c r="G61">
        <v>60</v>
      </c>
      <c r="H61" s="201" t="s">
        <v>247</v>
      </c>
    </row>
    <row r="62" spans="4:8" customFormat="1" x14ac:dyDescent="0.15">
      <c r="D62" s="200" t="s">
        <v>248</v>
      </c>
      <c r="E62">
        <v>61</v>
      </c>
      <c r="F62">
        <v>5</v>
      </c>
      <c r="G62">
        <v>61</v>
      </c>
      <c r="H62" s="201" t="s">
        <v>248</v>
      </c>
    </row>
    <row r="63" spans="4:8" customFormat="1" x14ac:dyDescent="0.15">
      <c r="D63" s="200" t="s">
        <v>249</v>
      </c>
      <c r="E63">
        <v>62</v>
      </c>
      <c r="F63">
        <v>5</v>
      </c>
      <c r="G63">
        <v>62</v>
      </c>
      <c r="H63" s="201" t="s">
        <v>249</v>
      </c>
    </row>
    <row r="64" spans="4:8" customFormat="1" x14ac:dyDescent="0.15">
      <c r="D64" s="200" t="s">
        <v>250</v>
      </c>
      <c r="E64">
        <v>63</v>
      </c>
      <c r="F64">
        <v>5</v>
      </c>
      <c r="G64">
        <v>63</v>
      </c>
      <c r="H64" s="201" t="s">
        <v>250</v>
      </c>
    </row>
    <row r="65" spans="4:8" customFormat="1" x14ac:dyDescent="0.15">
      <c r="D65" s="200" t="s">
        <v>251</v>
      </c>
      <c r="E65">
        <v>64</v>
      </c>
      <c r="F65">
        <v>5</v>
      </c>
      <c r="G65">
        <v>64</v>
      </c>
      <c r="H65" s="201" t="s">
        <v>251</v>
      </c>
    </row>
    <row r="66" spans="4:8" customFormat="1" x14ac:dyDescent="0.15">
      <c r="D66" s="200" t="s">
        <v>252</v>
      </c>
      <c r="E66">
        <v>65</v>
      </c>
      <c r="F66">
        <v>5</v>
      </c>
      <c r="G66">
        <v>65</v>
      </c>
      <c r="H66" s="201" t="s">
        <v>252</v>
      </c>
    </row>
    <row r="67" spans="4:8" customFormat="1" x14ac:dyDescent="0.15">
      <c r="D67" s="200" t="s">
        <v>216</v>
      </c>
      <c r="E67">
        <v>66</v>
      </c>
      <c r="F67">
        <v>5</v>
      </c>
      <c r="G67">
        <v>66</v>
      </c>
      <c r="H67" s="201" t="s">
        <v>216</v>
      </c>
    </row>
    <row r="68" spans="4:8" customFormat="1" x14ac:dyDescent="0.15">
      <c r="D68" s="200" t="s">
        <v>215</v>
      </c>
      <c r="E68">
        <v>67</v>
      </c>
      <c r="F68">
        <v>5</v>
      </c>
      <c r="G68">
        <v>67</v>
      </c>
      <c r="H68" s="201" t="s">
        <v>215</v>
      </c>
    </row>
    <row r="69" spans="4:8" customFormat="1" x14ac:dyDescent="0.15">
      <c r="D69" s="200" t="s">
        <v>253</v>
      </c>
      <c r="E69">
        <v>68</v>
      </c>
      <c r="F69">
        <v>5</v>
      </c>
      <c r="G69">
        <v>68</v>
      </c>
      <c r="H69" s="201" t="s">
        <v>253</v>
      </c>
    </row>
    <row r="70" spans="4:8" customFormat="1" x14ac:dyDescent="0.15">
      <c r="D70" s="200" t="s">
        <v>217</v>
      </c>
      <c r="E70">
        <v>69</v>
      </c>
      <c r="F70">
        <v>5</v>
      </c>
      <c r="G70">
        <v>69</v>
      </c>
      <c r="H70" s="201" t="s">
        <v>217</v>
      </c>
    </row>
    <row r="71" spans="4:8" customFormat="1" x14ac:dyDescent="0.15">
      <c r="D71" s="200" t="s">
        <v>254</v>
      </c>
      <c r="E71">
        <v>70</v>
      </c>
      <c r="F71">
        <v>5</v>
      </c>
      <c r="G71">
        <v>70</v>
      </c>
      <c r="H71" s="201" t="s">
        <v>254</v>
      </c>
    </row>
    <row r="72" spans="4:8" customFormat="1" x14ac:dyDescent="0.15">
      <c r="D72" s="200" t="s">
        <v>255</v>
      </c>
      <c r="E72">
        <v>71</v>
      </c>
      <c r="F72">
        <v>5</v>
      </c>
      <c r="G72">
        <v>71</v>
      </c>
      <c r="H72" s="201" t="s">
        <v>255</v>
      </c>
    </row>
    <row r="73" spans="4:8" customFormat="1" x14ac:dyDescent="0.15">
      <c r="D73" s="200" t="s">
        <v>256</v>
      </c>
      <c r="E73">
        <v>72</v>
      </c>
      <c r="F73">
        <v>5</v>
      </c>
      <c r="G73">
        <v>72</v>
      </c>
      <c r="H73" s="201" t="s">
        <v>256</v>
      </c>
    </row>
    <row r="74" spans="4:8" customFormat="1" x14ac:dyDescent="0.15">
      <c r="D74" s="200" t="s">
        <v>257</v>
      </c>
      <c r="E74">
        <v>73</v>
      </c>
      <c r="F74">
        <v>5</v>
      </c>
      <c r="G74">
        <v>73</v>
      </c>
      <c r="H74" s="201" t="s">
        <v>257</v>
      </c>
    </row>
    <row r="75" spans="4:8" customFormat="1" x14ac:dyDescent="0.15">
      <c r="D75" s="200" t="s">
        <v>258</v>
      </c>
      <c r="E75">
        <v>74</v>
      </c>
      <c r="F75">
        <v>5</v>
      </c>
      <c r="G75">
        <v>74</v>
      </c>
      <c r="H75" s="201" t="s">
        <v>258</v>
      </c>
    </row>
    <row r="76" spans="4:8" customFormat="1" x14ac:dyDescent="0.15">
      <c r="D76" s="200" t="s">
        <v>259</v>
      </c>
      <c r="E76">
        <v>75</v>
      </c>
      <c r="F76">
        <v>5</v>
      </c>
      <c r="G76">
        <v>75</v>
      </c>
      <c r="H76" s="201" t="s">
        <v>259</v>
      </c>
    </row>
    <row r="77" spans="4:8" customFormat="1" x14ac:dyDescent="0.15">
      <c r="D77" s="200" t="s">
        <v>260</v>
      </c>
      <c r="E77">
        <v>76</v>
      </c>
      <c r="F77">
        <v>5</v>
      </c>
      <c r="G77">
        <v>76</v>
      </c>
      <c r="H77" s="201" t="s">
        <v>260</v>
      </c>
    </row>
    <row r="78" spans="4:8" customFormat="1" x14ac:dyDescent="0.15">
      <c r="D78" s="200" t="s">
        <v>261</v>
      </c>
      <c r="E78">
        <v>77</v>
      </c>
      <c r="F78">
        <v>5</v>
      </c>
      <c r="G78">
        <v>77</v>
      </c>
      <c r="H78" s="201" t="s">
        <v>261</v>
      </c>
    </row>
    <row r="79" spans="4:8" customFormat="1" x14ac:dyDescent="0.15">
      <c r="D79" s="200" t="s">
        <v>262</v>
      </c>
      <c r="E79">
        <v>78</v>
      </c>
      <c r="F79">
        <v>5</v>
      </c>
      <c r="G79">
        <v>78</v>
      </c>
      <c r="H79" s="201" t="s">
        <v>262</v>
      </c>
    </row>
    <row r="80" spans="4:8" customFormat="1" x14ac:dyDescent="0.15">
      <c r="D80" s="200" t="s">
        <v>263</v>
      </c>
      <c r="E80">
        <v>79</v>
      </c>
      <c r="F80">
        <v>5</v>
      </c>
      <c r="G80">
        <v>79</v>
      </c>
      <c r="H80" s="201" t="s">
        <v>263</v>
      </c>
    </row>
    <row r="81" spans="4:8" customFormat="1" x14ac:dyDescent="0.15">
      <c r="D81" s="200" t="s">
        <v>264</v>
      </c>
      <c r="E81">
        <v>80</v>
      </c>
      <c r="F81">
        <v>5</v>
      </c>
      <c r="G81">
        <v>80</v>
      </c>
      <c r="H81" s="201" t="s">
        <v>264</v>
      </c>
    </row>
    <row r="82" spans="4:8" customFormat="1" x14ac:dyDescent="0.15">
      <c r="D82" s="200" t="s">
        <v>265</v>
      </c>
      <c r="E82">
        <v>81</v>
      </c>
      <c r="F82">
        <v>5</v>
      </c>
      <c r="G82">
        <v>81</v>
      </c>
      <c r="H82" s="201" t="s">
        <v>265</v>
      </c>
    </row>
    <row r="83" spans="4:8" customFormat="1" x14ac:dyDescent="0.15">
      <c r="D83" s="200" t="s">
        <v>138</v>
      </c>
      <c r="E83">
        <v>82</v>
      </c>
      <c r="F83">
        <v>6.1</v>
      </c>
      <c r="G83">
        <v>82</v>
      </c>
      <c r="H83" s="201" t="s">
        <v>138</v>
      </c>
    </row>
    <row r="84" spans="4:8" customFormat="1" x14ac:dyDescent="0.15">
      <c r="D84" s="200" t="s">
        <v>45</v>
      </c>
      <c r="E84">
        <v>83</v>
      </c>
      <c r="F84">
        <v>6.2</v>
      </c>
      <c r="G84">
        <v>83</v>
      </c>
      <c r="H84" s="201" t="s">
        <v>45</v>
      </c>
    </row>
    <row r="85" spans="4:8" customFormat="1" x14ac:dyDescent="0.15"/>
    <row r="86" spans="4:8" customFormat="1" x14ac:dyDescent="0.15"/>
    <row r="87" spans="4:8" customFormat="1" x14ac:dyDescent="0.15"/>
    <row r="88" spans="4:8" customFormat="1" x14ac:dyDescent="0.15"/>
    <row r="89" spans="4:8" customFormat="1" x14ac:dyDescent="0.15"/>
    <row r="90" spans="4:8" customFormat="1" x14ac:dyDescent="0.15"/>
    <row r="91" spans="4:8" customFormat="1" x14ac:dyDescent="0.15"/>
    <row r="92" spans="4:8" customFormat="1" x14ac:dyDescent="0.15"/>
    <row r="93" spans="4:8" customFormat="1" x14ac:dyDescent="0.15"/>
    <row r="94" spans="4:8" customFormat="1" x14ac:dyDescent="0.15"/>
    <row r="95" spans="4:8" customFormat="1" x14ac:dyDescent="0.15"/>
    <row r="96" spans="4:8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2.83203125" style="86" bestFit="1" customWidth="1"/>
    <col min="2" max="3" width="12.83203125" style="85" customWidth="1"/>
    <col min="4" max="4" width="5.33203125" style="85" customWidth="1"/>
    <col min="5" max="5" width="12.83203125" style="85" customWidth="1"/>
    <col min="6" max="6" width="21.6640625" style="85" bestFit="1" customWidth="1"/>
    <col min="7" max="9" width="2.33203125" style="85" customWidth="1"/>
    <col min="10" max="10" width="2.33203125" style="85" bestFit="1" customWidth="1"/>
    <col min="11" max="15" width="2.33203125" style="85" customWidth="1"/>
    <col min="16" max="16" width="2.33203125" style="72" customWidth="1"/>
    <col min="17" max="17" width="2.33203125" style="85" customWidth="1"/>
    <col min="18" max="18" width="2.33203125" style="73" customWidth="1"/>
    <col min="19" max="16384" width="11.5" style="85"/>
  </cols>
  <sheetData>
    <row r="1" spans="1:23" ht="15" customHeight="1" thickBot="1" x14ac:dyDescent="0.2">
      <c r="F1" s="1"/>
      <c r="G1" s="70" t="s">
        <v>46</v>
      </c>
      <c r="H1" s="70" t="s">
        <v>47</v>
      </c>
      <c r="I1" s="70" t="s">
        <v>120</v>
      </c>
      <c r="J1" s="70" t="s">
        <v>132</v>
      </c>
      <c r="K1" s="87" t="s">
        <v>48</v>
      </c>
      <c r="L1" s="73"/>
      <c r="M1" s="87" t="s">
        <v>119</v>
      </c>
      <c r="N1" s="73"/>
      <c r="O1" s="87" t="s">
        <v>49</v>
      </c>
      <c r="P1" s="76"/>
      <c r="Q1" s="87" t="s">
        <v>50</v>
      </c>
      <c r="R1" s="70" t="s">
        <v>154</v>
      </c>
    </row>
    <row r="2" spans="1:23" ht="15" customHeight="1" x14ac:dyDescent="0.15">
      <c r="A2" s="87" t="s">
        <v>51</v>
      </c>
      <c r="B2" s="88">
        <v>0.5</v>
      </c>
      <c r="C2" s="86" t="s">
        <v>52</v>
      </c>
      <c r="D2" s="89"/>
      <c r="F2" s="1"/>
      <c r="G2" s="90"/>
      <c r="H2" s="90"/>
      <c r="I2" s="90" t="s">
        <v>133</v>
      </c>
      <c r="J2" s="90" t="s">
        <v>133</v>
      </c>
      <c r="K2" s="90" t="s">
        <v>52</v>
      </c>
      <c r="L2" s="90" t="s">
        <v>53</v>
      </c>
      <c r="M2" s="90" t="s">
        <v>52</v>
      </c>
      <c r="N2" s="90" t="s">
        <v>53</v>
      </c>
      <c r="O2" s="90" t="s">
        <v>52</v>
      </c>
      <c r="P2" s="91" t="s">
        <v>53</v>
      </c>
      <c r="Q2" s="90"/>
      <c r="R2" s="92" t="s">
        <v>155</v>
      </c>
    </row>
    <row r="3" spans="1:23" ht="15" customHeight="1" thickBot="1" x14ac:dyDescent="0.2">
      <c r="A3" s="87" t="s">
        <v>54</v>
      </c>
      <c r="B3" s="93">
        <v>0.5</v>
      </c>
      <c r="C3" s="86" t="s">
        <v>53</v>
      </c>
      <c r="D3" s="89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2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2">
        <v>0</v>
      </c>
      <c r="R4" s="115">
        <v>0</v>
      </c>
    </row>
    <row r="5" spans="1:23" ht="15" customHeight="1" x14ac:dyDescent="0.15">
      <c r="A5" s="87" t="s">
        <v>55</v>
      </c>
      <c r="B5" s="94">
        <v>0.5</v>
      </c>
      <c r="C5" s="86" t="s">
        <v>52</v>
      </c>
      <c r="D5" s="89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2">
        <v>0</v>
      </c>
      <c r="R5" s="115">
        <v>0</v>
      </c>
    </row>
    <row r="6" spans="1:23" ht="15" customHeight="1" thickBot="1" x14ac:dyDescent="0.2">
      <c r="A6" s="87"/>
      <c r="B6" s="95">
        <v>0.5</v>
      </c>
      <c r="C6" s="86" t="s">
        <v>53</v>
      </c>
      <c r="D6" s="89"/>
      <c r="F6" s="202" t="s">
        <v>192</v>
      </c>
      <c r="G6" s="85">
        <v>0</v>
      </c>
      <c r="H6" s="85">
        <v>0</v>
      </c>
      <c r="I6" s="85">
        <v>0</v>
      </c>
      <c r="J6" s="85">
        <v>0</v>
      </c>
      <c r="K6" s="85">
        <v>1</v>
      </c>
      <c r="L6" s="85">
        <v>0</v>
      </c>
      <c r="M6" s="85">
        <v>1</v>
      </c>
      <c r="N6" s="85">
        <v>0</v>
      </c>
      <c r="O6" s="85">
        <v>1</v>
      </c>
      <c r="P6" s="72">
        <v>0</v>
      </c>
      <c r="Q6" s="85">
        <v>0</v>
      </c>
      <c r="R6" s="73">
        <v>1</v>
      </c>
      <c r="S6"/>
      <c r="T6"/>
    </row>
    <row r="7" spans="1:23" ht="15" customHeight="1" thickBot="1" x14ac:dyDescent="0.2">
      <c r="F7" s="202" t="s">
        <v>193</v>
      </c>
      <c r="G7" s="85">
        <v>0</v>
      </c>
      <c r="H7" s="85">
        <v>0</v>
      </c>
      <c r="I7" s="85">
        <v>0</v>
      </c>
      <c r="J7" s="85">
        <v>0</v>
      </c>
      <c r="K7" s="85">
        <v>1</v>
      </c>
      <c r="L7" s="85">
        <v>0</v>
      </c>
      <c r="M7" s="85">
        <v>1</v>
      </c>
      <c r="N7" s="85">
        <v>0</v>
      </c>
      <c r="O7" s="85">
        <v>1</v>
      </c>
      <c r="P7" s="72">
        <v>0</v>
      </c>
      <c r="Q7" s="85">
        <v>0</v>
      </c>
      <c r="R7" s="73">
        <v>1</v>
      </c>
      <c r="S7"/>
      <c r="T7"/>
    </row>
    <row r="8" spans="1:23" ht="15" customHeight="1" x14ac:dyDescent="0.15">
      <c r="A8" s="87" t="s">
        <v>56</v>
      </c>
      <c r="B8" s="94">
        <v>0.97245834750085003</v>
      </c>
      <c r="C8" s="203" t="s">
        <v>245</v>
      </c>
      <c r="D8" s="89" t="s">
        <v>160</v>
      </c>
      <c r="F8" s="202" t="s">
        <v>194</v>
      </c>
      <c r="G8" s="85">
        <v>0</v>
      </c>
      <c r="H8" s="85">
        <v>0</v>
      </c>
      <c r="I8" s="85">
        <v>0</v>
      </c>
      <c r="J8" s="85">
        <v>0</v>
      </c>
      <c r="K8" s="85">
        <v>1</v>
      </c>
      <c r="L8" s="85">
        <v>0</v>
      </c>
      <c r="M8" s="85">
        <v>1</v>
      </c>
      <c r="N8" s="85">
        <v>0</v>
      </c>
      <c r="O8" s="85">
        <v>1</v>
      </c>
      <c r="P8" s="72">
        <v>0</v>
      </c>
      <c r="Q8" s="85">
        <v>0</v>
      </c>
      <c r="R8" s="73">
        <v>1</v>
      </c>
      <c r="S8"/>
      <c r="T8"/>
      <c r="W8"/>
    </row>
    <row r="9" spans="1:23" ht="15" customHeight="1" x14ac:dyDescent="0.15">
      <c r="A9" s="129" t="s">
        <v>168</v>
      </c>
      <c r="B9" s="96">
        <v>2.754165249914995E-2</v>
      </c>
      <c r="C9" s="203" t="s">
        <v>67</v>
      </c>
      <c r="D9" s="89" t="s">
        <v>160</v>
      </c>
      <c r="F9" s="202" t="s">
        <v>195</v>
      </c>
      <c r="G9" s="85">
        <v>0</v>
      </c>
      <c r="H9" s="85">
        <v>0</v>
      </c>
      <c r="I9" s="85">
        <v>0</v>
      </c>
      <c r="J9" s="85">
        <v>0</v>
      </c>
      <c r="K9" s="85">
        <v>1</v>
      </c>
      <c r="L9" s="85">
        <v>0</v>
      </c>
      <c r="M9" s="85">
        <v>1</v>
      </c>
      <c r="N9" s="85">
        <v>0</v>
      </c>
      <c r="O9" s="85">
        <v>1</v>
      </c>
      <c r="P9" s="72">
        <v>0</v>
      </c>
      <c r="Q9" s="85">
        <v>0</v>
      </c>
      <c r="R9" s="73">
        <v>1</v>
      </c>
      <c r="S9"/>
      <c r="T9"/>
      <c r="W9"/>
    </row>
    <row r="10" spans="1:23" ht="15" customHeight="1" x14ac:dyDescent="0.15">
      <c r="B10" s="96"/>
      <c r="C10" s="84"/>
      <c r="D10" s="89" t="s">
        <v>160</v>
      </c>
      <c r="F10" s="202" t="s">
        <v>196</v>
      </c>
      <c r="G10" s="85">
        <v>0</v>
      </c>
      <c r="H10" s="85">
        <v>0</v>
      </c>
      <c r="I10" s="85">
        <v>0</v>
      </c>
      <c r="J10" s="85">
        <v>0</v>
      </c>
      <c r="K10" s="85">
        <v>1</v>
      </c>
      <c r="L10" s="85">
        <v>0</v>
      </c>
      <c r="M10" s="85">
        <v>1</v>
      </c>
      <c r="N10" s="85">
        <v>0</v>
      </c>
      <c r="O10" s="85">
        <v>1</v>
      </c>
      <c r="P10" s="72">
        <v>0</v>
      </c>
      <c r="Q10" s="85">
        <v>0</v>
      </c>
      <c r="R10" s="73">
        <v>1</v>
      </c>
      <c r="S10"/>
      <c r="T10"/>
      <c r="W10"/>
    </row>
    <row r="11" spans="1:23" ht="15" customHeight="1" x14ac:dyDescent="0.15">
      <c r="A11" s="87"/>
      <c r="B11" s="96"/>
      <c r="C11" s="99"/>
      <c r="D11" s="89" t="s">
        <v>160</v>
      </c>
      <c r="F11" s="202" t="s">
        <v>197</v>
      </c>
      <c r="G11" s="85">
        <v>0</v>
      </c>
      <c r="H11" s="85">
        <v>0</v>
      </c>
      <c r="I11" s="85">
        <v>0</v>
      </c>
      <c r="J11" s="85">
        <v>0</v>
      </c>
      <c r="K11" s="85">
        <v>1</v>
      </c>
      <c r="L11" s="85">
        <v>0</v>
      </c>
      <c r="M11" s="85">
        <v>1</v>
      </c>
      <c r="N11" s="85">
        <v>0</v>
      </c>
      <c r="O11" s="85">
        <v>1</v>
      </c>
      <c r="P11" s="72">
        <v>0</v>
      </c>
      <c r="Q11" s="85">
        <v>0</v>
      </c>
      <c r="R11" s="73">
        <v>1</v>
      </c>
      <c r="S11"/>
      <c r="T11"/>
      <c r="W11"/>
    </row>
    <row r="12" spans="1:23" ht="15" customHeight="1" x14ac:dyDescent="0.15">
      <c r="B12" s="96"/>
      <c r="C12" s="100"/>
      <c r="D12" s="89" t="s">
        <v>160</v>
      </c>
      <c r="F12" s="202" t="s">
        <v>198</v>
      </c>
      <c r="G12" s="85">
        <v>0</v>
      </c>
      <c r="H12" s="85">
        <v>0</v>
      </c>
      <c r="I12" s="85">
        <v>0</v>
      </c>
      <c r="J12" s="85">
        <v>0</v>
      </c>
      <c r="K12" s="85">
        <v>1</v>
      </c>
      <c r="L12" s="85">
        <v>0</v>
      </c>
      <c r="M12" s="85">
        <v>1</v>
      </c>
      <c r="N12" s="85">
        <v>0</v>
      </c>
      <c r="O12" s="85">
        <v>1</v>
      </c>
      <c r="P12" s="72">
        <v>0</v>
      </c>
      <c r="Q12" s="85">
        <v>0</v>
      </c>
      <c r="R12" s="73">
        <v>1</v>
      </c>
      <c r="S12"/>
      <c r="T12"/>
      <c r="W12"/>
    </row>
    <row r="13" spans="1:23" ht="15" customHeight="1" x14ac:dyDescent="0.15">
      <c r="B13" s="96"/>
      <c r="C13" s="100"/>
      <c r="D13" s="89" t="s">
        <v>160</v>
      </c>
      <c r="F13" s="202" t="s">
        <v>199</v>
      </c>
      <c r="G13" s="85">
        <v>0</v>
      </c>
      <c r="H13" s="85">
        <v>0</v>
      </c>
      <c r="I13" s="85">
        <v>0</v>
      </c>
      <c r="J13" s="85">
        <v>0</v>
      </c>
      <c r="K13" s="85">
        <v>1</v>
      </c>
      <c r="L13" s="85">
        <v>0</v>
      </c>
      <c r="M13" s="85">
        <v>1</v>
      </c>
      <c r="N13" s="85">
        <v>0</v>
      </c>
      <c r="O13" s="85">
        <v>1</v>
      </c>
      <c r="P13" s="72">
        <v>0</v>
      </c>
      <c r="Q13" s="85">
        <v>0</v>
      </c>
      <c r="R13" s="73">
        <v>1</v>
      </c>
      <c r="S13"/>
      <c r="T13"/>
      <c r="W13"/>
    </row>
    <row r="14" spans="1:23" ht="15" customHeight="1" x14ac:dyDescent="0.15">
      <c r="B14" s="96"/>
      <c r="C14" s="84"/>
      <c r="D14" s="89" t="s">
        <v>160</v>
      </c>
      <c r="F14" s="202" t="s">
        <v>200</v>
      </c>
      <c r="G14" s="85">
        <v>0</v>
      </c>
      <c r="H14" s="85">
        <v>0</v>
      </c>
      <c r="I14" s="85">
        <v>0</v>
      </c>
      <c r="J14" s="85">
        <v>0</v>
      </c>
      <c r="K14" s="85">
        <v>1</v>
      </c>
      <c r="L14" s="85">
        <v>0</v>
      </c>
      <c r="M14" s="85">
        <v>1</v>
      </c>
      <c r="N14" s="85">
        <v>0</v>
      </c>
      <c r="O14" s="85">
        <v>1</v>
      </c>
      <c r="P14" s="72">
        <v>0</v>
      </c>
      <c r="Q14" s="85">
        <v>0</v>
      </c>
      <c r="R14" s="73">
        <v>1</v>
      </c>
      <c r="S14"/>
      <c r="T14"/>
      <c r="W14"/>
    </row>
    <row r="15" spans="1:23" ht="15" customHeight="1" x14ac:dyDescent="0.15">
      <c r="B15" s="96"/>
      <c r="C15" s="84"/>
      <c r="D15" s="89" t="s">
        <v>160</v>
      </c>
      <c r="F15" s="202" t="s">
        <v>201</v>
      </c>
      <c r="G15" s="85">
        <v>0</v>
      </c>
      <c r="H15" s="85">
        <v>0</v>
      </c>
      <c r="I15" s="85">
        <v>0</v>
      </c>
      <c r="J15" s="85">
        <v>0</v>
      </c>
      <c r="K15" s="85">
        <v>1</v>
      </c>
      <c r="L15" s="85">
        <v>0</v>
      </c>
      <c r="M15" s="85">
        <v>1</v>
      </c>
      <c r="N15" s="85">
        <v>0</v>
      </c>
      <c r="O15" s="85">
        <v>1</v>
      </c>
      <c r="P15" s="72">
        <v>0</v>
      </c>
      <c r="Q15" s="85">
        <v>0</v>
      </c>
      <c r="R15" s="73">
        <v>1</v>
      </c>
      <c r="S15"/>
      <c r="T15"/>
      <c r="W15"/>
    </row>
    <row r="16" spans="1:23" ht="15" customHeight="1" x14ac:dyDescent="0.15">
      <c r="B16" s="96"/>
      <c r="C16" s="84"/>
      <c r="D16" s="89" t="s">
        <v>160</v>
      </c>
      <c r="F16" s="202" t="s">
        <v>202</v>
      </c>
      <c r="G16" s="85">
        <v>0</v>
      </c>
      <c r="H16" s="85">
        <v>0</v>
      </c>
      <c r="I16" s="85">
        <v>0</v>
      </c>
      <c r="J16" s="85">
        <v>0</v>
      </c>
      <c r="K16" s="85">
        <v>1</v>
      </c>
      <c r="L16" s="85">
        <v>0</v>
      </c>
      <c r="M16" s="85">
        <v>1</v>
      </c>
      <c r="N16" s="85">
        <v>0</v>
      </c>
      <c r="O16" s="85">
        <v>1</v>
      </c>
      <c r="P16" s="72">
        <v>0</v>
      </c>
      <c r="Q16" s="85">
        <v>0</v>
      </c>
      <c r="R16" s="73">
        <v>1</v>
      </c>
      <c r="S16"/>
      <c r="T16"/>
    </row>
    <row r="17" spans="1:20" ht="15" customHeight="1" thickBot="1" x14ac:dyDescent="0.2">
      <c r="B17" s="95"/>
      <c r="C17" s="84"/>
      <c r="D17" s="89" t="s">
        <v>160</v>
      </c>
      <c r="F17" s="202" t="s">
        <v>203</v>
      </c>
      <c r="G17" s="85">
        <v>0</v>
      </c>
      <c r="H17" s="85">
        <v>0</v>
      </c>
      <c r="I17" s="85">
        <v>0</v>
      </c>
      <c r="J17" s="85">
        <v>0</v>
      </c>
      <c r="K17" s="85">
        <v>1</v>
      </c>
      <c r="L17" s="85">
        <v>0</v>
      </c>
      <c r="M17" s="85">
        <v>1</v>
      </c>
      <c r="N17" s="85">
        <v>0</v>
      </c>
      <c r="O17" s="85">
        <v>1</v>
      </c>
      <c r="P17" s="72">
        <v>0</v>
      </c>
      <c r="Q17" s="85">
        <v>0</v>
      </c>
      <c r="R17" s="73">
        <v>1</v>
      </c>
      <c r="S17"/>
      <c r="T17"/>
    </row>
    <row r="18" spans="1:20" ht="15" customHeight="1" thickBot="1" x14ac:dyDescent="0.2">
      <c r="B18" s="97"/>
      <c r="F18" s="202" t="s">
        <v>204</v>
      </c>
      <c r="G18" s="85">
        <v>0</v>
      </c>
      <c r="H18" s="85">
        <v>0</v>
      </c>
      <c r="I18" s="85">
        <v>0</v>
      </c>
      <c r="J18" s="85">
        <v>0</v>
      </c>
      <c r="K18" s="85">
        <v>1</v>
      </c>
      <c r="L18" s="85">
        <v>0</v>
      </c>
      <c r="M18" s="85">
        <v>1</v>
      </c>
      <c r="N18" s="85">
        <v>0</v>
      </c>
      <c r="O18" s="85">
        <v>1</v>
      </c>
      <c r="P18" s="72">
        <v>0</v>
      </c>
      <c r="Q18" s="85">
        <v>0</v>
      </c>
      <c r="R18" s="73">
        <v>1</v>
      </c>
      <c r="S18"/>
      <c r="T18"/>
    </row>
    <row r="19" spans="1:20" ht="15" customHeight="1" x14ac:dyDescent="0.15">
      <c r="A19" s="87" t="s">
        <v>57</v>
      </c>
      <c r="B19" s="94">
        <v>0.97245834750085003</v>
      </c>
      <c r="C19" s="204" t="s">
        <v>245</v>
      </c>
      <c r="D19" s="89" t="s">
        <v>160</v>
      </c>
      <c r="F19" s="202" t="s">
        <v>205</v>
      </c>
      <c r="G19" s="85">
        <v>0</v>
      </c>
      <c r="H19" s="85">
        <v>0</v>
      </c>
      <c r="I19" s="85">
        <v>0</v>
      </c>
      <c r="J19" s="85">
        <v>0</v>
      </c>
      <c r="K19" s="85">
        <v>1</v>
      </c>
      <c r="L19" s="85">
        <v>0</v>
      </c>
      <c r="M19" s="85">
        <v>1</v>
      </c>
      <c r="N19" s="85">
        <v>0</v>
      </c>
      <c r="O19" s="85">
        <v>1</v>
      </c>
      <c r="P19" s="72">
        <v>0</v>
      </c>
      <c r="Q19" s="85">
        <v>0</v>
      </c>
      <c r="R19" s="73">
        <v>1</v>
      </c>
      <c r="S19"/>
      <c r="T19"/>
    </row>
    <row r="20" spans="1:20" ht="15" customHeight="1" x14ac:dyDescent="0.15">
      <c r="A20" s="129" t="s">
        <v>168</v>
      </c>
      <c r="B20" s="96">
        <v>2.754165249914995E-2</v>
      </c>
      <c r="C20" s="204" t="s">
        <v>67</v>
      </c>
      <c r="D20" s="89" t="s">
        <v>160</v>
      </c>
      <c r="F20" s="202" t="s">
        <v>206</v>
      </c>
      <c r="G20" s="85">
        <v>0</v>
      </c>
      <c r="H20" s="85">
        <v>0</v>
      </c>
      <c r="I20" s="85">
        <v>0</v>
      </c>
      <c r="J20" s="85">
        <v>0</v>
      </c>
      <c r="K20" s="85">
        <v>1</v>
      </c>
      <c r="L20" s="85">
        <v>0</v>
      </c>
      <c r="M20" s="85">
        <v>1</v>
      </c>
      <c r="N20" s="85">
        <v>0</v>
      </c>
      <c r="O20" s="85">
        <v>1</v>
      </c>
      <c r="P20" s="72">
        <v>0</v>
      </c>
      <c r="Q20" s="85">
        <v>0</v>
      </c>
      <c r="R20" s="73">
        <v>1</v>
      </c>
      <c r="S20"/>
      <c r="T20"/>
    </row>
    <row r="21" spans="1:20" ht="15" customHeight="1" x14ac:dyDescent="0.15">
      <c r="B21" s="96"/>
      <c r="C21" s="84"/>
      <c r="D21" s="89" t="s">
        <v>160</v>
      </c>
      <c r="F21" s="202" t="s">
        <v>207</v>
      </c>
      <c r="G21" s="85">
        <v>0</v>
      </c>
      <c r="H21" s="85">
        <v>0</v>
      </c>
      <c r="I21" s="85">
        <v>0</v>
      </c>
      <c r="J21" s="85">
        <v>0</v>
      </c>
      <c r="K21" s="85">
        <v>1</v>
      </c>
      <c r="L21" s="85">
        <v>0</v>
      </c>
      <c r="M21" s="85">
        <v>1</v>
      </c>
      <c r="N21" s="85">
        <v>0</v>
      </c>
      <c r="O21" s="85">
        <v>1</v>
      </c>
      <c r="P21" s="72">
        <v>0</v>
      </c>
      <c r="Q21" s="85">
        <v>0</v>
      </c>
      <c r="R21" s="73">
        <v>1</v>
      </c>
      <c r="S21"/>
      <c r="T21"/>
    </row>
    <row r="22" spans="1:20" ht="15" customHeight="1" x14ac:dyDescent="0.15">
      <c r="A22" s="85"/>
      <c r="B22" s="96"/>
      <c r="C22" s="99"/>
      <c r="D22" s="89" t="s">
        <v>160</v>
      </c>
      <c r="F22" s="202" t="s">
        <v>208</v>
      </c>
      <c r="G22" s="85">
        <v>0</v>
      </c>
      <c r="H22" s="85">
        <v>0</v>
      </c>
      <c r="I22" s="85">
        <v>0</v>
      </c>
      <c r="J22" s="85">
        <v>0</v>
      </c>
      <c r="K22" s="85">
        <v>1</v>
      </c>
      <c r="L22" s="85">
        <v>0</v>
      </c>
      <c r="M22" s="85">
        <v>1</v>
      </c>
      <c r="N22" s="85">
        <v>0</v>
      </c>
      <c r="O22" s="85">
        <v>1</v>
      </c>
      <c r="P22" s="72">
        <v>0</v>
      </c>
      <c r="Q22" s="85">
        <v>0</v>
      </c>
      <c r="R22" s="73">
        <v>1</v>
      </c>
      <c r="S22"/>
      <c r="T22"/>
    </row>
    <row r="23" spans="1:20" ht="15" customHeight="1" x14ac:dyDescent="0.15">
      <c r="A23" s="85"/>
      <c r="B23" s="96"/>
      <c r="C23" s="100"/>
      <c r="D23" s="89" t="s">
        <v>160</v>
      </c>
      <c r="F23" s="202" t="s">
        <v>209</v>
      </c>
      <c r="G23" s="85">
        <v>0</v>
      </c>
      <c r="H23" s="85">
        <v>0</v>
      </c>
      <c r="I23" s="85">
        <v>0</v>
      </c>
      <c r="J23" s="85">
        <v>0</v>
      </c>
      <c r="K23" s="85">
        <v>1</v>
      </c>
      <c r="L23" s="85">
        <v>0</v>
      </c>
      <c r="M23" s="85">
        <v>1</v>
      </c>
      <c r="N23" s="85">
        <v>0</v>
      </c>
      <c r="O23" s="85">
        <v>1</v>
      </c>
      <c r="P23" s="72">
        <v>0</v>
      </c>
      <c r="Q23" s="85">
        <v>0</v>
      </c>
      <c r="R23" s="73">
        <v>1</v>
      </c>
      <c r="S23"/>
      <c r="T23"/>
    </row>
    <row r="24" spans="1:20" ht="15" customHeight="1" x14ac:dyDescent="0.15">
      <c r="A24" s="85"/>
      <c r="B24" s="96"/>
      <c r="C24" s="100"/>
      <c r="D24" s="89" t="s">
        <v>160</v>
      </c>
      <c r="F24" s="202" t="s">
        <v>210</v>
      </c>
      <c r="G24" s="85">
        <v>0</v>
      </c>
      <c r="H24" s="85">
        <v>0</v>
      </c>
      <c r="I24" s="85">
        <v>0</v>
      </c>
      <c r="J24" s="85">
        <v>0</v>
      </c>
      <c r="K24" s="85">
        <v>1</v>
      </c>
      <c r="L24" s="85">
        <v>0</v>
      </c>
      <c r="M24" s="85">
        <v>1</v>
      </c>
      <c r="N24" s="85">
        <v>0</v>
      </c>
      <c r="O24" s="85">
        <v>1</v>
      </c>
      <c r="P24" s="72">
        <v>0</v>
      </c>
      <c r="Q24" s="85">
        <v>0</v>
      </c>
      <c r="R24" s="73">
        <v>1</v>
      </c>
      <c r="S24"/>
      <c r="T24"/>
    </row>
    <row r="25" spans="1:20" ht="15" customHeight="1" x14ac:dyDescent="0.15">
      <c r="A25" s="85"/>
      <c r="B25" s="96"/>
      <c r="C25" s="84"/>
      <c r="D25" s="89" t="s">
        <v>160</v>
      </c>
      <c r="F25" s="202" t="s">
        <v>211</v>
      </c>
      <c r="G25" s="85">
        <v>0</v>
      </c>
      <c r="H25" s="85">
        <v>0</v>
      </c>
      <c r="I25" s="85">
        <v>0</v>
      </c>
      <c r="J25" s="85">
        <v>0</v>
      </c>
      <c r="K25" s="85">
        <v>1</v>
      </c>
      <c r="L25" s="85">
        <v>0</v>
      </c>
      <c r="M25" s="85">
        <v>1</v>
      </c>
      <c r="N25" s="85">
        <v>0</v>
      </c>
      <c r="O25" s="85">
        <v>1</v>
      </c>
      <c r="P25" s="72">
        <v>0</v>
      </c>
      <c r="Q25" s="85">
        <v>0</v>
      </c>
      <c r="R25" s="73">
        <v>1</v>
      </c>
      <c r="S25"/>
      <c r="T25"/>
    </row>
    <row r="26" spans="1:20" ht="15" customHeight="1" x14ac:dyDescent="0.15">
      <c r="B26" s="96"/>
      <c r="C26" s="84"/>
      <c r="D26" s="89" t="s">
        <v>160</v>
      </c>
      <c r="F26" s="202" t="s">
        <v>212</v>
      </c>
      <c r="G26" s="85">
        <v>0</v>
      </c>
      <c r="H26" s="85">
        <v>0</v>
      </c>
      <c r="I26" s="85">
        <v>0</v>
      </c>
      <c r="J26" s="85">
        <v>0</v>
      </c>
      <c r="K26" s="85">
        <v>1</v>
      </c>
      <c r="L26" s="85">
        <v>0</v>
      </c>
      <c r="M26" s="85">
        <v>1</v>
      </c>
      <c r="N26" s="85">
        <v>0</v>
      </c>
      <c r="O26" s="85">
        <v>1</v>
      </c>
      <c r="P26" s="72">
        <v>0</v>
      </c>
      <c r="Q26" s="85">
        <v>0</v>
      </c>
      <c r="R26" s="73">
        <v>1</v>
      </c>
      <c r="S26"/>
      <c r="T26"/>
    </row>
    <row r="27" spans="1:20" ht="15" customHeight="1" x14ac:dyDescent="0.15">
      <c r="B27" s="96"/>
      <c r="C27" s="84"/>
      <c r="D27" s="89" t="s">
        <v>160</v>
      </c>
      <c r="F27" s="202" t="s">
        <v>213</v>
      </c>
      <c r="G27" s="85">
        <v>0</v>
      </c>
      <c r="H27" s="85">
        <v>0</v>
      </c>
      <c r="I27" s="85">
        <v>0</v>
      </c>
      <c r="J27" s="85">
        <v>0</v>
      </c>
      <c r="K27" s="85">
        <v>1</v>
      </c>
      <c r="L27" s="85">
        <v>0</v>
      </c>
      <c r="M27" s="85">
        <v>1</v>
      </c>
      <c r="N27" s="85">
        <v>0</v>
      </c>
      <c r="O27" s="85">
        <v>1</v>
      </c>
      <c r="P27" s="72">
        <v>0</v>
      </c>
      <c r="Q27" s="85">
        <v>0</v>
      </c>
      <c r="R27" s="73">
        <v>1</v>
      </c>
      <c r="S27"/>
      <c r="T27"/>
    </row>
    <row r="28" spans="1:20" ht="15" customHeight="1" thickBot="1" x14ac:dyDescent="0.2">
      <c r="B28" s="95"/>
      <c r="C28" s="84"/>
      <c r="D28" s="89" t="s">
        <v>160</v>
      </c>
      <c r="F28" s="202" t="s">
        <v>214</v>
      </c>
      <c r="G28" s="85">
        <v>0</v>
      </c>
      <c r="H28" s="85">
        <v>0</v>
      </c>
      <c r="I28" s="85">
        <v>0</v>
      </c>
      <c r="J28" s="85">
        <v>0</v>
      </c>
      <c r="K28" s="85">
        <v>1</v>
      </c>
      <c r="L28" s="85">
        <v>0</v>
      </c>
      <c r="M28" s="85">
        <v>1</v>
      </c>
      <c r="N28" s="85">
        <v>0</v>
      </c>
      <c r="O28" s="85">
        <v>1</v>
      </c>
      <c r="P28" s="72">
        <v>0</v>
      </c>
      <c r="Q28" s="85">
        <v>0</v>
      </c>
      <c r="R28" s="73">
        <v>1</v>
      </c>
      <c r="S28"/>
      <c r="T28"/>
    </row>
    <row r="29" spans="1:20" ht="15" customHeight="1" x14ac:dyDescent="0.15">
      <c r="F29" s="202" t="s">
        <v>215</v>
      </c>
      <c r="G29" s="85">
        <v>0</v>
      </c>
      <c r="H29" s="85">
        <v>0</v>
      </c>
      <c r="I29" s="85">
        <v>0</v>
      </c>
      <c r="J29" s="85">
        <v>0</v>
      </c>
      <c r="K29" s="85">
        <v>0</v>
      </c>
      <c r="L29" s="85">
        <v>1</v>
      </c>
      <c r="M29" s="85">
        <v>0</v>
      </c>
      <c r="N29" s="85">
        <v>1</v>
      </c>
      <c r="O29" s="85">
        <v>0</v>
      </c>
      <c r="P29" s="72">
        <v>1</v>
      </c>
      <c r="Q29" s="85">
        <v>0</v>
      </c>
      <c r="R29" s="73">
        <v>1</v>
      </c>
      <c r="S29"/>
      <c r="T29"/>
    </row>
    <row r="30" spans="1:20" ht="15" customHeight="1" x14ac:dyDescent="0.15">
      <c r="F30" s="202" t="s">
        <v>216</v>
      </c>
      <c r="G30" s="85">
        <v>0</v>
      </c>
      <c r="H30" s="85">
        <v>0</v>
      </c>
      <c r="I30" s="85">
        <v>0</v>
      </c>
      <c r="J30" s="85">
        <v>0</v>
      </c>
      <c r="K30" s="85">
        <v>0</v>
      </c>
      <c r="L30" s="85">
        <v>1</v>
      </c>
      <c r="M30" s="85">
        <v>0</v>
      </c>
      <c r="N30" s="85">
        <v>1</v>
      </c>
      <c r="O30" s="85">
        <v>0</v>
      </c>
      <c r="P30" s="72">
        <v>1</v>
      </c>
      <c r="Q30" s="85">
        <v>0</v>
      </c>
      <c r="R30" s="73">
        <v>1</v>
      </c>
      <c r="S30"/>
      <c r="T30"/>
    </row>
    <row r="31" spans="1:20" ht="15" customHeight="1" x14ac:dyDescent="0.15">
      <c r="A31" s="130"/>
      <c r="B31" s="140" t="s">
        <v>17</v>
      </c>
      <c r="C31" s="140" t="s">
        <v>1</v>
      </c>
      <c r="D31" s="140" t="s">
        <v>161</v>
      </c>
      <c r="E31" s="141" t="s">
        <v>163</v>
      </c>
      <c r="F31" s="202" t="s">
        <v>217</v>
      </c>
      <c r="G31" s="85">
        <v>0</v>
      </c>
      <c r="H31" s="85">
        <v>0</v>
      </c>
      <c r="I31" s="85">
        <v>0</v>
      </c>
      <c r="J31" s="85">
        <v>0</v>
      </c>
      <c r="K31" s="85">
        <v>1</v>
      </c>
      <c r="L31" s="85">
        <v>0</v>
      </c>
      <c r="M31" s="85">
        <v>1</v>
      </c>
      <c r="N31" s="85">
        <v>0</v>
      </c>
      <c r="O31" s="85">
        <v>1</v>
      </c>
      <c r="P31" s="72">
        <v>0</v>
      </c>
      <c r="Q31" s="85">
        <v>0</v>
      </c>
      <c r="R31" s="73">
        <v>1</v>
      </c>
      <c r="S31"/>
      <c r="T31"/>
    </row>
    <row r="32" spans="1:20" ht="15" customHeight="1" x14ac:dyDescent="0.15">
      <c r="A32" s="205" t="s">
        <v>245</v>
      </c>
      <c r="B32" s="97">
        <v>22</v>
      </c>
      <c r="C32" s="97">
        <v>130</v>
      </c>
      <c r="D32" s="97">
        <v>2860</v>
      </c>
      <c r="E32" s="131">
        <v>0.97245834750085003</v>
      </c>
      <c r="F32" s="202" t="s">
        <v>218</v>
      </c>
      <c r="G32" s="85">
        <v>0</v>
      </c>
      <c r="H32" s="85">
        <v>0</v>
      </c>
      <c r="I32" s="85">
        <v>0</v>
      </c>
      <c r="J32" s="85">
        <v>0</v>
      </c>
      <c r="K32" s="85">
        <v>1</v>
      </c>
      <c r="L32" s="85">
        <v>0</v>
      </c>
      <c r="M32" s="85">
        <v>1</v>
      </c>
      <c r="N32" s="85">
        <v>0</v>
      </c>
      <c r="O32" s="85">
        <v>1</v>
      </c>
      <c r="P32" s="72">
        <v>0</v>
      </c>
      <c r="Q32" s="85">
        <v>0</v>
      </c>
      <c r="R32" s="73">
        <v>1</v>
      </c>
      <c r="S32"/>
      <c r="T32"/>
    </row>
    <row r="33" spans="1:20" ht="15" customHeight="1" x14ac:dyDescent="0.15">
      <c r="A33" s="205" t="s">
        <v>67</v>
      </c>
      <c r="B33" s="97">
        <v>9</v>
      </c>
      <c r="C33" s="97">
        <v>9</v>
      </c>
      <c r="D33" s="97">
        <v>81</v>
      </c>
      <c r="E33" s="131">
        <v>2.754165249914995E-2</v>
      </c>
      <c r="F33" s="202" t="s">
        <v>219</v>
      </c>
      <c r="G33" s="85">
        <v>0</v>
      </c>
      <c r="H33" s="85">
        <v>0</v>
      </c>
      <c r="I33" s="85">
        <v>0</v>
      </c>
      <c r="J33" s="85">
        <v>0</v>
      </c>
      <c r="K33" s="85">
        <v>1</v>
      </c>
      <c r="L33" s="85">
        <v>0</v>
      </c>
      <c r="M33" s="85">
        <v>1</v>
      </c>
      <c r="N33" s="85">
        <v>0</v>
      </c>
      <c r="O33" s="85">
        <v>1</v>
      </c>
      <c r="P33" s="72">
        <v>0</v>
      </c>
      <c r="Q33" s="85">
        <v>0</v>
      </c>
      <c r="R33" s="73">
        <v>1</v>
      </c>
      <c r="S33"/>
      <c r="T33"/>
    </row>
    <row r="34" spans="1:20" ht="15" customHeight="1" x14ac:dyDescent="0.15">
      <c r="A34" s="132"/>
      <c r="B34" s="97"/>
      <c r="C34" s="97"/>
      <c r="D34" s="97"/>
      <c r="E34" s="131"/>
      <c r="F34" s="202" t="s">
        <v>220</v>
      </c>
      <c r="G34" s="85">
        <v>0</v>
      </c>
      <c r="H34" s="85">
        <v>0</v>
      </c>
      <c r="I34" s="85">
        <v>0</v>
      </c>
      <c r="J34" s="85">
        <v>0</v>
      </c>
      <c r="K34" s="85">
        <v>1</v>
      </c>
      <c r="L34" s="85">
        <v>0</v>
      </c>
      <c r="M34" s="85">
        <v>1</v>
      </c>
      <c r="N34" s="85">
        <v>0</v>
      </c>
      <c r="O34" s="85">
        <v>1</v>
      </c>
      <c r="P34" s="72">
        <v>0</v>
      </c>
      <c r="Q34" s="85">
        <v>0</v>
      </c>
      <c r="R34" s="73">
        <v>1</v>
      </c>
      <c r="S34"/>
      <c r="T34"/>
    </row>
    <row r="35" spans="1:20" ht="15" customHeight="1" x14ac:dyDescent="0.15">
      <c r="A35" s="133"/>
      <c r="B35" s="97"/>
      <c r="C35" s="97"/>
      <c r="D35" s="97"/>
      <c r="E35" s="131"/>
      <c r="F35" s="202" t="s">
        <v>221</v>
      </c>
      <c r="G35" s="85">
        <v>0</v>
      </c>
      <c r="H35" s="85">
        <v>0</v>
      </c>
      <c r="I35" s="85">
        <v>0</v>
      </c>
      <c r="J35" s="85">
        <v>0</v>
      </c>
      <c r="K35" s="85">
        <v>1</v>
      </c>
      <c r="L35" s="85">
        <v>0</v>
      </c>
      <c r="M35" s="85">
        <v>1</v>
      </c>
      <c r="N35" s="85">
        <v>0</v>
      </c>
      <c r="O35" s="85">
        <v>1</v>
      </c>
      <c r="P35" s="72">
        <v>0</v>
      </c>
      <c r="Q35" s="85">
        <v>0</v>
      </c>
      <c r="R35" s="73">
        <v>1</v>
      </c>
      <c r="S35"/>
      <c r="T35"/>
    </row>
    <row r="36" spans="1:20" ht="15" customHeight="1" x14ac:dyDescent="0.15">
      <c r="A36" s="134"/>
      <c r="B36" s="97"/>
      <c r="C36" s="97"/>
      <c r="D36" s="97"/>
      <c r="E36" s="131"/>
      <c r="F36" s="202" t="s">
        <v>222</v>
      </c>
      <c r="G36" s="85">
        <v>0</v>
      </c>
      <c r="H36" s="85">
        <v>0</v>
      </c>
      <c r="I36" s="85">
        <v>0</v>
      </c>
      <c r="J36" s="85">
        <v>0</v>
      </c>
      <c r="K36" s="85">
        <v>1</v>
      </c>
      <c r="L36" s="85">
        <v>0</v>
      </c>
      <c r="M36" s="85">
        <v>1</v>
      </c>
      <c r="N36" s="85">
        <v>0</v>
      </c>
      <c r="O36" s="85">
        <v>1</v>
      </c>
      <c r="P36" s="72">
        <v>0</v>
      </c>
      <c r="Q36" s="85">
        <v>0</v>
      </c>
      <c r="R36" s="73">
        <v>1</v>
      </c>
      <c r="S36"/>
      <c r="T36"/>
    </row>
    <row r="37" spans="1:20" ht="15" customHeight="1" x14ac:dyDescent="0.15">
      <c r="A37" s="134"/>
      <c r="B37" s="97"/>
      <c r="C37" s="97"/>
      <c r="D37" s="97"/>
      <c r="E37" s="131"/>
      <c r="F37" s="202" t="s">
        <v>223</v>
      </c>
      <c r="G37" s="85">
        <v>0</v>
      </c>
      <c r="H37" s="85">
        <v>0</v>
      </c>
      <c r="I37" s="85">
        <v>0</v>
      </c>
      <c r="J37" s="85">
        <v>0</v>
      </c>
      <c r="K37" s="85">
        <v>1</v>
      </c>
      <c r="L37" s="85">
        <v>0</v>
      </c>
      <c r="M37" s="85">
        <v>1</v>
      </c>
      <c r="N37" s="85">
        <v>0</v>
      </c>
      <c r="O37" s="85">
        <v>1</v>
      </c>
      <c r="P37" s="72">
        <v>0</v>
      </c>
      <c r="Q37" s="85">
        <v>0</v>
      </c>
      <c r="R37" s="73">
        <v>1</v>
      </c>
      <c r="S37"/>
      <c r="T37"/>
    </row>
    <row r="38" spans="1:20" ht="15" customHeight="1" x14ac:dyDescent="0.15">
      <c r="A38" s="135"/>
      <c r="B38" s="97"/>
      <c r="C38" s="97"/>
      <c r="D38" s="97"/>
      <c r="E38" s="131"/>
      <c r="F38" s="202" t="s">
        <v>224</v>
      </c>
      <c r="G38" s="85">
        <v>0</v>
      </c>
      <c r="H38" s="85">
        <v>0</v>
      </c>
      <c r="I38" s="85">
        <v>0</v>
      </c>
      <c r="J38" s="85">
        <v>0</v>
      </c>
      <c r="K38" s="85">
        <v>1</v>
      </c>
      <c r="L38" s="85">
        <v>0</v>
      </c>
      <c r="M38" s="85">
        <v>1</v>
      </c>
      <c r="N38" s="85">
        <v>0</v>
      </c>
      <c r="O38" s="85">
        <v>1</v>
      </c>
      <c r="P38" s="72">
        <v>0</v>
      </c>
      <c r="Q38" s="85">
        <v>0</v>
      </c>
      <c r="R38" s="73">
        <v>1</v>
      </c>
      <c r="S38"/>
      <c r="T38"/>
    </row>
    <row r="39" spans="1:20" ht="15" customHeight="1" x14ac:dyDescent="0.15">
      <c r="A39" s="135"/>
      <c r="B39" s="97"/>
      <c r="C39" s="97"/>
      <c r="D39" s="97"/>
      <c r="E39" s="131"/>
      <c r="F39" s="202" t="s">
        <v>225</v>
      </c>
      <c r="G39" s="85">
        <v>0</v>
      </c>
      <c r="H39" s="85">
        <v>0</v>
      </c>
      <c r="I39" s="85">
        <v>0</v>
      </c>
      <c r="J39" s="85">
        <v>0</v>
      </c>
      <c r="K39" s="85">
        <v>1</v>
      </c>
      <c r="L39" s="85">
        <v>0</v>
      </c>
      <c r="M39" s="85">
        <v>1</v>
      </c>
      <c r="N39" s="85">
        <v>0</v>
      </c>
      <c r="O39" s="85">
        <v>1</v>
      </c>
      <c r="P39" s="72">
        <v>0</v>
      </c>
      <c r="Q39" s="85">
        <v>0</v>
      </c>
      <c r="R39" s="73">
        <v>1</v>
      </c>
      <c r="S39"/>
      <c r="T39"/>
    </row>
    <row r="40" spans="1:20" ht="15" customHeight="1" x14ac:dyDescent="0.15">
      <c r="A40" s="135"/>
      <c r="B40" s="97"/>
      <c r="C40" s="97"/>
      <c r="D40" s="97"/>
      <c r="E40" s="131"/>
      <c r="F40" s="202" t="s">
        <v>226</v>
      </c>
      <c r="G40" s="85">
        <v>0</v>
      </c>
      <c r="H40" s="85">
        <v>0</v>
      </c>
      <c r="I40" s="85">
        <v>0</v>
      </c>
      <c r="J40" s="85">
        <v>0</v>
      </c>
      <c r="K40" s="85">
        <v>1</v>
      </c>
      <c r="L40" s="85">
        <v>0</v>
      </c>
      <c r="M40" s="85">
        <v>1</v>
      </c>
      <c r="N40" s="85">
        <v>0</v>
      </c>
      <c r="O40" s="85">
        <v>1</v>
      </c>
      <c r="P40" s="72">
        <v>0</v>
      </c>
      <c r="Q40" s="85">
        <v>0</v>
      </c>
      <c r="R40" s="73">
        <v>1</v>
      </c>
      <c r="S40"/>
      <c r="T40"/>
    </row>
    <row r="41" spans="1:20" ht="15" customHeight="1" thickBot="1" x14ac:dyDescent="0.2">
      <c r="A41" s="135"/>
      <c r="B41" s="97"/>
      <c r="C41" s="97"/>
      <c r="D41" s="98"/>
      <c r="E41" s="136"/>
      <c r="F41" s="202" t="s">
        <v>227</v>
      </c>
      <c r="G41" s="85">
        <v>0</v>
      </c>
      <c r="H41" s="85">
        <v>0</v>
      </c>
      <c r="I41" s="85">
        <v>0</v>
      </c>
      <c r="J41" s="85">
        <v>0</v>
      </c>
      <c r="K41" s="85">
        <v>1</v>
      </c>
      <c r="L41" s="85">
        <v>0</v>
      </c>
      <c r="M41" s="85">
        <v>1</v>
      </c>
      <c r="N41" s="85">
        <v>0</v>
      </c>
      <c r="O41" s="85">
        <v>1</v>
      </c>
      <c r="P41" s="72">
        <v>0</v>
      </c>
      <c r="Q41" s="85">
        <v>0</v>
      </c>
      <c r="R41" s="73">
        <v>1</v>
      </c>
      <c r="S41"/>
      <c r="T41"/>
    </row>
    <row r="42" spans="1:20" ht="15" customHeight="1" x14ac:dyDescent="0.15">
      <c r="A42" s="137"/>
      <c r="B42" s="138"/>
      <c r="C42" s="138" t="s">
        <v>162</v>
      </c>
      <c r="D42" s="138">
        <f>SUM(D32:D41)</f>
        <v>2941</v>
      </c>
      <c r="E42" s="139">
        <f>SUM(E32:E41)</f>
        <v>1</v>
      </c>
      <c r="F42" s="202" t="s">
        <v>228</v>
      </c>
      <c r="G42" s="85">
        <v>0</v>
      </c>
      <c r="H42" s="85">
        <v>0</v>
      </c>
      <c r="I42" s="85">
        <v>0</v>
      </c>
      <c r="J42" s="85">
        <v>0</v>
      </c>
      <c r="K42" s="85">
        <v>1</v>
      </c>
      <c r="L42" s="85">
        <v>0</v>
      </c>
      <c r="M42" s="85">
        <v>1</v>
      </c>
      <c r="N42" s="85">
        <v>0</v>
      </c>
      <c r="O42" s="85">
        <v>1</v>
      </c>
      <c r="P42" s="72">
        <v>0</v>
      </c>
      <c r="Q42" s="85">
        <v>0</v>
      </c>
      <c r="R42" s="73">
        <v>1</v>
      </c>
      <c r="S42"/>
      <c r="T42"/>
    </row>
    <row r="43" spans="1:20" ht="15" customHeight="1" x14ac:dyDescent="0.15">
      <c r="A43" s="85"/>
      <c r="F43" s="202" t="s">
        <v>229</v>
      </c>
      <c r="G43" s="85">
        <v>0</v>
      </c>
      <c r="H43" s="85">
        <v>0</v>
      </c>
      <c r="I43" s="85">
        <v>0</v>
      </c>
      <c r="J43" s="85">
        <v>0</v>
      </c>
      <c r="K43" s="85">
        <v>1</v>
      </c>
      <c r="L43" s="85">
        <v>0</v>
      </c>
      <c r="M43" s="85">
        <v>1</v>
      </c>
      <c r="N43" s="85">
        <v>0</v>
      </c>
      <c r="O43" s="85">
        <v>1</v>
      </c>
      <c r="P43" s="72">
        <v>0</v>
      </c>
      <c r="Q43" s="85">
        <v>0</v>
      </c>
      <c r="R43" s="73">
        <v>1</v>
      </c>
      <c r="S43"/>
      <c r="T43"/>
    </row>
    <row r="44" spans="1:20" ht="15" customHeight="1" x14ac:dyDescent="0.15">
      <c r="A44" s="85"/>
      <c r="F44" s="202" t="s">
        <v>230</v>
      </c>
      <c r="G44" s="85">
        <v>0</v>
      </c>
      <c r="H44" s="85">
        <v>0</v>
      </c>
      <c r="I44" s="85">
        <v>0</v>
      </c>
      <c r="J44" s="85">
        <v>0</v>
      </c>
      <c r="K44" s="85">
        <v>1</v>
      </c>
      <c r="L44" s="85">
        <v>0</v>
      </c>
      <c r="M44" s="85">
        <v>1</v>
      </c>
      <c r="N44" s="85">
        <v>0</v>
      </c>
      <c r="O44" s="85">
        <v>1</v>
      </c>
      <c r="P44" s="72">
        <v>0</v>
      </c>
      <c r="Q44" s="85">
        <v>0</v>
      </c>
      <c r="R44" s="73">
        <v>1</v>
      </c>
    </row>
    <row r="45" spans="1:20" ht="15" customHeight="1" x14ac:dyDescent="0.15">
      <c r="A45" s="85"/>
      <c r="F45" s="202" t="s">
        <v>231</v>
      </c>
      <c r="G45" s="85">
        <v>0</v>
      </c>
      <c r="H45" s="85">
        <v>0</v>
      </c>
      <c r="I45" s="85">
        <v>0</v>
      </c>
      <c r="J45" s="85">
        <v>0</v>
      </c>
      <c r="K45" s="85">
        <v>1</v>
      </c>
      <c r="L45" s="85">
        <v>0</v>
      </c>
      <c r="M45" s="85">
        <v>1</v>
      </c>
      <c r="N45" s="85">
        <v>0</v>
      </c>
      <c r="O45" s="85">
        <v>1</v>
      </c>
      <c r="P45" s="72">
        <v>0</v>
      </c>
      <c r="Q45" s="85">
        <v>0</v>
      </c>
      <c r="R45" s="73">
        <v>1</v>
      </c>
    </row>
    <row r="46" spans="1:20" ht="15" customHeight="1" x14ac:dyDescent="0.15">
      <c r="A46" s="85"/>
      <c r="F46" s="202" t="s">
        <v>232</v>
      </c>
      <c r="G46" s="85">
        <v>0</v>
      </c>
      <c r="H46" s="85">
        <v>0</v>
      </c>
      <c r="I46" s="85">
        <v>0</v>
      </c>
      <c r="J46" s="85">
        <v>0</v>
      </c>
      <c r="K46" s="85">
        <v>1</v>
      </c>
      <c r="L46" s="85">
        <v>0</v>
      </c>
      <c r="M46" s="85">
        <v>1</v>
      </c>
      <c r="N46" s="85">
        <v>0</v>
      </c>
      <c r="O46" s="85">
        <v>1</v>
      </c>
      <c r="P46" s="72">
        <v>0</v>
      </c>
      <c r="Q46" s="85">
        <v>0</v>
      </c>
      <c r="R46" s="73">
        <v>1</v>
      </c>
    </row>
    <row r="47" spans="1:20" ht="15" customHeight="1" x14ac:dyDescent="0.15">
      <c r="A47" s="85"/>
      <c r="F47" s="202" t="s">
        <v>233</v>
      </c>
      <c r="G47" s="85">
        <v>0</v>
      </c>
      <c r="H47" s="85">
        <v>0</v>
      </c>
      <c r="I47" s="85">
        <v>0</v>
      </c>
      <c r="J47" s="85">
        <v>0</v>
      </c>
      <c r="K47" s="85">
        <v>1</v>
      </c>
      <c r="L47" s="85">
        <v>0</v>
      </c>
      <c r="M47" s="85">
        <v>1</v>
      </c>
      <c r="N47" s="85">
        <v>0</v>
      </c>
      <c r="O47" s="85">
        <v>1</v>
      </c>
      <c r="P47" s="72">
        <v>0</v>
      </c>
      <c r="Q47" s="85">
        <v>0</v>
      </c>
      <c r="R47" s="73">
        <v>1</v>
      </c>
    </row>
    <row r="48" spans="1:20" ht="15" customHeight="1" x14ac:dyDescent="0.15">
      <c r="A48" s="85"/>
      <c r="F48" s="202" t="s">
        <v>234</v>
      </c>
      <c r="G48" s="85">
        <v>0</v>
      </c>
      <c r="H48" s="85">
        <v>0</v>
      </c>
      <c r="I48" s="85">
        <v>0</v>
      </c>
      <c r="J48" s="85">
        <v>0</v>
      </c>
      <c r="K48" s="85">
        <v>1</v>
      </c>
      <c r="L48" s="85">
        <v>0</v>
      </c>
      <c r="M48" s="85">
        <v>1</v>
      </c>
      <c r="N48" s="85">
        <v>0</v>
      </c>
      <c r="O48" s="85">
        <v>1</v>
      </c>
      <c r="P48" s="72">
        <v>0</v>
      </c>
      <c r="Q48" s="85">
        <v>0</v>
      </c>
      <c r="R48" s="73">
        <v>1</v>
      </c>
    </row>
    <row r="49" spans="6:18" s="85" customFormat="1" ht="15" customHeight="1" x14ac:dyDescent="0.15">
      <c r="F49" s="202" t="s">
        <v>235</v>
      </c>
      <c r="G49" s="85">
        <v>0</v>
      </c>
      <c r="H49" s="85">
        <v>0</v>
      </c>
      <c r="I49" s="85">
        <v>0</v>
      </c>
      <c r="J49" s="85">
        <v>0</v>
      </c>
      <c r="K49" s="85">
        <v>1</v>
      </c>
      <c r="L49" s="85">
        <v>0</v>
      </c>
      <c r="M49" s="85">
        <v>1</v>
      </c>
      <c r="N49" s="85">
        <v>0</v>
      </c>
      <c r="O49" s="85">
        <v>1</v>
      </c>
      <c r="P49" s="72">
        <v>0</v>
      </c>
      <c r="Q49" s="85">
        <v>0</v>
      </c>
      <c r="R49" s="73">
        <v>1</v>
      </c>
    </row>
    <row r="50" spans="6:18" s="85" customFormat="1" ht="15" customHeight="1" x14ac:dyDescent="0.15">
      <c r="F50" s="202" t="s">
        <v>236</v>
      </c>
      <c r="G50" s="85">
        <v>0</v>
      </c>
      <c r="H50" s="85">
        <v>0</v>
      </c>
      <c r="I50" s="85">
        <v>0</v>
      </c>
      <c r="J50" s="85">
        <v>0</v>
      </c>
      <c r="K50" s="85">
        <v>1</v>
      </c>
      <c r="L50" s="85">
        <v>0</v>
      </c>
      <c r="M50" s="85">
        <v>1</v>
      </c>
      <c r="N50" s="85">
        <v>0</v>
      </c>
      <c r="O50" s="85">
        <v>1</v>
      </c>
      <c r="P50" s="72">
        <v>0</v>
      </c>
      <c r="Q50" s="85">
        <v>0</v>
      </c>
      <c r="R50" s="73">
        <v>1</v>
      </c>
    </row>
    <row r="51" spans="6:18" s="85" customFormat="1" ht="15" customHeight="1" x14ac:dyDescent="0.15">
      <c r="F51" s="202" t="s">
        <v>237</v>
      </c>
      <c r="G51" s="85">
        <v>0</v>
      </c>
      <c r="H51" s="85">
        <v>0</v>
      </c>
      <c r="I51" s="85">
        <v>0</v>
      </c>
      <c r="J51" s="85">
        <v>0</v>
      </c>
      <c r="K51" s="85">
        <v>1</v>
      </c>
      <c r="L51" s="85">
        <v>0</v>
      </c>
      <c r="M51" s="85">
        <v>1</v>
      </c>
      <c r="N51" s="85">
        <v>0</v>
      </c>
      <c r="O51" s="85">
        <v>1</v>
      </c>
      <c r="P51" s="72">
        <v>0</v>
      </c>
      <c r="Q51" s="85">
        <v>0</v>
      </c>
      <c r="R51" s="73">
        <v>1</v>
      </c>
    </row>
    <row r="52" spans="6:18" s="85" customFormat="1" ht="15" customHeight="1" x14ac:dyDescent="0.15">
      <c r="F52" s="202" t="s">
        <v>238</v>
      </c>
      <c r="G52" s="85">
        <v>0</v>
      </c>
      <c r="H52" s="85">
        <v>0</v>
      </c>
      <c r="I52" s="85">
        <v>0</v>
      </c>
      <c r="J52" s="85">
        <v>0</v>
      </c>
      <c r="K52" s="85">
        <v>1</v>
      </c>
      <c r="L52" s="85">
        <v>0</v>
      </c>
      <c r="M52" s="85">
        <v>1</v>
      </c>
      <c r="N52" s="85">
        <v>0</v>
      </c>
      <c r="O52" s="85">
        <v>1</v>
      </c>
      <c r="P52" s="72">
        <v>0</v>
      </c>
      <c r="Q52" s="85">
        <v>0</v>
      </c>
      <c r="R52" s="73">
        <v>1</v>
      </c>
    </row>
    <row r="53" spans="6:18" s="85" customFormat="1" ht="15" customHeight="1" x14ac:dyDescent="0.15">
      <c r="F53" s="202" t="s">
        <v>239</v>
      </c>
      <c r="G53" s="85">
        <v>0</v>
      </c>
      <c r="H53" s="85">
        <v>0</v>
      </c>
      <c r="I53" s="85">
        <v>0</v>
      </c>
      <c r="J53" s="85">
        <v>0</v>
      </c>
      <c r="K53" s="85">
        <v>1</v>
      </c>
      <c r="L53" s="85">
        <v>0</v>
      </c>
      <c r="M53" s="85">
        <v>1</v>
      </c>
      <c r="N53" s="85">
        <v>0</v>
      </c>
      <c r="O53" s="85">
        <v>1</v>
      </c>
      <c r="P53" s="72">
        <v>0</v>
      </c>
      <c r="Q53" s="85">
        <v>0</v>
      </c>
      <c r="R53" s="73">
        <v>1</v>
      </c>
    </row>
    <row r="54" spans="6:18" s="85" customFormat="1" ht="15" customHeight="1" x14ac:dyDescent="0.15">
      <c r="F54" s="202" t="s">
        <v>240</v>
      </c>
      <c r="G54" s="85">
        <v>0</v>
      </c>
      <c r="H54" s="85">
        <v>0</v>
      </c>
      <c r="I54" s="85">
        <v>0</v>
      </c>
      <c r="J54" s="85">
        <v>0</v>
      </c>
      <c r="K54" s="85">
        <v>1</v>
      </c>
      <c r="L54" s="85">
        <v>0</v>
      </c>
      <c r="M54" s="85">
        <v>1</v>
      </c>
      <c r="N54" s="85">
        <v>0</v>
      </c>
      <c r="O54" s="85">
        <v>1</v>
      </c>
      <c r="P54" s="72">
        <v>0</v>
      </c>
      <c r="Q54" s="85">
        <v>0</v>
      </c>
      <c r="R54" s="73">
        <v>1</v>
      </c>
    </row>
    <row r="55" spans="6:18" s="85" customFormat="1" ht="15" customHeight="1" x14ac:dyDescent="0.15">
      <c r="F55" s="202" t="s">
        <v>241</v>
      </c>
      <c r="G55" s="85">
        <v>0</v>
      </c>
      <c r="H55" s="85">
        <v>0</v>
      </c>
      <c r="I55" s="85">
        <v>0</v>
      </c>
      <c r="J55" s="85">
        <v>0</v>
      </c>
      <c r="K55" s="85">
        <v>1</v>
      </c>
      <c r="L55" s="85">
        <v>0</v>
      </c>
      <c r="M55" s="85">
        <v>1</v>
      </c>
      <c r="N55" s="85">
        <v>0</v>
      </c>
      <c r="O55" s="85">
        <v>1</v>
      </c>
      <c r="P55" s="72">
        <v>0</v>
      </c>
      <c r="Q55" s="85">
        <v>0</v>
      </c>
      <c r="R55" s="73">
        <v>1</v>
      </c>
    </row>
    <row r="56" spans="6:18" s="85" customFormat="1" ht="15" customHeight="1" x14ac:dyDescent="0.15">
      <c r="F56" s="202" t="s">
        <v>242</v>
      </c>
      <c r="G56" s="85">
        <v>0</v>
      </c>
      <c r="H56" s="85">
        <v>0</v>
      </c>
      <c r="I56" s="85">
        <v>0</v>
      </c>
      <c r="J56" s="85">
        <v>0</v>
      </c>
      <c r="K56" s="85">
        <v>1</v>
      </c>
      <c r="L56" s="85">
        <v>0</v>
      </c>
      <c r="M56" s="85">
        <v>1</v>
      </c>
      <c r="N56" s="85">
        <v>0</v>
      </c>
      <c r="O56" s="85">
        <v>1</v>
      </c>
      <c r="P56" s="72">
        <v>0</v>
      </c>
      <c r="Q56" s="85">
        <v>0</v>
      </c>
      <c r="R56" s="73">
        <v>1</v>
      </c>
    </row>
    <row r="57" spans="6:18" s="85" customFormat="1" ht="15" customHeight="1" x14ac:dyDescent="0.15">
      <c r="F57" s="202" t="s">
        <v>243</v>
      </c>
      <c r="G57" s="85">
        <v>0</v>
      </c>
      <c r="H57" s="85">
        <v>0</v>
      </c>
      <c r="I57" s="85">
        <v>0</v>
      </c>
      <c r="J57" s="85">
        <v>0</v>
      </c>
      <c r="K57" s="85">
        <v>1</v>
      </c>
      <c r="L57" s="85">
        <v>0</v>
      </c>
      <c r="M57" s="85">
        <v>1</v>
      </c>
      <c r="N57" s="85">
        <v>0</v>
      </c>
      <c r="O57" s="85">
        <v>1</v>
      </c>
      <c r="P57" s="72">
        <v>0</v>
      </c>
      <c r="Q57" s="85">
        <v>0</v>
      </c>
      <c r="R57" s="73">
        <v>1</v>
      </c>
    </row>
    <row r="58" spans="6:18" s="85" customFormat="1" ht="15" customHeight="1" x14ac:dyDescent="0.15">
      <c r="F58" s="202" t="s">
        <v>244</v>
      </c>
      <c r="G58" s="85">
        <v>0</v>
      </c>
      <c r="H58" s="85">
        <v>0</v>
      </c>
      <c r="I58" s="85">
        <v>0</v>
      </c>
      <c r="J58" s="85">
        <v>0</v>
      </c>
      <c r="K58" s="85">
        <v>1</v>
      </c>
      <c r="L58" s="85">
        <v>0</v>
      </c>
      <c r="M58" s="85">
        <v>1</v>
      </c>
      <c r="N58" s="85">
        <v>0</v>
      </c>
      <c r="O58" s="85">
        <v>1</v>
      </c>
      <c r="P58" s="72">
        <v>0</v>
      </c>
      <c r="Q58" s="85">
        <v>0</v>
      </c>
      <c r="R58" s="73">
        <v>1</v>
      </c>
    </row>
    <row r="59" spans="6:18" s="85" customFormat="1" ht="15" customHeight="1" x14ac:dyDescent="0.15">
      <c r="F59" s="202" t="s">
        <v>245</v>
      </c>
      <c r="G59" s="85">
        <v>0</v>
      </c>
      <c r="H59" s="85">
        <v>0</v>
      </c>
      <c r="I59" s="85">
        <v>0</v>
      </c>
      <c r="J59" s="85">
        <v>0</v>
      </c>
      <c r="K59" s="85">
        <v>0</v>
      </c>
      <c r="L59" s="85">
        <v>0</v>
      </c>
      <c r="M59" s="85">
        <v>1</v>
      </c>
      <c r="N59" s="85">
        <v>0</v>
      </c>
      <c r="O59" s="85">
        <v>0</v>
      </c>
      <c r="P59" s="72">
        <v>0</v>
      </c>
      <c r="Q59" s="85">
        <v>0</v>
      </c>
      <c r="R59" s="73">
        <v>1</v>
      </c>
    </row>
    <row r="60" spans="6:18" s="85" customFormat="1" ht="15" customHeight="1" x14ac:dyDescent="0.15">
      <c r="F60" s="202" t="s">
        <v>67</v>
      </c>
      <c r="G60" s="85">
        <v>0</v>
      </c>
      <c r="H60" s="85">
        <v>0</v>
      </c>
      <c r="I60" s="85">
        <v>0</v>
      </c>
      <c r="J60" s="85">
        <v>0</v>
      </c>
      <c r="K60" s="85">
        <v>0</v>
      </c>
      <c r="L60" s="85">
        <v>0</v>
      </c>
      <c r="M60" s="85">
        <v>1</v>
      </c>
      <c r="N60" s="85">
        <v>0</v>
      </c>
      <c r="O60" s="85">
        <v>0</v>
      </c>
      <c r="P60" s="72">
        <v>0</v>
      </c>
      <c r="Q60" s="85">
        <v>0</v>
      </c>
      <c r="R60" s="73">
        <v>1</v>
      </c>
    </row>
    <row r="61" spans="6:18" s="85" customFormat="1" ht="15" customHeight="1" x14ac:dyDescent="0.15">
      <c r="F61" s="202" t="s">
        <v>246</v>
      </c>
      <c r="G61" s="85">
        <v>0</v>
      </c>
      <c r="H61" s="85">
        <v>0</v>
      </c>
      <c r="I61" s="85">
        <v>0</v>
      </c>
      <c r="J61" s="85">
        <v>0</v>
      </c>
      <c r="K61" s="85">
        <v>0</v>
      </c>
      <c r="L61" s="85">
        <v>1</v>
      </c>
      <c r="M61" s="85">
        <v>0</v>
      </c>
      <c r="N61" s="85">
        <v>1</v>
      </c>
      <c r="O61" s="85">
        <v>0</v>
      </c>
      <c r="P61" s="72">
        <v>1</v>
      </c>
      <c r="Q61" s="85">
        <v>0</v>
      </c>
      <c r="R61" s="73">
        <v>1</v>
      </c>
    </row>
    <row r="62" spans="6:18" s="85" customFormat="1" ht="15" customHeight="1" x14ac:dyDescent="0.15">
      <c r="F62" s="202" t="s">
        <v>247</v>
      </c>
      <c r="G62" s="85">
        <v>0</v>
      </c>
      <c r="H62" s="85">
        <v>0</v>
      </c>
      <c r="I62" s="85">
        <v>0</v>
      </c>
      <c r="J62" s="85">
        <v>0</v>
      </c>
      <c r="K62" s="85">
        <v>0</v>
      </c>
      <c r="L62" s="85">
        <v>1</v>
      </c>
      <c r="M62" s="85">
        <v>0</v>
      </c>
      <c r="N62" s="85">
        <v>1</v>
      </c>
      <c r="O62" s="85">
        <v>0</v>
      </c>
      <c r="P62" s="72">
        <v>1</v>
      </c>
      <c r="Q62" s="85">
        <v>0</v>
      </c>
      <c r="R62" s="73">
        <v>1</v>
      </c>
    </row>
    <row r="63" spans="6:18" s="85" customFormat="1" ht="15" customHeight="1" x14ac:dyDescent="0.15">
      <c r="F63" s="202" t="s">
        <v>248</v>
      </c>
      <c r="G63" s="85">
        <v>0</v>
      </c>
      <c r="H63" s="85">
        <v>0</v>
      </c>
      <c r="I63" s="85">
        <v>0</v>
      </c>
      <c r="J63" s="85">
        <v>0</v>
      </c>
      <c r="K63" s="85">
        <v>0</v>
      </c>
      <c r="L63" s="85">
        <v>1</v>
      </c>
      <c r="M63" s="85">
        <v>0</v>
      </c>
      <c r="N63" s="85">
        <v>0</v>
      </c>
      <c r="O63" s="85">
        <v>0</v>
      </c>
      <c r="P63" s="72">
        <v>0</v>
      </c>
      <c r="Q63" s="85">
        <v>0</v>
      </c>
      <c r="R63" s="73">
        <v>1</v>
      </c>
    </row>
    <row r="64" spans="6:18" s="85" customFormat="1" ht="15" customHeight="1" x14ac:dyDescent="0.15">
      <c r="F64" s="202" t="s">
        <v>249</v>
      </c>
      <c r="G64" s="85">
        <v>0</v>
      </c>
      <c r="H64" s="85">
        <v>0</v>
      </c>
      <c r="I64" s="85">
        <v>0</v>
      </c>
      <c r="J64" s="85">
        <v>0</v>
      </c>
      <c r="K64" s="85">
        <v>0</v>
      </c>
      <c r="L64" s="85">
        <v>1</v>
      </c>
      <c r="M64" s="85">
        <v>0</v>
      </c>
      <c r="N64" s="85">
        <v>0</v>
      </c>
      <c r="O64" s="85">
        <v>0</v>
      </c>
      <c r="P64" s="72">
        <v>0</v>
      </c>
      <c r="Q64" s="85">
        <v>0</v>
      </c>
      <c r="R64" s="73">
        <v>1</v>
      </c>
    </row>
    <row r="65" spans="1:18" ht="15" customHeight="1" x14ac:dyDescent="0.15">
      <c r="F65" s="202" t="s">
        <v>250</v>
      </c>
      <c r="G65" s="85">
        <v>0</v>
      </c>
      <c r="H65" s="85">
        <v>0</v>
      </c>
      <c r="I65" s="85">
        <v>0</v>
      </c>
      <c r="J65" s="85">
        <v>0</v>
      </c>
      <c r="K65" s="85">
        <v>0</v>
      </c>
      <c r="L65" s="85">
        <v>1</v>
      </c>
      <c r="M65" s="85">
        <v>0</v>
      </c>
      <c r="N65" s="85">
        <v>0</v>
      </c>
      <c r="O65" s="85">
        <v>0</v>
      </c>
      <c r="P65" s="72">
        <v>0</v>
      </c>
      <c r="Q65" s="85">
        <v>0</v>
      </c>
      <c r="R65" s="73">
        <v>1</v>
      </c>
    </row>
    <row r="66" spans="1:18" ht="15" customHeight="1" x14ac:dyDescent="0.15">
      <c r="F66" s="202" t="s">
        <v>251</v>
      </c>
      <c r="G66" s="85">
        <v>0</v>
      </c>
      <c r="H66" s="85">
        <v>0</v>
      </c>
      <c r="I66" s="85">
        <v>0</v>
      </c>
      <c r="J66" s="85">
        <v>0</v>
      </c>
      <c r="K66" s="85">
        <v>0</v>
      </c>
      <c r="L66" s="85">
        <v>1</v>
      </c>
      <c r="M66" s="85">
        <v>0</v>
      </c>
      <c r="N66" s="85">
        <v>0</v>
      </c>
      <c r="O66" s="85">
        <v>0</v>
      </c>
      <c r="P66" s="72">
        <v>0</v>
      </c>
      <c r="Q66" s="85">
        <v>0</v>
      </c>
      <c r="R66" s="73">
        <v>1</v>
      </c>
    </row>
    <row r="67" spans="1:18" ht="15" customHeight="1" x14ac:dyDescent="0.15">
      <c r="F67" s="202" t="s">
        <v>252</v>
      </c>
      <c r="G67" s="85">
        <v>0</v>
      </c>
      <c r="H67" s="85">
        <v>0</v>
      </c>
      <c r="I67" s="85">
        <v>0</v>
      </c>
      <c r="J67" s="85">
        <v>0</v>
      </c>
      <c r="K67" s="85">
        <v>0</v>
      </c>
      <c r="L67" s="85">
        <v>1</v>
      </c>
      <c r="M67" s="85">
        <v>0</v>
      </c>
      <c r="N67" s="85">
        <v>0</v>
      </c>
      <c r="O67" s="85">
        <v>0</v>
      </c>
      <c r="P67" s="72">
        <v>0</v>
      </c>
      <c r="Q67" s="85">
        <v>0</v>
      </c>
      <c r="R67" s="73">
        <v>1</v>
      </c>
    </row>
    <row r="68" spans="1:18" ht="15" customHeight="1" x14ac:dyDescent="0.15">
      <c r="F68" s="202" t="s">
        <v>216</v>
      </c>
      <c r="G68" s="85">
        <v>0</v>
      </c>
      <c r="H68" s="85">
        <v>0</v>
      </c>
      <c r="I68" s="85">
        <v>0</v>
      </c>
      <c r="J68" s="85">
        <v>0</v>
      </c>
      <c r="K68" s="85">
        <v>0</v>
      </c>
      <c r="L68" s="85">
        <v>1</v>
      </c>
      <c r="M68" s="85">
        <v>0</v>
      </c>
      <c r="N68" s="85">
        <v>0</v>
      </c>
      <c r="O68" s="85">
        <v>0</v>
      </c>
      <c r="P68" s="72">
        <v>0</v>
      </c>
      <c r="Q68" s="85">
        <v>0</v>
      </c>
      <c r="R68" s="73">
        <v>1</v>
      </c>
    </row>
    <row r="69" spans="1:18" ht="15" customHeight="1" x14ac:dyDescent="0.15">
      <c r="F69" s="202" t="s">
        <v>215</v>
      </c>
      <c r="G69" s="85">
        <v>0</v>
      </c>
      <c r="H69" s="85">
        <v>0</v>
      </c>
      <c r="I69" s="85">
        <v>0</v>
      </c>
      <c r="J69" s="85">
        <v>0</v>
      </c>
      <c r="K69" s="85">
        <v>0</v>
      </c>
      <c r="L69" s="85">
        <v>1</v>
      </c>
      <c r="M69" s="85">
        <v>0</v>
      </c>
      <c r="N69" s="85">
        <v>0</v>
      </c>
      <c r="O69" s="85">
        <v>0</v>
      </c>
      <c r="P69" s="72">
        <v>0</v>
      </c>
      <c r="Q69" s="85">
        <v>0</v>
      </c>
      <c r="R69" s="73">
        <v>1</v>
      </c>
    </row>
    <row r="70" spans="1:18" ht="15" customHeight="1" x14ac:dyDescent="0.15">
      <c r="F70" s="202" t="s">
        <v>253</v>
      </c>
      <c r="G70" s="85">
        <v>0</v>
      </c>
      <c r="H70" s="85">
        <v>0</v>
      </c>
      <c r="I70" s="85">
        <v>0</v>
      </c>
      <c r="J70" s="85">
        <v>0</v>
      </c>
      <c r="K70" s="85">
        <v>0</v>
      </c>
      <c r="L70" s="85">
        <v>1</v>
      </c>
      <c r="M70" s="85">
        <v>0</v>
      </c>
      <c r="N70" s="85">
        <v>0</v>
      </c>
      <c r="O70" s="85">
        <v>0</v>
      </c>
      <c r="P70" s="72">
        <v>0</v>
      </c>
      <c r="Q70" s="85">
        <v>0</v>
      </c>
      <c r="R70" s="73">
        <v>1</v>
      </c>
    </row>
    <row r="71" spans="1:18" ht="15" customHeight="1" x14ac:dyDescent="0.15">
      <c r="F71" s="202" t="s">
        <v>217</v>
      </c>
      <c r="G71" s="85">
        <v>0</v>
      </c>
      <c r="H71" s="85">
        <v>0</v>
      </c>
      <c r="I71" s="85">
        <v>0</v>
      </c>
      <c r="J71" s="85">
        <v>0</v>
      </c>
      <c r="K71" s="85">
        <v>0</v>
      </c>
      <c r="L71" s="85">
        <v>1</v>
      </c>
      <c r="M71" s="85">
        <v>0</v>
      </c>
      <c r="N71" s="85">
        <v>0</v>
      </c>
      <c r="O71" s="85">
        <v>0</v>
      </c>
      <c r="P71" s="72">
        <v>0</v>
      </c>
      <c r="Q71" s="85">
        <v>0</v>
      </c>
      <c r="R71" s="73">
        <v>1</v>
      </c>
    </row>
    <row r="72" spans="1:18" ht="15" customHeight="1" x14ac:dyDescent="0.15">
      <c r="F72" s="202" t="s">
        <v>254</v>
      </c>
      <c r="G72" s="85">
        <v>0</v>
      </c>
      <c r="H72" s="85">
        <v>0</v>
      </c>
      <c r="I72" s="85">
        <v>0</v>
      </c>
      <c r="J72" s="85">
        <v>0</v>
      </c>
      <c r="K72" s="85">
        <v>0</v>
      </c>
      <c r="L72" s="85">
        <v>1</v>
      </c>
      <c r="M72" s="85">
        <v>0</v>
      </c>
      <c r="N72" s="85">
        <v>0</v>
      </c>
      <c r="O72" s="85">
        <v>0</v>
      </c>
      <c r="P72" s="72">
        <v>0</v>
      </c>
      <c r="Q72" s="85">
        <v>0</v>
      </c>
      <c r="R72" s="73">
        <v>1</v>
      </c>
    </row>
    <row r="73" spans="1:18" ht="15" customHeight="1" x14ac:dyDescent="0.15">
      <c r="F73" s="202" t="s">
        <v>255</v>
      </c>
      <c r="G73" s="85">
        <v>0</v>
      </c>
      <c r="H73" s="85">
        <v>0</v>
      </c>
      <c r="I73" s="85">
        <v>0</v>
      </c>
      <c r="J73" s="85">
        <v>0</v>
      </c>
      <c r="K73" s="85">
        <v>0</v>
      </c>
      <c r="L73" s="85">
        <v>1</v>
      </c>
      <c r="M73" s="85">
        <v>0</v>
      </c>
      <c r="N73" s="85">
        <v>0</v>
      </c>
      <c r="O73" s="85">
        <v>0</v>
      </c>
      <c r="P73" s="72">
        <v>0</v>
      </c>
      <c r="Q73" s="85">
        <v>0</v>
      </c>
      <c r="R73" s="73">
        <v>1</v>
      </c>
    </row>
    <row r="74" spans="1:18" ht="15" customHeight="1" x14ac:dyDescent="0.15">
      <c r="F74" s="202" t="s">
        <v>256</v>
      </c>
      <c r="G74" s="85">
        <v>0</v>
      </c>
      <c r="H74" s="85">
        <v>0</v>
      </c>
      <c r="I74" s="85">
        <v>0</v>
      </c>
      <c r="J74" s="85">
        <v>0</v>
      </c>
      <c r="K74" s="85">
        <v>0</v>
      </c>
      <c r="L74" s="85">
        <v>1</v>
      </c>
      <c r="M74" s="85">
        <v>0</v>
      </c>
      <c r="N74" s="85">
        <v>0</v>
      </c>
      <c r="O74" s="85">
        <v>0</v>
      </c>
      <c r="P74" s="72">
        <v>0</v>
      </c>
      <c r="Q74" s="85">
        <v>0</v>
      </c>
      <c r="R74" s="73">
        <v>1</v>
      </c>
    </row>
    <row r="75" spans="1:18" ht="15" customHeight="1" x14ac:dyDescent="0.15">
      <c r="F75" s="202" t="s">
        <v>257</v>
      </c>
      <c r="G75" s="85">
        <v>0</v>
      </c>
      <c r="H75" s="85">
        <v>0</v>
      </c>
      <c r="I75" s="85">
        <v>0</v>
      </c>
      <c r="J75" s="85">
        <v>0</v>
      </c>
      <c r="K75" s="85">
        <v>0</v>
      </c>
      <c r="L75" s="85">
        <v>1</v>
      </c>
      <c r="M75" s="85">
        <v>0</v>
      </c>
      <c r="N75" s="85">
        <v>0</v>
      </c>
      <c r="O75" s="85">
        <v>0</v>
      </c>
      <c r="P75" s="72">
        <v>0</v>
      </c>
      <c r="Q75" s="85">
        <v>0</v>
      </c>
      <c r="R75" s="73">
        <v>1</v>
      </c>
    </row>
    <row r="76" spans="1:18" ht="15" customHeight="1" x14ac:dyDescent="0.15">
      <c r="A76" s="85"/>
      <c r="F76" s="202" t="s">
        <v>258</v>
      </c>
      <c r="G76" s="85">
        <v>0</v>
      </c>
      <c r="H76" s="85">
        <v>0</v>
      </c>
      <c r="I76" s="85">
        <v>0</v>
      </c>
      <c r="J76" s="85">
        <v>0</v>
      </c>
      <c r="K76" s="85">
        <v>0</v>
      </c>
      <c r="L76" s="85">
        <v>1</v>
      </c>
      <c r="M76" s="85">
        <v>0</v>
      </c>
      <c r="N76" s="85">
        <v>0</v>
      </c>
      <c r="O76" s="85">
        <v>0</v>
      </c>
      <c r="P76" s="72">
        <v>0</v>
      </c>
      <c r="Q76" s="85">
        <v>0</v>
      </c>
      <c r="R76" s="73">
        <v>1</v>
      </c>
    </row>
    <row r="77" spans="1:18" ht="15" customHeight="1" x14ac:dyDescent="0.15">
      <c r="A77" s="85"/>
      <c r="F77" s="202" t="s">
        <v>259</v>
      </c>
      <c r="G77" s="85">
        <v>0</v>
      </c>
      <c r="H77" s="85">
        <v>0</v>
      </c>
      <c r="I77" s="85">
        <v>0</v>
      </c>
      <c r="J77" s="85">
        <v>0</v>
      </c>
      <c r="K77" s="85">
        <v>0</v>
      </c>
      <c r="L77" s="85">
        <v>1</v>
      </c>
      <c r="M77" s="85">
        <v>0</v>
      </c>
      <c r="N77" s="85">
        <v>0</v>
      </c>
      <c r="O77" s="85">
        <v>0</v>
      </c>
      <c r="P77" s="72">
        <v>0</v>
      </c>
      <c r="Q77" s="85">
        <v>0</v>
      </c>
      <c r="R77" s="73">
        <v>1</v>
      </c>
    </row>
    <row r="78" spans="1:18" ht="15" customHeight="1" x14ac:dyDescent="0.15">
      <c r="A78" s="85"/>
      <c r="F78" s="202" t="s">
        <v>260</v>
      </c>
      <c r="G78" s="85">
        <v>0</v>
      </c>
      <c r="H78" s="85">
        <v>0</v>
      </c>
      <c r="I78" s="85">
        <v>0</v>
      </c>
      <c r="J78" s="85">
        <v>0</v>
      </c>
      <c r="K78" s="85">
        <v>0</v>
      </c>
      <c r="L78" s="85">
        <v>1</v>
      </c>
      <c r="M78" s="85">
        <v>0</v>
      </c>
      <c r="N78" s="85">
        <v>0</v>
      </c>
      <c r="O78" s="85">
        <v>0</v>
      </c>
      <c r="P78" s="72">
        <v>0</v>
      </c>
      <c r="Q78" s="85">
        <v>0</v>
      </c>
      <c r="R78" s="73">
        <v>1</v>
      </c>
    </row>
    <row r="79" spans="1:18" ht="15" customHeight="1" x14ac:dyDescent="0.15">
      <c r="A79" s="85"/>
      <c r="F79" s="202" t="s">
        <v>261</v>
      </c>
      <c r="G79" s="85">
        <v>0</v>
      </c>
      <c r="H79" s="85">
        <v>0</v>
      </c>
      <c r="I79" s="85">
        <v>0</v>
      </c>
      <c r="J79" s="85">
        <v>0</v>
      </c>
      <c r="K79" s="85">
        <v>0</v>
      </c>
      <c r="L79" s="85">
        <v>1</v>
      </c>
      <c r="M79" s="85">
        <v>0</v>
      </c>
      <c r="N79" s="85">
        <v>0</v>
      </c>
      <c r="O79" s="85">
        <v>0</v>
      </c>
      <c r="P79" s="72">
        <v>0</v>
      </c>
      <c r="Q79" s="85">
        <v>0</v>
      </c>
      <c r="R79" s="73">
        <v>1</v>
      </c>
    </row>
    <row r="80" spans="1:18" ht="15" customHeight="1" x14ac:dyDescent="0.15">
      <c r="A80" s="85"/>
      <c r="F80" s="202" t="s">
        <v>262</v>
      </c>
      <c r="G80" s="85">
        <v>0</v>
      </c>
      <c r="H80" s="85">
        <v>0</v>
      </c>
      <c r="I80" s="85">
        <v>0</v>
      </c>
      <c r="J80" s="85">
        <v>0</v>
      </c>
      <c r="K80" s="85">
        <v>0</v>
      </c>
      <c r="L80" s="85">
        <v>1</v>
      </c>
      <c r="M80" s="85">
        <v>0</v>
      </c>
      <c r="N80" s="85">
        <v>0</v>
      </c>
      <c r="O80" s="85">
        <v>0</v>
      </c>
      <c r="P80" s="72">
        <v>0</v>
      </c>
      <c r="Q80" s="85">
        <v>0</v>
      </c>
      <c r="R80" s="73">
        <v>1</v>
      </c>
    </row>
    <row r="81" spans="1:18" ht="15" customHeight="1" x14ac:dyDescent="0.15">
      <c r="A81" s="85"/>
      <c r="F81" s="202" t="s">
        <v>263</v>
      </c>
      <c r="G81" s="85">
        <v>0</v>
      </c>
      <c r="H81" s="85">
        <v>0</v>
      </c>
      <c r="I81" s="85">
        <v>0</v>
      </c>
      <c r="J81" s="85">
        <v>0</v>
      </c>
      <c r="K81" s="85">
        <v>0</v>
      </c>
      <c r="L81" s="85">
        <v>1</v>
      </c>
      <c r="M81" s="85">
        <v>0</v>
      </c>
      <c r="N81" s="85">
        <v>0</v>
      </c>
      <c r="O81" s="85">
        <v>0</v>
      </c>
      <c r="P81" s="72">
        <v>0</v>
      </c>
      <c r="Q81" s="85">
        <v>0</v>
      </c>
      <c r="R81" s="73">
        <v>1</v>
      </c>
    </row>
    <row r="82" spans="1:18" ht="15" customHeight="1" x14ac:dyDescent="0.15">
      <c r="A82" s="85"/>
      <c r="F82" s="202" t="s">
        <v>264</v>
      </c>
      <c r="G82" s="85">
        <v>0</v>
      </c>
      <c r="H82" s="85">
        <v>0</v>
      </c>
      <c r="I82" s="85">
        <v>0</v>
      </c>
      <c r="J82" s="85">
        <v>0</v>
      </c>
      <c r="K82" s="85">
        <v>0</v>
      </c>
      <c r="L82" s="85">
        <v>1</v>
      </c>
      <c r="M82" s="85">
        <v>0</v>
      </c>
      <c r="N82" s="85">
        <v>0</v>
      </c>
      <c r="O82" s="85">
        <v>0</v>
      </c>
      <c r="P82" s="72">
        <v>0</v>
      </c>
      <c r="Q82" s="85">
        <v>0</v>
      </c>
      <c r="R82" s="73">
        <v>1</v>
      </c>
    </row>
    <row r="83" spans="1:18" ht="15" customHeight="1" x14ac:dyDescent="0.15">
      <c r="A83" s="85"/>
      <c r="F83" s="202" t="s">
        <v>265</v>
      </c>
      <c r="G83" s="85">
        <v>0</v>
      </c>
      <c r="H83" s="85">
        <v>0</v>
      </c>
      <c r="I83" s="85">
        <v>0</v>
      </c>
      <c r="J83" s="85">
        <v>0</v>
      </c>
      <c r="K83" s="85">
        <v>0</v>
      </c>
      <c r="L83" s="85">
        <v>1</v>
      </c>
      <c r="M83" s="85">
        <v>0</v>
      </c>
      <c r="N83" s="85">
        <v>0</v>
      </c>
      <c r="O83" s="85">
        <v>0</v>
      </c>
      <c r="P83" s="72">
        <v>0</v>
      </c>
      <c r="Q83" s="85">
        <v>0</v>
      </c>
      <c r="R83" s="73">
        <v>1</v>
      </c>
    </row>
    <row r="84" spans="1:18" ht="15" customHeight="1" x14ac:dyDescent="0.15">
      <c r="A84" s="85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5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5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5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5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5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5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5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5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5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5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5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5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5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5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5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5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5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5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5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5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5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5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5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5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5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5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5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5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5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5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5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5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5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5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5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5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5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5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5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5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5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5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5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5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5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5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5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5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5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5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5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5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5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5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5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5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5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5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5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5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5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5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5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5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5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5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5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5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5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5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5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5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5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5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5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5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5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5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5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5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5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5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5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5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5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5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5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5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5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5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5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5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5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5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CH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15" customWidth="1"/>
    <col min="3" max="5" width="7.83203125" style="115" customWidth="1"/>
    <col min="6" max="8" width="8.83203125" style="6"/>
    <col min="9" max="9" width="13.1640625" style="6" customWidth="1"/>
    <col min="10" max="10" width="13" style="6" customWidth="1"/>
    <col min="11" max="11" width="10" style="6" customWidth="1"/>
    <col min="12" max="12" width="9.83203125" style="6" customWidth="1"/>
    <col min="13" max="13" width="12.5" style="6" customWidth="1"/>
    <col min="14" max="14" width="12.33203125" style="6" customWidth="1"/>
    <col min="15" max="15" width="11.83203125" style="6" customWidth="1"/>
    <col min="16" max="16" width="11.6640625" style="6" customWidth="1"/>
    <col min="17" max="17" width="10.5" style="6" customWidth="1"/>
    <col min="18" max="18" width="10.33203125" style="6" customWidth="1"/>
    <col min="19" max="19" width="10.1640625" style="6" customWidth="1"/>
    <col min="20" max="20" width="10" style="6" customWidth="1"/>
    <col min="21" max="21" width="15.5" style="6" customWidth="1"/>
    <col min="22" max="22" width="16.1640625" style="6" customWidth="1"/>
    <col min="23" max="23" width="15" style="6" customWidth="1"/>
    <col min="24" max="24" width="11.5" style="6" customWidth="1"/>
    <col min="25" max="25" width="10.5" style="6" customWidth="1"/>
    <col min="26" max="26" width="8.6640625" style="6" customWidth="1"/>
    <col min="27" max="27" width="5.6640625" style="6" customWidth="1"/>
    <col min="28" max="28" width="12.5" style="6" customWidth="1"/>
    <col min="29" max="29" width="13.33203125" style="6" customWidth="1"/>
    <col min="30" max="30" width="7.1640625" style="6" customWidth="1"/>
    <col min="31" max="31" width="13.5" style="6" customWidth="1"/>
    <col min="32" max="32" width="4.6640625" style="6" customWidth="1"/>
    <col min="33" max="33" width="5.83203125" style="6" customWidth="1"/>
    <col min="34" max="34" width="8.33203125" style="6" customWidth="1"/>
    <col min="35" max="35" width="5.33203125" style="6" customWidth="1"/>
    <col min="36" max="36" width="7.6640625" style="6" customWidth="1"/>
    <col min="37" max="37" width="16.33203125" style="6" customWidth="1"/>
    <col min="38" max="38" width="15" style="6" customWidth="1"/>
    <col min="39" max="39" width="12.5" customWidth="1"/>
    <col min="40" max="40" width="9.6640625" customWidth="1"/>
    <col min="41" max="41" width="13" customWidth="1"/>
    <col min="42" max="42" width="7.1640625" customWidth="1"/>
    <col min="43" max="43" width="12.33203125" customWidth="1"/>
    <col min="44" max="44" width="8.83203125" customWidth="1"/>
    <col min="45" max="45" width="6.1640625" customWidth="1"/>
    <col min="46" max="46" width="11.33203125" customWidth="1"/>
    <col min="47" max="47" width="10.83203125" customWidth="1"/>
    <col min="48" max="48" width="20" customWidth="1"/>
    <col min="49" max="49" width="18" customWidth="1"/>
    <col min="50" max="50" width="18.33203125" customWidth="1"/>
    <col min="51" max="51" width="4.1640625" customWidth="1"/>
    <col min="52" max="53" width="16" customWidth="1"/>
    <col min="54" max="54" width="6" customWidth="1"/>
    <col min="55" max="55" width="11.33203125" customWidth="1"/>
    <col min="56" max="56" width="11.6640625" customWidth="1"/>
    <col min="57" max="57" width="7.83203125" customWidth="1"/>
    <col min="58" max="58" width="5.83203125" customWidth="1"/>
    <col min="59" max="59" width="7.5" customWidth="1"/>
    <col min="60" max="60" width="11.83203125" customWidth="1"/>
    <col min="61" max="61" width="12.5" customWidth="1"/>
    <col min="62" max="62" width="12.83203125" customWidth="1"/>
    <col min="63" max="63" width="12" customWidth="1"/>
    <col min="64" max="64" width="7.6640625" customWidth="1"/>
    <col min="65" max="65" width="21.6640625" customWidth="1"/>
    <col min="66" max="66" width="9.83203125" customWidth="1"/>
    <col min="67" max="67" width="6.6640625" customWidth="1"/>
    <col min="68" max="68" width="9.1640625" customWidth="1"/>
    <col min="69" max="69" width="8.5" customWidth="1"/>
    <col min="70" max="70" width="7.1640625" customWidth="1"/>
    <col min="71" max="71" width="5.83203125" customWidth="1"/>
    <col min="72" max="72" width="4.6640625" customWidth="1"/>
    <col min="73" max="73" width="6.83203125" customWidth="1"/>
    <col min="74" max="74" width="8.33203125" customWidth="1"/>
    <col min="75" max="75" width="12.33203125" customWidth="1"/>
    <col min="76" max="76" width="8.6640625" customWidth="1"/>
    <col min="77" max="77" width="6.83203125" customWidth="1"/>
    <col min="78" max="78" width="4.83203125" customWidth="1"/>
    <col min="79" max="79" width="6.6640625" customWidth="1"/>
    <col min="80" max="80" width="8.83203125" customWidth="1"/>
    <col min="81" max="81" width="5.33203125" bestFit="1" customWidth="1"/>
    <col min="82" max="82" width="4.33203125" customWidth="1"/>
    <col min="83" max="83" width="6.5" customWidth="1"/>
    <col min="84" max="84" width="8.83203125" customWidth="1"/>
    <col min="85" max="85" width="7.6640625" customWidth="1"/>
    <col min="86" max="86" width="10.83203125" customWidth="1"/>
  </cols>
  <sheetData>
    <row r="1" spans="1:86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7" t="s">
        <v>192</v>
      </c>
      <c r="J1" s="207" t="s">
        <v>193</v>
      </c>
      <c r="K1" s="207" t="s">
        <v>194</v>
      </c>
      <c r="L1" s="207" t="s">
        <v>195</v>
      </c>
      <c r="M1" s="207" t="s">
        <v>196</v>
      </c>
      <c r="N1" s="207" t="s">
        <v>197</v>
      </c>
      <c r="O1" s="207" t="s">
        <v>198</v>
      </c>
      <c r="P1" s="207" t="s">
        <v>199</v>
      </c>
      <c r="Q1" s="207" t="s">
        <v>200</v>
      </c>
      <c r="R1" s="207" t="s">
        <v>201</v>
      </c>
      <c r="S1" s="207" t="s">
        <v>202</v>
      </c>
      <c r="T1" s="207" t="s">
        <v>203</v>
      </c>
      <c r="U1" s="207" t="s">
        <v>204</v>
      </c>
      <c r="V1" s="207" t="s">
        <v>205</v>
      </c>
      <c r="W1" s="207" t="s">
        <v>206</v>
      </c>
      <c r="X1" s="207" t="s">
        <v>207</v>
      </c>
      <c r="Y1" s="207" t="s">
        <v>208</v>
      </c>
      <c r="Z1" s="207" t="s">
        <v>209</v>
      </c>
      <c r="AA1" s="207" t="s">
        <v>210</v>
      </c>
      <c r="AB1" s="207" t="s">
        <v>211</v>
      </c>
      <c r="AC1" s="207" t="s">
        <v>212</v>
      </c>
      <c r="AD1" s="207" t="s">
        <v>213</v>
      </c>
      <c r="AE1" s="207" t="s">
        <v>214</v>
      </c>
      <c r="AF1" s="207" t="s">
        <v>215</v>
      </c>
      <c r="AG1" s="207" t="s">
        <v>216</v>
      </c>
      <c r="AH1" s="207" t="s">
        <v>217</v>
      </c>
      <c r="AI1" s="207" t="s">
        <v>218</v>
      </c>
      <c r="AJ1" s="207" t="s">
        <v>219</v>
      </c>
      <c r="AK1" s="207" t="s">
        <v>220</v>
      </c>
      <c r="AL1" s="207" t="s">
        <v>221</v>
      </c>
      <c r="AM1" s="207" t="s">
        <v>222</v>
      </c>
      <c r="AN1" s="207" t="s">
        <v>223</v>
      </c>
      <c r="AO1" s="207" t="s">
        <v>224</v>
      </c>
      <c r="AP1" s="207" t="s">
        <v>225</v>
      </c>
      <c r="AQ1" s="207" t="s">
        <v>226</v>
      </c>
      <c r="AR1" s="207" t="s">
        <v>227</v>
      </c>
      <c r="AS1" s="207" t="s">
        <v>228</v>
      </c>
      <c r="AT1" s="207" t="s">
        <v>229</v>
      </c>
      <c r="AU1" s="207" t="s">
        <v>230</v>
      </c>
      <c r="AV1" s="207" t="s">
        <v>231</v>
      </c>
      <c r="AW1" s="207" t="s">
        <v>232</v>
      </c>
      <c r="AX1" s="207" t="s">
        <v>233</v>
      </c>
      <c r="AY1" s="207" t="s">
        <v>234</v>
      </c>
      <c r="AZ1" s="207" t="s">
        <v>235</v>
      </c>
      <c r="BA1" s="207" t="s">
        <v>236</v>
      </c>
      <c r="BB1" s="207" t="s">
        <v>237</v>
      </c>
      <c r="BC1" s="207" t="s">
        <v>238</v>
      </c>
      <c r="BD1" s="207" t="s">
        <v>239</v>
      </c>
      <c r="BE1" s="207" t="s">
        <v>240</v>
      </c>
      <c r="BF1" s="207" t="s">
        <v>241</v>
      </c>
      <c r="BG1" s="207" t="s">
        <v>242</v>
      </c>
      <c r="BH1" s="207" t="s">
        <v>243</v>
      </c>
      <c r="BI1" s="207" t="s">
        <v>244</v>
      </c>
      <c r="BJ1" s="207" t="s">
        <v>245</v>
      </c>
      <c r="BK1" s="207" t="s">
        <v>67</v>
      </c>
      <c r="BL1" s="207" t="s">
        <v>246</v>
      </c>
      <c r="BM1" s="207" t="s">
        <v>247</v>
      </c>
      <c r="BN1" s="207" t="s">
        <v>248</v>
      </c>
      <c r="BO1" s="207" t="s">
        <v>249</v>
      </c>
      <c r="BP1" s="207" t="s">
        <v>250</v>
      </c>
      <c r="BQ1" s="207" t="s">
        <v>251</v>
      </c>
      <c r="BR1" s="207" t="s">
        <v>252</v>
      </c>
      <c r="BS1" s="207" t="s">
        <v>216</v>
      </c>
      <c r="BT1" s="207" t="s">
        <v>215</v>
      </c>
      <c r="BU1" s="207" t="s">
        <v>253</v>
      </c>
      <c r="BV1" s="207" t="s">
        <v>217</v>
      </c>
      <c r="BW1" s="207" t="s">
        <v>254</v>
      </c>
      <c r="BX1" s="207" t="s">
        <v>255</v>
      </c>
      <c r="BY1" s="207" t="s">
        <v>256</v>
      </c>
      <c r="BZ1" s="207" t="s">
        <v>257</v>
      </c>
      <c r="CA1" s="207" t="s">
        <v>258</v>
      </c>
      <c r="CB1" s="207" t="s">
        <v>259</v>
      </c>
      <c r="CC1" s="207" t="s">
        <v>260</v>
      </c>
      <c r="CD1" s="207" t="s">
        <v>261</v>
      </c>
      <c r="CE1" s="207" t="s">
        <v>262</v>
      </c>
      <c r="CF1" s="207" t="s">
        <v>263</v>
      </c>
      <c r="CG1" s="207" t="s">
        <v>264</v>
      </c>
      <c r="CH1" s="207" t="s">
        <v>265</v>
      </c>
    </row>
    <row r="2" spans="1:86" x14ac:dyDescent="0.15">
      <c r="A2" t="s">
        <v>38</v>
      </c>
      <c r="B2" s="115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86" x14ac:dyDescent="0.15">
      <c r="A3" t="s">
        <v>40</v>
      </c>
      <c r="B3" s="115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86" x14ac:dyDescent="0.15">
      <c r="A4" t="s">
        <v>41</v>
      </c>
      <c r="B4" s="115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86" x14ac:dyDescent="0.15">
      <c r="A5" s="206" t="s">
        <v>192</v>
      </c>
      <c r="B5" s="115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86" x14ac:dyDescent="0.15">
      <c r="A6" s="206" t="s">
        <v>193</v>
      </c>
      <c r="B6" s="115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86" x14ac:dyDescent="0.15">
      <c r="A7" s="206" t="s">
        <v>194</v>
      </c>
      <c r="B7" s="115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86" x14ac:dyDescent="0.15">
      <c r="A8" s="206" t="s">
        <v>195</v>
      </c>
      <c r="B8" s="115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86" x14ac:dyDescent="0.15">
      <c r="A9" s="206" t="s">
        <v>196</v>
      </c>
      <c r="B9" s="115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86" x14ac:dyDescent="0.15">
      <c r="A10" s="206" t="s">
        <v>197</v>
      </c>
      <c r="B10" s="115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86" x14ac:dyDescent="0.15">
      <c r="A11" s="206" t="s">
        <v>198</v>
      </c>
      <c r="B11" s="115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86" x14ac:dyDescent="0.15">
      <c r="A12" s="206" t="s">
        <v>199</v>
      </c>
      <c r="B12" s="115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86" x14ac:dyDescent="0.15">
      <c r="A13" s="206" t="s">
        <v>200</v>
      </c>
      <c r="B13" s="115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86" x14ac:dyDescent="0.15">
      <c r="A14" s="206" t="s">
        <v>201</v>
      </c>
      <c r="B14" s="115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86" x14ac:dyDescent="0.15">
      <c r="A15" s="206" t="s">
        <v>202</v>
      </c>
      <c r="B15" s="115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86" x14ac:dyDescent="0.15">
      <c r="A16" s="206" t="s">
        <v>203</v>
      </c>
      <c r="B16" s="115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6" t="s">
        <v>204</v>
      </c>
      <c r="B17" s="115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6" t="s">
        <v>205</v>
      </c>
      <c r="B18" s="115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6" t="s">
        <v>206</v>
      </c>
      <c r="B19" s="115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6" t="s">
        <v>207</v>
      </c>
      <c r="B20" s="115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6" t="s">
        <v>208</v>
      </c>
      <c r="B21" s="115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6" t="s">
        <v>209</v>
      </c>
      <c r="B22" s="115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6" t="s">
        <v>210</v>
      </c>
      <c r="B23" s="115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6" t="s">
        <v>211</v>
      </c>
      <c r="B24" s="115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6" t="s">
        <v>212</v>
      </c>
      <c r="B25" s="115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6" t="s">
        <v>213</v>
      </c>
      <c r="B26" s="115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6" t="s">
        <v>214</v>
      </c>
      <c r="B27" s="115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6" t="s">
        <v>215</v>
      </c>
      <c r="B28" s="115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6" t="s">
        <v>216</v>
      </c>
      <c r="B29" s="115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6" t="s">
        <v>217</v>
      </c>
      <c r="B30" s="115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6" t="s">
        <v>218</v>
      </c>
      <c r="B31" s="115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6" t="s">
        <v>219</v>
      </c>
      <c r="B32" s="115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6" t="s">
        <v>220</v>
      </c>
      <c r="B33" s="115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6" t="s">
        <v>221</v>
      </c>
      <c r="B34" s="115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6" t="s">
        <v>222</v>
      </c>
      <c r="B35" s="115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6" t="s">
        <v>223</v>
      </c>
      <c r="B36" s="115">
        <v>0</v>
      </c>
      <c r="C36"/>
      <c r="D36"/>
    </row>
    <row r="37" spans="1:38" ht="15" customHeight="1" x14ac:dyDescent="0.15">
      <c r="A37" s="206" t="s">
        <v>224</v>
      </c>
      <c r="B37" s="115">
        <v>0</v>
      </c>
      <c r="C37"/>
      <c r="D37"/>
    </row>
    <row r="38" spans="1:38" ht="15" customHeight="1" x14ac:dyDescent="0.15">
      <c r="A38" s="206" t="s">
        <v>225</v>
      </c>
      <c r="B38" s="115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6" t="s">
        <v>226</v>
      </c>
      <c r="B39" s="115">
        <v>0</v>
      </c>
      <c r="C39"/>
      <c r="D39"/>
    </row>
    <row r="40" spans="1:38" ht="15" customHeight="1" x14ac:dyDescent="0.15">
      <c r="A40" s="206" t="s">
        <v>227</v>
      </c>
      <c r="B40" s="115">
        <v>0</v>
      </c>
      <c r="C40"/>
      <c r="D40"/>
    </row>
    <row r="41" spans="1:38" ht="15" customHeight="1" x14ac:dyDescent="0.15">
      <c r="A41" s="206" t="s">
        <v>228</v>
      </c>
      <c r="B41" s="115">
        <v>0</v>
      </c>
      <c r="C41"/>
      <c r="D41"/>
    </row>
    <row r="42" spans="1:38" ht="15" customHeight="1" x14ac:dyDescent="0.15">
      <c r="A42" s="206" t="s">
        <v>229</v>
      </c>
      <c r="B42" s="115">
        <v>0</v>
      </c>
    </row>
    <row r="43" spans="1:38" ht="15" customHeight="1" x14ac:dyDescent="0.15">
      <c r="A43" s="206" t="s">
        <v>230</v>
      </c>
      <c r="B43" s="115">
        <v>0</v>
      </c>
    </row>
    <row r="44" spans="1:38" ht="15" customHeight="1" x14ac:dyDescent="0.15">
      <c r="A44" s="206" t="s">
        <v>231</v>
      </c>
      <c r="B44" s="115">
        <v>0</v>
      </c>
    </row>
    <row r="45" spans="1:38" ht="15" customHeight="1" x14ac:dyDescent="0.15">
      <c r="A45" s="206" t="s">
        <v>232</v>
      </c>
      <c r="B45" s="115">
        <v>0</v>
      </c>
    </row>
    <row r="46" spans="1:38" ht="15" customHeight="1" x14ac:dyDescent="0.15">
      <c r="A46" s="206" t="s">
        <v>233</v>
      </c>
      <c r="B46" s="115">
        <v>0</v>
      </c>
    </row>
    <row r="47" spans="1:38" ht="15" customHeight="1" x14ac:dyDescent="0.15">
      <c r="A47" s="206" t="s">
        <v>234</v>
      </c>
      <c r="B47" s="115">
        <v>0</v>
      </c>
    </row>
    <row r="48" spans="1:38" ht="15" customHeight="1" x14ac:dyDescent="0.15">
      <c r="A48" s="206" t="s">
        <v>235</v>
      </c>
      <c r="B48" s="115">
        <v>0</v>
      </c>
    </row>
    <row r="49" spans="1:38" ht="15" customHeight="1" x14ac:dyDescent="0.15">
      <c r="A49" s="206" t="s">
        <v>236</v>
      </c>
      <c r="B49" s="115">
        <v>0</v>
      </c>
    </row>
    <row r="50" spans="1:38" ht="15" customHeight="1" x14ac:dyDescent="0.15">
      <c r="A50" s="206" t="s">
        <v>237</v>
      </c>
      <c r="B50" s="115">
        <v>0</v>
      </c>
    </row>
    <row r="51" spans="1:38" ht="15" customHeight="1" x14ac:dyDescent="0.15">
      <c r="A51" s="206" t="s">
        <v>238</v>
      </c>
      <c r="B51" s="115">
        <v>0</v>
      </c>
    </row>
    <row r="52" spans="1:38" ht="15" customHeight="1" x14ac:dyDescent="0.15">
      <c r="A52" s="206" t="s">
        <v>239</v>
      </c>
      <c r="B52" s="115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6" t="s">
        <v>240</v>
      </c>
      <c r="B53" s="115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6" t="s">
        <v>241</v>
      </c>
      <c r="B54" s="115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6" t="s">
        <v>242</v>
      </c>
      <c r="B55" s="115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6" t="s">
        <v>243</v>
      </c>
      <c r="B56" s="115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06" t="s">
        <v>244</v>
      </c>
      <c r="B57" s="115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06" t="s">
        <v>245</v>
      </c>
      <c r="B58" s="115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206" t="s">
        <v>67</v>
      </c>
      <c r="B59" s="115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206" t="s">
        <v>246</v>
      </c>
      <c r="B60" s="115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206" t="s">
        <v>247</v>
      </c>
      <c r="B61" s="115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206" t="s">
        <v>248</v>
      </c>
      <c r="B62" s="115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A63" s="206" t="s">
        <v>249</v>
      </c>
      <c r="B63" s="115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A64" s="206" t="s">
        <v>250</v>
      </c>
      <c r="B64" s="115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ht="15" customHeight="1" x14ac:dyDescent="0.15">
      <c r="A65" s="206" t="s">
        <v>251</v>
      </c>
      <c r="B65" s="115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 customHeight="1" x14ac:dyDescent="0.15">
      <c r="A66" s="206" t="s">
        <v>252</v>
      </c>
      <c r="B66" s="115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 customHeight="1" x14ac:dyDescent="0.15">
      <c r="A67" s="206" t="s">
        <v>216</v>
      </c>
      <c r="B67" s="115">
        <v>0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 customHeight="1" x14ac:dyDescent="0.15">
      <c r="A68" s="206" t="s">
        <v>215</v>
      </c>
      <c r="B68" s="115">
        <v>0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 customHeight="1" x14ac:dyDescent="0.15">
      <c r="A69" s="206" t="s">
        <v>253</v>
      </c>
      <c r="B69" s="115">
        <v>0</v>
      </c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 customHeight="1" x14ac:dyDescent="0.15">
      <c r="A70" s="206" t="s">
        <v>217</v>
      </c>
      <c r="B70" s="115">
        <v>0</v>
      </c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 customHeight="1" x14ac:dyDescent="0.15">
      <c r="A71" s="206" t="s">
        <v>254</v>
      </c>
      <c r="B71" s="115">
        <v>0</v>
      </c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 customHeight="1" x14ac:dyDescent="0.15">
      <c r="A72" s="206" t="s">
        <v>255</v>
      </c>
      <c r="B72" s="115">
        <v>0</v>
      </c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 customHeight="1" x14ac:dyDescent="0.15">
      <c r="A73" s="206" t="s">
        <v>256</v>
      </c>
      <c r="B73" s="115">
        <v>0</v>
      </c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 customHeight="1" x14ac:dyDescent="0.15">
      <c r="A74" s="206" t="s">
        <v>257</v>
      </c>
      <c r="B74" s="115">
        <v>0</v>
      </c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 customHeight="1" x14ac:dyDescent="0.15">
      <c r="A75" s="206" t="s">
        <v>258</v>
      </c>
      <c r="B75" s="115">
        <v>0</v>
      </c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 customHeight="1" x14ac:dyDescent="0.15">
      <c r="A76" s="206" t="s">
        <v>259</v>
      </c>
      <c r="B76" s="115">
        <v>0</v>
      </c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 customHeight="1" x14ac:dyDescent="0.15">
      <c r="A77" s="206" t="s">
        <v>260</v>
      </c>
      <c r="B77" s="115">
        <v>0</v>
      </c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 customHeight="1" x14ac:dyDescent="0.15">
      <c r="A78" s="206" t="s">
        <v>261</v>
      </c>
      <c r="B78" s="115">
        <v>0</v>
      </c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 customHeight="1" x14ac:dyDescent="0.15">
      <c r="A79" s="206" t="s">
        <v>262</v>
      </c>
      <c r="B79" s="115">
        <v>0</v>
      </c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 customHeight="1" x14ac:dyDescent="0.15">
      <c r="A80" s="206" t="s">
        <v>263</v>
      </c>
      <c r="B80" s="115">
        <v>0</v>
      </c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 ht="15" customHeight="1" x14ac:dyDescent="0.15">
      <c r="A81" s="206" t="s">
        <v>264</v>
      </c>
      <c r="B81" s="115">
        <v>0</v>
      </c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 ht="15" customHeight="1" x14ac:dyDescent="0.15">
      <c r="A82" s="206" t="s">
        <v>265</v>
      </c>
      <c r="B82" s="115">
        <v>0</v>
      </c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2022-10-23T22:47:29Z</dcterms:modified>
</cp:coreProperties>
</file>