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4F92A5A5-B7F3-1D46-BF7E-B17793443D03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Main!$C$2:$N$36</definedName>
    <definedName name="matDetritus">Detritus!$C$2:$E$36</definedName>
    <definedName name="matDiet">Diets!$B$2:$AG$36</definedName>
    <definedName name="matDiscards">Discards!$C$2:$C$35</definedName>
    <definedName name="matFishery">Fishing!$C$2:$C$35</definedName>
    <definedName name="matFishing">Fishing!#REF!</definedName>
    <definedName name="matMort">Mortalities!$A$1:$AL$35</definedName>
    <definedName name="matOut">MainOutputs!$A$2:$I$36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<sst xmlns="http://schemas.openxmlformats.org/spreadsheetml/2006/main" count="1019" uniqueCount="232">
  <si>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</si>
  <si>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</si>
  <si>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</si>
  <si>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</si>
  <si>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</si>
  <si>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</si>
  <si>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</si>
  <si>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</si>
  <si>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</si>
  <si>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</si>
  <si>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</si>
  <si>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</si>
  <si>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</si>
  <si>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</si>
  <si>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</si>
  <si>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</si>
  <si>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</si>
  <si>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</si>
  <si>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</si>
  <si>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</si>
  <si>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</si>
  <si>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</si>
  <si>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</si>
  <si>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</si>
  <si>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</si>
  <si>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</si>
  <si>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</si>
  <si>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</si>
  <si>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</si>
  <si>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</si>
  <si>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</si>
  <si>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</si>
  <si>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</si>
  <si>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</si>
  <si>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</si>
  <si>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</si>
  <si>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</si>
  <si>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</si>
  <si>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</si>
  <si>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</si>
  <si>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</si>
  <si>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</si>
  <si>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</si>
  <si>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</si>
  <si>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</si>
  <si>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</si>
  <si>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</si>
  <si>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</si>
  <si>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</si>
  <si>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</si>
  <si>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</si>
  <si>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</si>
  <si>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</si>
  <si>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</si>
  <si>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</si>
  <si>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</si>
  <si>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</si>
  <si>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</si>
  <si>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</si>
  <si>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</si>
  <si>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</si>
  <si>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</si>
  <si>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</si>
  <si>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</si>
  <si>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</si>
  <si>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</si>
  <si>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</si>
  <si>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</si>
  <si>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</si>
  <si>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</si>
  <si>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</si>
  <si>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</si>
  <si>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</si>
  <si>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</si>
  <si>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</si>
  <si>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</si>
  <si>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</si>
  <si>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</si>
  <si>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</si>
  <si>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</si>
  <si>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</si>
  <si>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</si>
  <si>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</si>
  <si>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</si>
  <si>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</si>
  <si>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</si>
  <si>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</si>
  <si>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</si>
  <si>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</si>
  <si>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</si>
  <si>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</si>
  <si>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</si>
  <si>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</si>
  <si>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</si>
  <si>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</si>
  <si>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</si>
  <si>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</si>
  <si>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</si>
  <si>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</si>
  <si>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</si>
  <si>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</si>
  <si>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</si>
  <si>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</si>
  <si>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</si>
  <si>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</si>
  <si>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</si>
  <si>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</si>
  <si>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</si>
  <si>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</si>
  <si>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</si>
  <si>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</si>
  <si>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</si>
  <si>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</si>
  <si>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</si>
  <si>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</si>
  <si>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</si>
  <si>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</si>
  <si>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</si>
  <si>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</si>
  <si>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</si>
  <si>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</si>
  <si>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</si>
  <si>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</si>
  <si>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</si>
  <si>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</si>
  <si>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</si>
  <si>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</si>
  <si>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</si>
  <si>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</si>
  <si>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</si>
  <si>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</si>
  <si>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</si>
  <si>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</si>
  <si>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</si>
  <si>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</si>
  <si>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</si>
  <si>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</si>
  <si>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</si>
  <si>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</si>
  <si>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</si>
  <si>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</si>
  <si>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</si>
  <si>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</si>
  <si>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</si>
  <si>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</si>
  <si>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</si>
  <si>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</si>
  <si>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</si>
  <si>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</si>
  <si>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</si>
  <si>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</si>
  <si>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</si>
  <si>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</si>
  <si>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</si>
  <si>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</si>
  <si>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</si>
  <si>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</si>
  <si>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</si>
  <si>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</si>
  <si>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</si>
  <si>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</si>
  <si>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</si>
  <si>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</si>
  <si>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</si>
  <si>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</si>
  <si>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</si>
  <si>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</si>
  <si>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</si>
  <si>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</si>
  <si>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</si>
  <si>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</si>
  <si>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</si>
  <si>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</si>
  <si>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</si>
  <si>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</si>
  <si>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</si>
  <si>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</si>
  <si>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</si>
  <si>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</si>
  <si>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</si>
  <si>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</si>
  <si>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</si>
  <si>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</si>
  <si>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</si>
  <si>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</si>
  <si>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Humboldt Current</t>
  </si>
  <si>
    <t>Peru</t>
  </si>
  <si>
    <t>BOX(-83.1087806583592 -16.020366125203,-73.809462679463 -3.99229074709397)</t>
  </si>
  <si>
    <t>upwelling</t>
  </si>
  <si>
    <t>WetWeight</t>
  </si>
  <si>
    <t>No description</t>
  </si>
  <si>
    <t>Tam J.,Taylor M.H.,Blaskovic V.,Espinoza P.,Michael Ballón R.,Díaz E.,Wosnitza-Mendo C.,Argüelles J.,Purca S.,Ayón P.(2008). Trophic modeling of the Northern Humboldt current ecosystem, Part I: comparing trophic linkages under La Niña and El Niño conditions Progress in Oceanography. pp 352-365</t>
  </si>
  <si>
    <t>Diatoms</t>
  </si>
  <si>
    <t>Dino and silicoflagellates</t>
  </si>
  <si>
    <t>Microzooplankton</t>
  </si>
  <si>
    <t>mesozooplankton</t>
  </si>
  <si>
    <t>macrozooplankton</t>
  </si>
  <si>
    <t>gelatinous zooplankton</t>
  </si>
  <si>
    <t>macrobenthos</t>
  </si>
  <si>
    <t>sardine</t>
  </si>
  <si>
    <t>anchovy</t>
  </si>
  <si>
    <t>mesopelagics</t>
  </si>
  <si>
    <t>jumbo squid</t>
  </si>
  <si>
    <t>other cephalopods</t>
  </si>
  <si>
    <t>other small pelagics</t>
  </si>
  <si>
    <t>horse mackerels</t>
  </si>
  <si>
    <t>mackerels</t>
  </si>
  <si>
    <t>other large pelagics</t>
  </si>
  <si>
    <t>small hake</t>
  </si>
  <si>
    <t>medium hake</t>
  </si>
  <si>
    <t>large hake</t>
  </si>
  <si>
    <t>flatfishes</t>
  </si>
  <si>
    <t>small demersals</t>
  </si>
  <si>
    <t>benthic elasmobranchs</t>
  </si>
  <si>
    <t>butter fishes</t>
  </si>
  <si>
    <t>conger</t>
  </si>
  <si>
    <t>medium demersal fish</t>
  </si>
  <si>
    <t>medium sciaenids</t>
  </si>
  <si>
    <t>sea robin</t>
  </si>
  <si>
    <t>catfish</t>
  </si>
  <si>
    <t>chondrichtlyans</t>
  </si>
  <si>
    <t>seabirds</t>
  </si>
  <si>
    <t>pinnipeds</t>
  </si>
  <si>
    <t>cetaceans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</si>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</sst>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E3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 applyAlignment="1">
      <alignment horizontal="center"/>
    </xf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23" borderId="0" xfId="0" applyFill="1"/>
    <xf numFmtId="0" fontId="0" fillId="12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5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7" t="s">
        <v>171</v>
      </c>
      <c r="C53" s="104">
        <v>487</v>
      </c>
      <c r="D53" s="104"/>
    </row>
    <row r="54" spans="2:4" x14ac:dyDescent="0.15">
      <c r="B54" s="167" t="s">
        <v>172</v>
      </c>
      <c r="C54" s="167" t="s">
        <v>185</v>
      </c>
      <c r="D54" s="104"/>
    </row>
    <row r="55" spans="2:4" x14ac:dyDescent="0.15">
      <c r="B55" s="167" t="s">
        <v>173</v>
      </c>
      <c r="C55" s="167" t="s">
        <v>186</v>
      </c>
      <c r="D55" s="104"/>
    </row>
    <row r="56" spans="2:4" x14ac:dyDescent="0.15">
      <c r="B56" s="167" t="s">
        <v>174</v>
      </c>
      <c r="C56" s="104">
        <v>165000</v>
      </c>
      <c r="D56" s="104"/>
    </row>
    <row r="57" spans="2:4" x14ac:dyDescent="0.15">
      <c r="B57" s="167" t="s">
        <v>175</v>
      </c>
      <c r="C57" s="167" t="s">
        <v>187</v>
      </c>
      <c r="D57" s="104"/>
    </row>
    <row r="58" spans="2:4" x14ac:dyDescent="0.15">
      <c r="B58" s="167" t="s">
        <v>176</v>
      </c>
      <c r="C58" s="167" t="s">
        <v>188</v>
      </c>
      <c r="D58" s="104"/>
    </row>
    <row r="59" spans="2:4" x14ac:dyDescent="0.15">
      <c r="B59" s="167" t="s">
        <v>177</v>
      </c>
      <c r="C59" s="167" t="s">
        <v>189</v>
      </c>
      <c r="D59" s="104"/>
    </row>
    <row r="60" spans="2:4" x14ac:dyDescent="0.15">
      <c r="B60" s="167" t="s">
        <v>178</v>
      </c>
      <c r="C60" s="167" t="s">
        <v>190</v>
      </c>
      <c r="D60" s="104"/>
    </row>
    <row r="61" spans="2:4" x14ac:dyDescent="0.15">
      <c r="B61" s="167" t="s">
        <v>179</v>
      </c>
      <c r="C61" s="104">
        <v>33</v>
      </c>
      <c r="D61" s="104"/>
    </row>
    <row r="62" spans="2:4" x14ac:dyDescent="0.15">
      <c r="B62" s="167" t="s">
        <v>180</v>
      </c>
      <c r="C62" s="104">
        <v>1</v>
      </c>
      <c r="D62" s="104"/>
    </row>
    <row r="63" spans="2:4" x14ac:dyDescent="0.15">
      <c r="B63" s="167" t="s">
        <v>181</v>
      </c>
      <c r="C63" s="104">
        <v>1995</v>
      </c>
      <c r="D63" s="104"/>
    </row>
    <row r="64" spans="2:4" x14ac:dyDescent="0.15">
      <c r="B64" s="167" t="s">
        <v>182</v>
      </c>
      <c r="C64" s="104">
        <v>1</v>
      </c>
      <c r="D64" s="104"/>
    </row>
    <row r="65" spans="2:4" x14ac:dyDescent="0.15">
      <c r="B65" s="167" t="s">
        <v>183</v>
      </c>
      <c r="C65" s="167" t="s">
        <v>191</v>
      </c>
      <c r="D65" s="104"/>
    </row>
    <row r="66" spans="2:4" x14ac:dyDescent="0.15">
      <c r="B66" s="167" t="s">
        <v>184</v>
      </c>
      <c r="D66" s="104"/>
    </row>
    <row r="67" spans="2:4" x14ac:dyDescent="0.15">
      <c r="B67" s="104"/>
      <c r="C67" s="104"/>
      <c r="D67" s="104"/>
    </row>
    <row r="68" spans="2:4" x14ac:dyDescent="0.15">
      <c r="B68" s="104"/>
      <c r="C68" s="104"/>
      <c r="D68" s="10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12.83203125" style="77" bestFit="1" customWidth="1"/>
    <col min="8" max="9" width="10.83203125" style="77" customWidth="1"/>
    <col min="10" max="10" width="12.83203125" style="77" customWidth="1"/>
    <col min="11" max="11" width="13.83203125" style="77" customWidth="1"/>
    <col min="12" max="12" width="2.33203125" style="77" customWidth="1"/>
    <col min="13" max="13" width="4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8" t="s">
        <v>192</v>
      </c>
      <c r="F2" s="77">
        <v>1</v>
      </c>
      <c r="G2" s="77">
        <v>53.415999999999997</v>
      </c>
      <c r="H2" s="77">
        <v>265</v>
      </c>
      <c r="I2" s="6">
        <v>0</v>
      </c>
      <c r="J2" s="6">
        <v>0.80117064699999996</v>
      </c>
      <c r="K2" s="6">
        <v>0</v>
      </c>
      <c r="L2" s="6">
        <v>0</v>
      </c>
      <c r="M2" s="77">
        <v>0</v>
      </c>
      <c r="N2" s="77">
        <v>0</v>
      </c>
    </row>
    <row r="3" spans="1:46" ht="15" customHeight="1" x14ac:dyDescent="0.15">
      <c r="A3" s="1" t="s">
        <v>9</v>
      </c>
      <c r="B3" s="4">
        <v>32</v>
      </c>
      <c r="C3" s="77">
        <v>2</v>
      </c>
      <c r="D3"/>
      <c r="E3" s="168" t="s">
        <v>193</v>
      </c>
      <c r="F3" s="77">
        <v>1</v>
      </c>
      <c r="G3" s="77">
        <v>9.4260000000000002</v>
      </c>
      <c r="H3" s="77">
        <v>265</v>
      </c>
      <c r="I3" s="77">
        <v>0</v>
      </c>
      <c r="J3" s="77">
        <v>0.95983755599999998</v>
      </c>
      <c r="K3" s="77">
        <v>0</v>
      </c>
      <c r="L3" s="77">
        <v>0</v>
      </c>
      <c r="M3" s="77">
        <v>0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8" t="s">
        <v>194</v>
      </c>
      <c r="F4" s="77">
        <v>0</v>
      </c>
      <c r="G4" s="77">
        <v>20.484456999999999</v>
      </c>
      <c r="H4" s="77">
        <v>256</v>
      </c>
      <c r="I4" s="77">
        <v>1024</v>
      </c>
      <c r="J4" s="77">
        <v>0.95</v>
      </c>
      <c r="K4" s="77">
        <v>0.25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8" t="s">
        <v>195</v>
      </c>
      <c r="F5" s="77">
        <v>0</v>
      </c>
      <c r="G5" s="77">
        <v>31.164000000000001</v>
      </c>
      <c r="H5" s="77">
        <v>40</v>
      </c>
      <c r="I5" s="77">
        <v>125</v>
      </c>
      <c r="J5" s="77">
        <v>0.51508194200000001</v>
      </c>
      <c r="K5" s="77">
        <v>0.32</v>
      </c>
      <c r="L5" s="77">
        <v>0</v>
      </c>
      <c r="M5" s="77">
        <v>0.35</v>
      </c>
      <c r="N5" s="77">
        <v>0</v>
      </c>
      <c r="P5" s="68"/>
      <c r="Q5" s="68"/>
      <c r="R5" s="68"/>
    </row>
    <row r="6" spans="1:46" ht="15" customHeight="1" thickBot="1" x14ac:dyDescent="0.2">
      <c r="B6" s="1"/>
      <c r="C6" s="77">
        <v>5</v>
      </c>
      <c r="D6"/>
      <c r="E6" s="168" t="s">
        <v>196</v>
      </c>
      <c r="F6" s="77">
        <v>0</v>
      </c>
      <c r="G6" s="77">
        <v>21.096498499999999</v>
      </c>
      <c r="H6" s="77">
        <v>19.0854988</v>
      </c>
      <c r="I6" s="77">
        <v>46.55</v>
      </c>
      <c r="J6" s="77">
        <v>0.95</v>
      </c>
      <c r="K6" s="77">
        <v>0.41</v>
      </c>
      <c r="L6" s="77">
        <v>0</v>
      </c>
      <c r="M6" s="77">
        <v>0.2</v>
      </c>
      <c r="N6" s="77">
        <v>0</v>
      </c>
      <c r="P6" s="68"/>
      <c r="Q6" s="68"/>
      <c r="R6" s="68"/>
      <c r="W6" s="34" t="s">
        <v>31</v>
      </c>
      <c r="X6" s="50">
        <f>MAX(MainOutputs!G:G)</f>
        <v>0.9958873987197876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210</v>
      </c>
      <c r="C7" s="77">
        <v>6</v>
      </c>
      <c r="D7"/>
      <c r="E7" s="168" t="s">
        <v>197</v>
      </c>
      <c r="F7" s="77">
        <v>0</v>
      </c>
      <c r="G7" s="77">
        <v>1.6759451500000001E-2</v>
      </c>
      <c r="H7" s="77">
        <v>0.58399999999999996</v>
      </c>
      <c r="I7" s="77">
        <v>2.91999984</v>
      </c>
      <c r="J7" s="77">
        <v>0.95</v>
      </c>
      <c r="K7" s="77">
        <v>0.2</v>
      </c>
      <c r="L7" s="77">
        <v>0</v>
      </c>
      <c r="M7" s="77">
        <v>0.35</v>
      </c>
      <c r="N7" s="77">
        <v>0</v>
      </c>
      <c r="P7" s="68"/>
      <c r="Q7" s="68"/>
      <c r="R7" s="68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53</v>
      </c>
      <c r="C8" s="77">
        <v>7</v>
      </c>
      <c r="D8"/>
      <c r="E8" s="168" t="s">
        <v>198</v>
      </c>
      <c r="F8" s="77">
        <v>0</v>
      </c>
      <c r="G8" s="77">
        <v>20.728999999999999</v>
      </c>
      <c r="H8" s="77">
        <v>1.2</v>
      </c>
      <c r="I8" s="77">
        <v>10</v>
      </c>
      <c r="J8" s="77">
        <v>0.99415750000000003</v>
      </c>
      <c r="K8" s="77">
        <v>0.12000000500000001</v>
      </c>
      <c r="L8" s="77">
        <v>0</v>
      </c>
      <c r="M8" s="77">
        <v>0.2</v>
      </c>
      <c r="N8" s="77">
        <v>0</v>
      </c>
      <c r="P8" s="68"/>
      <c r="Q8" s="68"/>
      <c r="R8" s="68"/>
    </row>
    <row r="9" spans="1:46" ht="15" customHeight="1" x14ac:dyDescent="0.15">
      <c r="B9" s="1"/>
      <c r="C9" s="77">
        <v>8</v>
      </c>
      <c r="D9"/>
      <c r="E9" s="168" t="s">
        <v>199</v>
      </c>
      <c r="F9" s="77">
        <v>0</v>
      </c>
      <c r="G9" s="77">
        <v>7.5670000000000002</v>
      </c>
      <c r="H9" s="77">
        <v>1.4</v>
      </c>
      <c r="I9" s="77">
        <v>14</v>
      </c>
      <c r="J9" s="77">
        <v>0.85310010000000003</v>
      </c>
      <c r="K9" s="77">
        <v>0.1</v>
      </c>
      <c r="L9" s="77">
        <v>0</v>
      </c>
      <c r="M9" s="77">
        <v>0.35</v>
      </c>
      <c r="N9" s="77">
        <v>0</v>
      </c>
      <c r="P9" s="68"/>
      <c r="Q9" s="68"/>
      <c r="R9" s="68"/>
    </row>
    <row r="10" spans="1:46" ht="15" customHeight="1" x14ac:dyDescent="0.15">
      <c r="B10" s="1"/>
      <c r="C10" s="77">
        <v>9</v>
      </c>
      <c r="D10"/>
      <c r="E10" s="168" t="s">
        <v>200</v>
      </c>
      <c r="F10" s="77">
        <v>0</v>
      </c>
      <c r="G10" s="77">
        <v>83.293000000000006</v>
      </c>
      <c r="H10" s="77">
        <v>2</v>
      </c>
      <c r="I10" s="77">
        <v>20</v>
      </c>
      <c r="J10" s="77">
        <v>0.46869385200000002</v>
      </c>
      <c r="K10" s="77">
        <v>0.1</v>
      </c>
      <c r="L10" s="77">
        <v>0</v>
      </c>
      <c r="M10" s="77">
        <v>0.35</v>
      </c>
      <c r="N10" s="77">
        <v>0</v>
      </c>
    </row>
    <row r="11" spans="1:46" ht="15" customHeight="1" x14ac:dyDescent="0.15">
      <c r="C11" s="77">
        <v>10</v>
      </c>
      <c r="D11"/>
      <c r="E11" s="168" t="s">
        <v>201</v>
      </c>
      <c r="F11" s="77">
        <v>0</v>
      </c>
      <c r="G11" s="77">
        <v>6.8819999999999997</v>
      </c>
      <c r="H11" s="77">
        <v>1.4</v>
      </c>
      <c r="I11" s="77">
        <v>14</v>
      </c>
      <c r="J11" s="77">
        <v>0.57524323499999996</v>
      </c>
      <c r="K11" s="77">
        <v>0.1</v>
      </c>
      <c r="L11" s="77">
        <v>0</v>
      </c>
      <c r="M11" s="77">
        <v>0.35</v>
      </c>
      <c r="N11" s="77">
        <v>0</v>
      </c>
    </row>
    <row r="12" spans="1:46" ht="15" customHeight="1" x14ac:dyDescent="0.15">
      <c r="C12" s="77">
        <v>11</v>
      </c>
      <c r="D12"/>
      <c r="E12" s="168" t="s">
        <v>202</v>
      </c>
      <c r="F12" s="77">
        <v>0</v>
      </c>
      <c r="G12" s="77">
        <v>0.52400000000000002</v>
      </c>
      <c r="H12" s="77">
        <v>8.91</v>
      </c>
      <c r="I12" s="77">
        <v>25.457143800000001</v>
      </c>
      <c r="J12" s="77">
        <v>0.94011044499999996</v>
      </c>
      <c r="K12" s="77">
        <v>0.35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68" t="s">
        <v>203</v>
      </c>
      <c r="F13" s="77">
        <v>0</v>
      </c>
      <c r="G13" s="77">
        <v>6.5837130000000004</v>
      </c>
      <c r="H13" s="77">
        <v>4.3</v>
      </c>
      <c r="I13" s="77">
        <v>12.285715100000001</v>
      </c>
      <c r="J13" s="77">
        <v>0.95</v>
      </c>
      <c r="K13" s="77">
        <v>0.35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8" t="s">
        <v>204</v>
      </c>
      <c r="F14" s="77">
        <v>0</v>
      </c>
      <c r="G14" s="77">
        <v>7.8041130000000001</v>
      </c>
      <c r="H14" s="77">
        <v>1</v>
      </c>
      <c r="I14" s="77">
        <v>10</v>
      </c>
      <c r="J14" s="77">
        <v>0.95</v>
      </c>
      <c r="K14" s="77">
        <v>0.1</v>
      </c>
      <c r="L14" s="77">
        <v>0</v>
      </c>
      <c r="M14" s="77">
        <v>0.35</v>
      </c>
      <c r="N14" s="77">
        <v>0</v>
      </c>
    </row>
    <row r="15" spans="1:46" ht="15" customHeight="1" x14ac:dyDescent="0.15">
      <c r="C15" s="77">
        <v>14</v>
      </c>
      <c r="D15"/>
      <c r="E15" s="168" t="s">
        <v>205</v>
      </c>
      <c r="F15" s="77">
        <v>0</v>
      </c>
      <c r="G15" s="77">
        <v>11.568</v>
      </c>
      <c r="H15" s="77">
        <v>1.2</v>
      </c>
      <c r="I15" s="77">
        <v>12</v>
      </c>
      <c r="J15" s="77">
        <v>0.1303435</v>
      </c>
      <c r="K15" s="77">
        <v>0.1</v>
      </c>
      <c r="L15" s="77">
        <v>0</v>
      </c>
      <c r="M15" s="77">
        <v>0.35</v>
      </c>
      <c r="N15" s="77">
        <v>0</v>
      </c>
    </row>
    <row r="16" spans="1:46" ht="15" customHeight="1" x14ac:dyDescent="0.15">
      <c r="C16" s="77">
        <v>15</v>
      </c>
      <c r="D16"/>
      <c r="E16" s="168" t="s">
        <v>206</v>
      </c>
      <c r="F16" s="77">
        <v>0</v>
      </c>
      <c r="G16" s="77">
        <v>8.4879999999999995</v>
      </c>
      <c r="H16" s="77">
        <v>0.85</v>
      </c>
      <c r="I16" s="77">
        <v>8.5</v>
      </c>
      <c r="J16" s="77">
        <v>4.7679766999999998E-2</v>
      </c>
      <c r="K16" s="77">
        <v>0.1</v>
      </c>
      <c r="L16" s="77">
        <v>0</v>
      </c>
      <c r="M16" s="77">
        <v>0.25</v>
      </c>
      <c r="N16" s="77">
        <v>0</v>
      </c>
    </row>
    <row r="17" spans="1:22" ht="15" customHeight="1" x14ac:dyDescent="0.15">
      <c r="C17" s="77">
        <v>16</v>
      </c>
      <c r="D17"/>
      <c r="E17" s="168" t="s">
        <v>207</v>
      </c>
      <c r="F17" s="77">
        <v>0</v>
      </c>
      <c r="G17" s="77">
        <v>0.58899999999999997</v>
      </c>
      <c r="H17" s="77">
        <v>0.85</v>
      </c>
      <c r="I17" s="77">
        <v>8.5</v>
      </c>
      <c r="J17" s="77">
        <v>0.50301640000000003</v>
      </c>
      <c r="K17" s="77">
        <v>0.1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8" t="s">
        <v>208</v>
      </c>
      <c r="F18" s="77">
        <v>0</v>
      </c>
      <c r="G18" s="77">
        <v>2.7709999999999999</v>
      </c>
      <c r="H18" s="77">
        <v>0.92800000000000005</v>
      </c>
      <c r="I18" s="77">
        <v>6.1866659999999998</v>
      </c>
      <c r="J18" s="77">
        <v>0.62275016299999997</v>
      </c>
      <c r="K18" s="77">
        <v>0.15</v>
      </c>
      <c r="L18" s="77">
        <v>0</v>
      </c>
      <c r="M18" s="77">
        <v>0.35</v>
      </c>
      <c r="N18" s="77">
        <v>0</v>
      </c>
      <c r="V18" s="1"/>
    </row>
    <row r="19" spans="1:22" ht="15" customHeight="1" x14ac:dyDescent="0.15">
      <c r="C19" s="77">
        <v>18</v>
      </c>
      <c r="D19"/>
      <c r="E19" s="168" t="s">
        <v>209</v>
      </c>
      <c r="F19" s="77">
        <v>0</v>
      </c>
      <c r="G19" s="77">
        <v>0.41399999999999998</v>
      </c>
      <c r="H19" s="77">
        <v>1.627</v>
      </c>
      <c r="I19" s="77">
        <v>10.846666300000001</v>
      </c>
      <c r="J19" s="77">
        <v>0.393647462</v>
      </c>
      <c r="K19" s="77">
        <v>0.15</v>
      </c>
      <c r="L19" s="77">
        <v>0</v>
      </c>
      <c r="M19" s="77">
        <v>0.2</v>
      </c>
      <c r="N19" s="77">
        <v>0</v>
      </c>
    </row>
    <row r="20" spans="1:22" ht="15" customHeight="1" thickBot="1" x14ac:dyDescent="0.2">
      <c r="C20" s="77">
        <v>19</v>
      </c>
      <c r="D20"/>
      <c r="E20" s="168" t="s">
        <v>210</v>
      </c>
      <c r="F20" s="77">
        <v>0</v>
      </c>
      <c r="G20" s="77">
        <v>5.5E-2</v>
      </c>
      <c r="H20" s="77">
        <v>1.044</v>
      </c>
      <c r="I20" s="77">
        <v>6.96</v>
      </c>
      <c r="J20" s="77">
        <v>0.29742002499999998</v>
      </c>
      <c r="K20" s="77">
        <v>0.15</v>
      </c>
      <c r="L20" s="77">
        <v>0</v>
      </c>
      <c r="M20" s="77">
        <v>0.2</v>
      </c>
      <c r="N20" s="77">
        <v>0</v>
      </c>
    </row>
    <row r="21" spans="1:22" ht="15" customHeight="1" thickBot="1" x14ac:dyDescent="0.2">
      <c r="A21" s="45" t="s">
        <v>137</v>
      </c>
      <c r="B21" s="95"/>
      <c r="C21" s="77">
        <v>20</v>
      </c>
      <c r="D21"/>
      <c r="E21" s="168" t="s">
        <v>211</v>
      </c>
      <c r="F21" s="77">
        <v>0</v>
      </c>
      <c r="G21" s="77">
        <v>0.04</v>
      </c>
      <c r="H21" s="77">
        <v>0.30399999999999999</v>
      </c>
      <c r="I21" s="77">
        <v>2.0266663999999999</v>
      </c>
      <c r="J21" s="77">
        <v>0.793996751</v>
      </c>
      <c r="K21" s="77">
        <v>0.15</v>
      </c>
      <c r="L21" s="77">
        <v>0</v>
      </c>
      <c r="M21" s="77">
        <v>0.2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8" t="s">
        <v>212</v>
      </c>
      <c r="F22" s="77">
        <v>0</v>
      </c>
      <c r="G22" s="77">
        <v>7.089404</v>
      </c>
      <c r="H22" s="77">
        <v>2.2999999999999998</v>
      </c>
      <c r="I22" s="77">
        <v>15.3333321</v>
      </c>
      <c r="J22" s="77">
        <v>0.95</v>
      </c>
      <c r="K22" s="77">
        <v>0.15</v>
      </c>
      <c r="L22" s="77">
        <v>0</v>
      </c>
      <c r="M22" s="77">
        <v>0.2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68" t="s">
        <v>213</v>
      </c>
      <c r="F23" s="77">
        <v>0</v>
      </c>
      <c r="G23" s="77">
        <v>7.8E-2</v>
      </c>
      <c r="H23" s="77">
        <v>1</v>
      </c>
      <c r="I23" s="77">
        <v>6.6666665099999998</v>
      </c>
      <c r="J23" s="77">
        <v>0.39743587400000002</v>
      </c>
      <c r="K23" s="77">
        <v>0.15</v>
      </c>
      <c r="L23" s="77">
        <v>0</v>
      </c>
      <c r="M23" s="77">
        <v>0.2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68" t="s">
        <v>214</v>
      </c>
      <c r="F24" s="77">
        <v>0</v>
      </c>
      <c r="G24" s="77">
        <v>3.2000000000000001E-2</v>
      </c>
      <c r="H24" s="77">
        <v>0.8</v>
      </c>
      <c r="I24" s="77">
        <v>4</v>
      </c>
      <c r="J24" s="77">
        <v>3.9427258100000001E-2</v>
      </c>
      <c r="K24" s="77">
        <v>0.2</v>
      </c>
      <c r="L24" s="77">
        <v>0</v>
      </c>
      <c r="M24" s="77">
        <v>0.2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68" t="s">
        <v>215</v>
      </c>
      <c r="F25" s="77">
        <v>0</v>
      </c>
      <c r="G25" s="77">
        <v>1.9E-2</v>
      </c>
      <c r="H25" s="77">
        <v>0.75</v>
      </c>
      <c r="I25" s="77">
        <v>5</v>
      </c>
      <c r="J25" s="77">
        <v>0.82341059999999999</v>
      </c>
      <c r="K25" s="77">
        <v>0.15</v>
      </c>
      <c r="L25" s="77">
        <v>0</v>
      </c>
      <c r="M25" s="77">
        <v>0.2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68" t="s">
        <v>216</v>
      </c>
      <c r="F26" s="77">
        <v>0</v>
      </c>
      <c r="G26" s="77">
        <v>0.2</v>
      </c>
      <c r="H26" s="77">
        <v>1.32</v>
      </c>
      <c r="I26" s="77">
        <v>8.8000000000000007</v>
      </c>
      <c r="J26" s="77">
        <v>0.99588739999999998</v>
      </c>
      <c r="K26" s="77">
        <v>0.15</v>
      </c>
      <c r="L26" s="77">
        <v>0</v>
      </c>
      <c r="M26" s="77">
        <v>0.2</v>
      </c>
      <c r="N26" s="77">
        <v>0</v>
      </c>
    </row>
    <row r="27" spans="1:22" ht="15" customHeight="1" x14ac:dyDescent="0.15">
      <c r="C27" s="77">
        <v>26</v>
      </c>
      <c r="D27"/>
      <c r="E27" s="168" t="s">
        <v>217</v>
      </c>
      <c r="F27" s="77">
        <v>0</v>
      </c>
      <c r="G27" s="77">
        <v>0.36899999999999999</v>
      </c>
      <c r="H27" s="77">
        <v>0.746</v>
      </c>
      <c r="I27" s="77">
        <v>4.9733330000000002</v>
      </c>
      <c r="J27" s="77">
        <v>0.85908010000000001</v>
      </c>
      <c r="K27" s="77">
        <v>0.15</v>
      </c>
      <c r="L27" s="77">
        <v>0</v>
      </c>
      <c r="M27" s="77">
        <v>0.2</v>
      </c>
      <c r="N27" s="77">
        <v>0</v>
      </c>
    </row>
    <row r="28" spans="1:22" ht="15" customHeight="1" x14ac:dyDescent="0.15">
      <c r="C28" s="77">
        <v>27</v>
      </c>
      <c r="D28"/>
      <c r="E28" s="168" t="s">
        <v>218</v>
      </c>
      <c r="F28" s="77">
        <v>0</v>
      </c>
      <c r="G28" s="77">
        <v>0.78900000000000003</v>
      </c>
      <c r="H28" s="77">
        <v>3.4</v>
      </c>
      <c r="I28" s="77">
        <v>17</v>
      </c>
      <c r="J28" s="77">
        <v>0.89676350000000005</v>
      </c>
      <c r="K28" s="77">
        <v>0.2</v>
      </c>
      <c r="L28" s="77">
        <v>0</v>
      </c>
      <c r="M28" s="77">
        <v>0.2</v>
      </c>
      <c r="N28" s="77">
        <v>0</v>
      </c>
    </row>
    <row r="29" spans="1:22" customFormat="1" ht="15" customHeight="1" x14ac:dyDescent="0.15">
      <c r="C29" s="77">
        <v>28</v>
      </c>
      <c r="E29" s="168" t="s">
        <v>219</v>
      </c>
      <c r="F29" s="77">
        <v>0</v>
      </c>
      <c r="G29" s="77">
        <v>0.57699999999999996</v>
      </c>
      <c r="H29" s="77">
        <v>0.9</v>
      </c>
      <c r="I29" s="77">
        <v>5.9999995200000003</v>
      </c>
      <c r="J29" s="77">
        <v>0.89294819999999997</v>
      </c>
      <c r="K29" s="77">
        <v>0.15</v>
      </c>
      <c r="L29" s="77">
        <v>0</v>
      </c>
      <c r="M29" s="77">
        <v>0.2</v>
      </c>
      <c r="N29" s="77">
        <v>0</v>
      </c>
    </row>
    <row r="30" spans="1:22" customFormat="1" ht="15" customHeight="1" x14ac:dyDescent="0.15">
      <c r="C30" s="77">
        <v>29</v>
      </c>
      <c r="E30" s="168" t="s">
        <v>220</v>
      </c>
      <c r="F30" s="77">
        <v>0</v>
      </c>
      <c r="G30" s="77">
        <v>2.7E-2</v>
      </c>
      <c r="H30" s="77">
        <v>0.48599999999999999</v>
      </c>
      <c r="I30" s="77">
        <v>3.2399997699999998</v>
      </c>
      <c r="J30" s="77">
        <v>0.53345525299999996</v>
      </c>
      <c r="K30" s="77">
        <v>0.15</v>
      </c>
      <c r="L30" s="77">
        <v>0</v>
      </c>
      <c r="M30" s="77">
        <v>0.2</v>
      </c>
      <c r="N30" s="77">
        <v>0</v>
      </c>
    </row>
    <row r="31" spans="1:22" customFormat="1" ht="15" customHeight="1" x14ac:dyDescent="0.15">
      <c r="C31" s="77">
        <v>30</v>
      </c>
      <c r="E31" s="168" t="s">
        <v>221</v>
      </c>
      <c r="F31" s="77">
        <v>0</v>
      </c>
      <c r="G31" s="77">
        <v>6.7000000000000004E-2</v>
      </c>
      <c r="H31" s="77">
        <v>0.04</v>
      </c>
      <c r="I31" s="77">
        <v>60</v>
      </c>
      <c r="J31" s="77">
        <v>0</v>
      </c>
      <c r="K31" s="77">
        <v>6.6666665999999997E-4</v>
      </c>
      <c r="L31" s="77">
        <v>0</v>
      </c>
      <c r="M31" s="77">
        <v>0.2</v>
      </c>
      <c r="N31" s="77">
        <v>0</v>
      </c>
    </row>
    <row r="32" spans="1:22" customFormat="1" ht="15" customHeight="1" x14ac:dyDescent="0.15">
      <c r="C32" s="77">
        <v>31</v>
      </c>
      <c r="E32" s="168" t="s">
        <v>222</v>
      </c>
      <c r="F32" s="77">
        <v>0</v>
      </c>
      <c r="G32" s="77">
        <v>7.1999999999999995E-2</v>
      </c>
      <c r="H32" s="77">
        <v>0.1</v>
      </c>
      <c r="I32" s="77">
        <v>45.9</v>
      </c>
      <c r="J32" s="77">
        <v>0</v>
      </c>
      <c r="K32" s="77">
        <v>2.1786491900000001E-3</v>
      </c>
      <c r="L32" s="77">
        <v>0</v>
      </c>
      <c r="M32" s="77">
        <v>0.26</v>
      </c>
      <c r="N32" s="77">
        <v>0</v>
      </c>
    </row>
    <row r="33" spans="3:14" customFormat="1" ht="15" customHeight="1" x14ac:dyDescent="0.15">
      <c r="C33" s="77">
        <v>32</v>
      </c>
      <c r="E33" s="168" t="s">
        <v>223</v>
      </c>
      <c r="F33" s="77">
        <v>0</v>
      </c>
      <c r="G33" s="77">
        <v>6.2E-2</v>
      </c>
      <c r="H33" s="77">
        <v>0.1</v>
      </c>
      <c r="I33" s="77">
        <v>20</v>
      </c>
      <c r="J33" s="77">
        <v>0</v>
      </c>
      <c r="K33" s="77">
        <v>5.0000000000000001E-3</v>
      </c>
      <c r="L33" s="77">
        <v>0</v>
      </c>
      <c r="M33" s="77">
        <v>0.2</v>
      </c>
      <c r="N33" s="77">
        <v>0</v>
      </c>
    </row>
    <row r="34" spans="3:14" customFormat="1" ht="15" customHeight="1" x14ac:dyDescent="0.15">
      <c r="C34" s="77">
        <v>33</v>
      </c>
      <c r="E34" s="168" t="s">
        <v>224</v>
      </c>
      <c r="F34" s="77">
        <v>2</v>
      </c>
      <c r="G34" s="77">
        <v>1</v>
      </c>
      <c r="H34" s="77">
        <v>0</v>
      </c>
      <c r="I34" s="77">
        <v>0</v>
      </c>
      <c r="J34" s="77">
        <v>0</v>
      </c>
      <c r="K34" s="77">
        <v>0</v>
      </c>
      <c r="L34" s="77">
        <v>0</v>
      </c>
      <c r="M34" s="77">
        <v>0</v>
      </c>
      <c r="N34" s="77">
        <v>0</v>
      </c>
    </row>
    <row r="35" spans="3:14" customFormat="1" ht="15" customHeight="1" x14ac:dyDescent="0.15">
      <c r="C35" s="77">
        <v>34</v>
      </c>
      <c r="E35" s="168" t="s">
        <v>225</v>
      </c>
      <c r="F35" s="77">
        <v>2</v>
      </c>
      <c r="G35" s="77">
        <v>5</v>
      </c>
      <c r="H35" s="77">
        <v>0</v>
      </c>
      <c r="I35" s="77">
        <v>0</v>
      </c>
      <c r="J35" s="77">
        <v>0</v>
      </c>
      <c r="K35" s="77">
        <v>0</v>
      </c>
      <c r="L35" s="77">
        <v>0</v>
      </c>
      <c r="M35" s="77">
        <v>0</v>
      </c>
      <c r="N35" s="77">
        <v>0</v>
      </c>
    </row>
    <row r="36" spans="3:14" customFormat="1" ht="15" customHeight="1" x14ac:dyDescent="0.15">
      <c r="C36" s="77">
        <v>35</v>
      </c>
      <c r="E36" s="168" t="s">
        <v>226</v>
      </c>
      <c r="F36" s="77">
        <v>3</v>
      </c>
      <c r="G36" s="77">
        <v>0</v>
      </c>
      <c r="H36" s="77">
        <v>0</v>
      </c>
      <c r="I36" s="77">
        <v>0</v>
      </c>
      <c r="J36" s="77">
        <v>0</v>
      </c>
      <c r="K36" s="77">
        <v>0</v>
      </c>
      <c r="L36" s="77">
        <v>0</v>
      </c>
      <c r="M36" s="77">
        <v>0</v>
      </c>
      <c r="N36" s="77">
        <v>0</v>
      </c>
    </row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5" bestFit="1" customWidth="1"/>
    <col min="2" max="3" width="2.33203125" style="135" bestFit="1" customWidth="1"/>
    <col min="4" max="4" width="3.83203125" style="135" bestFit="1" customWidth="1"/>
    <col min="5" max="5" width="4.83203125" style="135" bestFit="1" customWidth="1"/>
    <col min="6" max="6" width="3.83203125" style="135" bestFit="1" customWidth="1"/>
    <col min="7" max="8" width="4.83203125" style="135" bestFit="1" customWidth="1"/>
    <col min="9" max="9" width="5.83203125" style="135" bestFit="1" customWidth="1"/>
    <col min="10" max="10" width="7.83203125" style="135" bestFit="1" customWidth="1"/>
    <col min="11" max="12" width="5.83203125" style="135" bestFit="1" customWidth="1"/>
    <col min="13" max="15" width="4.83203125" style="135" bestFit="1" customWidth="1"/>
    <col min="16" max="16" width="15.5" style="135" bestFit="1" customWidth="1"/>
    <col min="17" max="18" width="5.83203125" style="135" bestFit="1" customWidth="1"/>
    <col min="19" max="20" width="7.83203125" style="135" bestFit="1" customWidth="1"/>
    <col min="21" max="22" width="3.83203125" style="135" bestFit="1" customWidth="1"/>
    <col min="23" max="23" width="7.83203125" style="135" bestFit="1" customWidth="1"/>
    <col min="24" max="26" width="5.83203125" style="135" bestFit="1" customWidth="1"/>
    <col min="27" max="27" width="7.83203125" style="135" bestFit="1" customWidth="1"/>
    <col min="28" max="29" width="5.83203125" style="135" bestFit="1" customWidth="1"/>
    <col min="30" max="30" width="7.83203125" style="135" customWidth="1"/>
    <col min="31" max="32" width="5.83203125" style="135" customWidth="1"/>
    <col min="33" max="33" width="3.83203125" style="135" customWidth="1"/>
    <col min="34" max="35" width="2.33203125" style="135" customWidth="1"/>
    <col min="36" max="16384" width="8.83203125" style="135"/>
  </cols>
  <sheetData>
    <row r="1" spans="1:35" x14ac:dyDescent="0.15">
      <c r="A1" s="134" t="s">
        <v>19</v>
      </c>
      <c r="B1" s="170" t="s">
        <v>192</v>
      </c>
      <c r="C1" s="170" t="s">
        <v>193</v>
      </c>
      <c r="D1" s="170" t="s">
        <v>194</v>
      </c>
      <c r="E1" s="170" t="s">
        <v>195</v>
      </c>
      <c r="F1" s="170" t="s">
        <v>196</v>
      </c>
      <c r="G1" s="170" t="s">
        <v>197</v>
      </c>
      <c r="H1" s="170" t="s">
        <v>198</v>
      </c>
      <c r="I1" s="170" t="s">
        <v>199</v>
      </c>
      <c r="J1" s="170" t="s">
        <v>200</v>
      </c>
      <c r="K1" s="170" t="s">
        <v>201</v>
      </c>
      <c r="L1" s="170" t="s">
        <v>202</v>
      </c>
      <c r="M1" s="170" t="s">
        <v>203</v>
      </c>
      <c r="N1" s="170" t="s">
        <v>204</v>
      </c>
      <c r="O1" s="170" t="s">
        <v>205</v>
      </c>
      <c r="P1" s="170" t="s">
        <v>206</v>
      </c>
      <c r="Q1" s="170" t="s">
        <v>207</v>
      </c>
      <c r="R1" s="170" t="s">
        <v>208</v>
      </c>
      <c r="S1" s="170" t="s">
        <v>209</v>
      </c>
      <c r="T1" s="170" t="s">
        <v>210</v>
      </c>
      <c r="U1" s="170" t="s">
        <v>211</v>
      </c>
      <c r="V1" s="170" t="s">
        <v>212</v>
      </c>
      <c r="W1" s="170" t="s">
        <v>213</v>
      </c>
      <c r="X1" s="170" t="s">
        <v>214</v>
      </c>
      <c r="Y1" s="170" t="s">
        <v>215</v>
      </c>
      <c r="Z1" s="170" t="s">
        <v>216</v>
      </c>
      <c r="AA1" s="170" t="s">
        <v>217</v>
      </c>
      <c r="AB1" s="170" t="s">
        <v>218</v>
      </c>
      <c r="AC1" s="170" t="s">
        <v>219</v>
      </c>
      <c r="AD1" s="170" t="s">
        <v>220</v>
      </c>
      <c r="AE1" s="170" t="s">
        <v>221</v>
      </c>
      <c r="AF1" s="170" t="s">
        <v>222</v>
      </c>
      <c r="AG1" s="170" t="s">
        <v>223</v>
      </c>
      <c r="AH1" s="170" t="s">
        <v>224</v>
      </c>
      <c r="AI1" s="170" t="s">
        <v>225</v>
      </c>
    </row>
    <row r="2" spans="1:35" customFormat="1" x14ac:dyDescent="0.15">
      <c r="A2" s="169" t="s">
        <v>192</v>
      </c>
      <c r="B2" s="135">
        <v>0</v>
      </c>
      <c r="C2" s="135">
        <v>0</v>
      </c>
      <c r="D2" s="135">
        <v>0.3</v>
      </c>
      <c r="E2" s="135">
        <v>0.85</v>
      </c>
      <c r="F2" s="135">
        <v>0.5</v>
      </c>
      <c r="G2" s="135">
        <v>0</v>
      </c>
      <c r="H2" s="135">
        <v>0</v>
      </c>
      <c r="I2" s="135">
        <v>4.200000000000001E-2</v>
      </c>
      <c r="J2" s="135">
        <v>0.69181000000000004</v>
      </c>
      <c r="K2" s="135">
        <v>0</v>
      </c>
      <c r="L2" s="135">
        <v>0</v>
      </c>
      <c r="M2" s="135">
        <v>0</v>
      </c>
      <c r="N2" s="135">
        <v>0.3</v>
      </c>
      <c r="O2" s="135">
        <v>0</v>
      </c>
      <c r="P2" s="135">
        <v>1.9999998040000195E-3</v>
      </c>
      <c r="Q2" s="135">
        <v>0</v>
      </c>
      <c r="R2" s="135">
        <v>0</v>
      </c>
      <c r="S2" s="135">
        <v>0</v>
      </c>
      <c r="T2" s="135">
        <v>0</v>
      </c>
      <c r="U2" s="135">
        <v>0</v>
      </c>
      <c r="V2" s="135">
        <v>0.6</v>
      </c>
      <c r="W2" s="135">
        <v>0</v>
      </c>
      <c r="X2" s="135">
        <v>0.42299999999999999</v>
      </c>
      <c r="Y2" s="135">
        <v>0</v>
      </c>
      <c r="Z2" s="135">
        <v>0</v>
      </c>
      <c r="AA2" s="135">
        <v>0</v>
      </c>
      <c r="AB2" s="135">
        <v>0</v>
      </c>
      <c r="AC2" s="135">
        <v>0</v>
      </c>
      <c r="AD2" s="135">
        <v>0</v>
      </c>
      <c r="AE2" s="135">
        <v>0</v>
      </c>
      <c r="AF2" s="135">
        <v>0</v>
      </c>
      <c r="AG2" s="135">
        <v>0</v>
      </c>
      <c r="AH2" s="135">
        <v>0</v>
      </c>
      <c r="AI2" s="135">
        <v>0</v>
      </c>
    </row>
    <row r="3" spans="1:35" customFormat="1" x14ac:dyDescent="0.15">
      <c r="A3" s="169" t="s">
        <v>193</v>
      </c>
      <c r="B3" s="135">
        <v>0</v>
      </c>
      <c r="C3" s="135">
        <v>0</v>
      </c>
      <c r="D3" s="135">
        <v>0.1</v>
      </c>
      <c r="E3" s="135">
        <v>0.05</v>
      </c>
      <c r="F3" s="135">
        <v>0.1</v>
      </c>
      <c r="G3" s="135">
        <v>0</v>
      </c>
      <c r="H3" s="135">
        <v>0</v>
      </c>
      <c r="I3" s="135">
        <v>3.0000000000000005E-3</v>
      </c>
      <c r="J3" s="135">
        <v>4.0000000000000001E-3</v>
      </c>
      <c r="K3" s="135">
        <v>0</v>
      </c>
      <c r="L3" s="135">
        <v>0</v>
      </c>
      <c r="M3" s="135">
        <v>0</v>
      </c>
      <c r="N3" s="135">
        <v>0</v>
      </c>
      <c r="O3" s="135">
        <v>0</v>
      </c>
      <c r="P3" s="135">
        <v>0</v>
      </c>
      <c r="Q3" s="135">
        <v>0</v>
      </c>
      <c r="R3" s="135">
        <v>0</v>
      </c>
      <c r="S3" s="135">
        <v>0</v>
      </c>
      <c r="T3" s="135">
        <v>0</v>
      </c>
      <c r="U3" s="135">
        <v>0</v>
      </c>
      <c r="V3" s="135">
        <v>0</v>
      </c>
      <c r="W3" s="135">
        <v>0</v>
      </c>
      <c r="X3" s="135">
        <v>0</v>
      </c>
      <c r="Y3" s="135">
        <v>0</v>
      </c>
      <c r="Z3" s="135">
        <v>0</v>
      </c>
      <c r="AA3" s="135">
        <v>0</v>
      </c>
      <c r="AB3" s="135">
        <v>0</v>
      </c>
      <c r="AC3" s="135">
        <v>0</v>
      </c>
      <c r="AD3" s="135">
        <v>0</v>
      </c>
      <c r="AE3" s="135">
        <v>0</v>
      </c>
      <c r="AF3" s="135">
        <v>0</v>
      </c>
      <c r="AG3" s="135">
        <v>0</v>
      </c>
      <c r="AH3" s="135">
        <v>0</v>
      </c>
      <c r="AI3" s="135">
        <v>0</v>
      </c>
    </row>
    <row r="4" spans="1:35" customFormat="1" x14ac:dyDescent="0.15">
      <c r="A4" s="169" t="s">
        <v>194</v>
      </c>
      <c r="B4" s="135">
        <v>0</v>
      </c>
      <c r="C4" s="135">
        <v>0</v>
      </c>
      <c r="D4" s="135">
        <v>0.2</v>
      </c>
      <c r="E4" s="135">
        <v>0.1</v>
      </c>
      <c r="F4" s="135">
        <v>0.4</v>
      </c>
      <c r="G4" s="135">
        <v>0</v>
      </c>
      <c r="H4" s="135">
        <v>0</v>
      </c>
      <c r="I4" s="135">
        <v>3.7000000000000005E-2</v>
      </c>
      <c r="J4" s="135">
        <v>1.9000000000000001E-4</v>
      </c>
      <c r="K4" s="135">
        <v>0</v>
      </c>
      <c r="L4" s="135">
        <v>0</v>
      </c>
      <c r="M4" s="135">
        <v>0</v>
      </c>
      <c r="N4" s="135">
        <v>0</v>
      </c>
      <c r="O4" s="135">
        <v>0</v>
      </c>
      <c r="P4" s="135">
        <v>9.799999039600096E-8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>
        <v>0</v>
      </c>
      <c r="AI4" s="135">
        <v>0</v>
      </c>
    </row>
    <row r="5" spans="1:35" customFormat="1" x14ac:dyDescent="0.15">
      <c r="A5" s="169" t="s">
        <v>195</v>
      </c>
      <c r="B5" s="135">
        <v>0</v>
      </c>
      <c r="C5" s="135">
        <v>0</v>
      </c>
      <c r="D5" s="135">
        <v>0</v>
      </c>
      <c r="E5" s="135">
        <v>0</v>
      </c>
      <c r="F5" s="135">
        <v>0</v>
      </c>
      <c r="G5" s="135">
        <v>0.64</v>
      </c>
      <c r="H5" s="135">
        <v>0</v>
      </c>
      <c r="I5" s="135">
        <v>0.70400000000000007</v>
      </c>
      <c r="J5" s="135">
        <v>0.28100000000000003</v>
      </c>
      <c r="K5" s="135">
        <v>2.1000000000000001E-2</v>
      </c>
      <c r="L5" s="135">
        <v>7.4999999999999997E-2</v>
      </c>
      <c r="M5" s="135">
        <v>0</v>
      </c>
      <c r="N5" s="135">
        <v>0.65</v>
      </c>
      <c r="O5" s="135">
        <v>0</v>
      </c>
      <c r="P5" s="135">
        <v>2.8999997158000283E-2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0.4</v>
      </c>
      <c r="W5" s="135">
        <v>0</v>
      </c>
      <c r="X5" s="135">
        <v>0.186</v>
      </c>
      <c r="Y5" s="135">
        <v>0</v>
      </c>
      <c r="Z5" s="135">
        <v>0</v>
      </c>
      <c r="AA5" s="135">
        <v>0</v>
      </c>
      <c r="AB5" s="135">
        <v>0</v>
      </c>
      <c r="AC5" s="135">
        <v>4.000000000000001E-3</v>
      </c>
      <c r="AD5" s="135">
        <v>0</v>
      </c>
      <c r="AE5" s="135">
        <v>0</v>
      </c>
      <c r="AF5" s="135">
        <v>0</v>
      </c>
      <c r="AG5" s="135">
        <v>0</v>
      </c>
      <c r="AH5" s="135">
        <v>0</v>
      </c>
      <c r="AI5" s="135">
        <v>0</v>
      </c>
    </row>
    <row r="6" spans="1:35" customFormat="1" x14ac:dyDescent="0.15">
      <c r="A6" s="169" t="s">
        <v>196</v>
      </c>
      <c r="B6" s="135">
        <v>0</v>
      </c>
      <c r="C6" s="135">
        <v>0</v>
      </c>
      <c r="D6" s="135">
        <v>0</v>
      </c>
      <c r="E6" s="135">
        <v>0</v>
      </c>
      <c r="F6" s="135">
        <v>0</v>
      </c>
      <c r="G6" s="135">
        <v>0.12</v>
      </c>
      <c r="H6" s="135">
        <v>0</v>
      </c>
      <c r="I6" s="135">
        <v>0.21400000000000002</v>
      </c>
      <c r="J6" s="135">
        <v>2.3E-2</v>
      </c>
      <c r="K6" s="135">
        <v>0.97899999999999998</v>
      </c>
      <c r="L6" s="135">
        <v>0.222</v>
      </c>
      <c r="M6" s="135">
        <v>0.85</v>
      </c>
      <c r="N6" s="135">
        <v>0</v>
      </c>
      <c r="O6" s="135">
        <v>0.56000000000000005</v>
      </c>
      <c r="P6" s="135">
        <v>0.86191391553243635</v>
      </c>
      <c r="Q6" s="135">
        <v>0</v>
      </c>
      <c r="R6" s="135">
        <v>7.0000000000000007E-2</v>
      </c>
      <c r="S6" s="135">
        <v>3.0000000000000001E-3</v>
      </c>
      <c r="T6" s="135">
        <v>0.13200000000000001</v>
      </c>
      <c r="U6" s="135">
        <v>0</v>
      </c>
      <c r="V6" s="135">
        <v>0</v>
      </c>
      <c r="W6" s="135">
        <v>1.9E-2</v>
      </c>
      <c r="X6" s="135">
        <v>2.8000000000000001E-2</v>
      </c>
      <c r="Y6" s="135">
        <v>0</v>
      </c>
      <c r="Z6" s="135">
        <v>0.25600000000000001</v>
      </c>
      <c r="AA6" s="135">
        <v>6.2E-4</v>
      </c>
      <c r="AB6" s="135">
        <v>0.97499999999999998</v>
      </c>
      <c r="AC6" s="135">
        <v>0.10800000000000001</v>
      </c>
      <c r="AD6" s="135">
        <v>0</v>
      </c>
      <c r="AE6" s="135">
        <v>0</v>
      </c>
      <c r="AF6" s="135">
        <v>0</v>
      </c>
      <c r="AG6" s="135">
        <v>0.3</v>
      </c>
      <c r="AH6" s="135">
        <v>0</v>
      </c>
      <c r="AI6" s="135">
        <v>0</v>
      </c>
    </row>
    <row r="7" spans="1:35" customFormat="1" x14ac:dyDescent="0.15">
      <c r="A7" s="169" t="s">
        <v>197</v>
      </c>
      <c r="B7" s="135">
        <v>0</v>
      </c>
      <c r="C7" s="135">
        <v>0</v>
      </c>
      <c r="D7" s="135">
        <v>0</v>
      </c>
      <c r="E7" s="135">
        <v>0</v>
      </c>
      <c r="F7" s="135">
        <v>0</v>
      </c>
      <c r="G7" s="135">
        <v>0.04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4.0000000000000001E-3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  <c r="AI7" s="135">
        <v>0</v>
      </c>
    </row>
    <row r="8" spans="1:35" customFormat="1" x14ac:dyDescent="0.15">
      <c r="A8" s="169" t="s">
        <v>198</v>
      </c>
      <c r="B8" s="135">
        <v>0</v>
      </c>
      <c r="C8" s="135">
        <v>0</v>
      </c>
      <c r="D8" s="135">
        <v>0</v>
      </c>
      <c r="E8" s="135">
        <v>0</v>
      </c>
      <c r="F8" s="135">
        <v>0</v>
      </c>
      <c r="G8" s="135">
        <v>0</v>
      </c>
      <c r="H8" s="135">
        <v>7.0000000000000007E-2</v>
      </c>
      <c r="I8" s="135">
        <v>0</v>
      </c>
      <c r="J8" s="135">
        <v>0</v>
      </c>
      <c r="K8" s="135">
        <v>0</v>
      </c>
      <c r="L8" s="135">
        <v>0</v>
      </c>
      <c r="M8" s="135">
        <v>0</v>
      </c>
      <c r="N8" s="135">
        <v>0</v>
      </c>
      <c r="O8" s="135">
        <v>0.03</v>
      </c>
      <c r="P8" s="135">
        <v>0</v>
      </c>
      <c r="Q8" s="135">
        <v>0</v>
      </c>
      <c r="R8" s="135">
        <v>0.09</v>
      </c>
      <c r="S8" s="135">
        <v>5.1000000000000004E-4</v>
      </c>
      <c r="T8" s="135">
        <v>6.2E-4</v>
      </c>
      <c r="U8" s="135">
        <v>0.2</v>
      </c>
      <c r="V8" s="135">
        <v>0</v>
      </c>
      <c r="W8" s="135">
        <v>0.56455</v>
      </c>
      <c r="X8" s="135">
        <v>0.17899999999999999</v>
      </c>
      <c r="Y8" s="135">
        <v>0.114</v>
      </c>
      <c r="Z8" s="135">
        <v>0.38300000000000001</v>
      </c>
      <c r="AA8" s="135">
        <v>0.64085999999999999</v>
      </c>
      <c r="AB8" s="135">
        <v>2.5000000000000001E-2</v>
      </c>
      <c r="AC8" s="135">
        <v>0.57200000000000006</v>
      </c>
      <c r="AD8" s="135">
        <v>0</v>
      </c>
      <c r="AE8" s="135">
        <v>0</v>
      </c>
      <c r="AF8" s="135">
        <v>0</v>
      </c>
      <c r="AG8" s="135">
        <v>0</v>
      </c>
      <c r="AH8" s="135">
        <v>0</v>
      </c>
      <c r="AI8" s="135">
        <v>0</v>
      </c>
    </row>
    <row r="9" spans="1:35" customFormat="1" x14ac:dyDescent="0.15">
      <c r="A9" s="169" t="s">
        <v>199</v>
      </c>
      <c r="B9" s="135">
        <v>0</v>
      </c>
      <c r="C9" s="135">
        <v>0</v>
      </c>
      <c r="D9" s="135">
        <v>0</v>
      </c>
      <c r="E9" s="135">
        <v>0</v>
      </c>
      <c r="F9" s="135">
        <v>0</v>
      </c>
      <c r="G9" s="135">
        <v>0</v>
      </c>
      <c r="H9" s="135">
        <v>0</v>
      </c>
      <c r="I9" s="135">
        <v>0</v>
      </c>
      <c r="J9" s="135">
        <v>0</v>
      </c>
      <c r="K9" s="135">
        <v>0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5">
        <v>0.06</v>
      </c>
      <c r="S9" s="135">
        <v>0</v>
      </c>
      <c r="T9" s="135">
        <v>0</v>
      </c>
      <c r="U9" s="135">
        <v>0</v>
      </c>
      <c r="V9" s="135">
        <v>0</v>
      </c>
      <c r="W9" s="135">
        <v>3.1E-2</v>
      </c>
      <c r="X9" s="135">
        <v>0</v>
      </c>
      <c r="Y9" s="135">
        <v>0</v>
      </c>
      <c r="Z9" s="135">
        <v>0</v>
      </c>
      <c r="AA9" s="135">
        <v>1.2999999999999999E-2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5">
        <v>0</v>
      </c>
      <c r="AH9" s="135">
        <v>0</v>
      </c>
      <c r="AI9" s="135">
        <v>0</v>
      </c>
    </row>
    <row r="10" spans="1:35" customFormat="1" x14ac:dyDescent="0.15">
      <c r="A10" s="169" t="s">
        <v>200</v>
      </c>
      <c r="B10" s="135">
        <v>0</v>
      </c>
      <c r="C10" s="135">
        <v>0</v>
      </c>
      <c r="D10" s="135">
        <v>0</v>
      </c>
      <c r="E10" s="135">
        <v>0</v>
      </c>
      <c r="F10" s="135">
        <v>0</v>
      </c>
      <c r="G10" s="135">
        <v>0</v>
      </c>
      <c r="H10" s="135">
        <v>0</v>
      </c>
      <c r="I10" s="135">
        <v>0</v>
      </c>
      <c r="J10" s="135">
        <v>0</v>
      </c>
      <c r="K10" s="135">
        <v>0</v>
      </c>
      <c r="L10" s="135">
        <v>4.2999999999999997E-2</v>
      </c>
      <c r="M10" s="135">
        <v>0</v>
      </c>
      <c r="N10" s="135">
        <v>0</v>
      </c>
      <c r="O10" s="135">
        <v>0.2</v>
      </c>
      <c r="P10" s="135">
        <v>0</v>
      </c>
      <c r="Q10" s="135">
        <v>0.69900000000000007</v>
      </c>
      <c r="R10" s="135">
        <v>0.35799999999999998</v>
      </c>
      <c r="S10" s="135">
        <v>0.64549000000000001</v>
      </c>
      <c r="T10" s="135">
        <v>5.0000000000000001E-3</v>
      </c>
      <c r="U10" s="135">
        <v>0.5</v>
      </c>
      <c r="V10" s="135">
        <v>0</v>
      </c>
      <c r="W10" s="135">
        <v>7.8E-2</v>
      </c>
      <c r="X10" s="135">
        <v>0</v>
      </c>
      <c r="Y10" s="135">
        <v>0</v>
      </c>
      <c r="Z10" s="135">
        <v>0.1</v>
      </c>
      <c r="AA10" s="135">
        <v>0.184</v>
      </c>
      <c r="AB10" s="135">
        <v>0</v>
      </c>
      <c r="AC10" s="135">
        <v>0.19800000000000004</v>
      </c>
      <c r="AD10" s="135">
        <v>0.21300000000000002</v>
      </c>
      <c r="AE10" s="135">
        <v>0.877</v>
      </c>
      <c r="AF10" s="135">
        <v>0.53900000000000003</v>
      </c>
      <c r="AG10" s="135">
        <v>0.1</v>
      </c>
      <c r="AH10" s="135">
        <v>0</v>
      </c>
      <c r="AI10" s="135">
        <v>0</v>
      </c>
    </row>
    <row r="11" spans="1:35" customFormat="1" x14ac:dyDescent="0.15">
      <c r="A11" s="169" t="s">
        <v>201</v>
      </c>
      <c r="B11" s="135">
        <v>0</v>
      </c>
      <c r="C11" s="135">
        <v>0</v>
      </c>
      <c r="D11" s="135">
        <v>0</v>
      </c>
      <c r="E11" s="135">
        <v>0</v>
      </c>
      <c r="F11" s="135">
        <v>0</v>
      </c>
      <c r="G11" s="135">
        <v>0</v>
      </c>
      <c r="H11" s="135">
        <v>0</v>
      </c>
      <c r="I11" s="135">
        <v>0</v>
      </c>
      <c r="J11" s="135">
        <v>0</v>
      </c>
      <c r="K11" s="135">
        <v>0</v>
      </c>
      <c r="L11" s="135">
        <v>0.38700000000000001</v>
      </c>
      <c r="M11" s="135">
        <v>0</v>
      </c>
      <c r="N11" s="135">
        <v>0</v>
      </c>
      <c r="O11" s="135">
        <v>0</v>
      </c>
      <c r="P11" s="135">
        <v>4.9999995100000489E-3</v>
      </c>
      <c r="Q11" s="135">
        <v>0</v>
      </c>
      <c r="R11" s="135">
        <v>0</v>
      </c>
      <c r="S11" s="135">
        <v>0</v>
      </c>
      <c r="T11" s="135">
        <v>1.0999999999999999E-2</v>
      </c>
      <c r="U11" s="135">
        <v>0</v>
      </c>
      <c r="V11" s="135">
        <v>0</v>
      </c>
      <c r="W11" s="135">
        <v>0</v>
      </c>
      <c r="X11" s="135">
        <v>0</v>
      </c>
      <c r="Y11" s="135">
        <v>0</v>
      </c>
      <c r="Z11" s="135">
        <v>0</v>
      </c>
      <c r="AA11" s="135">
        <v>9.7000000000000005E-4</v>
      </c>
      <c r="AB11" s="135">
        <v>0</v>
      </c>
      <c r="AC11" s="135">
        <v>0</v>
      </c>
      <c r="AD11" s="135">
        <v>0</v>
      </c>
      <c r="AE11" s="135">
        <v>0</v>
      </c>
      <c r="AF11" s="135">
        <v>4.0000000000000001E-3</v>
      </c>
      <c r="AG11" s="135">
        <v>0</v>
      </c>
      <c r="AH11" s="135">
        <v>0</v>
      </c>
      <c r="AI11" s="135">
        <v>0</v>
      </c>
    </row>
    <row r="12" spans="1:35" customFormat="1" x14ac:dyDescent="0.15">
      <c r="A12" s="169" t="s">
        <v>202</v>
      </c>
      <c r="B12" s="135">
        <v>0</v>
      </c>
      <c r="C12" s="135">
        <v>0</v>
      </c>
      <c r="D12" s="135">
        <v>0</v>
      </c>
      <c r="E12" s="135">
        <v>0</v>
      </c>
      <c r="F12" s="135">
        <v>0</v>
      </c>
      <c r="G12" s="135">
        <v>0</v>
      </c>
      <c r="H12" s="135">
        <v>0</v>
      </c>
      <c r="I12" s="135">
        <v>0</v>
      </c>
      <c r="J12" s="135">
        <v>0</v>
      </c>
      <c r="K12" s="135">
        <v>0</v>
      </c>
      <c r="L12" s="135">
        <v>0.12</v>
      </c>
      <c r="M12" s="135">
        <v>0</v>
      </c>
      <c r="N12" s="135">
        <v>0</v>
      </c>
      <c r="O12" s="135">
        <v>0</v>
      </c>
      <c r="P12" s="135">
        <v>0</v>
      </c>
      <c r="Q12" s="135">
        <v>7.1000000000000008E-2</v>
      </c>
      <c r="R12" s="135">
        <v>0.112</v>
      </c>
      <c r="S12" s="135">
        <v>0</v>
      </c>
      <c r="T12" s="135">
        <v>0</v>
      </c>
      <c r="U12" s="135">
        <v>0</v>
      </c>
      <c r="V12" s="135">
        <v>0</v>
      </c>
      <c r="W12" s="135">
        <v>2.1999999999999999E-2</v>
      </c>
      <c r="X12" s="135">
        <v>0</v>
      </c>
      <c r="Y12" s="135">
        <v>0</v>
      </c>
      <c r="Z12" s="135">
        <v>0</v>
      </c>
      <c r="AA12" s="135">
        <v>5.0000000000000001E-3</v>
      </c>
      <c r="AB12" s="135">
        <v>0</v>
      </c>
      <c r="AC12" s="135">
        <v>0</v>
      </c>
      <c r="AD12" s="135">
        <v>0.66711000000000009</v>
      </c>
      <c r="AE12" s="135">
        <v>0</v>
      </c>
      <c r="AF12" s="135">
        <v>0</v>
      </c>
      <c r="AG12" s="135">
        <v>0.2</v>
      </c>
      <c r="AH12" s="135">
        <v>0</v>
      </c>
      <c r="AI12" s="135">
        <v>0</v>
      </c>
    </row>
    <row r="13" spans="1:35" customFormat="1" x14ac:dyDescent="0.15">
      <c r="A13" s="169" t="s">
        <v>203</v>
      </c>
      <c r="B13" s="135">
        <v>0</v>
      </c>
      <c r="C13" s="135">
        <v>0</v>
      </c>
      <c r="D13" s="135">
        <v>0</v>
      </c>
      <c r="E13" s="135">
        <v>0</v>
      </c>
      <c r="F13" s="135">
        <v>0</v>
      </c>
      <c r="G13" s="135">
        <v>0</v>
      </c>
      <c r="H13" s="135">
        <v>0</v>
      </c>
      <c r="I13" s="135">
        <v>0</v>
      </c>
      <c r="J13" s="135">
        <v>0</v>
      </c>
      <c r="K13" s="135">
        <v>0</v>
      </c>
      <c r="L13" s="135">
        <v>7.6999999999999999E-2</v>
      </c>
      <c r="M13" s="135">
        <v>0</v>
      </c>
      <c r="N13" s="135">
        <v>0</v>
      </c>
      <c r="O13" s="135">
        <v>0.12</v>
      </c>
      <c r="P13" s="135">
        <v>0.10199999000400098</v>
      </c>
      <c r="Q13" s="135">
        <v>8.8000000000000009E-2</v>
      </c>
      <c r="R13" s="135">
        <v>7.0000000000000007E-2</v>
      </c>
      <c r="S13" s="135">
        <v>0</v>
      </c>
      <c r="T13" s="135">
        <v>2E-3</v>
      </c>
      <c r="U13" s="135">
        <v>0</v>
      </c>
      <c r="V13" s="135">
        <v>0</v>
      </c>
      <c r="W13" s="135">
        <v>0.114</v>
      </c>
      <c r="X13" s="135">
        <v>0</v>
      </c>
      <c r="Y13" s="135">
        <v>3.6999999999999998E-2</v>
      </c>
      <c r="Z13" s="135">
        <v>4.2999999999999997E-2</v>
      </c>
      <c r="AA13" s="135">
        <v>8.0000000000000002E-3</v>
      </c>
      <c r="AB13" s="135">
        <v>0</v>
      </c>
      <c r="AC13" s="135">
        <v>0</v>
      </c>
      <c r="AD13" s="135">
        <v>9.0000000000000011E-3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</row>
    <row r="14" spans="1:35" customFormat="1" x14ac:dyDescent="0.15">
      <c r="A14" s="169" t="s">
        <v>204</v>
      </c>
      <c r="B14" s="135">
        <v>0</v>
      </c>
      <c r="C14" s="135">
        <v>0</v>
      </c>
      <c r="D14" s="135">
        <v>0</v>
      </c>
      <c r="E14" s="135">
        <v>0</v>
      </c>
      <c r="F14" s="135">
        <v>0</v>
      </c>
      <c r="G14" s="135">
        <v>0</v>
      </c>
      <c r="H14" s="135">
        <v>0</v>
      </c>
      <c r="I14" s="135">
        <v>0</v>
      </c>
      <c r="J14" s="135">
        <v>0</v>
      </c>
      <c r="K14" s="135">
        <v>0</v>
      </c>
      <c r="L14" s="135">
        <v>4.3999999999999997E-2</v>
      </c>
      <c r="M14" s="135">
        <v>0</v>
      </c>
      <c r="N14" s="135">
        <v>0</v>
      </c>
      <c r="O14" s="135">
        <v>0.04</v>
      </c>
      <c r="P14" s="135">
        <v>0</v>
      </c>
      <c r="Q14" s="135">
        <v>1.0000000000000002E-3</v>
      </c>
      <c r="R14" s="135">
        <v>5.0000000000000001E-3</v>
      </c>
      <c r="S14" s="135">
        <v>5.5E-2</v>
      </c>
      <c r="T14" s="135">
        <v>0</v>
      </c>
      <c r="U14" s="135">
        <v>0</v>
      </c>
      <c r="V14" s="135">
        <v>0</v>
      </c>
      <c r="W14" s="135">
        <v>2E-3</v>
      </c>
      <c r="X14" s="135">
        <v>0</v>
      </c>
      <c r="Y14" s="135">
        <v>0</v>
      </c>
      <c r="Z14" s="135">
        <v>1E-3</v>
      </c>
      <c r="AA14" s="135">
        <v>3.6999999999999998E-2</v>
      </c>
      <c r="AB14" s="135">
        <v>0</v>
      </c>
      <c r="AC14" s="135">
        <v>1.0000000000000002E-3</v>
      </c>
      <c r="AD14" s="135">
        <v>0</v>
      </c>
      <c r="AE14" s="135">
        <v>3.5999999999999997E-2</v>
      </c>
      <c r="AF14" s="135">
        <v>8.9999999999999993E-3</v>
      </c>
      <c r="AG14" s="135">
        <v>0</v>
      </c>
      <c r="AH14" s="135">
        <v>0</v>
      </c>
      <c r="AI14" s="135">
        <v>0</v>
      </c>
    </row>
    <row r="15" spans="1:35" customFormat="1" x14ac:dyDescent="0.15">
      <c r="A15" s="169" t="s">
        <v>205</v>
      </c>
      <c r="B15" s="135">
        <v>0</v>
      </c>
      <c r="C15" s="135">
        <v>0</v>
      </c>
      <c r="D15" s="135">
        <v>0</v>
      </c>
      <c r="E15" s="135">
        <v>0</v>
      </c>
      <c r="F15" s="135">
        <v>0</v>
      </c>
      <c r="G15" s="135">
        <v>0</v>
      </c>
      <c r="H15" s="135">
        <v>0</v>
      </c>
      <c r="I15" s="135">
        <v>0</v>
      </c>
      <c r="J15" s="135">
        <v>0</v>
      </c>
      <c r="K15" s="135">
        <v>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9.7000000000000005E-4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1.4999999999999999E-2</v>
      </c>
      <c r="AF15" s="135">
        <v>1.4999999999999999E-2</v>
      </c>
      <c r="AG15" s="135">
        <v>0.2</v>
      </c>
      <c r="AH15" s="135">
        <v>0</v>
      </c>
      <c r="AI15" s="135">
        <v>0</v>
      </c>
    </row>
    <row r="16" spans="1:35" customFormat="1" x14ac:dyDescent="0.15">
      <c r="A16" s="169" t="s">
        <v>206</v>
      </c>
      <c r="B16" s="135">
        <v>0</v>
      </c>
      <c r="C16" s="135">
        <v>0</v>
      </c>
      <c r="D16" s="135">
        <v>0</v>
      </c>
      <c r="E16" s="135">
        <v>0</v>
      </c>
      <c r="F16" s="135">
        <v>0</v>
      </c>
      <c r="G16" s="135">
        <v>0</v>
      </c>
      <c r="H16" s="135">
        <v>0</v>
      </c>
      <c r="I16" s="135">
        <v>0</v>
      </c>
      <c r="J16" s="135">
        <v>0</v>
      </c>
      <c r="K16" s="135">
        <v>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0.2</v>
      </c>
      <c r="AH16" s="135">
        <v>0</v>
      </c>
      <c r="AI16" s="135">
        <v>0</v>
      </c>
    </row>
    <row r="17" spans="1:35" customFormat="1" x14ac:dyDescent="0.15">
      <c r="A17" s="169" t="s">
        <v>207</v>
      </c>
      <c r="B17" s="135">
        <v>0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v>0</v>
      </c>
      <c r="I17" s="135">
        <v>0</v>
      </c>
      <c r="J17" s="135">
        <v>0</v>
      </c>
      <c r="K17" s="135">
        <v>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5">
        <v>0</v>
      </c>
      <c r="Z17" s="135">
        <v>0</v>
      </c>
      <c r="AA17" s="135">
        <v>1E-3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>
        <v>0</v>
      </c>
      <c r="AI17" s="135">
        <v>0</v>
      </c>
    </row>
    <row r="18" spans="1:35" customFormat="1" x14ac:dyDescent="0.15">
      <c r="A18" s="169" t="s">
        <v>208</v>
      </c>
      <c r="B18" s="135">
        <v>0</v>
      </c>
      <c r="C18" s="135">
        <v>0</v>
      </c>
      <c r="D18" s="135">
        <v>0</v>
      </c>
      <c r="E18" s="135">
        <v>0</v>
      </c>
      <c r="F18" s="135">
        <v>0</v>
      </c>
      <c r="G18" s="135">
        <v>0</v>
      </c>
      <c r="H18" s="135">
        <v>0</v>
      </c>
      <c r="I18" s="135">
        <v>0</v>
      </c>
      <c r="J18" s="135">
        <v>0</v>
      </c>
      <c r="K18" s="135">
        <v>0</v>
      </c>
      <c r="L18" s="135">
        <v>3.2000000000000001E-2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0.38638</v>
      </c>
      <c r="U18" s="135">
        <v>0</v>
      </c>
      <c r="V18" s="135">
        <v>0</v>
      </c>
      <c r="W18" s="135">
        <v>0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9.9000000000000019E-2</v>
      </c>
      <c r="AE18" s="135">
        <v>0</v>
      </c>
      <c r="AF18" s="135">
        <v>1.2999999999999999E-2</v>
      </c>
      <c r="AG18" s="135">
        <v>0</v>
      </c>
      <c r="AH18" s="135">
        <v>0</v>
      </c>
      <c r="AI18" s="135">
        <v>0</v>
      </c>
    </row>
    <row r="19" spans="1:35" customFormat="1" x14ac:dyDescent="0.15">
      <c r="A19" s="169" t="s">
        <v>209</v>
      </c>
      <c r="B19" s="135">
        <v>0</v>
      </c>
      <c r="C19" s="135">
        <v>0</v>
      </c>
      <c r="D19" s="135">
        <v>0</v>
      </c>
      <c r="E19" s="135">
        <v>0</v>
      </c>
      <c r="F19" s="135">
        <v>0</v>
      </c>
      <c r="G19" s="135">
        <v>0</v>
      </c>
      <c r="H19" s="135">
        <v>0</v>
      </c>
      <c r="I19" s="135">
        <v>0</v>
      </c>
      <c r="J19" s="135">
        <v>0</v>
      </c>
      <c r="K19" s="135">
        <v>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4.9000000000000002E-2</v>
      </c>
      <c r="X19" s="135">
        <v>0</v>
      </c>
      <c r="Y19" s="135">
        <v>0.218</v>
      </c>
      <c r="Z19" s="135">
        <v>0</v>
      </c>
      <c r="AA19" s="135">
        <v>0</v>
      </c>
      <c r="AB19" s="135">
        <v>0</v>
      </c>
      <c r="AC19" s="135">
        <v>0</v>
      </c>
      <c r="AD19" s="135">
        <v>1.1000000000000001E-2</v>
      </c>
      <c r="AE19" s="135">
        <v>0</v>
      </c>
      <c r="AF19" s="135">
        <v>0</v>
      </c>
      <c r="AG19" s="135">
        <v>0</v>
      </c>
      <c r="AH19" s="135">
        <v>0</v>
      </c>
      <c r="AI19" s="135">
        <v>0</v>
      </c>
    </row>
    <row r="20" spans="1:35" customFormat="1" x14ac:dyDescent="0.15">
      <c r="A20" s="169" t="s">
        <v>210</v>
      </c>
      <c r="B20" s="135">
        <v>0</v>
      </c>
      <c r="C20" s="135">
        <v>0</v>
      </c>
      <c r="D20" s="135">
        <v>0</v>
      </c>
      <c r="E20" s="135">
        <v>0</v>
      </c>
      <c r="F20" s="135">
        <v>0</v>
      </c>
      <c r="G20" s="135">
        <v>0</v>
      </c>
      <c r="H20" s="135">
        <v>0</v>
      </c>
      <c r="I20" s="135">
        <v>0</v>
      </c>
      <c r="J20" s="135">
        <v>0</v>
      </c>
      <c r="K20" s="135">
        <v>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8.9000000000000006E-4</v>
      </c>
      <c r="AE20" s="135">
        <v>0</v>
      </c>
      <c r="AF20" s="135">
        <v>0</v>
      </c>
      <c r="AG20" s="135">
        <v>0</v>
      </c>
      <c r="AH20" s="135">
        <v>0</v>
      </c>
      <c r="AI20" s="135">
        <v>0</v>
      </c>
    </row>
    <row r="21" spans="1:35" customFormat="1" x14ac:dyDescent="0.15">
      <c r="A21" s="169" t="s">
        <v>211</v>
      </c>
      <c r="B21" s="135">
        <v>0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v>0</v>
      </c>
      <c r="I21" s="135">
        <v>0</v>
      </c>
      <c r="J21" s="135">
        <v>0</v>
      </c>
      <c r="K21" s="135">
        <v>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2E-3</v>
      </c>
      <c r="X21" s="135">
        <v>0</v>
      </c>
      <c r="Y21" s="135">
        <v>8.9999999999999993E-3</v>
      </c>
      <c r="Z21" s="135">
        <v>1E-3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>
        <v>0</v>
      </c>
      <c r="AI21" s="135">
        <v>0</v>
      </c>
    </row>
    <row r="22" spans="1:35" customFormat="1" x14ac:dyDescent="0.15">
      <c r="A22" s="169" t="s">
        <v>212</v>
      </c>
      <c r="B22" s="135">
        <v>0</v>
      </c>
      <c r="C22" s="135">
        <v>0</v>
      </c>
      <c r="D22" s="135">
        <v>0</v>
      </c>
      <c r="E22" s="135">
        <v>0</v>
      </c>
      <c r="F22" s="135">
        <v>0</v>
      </c>
      <c r="G22" s="135">
        <v>0</v>
      </c>
      <c r="H22" s="135">
        <v>0</v>
      </c>
      <c r="I22" s="135">
        <v>0</v>
      </c>
      <c r="J22" s="135">
        <v>0</v>
      </c>
      <c r="K22" s="135">
        <v>0</v>
      </c>
      <c r="L22" s="135">
        <v>0</v>
      </c>
      <c r="M22" s="135">
        <v>0.05</v>
      </c>
      <c r="N22" s="135">
        <v>0</v>
      </c>
      <c r="O22" s="135">
        <v>0.04</v>
      </c>
      <c r="P22" s="135">
        <v>8.5999991572000833E-5</v>
      </c>
      <c r="Q22" s="135">
        <v>0.14100000000000001</v>
      </c>
      <c r="R22" s="135">
        <v>0.16500000000000001</v>
      </c>
      <c r="S22" s="135">
        <v>4.5999999999999999E-2</v>
      </c>
      <c r="T22" s="135">
        <v>0.115</v>
      </c>
      <c r="U22" s="135">
        <v>0</v>
      </c>
      <c r="V22" s="135">
        <v>0</v>
      </c>
      <c r="W22" s="135">
        <v>9.9000000000000005E-2</v>
      </c>
      <c r="X22" s="135">
        <v>0</v>
      </c>
      <c r="Y22" s="135">
        <v>3.1E-2</v>
      </c>
      <c r="Z22" s="135">
        <v>0.186</v>
      </c>
      <c r="AA22" s="135">
        <v>3.1E-2</v>
      </c>
      <c r="AB22" s="135">
        <v>0</v>
      </c>
      <c r="AC22" s="135">
        <v>0</v>
      </c>
      <c r="AD22" s="135">
        <v>0</v>
      </c>
      <c r="AE22" s="135">
        <v>7.1999999999999995E-2</v>
      </c>
      <c r="AF22" s="135">
        <v>0.41</v>
      </c>
      <c r="AG22" s="135">
        <v>0</v>
      </c>
      <c r="AH22" s="135">
        <v>0</v>
      </c>
      <c r="AI22" s="135">
        <v>0</v>
      </c>
    </row>
    <row r="23" spans="1:35" customFormat="1" x14ac:dyDescent="0.15">
      <c r="A23" s="169" t="s">
        <v>213</v>
      </c>
      <c r="B23" s="135">
        <v>0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v>0</v>
      </c>
      <c r="I23" s="135">
        <v>0</v>
      </c>
      <c r="J23" s="135">
        <v>0</v>
      </c>
      <c r="K23" s="135">
        <v>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>
        <v>0</v>
      </c>
      <c r="AI23" s="135">
        <v>0</v>
      </c>
    </row>
    <row r="24" spans="1:35" customFormat="1" x14ac:dyDescent="0.15">
      <c r="A24" s="169" t="s">
        <v>214</v>
      </c>
      <c r="B24" s="135">
        <v>0</v>
      </c>
      <c r="C24" s="135">
        <v>0</v>
      </c>
      <c r="D24" s="135">
        <v>0</v>
      </c>
      <c r="E24" s="135">
        <v>0</v>
      </c>
      <c r="F24" s="135">
        <v>0</v>
      </c>
      <c r="G24" s="135">
        <v>0</v>
      </c>
      <c r="H24" s="135">
        <v>0</v>
      </c>
      <c r="I24" s="135">
        <v>0</v>
      </c>
      <c r="J24" s="135">
        <v>0</v>
      </c>
      <c r="K24" s="135">
        <v>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5">
        <v>0</v>
      </c>
      <c r="Z24" s="135">
        <v>0</v>
      </c>
      <c r="AA24" s="135">
        <v>5.5000000000000003E-4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>
        <v>0</v>
      </c>
      <c r="AI24" s="135">
        <v>0</v>
      </c>
    </row>
    <row r="25" spans="1:35" customFormat="1" x14ac:dyDescent="0.15">
      <c r="A25" s="169" t="s">
        <v>215</v>
      </c>
      <c r="B25" s="135">
        <v>0</v>
      </c>
      <c r="C25" s="135">
        <v>0</v>
      </c>
      <c r="D25" s="135">
        <v>0</v>
      </c>
      <c r="E25" s="135">
        <v>0</v>
      </c>
      <c r="F25" s="135">
        <v>0</v>
      </c>
      <c r="G25" s="135">
        <v>0</v>
      </c>
      <c r="H25" s="135">
        <v>0</v>
      </c>
      <c r="I25" s="135">
        <v>0</v>
      </c>
      <c r="J25" s="135">
        <v>0</v>
      </c>
      <c r="K25" s="135">
        <v>0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0.03</v>
      </c>
      <c r="U25" s="135">
        <v>0</v>
      </c>
      <c r="V25" s="135">
        <v>0</v>
      </c>
      <c r="W25" s="135">
        <v>4.8000000000000001E-4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5">
        <v>0</v>
      </c>
      <c r="AH25" s="135">
        <v>0</v>
      </c>
      <c r="AI25" s="135">
        <v>0</v>
      </c>
    </row>
    <row r="26" spans="1:35" customFormat="1" x14ac:dyDescent="0.15">
      <c r="A26" s="169" t="s">
        <v>216</v>
      </c>
      <c r="B26" s="135">
        <v>0</v>
      </c>
      <c r="C26" s="135">
        <v>0</v>
      </c>
      <c r="D26" s="135">
        <v>0</v>
      </c>
      <c r="E26" s="135">
        <v>0</v>
      </c>
      <c r="F26" s="135">
        <v>0</v>
      </c>
      <c r="G26" s="135">
        <v>0</v>
      </c>
      <c r="H26" s="135">
        <v>0</v>
      </c>
      <c r="I26" s="135">
        <v>0</v>
      </c>
      <c r="J26" s="135">
        <v>0</v>
      </c>
      <c r="K26" s="135">
        <v>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0.3</v>
      </c>
      <c r="V26" s="135">
        <v>0</v>
      </c>
      <c r="W26" s="135">
        <v>8.9999999999999993E-3</v>
      </c>
      <c r="X26" s="135">
        <v>0</v>
      </c>
      <c r="Y26" s="135">
        <v>0.32400000000000001</v>
      </c>
      <c r="Z26" s="135">
        <v>0.03</v>
      </c>
      <c r="AA26" s="135">
        <v>3.0000000000000001E-3</v>
      </c>
      <c r="AB26" s="135">
        <v>0</v>
      </c>
      <c r="AC26" s="135">
        <v>0</v>
      </c>
      <c r="AD26" s="135">
        <v>0</v>
      </c>
      <c r="AE26" s="135">
        <v>0</v>
      </c>
      <c r="AF26" s="135">
        <v>6.0000000000000001E-3</v>
      </c>
      <c r="AG26" s="135">
        <v>0</v>
      </c>
      <c r="AH26" s="135">
        <v>0</v>
      </c>
      <c r="AI26" s="135">
        <v>0</v>
      </c>
    </row>
    <row r="27" spans="1:35" customFormat="1" x14ac:dyDescent="0.15">
      <c r="A27" s="169" t="s">
        <v>217</v>
      </c>
      <c r="B27" s="135">
        <v>0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0.159</v>
      </c>
      <c r="U27" s="135">
        <v>0</v>
      </c>
      <c r="V27" s="135">
        <v>0</v>
      </c>
      <c r="W27" s="135">
        <v>7.0000000000000001E-3</v>
      </c>
      <c r="X27" s="135">
        <v>0</v>
      </c>
      <c r="Y27" s="135">
        <v>0</v>
      </c>
      <c r="Z27" s="135">
        <v>0</v>
      </c>
      <c r="AA27" s="135">
        <v>0.05</v>
      </c>
      <c r="AB27" s="135">
        <v>0</v>
      </c>
      <c r="AC27" s="135">
        <v>0</v>
      </c>
      <c r="AD27" s="135">
        <v>0</v>
      </c>
      <c r="AE27" s="135">
        <v>0</v>
      </c>
      <c r="AF27" s="135">
        <v>4.0000000000000001E-3</v>
      </c>
      <c r="AG27" s="135">
        <v>0</v>
      </c>
      <c r="AH27" s="135">
        <v>0</v>
      </c>
      <c r="AI27" s="135">
        <v>0</v>
      </c>
    </row>
    <row r="28" spans="1:35" customFormat="1" x14ac:dyDescent="0.15">
      <c r="A28" s="169" t="s">
        <v>218</v>
      </c>
      <c r="B28" s="135">
        <v>0</v>
      </c>
      <c r="C28" s="135">
        <v>0</v>
      </c>
      <c r="D28" s="135">
        <v>0</v>
      </c>
      <c r="E28" s="135">
        <v>0</v>
      </c>
      <c r="F28" s="135">
        <v>0</v>
      </c>
      <c r="G28" s="135">
        <v>0</v>
      </c>
      <c r="H28" s="135">
        <v>0</v>
      </c>
      <c r="I28" s="135">
        <v>0</v>
      </c>
      <c r="J28" s="135">
        <v>0</v>
      </c>
      <c r="K28" s="135">
        <v>0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5">
        <v>7.0000000000000007E-2</v>
      </c>
      <c r="S28" s="135">
        <v>0.25</v>
      </c>
      <c r="T28" s="135">
        <v>0.159</v>
      </c>
      <c r="U28" s="135">
        <v>0</v>
      </c>
      <c r="V28" s="135">
        <v>0</v>
      </c>
      <c r="W28" s="135">
        <v>0</v>
      </c>
      <c r="X28" s="135">
        <v>0</v>
      </c>
      <c r="Y28" s="135">
        <v>0.23300000000000001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5">
        <v>0</v>
      </c>
      <c r="AH28" s="135">
        <v>0</v>
      </c>
      <c r="AI28" s="135">
        <v>0</v>
      </c>
    </row>
    <row r="29" spans="1:35" customFormat="1" x14ac:dyDescent="0.15">
      <c r="A29" s="169" t="s">
        <v>219</v>
      </c>
      <c r="B29" s="135">
        <v>0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  <c r="W29" s="135">
        <v>2E-3</v>
      </c>
      <c r="X29" s="135">
        <v>0</v>
      </c>
      <c r="Y29" s="135">
        <v>0</v>
      </c>
      <c r="Z29" s="135">
        <v>0</v>
      </c>
      <c r="AA29" s="135">
        <v>0</v>
      </c>
      <c r="AB29" s="135">
        <v>0</v>
      </c>
      <c r="AC29" s="135">
        <v>0.11400000000000002</v>
      </c>
      <c r="AD29" s="135">
        <v>0</v>
      </c>
      <c r="AE29" s="135">
        <v>0</v>
      </c>
      <c r="AF29" s="135">
        <v>0</v>
      </c>
      <c r="AG29" s="135">
        <v>0</v>
      </c>
      <c r="AH29" s="135">
        <v>0</v>
      </c>
      <c r="AI29" s="135">
        <v>0</v>
      </c>
    </row>
    <row r="30" spans="1:35" customFormat="1" x14ac:dyDescent="0.15">
      <c r="A30" s="169" t="s">
        <v>220</v>
      </c>
      <c r="B30" s="135">
        <v>0</v>
      </c>
      <c r="C30" s="135">
        <v>0</v>
      </c>
      <c r="D30" s="135">
        <v>0</v>
      </c>
      <c r="E30" s="135">
        <v>0</v>
      </c>
      <c r="F30" s="135">
        <v>0</v>
      </c>
      <c r="G30" s="135">
        <v>0</v>
      </c>
      <c r="H30" s="135">
        <v>0</v>
      </c>
      <c r="I30" s="135">
        <v>0</v>
      </c>
      <c r="J30" s="135">
        <v>0</v>
      </c>
      <c r="K30" s="135">
        <v>0</v>
      </c>
      <c r="L30" s="135">
        <v>0</v>
      </c>
      <c r="M30" s="135">
        <v>0</v>
      </c>
      <c r="N30" s="135"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5">
        <v>0</v>
      </c>
      <c r="AH30" s="135">
        <v>0</v>
      </c>
      <c r="AI30" s="135">
        <v>0</v>
      </c>
    </row>
    <row r="31" spans="1:35" customFormat="1" x14ac:dyDescent="0.15">
      <c r="A31" s="169" t="s">
        <v>221</v>
      </c>
      <c r="B31" s="135">
        <v>0</v>
      </c>
      <c r="C31" s="135">
        <v>0</v>
      </c>
      <c r="D31" s="135">
        <v>0</v>
      </c>
      <c r="E31" s="135">
        <v>0</v>
      </c>
      <c r="F31" s="135">
        <v>0</v>
      </c>
      <c r="G31" s="135">
        <v>0</v>
      </c>
      <c r="H31" s="135">
        <v>0</v>
      </c>
      <c r="I31" s="135">
        <v>0</v>
      </c>
      <c r="J31" s="135">
        <v>0</v>
      </c>
      <c r="K31" s="135">
        <v>0</v>
      </c>
      <c r="L31" s="135">
        <v>0</v>
      </c>
      <c r="M31" s="135">
        <v>0</v>
      </c>
      <c r="N31" s="135"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5">
        <v>0</v>
      </c>
      <c r="AH31" s="135">
        <v>0</v>
      </c>
      <c r="AI31" s="135">
        <v>0</v>
      </c>
    </row>
    <row r="32" spans="1:35" customFormat="1" x14ac:dyDescent="0.15">
      <c r="A32" s="169" t="s">
        <v>222</v>
      </c>
      <c r="B32" s="135">
        <v>0</v>
      </c>
      <c r="C32" s="135">
        <v>0</v>
      </c>
      <c r="D32" s="135">
        <v>0</v>
      </c>
      <c r="E32" s="135">
        <v>0</v>
      </c>
      <c r="F32" s="135">
        <v>0</v>
      </c>
      <c r="G32" s="135">
        <v>0</v>
      </c>
      <c r="H32" s="135">
        <v>0</v>
      </c>
      <c r="I32" s="135">
        <v>0</v>
      </c>
      <c r="J32" s="135">
        <v>0</v>
      </c>
      <c r="K32" s="135">
        <v>0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5">
        <v>0</v>
      </c>
      <c r="AH32" s="135">
        <v>0</v>
      </c>
      <c r="AI32" s="135">
        <v>0</v>
      </c>
    </row>
    <row r="33" spans="1:35" customFormat="1" x14ac:dyDescent="0.15">
      <c r="A33" s="169" t="s">
        <v>223</v>
      </c>
      <c r="B33" s="135">
        <v>0</v>
      </c>
      <c r="C33" s="135">
        <v>0</v>
      </c>
      <c r="D33" s="135">
        <v>0</v>
      </c>
      <c r="E33" s="135">
        <v>0</v>
      </c>
      <c r="F33" s="135">
        <v>0</v>
      </c>
      <c r="G33" s="135">
        <v>0</v>
      </c>
      <c r="H33" s="135">
        <v>0</v>
      </c>
      <c r="I33" s="135">
        <v>0</v>
      </c>
      <c r="J33" s="135">
        <v>0</v>
      </c>
      <c r="K33" s="135">
        <v>0</v>
      </c>
      <c r="L33" s="135">
        <v>0</v>
      </c>
      <c r="M33" s="135">
        <v>0</v>
      </c>
      <c r="N33" s="135"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5">
        <v>0</v>
      </c>
      <c r="AH33" s="135">
        <v>0</v>
      </c>
      <c r="AI33" s="135">
        <v>0</v>
      </c>
    </row>
    <row r="34" spans="1:35" customFormat="1" x14ac:dyDescent="0.15">
      <c r="A34" s="169" t="s">
        <v>224</v>
      </c>
      <c r="B34" s="135">
        <v>0</v>
      </c>
      <c r="C34" s="135">
        <v>0</v>
      </c>
      <c r="D34" s="135">
        <v>0.4</v>
      </c>
      <c r="E34" s="135">
        <v>0</v>
      </c>
      <c r="F34" s="135">
        <v>0</v>
      </c>
      <c r="G34" s="135">
        <v>0.2</v>
      </c>
      <c r="H34" s="135">
        <v>0.8</v>
      </c>
      <c r="I34" s="135">
        <v>0</v>
      </c>
      <c r="J34" s="135">
        <v>0</v>
      </c>
      <c r="K34" s="135">
        <v>0</v>
      </c>
      <c r="L34" s="135">
        <v>0</v>
      </c>
      <c r="M34" s="135">
        <v>0</v>
      </c>
      <c r="N34" s="135">
        <v>0</v>
      </c>
      <c r="O34" s="135">
        <v>0.01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0.184</v>
      </c>
      <c r="Y34" s="135">
        <v>3.4000000000000002E-2</v>
      </c>
      <c r="Z34" s="135">
        <v>0</v>
      </c>
      <c r="AA34" s="135">
        <v>2.1000000000000001E-2</v>
      </c>
      <c r="AB34" s="135">
        <v>0</v>
      </c>
      <c r="AC34" s="135">
        <v>3.0000000000000005E-3</v>
      </c>
      <c r="AD34" s="135">
        <v>0</v>
      </c>
      <c r="AE34" s="135">
        <v>0</v>
      </c>
      <c r="AF34" s="135">
        <v>0</v>
      </c>
      <c r="AG34" s="135">
        <v>0</v>
      </c>
      <c r="AH34" s="135">
        <v>0</v>
      </c>
      <c r="AI34" s="135">
        <v>0</v>
      </c>
    </row>
    <row r="35" spans="1:35" customFormat="1" x14ac:dyDescent="0.15">
      <c r="A35" s="169" t="s">
        <v>225</v>
      </c>
      <c r="B35" s="135">
        <v>0</v>
      </c>
      <c r="C35" s="135">
        <v>0</v>
      </c>
      <c r="D35" s="135">
        <v>0</v>
      </c>
      <c r="E35" s="135">
        <v>0</v>
      </c>
      <c r="F35" s="135">
        <v>0</v>
      </c>
      <c r="G35" s="135">
        <v>0</v>
      </c>
      <c r="H35" s="135">
        <v>0</v>
      </c>
      <c r="I35" s="135">
        <v>0</v>
      </c>
      <c r="J35" s="135">
        <v>0</v>
      </c>
      <c r="K35" s="135">
        <v>0</v>
      </c>
      <c r="L35" s="135">
        <v>0</v>
      </c>
      <c r="M35" s="135">
        <v>0</v>
      </c>
      <c r="N35" s="135">
        <v>0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5">
        <v>0</v>
      </c>
      <c r="AH35" s="135">
        <v>0</v>
      </c>
      <c r="AI35" s="135">
        <v>0</v>
      </c>
    </row>
    <row r="36" spans="1:35" customFormat="1" x14ac:dyDescent="0.15">
      <c r="A36" s="169" t="s">
        <v>227</v>
      </c>
      <c r="B36" s="135">
        <v>0</v>
      </c>
      <c r="C36" s="135">
        <v>0</v>
      </c>
      <c r="D36" s="135">
        <v>0</v>
      </c>
      <c r="E36" s="135">
        <v>0</v>
      </c>
      <c r="F36" s="135">
        <v>0</v>
      </c>
      <c r="G36" s="135">
        <v>0</v>
      </c>
      <c r="H36" s="135">
        <v>0.13</v>
      </c>
      <c r="I36" s="135">
        <v>0</v>
      </c>
      <c r="J36" s="135">
        <v>0</v>
      </c>
      <c r="K36" s="135">
        <v>0</v>
      </c>
      <c r="L36" s="135">
        <v>0</v>
      </c>
      <c r="M36" s="135">
        <v>0.1</v>
      </c>
      <c r="N36" s="135">
        <v>0.05</v>
      </c>
      <c r="O36" s="135">
        <v>0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5">
        <v>0</v>
      </c>
      <c r="AG36" s="135">
        <v>0</v>
      </c>
      <c r="AH36" s="135">
        <v>0</v>
      </c>
      <c r="AI36" s="135">
        <v>0</v>
      </c>
    </row>
    <row r="37" spans="1:35" customFormat="1" x14ac:dyDescent="0.15"/>
    <row r="38" spans="1:35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6" customWidth="1"/>
    <col min="5" max="6" width="2.33203125" style="105" bestFit="1" customWidth="1"/>
    <col min="7" max="8" width="8.83203125" style="106"/>
  </cols>
  <sheetData>
    <row r="1" spans="1:8" ht="70" x14ac:dyDescent="0.15">
      <c r="A1" s="5" t="s">
        <v>20</v>
      </c>
      <c r="B1" s="1" t="s">
        <v>0</v>
      </c>
      <c r="C1" s="172" t="s">
        <v>224</v>
      </c>
      <c r="D1" s="172" t="s">
        <v>225</v>
      </c>
      <c r="E1" s="172" t="s">
        <v>228</v>
      </c>
      <c r="F1" s="172" t="s">
        <v>229</v>
      </c>
      <c r="G1"/>
      <c r="H1"/>
    </row>
    <row r="2" spans="1:8" x14ac:dyDescent="0.15">
      <c r="A2">
        <v>1</v>
      </c>
      <c r="B2" s="171" t="s">
        <v>192</v>
      </c>
      <c r="C2" s="106">
        <v>1</v>
      </c>
      <c r="D2" s="106">
        <v>0</v>
      </c>
      <c r="E2" s="105">
        <v>0</v>
      </c>
      <c r="F2" s="105">
        <v>1</v>
      </c>
      <c r="G2"/>
      <c r="H2"/>
    </row>
    <row r="3" spans="1:8" x14ac:dyDescent="0.15">
      <c r="A3">
        <v>2</v>
      </c>
      <c r="B3" s="171" t="s">
        <v>193</v>
      </c>
      <c r="C3" s="106">
        <v>1</v>
      </c>
      <c r="D3" s="106">
        <v>0</v>
      </c>
      <c r="E3" s="105">
        <v>0</v>
      </c>
      <c r="F3" s="105">
        <v>1</v>
      </c>
      <c r="G3"/>
      <c r="H3"/>
    </row>
    <row r="4" spans="1:8" x14ac:dyDescent="0.15">
      <c r="A4">
        <v>3</v>
      </c>
      <c r="B4" s="171" t="s">
        <v>194</v>
      </c>
      <c r="C4" s="106">
        <v>1</v>
      </c>
      <c r="D4" s="106">
        <v>0</v>
      </c>
      <c r="E4" s="105">
        <v>0</v>
      </c>
      <c r="F4" s="105">
        <v>1</v>
      </c>
      <c r="G4"/>
      <c r="H4"/>
    </row>
    <row r="5" spans="1:8" x14ac:dyDescent="0.15">
      <c r="A5">
        <v>4</v>
      </c>
      <c r="B5" s="171" t="s">
        <v>195</v>
      </c>
      <c r="C5" s="106">
        <v>1</v>
      </c>
      <c r="D5" s="106">
        <v>0</v>
      </c>
      <c r="E5" s="105">
        <v>0</v>
      </c>
      <c r="F5" s="105">
        <v>1</v>
      </c>
      <c r="G5"/>
      <c r="H5"/>
    </row>
    <row r="6" spans="1:8" x14ac:dyDescent="0.15">
      <c r="A6">
        <v>5</v>
      </c>
      <c r="B6" s="171" t="s">
        <v>196</v>
      </c>
      <c r="C6" s="106">
        <v>1</v>
      </c>
      <c r="D6" s="106">
        <v>0</v>
      </c>
      <c r="E6" s="105">
        <v>0</v>
      </c>
      <c r="F6" s="105">
        <v>1</v>
      </c>
      <c r="G6"/>
      <c r="H6"/>
    </row>
    <row r="7" spans="1:8" x14ac:dyDescent="0.15">
      <c r="A7">
        <v>6</v>
      </c>
      <c r="B7" s="171" t="s">
        <v>197</v>
      </c>
      <c r="C7" s="106">
        <v>1</v>
      </c>
      <c r="D7" s="106">
        <v>0</v>
      </c>
      <c r="E7" s="105">
        <v>0</v>
      </c>
      <c r="F7" s="105">
        <v>1</v>
      </c>
      <c r="G7"/>
      <c r="H7"/>
    </row>
    <row r="8" spans="1:8" x14ac:dyDescent="0.15">
      <c r="A8">
        <v>7</v>
      </c>
      <c r="B8" s="171" t="s">
        <v>198</v>
      </c>
      <c r="C8" s="106">
        <v>1</v>
      </c>
      <c r="D8" s="106">
        <v>0</v>
      </c>
      <c r="E8" s="105">
        <v>0</v>
      </c>
      <c r="F8" s="105">
        <v>1</v>
      </c>
      <c r="G8"/>
      <c r="H8"/>
    </row>
    <row r="9" spans="1:8" x14ac:dyDescent="0.15">
      <c r="A9">
        <v>8</v>
      </c>
      <c r="B9" s="171" t="s">
        <v>199</v>
      </c>
      <c r="C9" s="106">
        <v>1</v>
      </c>
      <c r="D9" s="106">
        <v>0</v>
      </c>
      <c r="E9" s="105">
        <v>0</v>
      </c>
      <c r="F9" s="105">
        <v>1</v>
      </c>
      <c r="G9"/>
      <c r="H9"/>
    </row>
    <row r="10" spans="1:8" x14ac:dyDescent="0.15">
      <c r="A10">
        <v>9</v>
      </c>
      <c r="B10" s="171" t="s">
        <v>200</v>
      </c>
      <c r="C10" s="106">
        <v>1</v>
      </c>
      <c r="D10" s="106">
        <v>0</v>
      </c>
      <c r="E10" s="105">
        <v>0</v>
      </c>
      <c r="F10" s="105">
        <v>1</v>
      </c>
      <c r="G10"/>
      <c r="H10"/>
    </row>
    <row r="11" spans="1:8" x14ac:dyDescent="0.15">
      <c r="A11">
        <v>10</v>
      </c>
      <c r="B11" s="171" t="s">
        <v>201</v>
      </c>
      <c r="C11" s="106">
        <v>1</v>
      </c>
      <c r="D11" s="106">
        <v>0</v>
      </c>
      <c r="E11" s="105">
        <v>0</v>
      </c>
      <c r="F11" s="105">
        <v>1</v>
      </c>
      <c r="G11"/>
      <c r="H11"/>
    </row>
    <row r="12" spans="1:8" x14ac:dyDescent="0.15">
      <c r="A12">
        <v>11</v>
      </c>
      <c r="B12" s="171" t="s">
        <v>202</v>
      </c>
      <c r="C12" s="106">
        <v>1</v>
      </c>
      <c r="D12" s="106">
        <v>0</v>
      </c>
      <c r="E12" s="105">
        <v>0</v>
      </c>
      <c r="F12" s="105">
        <v>1</v>
      </c>
      <c r="G12"/>
      <c r="H12"/>
    </row>
    <row r="13" spans="1:8" x14ac:dyDescent="0.15">
      <c r="A13">
        <v>12</v>
      </c>
      <c r="B13" s="171" t="s">
        <v>203</v>
      </c>
      <c r="C13" s="106">
        <v>1</v>
      </c>
      <c r="D13" s="106">
        <v>0</v>
      </c>
      <c r="E13" s="105">
        <v>0</v>
      </c>
      <c r="F13" s="105">
        <v>1</v>
      </c>
      <c r="G13"/>
      <c r="H13"/>
    </row>
    <row r="14" spans="1:8" x14ac:dyDescent="0.15">
      <c r="A14">
        <v>13</v>
      </c>
      <c r="B14" s="171" t="s">
        <v>204</v>
      </c>
      <c r="C14" s="106">
        <v>1</v>
      </c>
      <c r="D14" s="106">
        <v>0</v>
      </c>
      <c r="E14" s="105">
        <v>0</v>
      </c>
      <c r="F14" s="105">
        <v>1</v>
      </c>
      <c r="G14"/>
      <c r="H14"/>
    </row>
    <row r="15" spans="1:8" x14ac:dyDescent="0.15">
      <c r="A15">
        <v>14</v>
      </c>
      <c r="B15" s="171" t="s">
        <v>205</v>
      </c>
      <c r="C15" s="106">
        <v>1</v>
      </c>
      <c r="D15" s="106">
        <v>0</v>
      </c>
      <c r="E15" s="105">
        <v>0</v>
      </c>
      <c r="F15" s="105">
        <v>1</v>
      </c>
      <c r="G15"/>
      <c r="H15"/>
    </row>
    <row r="16" spans="1:8" x14ac:dyDescent="0.15">
      <c r="A16">
        <v>15</v>
      </c>
      <c r="B16" s="171" t="s">
        <v>206</v>
      </c>
      <c r="C16" s="106">
        <v>1</v>
      </c>
      <c r="D16" s="106">
        <v>0</v>
      </c>
      <c r="E16" s="105">
        <v>0</v>
      </c>
      <c r="F16" s="105">
        <v>1</v>
      </c>
      <c r="G16"/>
      <c r="H16"/>
    </row>
    <row r="17" spans="1:8" ht="15" customHeight="1" x14ac:dyDescent="0.15">
      <c r="A17">
        <v>16</v>
      </c>
      <c r="B17" s="171" t="s">
        <v>207</v>
      </c>
      <c r="C17" s="106">
        <v>1</v>
      </c>
      <c r="D17" s="106">
        <v>0</v>
      </c>
      <c r="E17" s="105">
        <v>0</v>
      </c>
      <c r="F17" s="105">
        <v>1</v>
      </c>
      <c r="G17"/>
      <c r="H17"/>
    </row>
    <row r="18" spans="1:8" ht="15" customHeight="1" x14ac:dyDescent="0.15">
      <c r="A18">
        <v>17</v>
      </c>
      <c r="B18" s="171" t="s">
        <v>208</v>
      </c>
      <c r="C18" s="106">
        <v>1</v>
      </c>
      <c r="D18" s="106">
        <v>0</v>
      </c>
      <c r="E18" s="105">
        <v>0</v>
      </c>
      <c r="F18" s="105">
        <v>1</v>
      </c>
      <c r="G18"/>
      <c r="H18"/>
    </row>
    <row r="19" spans="1:8" ht="15" customHeight="1" x14ac:dyDescent="0.15">
      <c r="A19">
        <v>18</v>
      </c>
      <c r="B19" s="171" t="s">
        <v>209</v>
      </c>
      <c r="C19" s="106">
        <v>1</v>
      </c>
      <c r="D19" s="106">
        <v>0</v>
      </c>
      <c r="E19" s="105">
        <v>0</v>
      </c>
      <c r="F19" s="105">
        <v>1</v>
      </c>
      <c r="G19"/>
      <c r="H19"/>
    </row>
    <row r="20" spans="1:8" ht="15" customHeight="1" x14ac:dyDescent="0.15">
      <c r="A20">
        <v>19</v>
      </c>
      <c r="B20" s="171" t="s">
        <v>210</v>
      </c>
      <c r="C20" s="106">
        <v>1</v>
      </c>
      <c r="D20" s="106">
        <v>0</v>
      </c>
      <c r="E20" s="105">
        <v>0</v>
      </c>
      <c r="F20" s="105">
        <v>1</v>
      </c>
      <c r="G20"/>
      <c r="H20"/>
    </row>
    <row r="21" spans="1:8" ht="15" customHeight="1" x14ac:dyDescent="0.15">
      <c r="A21">
        <v>20</v>
      </c>
      <c r="B21" s="171" t="s">
        <v>211</v>
      </c>
      <c r="C21" s="106">
        <v>1</v>
      </c>
      <c r="D21" s="106">
        <v>0</v>
      </c>
      <c r="E21" s="105">
        <v>0</v>
      </c>
      <c r="F21" s="105">
        <v>1</v>
      </c>
      <c r="G21"/>
      <c r="H21"/>
    </row>
    <row r="22" spans="1:8" ht="15" customHeight="1" x14ac:dyDescent="0.15">
      <c r="A22">
        <v>21</v>
      </c>
      <c r="B22" s="171" t="s">
        <v>212</v>
      </c>
      <c r="C22" s="106">
        <v>1</v>
      </c>
      <c r="D22" s="106">
        <v>0</v>
      </c>
      <c r="E22" s="105">
        <v>0</v>
      </c>
      <c r="F22" s="105">
        <v>1</v>
      </c>
      <c r="G22"/>
      <c r="H22"/>
    </row>
    <row r="23" spans="1:8" ht="15" customHeight="1" x14ac:dyDescent="0.15">
      <c r="A23">
        <v>22</v>
      </c>
      <c r="B23" s="171" t="s">
        <v>213</v>
      </c>
      <c r="C23" s="106">
        <v>1</v>
      </c>
      <c r="D23" s="106">
        <v>0</v>
      </c>
      <c r="E23" s="105">
        <v>0</v>
      </c>
      <c r="F23" s="105">
        <v>1</v>
      </c>
      <c r="G23"/>
      <c r="H23"/>
    </row>
    <row r="24" spans="1:8" ht="15" customHeight="1" x14ac:dyDescent="0.15">
      <c r="A24">
        <v>23</v>
      </c>
      <c r="B24" s="171" t="s">
        <v>214</v>
      </c>
      <c r="C24" s="106">
        <v>1</v>
      </c>
      <c r="D24" s="106">
        <v>0</v>
      </c>
      <c r="E24" s="105">
        <v>0</v>
      </c>
      <c r="F24" s="105">
        <v>1</v>
      </c>
      <c r="G24"/>
      <c r="H24"/>
    </row>
    <row r="25" spans="1:8" ht="15" customHeight="1" x14ac:dyDescent="0.15">
      <c r="A25">
        <v>24</v>
      </c>
      <c r="B25" s="171" t="s">
        <v>215</v>
      </c>
      <c r="C25" s="106">
        <v>1</v>
      </c>
      <c r="D25" s="106">
        <v>0</v>
      </c>
      <c r="E25" s="105">
        <v>0</v>
      </c>
      <c r="F25" s="105">
        <v>1</v>
      </c>
      <c r="G25"/>
      <c r="H25"/>
    </row>
    <row r="26" spans="1:8" ht="15" customHeight="1" x14ac:dyDescent="0.15">
      <c r="A26">
        <v>25</v>
      </c>
      <c r="B26" s="171" t="s">
        <v>216</v>
      </c>
      <c r="C26" s="106">
        <v>1</v>
      </c>
      <c r="D26" s="106">
        <v>0</v>
      </c>
      <c r="E26" s="105">
        <v>0</v>
      </c>
      <c r="F26" s="105">
        <v>1</v>
      </c>
      <c r="G26"/>
      <c r="H26"/>
    </row>
    <row r="27" spans="1:8" ht="15" customHeight="1" x14ac:dyDescent="0.15">
      <c r="A27">
        <v>26</v>
      </c>
      <c r="B27" s="171" t="s">
        <v>217</v>
      </c>
      <c r="C27" s="106">
        <v>1</v>
      </c>
      <c r="D27" s="106">
        <v>0</v>
      </c>
      <c r="E27" s="105">
        <v>0</v>
      </c>
      <c r="F27" s="105">
        <v>1</v>
      </c>
      <c r="G27"/>
      <c r="H27"/>
    </row>
    <row r="28" spans="1:8" ht="15" customHeight="1" x14ac:dyDescent="0.15">
      <c r="A28">
        <v>27</v>
      </c>
      <c r="B28" s="171" t="s">
        <v>218</v>
      </c>
      <c r="C28" s="106">
        <v>1</v>
      </c>
      <c r="D28" s="106">
        <v>0</v>
      </c>
      <c r="E28" s="105">
        <v>0</v>
      </c>
      <c r="F28" s="105">
        <v>1</v>
      </c>
      <c r="G28"/>
      <c r="H28"/>
    </row>
    <row r="29" spans="1:8" ht="15" customHeight="1" x14ac:dyDescent="0.15">
      <c r="A29">
        <v>28</v>
      </c>
      <c r="B29" s="171" t="s">
        <v>219</v>
      </c>
      <c r="C29" s="106">
        <v>1</v>
      </c>
      <c r="D29" s="106">
        <v>0</v>
      </c>
      <c r="E29" s="105">
        <v>0</v>
      </c>
      <c r="F29" s="105">
        <v>1</v>
      </c>
      <c r="G29"/>
      <c r="H29"/>
    </row>
    <row r="30" spans="1:8" ht="15" customHeight="1" x14ac:dyDescent="0.15">
      <c r="A30">
        <v>29</v>
      </c>
      <c r="B30" s="171" t="s">
        <v>220</v>
      </c>
      <c r="C30" s="106">
        <v>1</v>
      </c>
      <c r="D30" s="106">
        <v>0</v>
      </c>
      <c r="E30" s="105">
        <v>0</v>
      </c>
      <c r="F30" s="105">
        <v>1</v>
      </c>
      <c r="G30"/>
      <c r="H30"/>
    </row>
    <row r="31" spans="1:8" ht="15" customHeight="1" x14ac:dyDescent="0.15">
      <c r="A31">
        <v>30</v>
      </c>
      <c r="B31" s="171" t="s">
        <v>221</v>
      </c>
      <c r="C31" s="106">
        <v>1</v>
      </c>
      <c r="D31" s="106">
        <v>0</v>
      </c>
      <c r="E31" s="105">
        <v>0</v>
      </c>
      <c r="F31" s="105">
        <v>1</v>
      </c>
      <c r="G31"/>
      <c r="H31"/>
    </row>
    <row r="32" spans="1:8" ht="15" customHeight="1" x14ac:dyDescent="0.15">
      <c r="A32">
        <v>31</v>
      </c>
      <c r="B32" s="171" t="s">
        <v>222</v>
      </c>
      <c r="C32" s="106">
        <v>1</v>
      </c>
      <c r="D32" s="106">
        <v>0</v>
      </c>
      <c r="E32" s="105">
        <v>0</v>
      </c>
      <c r="F32" s="105">
        <v>1</v>
      </c>
    </row>
    <row r="33" spans="1:8" ht="15" customHeight="1" x14ac:dyDescent="0.15">
      <c r="A33">
        <v>32</v>
      </c>
      <c r="B33" s="171" t="s">
        <v>223</v>
      </c>
      <c r="C33" s="106">
        <v>1</v>
      </c>
      <c r="D33" s="106">
        <v>0</v>
      </c>
      <c r="E33" s="105">
        <v>0</v>
      </c>
      <c r="F33" s="105">
        <v>1</v>
      </c>
    </row>
    <row r="34" spans="1:8" ht="15" customHeight="1" x14ac:dyDescent="0.15">
      <c r="A34">
        <v>33</v>
      </c>
      <c r="B34" s="171" t="s">
        <v>224</v>
      </c>
      <c r="C34" s="106">
        <v>0</v>
      </c>
      <c r="D34" s="106">
        <v>1</v>
      </c>
      <c r="E34" s="105">
        <v>0</v>
      </c>
      <c r="F34" s="105">
        <v>1</v>
      </c>
    </row>
    <row r="35" spans="1:8" ht="15" customHeight="1" x14ac:dyDescent="0.15">
      <c r="A35">
        <v>34</v>
      </c>
      <c r="B35" s="171" t="s">
        <v>225</v>
      </c>
      <c r="C35" s="106">
        <v>0</v>
      </c>
      <c r="D35" s="106">
        <v>0</v>
      </c>
      <c r="E35" s="105">
        <v>1</v>
      </c>
      <c r="F35" s="105">
        <v>1</v>
      </c>
    </row>
    <row r="36" spans="1:8" ht="15" customHeight="1" x14ac:dyDescent="0.15">
      <c r="A36">
        <v>35</v>
      </c>
      <c r="B36" s="171" t="s">
        <v>226</v>
      </c>
      <c r="C36" s="106">
        <v>0</v>
      </c>
      <c r="D36" s="106">
        <v>1</v>
      </c>
      <c r="E36" s="106">
        <v>0</v>
      </c>
      <c r="F36" s="106">
        <v>1</v>
      </c>
      <c r="G36"/>
      <c r="H36"/>
    </row>
    <row r="37" spans="1:8" ht="15" customHeight="1" x14ac:dyDescent="0.15">
      <c r="C37"/>
      <c r="D37"/>
      <c r="E37" s="106"/>
      <c r="F37" s="106"/>
      <c r="G37"/>
      <c r="H37"/>
    </row>
    <row r="38" spans="1:8" ht="15" customHeight="1" x14ac:dyDescent="0.15">
      <c r="C38"/>
      <c r="D38"/>
      <c r="E38" s="106"/>
      <c r="F38" s="106"/>
      <c r="G38"/>
      <c r="H38"/>
    </row>
    <row r="39" spans="1:8" ht="15" customHeight="1" x14ac:dyDescent="0.15">
      <c r="C39"/>
      <c r="D39"/>
      <c r="E39" s="106"/>
      <c r="F39" s="106"/>
      <c r="G39"/>
      <c r="H39"/>
    </row>
    <row r="40" spans="1:8" ht="15" customHeight="1" x14ac:dyDescent="0.15">
      <c r="C40"/>
      <c r="D40"/>
      <c r="E40" s="106"/>
      <c r="F40" s="106"/>
      <c r="G40"/>
      <c r="H40"/>
    </row>
    <row r="41" spans="1:8" ht="15" customHeight="1" x14ac:dyDescent="0.15">
      <c r="C41"/>
      <c r="D41"/>
      <c r="E41" s="106"/>
      <c r="F41" s="106"/>
      <c r="G41"/>
      <c r="H41"/>
    </row>
    <row r="42" spans="1:8" ht="15" customHeight="1" x14ac:dyDescent="0.15">
      <c r="C42"/>
      <c r="D42"/>
      <c r="E42" s="106"/>
      <c r="F42" s="106"/>
      <c r="G42"/>
      <c r="H42"/>
    </row>
    <row r="43" spans="1:8" ht="15" customHeight="1" x14ac:dyDescent="0.15">
      <c r="C43"/>
      <c r="D43"/>
      <c r="E43" s="106"/>
      <c r="F43" s="106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6"/>
      <c r="F46" s="106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bestFit="1" customWidth="1"/>
    <col min="3" max="4" width="6.83203125" bestFit="1" customWidth="1"/>
    <col min="5" max="5" width="12.1640625" bestFit="1" customWidth="1"/>
  </cols>
  <sheetData>
    <row r="1" spans="1:5" s="107" customFormat="1" ht="112" x14ac:dyDescent="0.15">
      <c r="A1" s="5" t="s">
        <v>21</v>
      </c>
      <c r="B1" s="3" t="s">
        <v>0</v>
      </c>
      <c r="C1" s="174" t="s">
        <v>226</v>
      </c>
      <c r="D1" s="174" t="s">
        <v>230</v>
      </c>
      <c r="E1"/>
    </row>
    <row r="2" spans="1:5" ht="15" customHeight="1" x14ac:dyDescent="0.15">
      <c r="A2">
        <v>1</v>
      </c>
      <c r="B2" s="173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3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3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3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3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3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3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73" t="s">
        <v>199</v>
      </c>
      <c r="C9">
        <v>7.9690000000000003</v>
      </c>
      <c r="D9">
        <v>7.9690000000000003</v>
      </c>
    </row>
    <row r="10" spans="1:5" ht="15" customHeight="1" x14ac:dyDescent="0.15">
      <c r="A10">
        <v>9</v>
      </c>
      <c r="B10" s="173" t="s">
        <v>200</v>
      </c>
      <c r="C10">
        <v>30.474</v>
      </c>
      <c r="D10">
        <v>30.474</v>
      </c>
    </row>
    <row r="11" spans="1:5" ht="15" customHeight="1" x14ac:dyDescent="0.15">
      <c r="A11">
        <v>10</v>
      </c>
      <c r="B11" s="173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3" t="s">
        <v>202</v>
      </c>
      <c r="C12">
        <v>0.186</v>
      </c>
      <c r="D12">
        <v>0.186</v>
      </c>
    </row>
    <row r="13" spans="1:5" ht="15" customHeight="1" x14ac:dyDescent="0.15">
      <c r="A13">
        <v>12</v>
      </c>
      <c r="B13" s="173" t="s">
        <v>203</v>
      </c>
      <c r="C13">
        <v>5.5E-2</v>
      </c>
      <c r="D13">
        <v>5.5E-2</v>
      </c>
    </row>
    <row r="14" spans="1:5" ht="15" customHeight="1" x14ac:dyDescent="0.15">
      <c r="A14">
        <v>13</v>
      </c>
      <c r="B14" s="173" t="s">
        <v>204</v>
      </c>
      <c r="C14">
        <v>0.68799999999999994</v>
      </c>
      <c r="D14">
        <v>0.68799999999999994</v>
      </c>
    </row>
    <row r="15" spans="1:5" ht="15" customHeight="1" x14ac:dyDescent="0.15">
      <c r="A15">
        <v>14</v>
      </c>
      <c r="B15" s="173" t="s">
        <v>205</v>
      </c>
      <c r="C15">
        <v>1.4510000000000001</v>
      </c>
      <c r="D15">
        <v>1.4510000000000001</v>
      </c>
    </row>
    <row r="16" spans="1:5" ht="15" customHeight="1" x14ac:dyDescent="0.15">
      <c r="A16">
        <v>15</v>
      </c>
      <c r="B16" s="173" t="s">
        <v>206</v>
      </c>
      <c r="C16">
        <v>9.6000000000000002E-2</v>
      </c>
      <c r="D16">
        <v>9.6000000000000002E-2</v>
      </c>
    </row>
    <row r="17" spans="1:4" ht="15" customHeight="1" x14ac:dyDescent="0.15">
      <c r="A17">
        <v>16</v>
      </c>
      <c r="B17" s="173" t="s">
        <v>207</v>
      </c>
      <c r="C17">
        <v>0.25</v>
      </c>
      <c r="D17">
        <v>0.25</v>
      </c>
    </row>
    <row r="18" spans="1:4" ht="15" customHeight="1" x14ac:dyDescent="0.15">
      <c r="A18">
        <v>17</v>
      </c>
      <c r="B18" s="173" t="s">
        <v>208</v>
      </c>
      <c r="C18">
        <v>0.97499999999999998</v>
      </c>
      <c r="D18">
        <v>0.97499999999999998</v>
      </c>
    </row>
    <row r="19" spans="1:4" ht="15" customHeight="1" x14ac:dyDescent="0.15">
      <c r="A19">
        <v>18</v>
      </c>
      <c r="B19" s="173" t="s">
        <v>209</v>
      </c>
      <c r="C19">
        <v>0.218</v>
      </c>
      <c r="D19">
        <v>0.218</v>
      </c>
    </row>
    <row r="20" spans="1:4" ht="15" customHeight="1" x14ac:dyDescent="0.15">
      <c r="A20">
        <v>19</v>
      </c>
      <c r="B20" s="173" t="s">
        <v>210</v>
      </c>
      <c r="C20">
        <v>1.7000000000000001E-2</v>
      </c>
      <c r="D20">
        <v>1.7000000000000001E-2</v>
      </c>
    </row>
    <row r="21" spans="1:4" ht="15" customHeight="1" x14ac:dyDescent="0.15">
      <c r="A21">
        <v>20</v>
      </c>
      <c r="B21" s="173" t="s">
        <v>211</v>
      </c>
      <c r="C21">
        <v>6.0000000000000001E-3</v>
      </c>
      <c r="D21">
        <v>6.0000000000000001E-3</v>
      </c>
    </row>
    <row r="22" spans="1:4" ht="15" customHeight="1" x14ac:dyDescent="0.15">
      <c r="A22">
        <v>21</v>
      </c>
      <c r="B22" s="173" t="s">
        <v>212</v>
      </c>
      <c r="C22">
        <v>1.9E-2</v>
      </c>
      <c r="D22">
        <v>1.9E-2</v>
      </c>
    </row>
    <row r="23" spans="1:4" ht="15" customHeight="1" x14ac:dyDescent="0.15">
      <c r="A23">
        <v>22</v>
      </c>
      <c r="B23" s="173" t="s">
        <v>213</v>
      </c>
      <c r="C23">
        <v>3.1E-2</v>
      </c>
      <c r="D23">
        <v>3.1E-2</v>
      </c>
    </row>
    <row r="24" spans="1:4" ht="15" customHeight="1" x14ac:dyDescent="0.15">
      <c r="A24">
        <v>23</v>
      </c>
      <c r="B24" s="173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3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3" t="s">
        <v>216</v>
      </c>
      <c r="C26">
        <v>0.125</v>
      </c>
      <c r="D26">
        <v>0.125</v>
      </c>
    </row>
    <row r="27" spans="1:4" ht="15" customHeight="1" x14ac:dyDescent="0.15">
      <c r="A27">
        <v>26</v>
      </c>
      <c r="B27" s="173" t="s">
        <v>217</v>
      </c>
      <c r="C27">
        <v>6.7000000000000004E-2</v>
      </c>
      <c r="D27">
        <v>6.7000000000000004E-2</v>
      </c>
    </row>
    <row r="28" spans="1:4" ht="15" customHeight="1" x14ac:dyDescent="0.15">
      <c r="A28">
        <v>27</v>
      </c>
      <c r="B28" s="173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3" t="s">
        <v>219</v>
      </c>
      <c r="C29">
        <v>6.8000000000000005E-2</v>
      </c>
      <c r="D29">
        <v>6.8000000000000005E-2</v>
      </c>
    </row>
    <row r="30" spans="1:4" ht="15" customHeight="1" x14ac:dyDescent="0.15">
      <c r="A30">
        <v>29</v>
      </c>
      <c r="B30" s="173" t="s">
        <v>220</v>
      </c>
      <c r="C30">
        <v>7.0000000000000001E-3</v>
      </c>
      <c r="D30">
        <v>7.0000000000000001E-3</v>
      </c>
    </row>
    <row r="31" spans="1:4" ht="15" customHeight="1" x14ac:dyDescent="0.15">
      <c r="A31">
        <v>30</v>
      </c>
      <c r="B31" s="173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3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3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3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3" t="s">
        <v>225</v>
      </c>
      <c r="C35">
        <v>0</v>
      </c>
      <c r="D35">
        <v>0</v>
      </c>
    </row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bestFit="1" customWidth="1"/>
    <col min="3" max="4" width="2.33203125" bestFit="1" customWidth="1"/>
    <col min="5" max="5" width="12.1640625" bestFit="1" customWidth="1"/>
  </cols>
  <sheetData>
    <row r="1" spans="1:4" s="107" customFormat="1" ht="112" x14ac:dyDescent="0.15">
      <c r="A1" s="5" t="s">
        <v>22</v>
      </c>
      <c r="B1" s="3" t="s">
        <v>0</v>
      </c>
      <c r="C1" s="176" t="s">
        <v>226</v>
      </c>
      <c r="D1" s="176" t="s">
        <v>230</v>
      </c>
    </row>
    <row r="2" spans="1:4" x14ac:dyDescent="0.15">
      <c r="A2">
        <v>1</v>
      </c>
      <c r="B2" s="175" t="s">
        <v>192</v>
      </c>
      <c r="C2">
        <v>0</v>
      </c>
      <c r="D2">
        <v>0</v>
      </c>
    </row>
    <row r="3" spans="1:4" x14ac:dyDescent="0.15">
      <c r="A3">
        <v>2</v>
      </c>
      <c r="B3" s="175" t="s">
        <v>193</v>
      </c>
      <c r="C3">
        <v>0</v>
      </c>
      <c r="D3">
        <v>0</v>
      </c>
    </row>
    <row r="4" spans="1:4" x14ac:dyDescent="0.15">
      <c r="A4">
        <v>3</v>
      </c>
      <c r="B4" s="175" t="s">
        <v>194</v>
      </c>
      <c r="C4">
        <v>0</v>
      </c>
      <c r="D4">
        <v>0</v>
      </c>
    </row>
    <row r="5" spans="1:4" x14ac:dyDescent="0.15">
      <c r="A5">
        <v>4</v>
      </c>
      <c r="B5" s="175" t="s">
        <v>195</v>
      </c>
      <c r="C5">
        <v>0</v>
      </c>
      <c r="D5">
        <v>0</v>
      </c>
    </row>
    <row r="6" spans="1:4" x14ac:dyDescent="0.15">
      <c r="A6">
        <v>5</v>
      </c>
      <c r="B6" s="175" t="s">
        <v>196</v>
      </c>
      <c r="C6">
        <v>0</v>
      </c>
      <c r="D6">
        <v>0</v>
      </c>
    </row>
    <row r="7" spans="1:4" x14ac:dyDescent="0.15">
      <c r="A7">
        <v>6</v>
      </c>
      <c r="B7" s="175" t="s">
        <v>197</v>
      </c>
      <c r="C7">
        <v>0</v>
      </c>
      <c r="D7">
        <v>0</v>
      </c>
    </row>
    <row r="8" spans="1:4" x14ac:dyDescent="0.15">
      <c r="A8">
        <v>7</v>
      </c>
      <c r="B8" s="175" t="s">
        <v>198</v>
      </c>
      <c r="C8">
        <v>0</v>
      </c>
      <c r="D8">
        <v>0</v>
      </c>
    </row>
    <row r="9" spans="1:4" x14ac:dyDescent="0.15">
      <c r="A9">
        <v>8</v>
      </c>
      <c r="B9" s="175" t="s">
        <v>199</v>
      </c>
      <c r="C9">
        <v>0</v>
      </c>
      <c r="D9">
        <v>0</v>
      </c>
    </row>
    <row r="10" spans="1:4" x14ac:dyDescent="0.15">
      <c r="A10">
        <v>9</v>
      </c>
      <c r="B10" s="175" t="s">
        <v>200</v>
      </c>
      <c r="C10">
        <v>0</v>
      </c>
      <c r="D10">
        <v>0</v>
      </c>
    </row>
    <row r="11" spans="1:4" x14ac:dyDescent="0.15">
      <c r="A11">
        <v>10</v>
      </c>
      <c r="B11" s="175" t="s">
        <v>201</v>
      </c>
      <c r="C11">
        <v>0</v>
      </c>
      <c r="D11">
        <v>0</v>
      </c>
    </row>
    <row r="12" spans="1:4" x14ac:dyDescent="0.15">
      <c r="A12">
        <v>11</v>
      </c>
      <c r="B12" s="175" t="s">
        <v>202</v>
      </c>
      <c r="C12">
        <v>0</v>
      </c>
      <c r="D12">
        <v>0</v>
      </c>
    </row>
    <row r="13" spans="1:4" x14ac:dyDescent="0.15">
      <c r="A13">
        <v>12</v>
      </c>
      <c r="B13" s="175" t="s">
        <v>203</v>
      </c>
      <c r="C13">
        <v>0</v>
      </c>
      <c r="D13">
        <v>0</v>
      </c>
    </row>
    <row r="14" spans="1:4" x14ac:dyDescent="0.15">
      <c r="A14">
        <v>13</v>
      </c>
      <c r="B14" s="175" t="s">
        <v>204</v>
      </c>
      <c r="C14">
        <v>0</v>
      </c>
      <c r="D14">
        <v>0</v>
      </c>
    </row>
    <row r="15" spans="1:4" x14ac:dyDescent="0.15">
      <c r="A15">
        <v>14</v>
      </c>
      <c r="B15" s="175" t="s">
        <v>205</v>
      </c>
      <c r="C15">
        <v>0</v>
      </c>
      <c r="D15">
        <v>0</v>
      </c>
    </row>
    <row r="16" spans="1:4" x14ac:dyDescent="0.15">
      <c r="A16">
        <v>15</v>
      </c>
      <c r="B16" s="175" t="s">
        <v>206</v>
      </c>
      <c r="C16">
        <v>0</v>
      </c>
      <c r="D16">
        <v>0</v>
      </c>
    </row>
    <row r="17" spans="1:4" x14ac:dyDescent="0.15">
      <c r="A17">
        <v>16</v>
      </c>
      <c r="B17" s="175" t="s">
        <v>207</v>
      </c>
      <c r="C17">
        <v>0</v>
      </c>
      <c r="D17">
        <v>0</v>
      </c>
    </row>
    <row r="18" spans="1:4" x14ac:dyDescent="0.15">
      <c r="A18">
        <v>17</v>
      </c>
      <c r="B18" s="175" t="s">
        <v>208</v>
      </c>
      <c r="C18">
        <v>0</v>
      </c>
      <c r="D18">
        <v>0</v>
      </c>
    </row>
    <row r="19" spans="1:4" x14ac:dyDescent="0.15">
      <c r="A19">
        <v>18</v>
      </c>
      <c r="B19" s="175" t="s">
        <v>209</v>
      </c>
      <c r="C19">
        <v>0</v>
      </c>
      <c r="D19">
        <v>0</v>
      </c>
    </row>
    <row r="20" spans="1:4" x14ac:dyDescent="0.15">
      <c r="A20">
        <v>19</v>
      </c>
      <c r="B20" s="175" t="s">
        <v>210</v>
      </c>
      <c r="C20">
        <v>0</v>
      </c>
      <c r="D20">
        <v>0</v>
      </c>
    </row>
    <row r="21" spans="1:4" x14ac:dyDescent="0.15">
      <c r="A21">
        <v>20</v>
      </c>
      <c r="B21" s="175" t="s">
        <v>211</v>
      </c>
      <c r="C21">
        <v>0</v>
      </c>
      <c r="D21">
        <v>0</v>
      </c>
    </row>
    <row r="22" spans="1:4" x14ac:dyDescent="0.15">
      <c r="A22">
        <v>21</v>
      </c>
      <c r="B22" s="175" t="s">
        <v>212</v>
      </c>
      <c r="C22">
        <v>0</v>
      </c>
      <c r="D22">
        <v>0</v>
      </c>
    </row>
    <row r="23" spans="1:4" x14ac:dyDescent="0.15">
      <c r="A23">
        <v>22</v>
      </c>
      <c r="B23" s="175" t="s">
        <v>213</v>
      </c>
      <c r="C23">
        <v>0</v>
      </c>
      <c r="D23">
        <v>0</v>
      </c>
    </row>
    <row r="24" spans="1:4" x14ac:dyDescent="0.15">
      <c r="A24">
        <v>23</v>
      </c>
      <c r="B24" s="175" t="s">
        <v>214</v>
      </c>
      <c r="C24">
        <v>0</v>
      </c>
      <c r="D24">
        <v>0</v>
      </c>
    </row>
    <row r="25" spans="1:4" x14ac:dyDescent="0.15">
      <c r="A25">
        <v>24</v>
      </c>
      <c r="B25" s="175" t="s">
        <v>215</v>
      </c>
      <c r="C25">
        <v>0</v>
      </c>
      <c r="D25">
        <v>0</v>
      </c>
    </row>
    <row r="26" spans="1:4" x14ac:dyDescent="0.15">
      <c r="A26">
        <v>25</v>
      </c>
      <c r="B26" s="175" t="s">
        <v>216</v>
      </c>
      <c r="C26">
        <v>0</v>
      </c>
      <c r="D26">
        <v>0</v>
      </c>
    </row>
    <row r="27" spans="1:4" x14ac:dyDescent="0.15">
      <c r="A27">
        <v>26</v>
      </c>
      <c r="B27" s="175" t="s">
        <v>217</v>
      </c>
      <c r="C27">
        <v>0</v>
      </c>
      <c r="D27">
        <v>0</v>
      </c>
    </row>
    <row r="28" spans="1:4" x14ac:dyDescent="0.15">
      <c r="A28">
        <v>27</v>
      </c>
      <c r="B28" s="175" t="s">
        <v>218</v>
      </c>
      <c r="C28">
        <v>0</v>
      </c>
      <c r="D28">
        <v>0</v>
      </c>
    </row>
    <row r="29" spans="1:4" x14ac:dyDescent="0.15">
      <c r="A29">
        <v>28</v>
      </c>
      <c r="B29" s="175" t="s">
        <v>219</v>
      </c>
      <c r="C29">
        <v>0</v>
      </c>
      <c r="D29">
        <v>0</v>
      </c>
    </row>
    <row r="30" spans="1:4" x14ac:dyDescent="0.15">
      <c r="A30">
        <v>29</v>
      </c>
      <c r="B30" s="175" t="s">
        <v>220</v>
      </c>
      <c r="C30">
        <v>0</v>
      </c>
      <c r="D30">
        <v>0</v>
      </c>
    </row>
    <row r="31" spans="1:4" x14ac:dyDescent="0.15">
      <c r="A31">
        <v>30</v>
      </c>
      <c r="B31" s="175" t="s">
        <v>221</v>
      </c>
      <c r="C31">
        <v>0</v>
      </c>
      <c r="D31">
        <v>0</v>
      </c>
    </row>
    <row r="32" spans="1:4" x14ac:dyDescent="0.15">
      <c r="A32">
        <v>31</v>
      </c>
      <c r="B32" s="175" t="s">
        <v>222</v>
      </c>
      <c r="C32">
        <v>0</v>
      </c>
      <c r="D32">
        <v>0</v>
      </c>
    </row>
    <row r="33" spans="1:4" x14ac:dyDescent="0.15">
      <c r="A33">
        <v>32</v>
      </c>
      <c r="B33" s="175" t="s">
        <v>223</v>
      </c>
      <c r="C33">
        <v>0</v>
      </c>
      <c r="D33">
        <v>0</v>
      </c>
    </row>
    <row r="34" spans="1:4" x14ac:dyDescent="0.15">
      <c r="A34">
        <v>33</v>
      </c>
      <c r="B34" s="175" t="s">
        <v>224</v>
      </c>
      <c r="C34">
        <v>0</v>
      </c>
      <c r="D34">
        <v>0</v>
      </c>
    </row>
    <row r="35" spans="1:4" x14ac:dyDescent="0.15">
      <c r="A35">
        <v>34</v>
      </c>
      <c r="B35" s="175" t="s">
        <v>225</v>
      </c>
      <c r="C35">
        <v>0</v>
      </c>
      <c r="D3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6640625" bestFit="1" customWidth="1"/>
    <col min="6" max="6" width="4.83203125" bestFit="1" customWidth="1"/>
    <col min="7" max="9" width="3.83203125" bestFit="1" customWidth="1"/>
    <col min="10" max="11" width="4.83203125" style="10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8" customFormat="1" ht="14" thickBot="1" x14ac:dyDescent="0.2">
      <c r="D1" s="109" t="s">
        <v>8</v>
      </c>
      <c r="E1" s="109" t="s">
        <v>0</v>
      </c>
      <c r="F1" s="110" t="s">
        <v>99</v>
      </c>
      <c r="G1" s="111" t="s">
        <v>84</v>
      </c>
      <c r="H1" s="111" t="s">
        <v>85</v>
      </c>
      <c r="I1" s="111" t="s">
        <v>86</v>
      </c>
      <c r="J1" s="111" t="s">
        <v>87</v>
      </c>
      <c r="K1" s="111" t="s">
        <v>88</v>
      </c>
      <c r="L1" s="112" t="s">
        <v>89</v>
      </c>
      <c r="M1" s="112" t="s">
        <v>93</v>
      </c>
      <c r="N1" s="112" t="s">
        <v>92</v>
      </c>
      <c r="O1" s="112" t="s">
        <v>90</v>
      </c>
      <c r="P1" s="112" t="s">
        <v>91</v>
      </c>
      <c r="Q1" s="113" t="s">
        <v>94</v>
      </c>
      <c r="R1" s="113" t="s">
        <v>95</v>
      </c>
      <c r="S1" s="113" t="s">
        <v>96</v>
      </c>
      <c r="T1" s="113" t="s">
        <v>97</v>
      </c>
      <c r="U1" s="113" t="s">
        <v>98</v>
      </c>
      <c r="V1" s="111" t="s">
        <v>100</v>
      </c>
      <c r="W1" s="111" t="s">
        <v>101</v>
      </c>
      <c r="X1" s="111" t="s">
        <v>102</v>
      </c>
      <c r="Y1" s="111" t="s">
        <v>134</v>
      </c>
      <c r="Z1" s="112" t="s">
        <v>103</v>
      </c>
      <c r="AA1" s="112" t="s">
        <v>104</v>
      </c>
      <c r="AB1" s="112" t="s">
        <v>105</v>
      </c>
      <c r="AC1" s="114" t="s">
        <v>135</v>
      </c>
      <c r="AD1" s="113" t="s">
        <v>106</v>
      </c>
      <c r="AE1" s="113" t="s">
        <v>107</v>
      </c>
      <c r="AF1" s="113" t="s">
        <v>108</v>
      </c>
      <c r="AG1" s="113" t="s">
        <v>136</v>
      </c>
      <c r="AH1" s="111" t="s">
        <v>109</v>
      </c>
      <c r="AI1" s="111" t="s">
        <v>111</v>
      </c>
      <c r="AJ1" s="111" t="s">
        <v>110</v>
      </c>
      <c r="AK1" s="112" t="s">
        <v>115</v>
      </c>
      <c r="AL1" s="112" t="s">
        <v>116</v>
      </c>
      <c r="AM1" s="112" t="s">
        <v>117</v>
      </c>
      <c r="AN1" s="113" t="s">
        <v>112</v>
      </c>
      <c r="AO1" s="113" t="s">
        <v>113</v>
      </c>
      <c r="AP1" s="113" t="s">
        <v>114</v>
      </c>
    </row>
    <row r="2" spans="1:42" x14ac:dyDescent="0.15">
      <c r="A2" s="115" t="s">
        <v>74</v>
      </c>
      <c r="B2" s="116">
        <v>1</v>
      </c>
      <c r="D2">
        <v>1</v>
      </c>
      <c r="E2" s="177" t="s">
        <v>192</v>
      </c>
      <c r="F2">
        <v>0.98</v>
      </c>
      <c r="G2">
        <v>0.8</v>
      </c>
      <c r="H2">
        <v>0.8</v>
      </c>
      <c r="I2">
        <v>0</v>
      </c>
      <c r="J2" s="106">
        <v>0</v>
      </c>
      <c r="K2" s="106">
        <v>0</v>
      </c>
    </row>
    <row r="3" spans="1:42" x14ac:dyDescent="0.15">
      <c r="A3" s="115" t="s">
        <v>75</v>
      </c>
      <c r="B3" s="117">
        <v>1</v>
      </c>
      <c r="D3">
        <v>2</v>
      </c>
      <c r="E3" s="177" t="s">
        <v>193</v>
      </c>
      <c r="F3">
        <v>0.98</v>
      </c>
      <c r="G3">
        <v>0.8</v>
      </c>
      <c r="H3">
        <v>0.8</v>
      </c>
      <c r="I3">
        <v>0</v>
      </c>
      <c r="J3" s="106">
        <v>0</v>
      </c>
      <c r="K3" s="106">
        <v>0</v>
      </c>
    </row>
    <row r="4" spans="1:42" x14ac:dyDescent="0.15">
      <c r="A4" s="115" t="s">
        <v>76</v>
      </c>
      <c r="B4" s="117">
        <v>1</v>
      </c>
      <c r="D4">
        <v>3</v>
      </c>
      <c r="E4" s="177" t="s">
        <v>194</v>
      </c>
      <c r="F4">
        <v>0.98</v>
      </c>
      <c r="G4">
        <v>0.8</v>
      </c>
      <c r="H4">
        <v>0.8</v>
      </c>
      <c r="I4">
        <v>0.8</v>
      </c>
      <c r="J4" s="106">
        <v>0.25</v>
      </c>
      <c r="K4" s="106">
        <v>0.05</v>
      </c>
    </row>
    <row r="5" spans="1:42" x14ac:dyDescent="0.15">
      <c r="A5" s="115" t="s">
        <v>77</v>
      </c>
      <c r="B5" s="117">
        <v>1</v>
      </c>
      <c r="D5">
        <v>4</v>
      </c>
      <c r="E5" s="177" t="s">
        <v>195</v>
      </c>
      <c r="F5">
        <v>0.98</v>
      </c>
      <c r="G5">
        <v>0.8</v>
      </c>
      <c r="H5">
        <v>0.8</v>
      </c>
      <c r="I5">
        <v>0.8</v>
      </c>
      <c r="J5" s="106">
        <v>0.25</v>
      </c>
      <c r="K5" s="106">
        <v>0.05</v>
      </c>
    </row>
    <row r="6" spans="1:42" x14ac:dyDescent="0.15">
      <c r="A6" s="115" t="s">
        <v>78</v>
      </c>
      <c r="B6" s="117">
        <v>1</v>
      </c>
      <c r="D6">
        <v>5</v>
      </c>
      <c r="E6" s="177" t="s">
        <v>196</v>
      </c>
      <c r="F6">
        <v>0.98</v>
      </c>
      <c r="G6">
        <v>0.8</v>
      </c>
      <c r="H6">
        <v>0.8</v>
      </c>
      <c r="I6">
        <v>0.8</v>
      </c>
      <c r="J6" s="106">
        <v>0.25</v>
      </c>
      <c r="K6" s="106">
        <v>0.05</v>
      </c>
    </row>
    <row r="7" spans="1:42" x14ac:dyDescent="0.15">
      <c r="A7" s="115" t="s">
        <v>79</v>
      </c>
      <c r="B7" s="117">
        <v>1</v>
      </c>
      <c r="D7">
        <v>6</v>
      </c>
      <c r="E7" s="177" t="s">
        <v>197</v>
      </c>
      <c r="F7">
        <v>0.98</v>
      </c>
      <c r="G7">
        <v>0.8</v>
      </c>
      <c r="H7">
        <v>0.8</v>
      </c>
      <c r="I7">
        <v>0.8</v>
      </c>
      <c r="J7" s="106">
        <v>0.25</v>
      </c>
      <c r="K7" s="106">
        <v>0.05</v>
      </c>
    </row>
    <row r="8" spans="1:42" x14ac:dyDescent="0.15">
      <c r="A8" s="115" t="s">
        <v>80</v>
      </c>
      <c r="B8" s="117">
        <v>1</v>
      </c>
      <c r="D8">
        <v>7</v>
      </c>
      <c r="E8" s="177" t="s">
        <v>198</v>
      </c>
      <c r="F8">
        <v>0.98</v>
      </c>
      <c r="G8">
        <v>0.8</v>
      </c>
      <c r="H8">
        <v>0.8</v>
      </c>
      <c r="I8">
        <v>0.8</v>
      </c>
      <c r="J8" s="106">
        <v>0.25</v>
      </c>
      <c r="K8" s="106">
        <v>0.05</v>
      </c>
    </row>
    <row r="9" spans="1:42" x14ac:dyDescent="0.15">
      <c r="A9" s="115" t="s">
        <v>81</v>
      </c>
      <c r="B9" s="117">
        <v>0.1</v>
      </c>
      <c r="C9" s="59" t="s">
        <v>150</v>
      </c>
      <c r="D9">
        <v>8</v>
      </c>
      <c r="E9" s="177" t="s">
        <v>199</v>
      </c>
      <c r="F9">
        <v>0.98</v>
      </c>
      <c r="G9">
        <v>0.8</v>
      </c>
      <c r="H9">
        <v>0.8</v>
      </c>
      <c r="I9">
        <v>0.8</v>
      </c>
      <c r="J9" s="106">
        <v>0.25</v>
      </c>
      <c r="K9" s="106">
        <v>0.05</v>
      </c>
    </row>
    <row r="10" spans="1:42" ht="14" thickBot="1" x14ac:dyDescent="0.2">
      <c r="A10" s="115" t="s">
        <v>149</v>
      </c>
      <c r="B10" s="118">
        <f>1/3</f>
        <v>0.33333333333333331</v>
      </c>
      <c r="C10" s="59" t="s">
        <v>150</v>
      </c>
      <c r="D10">
        <v>9</v>
      </c>
      <c r="E10" s="177" t="s">
        <v>200</v>
      </c>
      <c r="F10">
        <v>0.98</v>
      </c>
      <c r="G10">
        <v>0.8</v>
      </c>
      <c r="H10">
        <v>0.8</v>
      </c>
      <c r="I10">
        <v>0.8</v>
      </c>
      <c r="J10" s="106">
        <v>0.25</v>
      </c>
      <c r="K10" s="106">
        <v>0.05</v>
      </c>
    </row>
    <row r="11" spans="1:42" x14ac:dyDescent="0.15">
      <c r="D11">
        <v>10</v>
      </c>
      <c r="E11" s="177" t="s">
        <v>201</v>
      </c>
      <c r="F11">
        <v>0.98</v>
      </c>
      <c r="G11">
        <v>0.8</v>
      </c>
      <c r="H11">
        <v>0.8</v>
      </c>
      <c r="I11">
        <v>0.8</v>
      </c>
      <c r="J11" s="106">
        <v>0.25</v>
      </c>
      <c r="K11" s="106">
        <v>0.05</v>
      </c>
    </row>
    <row r="12" spans="1:42" x14ac:dyDescent="0.15">
      <c r="D12">
        <v>11</v>
      </c>
      <c r="E12" s="177" t="s">
        <v>202</v>
      </c>
      <c r="F12">
        <v>0.98</v>
      </c>
      <c r="G12">
        <v>0.8</v>
      </c>
      <c r="H12">
        <v>0.8</v>
      </c>
      <c r="I12">
        <v>0.8</v>
      </c>
      <c r="J12" s="106">
        <v>0.25</v>
      </c>
      <c r="K12" s="106">
        <v>0.05</v>
      </c>
    </row>
    <row r="13" spans="1:42" x14ac:dyDescent="0.15">
      <c r="D13">
        <v>12</v>
      </c>
      <c r="E13" s="177" t="s">
        <v>203</v>
      </c>
      <c r="F13">
        <v>0.98</v>
      </c>
      <c r="G13">
        <v>0.8</v>
      </c>
      <c r="H13">
        <v>0.8</v>
      </c>
      <c r="I13">
        <v>0.8</v>
      </c>
      <c r="J13" s="106">
        <v>0.25</v>
      </c>
      <c r="K13" s="106">
        <v>0.05</v>
      </c>
    </row>
    <row r="14" spans="1:42" x14ac:dyDescent="0.15">
      <c r="D14">
        <v>13</v>
      </c>
      <c r="E14" s="177" t="s">
        <v>204</v>
      </c>
      <c r="F14">
        <v>0.98</v>
      </c>
      <c r="G14">
        <v>0.8</v>
      </c>
      <c r="H14">
        <v>0.8</v>
      </c>
      <c r="I14">
        <v>0.8</v>
      </c>
      <c r="J14" s="106">
        <v>0.25</v>
      </c>
      <c r="K14" s="106">
        <v>0.05</v>
      </c>
    </row>
    <row r="15" spans="1:42" x14ac:dyDescent="0.15">
      <c r="D15">
        <v>14</v>
      </c>
      <c r="E15" s="177" t="s">
        <v>205</v>
      </c>
      <c r="F15">
        <v>0.98</v>
      </c>
      <c r="G15">
        <v>0.8</v>
      </c>
      <c r="H15">
        <v>0.8</v>
      </c>
      <c r="I15">
        <v>0.8</v>
      </c>
      <c r="J15" s="106">
        <v>0.25</v>
      </c>
      <c r="K15" s="106">
        <v>0.05</v>
      </c>
    </row>
    <row r="16" spans="1:42" x14ac:dyDescent="0.15">
      <c r="D16">
        <v>15</v>
      </c>
      <c r="E16" s="177" t="s">
        <v>206</v>
      </c>
      <c r="F16">
        <v>0.98</v>
      </c>
      <c r="G16">
        <v>0.8</v>
      </c>
      <c r="H16">
        <v>0.8</v>
      </c>
      <c r="I16">
        <v>0.8</v>
      </c>
      <c r="J16" s="106">
        <v>0.25</v>
      </c>
      <c r="K16" s="106">
        <v>0.05</v>
      </c>
    </row>
    <row r="17" spans="4:33" ht="15" customHeight="1" x14ac:dyDescent="0.15">
      <c r="D17">
        <v>16</v>
      </c>
      <c r="E17" s="177" t="s">
        <v>207</v>
      </c>
      <c r="F17">
        <v>0.98</v>
      </c>
      <c r="G17">
        <v>0.8</v>
      </c>
      <c r="H17">
        <v>0.8</v>
      </c>
      <c r="I17">
        <v>0.8</v>
      </c>
      <c r="J17" s="106">
        <v>0.25</v>
      </c>
      <c r="K17" s="106">
        <v>0.05</v>
      </c>
    </row>
    <row r="18" spans="4:33" ht="15" customHeight="1" x14ac:dyDescent="0.15">
      <c r="D18">
        <v>17</v>
      </c>
      <c r="E18" s="177" t="s">
        <v>208</v>
      </c>
      <c r="F18">
        <v>0.98</v>
      </c>
      <c r="G18">
        <v>0.8</v>
      </c>
      <c r="H18">
        <v>0.8</v>
      </c>
      <c r="I18">
        <v>0.8</v>
      </c>
      <c r="J18" s="106">
        <v>0.25</v>
      </c>
      <c r="K18" s="106">
        <v>0.05</v>
      </c>
    </row>
    <row r="19" spans="4:33" ht="15" customHeight="1" x14ac:dyDescent="0.15">
      <c r="D19">
        <v>18</v>
      </c>
      <c r="E19" s="177" t="s">
        <v>209</v>
      </c>
      <c r="F19">
        <v>0.98</v>
      </c>
      <c r="G19">
        <v>0.8</v>
      </c>
      <c r="H19">
        <v>0.8</v>
      </c>
      <c r="I19">
        <v>0.8</v>
      </c>
      <c r="J19" s="106">
        <v>0.25</v>
      </c>
      <c r="K19" s="106">
        <v>0.05</v>
      </c>
    </row>
    <row r="20" spans="4:33" ht="15" customHeight="1" x14ac:dyDescent="0.15">
      <c r="D20">
        <v>19</v>
      </c>
      <c r="E20" s="177" t="s">
        <v>210</v>
      </c>
      <c r="F20">
        <v>0.98</v>
      </c>
      <c r="G20">
        <v>0.8</v>
      </c>
      <c r="H20">
        <v>0.8</v>
      </c>
      <c r="I20">
        <v>0.8</v>
      </c>
      <c r="J20" s="106">
        <v>0.25</v>
      </c>
      <c r="K20" s="106">
        <v>0.05</v>
      </c>
    </row>
    <row r="21" spans="4:33" ht="15" customHeight="1" x14ac:dyDescent="0.15">
      <c r="D21">
        <v>20</v>
      </c>
      <c r="E21" s="177" t="s">
        <v>211</v>
      </c>
      <c r="F21">
        <v>0.98</v>
      </c>
      <c r="G21">
        <v>0.8</v>
      </c>
      <c r="H21">
        <v>0.8</v>
      </c>
      <c r="I21">
        <v>0.8</v>
      </c>
      <c r="J21" s="106">
        <v>0.25</v>
      </c>
      <c r="K21" s="106">
        <v>0.05</v>
      </c>
    </row>
    <row r="22" spans="4:33" ht="15" customHeight="1" x14ac:dyDescent="0.15">
      <c r="D22">
        <v>21</v>
      </c>
      <c r="E22" s="177" t="s">
        <v>212</v>
      </c>
      <c r="F22">
        <v>0.98</v>
      </c>
      <c r="G22">
        <v>0.8</v>
      </c>
      <c r="H22">
        <v>0.8</v>
      </c>
      <c r="I22">
        <v>0.8</v>
      </c>
      <c r="J22" s="106">
        <v>0.25</v>
      </c>
      <c r="K22" s="106">
        <v>0.05</v>
      </c>
    </row>
    <row r="23" spans="4:33" ht="15" customHeight="1" x14ac:dyDescent="0.15">
      <c r="D23">
        <v>22</v>
      </c>
      <c r="E23" s="177" t="s">
        <v>213</v>
      </c>
      <c r="F23">
        <v>0.98</v>
      </c>
      <c r="G23">
        <v>0.8</v>
      </c>
      <c r="H23">
        <v>0.8</v>
      </c>
      <c r="I23">
        <v>0.8</v>
      </c>
      <c r="J23" s="106">
        <v>0.25</v>
      </c>
      <c r="K23" s="106">
        <v>0.05</v>
      </c>
    </row>
    <row r="24" spans="4:33" ht="15" customHeight="1" x14ac:dyDescent="0.15">
      <c r="D24">
        <v>23</v>
      </c>
      <c r="E24" s="177" t="s">
        <v>214</v>
      </c>
      <c r="F24">
        <v>0.98</v>
      </c>
      <c r="G24">
        <v>0.8</v>
      </c>
      <c r="H24">
        <v>0.8</v>
      </c>
      <c r="I24">
        <v>0.8</v>
      </c>
      <c r="J24" s="106">
        <v>0.25</v>
      </c>
      <c r="K24" s="106">
        <v>0.05</v>
      </c>
    </row>
    <row r="25" spans="4:33" ht="15" customHeight="1" x14ac:dyDescent="0.15">
      <c r="D25">
        <v>24</v>
      </c>
      <c r="E25" s="177" t="s">
        <v>215</v>
      </c>
      <c r="F25">
        <v>0.98</v>
      </c>
      <c r="G25">
        <v>0.8</v>
      </c>
      <c r="H25">
        <v>0.8</v>
      </c>
      <c r="I25">
        <v>0.8</v>
      </c>
      <c r="J25" s="106">
        <v>0.25</v>
      </c>
      <c r="K25" s="106">
        <v>0.05</v>
      </c>
    </row>
    <row r="26" spans="4:33" ht="15" customHeight="1" x14ac:dyDescent="0.15">
      <c r="D26">
        <v>25</v>
      </c>
      <c r="E26" s="177" t="s">
        <v>216</v>
      </c>
      <c r="F26">
        <v>0.98</v>
      </c>
      <c r="G26">
        <v>0.8</v>
      </c>
      <c r="H26">
        <v>0.8</v>
      </c>
      <c r="I26">
        <v>0.8</v>
      </c>
      <c r="J26" s="106">
        <v>0.25</v>
      </c>
      <c r="K26" s="106">
        <v>0.05</v>
      </c>
    </row>
    <row r="27" spans="4:33" ht="15" customHeight="1" x14ac:dyDescent="0.15">
      <c r="D27">
        <v>26</v>
      </c>
      <c r="E27" s="177" t="s">
        <v>217</v>
      </c>
      <c r="F27">
        <v>0.98</v>
      </c>
      <c r="G27">
        <v>0.8</v>
      </c>
      <c r="H27">
        <v>0.8</v>
      </c>
      <c r="I27">
        <v>0.8</v>
      </c>
      <c r="J27" s="106">
        <v>0.25</v>
      </c>
      <c r="K27" s="106">
        <v>0.05</v>
      </c>
    </row>
    <row r="28" spans="4:33" ht="15" customHeight="1" x14ac:dyDescent="0.15">
      <c r="D28">
        <v>27</v>
      </c>
      <c r="E28" s="177" t="s">
        <v>218</v>
      </c>
      <c r="F28">
        <v>0.98</v>
      </c>
      <c r="G28">
        <v>0.8</v>
      </c>
      <c r="H28">
        <v>0.8</v>
      </c>
      <c r="I28">
        <v>0.8</v>
      </c>
      <c r="J28" s="106">
        <v>0.25</v>
      </c>
      <c r="K28" s="106">
        <v>0.05</v>
      </c>
    </row>
    <row r="29" spans="4:33" ht="15" customHeight="1" x14ac:dyDescent="0.15">
      <c r="D29">
        <v>28</v>
      </c>
      <c r="E29" s="177" t="s">
        <v>219</v>
      </c>
      <c r="F29">
        <v>0.98</v>
      </c>
      <c r="G29">
        <v>0.8</v>
      </c>
      <c r="H29">
        <v>0.8</v>
      </c>
      <c r="I29">
        <v>0.8</v>
      </c>
      <c r="J29" s="106">
        <v>0.25</v>
      </c>
      <c r="K29" s="106">
        <v>0.05</v>
      </c>
      <c r="Y29"/>
      <c r="AC29"/>
      <c r="AG29"/>
    </row>
    <row r="30" spans="4:33" ht="15" customHeight="1" x14ac:dyDescent="0.15">
      <c r="D30">
        <v>29</v>
      </c>
      <c r="E30" s="177" t="s">
        <v>220</v>
      </c>
      <c r="F30">
        <v>0.98</v>
      </c>
      <c r="G30">
        <v>0.8</v>
      </c>
      <c r="H30">
        <v>0.8</v>
      </c>
      <c r="I30">
        <v>0.8</v>
      </c>
      <c r="J30" s="106">
        <v>0.25</v>
      </c>
      <c r="K30" s="106">
        <v>0.05</v>
      </c>
      <c r="Y30"/>
      <c r="AC30"/>
      <c r="AG30"/>
    </row>
    <row r="31" spans="4:33" ht="15" customHeight="1" x14ac:dyDescent="0.15">
      <c r="D31">
        <v>30</v>
      </c>
      <c r="E31" s="177" t="s">
        <v>221</v>
      </c>
      <c r="F31">
        <v>0.98</v>
      </c>
      <c r="G31">
        <v>0.8</v>
      </c>
      <c r="H31">
        <v>0.8</v>
      </c>
      <c r="I31">
        <v>0.8</v>
      </c>
      <c r="J31" s="106">
        <v>0.25</v>
      </c>
      <c r="K31" s="106">
        <v>0.05</v>
      </c>
      <c r="Y31"/>
      <c r="AC31"/>
      <c r="AG31"/>
    </row>
    <row r="32" spans="4:33" ht="15" customHeight="1" x14ac:dyDescent="0.15">
      <c r="D32">
        <v>31</v>
      </c>
      <c r="E32" s="177" t="s">
        <v>222</v>
      </c>
      <c r="F32">
        <v>0.98</v>
      </c>
      <c r="G32">
        <v>0.8</v>
      </c>
      <c r="H32">
        <v>0.8</v>
      </c>
      <c r="I32">
        <v>0.8</v>
      </c>
      <c r="J32" s="106">
        <v>0.25</v>
      </c>
      <c r="K32" s="106">
        <v>0.05</v>
      </c>
      <c r="Y32"/>
      <c r="AC32"/>
      <c r="AG32"/>
    </row>
    <row r="33" spans="4:33" ht="15" customHeight="1" x14ac:dyDescent="0.15">
      <c r="D33">
        <v>32</v>
      </c>
      <c r="E33" s="177" t="s">
        <v>223</v>
      </c>
      <c r="F33">
        <v>0.98</v>
      </c>
      <c r="G33">
        <v>0.8</v>
      </c>
      <c r="H33">
        <v>0.8</v>
      </c>
      <c r="I33">
        <v>0.8</v>
      </c>
      <c r="J33" s="106">
        <v>0.25</v>
      </c>
      <c r="K33" s="106">
        <v>0.05</v>
      </c>
      <c r="Y33"/>
      <c r="AC33"/>
      <c r="AG33"/>
    </row>
    <row r="34" spans="4:33" ht="15" customHeight="1" x14ac:dyDescent="0.15">
      <c r="D34">
        <v>33</v>
      </c>
      <c r="E34" s="177" t="s">
        <v>224</v>
      </c>
      <c r="F34">
        <v>0.98</v>
      </c>
      <c r="G34">
        <v>0.8</v>
      </c>
      <c r="H34">
        <v>0</v>
      </c>
      <c r="I34">
        <v>0</v>
      </c>
      <c r="J34" s="106">
        <v>0</v>
      </c>
      <c r="K34" s="106">
        <v>0</v>
      </c>
      <c r="Y34"/>
      <c r="AC34"/>
      <c r="AG34"/>
    </row>
    <row r="35" spans="4:33" ht="15" customHeight="1" x14ac:dyDescent="0.15">
      <c r="D35">
        <v>34</v>
      </c>
      <c r="E35" s="177" t="s">
        <v>225</v>
      </c>
      <c r="F35">
        <v>0.98</v>
      </c>
      <c r="G35">
        <v>0.8</v>
      </c>
      <c r="H35">
        <v>0</v>
      </c>
      <c r="I35">
        <v>0</v>
      </c>
      <c r="J35" s="106">
        <v>0</v>
      </c>
      <c r="K35" s="106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1.6640625" style="104" bestFit="1" customWidth="1"/>
    <col min="2" max="3" width="2.33203125" style="104" customWidth="1"/>
    <col min="4" max="33" width="3.83203125" style="104" customWidth="1"/>
    <col min="34" max="35" width="2.33203125" style="104" customWidth="1"/>
    <col min="36" max="16384" width="10.83203125" style="104"/>
  </cols>
  <sheetData>
    <row r="1" spans="1:35" x14ac:dyDescent="0.15">
      <c r="A1" s="61" t="s">
        <v>118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 s="179" t="s">
        <v>223</v>
      </c>
      <c r="AH1" s="179" t="s">
        <v>224</v>
      </c>
      <c r="AI1" s="179" t="s">
        <v>225</v>
      </c>
    </row>
    <row r="2" spans="1:35" customFormat="1" x14ac:dyDescent="0.15">
      <c r="A2" s="178" t="s">
        <v>192</v>
      </c>
      <c r="B2" s="104">
        <v>0</v>
      </c>
      <c r="C2" s="104">
        <v>0</v>
      </c>
      <c r="D2" s="104">
        <v>0.8</v>
      </c>
      <c r="E2" s="104">
        <v>0.8</v>
      </c>
      <c r="F2" s="104">
        <v>0.8</v>
      </c>
      <c r="G2" s="104">
        <v>0</v>
      </c>
      <c r="H2" s="104">
        <v>0</v>
      </c>
      <c r="I2" s="104">
        <v>0.8</v>
      </c>
      <c r="J2" s="104">
        <v>0.8</v>
      </c>
      <c r="K2" s="104">
        <v>0</v>
      </c>
      <c r="L2" s="104">
        <v>0</v>
      </c>
      <c r="M2" s="104">
        <v>0</v>
      </c>
      <c r="N2" s="104">
        <v>0.8</v>
      </c>
      <c r="O2" s="104">
        <v>0</v>
      </c>
      <c r="P2" s="104">
        <v>0.8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  <c r="V2" s="104">
        <v>0.8</v>
      </c>
      <c r="W2" s="104">
        <v>0</v>
      </c>
      <c r="X2" s="104">
        <v>0.8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  <c r="AF2" s="104">
        <v>0</v>
      </c>
      <c r="AG2" s="104">
        <v>0</v>
      </c>
      <c r="AH2" s="104">
        <v>0</v>
      </c>
      <c r="AI2" s="104">
        <v>0</v>
      </c>
    </row>
    <row r="3" spans="1:35" customFormat="1" x14ac:dyDescent="0.15">
      <c r="A3" s="178" t="s">
        <v>193</v>
      </c>
      <c r="B3" s="104">
        <v>0</v>
      </c>
      <c r="C3" s="104">
        <v>0</v>
      </c>
      <c r="D3" s="104">
        <v>0.8</v>
      </c>
      <c r="E3" s="104">
        <v>0.8</v>
      </c>
      <c r="F3" s="104">
        <v>0.8</v>
      </c>
      <c r="G3" s="104">
        <v>0</v>
      </c>
      <c r="H3" s="104">
        <v>0</v>
      </c>
      <c r="I3" s="104">
        <v>0.8</v>
      </c>
      <c r="J3" s="104">
        <v>0.8</v>
      </c>
      <c r="K3" s="104">
        <v>0</v>
      </c>
      <c r="L3" s="104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  <c r="X3" s="104">
        <v>0</v>
      </c>
      <c r="Y3" s="104">
        <v>0</v>
      </c>
      <c r="Z3" s="104">
        <v>0</v>
      </c>
      <c r="AA3" s="104">
        <v>0</v>
      </c>
      <c r="AB3" s="104">
        <v>0</v>
      </c>
      <c r="AC3" s="104">
        <v>0</v>
      </c>
      <c r="AD3" s="104">
        <v>0</v>
      </c>
      <c r="AE3" s="104">
        <v>0</v>
      </c>
      <c r="AF3" s="104">
        <v>0</v>
      </c>
      <c r="AG3" s="104">
        <v>0</v>
      </c>
      <c r="AH3" s="104">
        <v>0</v>
      </c>
      <c r="AI3" s="104">
        <v>0</v>
      </c>
    </row>
    <row r="4" spans="1:35" customFormat="1" x14ac:dyDescent="0.15">
      <c r="A4" s="178" t="s">
        <v>194</v>
      </c>
      <c r="B4" s="104">
        <v>0</v>
      </c>
      <c r="C4" s="104">
        <v>0</v>
      </c>
      <c r="D4" s="104">
        <v>0.8</v>
      </c>
      <c r="E4" s="104">
        <v>0.8</v>
      </c>
      <c r="F4" s="104">
        <v>0.8</v>
      </c>
      <c r="G4" s="104">
        <v>0</v>
      </c>
      <c r="H4" s="104">
        <v>0</v>
      </c>
      <c r="I4" s="104">
        <v>0.8</v>
      </c>
      <c r="J4" s="104">
        <v>0.8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0.8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  <c r="X4" s="104">
        <v>0</v>
      </c>
      <c r="Y4" s="104">
        <v>0</v>
      </c>
      <c r="Z4" s="104">
        <v>0</v>
      </c>
      <c r="AA4" s="104">
        <v>0</v>
      </c>
      <c r="AB4" s="104">
        <v>0</v>
      </c>
      <c r="AC4" s="104">
        <v>0</v>
      </c>
      <c r="AD4" s="104">
        <v>0</v>
      </c>
      <c r="AE4" s="104">
        <v>0</v>
      </c>
      <c r="AF4" s="104">
        <v>0</v>
      </c>
      <c r="AG4" s="104">
        <v>0</v>
      </c>
      <c r="AH4" s="104">
        <v>0</v>
      </c>
      <c r="AI4" s="104">
        <v>0</v>
      </c>
    </row>
    <row r="5" spans="1:35" customFormat="1" x14ac:dyDescent="0.15">
      <c r="A5" s="178" t="s">
        <v>195</v>
      </c>
      <c r="B5" s="104">
        <v>0</v>
      </c>
      <c r="C5" s="104">
        <v>0</v>
      </c>
      <c r="D5" s="104">
        <v>0</v>
      </c>
      <c r="E5" s="104">
        <v>0</v>
      </c>
      <c r="F5" s="104">
        <v>0</v>
      </c>
      <c r="G5" s="104">
        <v>0.8</v>
      </c>
      <c r="H5" s="104">
        <v>0</v>
      </c>
      <c r="I5" s="104">
        <v>0.8</v>
      </c>
      <c r="J5" s="104">
        <v>0.8</v>
      </c>
      <c r="K5" s="104">
        <v>0.8</v>
      </c>
      <c r="L5" s="104">
        <v>0.8</v>
      </c>
      <c r="M5" s="104">
        <v>0</v>
      </c>
      <c r="N5" s="104">
        <v>0.8</v>
      </c>
      <c r="O5" s="104">
        <v>0</v>
      </c>
      <c r="P5" s="104">
        <v>0.8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  <c r="V5" s="104">
        <v>0.8</v>
      </c>
      <c r="W5" s="104">
        <v>0</v>
      </c>
      <c r="X5" s="104">
        <v>0.8</v>
      </c>
      <c r="Y5" s="104">
        <v>0</v>
      </c>
      <c r="Z5" s="104">
        <v>0</v>
      </c>
      <c r="AA5" s="104">
        <v>0</v>
      </c>
      <c r="AB5" s="104">
        <v>0</v>
      </c>
      <c r="AC5" s="104">
        <v>0.8</v>
      </c>
      <c r="AD5" s="104">
        <v>0</v>
      </c>
      <c r="AE5" s="104">
        <v>0</v>
      </c>
      <c r="AF5" s="104">
        <v>0</v>
      </c>
      <c r="AG5" s="104">
        <v>0</v>
      </c>
      <c r="AH5" s="104">
        <v>0</v>
      </c>
      <c r="AI5" s="104">
        <v>0</v>
      </c>
    </row>
    <row r="6" spans="1:35" customFormat="1" x14ac:dyDescent="0.15">
      <c r="A6" s="178" t="s">
        <v>196</v>
      </c>
      <c r="B6" s="104">
        <v>0</v>
      </c>
      <c r="C6" s="104">
        <v>0</v>
      </c>
      <c r="D6" s="104">
        <v>0</v>
      </c>
      <c r="E6" s="104">
        <v>0</v>
      </c>
      <c r="F6" s="104">
        <v>0</v>
      </c>
      <c r="G6" s="104">
        <v>0.8</v>
      </c>
      <c r="H6" s="104">
        <v>0</v>
      </c>
      <c r="I6" s="104">
        <v>0.8</v>
      </c>
      <c r="J6" s="104">
        <v>0.8</v>
      </c>
      <c r="K6" s="104">
        <v>0.8</v>
      </c>
      <c r="L6" s="104">
        <v>0.8</v>
      </c>
      <c r="M6" s="104">
        <v>0.8</v>
      </c>
      <c r="N6" s="104">
        <v>0</v>
      </c>
      <c r="O6" s="104">
        <v>0.8</v>
      </c>
      <c r="P6" s="104">
        <v>0.8</v>
      </c>
      <c r="Q6" s="104">
        <v>0</v>
      </c>
      <c r="R6" s="104">
        <v>0.8</v>
      </c>
      <c r="S6" s="104">
        <v>0.8</v>
      </c>
      <c r="T6" s="104">
        <v>0.8</v>
      </c>
      <c r="U6" s="104">
        <v>0</v>
      </c>
      <c r="V6" s="104">
        <v>0</v>
      </c>
      <c r="W6" s="104">
        <v>0.8</v>
      </c>
      <c r="X6" s="104">
        <v>0.8</v>
      </c>
      <c r="Y6" s="104">
        <v>0</v>
      </c>
      <c r="Z6" s="104">
        <v>0.8</v>
      </c>
      <c r="AA6" s="104">
        <v>0.8</v>
      </c>
      <c r="AB6" s="104">
        <v>0.8</v>
      </c>
      <c r="AC6" s="104">
        <v>0.8</v>
      </c>
      <c r="AD6" s="104">
        <v>0</v>
      </c>
      <c r="AE6" s="104">
        <v>0</v>
      </c>
      <c r="AF6" s="104">
        <v>0</v>
      </c>
      <c r="AG6" s="104">
        <v>0.8</v>
      </c>
      <c r="AH6" s="104">
        <v>0</v>
      </c>
      <c r="AI6" s="104">
        <v>0</v>
      </c>
    </row>
    <row r="7" spans="1:35" customFormat="1" x14ac:dyDescent="0.15">
      <c r="A7" s="178" t="s">
        <v>197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0.8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  <c r="X7" s="104">
        <v>0</v>
      </c>
      <c r="Y7" s="104">
        <v>0</v>
      </c>
      <c r="Z7" s="104">
        <v>0</v>
      </c>
      <c r="AA7" s="104">
        <v>0.8</v>
      </c>
      <c r="AB7" s="104">
        <v>0</v>
      </c>
      <c r="AC7" s="104">
        <v>0</v>
      </c>
      <c r="AD7" s="104">
        <v>0</v>
      </c>
      <c r="AE7" s="104">
        <v>0</v>
      </c>
      <c r="AF7" s="104">
        <v>0</v>
      </c>
      <c r="AG7" s="104">
        <v>0</v>
      </c>
      <c r="AH7" s="104">
        <v>0</v>
      </c>
      <c r="AI7" s="104">
        <v>0</v>
      </c>
    </row>
    <row r="8" spans="1:35" customFormat="1" x14ac:dyDescent="0.15">
      <c r="A8" s="178" t="s">
        <v>198</v>
      </c>
      <c r="B8" s="104">
        <v>0</v>
      </c>
      <c r="C8" s="104">
        <v>0</v>
      </c>
      <c r="D8" s="104">
        <v>0</v>
      </c>
      <c r="E8" s="104">
        <v>0</v>
      </c>
      <c r="F8" s="104">
        <v>0</v>
      </c>
      <c r="G8" s="104">
        <v>0</v>
      </c>
      <c r="H8" s="104">
        <v>0.8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0</v>
      </c>
      <c r="O8" s="104">
        <v>0.8</v>
      </c>
      <c r="P8" s="104">
        <v>0</v>
      </c>
      <c r="Q8" s="104">
        <v>0</v>
      </c>
      <c r="R8" s="104">
        <v>0.8</v>
      </c>
      <c r="S8" s="104">
        <v>0.8</v>
      </c>
      <c r="T8" s="104">
        <v>0.8</v>
      </c>
      <c r="U8" s="104">
        <v>0.8</v>
      </c>
      <c r="V8" s="104">
        <v>0</v>
      </c>
      <c r="W8" s="104">
        <v>0.8</v>
      </c>
      <c r="X8" s="104">
        <v>0.8</v>
      </c>
      <c r="Y8" s="104">
        <v>0.8</v>
      </c>
      <c r="Z8" s="104">
        <v>0.8</v>
      </c>
      <c r="AA8" s="104">
        <v>0.8</v>
      </c>
      <c r="AB8" s="104">
        <v>0.8</v>
      </c>
      <c r="AC8" s="104">
        <v>0.8</v>
      </c>
      <c r="AD8" s="104">
        <v>0</v>
      </c>
      <c r="AE8" s="104">
        <v>0</v>
      </c>
      <c r="AF8" s="104">
        <v>0</v>
      </c>
      <c r="AG8" s="104">
        <v>0</v>
      </c>
      <c r="AH8" s="104">
        <v>0</v>
      </c>
      <c r="AI8" s="104">
        <v>0</v>
      </c>
    </row>
    <row r="9" spans="1:35" customFormat="1" x14ac:dyDescent="0.15">
      <c r="A9" s="178" t="s">
        <v>199</v>
      </c>
      <c r="B9" s="104">
        <v>0</v>
      </c>
      <c r="C9" s="104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0.8</v>
      </c>
      <c r="S9" s="104">
        <v>0</v>
      </c>
      <c r="T9" s="104">
        <v>0</v>
      </c>
      <c r="U9" s="104">
        <v>0</v>
      </c>
      <c r="V9" s="104">
        <v>0</v>
      </c>
      <c r="W9" s="104">
        <v>0.8</v>
      </c>
      <c r="X9" s="104">
        <v>0</v>
      </c>
      <c r="Y9" s="104">
        <v>0</v>
      </c>
      <c r="Z9" s="104">
        <v>0</v>
      </c>
      <c r="AA9" s="104">
        <v>0.8</v>
      </c>
      <c r="AB9" s="104">
        <v>0</v>
      </c>
      <c r="AC9" s="104">
        <v>0</v>
      </c>
      <c r="AD9" s="104">
        <v>0</v>
      </c>
      <c r="AE9" s="104">
        <v>0</v>
      </c>
      <c r="AF9" s="104">
        <v>0</v>
      </c>
      <c r="AG9" s="104">
        <v>0</v>
      </c>
      <c r="AH9" s="104">
        <v>0</v>
      </c>
      <c r="AI9" s="104">
        <v>0</v>
      </c>
    </row>
    <row r="10" spans="1:35" customFormat="1" x14ac:dyDescent="0.15">
      <c r="A10" s="178" t="s">
        <v>200</v>
      </c>
      <c r="B10" s="104">
        <v>0</v>
      </c>
      <c r="C10" s="104">
        <v>0</v>
      </c>
      <c r="D10" s="104">
        <v>0</v>
      </c>
      <c r="E10" s="104">
        <v>0</v>
      </c>
      <c r="F10" s="104">
        <v>0</v>
      </c>
      <c r="G10" s="104">
        <v>0</v>
      </c>
      <c r="H10" s="104">
        <v>0</v>
      </c>
      <c r="I10" s="104">
        <v>0</v>
      </c>
      <c r="J10" s="104">
        <v>0</v>
      </c>
      <c r="K10" s="104">
        <v>0</v>
      </c>
      <c r="L10" s="104">
        <v>0.8</v>
      </c>
      <c r="M10" s="104">
        <v>0</v>
      </c>
      <c r="N10" s="104">
        <v>0</v>
      </c>
      <c r="O10" s="104">
        <v>0.8</v>
      </c>
      <c r="P10" s="104">
        <v>0</v>
      </c>
      <c r="Q10" s="104">
        <v>0.8</v>
      </c>
      <c r="R10" s="104">
        <v>0.8</v>
      </c>
      <c r="S10" s="104">
        <v>0.8</v>
      </c>
      <c r="T10" s="104">
        <v>0.8</v>
      </c>
      <c r="U10" s="104">
        <v>0.8</v>
      </c>
      <c r="V10" s="104">
        <v>0</v>
      </c>
      <c r="W10" s="104">
        <v>0.8</v>
      </c>
      <c r="X10" s="104">
        <v>0</v>
      </c>
      <c r="Y10" s="104">
        <v>0</v>
      </c>
      <c r="Z10" s="104">
        <v>0.8</v>
      </c>
      <c r="AA10" s="104">
        <v>0.8</v>
      </c>
      <c r="AB10" s="104">
        <v>0</v>
      </c>
      <c r="AC10" s="104">
        <v>0.8</v>
      </c>
      <c r="AD10" s="104">
        <v>0.8</v>
      </c>
      <c r="AE10" s="104">
        <v>0.8</v>
      </c>
      <c r="AF10" s="104">
        <v>0.8</v>
      </c>
      <c r="AG10" s="104">
        <v>0.8</v>
      </c>
      <c r="AH10" s="104">
        <v>0</v>
      </c>
      <c r="AI10" s="104">
        <v>0</v>
      </c>
    </row>
    <row r="11" spans="1:35" customFormat="1" x14ac:dyDescent="0.15">
      <c r="A11" s="178" t="s">
        <v>201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0</v>
      </c>
      <c r="L11" s="104">
        <v>0.8</v>
      </c>
      <c r="M11" s="104">
        <v>0</v>
      </c>
      <c r="N11" s="104">
        <v>0</v>
      </c>
      <c r="O11" s="104">
        <v>0</v>
      </c>
      <c r="P11" s="104">
        <v>0.8</v>
      </c>
      <c r="Q11" s="104">
        <v>0</v>
      </c>
      <c r="R11" s="104">
        <v>0</v>
      </c>
      <c r="S11" s="104">
        <v>0</v>
      </c>
      <c r="T11" s="104">
        <v>0.8</v>
      </c>
      <c r="U11" s="104">
        <v>0</v>
      </c>
      <c r="V11" s="104">
        <v>0</v>
      </c>
      <c r="W11" s="104">
        <v>0</v>
      </c>
      <c r="X11" s="104">
        <v>0</v>
      </c>
      <c r="Y11" s="104">
        <v>0</v>
      </c>
      <c r="Z11" s="104">
        <v>0</v>
      </c>
      <c r="AA11" s="104">
        <v>0.8</v>
      </c>
      <c r="AB11" s="104">
        <v>0</v>
      </c>
      <c r="AC11" s="104">
        <v>0</v>
      </c>
      <c r="AD11" s="104">
        <v>0</v>
      </c>
      <c r="AE11" s="104">
        <v>0</v>
      </c>
      <c r="AF11" s="104">
        <v>0.8</v>
      </c>
      <c r="AG11" s="104">
        <v>0</v>
      </c>
      <c r="AH11" s="104">
        <v>0</v>
      </c>
      <c r="AI11" s="104">
        <v>0</v>
      </c>
    </row>
    <row r="12" spans="1:35" customFormat="1" x14ac:dyDescent="0.15">
      <c r="A12" s="178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0</v>
      </c>
      <c r="L12" s="104">
        <v>0.8</v>
      </c>
      <c r="M12" s="104">
        <v>0</v>
      </c>
      <c r="N12" s="104">
        <v>0</v>
      </c>
      <c r="O12" s="104">
        <v>0</v>
      </c>
      <c r="P12" s="104">
        <v>0</v>
      </c>
      <c r="Q12" s="104">
        <v>0.8</v>
      </c>
      <c r="R12" s="104">
        <v>0.8</v>
      </c>
      <c r="S12" s="104">
        <v>0</v>
      </c>
      <c r="T12" s="104">
        <v>0</v>
      </c>
      <c r="U12" s="104">
        <v>0</v>
      </c>
      <c r="V12" s="104">
        <v>0</v>
      </c>
      <c r="W12" s="104">
        <v>0.8</v>
      </c>
      <c r="X12" s="104">
        <v>0</v>
      </c>
      <c r="Y12" s="104">
        <v>0</v>
      </c>
      <c r="Z12" s="104">
        <v>0</v>
      </c>
      <c r="AA12" s="104">
        <v>0.8</v>
      </c>
      <c r="AB12" s="104">
        <v>0</v>
      </c>
      <c r="AC12" s="104">
        <v>0</v>
      </c>
      <c r="AD12" s="104">
        <v>0.8</v>
      </c>
      <c r="AE12" s="104">
        <v>0</v>
      </c>
      <c r="AF12" s="104">
        <v>0</v>
      </c>
      <c r="AG12" s="104">
        <v>0.8</v>
      </c>
      <c r="AH12" s="104">
        <v>0</v>
      </c>
      <c r="AI12" s="104">
        <v>0</v>
      </c>
    </row>
    <row r="13" spans="1:35" customFormat="1" x14ac:dyDescent="0.15">
      <c r="A13" s="178" t="s">
        <v>203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</v>
      </c>
      <c r="J13" s="104">
        <v>0</v>
      </c>
      <c r="K13" s="104">
        <v>0</v>
      </c>
      <c r="L13" s="104">
        <v>0.8</v>
      </c>
      <c r="M13" s="104">
        <v>0</v>
      </c>
      <c r="N13" s="104">
        <v>0</v>
      </c>
      <c r="O13" s="104">
        <v>0.8</v>
      </c>
      <c r="P13" s="104">
        <v>0.8</v>
      </c>
      <c r="Q13" s="104">
        <v>0.8</v>
      </c>
      <c r="R13" s="104">
        <v>0.8</v>
      </c>
      <c r="S13" s="104">
        <v>0</v>
      </c>
      <c r="T13" s="104">
        <v>0.8</v>
      </c>
      <c r="U13" s="104">
        <v>0</v>
      </c>
      <c r="V13" s="104">
        <v>0</v>
      </c>
      <c r="W13" s="104">
        <v>0.8</v>
      </c>
      <c r="X13" s="104">
        <v>0</v>
      </c>
      <c r="Y13" s="104">
        <v>0.8</v>
      </c>
      <c r="Z13" s="104">
        <v>0.8</v>
      </c>
      <c r="AA13" s="104">
        <v>0.8</v>
      </c>
      <c r="AB13" s="104">
        <v>0</v>
      </c>
      <c r="AC13" s="104">
        <v>0</v>
      </c>
      <c r="AD13" s="104">
        <v>0.8</v>
      </c>
      <c r="AE13" s="104">
        <v>0</v>
      </c>
      <c r="AF13" s="104">
        <v>0</v>
      </c>
      <c r="AG13" s="104">
        <v>0</v>
      </c>
      <c r="AH13" s="104">
        <v>0</v>
      </c>
      <c r="AI13" s="104">
        <v>0</v>
      </c>
    </row>
    <row r="14" spans="1:35" customFormat="1" x14ac:dyDescent="0.15">
      <c r="A14" s="178" t="s">
        <v>204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0.8</v>
      </c>
      <c r="M14" s="104">
        <v>0</v>
      </c>
      <c r="N14" s="104">
        <v>0</v>
      </c>
      <c r="O14" s="104">
        <v>0.8</v>
      </c>
      <c r="P14" s="104">
        <v>0</v>
      </c>
      <c r="Q14" s="104">
        <v>0.8</v>
      </c>
      <c r="R14" s="104">
        <v>0.8</v>
      </c>
      <c r="S14" s="104">
        <v>0.8</v>
      </c>
      <c r="T14" s="104">
        <v>0</v>
      </c>
      <c r="U14" s="104">
        <v>0</v>
      </c>
      <c r="V14" s="104">
        <v>0</v>
      </c>
      <c r="W14" s="104">
        <v>0.8</v>
      </c>
      <c r="X14" s="104">
        <v>0</v>
      </c>
      <c r="Y14" s="104">
        <v>0</v>
      </c>
      <c r="Z14" s="104">
        <v>0.8</v>
      </c>
      <c r="AA14" s="104">
        <v>0.8</v>
      </c>
      <c r="AB14" s="104">
        <v>0</v>
      </c>
      <c r="AC14" s="104">
        <v>0.8</v>
      </c>
      <c r="AD14" s="104">
        <v>0</v>
      </c>
      <c r="AE14" s="104">
        <v>0.8</v>
      </c>
      <c r="AF14" s="104">
        <v>0.8</v>
      </c>
      <c r="AG14" s="104">
        <v>0</v>
      </c>
      <c r="AH14" s="104">
        <v>0</v>
      </c>
      <c r="AI14" s="104">
        <v>0</v>
      </c>
    </row>
    <row r="15" spans="1:35" customFormat="1" x14ac:dyDescent="0.15">
      <c r="A15" s="178" t="s">
        <v>205</v>
      </c>
      <c r="B15" s="104">
        <v>0</v>
      </c>
      <c r="C15" s="104">
        <v>0</v>
      </c>
      <c r="D15" s="104">
        <v>0</v>
      </c>
      <c r="E15" s="104">
        <v>0</v>
      </c>
      <c r="F15" s="104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</v>
      </c>
      <c r="N15" s="104">
        <v>0</v>
      </c>
      <c r="O15" s="104">
        <v>0</v>
      </c>
      <c r="P15" s="104">
        <v>0</v>
      </c>
      <c r="Q15" s="104">
        <v>0</v>
      </c>
      <c r="R15" s="104">
        <v>0</v>
      </c>
      <c r="S15" s="104">
        <v>0</v>
      </c>
      <c r="T15" s="104">
        <v>0</v>
      </c>
      <c r="U15" s="104">
        <v>0</v>
      </c>
      <c r="V15" s="104">
        <v>0</v>
      </c>
      <c r="W15" s="104">
        <v>0.8</v>
      </c>
      <c r="X15" s="104">
        <v>0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0</v>
      </c>
      <c r="AE15" s="104">
        <v>0.8</v>
      </c>
      <c r="AF15" s="104">
        <v>0.8</v>
      </c>
      <c r="AG15" s="104">
        <v>0.8</v>
      </c>
      <c r="AH15" s="104">
        <v>0</v>
      </c>
      <c r="AI15" s="104">
        <v>0</v>
      </c>
    </row>
    <row r="16" spans="1:35" customFormat="1" x14ac:dyDescent="0.15">
      <c r="A16" s="178" t="s">
        <v>206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G16" s="104">
        <v>0</v>
      </c>
      <c r="H16" s="104">
        <v>0</v>
      </c>
      <c r="I16" s="104">
        <v>0</v>
      </c>
      <c r="J16" s="104">
        <v>0</v>
      </c>
      <c r="K16" s="104">
        <v>0</v>
      </c>
      <c r="L16" s="104">
        <v>0</v>
      </c>
      <c r="M16" s="104">
        <v>0</v>
      </c>
      <c r="N16" s="104">
        <v>0</v>
      </c>
      <c r="O16" s="104">
        <v>0</v>
      </c>
      <c r="P16" s="104">
        <v>0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  <c r="V16" s="104">
        <v>0</v>
      </c>
      <c r="W16" s="104">
        <v>0</v>
      </c>
      <c r="X16" s="104">
        <v>0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04">
        <v>0</v>
      </c>
      <c r="AE16" s="104">
        <v>0</v>
      </c>
      <c r="AF16" s="104">
        <v>0</v>
      </c>
      <c r="AG16" s="104">
        <v>0.8</v>
      </c>
      <c r="AH16" s="104">
        <v>0</v>
      </c>
      <c r="AI16" s="104">
        <v>0</v>
      </c>
    </row>
    <row r="17" spans="1:35" customFormat="1" x14ac:dyDescent="0.15">
      <c r="A17" s="178" t="s">
        <v>207</v>
      </c>
      <c r="B17" s="104">
        <v>0</v>
      </c>
      <c r="C17" s="104">
        <v>0</v>
      </c>
      <c r="D17" s="104">
        <v>0</v>
      </c>
      <c r="E17" s="104">
        <v>0</v>
      </c>
      <c r="F17" s="104">
        <v>0</v>
      </c>
      <c r="G17" s="104">
        <v>0</v>
      </c>
      <c r="H17" s="104">
        <v>0</v>
      </c>
      <c r="I17" s="104">
        <v>0</v>
      </c>
      <c r="J17" s="104">
        <v>0</v>
      </c>
      <c r="K17" s="104">
        <v>0</v>
      </c>
      <c r="L17" s="104">
        <v>0</v>
      </c>
      <c r="M17" s="104">
        <v>0</v>
      </c>
      <c r="N17" s="104">
        <v>0</v>
      </c>
      <c r="O17" s="104">
        <v>0</v>
      </c>
      <c r="P17" s="104">
        <v>0</v>
      </c>
      <c r="Q17" s="104">
        <v>0</v>
      </c>
      <c r="R17" s="104">
        <v>0</v>
      </c>
      <c r="S17" s="104">
        <v>0</v>
      </c>
      <c r="T17" s="104">
        <v>0</v>
      </c>
      <c r="U17" s="104">
        <v>0</v>
      </c>
      <c r="V17" s="104">
        <v>0</v>
      </c>
      <c r="W17" s="104">
        <v>0</v>
      </c>
      <c r="X17" s="104">
        <v>0</v>
      </c>
      <c r="Y17" s="104">
        <v>0</v>
      </c>
      <c r="Z17" s="104">
        <v>0</v>
      </c>
      <c r="AA17" s="104">
        <v>0.8</v>
      </c>
      <c r="AB17" s="104">
        <v>0</v>
      </c>
      <c r="AC17" s="104">
        <v>0</v>
      </c>
      <c r="AD17" s="104">
        <v>0</v>
      </c>
      <c r="AE17" s="104">
        <v>0</v>
      </c>
      <c r="AF17" s="104">
        <v>0</v>
      </c>
      <c r="AG17" s="104">
        <v>0</v>
      </c>
      <c r="AH17" s="104">
        <v>0</v>
      </c>
      <c r="AI17" s="104">
        <v>0</v>
      </c>
    </row>
    <row r="18" spans="1:35" customFormat="1" x14ac:dyDescent="0.15">
      <c r="A18" s="178" t="s">
        <v>208</v>
      </c>
      <c r="B18" s="104">
        <v>0</v>
      </c>
      <c r="C18" s="104">
        <v>0</v>
      </c>
      <c r="D18" s="104">
        <v>0</v>
      </c>
      <c r="E18" s="104">
        <v>0</v>
      </c>
      <c r="F18" s="104">
        <v>0</v>
      </c>
      <c r="G18" s="104">
        <v>0</v>
      </c>
      <c r="H18" s="104">
        <v>0</v>
      </c>
      <c r="I18" s="104">
        <v>0</v>
      </c>
      <c r="J18" s="104">
        <v>0</v>
      </c>
      <c r="K18" s="104">
        <v>0</v>
      </c>
      <c r="L18" s="104">
        <v>0.8</v>
      </c>
      <c r="M18" s="104">
        <v>0</v>
      </c>
      <c r="N18" s="104">
        <v>0</v>
      </c>
      <c r="O18" s="104">
        <v>0</v>
      </c>
      <c r="P18" s="104">
        <v>0</v>
      </c>
      <c r="Q18" s="104">
        <v>0</v>
      </c>
      <c r="R18" s="104">
        <v>0</v>
      </c>
      <c r="S18" s="104">
        <v>0</v>
      </c>
      <c r="T18" s="104">
        <v>0.8</v>
      </c>
      <c r="U18" s="104">
        <v>0</v>
      </c>
      <c r="V18" s="104">
        <v>0</v>
      </c>
      <c r="W18" s="104">
        <v>0</v>
      </c>
      <c r="X18" s="104">
        <v>0</v>
      </c>
      <c r="Y18" s="104">
        <v>0</v>
      </c>
      <c r="Z18" s="104">
        <v>0</v>
      </c>
      <c r="AA18" s="104">
        <v>0</v>
      </c>
      <c r="AB18" s="104">
        <v>0</v>
      </c>
      <c r="AC18" s="104">
        <v>0</v>
      </c>
      <c r="AD18" s="104">
        <v>0.8</v>
      </c>
      <c r="AE18" s="104">
        <v>0</v>
      </c>
      <c r="AF18" s="104">
        <v>0.8</v>
      </c>
      <c r="AG18" s="104">
        <v>0</v>
      </c>
      <c r="AH18" s="104">
        <v>0</v>
      </c>
      <c r="AI18" s="104">
        <v>0</v>
      </c>
    </row>
    <row r="19" spans="1:35" customFormat="1" x14ac:dyDescent="0.15">
      <c r="A19" s="178" t="s">
        <v>209</v>
      </c>
      <c r="B19" s="104">
        <v>0</v>
      </c>
      <c r="C19" s="104">
        <v>0</v>
      </c>
      <c r="D19" s="104">
        <v>0</v>
      </c>
      <c r="E19" s="104">
        <v>0</v>
      </c>
      <c r="F19" s="104">
        <v>0</v>
      </c>
      <c r="G19" s="104">
        <v>0</v>
      </c>
      <c r="H19" s="104">
        <v>0</v>
      </c>
      <c r="I19" s="104">
        <v>0</v>
      </c>
      <c r="J19" s="104">
        <v>0</v>
      </c>
      <c r="K19" s="104">
        <v>0</v>
      </c>
      <c r="L19" s="104">
        <v>0</v>
      </c>
      <c r="M19" s="104">
        <v>0</v>
      </c>
      <c r="N19" s="104">
        <v>0</v>
      </c>
      <c r="O19" s="104">
        <v>0</v>
      </c>
      <c r="P19" s="104">
        <v>0</v>
      </c>
      <c r="Q19" s="104">
        <v>0</v>
      </c>
      <c r="R19" s="104">
        <v>0</v>
      </c>
      <c r="S19" s="104">
        <v>0</v>
      </c>
      <c r="T19" s="104">
        <v>0</v>
      </c>
      <c r="U19" s="104">
        <v>0</v>
      </c>
      <c r="V19" s="104">
        <v>0</v>
      </c>
      <c r="W19" s="104">
        <v>0.8</v>
      </c>
      <c r="X19" s="104">
        <v>0</v>
      </c>
      <c r="Y19" s="104">
        <v>0.8</v>
      </c>
      <c r="Z19" s="104">
        <v>0</v>
      </c>
      <c r="AA19" s="104">
        <v>0</v>
      </c>
      <c r="AB19" s="104">
        <v>0</v>
      </c>
      <c r="AC19" s="104">
        <v>0</v>
      </c>
      <c r="AD19" s="104">
        <v>0.8</v>
      </c>
      <c r="AE19" s="104">
        <v>0</v>
      </c>
      <c r="AF19" s="104">
        <v>0</v>
      </c>
      <c r="AG19" s="104">
        <v>0</v>
      </c>
      <c r="AH19" s="104">
        <v>0</v>
      </c>
      <c r="AI19" s="104">
        <v>0</v>
      </c>
    </row>
    <row r="20" spans="1:35" customFormat="1" x14ac:dyDescent="0.15">
      <c r="A20" s="178" t="s">
        <v>210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0</v>
      </c>
      <c r="H20" s="104">
        <v>0</v>
      </c>
      <c r="I20" s="104">
        <v>0</v>
      </c>
      <c r="J20" s="104">
        <v>0</v>
      </c>
      <c r="K20" s="104">
        <v>0</v>
      </c>
      <c r="L20" s="104">
        <v>0</v>
      </c>
      <c r="M20" s="104">
        <v>0</v>
      </c>
      <c r="N20" s="104">
        <v>0</v>
      </c>
      <c r="O20" s="104">
        <v>0</v>
      </c>
      <c r="P20" s="104">
        <v>0</v>
      </c>
      <c r="Q20" s="104">
        <v>0</v>
      </c>
      <c r="R20" s="104">
        <v>0</v>
      </c>
      <c r="S20" s="104">
        <v>0</v>
      </c>
      <c r="T20" s="104">
        <v>0</v>
      </c>
      <c r="U20" s="104">
        <v>0</v>
      </c>
      <c r="V20" s="104">
        <v>0</v>
      </c>
      <c r="W20" s="104">
        <v>0</v>
      </c>
      <c r="X20" s="104">
        <v>0</v>
      </c>
      <c r="Y20" s="104">
        <v>0</v>
      </c>
      <c r="Z20" s="104">
        <v>0</v>
      </c>
      <c r="AA20" s="104">
        <v>0</v>
      </c>
      <c r="AB20" s="104">
        <v>0</v>
      </c>
      <c r="AC20" s="104">
        <v>0</v>
      </c>
      <c r="AD20" s="104">
        <v>0.8</v>
      </c>
      <c r="AE20" s="104">
        <v>0</v>
      </c>
      <c r="AF20" s="104">
        <v>0</v>
      </c>
      <c r="AG20" s="104">
        <v>0</v>
      </c>
      <c r="AH20" s="104">
        <v>0</v>
      </c>
      <c r="AI20" s="104">
        <v>0</v>
      </c>
    </row>
    <row r="21" spans="1:35" customFormat="1" x14ac:dyDescent="0.15">
      <c r="A21" s="178" t="s">
        <v>211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</v>
      </c>
      <c r="P21" s="104">
        <v>0</v>
      </c>
      <c r="Q21" s="104">
        <v>0</v>
      </c>
      <c r="R21" s="104">
        <v>0</v>
      </c>
      <c r="S21" s="104">
        <v>0</v>
      </c>
      <c r="T21" s="104">
        <v>0</v>
      </c>
      <c r="U21" s="104">
        <v>0</v>
      </c>
      <c r="V21" s="104">
        <v>0</v>
      </c>
      <c r="W21" s="104">
        <v>0.8</v>
      </c>
      <c r="X21" s="104">
        <v>0</v>
      </c>
      <c r="Y21" s="104">
        <v>0.8</v>
      </c>
      <c r="Z21" s="104">
        <v>0.8</v>
      </c>
      <c r="AA21" s="104">
        <v>0</v>
      </c>
      <c r="AB21" s="104">
        <v>0</v>
      </c>
      <c r="AC21" s="104">
        <v>0</v>
      </c>
      <c r="AD21" s="104">
        <v>0</v>
      </c>
      <c r="AE21" s="104">
        <v>0</v>
      </c>
      <c r="AF21" s="104">
        <v>0</v>
      </c>
      <c r="AG21" s="104">
        <v>0</v>
      </c>
      <c r="AH21" s="104">
        <v>0</v>
      </c>
      <c r="AI21" s="104">
        <v>0</v>
      </c>
    </row>
    <row r="22" spans="1:35" customFormat="1" x14ac:dyDescent="0.15">
      <c r="A22" s="178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104">
        <v>0</v>
      </c>
      <c r="M22" s="104">
        <v>0.8</v>
      </c>
      <c r="N22" s="104">
        <v>0</v>
      </c>
      <c r="O22" s="104">
        <v>0.8</v>
      </c>
      <c r="P22" s="104">
        <v>0.8</v>
      </c>
      <c r="Q22" s="104">
        <v>0.8</v>
      </c>
      <c r="R22" s="104">
        <v>0.8</v>
      </c>
      <c r="S22" s="104">
        <v>0.8</v>
      </c>
      <c r="T22" s="104">
        <v>0.8</v>
      </c>
      <c r="U22" s="104">
        <v>0</v>
      </c>
      <c r="V22" s="104">
        <v>0</v>
      </c>
      <c r="W22" s="104">
        <v>0.8</v>
      </c>
      <c r="X22" s="104">
        <v>0</v>
      </c>
      <c r="Y22" s="104">
        <v>0.8</v>
      </c>
      <c r="Z22" s="104">
        <v>0.8</v>
      </c>
      <c r="AA22" s="104">
        <v>0.8</v>
      </c>
      <c r="AB22" s="104">
        <v>0</v>
      </c>
      <c r="AC22" s="104">
        <v>0</v>
      </c>
      <c r="AD22" s="104">
        <v>0</v>
      </c>
      <c r="AE22" s="104">
        <v>0.8</v>
      </c>
      <c r="AF22" s="104">
        <v>0.8</v>
      </c>
      <c r="AG22" s="104">
        <v>0</v>
      </c>
      <c r="AH22" s="104">
        <v>0</v>
      </c>
      <c r="AI22" s="104">
        <v>0</v>
      </c>
    </row>
    <row r="23" spans="1:35" customFormat="1" x14ac:dyDescent="0.15">
      <c r="A23" s="178" t="s">
        <v>213</v>
      </c>
      <c r="B23" s="104">
        <v>0</v>
      </c>
      <c r="C23" s="104">
        <v>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  <c r="O23" s="104">
        <v>0</v>
      </c>
      <c r="P23" s="104">
        <v>0</v>
      </c>
      <c r="Q23" s="104">
        <v>0</v>
      </c>
      <c r="R23" s="104">
        <v>0</v>
      </c>
      <c r="S23" s="104">
        <v>0</v>
      </c>
      <c r="T23" s="104">
        <v>0</v>
      </c>
      <c r="U23" s="104">
        <v>0</v>
      </c>
      <c r="V23" s="104">
        <v>0</v>
      </c>
      <c r="W23" s="104">
        <v>0</v>
      </c>
      <c r="X23" s="104">
        <v>0</v>
      </c>
      <c r="Y23" s="104">
        <v>0</v>
      </c>
      <c r="Z23" s="104">
        <v>0</v>
      </c>
      <c r="AA23" s="104">
        <v>0</v>
      </c>
      <c r="AB23" s="104">
        <v>0</v>
      </c>
      <c r="AC23" s="104">
        <v>0</v>
      </c>
      <c r="AD23" s="104">
        <v>0</v>
      </c>
      <c r="AE23" s="104">
        <v>0</v>
      </c>
      <c r="AF23" s="104">
        <v>0</v>
      </c>
      <c r="AG23" s="104">
        <v>0</v>
      </c>
      <c r="AH23" s="104">
        <v>0</v>
      </c>
      <c r="AI23" s="104">
        <v>0</v>
      </c>
    </row>
    <row r="24" spans="1:35" customFormat="1" x14ac:dyDescent="0.15">
      <c r="A24" s="178" t="s">
        <v>214</v>
      </c>
      <c r="B24" s="104">
        <v>0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0</v>
      </c>
      <c r="R24" s="104">
        <v>0</v>
      </c>
      <c r="S24" s="104">
        <v>0</v>
      </c>
      <c r="T24" s="104">
        <v>0</v>
      </c>
      <c r="U24" s="104">
        <v>0</v>
      </c>
      <c r="V24" s="104">
        <v>0</v>
      </c>
      <c r="W24" s="104">
        <v>0</v>
      </c>
      <c r="X24" s="104">
        <v>0</v>
      </c>
      <c r="Y24" s="104">
        <v>0</v>
      </c>
      <c r="Z24" s="104">
        <v>0</v>
      </c>
      <c r="AA24" s="104">
        <v>0.8</v>
      </c>
      <c r="AB24" s="104">
        <v>0</v>
      </c>
      <c r="AC24" s="104">
        <v>0</v>
      </c>
      <c r="AD24" s="104">
        <v>0</v>
      </c>
      <c r="AE24" s="104">
        <v>0</v>
      </c>
      <c r="AF24" s="104">
        <v>0</v>
      </c>
      <c r="AG24" s="104">
        <v>0</v>
      </c>
      <c r="AH24" s="104">
        <v>0</v>
      </c>
      <c r="AI24" s="104">
        <v>0</v>
      </c>
    </row>
    <row r="25" spans="1:35" customFormat="1" x14ac:dyDescent="0.15">
      <c r="A25" s="178" t="s">
        <v>215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0</v>
      </c>
      <c r="R25" s="104">
        <v>0</v>
      </c>
      <c r="S25" s="104">
        <v>0</v>
      </c>
      <c r="T25" s="104">
        <v>0.8</v>
      </c>
      <c r="U25" s="104">
        <v>0</v>
      </c>
      <c r="V25" s="104">
        <v>0</v>
      </c>
      <c r="W25" s="104">
        <v>0.8</v>
      </c>
      <c r="X25" s="104">
        <v>0</v>
      </c>
      <c r="Y25" s="104">
        <v>0</v>
      </c>
      <c r="Z25" s="104">
        <v>0</v>
      </c>
      <c r="AA25" s="104">
        <v>0</v>
      </c>
      <c r="AB25" s="104">
        <v>0</v>
      </c>
      <c r="AC25" s="104">
        <v>0</v>
      </c>
      <c r="AD25" s="104">
        <v>0</v>
      </c>
      <c r="AE25" s="104">
        <v>0</v>
      </c>
      <c r="AF25" s="104">
        <v>0</v>
      </c>
      <c r="AG25" s="104">
        <v>0</v>
      </c>
      <c r="AH25" s="104">
        <v>0</v>
      </c>
      <c r="AI25" s="104">
        <v>0</v>
      </c>
    </row>
    <row r="26" spans="1:35" customFormat="1" x14ac:dyDescent="0.15">
      <c r="A26" s="178" t="s">
        <v>216</v>
      </c>
      <c r="B26" s="104">
        <v>0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0</v>
      </c>
      <c r="J26" s="104">
        <v>0</v>
      </c>
      <c r="K26" s="104">
        <v>0</v>
      </c>
      <c r="L26" s="104">
        <v>0</v>
      </c>
      <c r="M26" s="104">
        <v>0</v>
      </c>
      <c r="N26" s="104">
        <v>0</v>
      </c>
      <c r="O26" s="104">
        <v>0</v>
      </c>
      <c r="P26" s="104">
        <v>0</v>
      </c>
      <c r="Q26" s="104">
        <v>0</v>
      </c>
      <c r="R26" s="104">
        <v>0</v>
      </c>
      <c r="S26" s="104">
        <v>0</v>
      </c>
      <c r="T26" s="104">
        <v>0</v>
      </c>
      <c r="U26" s="104">
        <v>0.8</v>
      </c>
      <c r="V26" s="104">
        <v>0</v>
      </c>
      <c r="W26" s="104">
        <v>0.8</v>
      </c>
      <c r="X26" s="104">
        <v>0</v>
      </c>
      <c r="Y26" s="104">
        <v>0.8</v>
      </c>
      <c r="Z26" s="104">
        <v>0.8</v>
      </c>
      <c r="AA26" s="104">
        <v>0.8</v>
      </c>
      <c r="AB26" s="104">
        <v>0</v>
      </c>
      <c r="AC26" s="104">
        <v>0</v>
      </c>
      <c r="AD26" s="104">
        <v>0</v>
      </c>
      <c r="AE26" s="104">
        <v>0</v>
      </c>
      <c r="AF26" s="104">
        <v>0.8</v>
      </c>
      <c r="AG26" s="104">
        <v>0</v>
      </c>
      <c r="AH26" s="104">
        <v>0</v>
      </c>
      <c r="AI26" s="104">
        <v>0</v>
      </c>
    </row>
    <row r="27" spans="1:35" customFormat="1" x14ac:dyDescent="0.15">
      <c r="A27" s="178" t="s">
        <v>217</v>
      </c>
      <c r="B27" s="104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0</v>
      </c>
      <c r="R27" s="104">
        <v>0</v>
      </c>
      <c r="S27" s="104">
        <v>0</v>
      </c>
      <c r="T27" s="104">
        <v>0.8</v>
      </c>
      <c r="U27" s="104">
        <v>0</v>
      </c>
      <c r="V27" s="104">
        <v>0</v>
      </c>
      <c r="W27" s="104">
        <v>0.8</v>
      </c>
      <c r="X27" s="104">
        <v>0</v>
      </c>
      <c r="Y27" s="104">
        <v>0</v>
      </c>
      <c r="Z27" s="104">
        <v>0</v>
      </c>
      <c r="AA27" s="104">
        <v>0.8</v>
      </c>
      <c r="AB27" s="104">
        <v>0</v>
      </c>
      <c r="AC27" s="104">
        <v>0</v>
      </c>
      <c r="AD27" s="104">
        <v>0</v>
      </c>
      <c r="AE27" s="104">
        <v>0</v>
      </c>
      <c r="AF27" s="104">
        <v>0.8</v>
      </c>
      <c r="AG27" s="104">
        <v>0</v>
      </c>
      <c r="AH27" s="104">
        <v>0</v>
      </c>
      <c r="AI27" s="104">
        <v>0</v>
      </c>
    </row>
    <row r="28" spans="1:35" customFormat="1" x14ac:dyDescent="0.15">
      <c r="A28" s="178" t="s">
        <v>218</v>
      </c>
      <c r="B28" s="104">
        <v>0</v>
      </c>
      <c r="C28" s="104">
        <v>0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0</v>
      </c>
      <c r="L28" s="104">
        <v>0</v>
      </c>
      <c r="M28" s="104">
        <v>0</v>
      </c>
      <c r="N28" s="104">
        <v>0</v>
      </c>
      <c r="O28" s="104">
        <v>0</v>
      </c>
      <c r="P28" s="104">
        <v>0</v>
      </c>
      <c r="Q28" s="104">
        <v>0</v>
      </c>
      <c r="R28" s="104">
        <v>0.8</v>
      </c>
      <c r="S28" s="104">
        <v>0.8</v>
      </c>
      <c r="T28" s="104">
        <v>0.8</v>
      </c>
      <c r="U28" s="104">
        <v>0</v>
      </c>
      <c r="V28" s="104">
        <v>0</v>
      </c>
      <c r="W28" s="104">
        <v>0</v>
      </c>
      <c r="X28" s="104">
        <v>0</v>
      </c>
      <c r="Y28" s="104">
        <v>0.8</v>
      </c>
      <c r="Z28" s="104">
        <v>0</v>
      </c>
      <c r="AA28" s="104">
        <v>0</v>
      </c>
      <c r="AB28" s="104">
        <v>0</v>
      </c>
      <c r="AC28" s="104">
        <v>0</v>
      </c>
      <c r="AD28" s="104">
        <v>0</v>
      </c>
      <c r="AE28" s="104">
        <v>0</v>
      </c>
      <c r="AF28" s="104">
        <v>0</v>
      </c>
      <c r="AG28" s="104">
        <v>0</v>
      </c>
      <c r="AH28" s="104">
        <v>0</v>
      </c>
      <c r="AI28" s="104">
        <v>0</v>
      </c>
    </row>
    <row r="29" spans="1:35" customFormat="1" x14ac:dyDescent="0.15">
      <c r="A29" s="178" t="s">
        <v>219</v>
      </c>
      <c r="B29" s="104">
        <v>0</v>
      </c>
      <c r="C29" s="104">
        <v>0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0.8</v>
      </c>
      <c r="X29" s="104">
        <v>0</v>
      </c>
      <c r="Y29" s="104">
        <v>0</v>
      </c>
      <c r="Z29" s="104">
        <v>0</v>
      </c>
      <c r="AA29" s="104">
        <v>0</v>
      </c>
      <c r="AB29" s="104">
        <v>0</v>
      </c>
      <c r="AC29" s="104">
        <v>0.8</v>
      </c>
      <c r="AD29" s="104">
        <v>0</v>
      </c>
      <c r="AE29" s="104">
        <v>0</v>
      </c>
      <c r="AF29" s="104">
        <v>0</v>
      </c>
      <c r="AG29" s="104">
        <v>0</v>
      </c>
      <c r="AH29" s="104">
        <v>0</v>
      </c>
      <c r="AI29" s="104">
        <v>0</v>
      </c>
    </row>
    <row r="30" spans="1:35" customFormat="1" x14ac:dyDescent="0.15">
      <c r="A30" s="178" t="s">
        <v>220</v>
      </c>
      <c r="B30" s="104">
        <v>0</v>
      </c>
      <c r="C30" s="104">
        <v>0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0</v>
      </c>
      <c r="P30" s="104">
        <v>0</v>
      </c>
      <c r="Q30" s="104">
        <v>0</v>
      </c>
      <c r="R30" s="104">
        <v>0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0</v>
      </c>
      <c r="Z30" s="104">
        <v>0</v>
      </c>
      <c r="AA30" s="104">
        <v>0</v>
      </c>
      <c r="AB30" s="104">
        <v>0</v>
      </c>
      <c r="AC30" s="104">
        <v>0</v>
      </c>
      <c r="AD30" s="104">
        <v>0</v>
      </c>
      <c r="AE30" s="104">
        <v>0</v>
      </c>
      <c r="AF30" s="104">
        <v>0</v>
      </c>
      <c r="AG30" s="104">
        <v>0</v>
      </c>
      <c r="AH30" s="104">
        <v>0</v>
      </c>
      <c r="AI30" s="104">
        <v>0</v>
      </c>
    </row>
    <row r="31" spans="1:35" customFormat="1" x14ac:dyDescent="0.15">
      <c r="A31" s="178" t="s">
        <v>221</v>
      </c>
      <c r="B31" s="104">
        <v>0</v>
      </c>
      <c r="C31" s="104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0</v>
      </c>
      <c r="O31" s="104">
        <v>0</v>
      </c>
      <c r="P31" s="104">
        <v>0</v>
      </c>
      <c r="Q31" s="104">
        <v>0</v>
      </c>
      <c r="R31" s="104">
        <v>0</v>
      </c>
      <c r="S31" s="104">
        <v>0</v>
      </c>
      <c r="T31" s="104">
        <v>0</v>
      </c>
      <c r="U31" s="104">
        <v>0</v>
      </c>
      <c r="V31" s="104">
        <v>0</v>
      </c>
      <c r="W31" s="104">
        <v>0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04">
        <v>0</v>
      </c>
      <c r="AE31" s="104">
        <v>0</v>
      </c>
      <c r="AF31" s="104">
        <v>0</v>
      </c>
      <c r="AG31" s="104">
        <v>0</v>
      </c>
      <c r="AH31" s="104">
        <v>0</v>
      </c>
      <c r="AI31" s="104">
        <v>0</v>
      </c>
    </row>
    <row r="32" spans="1:35" customFormat="1" x14ac:dyDescent="0.15">
      <c r="A32" s="178" t="s">
        <v>222</v>
      </c>
      <c r="B32" s="104">
        <v>0</v>
      </c>
      <c r="C32" s="104">
        <v>0</v>
      </c>
      <c r="D32" s="104">
        <v>0</v>
      </c>
      <c r="E32" s="104">
        <v>0</v>
      </c>
      <c r="F32" s="104">
        <v>0</v>
      </c>
      <c r="G32" s="104">
        <v>0</v>
      </c>
      <c r="H32" s="104">
        <v>0</v>
      </c>
      <c r="I32" s="104">
        <v>0</v>
      </c>
      <c r="J32" s="104">
        <v>0</v>
      </c>
      <c r="K32" s="104">
        <v>0</v>
      </c>
      <c r="L32" s="104">
        <v>0</v>
      </c>
      <c r="M32" s="104">
        <v>0</v>
      </c>
      <c r="N32" s="104">
        <v>0</v>
      </c>
      <c r="O32" s="104">
        <v>0</v>
      </c>
      <c r="P32" s="104">
        <v>0</v>
      </c>
      <c r="Q32" s="104">
        <v>0</v>
      </c>
      <c r="R32" s="104">
        <v>0</v>
      </c>
      <c r="S32" s="104">
        <v>0</v>
      </c>
      <c r="T32" s="104">
        <v>0</v>
      </c>
      <c r="U32" s="104">
        <v>0</v>
      </c>
      <c r="V32" s="104">
        <v>0</v>
      </c>
      <c r="W32" s="104">
        <v>0</v>
      </c>
      <c r="X32" s="104">
        <v>0</v>
      </c>
      <c r="Y32" s="104">
        <v>0</v>
      </c>
      <c r="Z32" s="104">
        <v>0</v>
      </c>
      <c r="AA32" s="104">
        <v>0</v>
      </c>
      <c r="AB32" s="104">
        <v>0</v>
      </c>
      <c r="AC32" s="104">
        <v>0</v>
      </c>
      <c r="AD32" s="104">
        <v>0</v>
      </c>
      <c r="AE32" s="104">
        <v>0</v>
      </c>
      <c r="AF32" s="104">
        <v>0</v>
      </c>
      <c r="AG32" s="104">
        <v>0</v>
      </c>
      <c r="AH32" s="104">
        <v>0</v>
      </c>
      <c r="AI32" s="104">
        <v>0</v>
      </c>
    </row>
    <row r="33" spans="1:35" x14ac:dyDescent="0.15">
      <c r="A33" s="178" t="s">
        <v>223</v>
      </c>
      <c r="B33" s="104">
        <v>0</v>
      </c>
      <c r="C33" s="104">
        <v>0</v>
      </c>
      <c r="D33" s="104">
        <v>0</v>
      </c>
      <c r="E33" s="104">
        <v>0</v>
      </c>
      <c r="F33" s="104">
        <v>0</v>
      </c>
      <c r="G33" s="104">
        <v>0</v>
      </c>
      <c r="H33" s="104">
        <v>0</v>
      </c>
      <c r="I33" s="104">
        <v>0</v>
      </c>
      <c r="J33" s="104">
        <v>0</v>
      </c>
      <c r="K33" s="104">
        <v>0</v>
      </c>
      <c r="L33" s="104">
        <v>0</v>
      </c>
      <c r="M33" s="104">
        <v>0</v>
      </c>
      <c r="N33" s="104">
        <v>0</v>
      </c>
      <c r="O33" s="104">
        <v>0</v>
      </c>
      <c r="P33" s="104">
        <v>0</v>
      </c>
      <c r="Q33" s="104">
        <v>0</v>
      </c>
      <c r="R33" s="104">
        <v>0</v>
      </c>
      <c r="S33" s="104">
        <v>0</v>
      </c>
      <c r="T33" s="104">
        <v>0</v>
      </c>
      <c r="U33" s="104">
        <v>0</v>
      </c>
      <c r="V33" s="104">
        <v>0</v>
      </c>
      <c r="W33" s="104">
        <v>0</v>
      </c>
      <c r="X33" s="104">
        <v>0</v>
      </c>
      <c r="Y33" s="104">
        <v>0</v>
      </c>
      <c r="Z33" s="104">
        <v>0</v>
      </c>
      <c r="AA33" s="104">
        <v>0</v>
      </c>
      <c r="AB33" s="104">
        <v>0</v>
      </c>
      <c r="AC33" s="104">
        <v>0</v>
      </c>
      <c r="AD33" s="104">
        <v>0</v>
      </c>
      <c r="AE33" s="104">
        <v>0</v>
      </c>
      <c r="AF33" s="104">
        <v>0</v>
      </c>
      <c r="AG33" s="104">
        <v>0</v>
      </c>
      <c r="AH33" s="104">
        <v>0</v>
      </c>
      <c r="AI33" s="104">
        <v>0</v>
      </c>
    </row>
    <row r="34" spans="1:35" x14ac:dyDescent="0.15">
      <c r="A34" s="178" t="s">
        <v>224</v>
      </c>
      <c r="B34" s="104">
        <v>0</v>
      </c>
      <c r="C34" s="104">
        <v>0</v>
      </c>
      <c r="D34" s="104">
        <v>0.8</v>
      </c>
      <c r="E34" s="104">
        <v>0</v>
      </c>
      <c r="F34" s="104">
        <v>0</v>
      </c>
      <c r="G34" s="104">
        <v>0.8</v>
      </c>
      <c r="H34" s="104">
        <v>0.8</v>
      </c>
      <c r="I34" s="104">
        <v>0</v>
      </c>
      <c r="J34" s="104">
        <v>0</v>
      </c>
      <c r="K34" s="104">
        <v>0</v>
      </c>
      <c r="L34" s="104">
        <v>0</v>
      </c>
      <c r="M34" s="104">
        <v>0</v>
      </c>
      <c r="N34" s="104">
        <v>0</v>
      </c>
      <c r="O34" s="104">
        <v>0.8</v>
      </c>
      <c r="P34" s="104">
        <v>0</v>
      </c>
      <c r="Q34" s="104">
        <v>0</v>
      </c>
      <c r="R34" s="104">
        <v>0</v>
      </c>
      <c r="S34" s="104">
        <v>0</v>
      </c>
      <c r="T34" s="104">
        <v>0</v>
      </c>
      <c r="U34" s="104">
        <v>0</v>
      </c>
      <c r="V34" s="104">
        <v>0</v>
      </c>
      <c r="W34" s="104">
        <v>0</v>
      </c>
      <c r="X34" s="104">
        <v>0.8</v>
      </c>
      <c r="Y34" s="104">
        <v>0.8</v>
      </c>
      <c r="Z34" s="104">
        <v>0</v>
      </c>
      <c r="AA34" s="104">
        <v>0.8</v>
      </c>
      <c r="AB34" s="104">
        <v>0</v>
      </c>
      <c r="AC34" s="104">
        <v>0.8</v>
      </c>
      <c r="AD34" s="104">
        <v>0</v>
      </c>
      <c r="AE34" s="104">
        <v>0</v>
      </c>
      <c r="AF34" s="104">
        <v>0</v>
      </c>
      <c r="AG34" s="104">
        <v>0</v>
      </c>
      <c r="AH34" s="104">
        <v>0</v>
      </c>
      <c r="AI34" s="104">
        <v>0</v>
      </c>
    </row>
    <row r="35" spans="1:35" x14ac:dyDescent="0.15">
      <c r="A35" s="178" t="s">
        <v>225</v>
      </c>
      <c r="B35" s="104">
        <v>0</v>
      </c>
      <c r="C35" s="104">
        <v>0</v>
      </c>
      <c r="D35" s="104">
        <v>0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104">
        <v>0</v>
      </c>
      <c r="O35" s="104">
        <v>0</v>
      </c>
      <c r="P35" s="104">
        <v>0</v>
      </c>
      <c r="Q35" s="104">
        <v>0</v>
      </c>
      <c r="R35" s="104">
        <v>0</v>
      </c>
      <c r="S35" s="104">
        <v>0</v>
      </c>
      <c r="T35" s="104">
        <v>0</v>
      </c>
      <c r="U35" s="104">
        <v>0</v>
      </c>
      <c r="V35" s="104">
        <v>0</v>
      </c>
      <c r="W35" s="104">
        <v>0</v>
      </c>
      <c r="X35" s="104">
        <v>0</v>
      </c>
      <c r="Y35" s="104">
        <v>0</v>
      </c>
      <c r="Z35" s="104">
        <v>0</v>
      </c>
      <c r="AA35" s="104">
        <v>0</v>
      </c>
      <c r="AB35" s="104">
        <v>0</v>
      </c>
      <c r="AC35" s="104">
        <v>0</v>
      </c>
      <c r="AD35" s="104">
        <v>0</v>
      </c>
      <c r="AE35" s="104">
        <v>0</v>
      </c>
      <c r="AF35" s="104">
        <v>0</v>
      </c>
      <c r="AG35" s="104">
        <v>0</v>
      </c>
      <c r="AH35" s="104">
        <v>0</v>
      </c>
      <c r="AI35" s="104">
        <v>0</v>
      </c>
    </row>
    <row r="36" spans="1:35" x14ac:dyDescent="0.15">
      <c r="A36" s="178" t="s">
        <v>227</v>
      </c>
      <c r="B36" s="104">
        <v>0</v>
      </c>
      <c r="C36" s="104">
        <v>0</v>
      </c>
      <c r="D36" s="104">
        <v>0</v>
      </c>
      <c r="E36" s="104">
        <v>0</v>
      </c>
      <c r="F36" s="104">
        <v>0</v>
      </c>
      <c r="G36" s="104">
        <v>0</v>
      </c>
      <c r="H36" s="104">
        <v>0.8</v>
      </c>
      <c r="I36" s="104">
        <v>0</v>
      </c>
      <c r="J36" s="104">
        <v>0</v>
      </c>
      <c r="K36" s="104">
        <v>0</v>
      </c>
      <c r="L36" s="104">
        <v>0</v>
      </c>
      <c r="M36" s="104">
        <v>0.8</v>
      </c>
      <c r="N36" s="104">
        <v>0.8</v>
      </c>
      <c r="O36" s="104">
        <v>0</v>
      </c>
      <c r="P36" s="104">
        <v>0</v>
      </c>
      <c r="Q36" s="104">
        <v>0</v>
      </c>
      <c r="R36" s="104">
        <v>0</v>
      </c>
      <c r="S36" s="104">
        <v>0</v>
      </c>
      <c r="T36" s="104">
        <v>0</v>
      </c>
      <c r="U36" s="104">
        <v>0</v>
      </c>
      <c r="V36" s="104">
        <v>0</v>
      </c>
      <c r="W36" s="104">
        <v>0</v>
      </c>
      <c r="X36" s="104">
        <v>0</v>
      </c>
      <c r="Y36" s="104">
        <v>0</v>
      </c>
      <c r="Z36" s="104">
        <v>0</v>
      </c>
      <c r="AA36" s="104">
        <v>0</v>
      </c>
      <c r="AB36" s="104">
        <v>0</v>
      </c>
      <c r="AC36" s="104">
        <v>0</v>
      </c>
      <c r="AD36" s="104">
        <v>0</v>
      </c>
      <c r="AE36" s="104">
        <v>0</v>
      </c>
      <c r="AF36" s="104">
        <v>0</v>
      </c>
      <c r="AG36" s="104">
        <v>0</v>
      </c>
      <c r="AH36" s="104">
        <v>0</v>
      </c>
      <c r="AI36" s="10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21.6640625" style="104" bestFit="1" customWidth="1"/>
    <col min="2" max="35" width="2.33203125" style="104" customWidth="1"/>
    <col min="36" max="16384" width="10.83203125" style="104"/>
  </cols>
  <sheetData>
    <row r="1" spans="1:35" x14ac:dyDescent="0.15">
      <c r="A1" s="61" t="s">
        <v>139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 s="181" t="s">
        <v>220</v>
      </c>
      <c r="AE1" s="181" t="s">
        <v>221</v>
      </c>
      <c r="AF1" s="181" t="s">
        <v>222</v>
      </c>
      <c r="AG1" s="181" t="s">
        <v>223</v>
      </c>
      <c r="AH1" s="181" t="s">
        <v>224</v>
      </c>
      <c r="AI1" s="181" t="s">
        <v>225</v>
      </c>
    </row>
    <row r="2" spans="1:35" customFormat="1" x14ac:dyDescent="0.15">
      <c r="A2" s="180" t="s">
        <v>192</v>
      </c>
      <c r="B2" s="104">
        <v>0</v>
      </c>
      <c r="C2" s="104">
        <v>0</v>
      </c>
      <c r="D2" s="104">
        <v>1</v>
      </c>
      <c r="E2" s="104">
        <v>1</v>
      </c>
      <c r="F2" s="104">
        <v>1</v>
      </c>
      <c r="G2" s="104">
        <v>0</v>
      </c>
      <c r="H2" s="104">
        <v>0</v>
      </c>
      <c r="I2" s="104">
        <v>1</v>
      </c>
      <c r="J2" s="104">
        <v>1</v>
      </c>
      <c r="K2" s="104">
        <v>0</v>
      </c>
      <c r="L2" s="104">
        <v>0</v>
      </c>
      <c r="M2" s="104">
        <v>0</v>
      </c>
      <c r="N2" s="104">
        <v>1</v>
      </c>
      <c r="O2" s="104">
        <v>0</v>
      </c>
      <c r="P2" s="104">
        <v>1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  <c r="V2" s="104">
        <v>1</v>
      </c>
      <c r="W2" s="104">
        <v>0</v>
      </c>
      <c r="X2" s="104">
        <v>1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  <c r="AF2" s="104">
        <v>0</v>
      </c>
      <c r="AG2" s="104">
        <v>0</v>
      </c>
      <c r="AH2" s="104">
        <v>0</v>
      </c>
      <c r="AI2" s="104">
        <v>0</v>
      </c>
    </row>
    <row r="3" spans="1:35" customFormat="1" x14ac:dyDescent="0.15">
      <c r="A3" s="180" t="s">
        <v>193</v>
      </c>
      <c r="B3" s="104">
        <v>0</v>
      </c>
      <c r="C3" s="104">
        <v>0</v>
      </c>
      <c r="D3" s="104">
        <v>1</v>
      </c>
      <c r="E3" s="104">
        <v>1</v>
      </c>
      <c r="F3" s="104">
        <v>1</v>
      </c>
      <c r="G3" s="104">
        <v>0</v>
      </c>
      <c r="H3" s="104">
        <v>0</v>
      </c>
      <c r="I3" s="104">
        <v>1</v>
      </c>
      <c r="J3" s="104">
        <v>1</v>
      </c>
      <c r="K3" s="104">
        <v>0</v>
      </c>
      <c r="L3" s="104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  <c r="V3" s="104">
        <v>0</v>
      </c>
      <c r="W3" s="104">
        <v>0</v>
      </c>
      <c r="X3" s="104">
        <v>0</v>
      </c>
      <c r="Y3" s="104">
        <v>0</v>
      </c>
      <c r="Z3" s="104">
        <v>0</v>
      </c>
      <c r="AA3" s="104">
        <v>0</v>
      </c>
      <c r="AB3" s="104">
        <v>0</v>
      </c>
      <c r="AC3" s="104">
        <v>0</v>
      </c>
      <c r="AD3" s="104">
        <v>0</v>
      </c>
      <c r="AE3" s="104">
        <v>0</v>
      </c>
      <c r="AF3" s="104">
        <v>0</v>
      </c>
      <c r="AG3" s="104">
        <v>0</v>
      </c>
      <c r="AH3" s="104">
        <v>0</v>
      </c>
      <c r="AI3" s="104">
        <v>0</v>
      </c>
    </row>
    <row r="4" spans="1:35" customFormat="1" x14ac:dyDescent="0.15">
      <c r="A4" s="180" t="s">
        <v>194</v>
      </c>
      <c r="B4" s="104">
        <v>0</v>
      </c>
      <c r="C4" s="104">
        <v>0</v>
      </c>
      <c r="D4" s="104">
        <v>1</v>
      </c>
      <c r="E4" s="104">
        <v>1</v>
      </c>
      <c r="F4" s="104">
        <v>1</v>
      </c>
      <c r="G4" s="104">
        <v>0</v>
      </c>
      <c r="H4" s="104">
        <v>0</v>
      </c>
      <c r="I4" s="104">
        <v>1</v>
      </c>
      <c r="J4" s="104">
        <v>1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1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  <c r="V4" s="104">
        <v>0</v>
      </c>
      <c r="W4" s="104">
        <v>0</v>
      </c>
      <c r="X4" s="104">
        <v>0</v>
      </c>
      <c r="Y4" s="104">
        <v>0</v>
      </c>
      <c r="Z4" s="104">
        <v>0</v>
      </c>
      <c r="AA4" s="104">
        <v>0</v>
      </c>
      <c r="AB4" s="104">
        <v>0</v>
      </c>
      <c r="AC4" s="104">
        <v>0</v>
      </c>
      <c r="AD4" s="104">
        <v>0</v>
      </c>
      <c r="AE4" s="104">
        <v>0</v>
      </c>
      <c r="AF4" s="104">
        <v>0</v>
      </c>
      <c r="AG4" s="104">
        <v>0</v>
      </c>
      <c r="AH4" s="104">
        <v>0</v>
      </c>
      <c r="AI4" s="104">
        <v>0</v>
      </c>
    </row>
    <row r="5" spans="1:35" customFormat="1" x14ac:dyDescent="0.15">
      <c r="A5" s="180" t="s">
        <v>195</v>
      </c>
      <c r="B5" s="104">
        <v>0</v>
      </c>
      <c r="C5" s="104">
        <v>0</v>
      </c>
      <c r="D5" s="104">
        <v>0</v>
      </c>
      <c r="E5" s="104">
        <v>0</v>
      </c>
      <c r="F5" s="104">
        <v>0</v>
      </c>
      <c r="G5" s="104">
        <v>1</v>
      </c>
      <c r="H5" s="104">
        <v>0</v>
      </c>
      <c r="I5" s="104">
        <v>1</v>
      </c>
      <c r="J5" s="104">
        <v>1</v>
      </c>
      <c r="K5" s="104">
        <v>1</v>
      </c>
      <c r="L5" s="104">
        <v>1</v>
      </c>
      <c r="M5" s="104">
        <v>0</v>
      </c>
      <c r="N5" s="104">
        <v>1</v>
      </c>
      <c r="O5" s="104">
        <v>0</v>
      </c>
      <c r="P5" s="104">
        <v>1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  <c r="V5" s="104">
        <v>1</v>
      </c>
      <c r="W5" s="104">
        <v>0</v>
      </c>
      <c r="X5" s="104">
        <v>1</v>
      </c>
      <c r="Y5" s="104">
        <v>0</v>
      </c>
      <c r="Z5" s="104">
        <v>0</v>
      </c>
      <c r="AA5" s="104">
        <v>0</v>
      </c>
      <c r="AB5" s="104">
        <v>0</v>
      </c>
      <c r="AC5" s="104">
        <v>1</v>
      </c>
      <c r="AD5" s="104">
        <v>0</v>
      </c>
      <c r="AE5" s="104">
        <v>0</v>
      </c>
      <c r="AF5" s="104">
        <v>0</v>
      </c>
      <c r="AG5" s="104">
        <v>0</v>
      </c>
      <c r="AH5" s="104">
        <v>0</v>
      </c>
      <c r="AI5" s="104">
        <v>0</v>
      </c>
    </row>
    <row r="6" spans="1:35" customFormat="1" x14ac:dyDescent="0.15">
      <c r="A6" s="180" t="s">
        <v>196</v>
      </c>
      <c r="B6" s="104">
        <v>0</v>
      </c>
      <c r="C6" s="104">
        <v>0</v>
      </c>
      <c r="D6" s="104">
        <v>0</v>
      </c>
      <c r="E6" s="104">
        <v>0</v>
      </c>
      <c r="F6" s="104">
        <v>0</v>
      </c>
      <c r="G6" s="104">
        <v>1</v>
      </c>
      <c r="H6" s="104">
        <v>0</v>
      </c>
      <c r="I6" s="104">
        <v>1</v>
      </c>
      <c r="J6" s="104">
        <v>1</v>
      </c>
      <c r="K6" s="104">
        <v>1</v>
      </c>
      <c r="L6" s="104">
        <v>1</v>
      </c>
      <c r="M6" s="104">
        <v>1</v>
      </c>
      <c r="N6" s="104">
        <v>0</v>
      </c>
      <c r="O6" s="104">
        <v>1</v>
      </c>
      <c r="P6" s="104">
        <v>1</v>
      </c>
      <c r="Q6" s="104">
        <v>0</v>
      </c>
      <c r="R6" s="104">
        <v>1</v>
      </c>
      <c r="S6" s="104">
        <v>1</v>
      </c>
      <c r="T6" s="104">
        <v>1</v>
      </c>
      <c r="U6" s="104">
        <v>0</v>
      </c>
      <c r="V6" s="104">
        <v>0</v>
      </c>
      <c r="W6" s="104">
        <v>1</v>
      </c>
      <c r="X6" s="104">
        <v>1</v>
      </c>
      <c r="Y6" s="104">
        <v>0</v>
      </c>
      <c r="Z6" s="104">
        <v>1</v>
      </c>
      <c r="AA6" s="104">
        <v>1</v>
      </c>
      <c r="AB6" s="104">
        <v>1</v>
      </c>
      <c r="AC6" s="104">
        <v>1</v>
      </c>
      <c r="AD6" s="104">
        <v>0</v>
      </c>
      <c r="AE6" s="104">
        <v>0</v>
      </c>
      <c r="AF6" s="104">
        <v>0</v>
      </c>
      <c r="AG6" s="104">
        <v>1</v>
      </c>
      <c r="AH6" s="104">
        <v>0</v>
      </c>
      <c r="AI6" s="104">
        <v>0</v>
      </c>
    </row>
    <row r="7" spans="1:35" customFormat="1" x14ac:dyDescent="0.15">
      <c r="A7" s="180" t="s">
        <v>197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04">
        <v>0</v>
      </c>
      <c r="J7" s="104">
        <v>0</v>
      </c>
      <c r="K7" s="104">
        <v>0</v>
      </c>
      <c r="L7" s="104">
        <v>0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  <c r="V7" s="104">
        <v>0</v>
      </c>
      <c r="W7" s="104">
        <v>0</v>
      </c>
      <c r="X7" s="104">
        <v>0</v>
      </c>
      <c r="Y7" s="104">
        <v>0</v>
      </c>
      <c r="Z7" s="104">
        <v>0</v>
      </c>
      <c r="AA7" s="104">
        <v>1</v>
      </c>
      <c r="AB7" s="104">
        <v>0</v>
      </c>
      <c r="AC7" s="104">
        <v>0</v>
      </c>
      <c r="AD7" s="104">
        <v>0</v>
      </c>
      <c r="AE7" s="104">
        <v>0</v>
      </c>
      <c r="AF7" s="104">
        <v>0</v>
      </c>
      <c r="AG7" s="104">
        <v>0</v>
      </c>
      <c r="AH7" s="104">
        <v>0</v>
      </c>
      <c r="AI7" s="104">
        <v>0</v>
      </c>
    </row>
    <row r="8" spans="1:35" customFormat="1" x14ac:dyDescent="0.15">
      <c r="A8" s="180" t="s">
        <v>198</v>
      </c>
      <c r="B8" s="104">
        <v>0</v>
      </c>
      <c r="C8" s="104">
        <v>0</v>
      </c>
      <c r="D8" s="104">
        <v>0</v>
      </c>
      <c r="E8" s="104">
        <v>0</v>
      </c>
      <c r="F8" s="104">
        <v>0</v>
      </c>
      <c r="G8" s="104">
        <v>0</v>
      </c>
      <c r="H8" s="104">
        <v>1</v>
      </c>
      <c r="I8" s="104">
        <v>0</v>
      </c>
      <c r="J8" s="104">
        <v>0</v>
      </c>
      <c r="K8" s="104">
        <v>0</v>
      </c>
      <c r="L8" s="104">
        <v>0</v>
      </c>
      <c r="M8" s="104">
        <v>0</v>
      </c>
      <c r="N8" s="104">
        <v>0</v>
      </c>
      <c r="O8" s="104">
        <v>1</v>
      </c>
      <c r="P8" s="104">
        <v>0</v>
      </c>
      <c r="Q8" s="104">
        <v>0</v>
      </c>
      <c r="R8" s="104">
        <v>1</v>
      </c>
      <c r="S8" s="104">
        <v>1</v>
      </c>
      <c r="T8" s="104">
        <v>1</v>
      </c>
      <c r="U8" s="104">
        <v>1</v>
      </c>
      <c r="V8" s="104">
        <v>0</v>
      </c>
      <c r="W8" s="104">
        <v>1</v>
      </c>
      <c r="X8" s="104">
        <v>1</v>
      </c>
      <c r="Y8" s="104">
        <v>1</v>
      </c>
      <c r="Z8" s="104">
        <v>1</v>
      </c>
      <c r="AA8" s="104">
        <v>1</v>
      </c>
      <c r="AB8" s="104">
        <v>1</v>
      </c>
      <c r="AC8" s="104">
        <v>1</v>
      </c>
      <c r="AD8" s="104">
        <v>0</v>
      </c>
      <c r="AE8" s="104">
        <v>0</v>
      </c>
      <c r="AF8" s="104">
        <v>0</v>
      </c>
      <c r="AG8" s="104">
        <v>0</v>
      </c>
      <c r="AH8" s="104">
        <v>0</v>
      </c>
      <c r="AI8" s="104">
        <v>0</v>
      </c>
    </row>
    <row r="9" spans="1:35" customFormat="1" x14ac:dyDescent="0.15">
      <c r="A9" s="180" t="s">
        <v>199</v>
      </c>
      <c r="B9" s="104">
        <v>0</v>
      </c>
      <c r="C9" s="104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1</v>
      </c>
      <c r="S9" s="104">
        <v>0</v>
      </c>
      <c r="T9" s="104">
        <v>0</v>
      </c>
      <c r="U9" s="104">
        <v>0</v>
      </c>
      <c r="V9" s="104">
        <v>0</v>
      </c>
      <c r="W9" s="104">
        <v>1</v>
      </c>
      <c r="X9" s="104">
        <v>0</v>
      </c>
      <c r="Y9" s="104">
        <v>0</v>
      </c>
      <c r="Z9" s="104">
        <v>0</v>
      </c>
      <c r="AA9" s="104">
        <v>1</v>
      </c>
      <c r="AB9" s="104">
        <v>0</v>
      </c>
      <c r="AC9" s="104">
        <v>0</v>
      </c>
      <c r="AD9" s="104">
        <v>0</v>
      </c>
      <c r="AE9" s="104">
        <v>0</v>
      </c>
      <c r="AF9" s="104">
        <v>0</v>
      </c>
      <c r="AG9" s="104">
        <v>0</v>
      </c>
      <c r="AH9" s="104">
        <v>0</v>
      </c>
      <c r="AI9" s="104">
        <v>0</v>
      </c>
    </row>
    <row r="10" spans="1:35" customFormat="1" x14ac:dyDescent="0.15">
      <c r="A10" s="180" t="s">
        <v>200</v>
      </c>
      <c r="B10" s="104">
        <v>0</v>
      </c>
      <c r="C10" s="104">
        <v>0</v>
      </c>
      <c r="D10" s="104">
        <v>0</v>
      </c>
      <c r="E10" s="104">
        <v>0</v>
      </c>
      <c r="F10" s="104">
        <v>0</v>
      </c>
      <c r="G10" s="104">
        <v>0</v>
      </c>
      <c r="H10" s="104">
        <v>0</v>
      </c>
      <c r="I10" s="104">
        <v>0</v>
      </c>
      <c r="J10" s="104">
        <v>0</v>
      </c>
      <c r="K10" s="104">
        <v>0</v>
      </c>
      <c r="L10" s="104">
        <v>1</v>
      </c>
      <c r="M10" s="104">
        <v>0</v>
      </c>
      <c r="N10" s="104">
        <v>0</v>
      </c>
      <c r="O10" s="104">
        <v>1</v>
      </c>
      <c r="P10" s="104">
        <v>0</v>
      </c>
      <c r="Q10" s="104">
        <v>1</v>
      </c>
      <c r="R10" s="104">
        <v>1</v>
      </c>
      <c r="S10" s="104">
        <v>1</v>
      </c>
      <c r="T10" s="104">
        <v>1</v>
      </c>
      <c r="U10" s="104">
        <v>1</v>
      </c>
      <c r="V10" s="104">
        <v>0</v>
      </c>
      <c r="W10" s="104">
        <v>1</v>
      </c>
      <c r="X10" s="104">
        <v>0</v>
      </c>
      <c r="Y10" s="104">
        <v>0</v>
      </c>
      <c r="Z10" s="104">
        <v>1</v>
      </c>
      <c r="AA10" s="104">
        <v>1</v>
      </c>
      <c r="AB10" s="104">
        <v>0</v>
      </c>
      <c r="AC10" s="104">
        <v>1</v>
      </c>
      <c r="AD10" s="104">
        <v>1</v>
      </c>
      <c r="AE10" s="104">
        <v>1</v>
      </c>
      <c r="AF10" s="104">
        <v>1</v>
      </c>
      <c r="AG10" s="104">
        <v>1</v>
      </c>
      <c r="AH10" s="104">
        <v>0</v>
      </c>
      <c r="AI10" s="104">
        <v>0</v>
      </c>
    </row>
    <row r="11" spans="1:35" customFormat="1" x14ac:dyDescent="0.15">
      <c r="A11" s="180" t="s">
        <v>201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0</v>
      </c>
      <c r="L11" s="104">
        <v>1</v>
      </c>
      <c r="M11" s="104">
        <v>0</v>
      </c>
      <c r="N11" s="104">
        <v>0</v>
      </c>
      <c r="O11" s="104">
        <v>0</v>
      </c>
      <c r="P11" s="104">
        <v>1</v>
      </c>
      <c r="Q11" s="104">
        <v>0</v>
      </c>
      <c r="R11" s="104">
        <v>0</v>
      </c>
      <c r="S11" s="104">
        <v>0</v>
      </c>
      <c r="T11" s="104">
        <v>1</v>
      </c>
      <c r="U11" s="104">
        <v>0</v>
      </c>
      <c r="V11" s="104">
        <v>0</v>
      </c>
      <c r="W11" s="104">
        <v>0</v>
      </c>
      <c r="X11" s="104">
        <v>0</v>
      </c>
      <c r="Y11" s="104">
        <v>0</v>
      </c>
      <c r="Z11" s="104">
        <v>0</v>
      </c>
      <c r="AA11" s="104">
        <v>1</v>
      </c>
      <c r="AB11" s="104">
        <v>0</v>
      </c>
      <c r="AC11" s="104">
        <v>0</v>
      </c>
      <c r="AD11" s="104">
        <v>0</v>
      </c>
      <c r="AE11" s="104">
        <v>0</v>
      </c>
      <c r="AF11" s="104">
        <v>1</v>
      </c>
      <c r="AG11" s="104">
        <v>0</v>
      </c>
      <c r="AH11" s="104">
        <v>0</v>
      </c>
      <c r="AI11" s="104">
        <v>0</v>
      </c>
    </row>
    <row r="12" spans="1:35" customFormat="1" x14ac:dyDescent="0.15">
      <c r="A12" s="180" t="s">
        <v>202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0</v>
      </c>
      <c r="L12" s="104">
        <v>1</v>
      </c>
      <c r="M12" s="104">
        <v>0</v>
      </c>
      <c r="N12" s="104">
        <v>0</v>
      </c>
      <c r="O12" s="104">
        <v>0</v>
      </c>
      <c r="P12" s="104">
        <v>0</v>
      </c>
      <c r="Q12" s="104">
        <v>1</v>
      </c>
      <c r="R12" s="104">
        <v>1</v>
      </c>
      <c r="S12" s="104">
        <v>0</v>
      </c>
      <c r="T12" s="104">
        <v>0</v>
      </c>
      <c r="U12" s="104">
        <v>0</v>
      </c>
      <c r="V12" s="104">
        <v>0</v>
      </c>
      <c r="W12" s="104">
        <v>1</v>
      </c>
      <c r="X12" s="104">
        <v>0</v>
      </c>
      <c r="Y12" s="104">
        <v>0</v>
      </c>
      <c r="Z12" s="104">
        <v>0</v>
      </c>
      <c r="AA12" s="104">
        <v>1</v>
      </c>
      <c r="AB12" s="104">
        <v>0</v>
      </c>
      <c r="AC12" s="104">
        <v>0</v>
      </c>
      <c r="AD12" s="104">
        <v>1</v>
      </c>
      <c r="AE12" s="104">
        <v>0</v>
      </c>
      <c r="AF12" s="104">
        <v>0</v>
      </c>
      <c r="AG12" s="104">
        <v>1</v>
      </c>
      <c r="AH12" s="104">
        <v>0</v>
      </c>
      <c r="AI12" s="104">
        <v>0</v>
      </c>
    </row>
    <row r="13" spans="1:35" customFormat="1" x14ac:dyDescent="0.15">
      <c r="A13" s="180" t="s">
        <v>203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</v>
      </c>
      <c r="J13" s="104">
        <v>0</v>
      </c>
      <c r="K13" s="104">
        <v>0</v>
      </c>
      <c r="L13" s="104">
        <v>1</v>
      </c>
      <c r="M13" s="104">
        <v>0</v>
      </c>
      <c r="N13" s="104">
        <v>0</v>
      </c>
      <c r="O13" s="104">
        <v>1</v>
      </c>
      <c r="P13" s="104">
        <v>1</v>
      </c>
      <c r="Q13" s="104">
        <v>1</v>
      </c>
      <c r="R13" s="104">
        <v>1</v>
      </c>
      <c r="S13" s="104">
        <v>0</v>
      </c>
      <c r="T13" s="104">
        <v>1</v>
      </c>
      <c r="U13" s="104">
        <v>0</v>
      </c>
      <c r="V13" s="104">
        <v>0</v>
      </c>
      <c r="W13" s="104">
        <v>1</v>
      </c>
      <c r="X13" s="104">
        <v>0</v>
      </c>
      <c r="Y13" s="104">
        <v>1</v>
      </c>
      <c r="Z13" s="104">
        <v>1</v>
      </c>
      <c r="AA13" s="104">
        <v>1</v>
      </c>
      <c r="AB13" s="104">
        <v>0</v>
      </c>
      <c r="AC13" s="104">
        <v>0</v>
      </c>
      <c r="AD13" s="104">
        <v>1</v>
      </c>
      <c r="AE13" s="104">
        <v>0</v>
      </c>
      <c r="AF13" s="104">
        <v>0</v>
      </c>
      <c r="AG13" s="104">
        <v>0</v>
      </c>
      <c r="AH13" s="104">
        <v>0</v>
      </c>
      <c r="AI13" s="104">
        <v>0</v>
      </c>
    </row>
    <row r="14" spans="1:35" customFormat="1" x14ac:dyDescent="0.15">
      <c r="A14" s="180" t="s">
        <v>204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1</v>
      </c>
      <c r="M14" s="104">
        <v>0</v>
      </c>
      <c r="N14" s="104">
        <v>0</v>
      </c>
      <c r="O14" s="104">
        <v>1</v>
      </c>
      <c r="P14" s="104">
        <v>0</v>
      </c>
      <c r="Q14" s="104">
        <v>1</v>
      </c>
      <c r="R14" s="104">
        <v>1</v>
      </c>
      <c r="S14" s="104">
        <v>1</v>
      </c>
      <c r="T14" s="104">
        <v>0</v>
      </c>
      <c r="U14" s="104">
        <v>0</v>
      </c>
      <c r="V14" s="104">
        <v>0</v>
      </c>
      <c r="W14" s="104">
        <v>1</v>
      </c>
      <c r="X14" s="104">
        <v>0</v>
      </c>
      <c r="Y14" s="104">
        <v>0</v>
      </c>
      <c r="Z14" s="104">
        <v>1</v>
      </c>
      <c r="AA14" s="104">
        <v>1</v>
      </c>
      <c r="AB14" s="104">
        <v>0</v>
      </c>
      <c r="AC14" s="104">
        <v>1</v>
      </c>
      <c r="AD14" s="104">
        <v>0</v>
      </c>
      <c r="AE14" s="104">
        <v>1</v>
      </c>
      <c r="AF14" s="104">
        <v>1</v>
      </c>
      <c r="AG14" s="104">
        <v>0</v>
      </c>
      <c r="AH14" s="104">
        <v>0</v>
      </c>
      <c r="AI14" s="104">
        <v>0</v>
      </c>
    </row>
    <row r="15" spans="1:35" customFormat="1" x14ac:dyDescent="0.15">
      <c r="A15" s="180" t="s">
        <v>205</v>
      </c>
      <c r="B15" s="104">
        <v>0</v>
      </c>
      <c r="C15" s="104">
        <v>0</v>
      </c>
      <c r="D15" s="104">
        <v>0</v>
      </c>
      <c r="E15" s="104">
        <v>0</v>
      </c>
      <c r="F15" s="104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</v>
      </c>
      <c r="N15" s="104">
        <v>0</v>
      </c>
      <c r="O15" s="104">
        <v>0</v>
      </c>
      <c r="P15" s="104">
        <v>0</v>
      </c>
      <c r="Q15" s="104">
        <v>0</v>
      </c>
      <c r="R15" s="104">
        <v>0</v>
      </c>
      <c r="S15" s="104">
        <v>0</v>
      </c>
      <c r="T15" s="104">
        <v>0</v>
      </c>
      <c r="U15" s="104">
        <v>0</v>
      </c>
      <c r="V15" s="104">
        <v>0</v>
      </c>
      <c r="W15" s="104">
        <v>1</v>
      </c>
      <c r="X15" s="104">
        <v>0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0</v>
      </c>
      <c r="AE15" s="104">
        <v>1</v>
      </c>
      <c r="AF15" s="104">
        <v>1</v>
      </c>
      <c r="AG15" s="104">
        <v>1</v>
      </c>
      <c r="AH15" s="104">
        <v>0</v>
      </c>
      <c r="AI15" s="104">
        <v>0</v>
      </c>
    </row>
    <row r="16" spans="1:35" customFormat="1" x14ac:dyDescent="0.15">
      <c r="A16" s="180" t="s">
        <v>206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G16" s="104">
        <v>0</v>
      </c>
      <c r="H16" s="104">
        <v>0</v>
      </c>
      <c r="I16" s="104">
        <v>0</v>
      </c>
      <c r="J16" s="104">
        <v>0</v>
      </c>
      <c r="K16" s="104">
        <v>0</v>
      </c>
      <c r="L16" s="104">
        <v>0</v>
      </c>
      <c r="M16" s="104">
        <v>0</v>
      </c>
      <c r="N16" s="104">
        <v>0</v>
      </c>
      <c r="O16" s="104">
        <v>0</v>
      </c>
      <c r="P16" s="104">
        <v>0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  <c r="V16" s="104">
        <v>0</v>
      </c>
      <c r="W16" s="104">
        <v>0</v>
      </c>
      <c r="X16" s="104">
        <v>0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04">
        <v>0</v>
      </c>
      <c r="AE16" s="104">
        <v>0</v>
      </c>
      <c r="AF16" s="104">
        <v>0</v>
      </c>
      <c r="AG16" s="104">
        <v>1</v>
      </c>
      <c r="AH16" s="104">
        <v>0</v>
      </c>
      <c r="AI16" s="104">
        <v>0</v>
      </c>
    </row>
    <row r="17" spans="1:35" customFormat="1" x14ac:dyDescent="0.15">
      <c r="A17" s="180" t="s">
        <v>207</v>
      </c>
      <c r="B17" s="104">
        <v>0</v>
      </c>
      <c r="C17" s="104">
        <v>0</v>
      </c>
      <c r="D17" s="104">
        <v>0</v>
      </c>
      <c r="E17" s="104">
        <v>0</v>
      </c>
      <c r="F17" s="104">
        <v>0</v>
      </c>
      <c r="G17" s="104">
        <v>0</v>
      </c>
      <c r="H17" s="104">
        <v>0</v>
      </c>
      <c r="I17" s="104">
        <v>0</v>
      </c>
      <c r="J17" s="104">
        <v>0</v>
      </c>
      <c r="K17" s="104">
        <v>0</v>
      </c>
      <c r="L17" s="104">
        <v>0</v>
      </c>
      <c r="M17" s="104">
        <v>0</v>
      </c>
      <c r="N17" s="104">
        <v>0</v>
      </c>
      <c r="O17" s="104">
        <v>0</v>
      </c>
      <c r="P17" s="104">
        <v>0</v>
      </c>
      <c r="Q17" s="104">
        <v>0</v>
      </c>
      <c r="R17" s="104">
        <v>0</v>
      </c>
      <c r="S17" s="104">
        <v>0</v>
      </c>
      <c r="T17" s="104">
        <v>0</v>
      </c>
      <c r="U17" s="104">
        <v>0</v>
      </c>
      <c r="V17" s="104">
        <v>0</v>
      </c>
      <c r="W17" s="104">
        <v>0</v>
      </c>
      <c r="X17" s="104">
        <v>0</v>
      </c>
      <c r="Y17" s="104">
        <v>0</v>
      </c>
      <c r="Z17" s="104">
        <v>0</v>
      </c>
      <c r="AA17" s="104">
        <v>1</v>
      </c>
      <c r="AB17" s="104">
        <v>0</v>
      </c>
      <c r="AC17" s="104">
        <v>0</v>
      </c>
      <c r="AD17" s="104">
        <v>0</v>
      </c>
      <c r="AE17" s="104">
        <v>0</v>
      </c>
      <c r="AF17" s="104">
        <v>0</v>
      </c>
      <c r="AG17" s="104">
        <v>0</v>
      </c>
      <c r="AH17" s="104">
        <v>0</v>
      </c>
      <c r="AI17" s="104">
        <v>0</v>
      </c>
    </row>
    <row r="18" spans="1:35" customFormat="1" x14ac:dyDescent="0.15">
      <c r="A18" s="180" t="s">
        <v>208</v>
      </c>
      <c r="B18" s="104">
        <v>0</v>
      </c>
      <c r="C18" s="104">
        <v>0</v>
      </c>
      <c r="D18" s="104">
        <v>0</v>
      </c>
      <c r="E18" s="104">
        <v>0</v>
      </c>
      <c r="F18" s="104">
        <v>0</v>
      </c>
      <c r="G18" s="104">
        <v>0</v>
      </c>
      <c r="H18" s="104">
        <v>0</v>
      </c>
      <c r="I18" s="104">
        <v>0</v>
      </c>
      <c r="J18" s="104">
        <v>0</v>
      </c>
      <c r="K18" s="104">
        <v>0</v>
      </c>
      <c r="L18" s="104">
        <v>1</v>
      </c>
      <c r="M18" s="104">
        <v>0</v>
      </c>
      <c r="N18" s="104">
        <v>0</v>
      </c>
      <c r="O18" s="104">
        <v>0</v>
      </c>
      <c r="P18" s="104">
        <v>0</v>
      </c>
      <c r="Q18" s="104">
        <v>0</v>
      </c>
      <c r="R18" s="104">
        <v>0</v>
      </c>
      <c r="S18" s="104">
        <v>0</v>
      </c>
      <c r="T18" s="104">
        <v>1</v>
      </c>
      <c r="U18" s="104">
        <v>0</v>
      </c>
      <c r="V18" s="104">
        <v>0</v>
      </c>
      <c r="W18" s="104">
        <v>0</v>
      </c>
      <c r="X18" s="104">
        <v>0</v>
      </c>
      <c r="Y18" s="104">
        <v>0</v>
      </c>
      <c r="Z18" s="104">
        <v>0</v>
      </c>
      <c r="AA18" s="104">
        <v>0</v>
      </c>
      <c r="AB18" s="104">
        <v>0</v>
      </c>
      <c r="AC18" s="104">
        <v>0</v>
      </c>
      <c r="AD18" s="104">
        <v>1</v>
      </c>
      <c r="AE18" s="104">
        <v>0</v>
      </c>
      <c r="AF18" s="104">
        <v>1</v>
      </c>
      <c r="AG18" s="104">
        <v>0</v>
      </c>
      <c r="AH18" s="104">
        <v>0</v>
      </c>
      <c r="AI18" s="104">
        <v>0</v>
      </c>
    </row>
    <row r="19" spans="1:35" customFormat="1" x14ac:dyDescent="0.15">
      <c r="A19" s="180" t="s">
        <v>209</v>
      </c>
      <c r="B19" s="104">
        <v>0</v>
      </c>
      <c r="C19" s="104">
        <v>0</v>
      </c>
      <c r="D19" s="104">
        <v>0</v>
      </c>
      <c r="E19" s="104">
        <v>0</v>
      </c>
      <c r="F19" s="104">
        <v>0</v>
      </c>
      <c r="G19" s="104">
        <v>0</v>
      </c>
      <c r="H19" s="104">
        <v>0</v>
      </c>
      <c r="I19" s="104">
        <v>0</v>
      </c>
      <c r="J19" s="104">
        <v>0</v>
      </c>
      <c r="K19" s="104">
        <v>0</v>
      </c>
      <c r="L19" s="104">
        <v>0</v>
      </c>
      <c r="M19" s="104">
        <v>0</v>
      </c>
      <c r="N19" s="104">
        <v>0</v>
      </c>
      <c r="O19" s="104">
        <v>0</v>
      </c>
      <c r="P19" s="104">
        <v>0</v>
      </c>
      <c r="Q19" s="104">
        <v>0</v>
      </c>
      <c r="R19" s="104">
        <v>0</v>
      </c>
      <c r="S19" s="104">
        <v>0</v>
      </c>
      <c r="T19" s="104">
        <v>0</v>
      </c>
      <c r="U19" s="104">
        <v>0</v>
      </c>
      <c r="V19" s="104">
        <v>0</v>
      </c>
      <c r="W19" s="104">
        <v>1</v>
      </c>
      <c r="X19" s="104">
        <v>0</v>
      </c>
      <c r="Y19" s="104">
        <v>1</v>
      </c>
      <c r="Z19" s="104">
        <v>0</v>
      </c>
      <c r="AA19" s="104">
        <v>0</v>
      </c>
      <c r="AB19" s="104">
        <v>0</v>
      </c>
      <c r="AC19" s="104">
        <v>0</v>
      </c>
      <c r="AD19" s="104">
        <v>1</v>
      </c>
      <c r="AE19" s="104">
        <v>0</v>
      </c>
      <c r="AF19" s="104">
        <v>0</v>
      </c>
      <c r="AG19" s="104">
        <v>0</v>
      </c>
      <c r="AH19" s="104">
        <v>0</v>
      </c>
      <c r="AI19" s="104">
        <v>0</v>
      </c>
    </row>
    <row r="20" spans="1:35" customFormat="1" x14ac:dyDescent="0.15">
      <c r="A20" s="180" t="s">
        <v>210</v>
      </c>
      <c r="B20" s="104">
        <v>0</v>
      </c>
      <c r="C20" s="104">
        <v>0</v>
      </c>
      <c r="D20" s="104">
        <v>0</v>
      </c>
      <c r="E20" s="104">
        <v>0</v>
      </c>
      <c r="F20" s="104">
        <v>0</v>
      </c>
      <c r="G20" s="104">
        <v>0</v>
      </c>
      <c r="H20" s="104">
        <v>0</v>
      </c>
      <c r="I20" s="104">
        <v>0</v>
      </c>
      <c r="J20" s="104">
        <v>0</v>
      </c>
      <c r="K20" s="104">
        <v>0</v>
      </c>
      <c r="L20" s="104">
        <v>0</v>
      </c>
      <c r="M20" s="104">
        <v>0</v>
      </c>
      <c r="N20" s="104">
        <v>0</v>
      </c>
      <c r="O20" s="104">
        <v>0</v>
      </c>
      <c r="P20" s="104">
        <v>0</v>
      </c>
      <c r="Q20" s="104">
        <v>0</v>
      </c>
      <c r="R20" s="104">
        <v>0</v>
      </c>
      <c r="S20" s="104">
        <v>0</v>
      </c>
      <c r="T20" s="104">
        <v>0</v>
      </c>
      <c r="U20" s="104">
        <v>0</v>
      </c>
      <c r="V20" s="104">
        <v>0</v>
      </c>
      <c r="W20" s="104">
        <v>0</v>
      </c>
      <c r="X20" s="104">
        <v>0</v>
      </c>
      <c r="Y20" s="104">
        <v>0</v>
      </c>
      <c r="Z20" s="104">
        <v>0</v>
      </c>
      <c r="AA20" s="104">
        <v>0</v>
      </c>
      <c r="AB20" s="104">
        <v>0</v>
      </c>
      <c r="AC20" s="104">
        <v>0</v>
      </c>
      <c r="AD20" s="104">
        <v>1</v>
      </c>
      <c r="AE20" s="104">
        <v>0</v>
      </c>
      <c r="AF20" s="104">
        <v>0</v>
      </c>
      <c r="AG20" s="104">
        <v>0</v>
      </c>
      <c r="AH20" s="104">
        <v>0</v>
      </c>
      <c r="AI20" s="104">
        <v>0</v>
      </c>
    </row>
    <row r="21" spans="1:35" customFormat="1" x14ac:dyDescent="0.15">
      <c r="A21" s="180" t="s">
        <v>211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</v>
      </c>
      <c r="P21" s="104">
        <v>0</v>
      </c>
      <c r="Q21" s="104">
        <v>0</v>
      </c>
      <c r="R21" s="104">
        <v>0</v>
      </c>
      <c r="S21" s="104">
        <v>0</v>
      </c>
      <c r="T21" s="104">
        <v>0</v>
      </c>
      <c r="U21" s="104">
        <v>0</v>
      </c>
      <c r="V21" s="104">
        <v>0</v>
      </c>
      <c r="W21" s="104">
        <v>1</v>
      </c>
      <c r="X21" s="104">
        <v>0</v>
      </c>
      <c r="Y21" s="104">
        <v>1</v>
      </c>
      <c r="Z21" s="104">
        <v>1</v>
      </c>
      <c r="AA21" s="104">
        <v>0</v>
      </c>
      <c r="AB21" s="104">
        <v>0</v>
      </c>
      <c r="AC21" s="104">
        <v>0</v>
      </c>
      <c r="AD21" s="104">
        <v>0</v>
      </c>
      <c r="AE21" s="104">
        <v>0</v>
      </c>
      <c r="AF21" s="104">
        <v>0</v>
      </c>
      <c r="AG21" s="104">
        <v>0</v>
      </c>
      <c r="AH21" s="104">
        <v>0</v>
      </c>
      <c r="AI21" s="104">
        <v>0</v>
      </c>
    </row>
    <row r="22" spans="1:35" customFormat="1" x14ac:dyDescent="0.15">
      <c r="A22" s="180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104">
        <v>0</v>
      </c>
      <c r="M22" s="104">
        <v>1</v>
      </c>
      <c r="N22" s="104">
        <v>0</v>
      </c>
      <c r="O22" s="104">
        <v>1</v>
      </c>
      <c r="P22" s="104">
        <v>1</v>
      </c>
      <c r="Q22" s="104">
        <v>1</v>
      </c>
      <c r="R22" s="104">
        <v>1</v>
      </c>
      <c r="S22" s="104">
        <v>1</v>
      </c>
      <c r="T22" s="104">
        <v>1</v>
      </c>
      <c r="U22" s="104">
        <v>0</v>
      </c>
      <c r="V22" s="104">
        <v>0</v>
      </c>
      <c r="W22" s="104">
        <v>1</v>
      </c>
      <c r="X22" s="104">
        <v>0</v>
      </c>
      <c r="Y22" s="104">
        <v>1</v>
      </c>
      <c r="Z22" s="104">
        <v>1</v>
      </c>
      <c r="AA22" s="104">
        <v>1</v>
      </c>
      <c r="AB22" s="104">
        <v>0</v>
      </c>
      <c r="AC22" s="104">
        <v>0</v>
      </c>
      <c r="AD22" s="104">
        <v>0</v>
      </c>
      <c r="AE22" s="104">
        <v>1</v>
      </c>
      <c r="AF22" s="104">
        <v>1</v>
      </c>
      <c r="AG22" s="104">
        <v>0</v>
      </c>
      <c r="AH22" s="104">
        <v>0</v>
      </c>
      <c r="AI22" s="104">
        <v>0</v>
      </c>
    </row>
    <row r="23" spans="1:35" customFormat="1" x14ac:dyDescent="0.15">
      <c r="A23" s="180" t="s">
        <v>213</v>
      </c>
      <c r="B23" s="104">
        <v>0</v>
      </c>
      <c r="C23" s="104">
        <v>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  <c r="O23" s="104">
        <v>0</v>
      </c>
      <c r="P23" s="104">
        <v>0</v>
      </c>
      <c r="Q23" s="104">
        <v>0</v>
      </c>
      <c r="R23" s="104">
        <v>0</v>
      </c>
      <c r="S23" s="104">
        <v>0</v>
      </c>
      <c r="T23" s="104">
        <v>0</v>
      </c>
      <c r="U23" s="104">
        <v>0</v>
      </c>
      <c r="V23" s="104">
        <v>0</v>
      </c>
      <c r="W23" s="104">
        <v>0</v>
      </c>
      <c r="X23" s="104">
        <v>0</v>
      </c>
      <c r="Y23" s="104">
        <v>0</v>
      </c>
      <c r="Z23" s="104">
        <v>0</v>
      </c>
      <c r="AA23" s="104">
        <v>0</v>
      </c>
      <c r="AB23" s="104">
        <v>0</v>
      </c>
      <c r="AC23" s="104">
        <v>0</v>
      </c>
      <c r="AD23" s="104">
        <v>0</v>
      </c>
      <c r="AE23" s="104">
        <v>0</v>
      </c>
      <c r="AF23" s="104">
        <v>0</v>
      </c>
      <c r="AG23" s="104">
        <v>0</v>
      </c>
      <c r="AH23" s="104">
        <v>0</v>
      </c>
      <c r="AI23" s="104">
        <v>0</v>
      </c>
    </row>
    <row r="24" spans="1:35" customFormat="1" x14ac:dyDescent="0.15">
      <c r="A24" s="180" t="s">
        <v>214</v>
      </c>
      <c r="B24" s="104">
        <v>0</v>
      </c>
      <c r="C24" s="104">
        <v>0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0</v>
      </c>
      <c r="R24" s="104">
        <v>0</v>
      </c>
      <c r="S24" s="104">
        <v>0</v>
      </c>
      <c r="T24" s="104">
        <v>0</v>
      </c>
      <c r="U24" s="104">
        <v>0</v>
      </c>
      <c r="V24" s="104">
        <v>0</v>
      </c>
      <c r="W24" s="104">
        <v>0</v>
      </c>
      <c r="X24" s="104">
        <v>0</v>
      </c>
      <c r="Y24" s="104">
        <v>0</v>
      </c>
      <c r="Z24" s="104">
        <v>0</v>
      </c>
      <c r="AA24" s="104">
        <v>1</v>
      </c>
      <c r="AB24" s="104">
        <v>0</v>
      </c>
      <c r="AC24" s="104">
        <v>0</v>
      </c>
      <c r="AD24" s="104">
        <v>0</v>
      </c>
      <c r="AE24" s="104">
        <v>0</v>
      </c>
      <c r="AF24" s="104">
        <v>0</v>
      </c>
      <c r="AG24" s="104">
        <v>0</v>
      </c>
      <c r="AH24" s="104">
        <v>0</v>
      </c>
      <c r="AI24" s="104">
        <v>0</v>
      </c>
    </row>
    <row r="25" spans="1:35" customFormat="1" x14ac:dyDescent="0.15">
      <c r="A25" s="180" t="s">
        <v>215</v>
      </c>
      <c r="B25" s="104">
        <v>0</v>
      </c>
      <c r="C25" s="104">
        <v>0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0</v>
      </c>
      <c r="R25" s="104">
        <v>0</v>
      </c>
      <c r="S25" s="104">
        <v>0</v>
      </c>
      <c r="T25" s="104">
        <v>1</v>
      </c>
      <c r="U25" s="104">
        <v>0</v>
      </c>
      <c r="V25" s="104">
        <v>0</v>
      </c>
      <c r="W25" s="104">
        <v>1</v>
      </c>
      <c r="X25" s="104">
        <v>0</v>
      </c>
      <c r="Y25" s="104">
        <v>0</v>
      </c>
      <c r="Z25" s="104">
        <v>0</v>
      </c>
      <c r="AA25" s="104">
        <v>0</v>
      </c>
      <c r="AB25" s="104">
        <v>0</v>
      </c>
      <c r="AC25" s="104">
        <v>0</v>
      </c>
      <c r="AD25" s="104">
        <v>0</v>
      </c>
      <c r="AE25" s="104">
        <v>0</v>
      </c>
      <c r="AF25" s="104">
        <v>0</v>
      </c>
      <c r="AG25" s="104">
        <v>0</v>
      </c>
      <c r="AH25" s="104">
        <v>0</v>
      </c>
      <c r="AI25" s="104">
        <v>0</v>
      </c>
    </row>
    <row r="26" spans="1:35" customFormat="1" x14ac:dyDescent="0.15">
      <c r="A26" s="180" t="s">
        <v>216</v>
      </c>
      <c r="B26" s="104">
        <v>0</v>
      </c>
      <c r="C26" s="104">
        <v>0</v>
      </c>
      <c r="D26" s="104">
        <v>0</v>
      </c>
      <c r="E26" s="104">
        <v>0</v>
      </c>
      <c r="F26" s="104">
        <v>0</v>
      </c>
      <c r="G26" s="104">
        <v>0</v>
      </c>
      <c r="H26" s="104">
        <v>0</v>
      </c>
      <c r="I26" s="104">
        <v>0</v>
      </c>
      <c r="J26" s="104">
        <v>0</v>
      </c>
      <c r="K26" s="104">
        <v>0</v>
      </c>
      <c r="L26" s="104">
        <v>0</v>
      </c>
      <c r="M26" s="104">
        <v>0</v>
      </c>
      <c r="N26" s="104">
        <v>0</v>
      </c>
      <c r="O26" s="104">
        <v>0</v>
      </c>
      <c r="P26" s="104">
        <v>0</v>
      </c>
      <c r="Q26" s="104">
        <v>0</v>
      </c>
      <c r="R26" s="104">
        <v>0</v>
      </c>
      <c r="S26" s="104">
        <v>0</v>
      </c>
      <c r="T26" s="104">
        <v>0</v>
      </c>
      <c r="U26" s="104">
        <v>1</v>
      </c>
      <c r="V26" s="104">
        <v>0</v>
      </c>
      <c r="W26" s="104">
        <v>1</v>
      </c>
      <c r="X26" s="104">
        <v>0</v>
      </c>
      <c r="Y26" s="104">
        <v>1</v>
      </c>
      <c r="Z26" s="104">
        <v>1</v>
      </c>
      <c r="AA26" s="104">
        <v>1</v>
      </c>
      <c r="AB26" s="104">
        <v>0</v>
      </c>
      <c r="AC26" s="104">
        <v>0</v>
      </c>
      <c r="AD26" s="104">
        <v>0</v>
      </c>
      <c r="AE26" s="104">
        <v>0</v>
      </c>
      <c r="AF26" s="104">
        <v>1</v>
      </c>
      <c r="AG26" s="104">
        <v>0</v>
      </c>
      <c r="AH26" s="104">
        <v>0</v>
      </c>
      <c r="AI26" s="104">
        <v>0</v>
      </c>
    </row>
    <row r="27" spans="1:35" customFormat="1" x14ac:dyDescent="0.15">
      <c r="A27" s="180" t="s">
        <v>217</v>
      </c>
      <c r="B27" s="104">
        <v>0</v>
      </c>
      <c r="C27" s="104">
        <v>0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0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0</v>
      </c>
      <c r="R27" s="104">
        <v>0</v>
      </c>
      <c r="S27" s="104">
        <v>0</v>
      </c>
      <c r="T27" s="104">
        <v>1</v>
      </c>
      <c r="U27" s="104">
        <v>0</v>
      </c>
      <c r="V27" s="104">
        <v>0</v>
      </c>
      <c r="W27" s="104">
        <v>1</v>
      </c>
      <c r="X27" s="104">
        <v>0</v>
      </c>
      <c r="Y27" s="104">
        <v>0</v>
      </c>
      <c r="Z27" s="104">
        <v>0</v>
      </c>
      <c r="AA27" s="104">
        <v>1</v>
      </c>
      <c r="AB27" s="104">
        <v>0</v>
      </c>
      <c r="AC27" s="104">
        <v>0</v>
      </c>
      <c r="AD27" s="104">
        <v>0</v>
      </c>
      <c r="AE27" s="104">
        <v>0</v>
      </c>
      <c r="AF27" s="104">
        <v>1</v>
      </c>
      <c r="AG27" s="104">
        <v>0</v>
      </c>
      <c r="AH27" s="104">
        <v>0</v>
      </c>
      <c r="AI27" s="104">
        <v>0</v>
      </c>
    </row>
    <row r="28" spans="1:35" customFormat="1" x14ac:dyDescent="0.15">
      <c r="A28" s="180" t="s">
        <v>218</v>
      </c>
      <c r="B28" s="104">
        <v>0</v>
      </c>
      <c r="C28" s="104">
        <v>0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0</v>
      </c>
      <c r="L28" s="104">
        <v>0</v>
      </c>
      <c r="M28" s="104">
        <v>0</v>
      </c>
      <c r="N28" s="104">
        <v>0</v>
      </c>
      <c r="O28" s="104">
        <v>0</v>
      </c>
      <c r="P28" s="104">
        <v>0</v>
      </c>
      <c r="Q28" s="104">
        <v>0</v>
      </c>
      <c r="R28" s="104">
        <v>1</v>
      </c>
      <c r="S28" s="104">
        <v>1</v>
      </c>
      <c r="T28" s="104">
        <v>1</v>
      </c>
      <c r="U28" s="104">
        <v>0</v>
      </c>
      <c r="V28" s="104">
        <v>0</v>
      </c>
      <c r="W28" s="104">
        <v>0</v>
      </c>
      <c r="X28" s="104">
        <v>0</v>
      </c>
      <c r="Y28" s="104">
        <v>1</v>
      </c>
      <c r="Z28" s="104">
        <v>0</v>
      </c>
      <c r="AA28" s="104">
        <v>0</v>
      </c>
      <c r="AB28" s="104">
        <v>0</v>
      </c>
      <c r="AC28" s="104">
        <v>0</v>
      </c>
      <c r="AD28" s="104">
        <v>0</v>
      </c>
      <c r="AE28" s="104">
        <v>0</v>
      </c>
      <c r="AF28" s="104">
        <v>0</v>
      </c>
      <c r="AG28" s="104">
        <v>0</v>
      </c>
      <c r="AH28" s="104">
        <v>0</v>
      </c>
      <c r="AI28" s="104">
        <v>0</v>
      </c>
    </row>
    <row r="29" spans="1:35" customFormat="1" x14ac:dyDescent="0.15">
      <c r="A29" s="180" t="s">
        <v>219</v>
      </c>
      <c r="B29" s="104">
        <v>0</v>
      </c>
      <c r="C29" s="104">
        <v>0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0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4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1</v>
      </c>
      <c r="X29" s="104">
        <v>0</v>
      </c>
      <c r="Y29" s="104">
        <v>0</v>
      </c>
      <c r="Z29" s="104">
        <v>0</v>
      </c>
      <c r="AA29" s="104">
        <v>0</v>
      </c>
      <c r="AB29" s="104">
        <v>0</v>
      </c>
      <c r="AC29" s="104">
        <v>1</v>
      </c>
      <c r="AD29" s="104">
        <v>0</v>
      </c>
      <c r="AE29" s="104">
        <v>0</v>
      </c>
      <c r="AF29" s="104">
        <v>0</v>
      </c>
      <c r="AG29" s="104">
        <v>0</v>
      </c>
      <c r="AH29" s="104">
        <v>0</v>
      </c>
      <c r="AI29" s="104">
        <v>0</v>
      </c>
    </row>
    <row r="30" spans="1:35" customFormat="1" x14ac:dyDescent="0.15">
      <c r="A30" s="180" t="s">
        <v>220</v>
      </c>
      <c r="B30" s="104">
        <v>0</v>
      </c>
      <c r="C30" s="104">
        <v>0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0</v>
      </c>
      <c r="P30" s="104">
        <v>0</v>
      </c>
      <c r="Q30" s="104">
        <v>0</v>
      </c>
      <c r="R30" s="104">
        <v>0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0</v>
      </c>
      <c r="Z30" s="104">
        <v>0</v>
      </c>
      <c r="AA30" s="104">
        <v>0</v>
      </c>
      <c r="AB30" s="104">
        <v>0</v>
      </c>
      <c r="AC30" s="104">
        <v>0</v>
      </c>
      <c r="AD30" s="104">
        <v>0</v>
      </c>
      <c r="AE30" s="104">
        <v>0</v>
      </c>
      <c r="AF30" s="104">
        <v>0</v>
      </c>
      <c r="AG30" s="104">
        <v>0</v>
      </c>
      <c r="AH30" s="104">
        <v>0</v>
      </c>
      <c r="AI30" s="104">
        <v>0</v>
      </c>
    </row>
    <row r="31" spans="1:35" customFormat="1" x14ac:dyDescent="0.15">
      <c r="A31" s="180" t="s">
        <v>221</v>
      </c>
      <c r="B31" s="104">
        <v>0</v>
      </c>
      <c r="C31" s="104">
        <v>0</v>
      </c>
      <c r="D31" s="104">
        <v>0</v>
      </c>
      <c r="E31" s="104">
        <v>0</v>
      </c>
      <c r="F31" s="104">
        <v>0</v>
      </c>
      <c r="G31" s="104">
        <v>0</v>
      </c>
      <c r="H31" s="104">
        <v>0</v>
      </c>
      <c r="I31" s="104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0</v>
      </c>
      <c r="O31" s="104">
        <v>0</v>
      </c>
      <c r="P31" s="104">
        <v>0</v>
      </c>
      <c r="Q31" s="104">
        <v>0</v>
      </c>
      <c r="R31" s="104">
        <v>0</v>
      </c>
      <c r="S31" s="104">
        <v>0</v>
      </c>
      <c r="T31" s="104">
        <v>0</v>
      </c>
      <c r="U31" s="104">
        <v>0</v>
      </c>
      <c r="V31" s="104">
        <v>0</v>
      </c>
      <c r="W31" s="104">
        <v>0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04">
        <v>0</v>
      </c>
      <c r="AE31" s="104">
        <v>0</v>
      </c>
      <c r="AF31" s="104">
        <v>0</v>
      </c>
      <c r="AG31" s="104">
        <v>0</v>
      </c>
      <c r="AH31" s="104">
        <v>0</v>
      </c>
      <c r="AI31" s="104">
        <v>0</v>
      </c>
    </row>
    <row r="32" spans="1:35" x14ac:dyDescent="0.15">
      <c r="A32" s="180" t="s">
        <v>222</v>
      </c>
      <c r="B32" s="104">
        <v>0</v>
      </c>
      <c r="C32" s="104">
        <v>0</v>
      </c>
      <c r="D32" s="104">
        <v>0</v>
      </c>
      <c r="E32" s="104">
        <v>0</v>
      </c>
      <c r="F32" s="104">
        <v>0</v>
      </c>
      <c r="G32" s="104">
        <v>0</v>
      </c>
      <c r="H32" s="104">
        <v>0</v>
      </c>
      <c r="I32" s="104">
        <v>0</v>
      </c>
      <c r="J32" s="104">
        <v>0</v>
      </c>
      <c r="K32" s="104">
        <v>0</v>
      </c>
      <c r="L32" s="104">
        <v>0</v>
      </c>
      <c r="M32" s="104">
        <v>0</v>
      </c>
      <c r="N32" s="104">
        <v>0</v>
      </c>
      <c r="O32" s="104">
        <v>0</v>
      </c>
      <c r="P32" s="104">
        <v>0</v>
      </c>
      <c r="Q32" s="104">
        <v>0</v>
      </c>
      <c r="R32" s="104">
        <v>0</v>
      </c>
      <c r="S32" s="104">
        <v>0</v>
      </c>
      <c r="T32" s="104">
        <v>0</v>
      </c>
      <c r="U32" s="104">
        <v>0</v>
      </c>
      <c r="V32" s="104">
        <v>0</v>
      </c>
      <c r="W32" s="104">
        <v>0</v>
      </c>
      <c r="X32" s="104">
        <v>0</v>
      </c>
      <c r="Y32" s="104">
        <v>0</v>
      </c>
      <c r="Z32" s="104">
        <v>0</v>
      </c>
      <c r="AA32" s="104">
        <v>0</v>
      </c>
      <c r="AB32" s="104">
        <v>0</v>
      </c>
      <c r="AC32" s="104">
        <v>0</v>
      </c>
      <c r="AD32" s="104">
        <v>0</v>
      </c>
      <c r="AE32" s="104">
        <v>0</v>
      </c>
      <c r="AF32" s="104">
        <v>0</v>
      </c>
      <c r="AG32" s="104">
        <v>0</v>
      </c>
      <c r="AH32" s="104">
        <v>0</v>
      </c>
      <c r="AI32" s="104">
        <v>0</v>
      </c>
    </row>
    <row r="33" spans="1:35" x14ac:dyDescent="0.15">
      <c r="A33" s="180" t="s">
        <v>223</v>
      </c>
      <c r="B33" s="104">
        <v>0</v>
      </c>
      <c r="C33" s="104">
        <v>0</v>
      </c>
      <c r="D33" s="104">
        <v>0</v>
      </c>
      <c r="E33" s="104">
        <v>0</v>
      </c>
      <c r="F33" s="104">
        <v>0</v>
      </c>
      <c r="G33" s="104">
        <v>0</v>
      </c>
      <c r="H33" s="104">
        <v>0</v>
      </c>
      <c r="I33" s="104">
        <v>0</v>
      </c>
      <c r="J33" s="104">
        <v>0</v>
      </c>
      <c r="K33" s="104">
        <v>0</v>
      </c>
      <c r="L33" s="104">
        <v>0</v>
      </c>
      <c r="M33" s="104">
        <v>0</v>
      </c>
      <c r="N33" s="104">
        <v>0</v>
      </c>
      <c r="O33" s="104">
        <v>0</v>
      </c>
      <c r="P33" s="104">
        <v>0</v>
      </c>
      <c r="Q33" s="104">
        <v>0</v>
      </c>
      <c r="R33" s="104">
        <v>0</v>
      </c>
      <c r="S33" s="104">
        <v>0</v>
      </c>
      <c r="T33" s="104">
        <v>0</v>
      </c>
      <c r="U33" s="104">
        <v>0</v>
      </c>
      <c r="V33" s="104">
        <v>0</v>
      </c>
      <c r="W33" s="104">
        <v>0</v>
      </c>
      <c r="X33" s="104">
        <v>0</v>
      </c>
      <c r="Y33" s="104">
        <v>0</v>
      </c>
      <c r="Z33" s="104">
        <v>0</v>
      </c>
      <c r="AA33" s="104">
        <v>0</v>
      </c>
      <c r="AB33" s="104">
        <v>0</v>
      </c>
      <c r="AC33" s="104">
        <v>0</v>
      </c>
      <c r="AD33" s="104">
        <v>0</v>
      </c>
      <c r="AE33" s="104">
        <v>0</v>
      </c>
      <c r="AF33" s="104">
        <v>0</v>
      </c>
      <c r="AG33" s="104">
        <v>0</v>
      </c>
      <c r="AH33" s="104">
        <v>0</v>
      </c>
      <c r="AI33" s="104">
        <v>0</v>
      </c>
    </row>
    <row r="34" spans="1:35" x14ac:dyDescent="0.15">
      <c r="A34" s="180" t="s">
        <v>224</v>
      </c>
      <c r="B34" s="104">
        <v>0</v>
      </c>
      <c r="C34" s="104">
        <v>0</v>
      </c>
      <c r="D34" s="104">
        <v>1</v>
      </c>
      <c r="E34" s="104">
        <v>0</v>
      </c>
      <c r="F34" s="104">
        <v>0</v>
      </c>
      <c r="G34" s="104">
        <v>1</v>
      </c>
      <c r="H34" s="104">
        <v>1</v>
      </c>
      <c r="I34" s="104">
        <v>0</v>
      </c>
      <c r="J34" s="104">
        <v>0</v>
      </c>
      <c r="K34" s="104">
        <v>0</v>
      </c>
      <c r="L34" s="104">
        <v>0</v>
      </c>
      <c r="M34" s="104">
        <v>0</v>
      </c>
      <c r="N34" s="104">
        <v>0</v>
      </c>
      <c r="O34" s="104">
        <v>1</v>
      </c>
      <c r="P34" s="104">
        <v>0</v>
      </c>
      <c r="Q34" s="104">
        <v>0</v>
      </c>
      <c r="R34" s="104">
        <v>0</v>
      </c>
      <c r="S34" s="104">
        <v>0</v>
      </c>
      <c r="T34" s="104">
        <v>0</v>
      </c>
      <c r="U34" s="104">
        <v>0</v>
      </c>
      <c r="V34" s="104">
        <v>0</v>
      </c>
      <c r="W34" s="104">
        <v>0</v>
      </c>
      <c r="X34" s="104">
        <v>1</v>
      </c>
      <c r="Y34" s="104">
        <v>1</v>
      </c>
      <c r="Z34" s="104">
        <v>0</v>
      </c>
      <c r="AA34" s="104">
        <v>1</v>
      </c>
      <c r="AB34" s="104">
        <v>0</v>
      </c>
      <c r="AC34" s="104">
        <v>1</v>
      </c>
      <c r="AD34" s="104">
        <v>0</v>
      </c>
      <c r="AE34" s="104">
        <v>0</v>
      </c>
      <c r="AF34" s="104">
        <v>0</v>
      </c>
      <c r="AG34" s="104">
        <v>0</v>
      </c>
      <c r="AH34" s="104">
        <v>0</v>
      </c>
      <c r="AI34" s="104">
        <v>0</v>
      </c>
    </row>
    <row r="35" spans="1:35" x14ac:dyDescent="0.15">
      <c r="A35" s="180" t="s">
        <v>225</v>
      </c>
      <c r="B35" s="104">
        <v>0</v>
      </c>
      <c r="C35" s="104">
        <v>0</v>
      </c>
      <c r="D35" s="104">
        <v>0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104">
        <v>0</v>
      </c>
      <c r="O35" s="104">
        <v>0</v>
      </c>
      <c r="P35" s="104">
        <v>0</v>
      </c>
      <c r="Q35" s="104">
        <v>0</v>
      </c>
      <c r="R35" s="104">
        <v>0</v>
      </c>
      <c r="S35" s="104">
        <v>0</v>
      </c>
      <c r="T35" s="104">
        <v>0</v>
      </c>
      <c r="U35" s="104">
        <v>0</v>
      </c>
      <c r="V35" s="104">
        <v>0</v>
      </c>
      <c r="W35" s="104">
        <v>0</v>
      </c>
      <c r="X35" s="104">
        <v>0</v>
      </c>
      <c r="Y35" s="104">
        <v>0</v>
      </c>
      <c r="Z35" s="104">
        <v>0</v>
      </c>
      <c r="AA35" s="104">
        <v>0</v>
      </c>
      <c r="AB35" s="104">
        <v>0</v>
      </c>
      <c r="AC35" s="104">
        <v>0</v>
      </c>
      <c r="AD35" s="104">
        <v>0</v>
      </c>
      <c r="AE35" s="104">
        <v>0</v>
      </c>
      <c r="AF35" s="104">
        <v>0</v>
      </c>
      <c r="AG35" s="104">
        <v>0</v>
      </c>
      <c r="AH35" s="104">
        <v>0</v>
      </c>
      <c r="AI35" s="104">
        <v>0</v>
      </c>
    </row>
    <row r="36" spans="1:35" x14ac:dyDescent="0.15">
      <c r="A36" s="180" t="s">
        <v>227</v>
      </c>
      <c r="B36" s="104">
        <v>0</v>
      </c>
      <c r="C36" s="104">
        <v>0</v>
      </c>
      <c r="D36" s="104">
        <v>0</v>
      </c>
      <c r="E36" s="104">
        <v>0</v>
      </c>
      <c r="F36" s="104">
        <v>0</v>
      </c>
      <c r="G36" s="104">
        <v>0</v>
      </c>
      <c r="H36" s="104">
        <v>1</v>
      </c>
      <c r="I36" s="104">
        <v>0</v>
      </c>
      <c r="J36" s="104">
        <v>0</v>
      </c>
      <c r="K36" s="104">
        <v>0</v>
      </c>
      <c r="L36" s="104">
        <v>0</v>
      </c>
      <c r="M36" s="104">
        <v>1</v>
      </c>
      <c r="N36" s="104">
        <v>1</v>
      </c>
      <c r="O36" s="104">
        <v>0</v>
      </c>
      <c r="P36" s="104">
        <v>0</v>
      </c>
      <c r="Q36" s="104">
        <v>0</v>
      </c>
      <c r="R36" s="104">
        <v>0</v>
      </c>
      <c r="S36" s="104">
        <v>0</v>
      </c>
      <c r="T36" s="104">
        <v>0</v>
      </c>
      <c r="U36" s="104">
        <v>0</v>
      </c>
      <c r="V36" s="104">
        <v>0</v>
      </c>
      <c r="W36" s="104">
        <v>0</v>
      </c>
      <c r="X36" s="104">
        <v>0</v>
      </c>
      <c r="Y36" s="104">
        <v>0</v>
      </c>
      <c r="Z36" s="104">
        <v>0</v>
      </c>
      <c r="AA36" s="104">
        <v>0</v>
      </c>
      <c r="AB36" s="104">
        <v>0</v>
      </c>
      <c r="AC36" s="104">
        <v>0</v>
      </c>
      <c r="AD36" s="104">
        <v>0</v>
      </c>
      <c r="AE36" s="104">
        <v>0</v>
      </c>
      <c r="AF36" s="104">
        <v>0</v>
      </c>
      <c r="AG36" s="104">
        <v>0</v>
      </c>
      <c r="AH36" s="104">
        <v>0</v>
      </c>
      <c r="AI36" s="10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3" t="s">
        <v>226</v>
      </c>
    </row>
    <row r="2" spans="1:3" x14ac:dyDescent="0.15">
      <c r="A2">
        <v>1</v>
      </c>
      <c r="B2" s="182" t="s">
        <v>192</v>
      </c>
      <c r="C2">
        <v>0</v>
      </c>
    </row>
    <row r="3" spans="1:3" x14ac:dyDescent="0.15">
      <c r="A3">
        <v>2</v>
      </c>
      <c r="B3" s="182" t="s">
        <v>193</v>
      </c>
      <c r="C3">
        <v>0</v>
      </c>
    </row>
    <row r="4" spans="1:3" x14ac:dyDescent="0.15">
      <c r="A4">
        <v>3</v>
      </c>
      <c r="B4" s="182" t="s">
        <v>194</v>
      </c>
      <c r="C4">
        <v>0</v>
      </c>
    </row>
    <row r="5" spans="1:3" x14ac:dyDescent="0.15">
      <c r="A5">
        <v>4</v>
      </c>
      <c r="B5" s="182" t="s">
        <v>195</v>
      </c>
      <c r="C5">
        <v>0</v>
      </c>
    </row>
    <row r="6" spans="1:3" x14ac:dyDescent="0.15">
      <c r="A6">
        <v>5</v>
      </c>
      <c r="B6" s="182" t="s">
        <v>196</v>
      </c>
      <c r="C6">
        <v>0</v>
      </c>
    </row>
    <row r="7" spans="1:3" x14ac:dyDescent="0.15">
      <c r="A7">
        <v>6</v>
      </c>
      <c r="B7" s="182" t="s">
        <v>197</v>
      </c>
      <c r="C7">
        <v>0</v>
      </c>
    </row>
    <row r="8" spans="1:3" x14ac:dyDescent="0.15">
      <c r="A8">
        <v>7</v>
      </c>
      <c r="B8" s="182" t="s">
        <v>198</v>
      </c>
      <c r="C8">
        <v>0</v>
      </c>
    </row>
    <row r="9" spans="1:3" x14ac:dyDescent="0.15">
      <c r="A9">
        <v>8</v>
      </c>
      <c r="B9" s="182" t="s">
        <v>199</v>
      </c>
      <c r="C9">
        <v>0.8</v>
      </c>
    </row>
    <row r="10" spans="1:3" x14ac:dyDescent="0.15">
      <c r="A10">
        <v>9</v>
      </c>
      <c r="B10" s="182" t="s">
        <v>200</v>
      </c>
      <c r="C10">
        <v>0.8</v>
      </c>
    </row>
    <row r="11" spans="1:3" x14ac:dyDescent="0.15">
      <c r="A11">
        <v>10</v>
      </c>
      <c r="B11" s="182" t="s">
        <v>201</v>
      </c>
      <c r="C11">
        <v>0</v>
      </c>
    </row>
    <row r="12" spans="1:3" x14ac:dyDescent="0.15">
      <c r="A12">
        <v>11</v>
      </c>
      <c r="B12" s="182" t="s">
        <v>202</v>
      </c>
      <c r="C12">
        <v>0.8</v>
      </c>
    </row>
    <row r="13" spans="1:3" x14ac:dyDescent="0.15">
      <c r="A13">
        <v>12</v>
      </c>
      <c r="B13" s="182" t="s">
        <v>203</v>
      </c>
      <c r="C13">
        <v>0.8</v>
      </c>
    </row>
    <row r="14" spans="1:3" x14ac:dyDescent="0.15">
      <c r="A14">
        <v>13</v>
      </c>
      <c r="B14" s="182" t="s">
        <v>204</v>
      </c>
      <c r="C14">
        <v>0.8</v>
      </c>
    </row>
    <row r="15" spans="1:3" x14ac:dyDescent="0.15">
      <c r="A15">
        <v>14</v>
      </c>
      <c r="B15" s="182" t="s">
        <v>205</v>
      </c>
      <c r="C15">
        <v>0.8</v>
      </c>
    </row>
    <row r="16" spans="1:3" x14ac:dyDescent="0.15">
      <c r="A16">
        <v>15</v>
      </c>
      <c r="B16" s="182" t="s">
        <v>206</v>
      </c>
      <c r="C16">
        <v>0.8</v>
      </c>
    </row>
    <row r="17" spans="1:3" x14ac:dyDescent="0.15">
      <c r="A17">
        <v>16</v>
      </c>
      <c r="B17" s="182" t="s">
        <v>207</v>
      </c>
      <c r="C17">
        <v>0.8</v>
      </c>
    </row>
    <row r="18" spans="1:3" x14ac:dyDescent="0.15">
      <c r="A18">
        <v>17</v>
      </c>
      <c r="B18" s="182" t="s">
        <v>208</v>
      </c>
      <c r="C18">
        <v>0.8</v>
      </c>
    </row>
    <row r="19" spans="1:3" x14ac:dyDescent="0.15">
      <c r="A19">
        <v>18</v>
      </c>
      <c r="B19" s="182" t="s">
        <v>209</v>
      </c>
      <c r="C19">
        <v>0.8</v>
      </c>
    </row>
    <row r="20" spans="1:3" x14ac:dyDescent="0.15">
      <c r="A20">
        <v>19</v>
      </c>
      <c r="B20" s="182" t="s">
        <v>210</v>
      </c>
      <c r="C20">
        <v>0.8</v>
      </c>
    </row>
    <row r="21" spans="1:3" x14ac:dyDescent="0.15">
      <c r="A21">
        <v>20</v>
      </c>
      <c r="B21" s="182" t="s">
        <v>211</v>
      </c>
      <c r="C21">
        <v>0.8</v>
      </c>
    </row>
    <row r="22" spans="1:3" x14ac:dyDescent="0.15">
      <c r="A22">
        <v>21</v>
      </c>
      <c r="B22" s="182" t="s">
        <v>212</v>
      </c>
      <c r="C22">
        <v>0.8</v>
      </c>
    </row>
    <row r="23" spans="1:3" x14ac:dyDescent="0.15">
      <c r="A23">
        <v>22</v>
      </c>
      <c r="B23" s="182" t="s">
        <v>213</v>
      </c>
      <c r="C23">
        <v>0.8</v>
      </c>
    </row>
    <row r="24" spans="1:3" x14ac:dyDescent="0.15">
      <c r="A24">
        <v>23</v>
      </c>
      <c r="B24" s="182" t="s">
        <v>214</v>
      </c>
      <c r="C24">
        <v>0</v>
      </c>
    </row>
    <row r="25" spans="1:3" x14ac:dyDescent="0.15">
      <c r="A25">
        <v>24</v>
      </c>
      <c r="B25" s="182" t="s">
        <v>215</v>
      </c>
      <c r="C25">
        <v>0</v>
      </c>
    </row>
    <row r="26" spans="1:3" x14ac:dyDescent="0.15">
      <c r="A26">
        <v>25</v>
      </c>
      <c r="B26" s="182" t="s">
        <v>216</v>
      </c>
      <c r="C26">
        <v>0.8</v>
      </c>
    </row>
    <row r="27" spans="1:3" x14ac:dyDescent="0.15">
      <c r="A27">
        <v>26</v>
      </c>
      <c r="B27" s="182" t="s">
        <v>217</v>
      </c>
      <c r="C27">
        <v>0.8</v>
      </c>
    </row>
    <row r="28" spans="1:3" x14ac:dyDescent="0.15">
      <c r="A28">
        <v>27</v>
      </c>
      <c r="B28" s="182" t="s">
        <v>218</v>
      </c>
      <c r="C28">
        <v>0</v>
      </c>
    </row>
    <row r="29" spans="1:3" x14ac:dyDescent="0.15">
      <c r="A29">
        <v>28</v>
      </c>
      <c r="B29" s="182" t="s">
        <v>219</v>
      </c>
      <c r="C29">
        <v>0.8</v>
      </c>
    </row>
    <row r="30" spans="1:3" x14ac:dyDescent="0.15">
      <c r="A30">
        <v>29</v>
      </c>
      <c r="B30" s="182" t="s">
        <v>220</v>
      </c>
      <c r="C30">
        <v>0.8</v>
      </c>
    </row>
    <row r="31" spans="1:3" x14ac:dyDescent="0.15">
      <c r="A31">
        <v>30</v>
      </c>
      <c r="B31" s="182" t="s">
        <v>221</v>
      </c>
      <c r="C31">
        <v>0</v>
      </c>
    </row>
    <row r="32" spans="1:3" x14ac:dyDescent="0.15">
      <c r="A32">
        <v>31</v>
      </c>
      <c r="B32" s="182" t="s">
        <v>222</v>
      </c>
      <c r="C32">
        <v>0</v>
      </c>
    </row>
    <row r="33" spans="1:3" x14ac:dyDescent="0.15">
      <c r="A33">
        <v>32</v>
      </c>
      <c r="B33" s="182" t="s">
        <v>223</v>
      </c>
      <c r="C33">
        <v>0</v>
      </c>
    </row>
    <row r="34" spans="1:3" x14ac:dyDescent="0.15">
      <c r="A34">
        <v>33</v>
      </c>
      <c r="B34" s="182" t="s">
        <v>224</v>
      </c>
      <c r="C34">
        <v>0</v>
      </c>
    </row>
    <row r="35" spans="1:3" x14ac:dyDescent="0.15">
      <c r="A35">
        <v>34</v>
      </c>
      <c r="B35" s="182" t="s">
        <v>225</v>
      </c>
      <c r="C3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5" t="s">
        <v>226</v>
      </c>
    </row>
    <row r="2" spans="1:3" x14ac:dyDescent="0.15">
      <c r="A2">
        <v>1</v>
      </c>
      <c r="B2" s="184" t="s">
        <v>192</v>
      </c>
      <c r="C2">
        <v>0</v>
      </c>
    </row>
    <row r="3" spans="1:3" x14ac:dyDescent="0.15">
      <c r="A3">
        <v>2</v>
      </c>
      <c r="B3" s="184" t="s">
        <v>193</v>
      </c>
      <c r="C3">
        <v>0</v>
      </c>
    </row>
    <row r="4" spans="1:3" x14ac:dyDescent="0.15">
      <c r="A4">
        <v>3</v>
      </c>
      <c r="B4" s="184" t="s">
        <v>194</v>
      </c>
      <c r="C4">
        <v>0</v>
      </c>
    </row>
    <row r="5" spans="1:3" x14ac:dyDescent="0.15">
      <c r="A5">
        <v>4</v>
      </c>
      <c r="B5" s="184" t="s">
        <v>195</v>
      </c>
      <c r="C5">
        <v>0</v>
      </c>
    </row>
    <row r="6" spans="1:3" x14ac:dyDescent="0.15">
      <c r="A6">
        <v>5</v>
      </c>
      <c r="B6" s="184" t="s">
        <v>196</v>
      </c>
      <c r="C6">
        <v>0</v>
      </c>
    </row>
    <row r="7" spans="1:3" x14ac:dyDescent="0.15">
      <c r="A7">
        <v>6</v>
      </c>
      <c r="B7" s="184" t="s">
        <v>197</v>
      </c>
      <c r="C7">
        <v>0</v>
      </c>
    </row>
    <row r="8" spans="1:3" x14ac:dyDescent="0.15">
      <c r="A8">
        <v>7</v>
      </c>
      <c r="B8" s="184" t="s">
        <v>198</v>
      </c>
      <c r="C8">
        <v>0</v>
      </c>
    </row>
    <row r="9" spans="1:3" x14ac:dyDescent="0.15">
      <c r="A9">
        <v>8</v>
      </c>
      <c r="B9" s="184" t="s">
        <v>199</v>
      </c>
      <c r="C9">
        <v>0.8</v>
      </c>
    </row>
    <row r="10" spans="1:3" x14ac:dyDescent="0.15">
      <c r="A10">
        <v>9</v>
      </c>
      <c r="B10" s="184" t="s">
        <v>200</v>
      </c>
      <c r="C10">
        <v>0.8</v>
      </c>
    </row>
    <row r="11" spans="1:3" x14ac:dyDescent="0.15">
      <c r="A11">
        <v>10</v>
      </c>
      <c r="B11" s="184" t="s">
        <v>201</v>
      </c>
      <c r="C11">
        <v>0</v>
      </c>
    </row>
    <row r="12" spans="1:3" x14ac:dyDescent="0.15">
      <c r="A12">
        <v>11</v>
      </c>
      <c r="B12" s="184" t="s">
        <v>202</v>
      </c>
      <c r="C12">
        <v>0.8</v>
      </c>
    </row>
    <row r="13" spans="1:3" x14ac:dyDescent="0.15">
      <c r="A13">
        <v>12</v>
      </c>
      <c r="B13" s="184" t="s">
        <v>203</v>
      </c>
      <c r="C13">
        <v>0.8</v>
      </c>
    </row>
    <row r="14" spans="1:3" x14ac:dyDescent="0.15">
      <c r="A14">
        <v>13</v>
      </c>
      <c r="B14" s="184" t="s">
        <v>204</v>
      </c>
      <c r="C14">
        <v>0.8</v>
      </c>
    </row>
    <row r="15" spans="1:3" x14ac:dyDescent="0.15">
      <c r="A15">
        <v>14</v>
      </c>
      <c r="B15" s="184" t="s">
        <v>205</v>
      </c>
      <c r="C15">
        <v>0.8</v>
      </c>
    </row>
    <row r="16" spans="1:3" x14ac:dyDescent="0.15">
      <c r="A16">
        <v>15</v>
      </c>
      <c r="B16" s="184" t="s">
        <v>206</v>
      </c>
      <c r="C16">
        <v>0.8</v>
      </c>
    </row>
    <row r="17" spans="1:3" x14ac:dyDescent="0.15">
      <c r="A17">
        <v>16</v>
      </c>
      <c r="B17" s="184" t="s">
        <v>207</v>
      </c>
      <c r="C17">
        <v>0.8</v>
      </c>
    </row>
    <row r="18" spans="1:3" x14ac:dyDescent="0.15">
      <c r="A18">
        <v>17</v>
      </c>
      <c r="B18" s="184" t="s">
        <v>208</v>
      </c>
      <c r="C18">
        <v>0.8</v>
      </c>
    </row>
    <row r="19" spans="1:3" x14ac:dyDescent="0.15">
      <c r="A19">
        <v>18</v>
      </c>
      <c r="B19" s="184" t="s">
        <v>209</v>
      </c>
      <c r="C19">
        <v>0.8</v>
      </c>
    </row>
    <row r="20" spans="1:3" x14ac:dyDescent="0.15">
      <c r="A20">
        <v>19</v>
      </c>
      <c r="B20" s="184" t="s">
        <v>210</v>
      </c>
      <c r="C20">
        <v>0.8</v>
      </c>
    </row>
    <row r="21" spans="1:3" x14ac:dyDescent="0.15">
      <c r="A21">
        <v>20</v>
      </c>
      <c r="B21" s="184" t="s">
        <v>211</v>
      </c>
      <c r="C21">
        <v>0.8</v>
      </c>
    </row>
    <row r="22" spans="1:3" x14ac:dyDescent="0.15">
      <c r="A22">
        <v>21</v>
      </c>
      <c r="B22" s="184" t="s">
        <v>212</v>
      </c>
      <c r="C22">
        <v>0.8</v>
      </c>
    </row>
    <row r="23" spans="1:3" x14ac:dyDescent="0.15">
      <c r="A23">
        <v>22</v>
      </c>
      <c r="B23" s="184" t="s">
        <v>213</v>
      </c>
      <c r="C23">
        <v>0.8</v>
      </c>
    </row>
    <row r="24" spans="1:3" x14ac:dyDescent="0.15">
      <c r="A24">
        <v>23</v>
      </c>
      <c r="B24" s="184" t="s">
        <v>214</v>
      </c>
      <c r="C24">
        <v>0</v>
      </c>
    </row>
    <row r="25" spans="1:3" x14ac:dyDescent="0.15">
      <c r="A25">
        <v>24</v>
      </c>
      <c r="B25" s="184" t="s">
        <v>215</v>
      </c>
      <c r="C25">
        <v>0</v>
      </c>
    </row>
    <row r="26" spans="1:3" x14ac:dyDescent="0.15">
      <c r="A26">
        <v>25</v>
      </c>
      <c r="B26" s="184" t="s">
        <v>216</v>
      </c>
      <c r="C26">
        <v>0.8</v>
      </c>
    </row>
    <row r="27" spans="1:3" x14ac:dyDescent="0.15">
      <c r="A27">
        <v>26</v>
      </c>
      <c r="B27" s="184" t="s">
        <v>217</v>
      </c>
      <c r="C27">
        <v>0.8</v>
      </c>
    </row>
    <row r="28" spans="1:3" x14ac:dyDescent="0.15">
      <c r="A28">
        <v>27</v>
      </c>
      <c r="B28" s="184" t="s">
        <v>218</v>
      </c>
      <c r="C28">
        <v>0</v>
      </c>
    </row>
    <row r="29" spans="1:3" x14ac:dyDescent="0.15">
      <c r="A29">
        <v>28</v>
      </c>
      <c r="B29" s="184" t="s">
        <v>219</v>
      </c>
      <c r="C29">
        <v>0.8</v>
      </c>
    </row>
    <row r="30" spans="1:3" x14ac:dyDescent="0.15">
      <c r="A30">
        <v>29</v>
      </c>
      <c r="B30" s="184" t="s">
        <v>220</v>
      </c>
      <c r="C30">
        <v>0.8</v>
      </c>
    </row>
    <row r="31" spans="1:3" x14ac:dyDescent="0.15">
      <c r="A31">
        <v>30</v>
      </c>
      <c r="B31" s="184" t="s">
        <v>221</v>
      </c>
      <c r="C31">
        <v>0</v>
      </c>
    </row>
    <row r="32" spans="1:3" x14ac:dyDescent="0.15">
      <c r="A32">
        <v>31</v>
      </c>
      <c r="B32" s="184" t="s">
        <v>222</v>
      </c>
      <c r="C32">
        <v>0</v>
      </c>
    </row>
    <row r="33" spans="1:3" x14ac:dyDescent="0.15">
      <c r="A33">
        <v>32</v>
      </c>
      <c r="B33" s="184" t="s">
        <v>223</v>
      </c>
      <c r="C33">
        <v>0</v>
      </c>
    </row>
    <row r="34" spans="1:3" x14ac:dyDescent="0.15">
      <c r="A34">
        <v>33</v>
      </c>
      <c r="B34" s="184" t="s">
        <v>224</v>
      </c>
      <c r="C34">
        <v>0</v>
      </c>
    </row>
    <row r="35" spans="1:3" x14ac:dyDescent="0.15">
      <c r="A35">
        <v>34</v>
      </c>
      <c r="B35" s="184" t="s">
        <v>225</v>
      </c>
      <c r="C3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7">
        <v>1</v>
      </c>
      <c r="B2" s="137" t="s">
        <v>192</v>
      </c>
      <c r="C2" s="8">
        <v>1</v>
      </c>
      <c r="D2" s="9">
        <v>53.416000366210938</v>
      </c>
      <c r="E2" s="9">
        <v>265</v>
      </c>
      <c r="F2" s="10"/>
      <c r="G2" s="9">
        <v>0.80117064714431763</v>
      </c>
      <c r="H2" s="10"/>
      <c r="I2">
        <v>0</v>
      </c>
      <c r="J2"/>
    </row>
    <row r="3" spans="1:10" ht="15" customHeight="1" x14ac:dyDescent="0.15">
      <c r="A3" s="138">
        <v>2</v>
      </c>
      <c r="B3" s="138" t="s">
        <v>193</v>
      </c>
      <c r="C3" s="8">
        <v>1</v>
      </c>
      <c r="D3" s="9">
        <v>9.425999641418457</v>
      </c>
      <c r="E3" s="9">
        <v>265</v>
      </c>
      <c r="F3" s="10"/>
      <c r="G3" s="9">
        <v>0.95983755588531494</v>
      </c>
      <c r="H3" s="10"/>
      <c r="I3">
        <v>0</v>
      </c>
      <c r="J3"/>
    </row>
    <row r="4" spans="1:10" ht="15" customHeight="1" x14ac:dyDescent="0.15">
      <c r="A4" s="139">
        <v>3</v>
      </c>
      <c r="B4" s="139" t="s">
        <v>194</v>
      </c>
      <c r="C4" s="8">
        <v>2.25</v>
      </c>
      <c r="D4" s="9">
        <v>20.484457015991211</v>
      </c>
      <c r="E4" s="9">
        <v>256</v>
      </c>
      <c r="F4" s="9">
        <v>1024</v>
      </c>
      <c r="G4" s="9">
        <v>0.94999998807907104</v>
      </c>
      <c r="H4" s="9">
        <v>0.25</v>
      </c>
      <c r="I4">
        <v>0</v>
      </c>
      <c r="J4"/>
    </row>
    <row r="5" spans="1:10" ht="15" customHeight="1" x14ac:dyDescent="0.15">
      <c r="A5" s="140">
        <v>4</v>
      </c>
      <c r="B5" s="140" t="s">
        <v>195</v>
      </c>
      <c r="C5" s="8">
        <v>2.125</v>
      </c>
      <c r="D5" s="9">
        <v>31.163999557495117</v>
      </c>
      <c r="E5" s="9">
        <v>40</v>
      </c>
      <c r="F5" s="9">
        <v>125</v>
      </c>
      <c r="G5" s="9">
        <v>0.51508194208145142</v>
      </c>
      <c r="H5" s="9">
        <v>0.31999999284744263</v>
      </c>
      <c r="I5">
        <v>0</v>
      </c>
      <c r="J5"/>
    </row>
    <row r="6" spans="1:10" ht="15" customHeight="1" x14ac:dyDescent="0.15">
      <c r="A6" s="141">
        <v>5</v>
      </c>
      <c r="B6" s="141" t="s">
        <v>196</v>
      </c>
      <c r="C6" s="8">
        <v>2.5</v>
      </c>
      <c r="D6" s="9">
        <v>21.096498489379883</v>
      </c>
      <c r="E6" s="9">
        <v>19.085498809814453</v>
      </c>
      <c r="F6" s="9">
        <v>46.549999237060547</v>
      </c>
      <c r="G6" s="9">
        <v>0.94999992847442627</v>
      </c>
      <c r="H6" s="9">
        <v>0.40999996662139893</v>
      </c>
      <c r="I6">
        <v>0</v>
      </c>
      <c r="J6"/>
    </row>
    <row r="7" spans="1:10" ht="15" customHeight="1" x14ac:dyDescent="0.15">
      <c r="A7" s="142">
        <v>6</v>
      </c>
      <c r="B7" s="142" t="s">
        <v>197</v>
      </c>
      <c r="C7" s="8">
        <v>2.9791669845581055</v>
      </c>
      <c r="D7" s="9">
        <v>1.6759451478719711E-2</v>
      </c>
      <c r="E7" s="9">
        <v>0.58399999141693115</v>
      </c>
      <c r="F7" s="9">
        <v>2.9199998378753662</v>
      </c>
      <c r="G7" s="9">
        <v>0.94999986886978149</v>
      </c>
      <c r="H7" s="9">
        <v>0.20000000298023224</v>
      </c>
      <c r="I7">
        <v>0</v>
      </c>
      <c r="J7"/>
    </row>
    <row r="8" spans="1:10" ht="15" customHeight="1" x14ac:dyDescent="0.15">
      <c r="A8" s="143">
        <v>7</v>
      </c>
      <c r="B8" s="143" t="s">
        <v>198</v>
      </c>
      <c r="C8" s="8">
        <v>2.0640215873718262</v>
      </c>
      <c r="D8" s="9">
        <v>20.729000091552734</v>
      </c>
      <c r="E8" s="9">
        <v>1.2000000476837158</v>
      </c>
      <c r="F8" s="9">
        <v>10</v>
      </c>
      <c r="G8" s="9">
        <v>0.99415749311447144</v>
      </c>
      <c r="H8" s="9">
        <v>0.12000000476837158</v>
      </c>
      <c r="I8">
        <v>0</v>
      </c>
      <c r="J8"/>
    </row>
    <row r="9" spans="1:10" ht="15" customHeight="1" x14ac:dyDescent="0.15">
      <c r="A9" s="144">
        <v>8</v>
      </c>
      <c r="B9" s="144" t="s">
        <v>199</v>
      </c>
      <c r="C9" s="8">
        <v>3.159250020980835</v>
      </c>
      <c r="D9" s="9">
        <v>7.5669999122619629</v>
      </c>
      <c r="E9" s="9">
        <v>1.3999999761581421</v>
      </c>
      <c r="F9" s="9">
        <v>14</v>
      </c>
      <c r="G9" s="9">
        <v>0.85310012102127075</v>
      </c>
      <c r="H9" s="9">
        <v>0.10000000149011612</v>
      </c>
      <c r="I9">
        <v>7.9689998626708984</v>
      </c>
      <c r="J9"/>
    </row>
    <row r="10" spans="1:10" ht="15" customHeight="1" x14ac:dyDescent="0.15">
      <c r="A10" s="145">
        <v>9</v>
      </c>
      <c r="B10" s="145" t="s">
        <v>200</v>
      </c>
      <c r="C10" s="8">
        <v>2.3508625030517578</v>
      </c>
      <c r="D10" s="9">
        <v>83.292999267578125</v>
      </c>
      <c r="E10" s="9">
        <v>2</v>
      </c>
      <c r="F10" s="9">
        <v>20</v>
      </c>
      <c r="G10" s="9">
        <v>0.46869385242462158</v>
      </c>
      <c r="H10" s="9">
        <v>0.10000000149011612</v>
      </c>
      <c r="I10">
        <v>30.474000930786133</v>
      </c>
      <c r="J10"/>
    </row>
    <row r="11" spans="1:10" ht="15" customHeight="1" x14ac:dyDescent="0.15">
      <c r="A11" s="146">
        <v>10</v>
      </c>
      <c r="B11" s="146" t="s">
        <v>201</v>
      </c>
      <c r="C11" s="8">
        <v>3.4921250343322754</v>
      </c>
      <c r="D11" s="9">
        <v>6.8819999694824219</v>
      </c>
      <c r="E11" s="9">
        <v>1.3999999761581421</v>
      </c>
      <c r="F11" s="9">
        <v>14</v>
      </c>
      <c r="G11" s="9">
        <v>0.57524323463439941</v>
      </c>
      <c r="H11" s="9">
        <v>0.10000000149011612</v>
      </c>
      <c r="I11">
        <v>0</v>
      </c>
      <c r="J11"/>
    </row>
    <row r="12" spans="1:10" ht="15" customHeight="1" x14ac:dyDescent="0.15">
      <c r="A12" s="147">
        <v>11</v>
      </c>
      <c r="B12" s="147" t="s">
        <v>202</v>
      </c>
      <c r="C12" s="8">
        <v>4.1802511215209961</v>
      </c>
      <c r="D12" s="9">
        <v>0.52399998903274536</v>
      </c>
      <c r="E12" s="9">
        <v>8.9099998474121094</v>
      </c>
      <c r="F12" s="9">
        <v>25.457143783569336</v>
      </c>
      <c r="G12" s="9">
        <v>0.94011044502258301</v>
      </c>
      <c r="H12" s="9">
        <v>0.34999999403953552</v>
      </c>
      <c r="I12">
        <v>0.18600000441074371</v>
      </c>
      <c r="J12"/>
    </row>
    <row r="13" spans="1:10" ht="15" customHeight="1" x14ac:dyDescent="0.15">
      <c r="A13" s="148">
        <v>12</v>
      </c>
      <c r="B13" s="148" t="s">
        <v>203</v>
      </c>
      <c r="C13" s="8">
        <v>3.4972221851348877</v>
      </c>
      <c r="D13" s="9">
        <v>6.5837130546569824</v>
      </c>
      <c r="E13" s="9">
        <v>4.3000001907348633</v>
      </c>
      <c r="F13" s="9">
        <v>12.285715103149414</v>
      </c>
      <c r="G13" s="9">
        <v>0.94999998807907104</v>
      </c>
      <c r="H13" s="9">
        <v>0.34999999403953552</v>
      </c>
      <c r="I13">
        <v>5.4999999701976776E-2</v>
      </c>
      <c r="J13"/>
    </row>
    <row r="14" spans="1:10" ht="15" customHeight="1" x14ac:dyDescent="0.15">
      <c r="A14" s="149">
        <v>13</v>
      </c>
      <c r="B14" s="149" t="s">
        <v>204</v>
      </c>
      <c r="C14" s="8">
        <v>2.7697367668151855</v>
      </c>
      <c r="D14" s="9">
        <v>7.8041129112243652</v>
      </c>
      <c r="E14" s="9">
        <v>1</v>
      </c>
      <c r="F14" s="9">
        <v>10</v>
      </c>
      <c r="G14" s="9">
        <v>0.94999998807907104</v>
      </c>
      <c r="H14" s="9">
        <v>0.10000000149011612</v>
      </c>
      <c r="I14">
        <v>0.68800002336502075</v>
      </c>
      <c r="J14"/>
    </row>
    <row r="15" spans="1:10" ht="15" customHeight="1" x14ac:dyDescent="0.15">
      <c r="A15" s="150">
        <v>14</v>
      </c>
      <c r="B15" s="150" t="s">
        <v>205</v>
      </c>
      <c r="C15" s="8">
        <v>3.570549488067627</v>
      </c>
      <c r="D15" s="9">
        <v>11.567999839782715</v>
      </c>
      <c r="E15" s="9">
        <v>1.2000000476837158</v>
      </c>
      <c r="F15" s="9">
        <v>12</v>
      </c>
      <c r="G15" s="9">
        <v>0.13034349679946899</v>
      </c>
      <c r="H15" s="9">
        <v>0.10000000149011612</v>
      </c>
      <c r="I15">
        <v>1.4509999752044678</v>
      </c>
      <c r="J15"/>
    </row>
    <row r="16" spans="1:10" ht="15" customHeight="1" x14ac:dyDescent="0.15">
      <c r="A16" s="151">
        <v>15</v>
      </c>
      <c r="B16" s="151" t="s">
        <v>206</v>
      </c>
      <c r="C16" s="8">
        <v>3.5927979946136475</v>
      </c>
      <c r="D16" s="9">
        <v>8.4879999160766602</v>
      </c>
      <c r="E16" s="9">
        <v>0.85000002384185791</v>
      </c>
      <c r="F16" s="9">
        <v>8.5</v>
      </c>
      <c r="G16" s="9">
        <v>4.767976701259613E-2</v>
      </c>
      <c r="H16" s="9">
        <v>0.10000000149011612</v>
      </c>
      <c r="I16">
        <v>9.6000000834465027E-2</v>
      </c>
      <c r="J16"/>
    </row>
    <row r="17" spans="1:10" ht="15" customHeight="1" x14ac:dyDescent="0.15">
      <c r="A17" s="152">
        <v>16</v>
      </c>
      <c r="B17" s="152" t="s">
        <v>207</v>
      </c>
      <c r="C17" s="8">
        <v>3.5960264205932617</v>
      </c>
      <c r="D17" s="9">
        <v>0.58899998664855957</v>
      </c>
      <c r="E17" s="9">
        <v>0.85000002384185791</v>
      </c>
      <c r="F17" s="9">
        <v>8.5</v>
      </c>
      <c r="G17" s="9">
        <v>0.50301641225814819</v>
      </c>
      <c r="H17" s="9">
        <v>0.10000000149011612</v>
      </c>
      <c r="I17">
        <v>0.25</v>
      </c>
      <c r="J17"/>
    </row>
    <row r="18" spans="1:10" ht="15" customHeight="1" x14ac:dyDescent="0.15">
      <c r="A18" s="153">
        <v>17</v>
      </c>
      <c r="B18" s="153" t="s">
        <v>208</v>
      </c>
      <c r="C18" s="8">
        <v>3.7672548294067383</v>
      </c>
      <c r="D18" s="9">
        <v>2.7709999084472656</v>
      </c>
      <c r="E18" s="9">
        <v>0.92799997329711914</v>
      </c>
      <c r="F18" s="9">
        <v>6.1866660118103027</v>
      </c>
      <c r="G18" s="9">
        <v>0.62275016307830811</v>
      </c>
      <c r="H18" s="9">
        <v>0.15000000596046448</v>
      </c>
      <c r="I18">
        <v>0.97500002384185791</v>
      </c>
      <c r="J18"/>
    </row>
    <row r="19" spans="1:10" ht="15" customHeight="1" x14ac:dyDescent="0.15">
      <c r="A19" s="154">
        <v>18</v>
      </c>
      <c r="B19" s="154" t="s">
        <v>209</v>
      </c>
      <c r="C19" s="8">
        <v>3.6633212566375732</v>
      </c>
      <c r="D19" s="9">
        <v>0.414000004529953</v>
      </c>
      <c r="E19" s="9">
        <v>1.6269999742507935</v>
      </c>
      <c r="F19" s="9">
        <v>10.84666633605957</v>
      </c>
      <c r="G19" s="9">
        <v>0.3936474621295929</v>
      </c>
      <c r="H19" s="9">
        <v>0.15000000596046448</v>
      </c>
      <c r="I19">
        <v>0.21799999475479126</v>
      </c>
      <c r="J19"/>
    </row>
    <row r="20" spans="1:10" ht="15" customHeight="1" x14ac:dyDescent="0.15">
      <c r="A20" s="155">
        <v>19</v>
      </c>
      <c r="B20" s="155" t="s">
        <v>210</v>
      </c>
      <c r="C20" s="8">
        <v>4.3218865394592285</v>
      </c>
      <c r="D20" s="9">
        <v>5.4999999701976776E-2</v>
      </c>
      <c r="E20" s="9">
        <v>1.0440000295639038</v>
      </c>
      <c r="F20" s="9">
        <v>6.9600000381469727</v>
      </c>
      <c r="G20" s="9">
        <v>0.29742002487182617</v>
      </c>
      <c r="H20" s="9">
        <v>0.15000000596046448</v>
      </c>
      <c r="I20">
        <v>1.7000000923871994E-2</v>
      </c>
      <c r="J20"/>
    </row>
    <row r="21" spans="1:10" ht="15" customHeight="1" x14ac:dyDescent="0.15">
      <c r="A21" s="156">
        <v>20</v>
      </c>
      <c r="B21" s="156" t="s">
        <v>211</v>
      </c>
      <c r="C21" s="8">
        <v>3.6020684242248535</v>
      </c>
      <c r="D21" s="9">
        <v>3.9999999105930328E-2</v>
      </c>
      <c r="E21" s="9">
        <v>0.30399999022483826</v>
      </c>
      <c r="F21" s="9">
        <v>2.0266664028167725</v>
      </c>
      <c r="G21" s="9">
        <v>0.79399681091308594</v>
      </c>
      <c r="H21" s="9">
        <v>0.15000002086162567</v>
      </c>
      <c r="I21">
        <v>6.0000000521540642E-3</v>
      </c>
      <c r="J21"/>
    </row>
    <row r="22" spans="1:10" ht="15" customHeight="1" x14ac:dyDescent="0.15">
      <c r="A22" s="157">
        <v>21</v>
      </c>
      <c r="B22" s="157" t="s">
        <v>212</v>
      </c>
      <c r="C22" s="8">
        <v>2.4500000476837158</v>
      </c>
      <c r="D22" s="9">
        <v>7.0894041061401367</v>
      </c>
      <c r="E22" s="9">
        <v>2.2999999523162842</v>
      </c>
      <c r="F22" s="9">
        <v>15.333332061767578</v>
      </c>
      <c r="G22" s="9">
        <v>0.94999992847442627</v>
      </c>
      <c r="H22" s="9">
        <v>0.15000000596046448</v>
      </c>
      <c r="I22">
        <v>1.8999999389052391E-2</v>
      </c>
      <c r="J22"/>
    </row>
    <row r="23" spans="1:10" ht="15" customHeight="1" x14ac:dyDescent="0.15">
      <c r="A23" s="158">
        <v>22</v>
      </c>
      <c r="B23" s="158" t="s">
        <v>213</v>
      </c>
      <c r="C23" s="8">
        <v>3.484677791595459</v>
      </c>
      <c r="D23" s="9">
        <v>7.8000001609325409E-2</v>
      </c>
      <c r="E23" s="9">
        <v>1</v>
      </c>
      <c r="F23" s="9">
        <v>6.6666665077209473</v>
      </c>
      <c r="G23" s="9">
        <v>0.39743587374687195</v>
      </c>
      <c r="H23" s="9">
        <v>0.15000000596046448</v>
      </c>
      <c r="I23">
        <v>3.0999999493360519E-2</v>
      </c>
      <c r="J23"/>
    </row>
    <row r="24" spans="1:10" ht="15" customHeight="1" x14ac:dyDescent="0.15">
      <c r="A24" s="159">
        <v>23</v>
      </c>
      <c r="B24" s="159" t="s">
        <v>214</v>
      </c>
      <c r="C24" s="8">
        <v>2.4417097568511963</v>
      </c>
      <c r="D24" s="9">
        <v>3.2000001519918442E-2</v>
      </c>
      <c r="E24" s="9">
        <v>0.80000001192092896</v>
      </c>
      <c r="F24" s="9">
        <v>4</v>
      </c>
      <c r="G24" s="9">
        <v>3.9427250623703003E-2</v>
      </c>
      <c r="H24" s="9">
        <v>0.20000000298023224</v>
      </c>
      <c r="I24">
        <v>0</v>
      </c>
      <c r="J24"/>
    </row>
    <row r="25" spans="1:10" ht="15" customHeight="1" x14ac:dyDescent="0.15">
      <c r="A25" s="160">
        <v>24</v>
      </c>
      <c r="B25" s="160" t="s">
        <v>215</v>
      </c>
      <c r="C25" s="8">
        <v>4.2135686874389648</v>
      </c>
      <c r="D25" s="9">
        <v>1.8999999389052391E-2</v>
      </c>
      <c r="E25" s="9">
        <v>0.75</v>
      </c>
      <c r="F25" s="9">
        <v>5</v>
      </c>
      <c r="G25" s="9">
        <v>0.82341057062149048</v>
      </c>
      <c r="H25" s="9">
        <v>0.15000000596046448</v>
      </c>
      <c r="I25">
        <v>0</v>
      </c>
      <c r="J25"/>
    </row>
    <row r="26" spans="1:10" ht="15" customHeight="1" x14ac:dyDescent="0.15">
      <c r="A26" s="161">
        <v>25</v>
      </c>
      <c r="B26" s="161" t="s">
        <v>216</v>
      </c>
      <c r="C26" s="8">
        <v>3.3794422149658203</v>
      </c>
      <c r="D26" s="9">
        <v>0.20000000298023224</v>
      </c>
      <c r="E26" s="9">
        <v>1.3200000524520874</v>
      </c>
      <c r="F26" s="9">
        <v>8.8000001907348633</v>
      </c>
      <c r="G26" s="9">
        <v>0.9958873987197876</v>
      </c>
      <c r="H26" s="9">
        <v>0.15000000596046448</v>
      </c>
      <c r="I26">
        <v>0.125</v>
      </c>
      <c r="J26"/>
    </row>
    <row r="27" spans="1:10" ht="15" customHeight="1" x14ac:dyDescent="0.15">
      <c r="A27" s="162">
        <v>26</v>
      </c>
      <c r="B27" s="162" t="s">
        <v>217</v>
      </c>
      <c r="C27" s="8">
        <v>3.2385456562042236</v>
      </c>
      <c r="D27" s="9">
        <v>0.36899998784065247</v>
      </c>
      <c r="E27" s="9">
        <v>0.74599999189376831</v>
      </c>
      <c r="F27" s="9">
        <v>4.9733328819274902</v>
      </c>
      <c r="G27" s="9">
        <v>0.85908001661300659</v>
      </c>
      <c r="H27" s="9">
        <v>0.15000000596046448</v>
      </c>
      <c r="I27">
        <v>6.7000001668930054E-2</v>
      </c>
      <c r="J27"/>
    </row>
    <row r="28" spans="1:10" ht="15" customHeight="1" x14ac:dyDescent="0.15">
      <c r="A28" s="163">
        <v>27</v>
      </c>
      <c r="B28" s="163" t="s">
        <v>218</v>
      </c>
      <c r="C28" s="8">
        <v>3.4891006946563721</v>
      </c>
      <c r="D28" s="9">
        <v>0.78899997472763062</v>
      </c>
      <c r="E28" s="9">
        <v>3.4000000953674316</v>
      </c>
      <c r="F28" s="9">
        <v>17</v>
      </c>
      <c r="G28" s="9">
        <v>0.89676350355148315</v>
      </c>
      <c r="H28" s="9">
        <v>0.20000000298023224</v>
      </c>
      <c r="I28">
        <v>0</v>
      </c>
      <c r="J28"/>
    </row>
    <row r="29" spans="1:10" ht="15" customHeight="1" x14ac:dyDescent="0.15">
      <c r="A29" s="164">
        <v>28</v>
      </c>
      <c r="B29" s="164" t="s">
        <v>219</v>
      </c>
      <c r="C29" s="8">
        <v>3.3074052333831787</v>
      </c>
      <c r="D29" s="9">
        <v>0.57700002193450928</v>
      </c>
      <c r="E29" s="9">
        <v>0.89999997615814209</v>
      </c>
      <c r="F29" s="9">
        <v>5.9999995231628418</v>
      </c>
      <c r="G29" s="9">
        <v>0.8929482102394104</v>
      </c>
      <c r="H29" s="9">
        <v>0.15000000596046448</v>
      </c>
      <c r="I29">
        <v>6.8000003695487976E-2</v>
      </c>
      <c r="J29"/>
    </row>
    <row r="30" spans="1:10" ht="15" customHeight="1" x14ac:dyDescent="0.15">
      <c r="A30" s="165">
        <v>29</v>
      </c>
      <c r="B30" s="165" t="s">
        <v>220</v>
      </c>
      <c r="C30" s="8">
        <v>4.7379975318908691</v>
      </c>
      <c r="D30" s="9">
        <v>2.7000000700354576E-2</v>
      </c>
      <c r="E30" s="9">
        <v>0.48600000143051147</v>
      </c>
      <c r="F30" s="9">
        <v>3.2399997711181641</v>
      </c>
      <c r="G30" s="9">
        <v>0.5334552526473999</v>
      </c>
      <c r="H30" s="9">
        <v>0.15000000596046448</v>
      </c>
      <c r="I30">
        <v>7.0000002160668373E-3</v>
      </c>
      <c r="J30"/>
    </row>
    <row r="31" spans="1:10" ht="15" customHeight="1" x14ac:dyDescent="0.15">
      <c r="A31" s="166">
        <v>30</v>
      </c>
      <c r="B31" s="166" t="s">
        <v>221</v>
      </c>
      <c r="C31" s="8">
        <v>3.3913750648498535</v>
      </c>
      <c r="D31" s="9">
        <v>6.7000001668930054E-2</v>
      </c>
      <c r="E31" s="9">
        <v>3.9999999105930328E-2</v>
      </c>
      <c r="F31" s="9">
        <v>60</v>
      </c>
      <c r="G31" s="7">
        <v>0</v>
      </c>
      <c r="H31" s="9">
        <v>6.6666665952652693E-4</v>
      </c>
      <c r="I31">
        <v>0</v>
      </c>
      <c r="J31"/>
    </row>
    <row r="32" spans="1:10" ht="15" customHeight="1" x14ac:dyDescent="0.15">
      <c r="A32" s="194">
        <v>31</v>
      </c>
      <c r="B32" s="194" t="s">
        <v>222</v>
      </c>
      <c r="C32" s="8">
        <v>3.4462740421295166</v>
      </c>
      <c r="D32" s="9">
        <v>7.1999996900558472E-2</v>
      </c>
      <c r="E32" s="9">
        <v>0.10000000149011612</v>
      </c>
      <c r="F32" s="9">
        <v>45.900001525878906</v>
      </c>
      <c r="G32" s="7">
        <v>0</v>
      </c>
      <c r="H32" s="9">
        <v>2.1786491852253675E-3</v>
      </c>
      <c r="I32">
        <v>0</v>
      </c>
      <c r="J32"/>
    </row>
    <row r="33" spans="1:10" ht="15" customHeight="1" x14ac:dyDescent="0.15">
      <c r="A33" s="195">
        <v>32</v>
      </c>
      <c r="B33" s="195" t="s">
        <v>223</v>
      </c>
      <c r="C33" s="8">
        <v>4.2538056373596191</v>
      </c>
      <c r="D33" s="9">
        <v>6.1999998986721039E-2</v>
      </c>
      <c r="E33" s="9">
        <v>0.10000000149011612</v>
      </c>
      <c r="F33" s="9">
        <v>20</v>
      </c>
      <c r="G33" s="7">
        <v>0</v>
      </c>
      <c r="H33" s="9">
        <v>4.999999888241291E-3</v>
      </c>
      <c r="I33">
        <v>0</v>
      </c>
      <c r="J33"/>
    </row>
    <row r="34" spans="1:10" ht="15" customHeight="1" x14ac:dyDescent="0.15">
      <c r="A34" s="196">
        <v>33</v>
      </c>
      <c r="B34" s="196" t="s">
        <v>224</v>
      </c>
      <c r="C34" s="8">
        <v>1</v>
      </c>
      <c r="D34" s="9">
        <v>1</v>
      </c>
      <c r="E34" s="10"/>
      <c r="F34" s="10"/>
      <c r="G34" s="7">
        <v>0.81355351209640503</v>
      </c>
      <c r="H34" s="10"/>
      <c r="I34">
        <v>0</v>
      </c>
      <c r="J34"/>
    </row>
    <row r="35" spans="1:10" ht="15" customHeight="1" x14ac:dyDescent="0.15">
      <c r="A35" s="197">
        <v>34</v>
      </c>
      <c r="B35" s="197" t="s">
        <v>225</v>
      </c>
      <c r="C35" s="8">
        <v>1</v>
      </c>
      <c r="D35" s="9">
        <v>5</v>
      </c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198">
        <v>35</v>
      </c>
      <c r="B36" s="198" t="s">
        <v>226</v>
      </c>
      <c r="C36" s="8">
        <v>3.6166296005249023</v>
      </c>
      <c r="D36" s="10"/>
      <c r="E36" s="10"/>
      <c r="F36" s="10"/>
      <c r="G36" s="10"/>
      <c r="H36" s="10"/>
      <c r="I36">
        <v>42.701999664306641</v>
      </c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265</v>
      </c>
      <c r="C2">
        <v>52.689777374267578</v>
      </c>
      <c r="D2"/>
      <c r="E2"/>
      <c r="F2"/>
      <c r="G2" s="247">
        <v>117.80787658691406</v>
      </c>
      <c r="H2" s="243">
        <v>61.988449096679688</v>
      </c>
      <c r="I2" s="26">
        <v>9.1923952102661133</v>
      </c>
      <c r="J2"/>
      <c r="K2"/>
      <c r="L2" s="11">
        <v>8.3297058939933777E-2</v>
      </c>
      <c r="M2" s="227">
        <v>21.575157165527344</v>
      </c>
      <c r="N2"/>
      <c r="O2"/>
      <c r="P2"/>
      <c r="Q2" s="14">
        <v>0.43830201029777527</v>
      </c>
      <c r="R2"/>
      <c r="S2" s="11">
        <v>2.7013625949621201E-3</v>
      </c>
      <c r="T2"/>
      <c r="U2"/>
      <c r="V2"/>
      <c r="W2"/>
      <c r="X2"/>
      <c r="Y2" s="12">
        <v>1.22102952003479</v>
      </c>
      <c r="Z2"/>
      <c r="AA2" s="11">
        <v>1.0136289056390524E-3</v>
      </c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265</v>
      </c>
      <c r="C3">
        <v>10.643047332763672</v>
      </c>
      <c r="D3"/>
      <c r="E3"/>
      <c r="F3"/>
      <c r="G3" s="245">
        <v>222.53431701660156</v>
      </c>
      <c r="H3" s="70">
        <v>20.663589477539062</v>
      </c>
      <c r="I3" s="200">
        <v>10.418438911437988</v>
      </c>
      <c r="J3"/>
      <c r="K3"/>
      <c r="L3" s="11">
        <v>3.3716741949319839E-2</v>
      </c>
      <c r="M3" s="14">
        <v>0.70692133903503418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256</v>
      </c>
      <c r="C4">
        <v>12.800003051757812</v>
      </c>
      <c r="D4"/>
      <c r="E4"/>
      <c r="F4"/>
      <c r="G4" s="246">
        <v>204.80000305175781</v>
      </c>
      <c r="H4" s="216">
        <v>19.016857147216797</v>
      </c>
      <c r="I4" s="216">
        <v>19.176334381103516</v>
      </c>
      <c r="J4"/>
      <c r="K4"/>
      <c r="L4" s="11">
        <v>0.19135025143623352</v>
      </c>
      <c r="M4" s="11">
        <v>1.5451394021511078E-2</v>
      </c>
      <c r="N4"/>
      <c r="O4"/>
      <c r="P4"/>
      <c r="Q4"/>
      <c r="R4"/>
      <c r="S4" s="11">
        <v>3.4516432378950412E-7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19.396722793579102</v>
      </c>
      <c r="D5"/>
      <c r="E5"/>
      <c r="F5"/>
      <c r="G5"/>
      <c r="H5"/>
      <c r="I5"/>
      <c r="J5" s="11">
        <v>1.0050077689811587E-3</v>
      </c>
      <c r="K5"/>
      <c r="L5" s="136">
        <v>2.3931572437286377</v>
      </c>
      <c r="M5" s="244">
        <v>15.020749092102051</v>
      </c>
      <c r="N5" s="14">
        <v>6.4924530684947968E-2</v>
      </c>
      <c r="O5" s="11">
        <v>3.2103251665830612E-2</v>
      </c>
      <c r="P5"/>
      <c r="Q5" s="63">
        <v>1.627734899520874</v>
      </c>
      <c r="R5"/>
      <c r="S5" s="14">
        <v>6.7138105630874634E-2</v>
      </c>
      <c r="T5"/>
      <c r="U5"/>
      <c r="V5"/>
      <c r="W5"/>
      <c r="X5"/>
      <c r="Y5" s="26">
        <v>1.3952533006668091</v>
      </c>
      <c r="Z5"/>
      <c r="AA5" s="11">
        <v>7.6395849464461207E-4</v>
      </c>
      <c r="AB5"/>
      <c r="AC5"/>
      <c r="AD5"/>
      <c r="AE5"/>
      <c r="AF5" s="11">
        <v>4.4435888412408531E-4</v>
      </c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19.085498809814453</v>
      </c>
      <c r="C6">
        <v>0.95427632331848145</v>
      </c>
      <c r="D6"/>
      <c r="E6"/>
      <c r="F6"/>
      <c r="G6"/>
      <c r="H6"/>
      <c r="I6"/>
      <c r="J6" s="11">
        <v>2.7836425579153001E-4</v>
      </c>
      <c r="K6"/>
      <c r="L6" s="220">
        <v>1.0746206045150757</v>
      </c>
      <c r="M6" s="239">
        <v>1.8161678314208984</v>
      </c>
      <c r="N6" s="243">
        <v>4.4711065292358398</v>
      </c>
      <c r="O6" s="22">
        <v>0.14037299156188965</v>
      </c>
      <c r="P6" s="241">
        <v>3.2589666843414307</v>
      </c>
      <c r="Q6"/>
      <c r="R6" s="242">
        <v>3.6848275661468506</v>
      </c>
      <c r="S6" s="240">
        <v>2.9476628303527832</v>
      </c>
      <c r="T6"/>
      <c r="U6" s="12">
        <v>5.6882783770561218E-2</v>
      </c>
      <c r="V6" s="11">
        <v>6.385684828273952E-4</v>
      </c>
      <c r="W6" s="11">
        <v>2.3951651528477669E-3</v>
      </c>
      <c r="X6"/>
      <c r="Y6"/>
      <c r="Z6" s="11">
        <v>4.6832414227537811E-4</v>
      </c>
      <c r="AA6" s="11">
        <v>1.6988602874334902E-4</v>
      </c>
      <c r="AB6"/>
      <c r="AC6" s="14">
        <v>2.1357102319598198E-2</v>
      </c>
      <c r="AD6" s="11">
        <v>5.3933072194922715E-5</v>
      </c>
      <c r="AE6" s="236">
        <v>0.61989790201187134</v>
      </c>
      <c r="AF6" s="11">
        <v>1.7723130062222481E-2</v>
      </c>
      <c r="AG6"/>
      <c r="AH6"/>
      <c r="AI6"/>
      <c r="AJ6" s="11">
        <v>1.7633259296417236E-2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0.58399999141693115</v>
      </c>
      <c r="C7">
        <v>2.9200077056884766E-2</v>
      </c>
      <c r="D7"/>
      <c r="E7"/>
      <c r="F7"/>
      <c r="G7"/>
      <c r="H7"/>
      <c r="I7"/>
      <c r="J7" s="213">
        <v>0.11679999530315399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 s="214">
        <v>0.43799993395805359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1.2000000476837158</v>
      </c>
      <c r="C8">
        <v>7.0110084488987923E-3</v>
      </c>
      <c r="D8"/>
      <c r="E8"/>
      <c r="F8"/>
      <c r="G8"/>
      <c r="H8"/>
      <c r="I8"/>
      <c r="J8"/>
      <c r="K8" s="237">
        <v>0.69999998807907104</v>
      </c>
      <c r="L8"/>
      <c r="M8"/>
      <c r="N8"/>
      <c r="O8"/>
      <c r="P8"/>
      <c r="Q8"/>
      <c r="R8" s="223">
        <v>0.20090113580226898</v>
      </c>
      <c r="S8"/>
      <c r="T8"/>
      <c r="U8" s="64">
        <v>7.4431605637073517E-2</v>
      </c>
      <c r="V8" s="11">
        <v>1.1048121086787432E-4</v>
      </c>
      <c r="W8" s="11">
        <v>1.1449466910562478E-5</v>
      </c>
      <c r="X8" s="11">
        <v>7.8215694520622492E-4</v>
      </c>
      <c r="Y8"/>
      <c r="Z8" s="18">
        <v>1.4162091538310051E-2</v>
      </c>
      <c r="AA8" s="11">
        <v>1.1053114430978894E-3</v>
      </c>
      <c r="AB8" s="11">
        <v>5.2245642291381955E-4</v>
      </c>
      <c r="AC8" s="23">
        <v>3.2518696039915085E-2</v>
      </c>
      <c r="AD8" s="27">
        <v>5.6735996156930923E-2</v>
      </c>
      <c r="AE8" s="17">
        <v>1.6176613047719002E-2</v>
      </c>
      <c r="AF8" s="230">
        <v>9.5531091094017029E-2</v>
      </c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1.3999999761581421</v>
      </c>
      <c r="C9">
        <v>0.20565982162952423</v>
      </c>
      <c r="D9" s="199">
        <v>1.0531253814697266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224">
        <v>0.13593168556690216</v>
      </c>
      <c r="V9"/>
      <c r="W9"/>
      <c r="X9"/>
      <c r="Y9"/>
      <c r="Z9" s="14">
        <v>2.1303026005625725E-3</v>
      </c>
      <c r="AA9"/>
      <c r="AB9"/>
      <c r="AC9"/>
      <c r="AD9" s="14">
        <v>3.152778372168541E-3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</v>
      </c>
      <c r="C10">
        <v>1.0626122951507568</v>
      </c>
      <c r="D10" s="103">
        <v>0.3658650815486908</v>
      </c>
      <c r="E10"/>
      <c r="F10"/>
      <c r="G10"/>
      <c r="H10"/>
      <c r="I10"/>
      <c r="J10"/>
      <c r="K10"/>
      <c r="L10"/>
      <c r="M10"/>
      <c r="N10"/>
      <c r="O10" s="12">
        <v>6.8865371868014336E-3</v>
      </c>
      <c r="P10"/>
      <c r="Q10"/>
      <c r="R10" s="223">
        <v>0.33331975340843201</v>
      </c>
      <c r="S10"/>
      <c r="T10" s="62">
        <v>4.2014855891466141E-2</v>
      </c>
      <c r="U10" s="13">
        <v>7.3683068156242371E-2</v>
      </c>
      <c r="V10" s="19">
        <v>3.4799870103597641E-2</v>
      </c>
      <c r="W10" s="11">
        <v>2.2979120331001468E-5</v>
      </c>
      <c r="X10" s="11">
        <v>4.8663545749150217E-4</v>
      </c>
      <c r="Y10"/>
      <c r="Z10" s="11">
        <v>4.8695568693801761E-4</v>
      </c>
      <c r="AA10"/>
      <c r="AB10"/>
      <c r="AC10" s="14">
        <v>2.1130230743438005E-3</v>
      </c>
      <c r="AD10" s="14">
        <v>4.0539945475757122E-3</v>
      </c>
      <c r="AE10"/>
      <c r="AF10" s="12">
        <v>8.2296943292021751E-3</v>
      </c>
      <c r="AG10" s="11">
        <v>2.2370714577846229E-4</v>
      </c>
      <c r="AH10" s="62">
        <v>4.2326964437961578E-2</v>
      </c>
      <c r="AI10" s="15">
        <v>2.1385796368122101E-2</v>
      </c>
      <c r="AJ10" s="11">
        <v>1.4887205325067043E-3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1.3999999761581421</v>
      </c>
      <c r="C11">
        <v>0.59465944766998291</v>
      </c>
      <c r="D11"/>
      <c r="E11"/>
      <c r="F11"/>
      <c r="G11"/>
      <c r="H11"/>
      <c r="I11"/>
      <c r="J11"/>
      <c r="K11"/>
      <c r="L11"/>
      <c r="M11"/>
      <c r="N11"/>
      <c r="O11" s="232">
        <v>0.75013124942779541</v>
      </c>
      <c r="P11"/>
      <c r="Q11"/>
      <c r="R11"/>
      <c r="S11" s="13">
        <v>5.2417892962694168E-2</v>
      </c>
      <c r="T11"/>
      <c r="U11"/>
      <c r="V11"/>
      <c r="W11" s="11">
        <v>6.1185698723420501E-4</v>
      </c>
      <c r="X11"/>
      <c r="Y11"/>
      <c r="Z11"/>
      <c r="AA11"/>
      <c r="AB11"/>
      <c r="AC11"/>
      <c r="AD11" s="11">
        <v>2.586609625723213E-4</v>
      </c>
      <c r="AE11"/>
      <c r="AF11"/>
      <c r="AG11"/>
      <c r="AH11"/>
      <c r="AI11" s="14">
        <v>1.920836977660656E-3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8.9099998474121094</v>
      </c>
      <c r="C12">
        <v>0.53361594676971436</v>
      </c>
      <c r="D12" s="200">
        <v>0.35496184229850769</v>
      </c>
      <c r="E12"/>
      <c r="F12"/>
      <c r="G12"/>
      <c r="H12"/>
      <c r="I12"/>
      <c r="J12"/>
      <c r="K12"/>
      <c r="L12"/>
      <c r="M12"/>
      <c r="N12"/>
      <c r="O12" s="228">
        <v>3.0548570156097412</v>
      </c>
      <c r="P12"/>
      <c r="Q12"/>
      <c r="R12"/>
      <c r="S12"/>
      <c r="T12" s="25">
        <v>0.67836165428161621</v>
      </c>
      <c r="U12" s="229">
        <v>3.6642065048217773</v>
      </c>
      <c r="V12"/>
      <c r="W12"/>
      <c r="X12"/>
      <c r="Y12"/>
      <c r="Z12" s="14">
        <v>2.1832060068845749E-2</v>
      </c>
      <c r="AA12"/>
      <c r="AB12"/>
      <c r="AC12"/>
      <c r="AD12" s="14">
        <v>1.7511064186692238E-2</v>
      </c>
      <c r="AE12"/>
      <c r="AF12"/>
      <c r="AG12" s="18">
        <v>0.1113717183470726</v>
      </c>
      <c r="AH12"/>
      <c r="AI12"/>
      <c r="AJ12" s="221">
        <v>0.47328245639801025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4.3000001907348633</v>
      </c>
      <c r="C13">
        <v>0.21500006318092346</v>
      </c>
      <c r="D13" s="14">
        <v>8.3539485931396484E-3</v>
      </c>
      <c r="E13"/>
      <c r="F13"/>
      <c r="G13"/>
      <c r="H13"/>
      <c r="I13"/>
      <c r="J13"/>
      <c r="K13"/>
      <c r="L13"/>
      <c r="M13"/>
      <c r="N13"/>
      <c r="O13" s="13">
        <v>0.15601299703121185</v>
      </c>
      <c r="P13"/>
      <c r="Q13"/>
      <c r="R13" s="238">
        <v>2.5301709175109863</v>
      </c>
      <c r="S13" s="235">
        <v>1.1177726984024048</v>
      </c>
      <c r="T13" s="16">
        <v>6.6918469965457916E-2</v>
      </c>
      <c r="U13" s="20">
        <v>0.18227215111255646</v>
      </c>
      <c r="V13"/>
      <c r="W13" s="11">
        <v>1.16286966658663E-4</v>
      </c>
      <c r="X13"/>
      <c r="Y13"/>
      <c r="Z13" s="14">
        <v>9.0040378272533417E-3</v>
      </c>
      <c r="AA13"/>
      <c r="AB13" s="11">
        <v>5.3389323875308037E-4</v>
      </c>
      <c r="AC13" s="14">
        <v>1.1495035141706467E-2</v>
      </c>
      <c r="AD13" s="11">
        <v>2.2299387492239475E-3</v>
      </c>
      <c r="AE13"/>
      <c r="AF13"/>
      <c r="AG13" s="11">
        <v>1.195860022562556E-4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</v>
      </c>
      <c r="C14">
        <v>5.0000011920928955E-2</v>
      </c>
      <c r="D14" s="201">
        <v>8.8158644735813141E-2</v>
      </c>
      <c r="E14"/>
      <c r="F14"/>
      <c r="G14"/>
      <c r="H14"/>
      <c r="I14"/>
      <c r="J14"/>
      <c r="K14"/>
      <c r="L14"/>
      <c r="M14"/>
      <c r="N14"/>
      <c r="O14" s="216">
        <v>7.5209043920040131E-2</v>
      </c>
      <c r="P14"/>
      <c r="Q14"/>
      <c r="R14" s="233">
        <v>0.71150171756744385</v>
      </c>
      <c r="S14"/>
      <c r="T14" s="11">
        <v>6.4152071718126535E-4</v>
      </c>
      <c r="U14" s="18">
        <v>1.0983471758663654E-2</v>
      </c>
      <c r="V14" s="24">
        <v>3.1647235155105591E-2</v>
      </c>
      <c r="W14"/>
      <c r="X14"/>
      <c r="Y14"/>
      <c r="Z14" s="11">
        <v>1.3326306361705065E-4</v>
      </c>
      <c r="AA14"/>
      <c r="AB14"/>
      <c r="AC14" s="11">
        <v>2.2552214795723557E-4</v>
      </c>
      <c r="AD14" s="22">
        <v>8.7006557732820511E-3</v>
      </c>
      <c r="AE14"/>
      <c r="AF14" s="11">
        <v>4.4361225445754826E-4</v>
      </c>
      <c r="AG14"/>
      <c r="AH14" s="19">
        <v>1.8544068560004234E-2</v>
      </c>
      <c r="AI14" s="12">
        <v>3.8112208712846041E-3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1.0435878038406372</v>
      </c>
      <c r="D15" s="202">
        <v>0.12543222308158875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s="11">
        <v>4.3603042286122218E-5</v>
      </c>
      <c r="AA15"/>
      <c r="AB15"/>
      <c r="AC15"/>
      <c r="AD15"/>
      <c r="AE15"/>
      <c r="AF15"/>
      <c r="AG15"/>
      <c r="AH15" s="12">
        <v>5.2126557566225529E-3</v>
      </c>
      <c r="AI15" s="12">
        <v>4.2852694168686867E-3</v>
      </c>
      <c r="AJ15" s="19">
        <v>2.1438451483845711E-2</v>
      </c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0.85000002384185791</v>
      </c>
      <c r="C16">
        <v>0.80947220325469971</v>
      </c>
      <c r="D16" s="17">
        <v>1.1310084722936153E-2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 s="26">
        <v>2.9217718169093132E-2</v>
      </c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0.85000002384185791</v>
      </c>
      <c r="C17">
        <v>0.42243605852127075</v>
      </c>
      <c r="D17" s="203">
        <v>0.42444822192192078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 s="12">
        <v>3.1157210469245911E-3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0.92799997329711914</v>
      </c>
      <c r="C18">
        <v>0.35008785128593445</v>
      </c>
      <c r="D18" s="133">
        <v>0.35185855627059937</v>
      </c>
      <c r="E18"/>
      <c r="F18"/>
      <c r="G18"/>
      <c r="H18"/>
      <c r="I18"/>
      <c r="J18"/>
      <c r="K18"/>
      <c r="L18"/>
      <c r="M18"/>
      <c r="N18"/>
      <c r="O18" s="223">
        <v>0.15404742956161499</v>
      </c>
      <c r="P18"/>
      <c r="Q18"/>
      <c r="R18"/>
      <c r="S18"/>
      <c r="T18"/>
      <c r="U18"/>
      <c r="V18"/>
      <c r="W18" s="220">
        <v>5.3376492112874985E-2</v>
      </c>
      <c r="X18"/>
      <c r="Y18"/>
      <c r="Z18"/>
      <c r="AA18"/>
      <c r="AB18"/>
      <c r="AC18"/>
      <c r="AD18"/>
      <c r="AE18"/>
      <c r="AF18"/>
      <c r="AG18" s="12">
        <v>3.1254130881279707E-3</v>
      </c>
      <c r="AH18"/>
      <c r="AI18" s="19">
        <v>1.5504295937716961E-2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1.6269999742507935</v>
      </c>
      <c r="C19">
        <v>0.98653554916381836</v>
      </c>
      <c r="D19" s="204">
        <v>0.52657002210617065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 s="13">
        <v>6.154588982462883E-2</v>
      </c>
      <c r="AA19"/>
      <c r="AB19" s="24">
        <v>5.002414807677269E-2</v>
      </c>
      <c r="AC19"/>
      <c r="AD19"/>
      <c r="AE19"/>
      <c r="AF19"/>
      <c r="AG19" s="14">
        <v>2.3243476171046495E-3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1.0440000295639038</v>
      </c>
      <c r="C20">
        <v>0.73349350690841675</v>
      </c>
      <c r="D20" s="102">
        <v>0.30909094214439392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 s="14">
        <v>1.4155854005366564E-3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0.30399999022483826</v>
      </c>
      <c r="C21">
        <v>6.2624968588352203E-2</v>
      </c>
      <c r="D21" s="205">
        <v>0.15000000596046448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211">
        <v>2.6000000536441803E-2</v>
      </c>
      <c r="AA21"/>
      <c r="AB21" s="67">
        <v>2.1374998614192009E-2</v>
      </c>
      <c r="AC21" s="212">
        <v>4.4000010937452316E-2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2.2999999523162842</v>
      </c>
      <c r="C22">
        <v>0.1150001585483551</v>
      </c>
      <c r="D22" s="14">
        <v>2.6800557971000671E-3</v>
      </c>
      <c r="E22"/>
      <c r="F22"/>
      <c r="G22"/>
      <c r="H22"/>
      <c r="I22"/>
      <c r="J22"/>
      <c r="K22"/>
      <c r="L22"/>
      <c r="M22"/>
      <c r="N22"/>
      <c r="O22"/>
      <c r="P22" s="231">
        <v>0.57046842575073242</v>
      </c>
      <c r="Q22"/>
      <c r="R22" s="234">
        <v>0.78323084115982056</v>
      </c>
      <c r="S22" s="11">
        <v>8.7521143723279238E-4</v>
      </c>
      <c r="T22" s="20">
        <v>9.9573463201522827E-2</v>
      </c>
      <c r="U22" s="101">
        <v>0.39899495244026184</v>
      </c>
      <c r="V22" s="18">
        <v>2.9136992990970612E-2</v>
      </c>
      <c r="W22" s="14">
        <v>6.2095490284264088E-3</v>
      </c>
      <c r="X22"/>
      <c r="Y22"/>
      <c r="Z22" s="12">
        <v>7.2615412063896656E-3</v>
      </c>
      <c r="AA22"/>
      <c r="AB22" s="11">
        <v>4.1540863458067179E-4</v>
      </c>
      <c r="AC22" s="21">
        <v>4.6175960451364517E-2</v>
      </c>
      <c r="AD22" s="12">
        <v>8.0246441066265106E-3</v>
      </c>
      <c r="AE22"/>
      <c r="AF22"/>
      <c r="AG22"/>
      <c r="AH22" s="19">
        <v>4.0827129036188126E-2</v>
      </c>
      <c r="AI22" s="227">
        <v>0.19112579524517059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</v>
      </c>
      <c r="C23">
        <v>0.60256409645080566</v>
      </c>
      <c r="D23" s="206">
        <v>0.39743587374687195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0.80000001192092896</v>
      </c>
      <c r="C24">
        <v>0.76845818758010864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 s="200">
        <v>3.1541801989078522E-2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0.75</v>
      </c>
      <c r="C25">
        <v>0.13244207203388214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 s="215">
        <v>0.60442107915878296</v>
      </c>
      <c r="X25"/>
      <c r="Y25"/>
      <c r="Z25" s="19">
        <v>1.3136841356754303E-2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1.3200000524520874</v>
      </c>
      <c r="C26">
        <v>5.4286341182887554E-3</v>
      </c>
      <c r="D26" s="207">
        <v>0.625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 s="65">
        <v>0.12159998714923859</v>
      </c>
      <c r="Y26"/>
      <c r="Z26" s="19">
        <v>2.3399999365210533E-2</v>
      </c>
      <c r="AA26"/>
      <c r="AB26" s="217">
        <v>0.15389999747276306</v>
      </c>
      <c r="AC26" s="213">
        <v>0.26399999856948853</v>
      </c>
      <c r="AD26" s="62">
        <v>2.7527391910552979E-2</v>
      </c>
      <c r="AE26"/>
      <c r="AF26"/>
      <c r="AG26"/>
      <c r="AH26"/>
      <c r="AI26" s="216">
        <v>9.9143996834754944E-2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0.74599999189376831</v>
      </c>
      <c r="C27">
        <v>0.10512630641460419</v>
      </c>
      <c r="D27" s="208">
        <v>0.18157182633876801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 s="72">
        <v>0.16494633257389069</v>
      </c>
      <c r="X27"/>
      <c r="Y27"/>
      <c r="Z27" s="17">
        <v>9.8644988611340523E-3</v>
      </c>
      <c r="AA27"/>
      <c r="AB27"/>
      <c r="AC27"/>
      <c r="AD27" s="219">
        <v>0.24866661429405212</v>
      </c>
      <c r="AE27"/>
      <c r="AF27"/>
      <c r="AG27"/>
      <c r="AH27"/>
      <c r="AI27" s="27">
        <v>3.582439199090004E-2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3.4000000953674316</v>
      </c>
      <c r="C28">
        <v>0.35100409388542175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 s="226">
        <v>1.5209475755691528</v>
      </c>
      <c r="V28" s="225">
        <v>1.4228518009185791</v>
      </c>
      <c r="W28" s="218">
        <v>7.7142201364040375E-2</v>
      </c>
      <c r="X28"/>
      <c r="Y28"/>
      <c r="Z28"/>
      <c r="AA28"/>
      <c r="AB28" s="22">
        <v>2.8054496273398399E-2</v>
      </c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0.89999997615814209</v>
      </c>
      <c r="C29">
        <v>9.634660929441452E-2</v>
      </c>
      <c r="D29" s="209">
        <v>0.11785095185041428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14">
        <v>1.8024262972176075E-3</v>
      </c>
      <c r="AA29"/>
      <c r="AB29"/>
      <c r="AC29"/>
      <c r="AD29"/>
      <c r="AE29"/>
      <c r="AF29" s="222">
        <v>0.68399995565414429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0.48600000143051147</v>
      </c>
      <c r="C30">
        <v>0.22674074769020081</v>
      </c>
      <c r="D30" s="210">
        <v>0.25925925374031067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3.9999999105930328E-2</v>
      </c>
      <c r="C31">
        <v>3.9999999105930328E-2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0.10000000149011612</v>
      </c>
      <c r="C32">
        <v>0.10000000149011612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0.10000000149011612</v>
      </c>
      <c r="C33">
        <v>0.10000000149011612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0.81355351209640503</v>
      </c>
      <c r="D34"/>
      <c r="E34"/>
      <c r="F34"/>
      <c r="G34" s="9">
        <v>8390.43359375</v>
      </c>
      <c r="H34"/>
      <c r="I34"/>
      <c r="J34" s="9">
        <v>9.7875194624066353E-3</v>
      </c>
      <c r="K34" s="9">
        <v>165.83200073242188</v>
      </c>
      <c r="L34"/>
      <c r="M34"/>
      <c r="N34"/>
      <c r="O34"/>
      <c r="P34"/>
      <c r="Q34"/>
      <c r="R34" s="9">
        <v>1.3881599903106689</v>
      </c>
      <c r="S34"/>
      <c r="T34"/>
      <c r="U34"/>
      <c r="V34"/>
      <c r="W34"/>
      <c r="X34"/>
      <c r="Y34"/>
      <c r="Z34"/>
      <c r="AA34" s="9">
        <v>2.3552000522613525E-2</v>
      </c>
      <c r="AB34" s="9">
        <v>3.2300001475960016E-3</v>
      </c>
      <c r="AC34"/>
      <c r="AD34" s="9">
        <v>3.8538351655006409E-2</v>
      </c>
      <c r="AE34"/>
      <c r="AF34" s="9">
        <v>1.0385999456048012E-2</v>
      </c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86" t="s">
        <v>192</v>
      </c>
      <c r="E5">
        <v>4</v>
      </c>
      <c r="F5">
        <v>2.1</v>
      </c>
      <c r="G5">
        <v>4</v>
      </c>
      <c r="H5" s="187" t="s">
        <v>192</v>
      </c>
      <c r="J5" s="55"/>
      <c r="K5" s="56"/>
    </row>
    <row r="6" spans="1:12" ht="14" thickBot="1" x14ac:dyDescent="0.2">
      <c r="A6" s="39" t="s">
        <v>121</v>
      </c>
      <c r="D6" s="186" t="s">
        <v>193</v>
      </c>
      <c r="E6">
        <v>5</v>
      </c>
      <c r="F6">
        <v>2.2000000000000002</v>
      </c>
      <c r="G6">
        <v>5</v>
      </c>
      <c r="H6" s="187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86" t="s">
        <v>194</v>
      </c>
      <c r="E7">
        <v>6</v>
      </c>
      <c r="F7">
        <v>3.14</v>
      </c>
      <c r="G7">
        <v>6</v>
      </c>
      <c r="H7" s="187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86" t="s">
        <v>195</v>
      </c>
      <c r="E8">
        <v>7</v>
      </c>
      <c r="F8">
        <v>3.11</v>
      </c>
      <c r="G8">
        <v>7</v>
      </c>
      <c r="H8" s="187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86" t="s">
        <v>196</v>
      </c>
      <c r="E9">
        <v>8</v>
      </c>
      <c r="F9">
        <v>3.11</v>
      </c>
      <c r="G9">
        <v>8</v>
      </c>
      <c r="H9" s="187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86" t="s">
        <v>197</v>
      </c>
      <c r="E10">
        <v>9</v>
      </c>
      <c r="F10">
        <v>3.11</v>
      </c>
      <c r="G10">
        <v>9</v>
      </c>
      <c r="H10" s="187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86" t="s">
        <v>198</v>
      </c>
      <c r="E11">
        <v>10</v>
      </c>
      <c r="F11">
        <v>3.21</v>
      </c>
      <c r="G11">
        <v>10</v>
      </c>
      <c r="H11" s="187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86" t="s">
        <v>199</v>
      </c>
      <c r="E12">
        <v>11</v>
      </c>
      <c r="F12">
        <v>3.12</v>
      </c>
      <c r="G12">
        <v>11</v>
      </c>
      <c r="H12" s="187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86" t="s">
        <v>200</v>
      </c>
      <c r="E13">
        <v>12</v>
      </c>
      <c r="F13">
        <v>3.12</v>
      </c>
      <c r="G13">
        <v>12</v>
      </c>
      <c r="H13" s="187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86" t="s">
        <v>201</v>
      </c>
      <c r="E14">
        <v>13</v>
      </c>
      <c r="F14">
        <v>3.12</v>
      </c>
      <c r="G14">
        <v>13</v>
      </c>
      <c r="H14" s="187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86" t="s">
        <v>202</v>
      </c>
      <c r="E15">
        <v>14</v>
      </c>
      <c r="F15">
        <v>3.12</v>
      </c>
      <c r="G15">
        <v>14</v>
      </c>
      <c r="H15" s="187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86" t="s">
        <v>203</v>
      </c>
      <c r="E16">
        <v>15</v>
      </c>
      <c r="F16">
        <v>3.12</v>
      </c>
      <c r="G16">
        <v>15</v>
      </c>
      <c r="H16" s="187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86" t="s">
        <v>204</v>
      </c>
      <c r="E17">
        <v>16</v>
      </c>
      <c r="F17">
        <v>3.1</v>
      </c>
      <c r="G17">
        <v>16</v>
      </c>
      <c r="H17" s="187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86" t="s">
        <v>205</v>
      </c>
      <c r="E18">
        <v>17</v>
      </c>
      <c r="F18">
        <v>3.12</v>
      </c>
      <c r="G18">
        <v>17</v>
      </c>
      <c r="H18" s="187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86" t="s">
        <v>206</v>
      </c>
      <c r="E19">
        <v>18</v>
      </c>
      <c r="F19">
        <v>3.12</v>
      </c>
      <c r="G19">
        <v>18</v>
      </c>
      <c r="H19" s="187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86" t="s">
        <v>207</v>
      </c>
      <c r="E20">
        <v>19</v>
      </c>
      <c r="F20">
        <v>3.1</v>
      </c>
      <c r="G20">
        <v>19</v>
      </c>
      <c r="H20" s="187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86" t="s">
        <v>208</v>
      </c>
      <c r="E21">
        <v>20</v>
      </c>
      <c r="F21">
        <v>3.12</v>
      </c>
      <c r="G21">
        <v>20</v>
      </c>
      <c r="H21" s="187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86" t="s">
        <v>209</v>
      </c>
      <c r="E22">
        <v>21</v>
      </c>
      <c r="F22">
        <v>3.12</v>
      </c>
      <c r="G22">
        <v>21</v>
      </c>
      <c r="H22" s="187" t="s">
        <v>209</v>
      </c>
    </row>
    <row r="23" spans="1:12" x14ac:dyDescent="0.15">
      <c r="A23" s="34" t="s">
        <v>129</v>
      </c>
      <c r="B23" s="42">
        <v>4</v>
      </c>
      <c r="C23" s="36"/>
      <c r="D23" s="186" t="s">
        <v>210</v>
      </c>
      <c r="E23">
        <v>22</v>
      </c>
      <c r="F23">
        <v>3.12</v>
      </c>
      <c r="G23">
        <v>22</v>
      </c>
      <c r="H23" s="187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86" t="s">
        <v>211</v>
      </c>
      <c r="E24">
        <v>23</v>
      </c>
      <c r="F24">
        <v>3.22</v>
      </c>
      <c r="G24">
        <v>23</v>
      </c>
      <c r="H24" s="187" t="s">
        <v>211</v>
      </c>
    </row>
    <row r="25" spans="1:12" x14ac:dyDescent="0.15">
      <c r="A25" s="34" t="s">
        <v>70</v>
      </c>
      <c r="B25" s="42">
        <v>4.2</v>
      </c>
      <c r="C25" s="36"/>
      <c r="D25" s="186" t="s">
        <v>212</v>
      </c>
      <c r="E25">
        <v>24</v>
      </c>
      <c r="F25">
        <v>3.2</v>
      </c>
      <c r="G25">
        <v>24</v>
      </c>
      <c r="H25" s="187" t="s">
        <v>212</v>
      </c>
    </row>
    <row r="26" spans="1:12" x14ac:dyDescent="0.15">
      <c r="A26" s="34" t="s">
        <v>123</v>
      </c>
      <c r="B26" s="42">
        <v>4.3</v>
      </c>
      <c r="C26" s="36"/>
      <c r="D26" s="186" t="s">
        <v>213</v>
      </c>
      <c r="E26">
        <v>25</v>
      </c>
      <c r="F26">
        <v>3.22</v>
      </c>
      <c r="G26">
        <v>25</v>
      </c>
      <c r="H26" s="187" t="s">
        <v>213</v>
      </c>
    </row>
    <row r="27" spans="1:12" x14ac:dyDescent="0.15">
      <c r="A27" s="34" t="s">
        <v>125</v>
      </c>
      <c r="B27" s="42">
        <v>6.1</v>
      </c>
      <c r="D27" s="186" t="s">
        <v>214</v>
      </c>
      <c r="E27">
        <v>26</v>
      </c>
      <c r="F27">
        <v>3</v>
      </c>
      <c r="G27">
        <v>26</v>
      </c>
      <c r="H27" s="187" t="s">
        <v>214</v>
      </c>
    </row>
    <row r="28" spans="1:12" x14ac:dyDescent="0.15">
      <c r="A28" s="34" t="s">
        <v>124</v>
      </c>
      <c r="B28" s="42">
        <v>6.2</v>
      </c>
      <c r="D28" s="186" t="s">
        <v>215</v>
      </c>
      <c r="E28">
        <v>27</v>
      </c>
      <c r="F28">
        <v>3.22</v>
      </c>
      <c r="G28">
        <v>27</v>
      </c>
      <c r="H28" s="187" t="s">
        <v>215</v>
      </c>
    </row>
    <row r="29" spans="1:12" x14ac:dyDescent="0.15">
      <c r="A29" s="34" t="s">
        <v>44</v>
      </c>
      <c r="B29" s="42">
        <v>5</v>
      </c>
      <c r="D29" s="186" t="s">
        <v>216</v>
      </c>
      <c r="E29">
        <v>28</v>
      </c>
      <c r="F29">
        <v>3.22</v>
      </c>
      <c r="G29">
        <v>28</v>
      </c>
      <c r="H29" s="187" t="s">
        <v>216</v>
      </c>
    </row>
    <row r="30" spans="1:12" x14ac:dyDescent="0.15">
      <c r="A30" s="34" t="s">
        <v>73</v>
      </c>
      <c r="B30" s="42">
        <v>7</v>
      </c>
      <c r="D30" s="186" t="s">
        <v>217</v>
      </c>
      <c r="E30">
        <v>29</v>
      </c>
      <c r="F30">
        <v>3.22</v>
      </c>
      <c r="G30">
        <v>29</v>
      </c>
      <c r="H30" s="187" t="s">
        <v>217</v>
      </c>
    </row>
    <row r="31" spans="1:12" x14ac:dyDescent="0.15">
      <c r="A31" s="34" t="s">
        <v>169</v>
      </c>
      <c r="B31" s="42">
        <v>3.14</v>
      </c>
      <c r="D31" s="186" t="s">
        <v>218</v>
      </c>
      <c r="E31">
        <v>30</v>
      </c>
      <c r="F31">
        <v>3.22</v>
      </c>
      <c r="G31">
        <v>30</v>
      </c>
      <c r="H31" s="187" t="s">
        <v>218</v>
      </c>
    </row>
    <row r="32" spans="1:12" ht="12" customHeight="1" thickBot="1" x14ac:dyDescent="0.2">
      <c r="A32" s="40" t="s">
        <v>170</v>
      </c>
      <c r="B32" s="43">
        <v>9</v>
      </c>
      <c r="D32" s="186" t="s">
        <v>219</v>
      </c>
      <c r="E32">
        <v>31</v>
      </c>
      <c r="F32">
        <v>3.22</v>
      </c>
      <c r="G32">
        <v>31</v>
      </c>
      <c r="H32" s="187" t="s">
        <v>219</v>
      </c>
    </row>
    <row r="33" spans="4:8" customFormat="1" ht="12" customHeight="1" x14ac:dyDescent="0.15">
      <c r="D33" s="186" t="s">
        <v>220</v>
      </c>
      <c r="E33">
        <v>32</v>
      </c>
      <c r="F33">
        <v>3.12</v>
      </c>
      <c r="G33">
        <v>32</v>
      </c>
      <c r="H33" s="187" t="s">
        <v>220</v>
      </c>
    </row>
    <row r="34" spans="4:8" customFormat="1" ht="12" customHeight="1" x14ac:dyDescent="0.15">
      <c r="D34" s="186" t="s">
        <v>221</v>
      </c>
      <c r="E34">
        <v>33</v>
      </c>
      <c r="F34">
        <v>3.13</v>
      </c>
      <c r="G34">
        <v>33</v>
      </c>
      <c r="H34" s="187" t="s">
        <v>221</v>
      </c>
    </row>
    <row r="35" spans="4:8" customFormat="1" x14ac:dyDescent="0.15">
      <c r="D35" s="186" t="s">
        <v>222</v>
      </c>
      <c r="E35">
        <v>34</v>
      </c>
      <c r="F35">
        <v>3.13</v>
      </c>
      <c r="G35">
        <v>34</v>
      </c>
      <c r="H35" s="187" t="s">
        <v>222</v>
      </c>
    </row>
    <row r="36" spans="4:8" customFormat="1" x14ac:dyDescent="0.15">
      <c r="D36" s="186" t="s">
        <v>223</v>
      </c>
      <c r="E36">
        <v>35</v>
      </c>
      <c r="F36">
        <v>3.13</v>
      </c>
      <c r="G36">
        <v>35</v>
      </c>
      <c r="H36" s="187" t="s">
        <v>223</v>
      </c>
    </row>
    <row r="37" spans="4:8" customFormat="1" ht="12" customHeight="1" x14ac:dyDescent="0.15">
      <c r="D37" s="186" t="s">
        <v>224</v>
      </c>
      <c r="E37">
        <v>36</v>
      </c>
      <c r="F37">
        <v>4.0999999999999996</v>
      </c>
      <c r="G37">
        <v>36</v>
      </c>
      <c r="H37" s="187" t="s">
        <v>224</v>
      </c>
    </row>
    <row r="38" spans="4:8" customFormat="1" x14ac:dyDescent="0.15">
      <c r="D38" s="186" t="s">
        <v>225</v>
      </c>
      <c r="E38">
        <v>37</v>
      </c>
      <c r="F38">
        <v>4.3</v>
      </c>
      <c r="G38">
        <v>37</v>
      </c>
      <c r="H38" s="187" t="s">
        <v>225</v>
      </c>
    </row>
    <row r="39" spans="4:8" customFormat="1" x14ac:dyDescent="0.15">
      <c r="D39" s="186" t="s">
        <v>226</v>
      </c>
      <c r="E39">
        <v>38</v>
      </c>
      <c r="F39">
        <v>5</v>
      </c>
      <c r="G39">
        <v>38</v>
      </c>
      <c r="H39" s="187" t="s">
        <v>226</v>
      </c>
    </row>
    <row r="40" spans="4:8" customFormat="1" x14ac:dyDescent="0.15">
      <c r="D40" s="186" t="s">
        <v>138</v>
      </c>
      <c r="E40">
        <v>39</v>
      </c>
      <c r="F40">
        <v>6.1</v>
      </c>
      <c r="G40">
        <v>39</v>
      </c>
      <c r="H40" s="187" t="s">
        <v>138</v>
      </c>
    </row>
    <row r="41" spans="4:8" customFormat="1" x14ac:dyDescent="0.15">
      <c r="D41" s="186" t="s">
        <v>45</v>
      </c>
      <c r="E41">
        <v>40</v>
      </c>
      <c r="F41">
        <v>6.2</v>
      </c>
      <c r="G41">
        <v>40</v>
      </c>
      <c r="H41" s="187" t="s">
        <v>45</v>
      </c>
    </row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8.1640625" style="78" bestFit="1" customWidth="1"/>
    <col min="2" max="2" width="12.83203125" style="77" customWidth="1"/>
    <col min="3" max="3" width="8.1640625" style="77" customWidth="1"/>
    <col min="4" max="4" width="8.83203125" style="77" customWidth="1"/>
    <col min="5" max="5" width="12.832031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8" customWidth="1"/>
    <col min="17" max="17" width="2.33203125" style="77" customWidth="1"/>
    <col min="18" max="18" width="2.33203125" style="69" customWidth="1"/>
    <col min="19" max="16384" width="11.5" style="77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9" t="s">
        <v>48</v>
      </c>
      <c r="L1" s="69"/>
      <c r="M1" s="79" t="s">
        <v>119</v>
      </c>
      <c r="N1" s="69"/>
      <c r="O1" s="79" t="s">
        <v>49</v>
      </c>
      <c r="P1" s="71"/>
      <c r="Q1" s="79" t="s">
        <v>50</v>
      </c>
      <c r="R1" s="66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5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5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88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1</v>
      </c>
      <c r="N6" s="77">
        <v>0</v>
      </c>
      <c r="O6" s="77">
        <v>0</v>
      </c>
      <c r="P6" s="68">
        <v>0</v>
      </c>
      <c r="Q6" s="77">
        <v>0</v>
      </c>
      <c r="R6" s="69">
        <v>1</v>
      </c>
      <c r="S6"/>
      <c r="T6"/>
    </row>
    <row r="7" spans="1:23" ht="15" customHeight="1" thickBot="1" x14ac:dyDescent="0.2">
      <c r="F7" s="188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0</v>
      </c>
      <c r="M7" s="77">
        <v>1</v>
      </c>
      <c r="N7" s="77">
        <v>0</v>
      </c>
      <c r="O7" s="77">
        <v>0</v>
      </c>
      <c r="P7" s="68">
        <v>0</v>
      </c>
      <c r="Q7" s="77">
        <v>0</v>
      </c>
      <c r="R7" s="69">
        <v>1</v>
      </c>
      <c r="S7"/>
      <c r="T7"/>
    </row>
    <row r="8" spans="1:23" ht="15" customHeight="1" x14ac:dyDescent="0.15">
      <c r="A8" s="79" t="s">
        <v>56</v>
      </c>
      <c r="B8" s="86">
        <v>0.85000477387734308</v>
      </c>
      <c r="C8" s="189" t="s">
        <v>192</v>
      </c>
      <c r="D8" s="81" t="s">
        <v>160</v>
      </c>
      <c r="F8" s="188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8">
        <v>0</v>
      </c>
      <c r="Q8" s="77">
        <v>0</v>
      </c>
      <c r="R8" s="69">
        <v>1</v>
      </c>
      <c r="S8"/>
      <c r="T8"/>
      <c r="W8"/>
    </row>
    <row r="9" spans="1:23" ht="15" customHeight="1" x14ac:dyDescent="0.15">
      <c r="A9" s="119" t="s">
        <v>168</v>
      </c>
      <c r="B9" s="88">
        <v>0.14999522612265681</v>
      </c>
      <c r="C9" s="189" t="s">
        <v>193</v>
      </c>
      <c r="D9" s="81" t="s">
        <v>160</v>
      </c>
      <c r="F9" s="188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8">
        <v>0</v>
      </c>
      <c r="Q9" s="77">
        <v>0</v>
      </c>
      <c r="R9" s="69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88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8">
        <v>0</v>
      </c>
      <c r="Q10" s="77">
        <v>0</v>
      </c>
      <c r="R10" s="69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88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8">
        <v>0</v>
      </c>
      <c r="Q11" s="77">
        <v>0</v>
      </c>
      <c r="R11" s="69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88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8">
        <v>0</v>
      </c>
      <c r="Q12" s="77">
        <v>0</v>
      </c>
      <c r="R12" s="69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88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8">
        <v>0</v>
      </c>
      <c r="Q13" s="77">
        <v>0</v>
      </c>
      <c r="R13" s="69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88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8">
        <v>0</v>
      </c>
      <c r="Q14" s="77">
        <v>0</v>
      </c>
      <c r="R14" s="69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88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8">
        <v>0</v>
      </c>
      <c r="Q15" s="77">
        <v>0</v>
      </c>
      <c r="R15" s="69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88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8">
        <v>0</v>
      </c>
      <c r="Q16" s="77">
        <v>0</v>
      </c>
      <c r="R16" s="69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88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8">
        <v>0</v>
      </c>
      <c r="Q17" s="77">
        <v>0</v>
      </c>
      <c r="R17" s="69">
        <v>1</v>
      </c>
      <c r="S17"/>
      <c r="T17"/>
    </row>
    <row r="18" spans="1:20" ht="15" customHeight="1" thickBot="1" x14ac:dyDescent="0.2">
      <c r="B18" s="89"/>
      <c r="F18" s="188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8">
        <v>0</v>
      </c>
      <c r="Q18" s="77">
        <v>0</v>
      </c>
      <c r="R18" s="69">
        <v>1</v>
      </c>
      <c r="S18"/>
      <c r="T18"/>
    </row>
    <row r="19" spans="1:20" ht="15" customHeight="1" x14ac:dyDescent="0.15">
      <c r="A19" s="79" t="s">
        <v>57</v>
      </c>
      <c r="B19" s="86">
        <v>0.85000477387734308</v>
      </c>
      <c r="C19" s="190" t="s">
        <v>192</v>
      </c>
      <c r="D19" s="81" t="s">
        <v>160</v>
      </c>
      <c r="F19" s="188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8">
        <v>0</v>
      </c>
      <c r="Q19" s="77">
        <v>0</v>
      </c>
      <c r="R19" s="69">
        <v>1</v>
      </c>
      <c r="S19"/>
      <c r="T19"/>
    </row>
    <row r="20" spans="1:20" ht="15" customHeight="1" x14ac:dyDescent="0.15">
      <c r="A20" s="119" t="s">
        <v>168</v>
      </c>
      <c r="B20" s="88">
        <v>0.14999522612265681</v>
      </c>
      <c r="C20" s="190" t="s">
        <v>193</v>
      </c>
      <c r="D20" s="81" t="s">
        <v>160</v>
      </c>
      <c r="F20" s="188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8">
        <v>0</v>
      </c>
      <c r="Q20" s="77">
        <v>0</v>
      </c>
      <c r="R20" s="69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88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8">
        <v>0</v>
      </c>
      <c r="Q21" s="77">
        <v>0</v>
      </c>
      <c r="R21" s="69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88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8">
        <v>0</v>
      </c>
      <c r="Q22" s="77">
        <v>0</v>
      </c>
      <c r="R22" s="69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88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1</v>
      </c>
      <c r="L23" s="77">
        <v>0</v>
      </c>
      <c r="M23" s="77">
        <v>1</v>
      </c>
      <c r="N23" s="77">
        <v>0</v>
      </c>
      <c r="O23" s="77">
        <v>1</v>
      </c>
      <c r="P23" s="68">
        <v>0</v>
      </c>
      <c r="Q23" s="77">
        <v>0</v>
      </c>
      <c r="R23" s="69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88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8">
        <v>0</v>
      </c>
      <c r="Q24" s="77">
        <v>0</v>
      </c>
      <c r="R24" s="69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88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8">
        <v>0</v>
      </c>
      <c r="Q25" s="77">
        <v>0</v>
      </c>
      <c r="R25" s="69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88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1</v>
      </c>
      <c r="L26" s="77">
        <v>0</v>
      </c>
      <c r="M26" s="77">
        <v>1</v>
      </c>
      <c r="N26" s="77">
        <v>0</v>
      </c>
      <c r="O26" s="77">
        <v>1</v>
      </c>
      <c r="P26" s="68">
        <v>0</v>
      </c>
      <c r="Q26" s="77">
        <v>0</v>
      </c>
      <c r="R26" s="69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88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1</v>
      </c>
      <c r="L27" s="77">
        <v>0</v>
      </c>
      <c r="M27" s="77">
        <v>1</v>
      </c>
      <c r="N27" s="77">
        <v>0</v>
      </c>
      <c r="O27" s="77">
        <v>1</v>
      </c>
      <c r="P27" s="68">
        <v>0</v>
      </c>
      <c r="Q27" s="77">
        <v>0</v>
      </c>
      <c r="R27" s="69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88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1</v>
      </c>
      <c r="L28" s="77">
        <v>0</v>
      </c>
      <c r="M28" s="77">
        <v>1</v>
      </c>
      <c r="N28" s="77">
        <v>0</v>
      </c>
      <c r="O28" s="77">
        <v>1</v>
      </c>
      <c r="P28" s="68">
        <v>0</v>
      </c>
      <c r="Q28" s="77">
        <v>0</v>
      </c>
      <c r="R28" s="69">
        <v>1</v>
      </c>
      <c r="S28"/>
      <c r="T28"/>
    </row>
    <row r="29" spans="1:20" ht="15" customHeight="1" x14ac:dyDescent="0.15">
      <c r="F29" s="188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1</v>
      </c>
      <c r="L29" s="77">
        <v>0</v>
      </c>
      <c r="M29" s="77">
        <v>1</v>
      </c>
      <c r="N29" s="77">
        <v>0</v>
      </c>
      <c r="O29" s="77">
        <v>1</v>
      </c>
      <c r="P29" s="68">
        <v>0</v>
      </c>
      <c r="Q29" s="77">
        <v>0</v>
      </c>
      <c r="R29" s="69">
        <v>1</v>
      </c>
      <c r="S29"/>
      <c r="T29"/>
    </row>
    <row r="30" spans="1:20" ht="15" customHeight="1" x14ac:dyDescent="0.15">
      <c r="F30" s="188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1</v>
      </c>
      <c r="L30" s="77">
        <v>0</v>
      </c>
      <c r="M30" s="77">
        <v>1</v>
      </c>
      <c r="N30" s="77">
        <v>0</v>
      </c>
      <c r="O30" s="77">
        <v>1</v>
      </c>
      <c r="P30" s="68">
        <v>0</v>
      </c>
      <c r="Q30" s="77">
        <v>0</v>
      </c>
      <c r="R30" s="69">
        <v>1</v>
      </c>
      <c r="S30"/>
      <c r="T30"/>
    </row>
    <row r="31" spans="1:20" ht="15" customHeight="1" x14ac:dyDescent="0.15">
      <c r="A31" s="120"/>
      <c r="B31" s="130" t="s">
        <v>17</v>
      </c>
      <c r="C31" s="130" t="s">
        <v>1</v>
      </c>
      <c r="D31" s="130" t="s">
        <v>161</v>
      </c>
      <c r="E31" s="131" t="s">
        <v>163</v>
      </c>
      <c r="F31" s="188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1</v>
      </c>
      <c r="L31" s="77">
        <v>0</v>
      </c>
      <c r="M31" s="77">
        <v>1</v>
      </c>
      <c r="N31" s="77">
        <v>0</v>
      </c>
      <c r="O31" s="77">
        <v>1</v>
      </c>
      <c r="P31" s="68">
        <v>0</v>
      </c>
      <c r="Q31" s="77">
        <v>0</v>
      </c>
      <c r="R31" s="69">
        <v>1</v>
      </c>
      <c r="S31"/>
      <c r="T31"/>
    </row>
    <row r="32" spans="1:20" ht="15" customHeight="1" x14ac:dyDescent="0.15">
      <c r="A32" s="191" t="s">
        <v>192</v>
      </c>
      <c r="B32" s="89">
        <v>53.415999999999997</v>
      </c>
      <c r="C32" s="89">
        <v>265</v>
      </c>
      <c r="D32" s="89">
        <v>14155.24</v>
      </c>
      <c r="E32" s="121">
        <v>0.85000477387734308</v>
      </c>
      <c r="F32" s="188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1</v>
      </c>
      <c r="L32" s="77">
        <v>0</v>
      </c>
      <c r="M32" s="77">
        <v>1</v>
      </c>
      <c r="N32" s="77">
        <v>0</v>
      </c>
      <c r="O32" s="77">
        <v>1</v>
      </c>
      <c r="P32" s="68">
        <v>0</v>
      </c>
      <c r="Q32" s="77">
        <v>0</v>
      </c>
      <c r="R32" s="69">
        <v>1</v>
      </c>
      <c r="S32"/>
      <c r="T32"/>
    </row>
    <row r="33" spans="1:20" ht="15" customHeight="1" x14ac:dyDescent="0.15">
      <c r="A33" s="191" t="s">
        <v>193</v>
      </c>
      <c r="B33" s="89">
        <v>9.4260000000000002</v>
      </c>
      <c r="C33" s="89">
        <v>265</v>
      </c>
      <c r="D33" s="89">
        <v>2497.89</v>
      </c>
      <c r="E33" s="121">
        <v>0.14999522612265681</v>
      </c>
      <c r="F33" s="188" t="s">
        <v>219</v>
      </c>
      <c r="G33" s="77">
        <v>0</v>
      </c>
      <c r="H33" s="77">
        <v>0</v>
      </c>
      <c r="I33" s="77">
        <v>0</v>
      </c>
      <c r="J33" s="77">
        <v>0</v>
      </c>
      <c r="K33" s="77">
        <v>1</v>
      </c>
      <c r="L33" s="77">
        <v>0</v>
      </c>
      <c r="M33" s="77">
        <v>1</v>
      </c>
      <c r="N33" s="77">
        <v>0</v>
      </c>
      <c r="O33" s="77">
        <v>1</v>
      </c>
      <c r="P33" s="68">
        <v>0</v>
      </c>
      <c r="Q33" s="77">
        <v>0</v>
      </c>
      <c r="R33" s="69">
        <v>1</v>
      </c>
      <c r="S33"/>
      <c r="T33"/>
    </row>
    <row r="34" spans="1:20" ht="15" customHeight="1" x14ac:dyDescent="0.15">
      <c r="A34" s="122"/>
      <c r="B34" s="89"/>
      <c r="C34" s="89"/>
      <c r="D34" s="89"/>
      <c r="E34" s="121"/>
      <c r="F34" s="188" t="s">
        <v>220</v>
      </c>
      <c r="G34" s="77">
        <v>0</v>
      </c>
      <c r="H34" s="77">
        <v>0</v>
      </c>
      <c r="I34" s="77">
        <v>0</v>
      </c>
      <c r="J34" s="77">
        <v>0</v>
      </c>
      <c r="K34" s="77">
        <v>1</v>
      </c>
      <c r="L34" s="77">
        <v>0</v>
      </c>
      <c r="M34" s="77">
        <v>1</v>
      </c>
      <c r="N34" s="77">
        <v>0</v>
      </c>
      <c r="O34" s="77">
        <v>1</v>
      </c>
      <c r="P34" s="68">
        <v>0</v>
      </c>
      <c r="Q34" s="77">
        <v>0</v>
      </c>
      <c r="R34" s="69">
        <v>1</v>
      </c>
      <c r="S34"/>
      <c r="T34"/>
    </row>
    <row r="35" spans="1:20" ht="15" customHeight="1" x14ac:dyDescent="0.15">
      <c r="A35" s="123"/>
      <c r="B35" s="89"/>
      <c r="C35" s="89"/>
      <c r="D35" s="89"/>
      <c r="E35" s="121"/>
      <c r="F35" s="188" t="s">
        <v>221</v>
      </c>
      <c r="G35" s="77">
        <v>0</v>
      </c>
      <c r="H35" s="77">
        <v>0</v>
      </c>
      <c r="I35" s="77">
        <v>0</v>
      </c>
      <c r="J35" s="77">
        <v>0</v>
      </c>
      <c r="K35" s="77">
        <v>1</v>
      </c>
      <c r="L35" s="77">
        <v>0</v>
      </c>
      <c r="M35" s="77">
        <v>1</v>
      </c>
      <c r="N35" s="77">
        <v>0</v>
      </c>
      <c r="O35" s="77">
        <v>1</v>
      </c>
      <c r="P35" s="68">
        <v>0</v>
      </c>
      <c r="Q35" s="77">
        <v>0</v>
      </c>
      <c r="R35" s="69">
        <v>1</v>
      </c>
      <c r="S35"/>
      <c r="T35"/>
    </row>
    <row r="36" spans="1:20" ht="15" customHeight="1" x14ac:dyDescent="0.15">
      <c r="A36" s="124"/>
      <c r="B36" s="89"/>
      <c r="C36" s="89"/>
      <c r="D36" s="89"/>
      <c r="E36" s="121"/>
      <c r="F36" s="188" t="s">
        <v>222</v>
      </c>
      <c r="G36" s="77">
        <v>0</v>
      </c>
      <c r="H36" s="77">
        <v>0</v>
      </c>
      <c r="I36" s="77">
        <v>0</v>
      </c>
      <c r="J36" s="77">
        <v>0</v>
      </c>
      <c r="K36" s="77">
        <v>1</v>
      </c>
      <c r="L36" s="77">
        <v>0</v>
      </c>
      <c r="M36" s="77">
        <v>1</v>
      </c>
      <c r="N36" s="77">
        <v>0</v>
      </c>
      <c r="O36" s="77">
        <v>1</v>
      </c>
      <c r="P36" s="68">
        <v>0</v>
      </c>
      <c r="Q36" s="77">
        <v>0</v>
      </c>
      <c r="R36" s="69">
        <v>1</v>
      </c>
      <c r="S36"/>
      <c r="T36"/>
    </row>
    <row r="37" spans="1:20" ht="15" customHeight="1" x14ac:dyDescent="0.15">
      <c r="A37" s="124"/>
      <c r="B37" s="89"/>
      <c r="C37" s="89"/>
      <c r="D37" s="89"/>
      <c r="E37" s="121"/>
      <c r="F37" s="188" t="s">
        <v>223</v>
      </c>
      <c r="G37" s="77">
        <v>0</v>
      </c>
      <c r="H37" s="77">
        <v>0</v>
      </c>
      <c r="I37" s="77">
        <v>0</v>
      </c>
      <c r="J37" s="77">
        <v>0</v>
      </c>
      <c r="K37" s="77">
        <v>1</v>
      </c>
      <c r="L37" s="77">
        <v>0</v>
      </c>
      <c r="M37" s="77">
        <v>1</v>
      </c>
      <c r="N37" s="77">
        <v>0</v>
      </c>
      <c r="O37" s="77">
        <v>1</v>
      </c>
      <c r="P37" s="68">
        <v>0</v>
      </c>
      <c r="Q37" s="77">
        <v>0</v>
      </c>
      <c r="R37" s="69">
        <v>1</v>
      </c>
      <c r="S37"/>
      <c r="T37"/>
    </row>
    <row r="38" spans="1:20" ht="15" customHeight="1" x14ac:dyDescent="0.15">
      <c r="A38" s="125"/>
      <c r="B38" s="89"/>
      <c r="C38" s="89"/>
      <c r="D38" s="89"/>
      <c r="E38" s="121"/>
      <c r="F38" s="188" t="s">
        <v>224</v>
      </c>
      <c r="G38" s="77">
        <v>0</v>
      </c>
      <c r="H38" s="77">
        <v>0</v>
      </c>
      <c r="I38" s="77">
        <v>0</v>
      </c>
      <c r="J38" s="77">
        <v>0</v>
      </c>
      <c r="K38" s="77">
        <v>0</v>
      </c>
      <c r="L38" s="77">
        <v>1</v>
      </c>
      <c r="M38" s="77">
        <v>0</v>
      </c>
      <c r="N38" s="77">
        <v>1</v>
      </c>
      <c r="O38" s="77">
        <v>0</v>
      </c>
      <c r="P38" s="68">
        <v>1</v>
      </c>
      <c r="Q38" s="77">
        <v>0</v>
      </c>
      <c r="R38" s="69">
        <v>1</v>
      </c>
      <c r="S38"/>
      <c r="T38"/>
    </row>
    <row r="39" spans="1:20" ht="15" customHeight="1" x14ac:dyDescent="0.15">
      <c r="A39" s="125"/>
      <c r="B39" s="89"/>
      <c r="C39" s="89"/>
      <c r="D39" s="89"/>
      <c r="E39" s="121"/>
      <c r="F39" s="188" t="s">
        <v>225</v>
      </c>
      <c r="G39" s="77">
        <v>0</v>
      </c>
      <c r="H39" s="77">
        <v>0</v>
      </c>
      <c r="I39" s="77">
        <v>0</v>
      </c>
      <c r="J39" s="77">
        <v>0</v>
      </c>
      <c r="K39" s="77">
        <v>0</v>
      </c>
      <c r="L39" s="77">
        <v>1</v>
      </c>
      <c r="M39" s="77">
        <v>0</v>
      </c>
      <c r="N39" s="77">
        <v>1</v>
      </c>
      <c r="O39" s="77">
        <v>0</v>
      </c>
      <c r="P39" s="68">
        <v>1</v>
      </c>
      <c r="Q39" s="77">
        <v>0</v>
      </c>
      <c r="R39" s="69">
        <v>1</v>
      </c>
      <c r="S39"/>
      <c r="T39"/>
    </row>
    <row r="40" spans="1:20" ht="15" customHeight="1" x14ac:dyDescent="0.15">
      <c r="A40" s="125"/>
      <c r="B40" s="89"/>
      <c r="C40" s="89"/>
      <c r="D40" s="89"/>
      <c r="E40" s="121"/>
      <c r="F40" s="188" t="s">
        <v>226</v>
      </c>
      <c r="G40" s="77">
        <v>0</v>
      </c>
      <c r="H40" s="77">
        <v>0</v>
      </c>
      <c r="I40" s="77">
        <v>0</v>
      </c>
      <c r="J40" s="77">
        <v>0</v>
      </c>
      <c r="K40" s="77">
        <v>0</v>
      </c>
      <c r="L40" s="77">
        <v>1</v>
      </c>
      <c r="M40" s="77">
        <v>0</v>
      </c>
      <c r="N40" s="77">
        <v>0</v>
      </c>
      <c r="O40" s="77">
        <v>0</v>
      </c>
      <c r="P40" s="68">
        <v>0</v>
      </c>
      <c r="Q40" s="77">
        <v>0</v>
      </c>
      <c r="R40" s="69">
        <v>1</v>
      </c>
      <c r="S40"/>
      <c r="T40"/>
    </row>
    <row r="41" spans="1:20" ht="15" customHeight="1" thickBot="1" x14ac:dyDescent="0.2">
      <c r="A41" s="125"/>
      <c r="B41" s="89"/>
      <c r="C41" s="89"/>
      <c r="D41" s="90"/>
      <c r="E41" s="12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16653.13</v>
      </c>
      <c r="E42" s="129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Q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5" customWidth="1"/>
    <col min="3" max="5" width="7.83203125" style="105" customWidth="1"/>
    <col min="6" max="8" width="8.83203125" style="6"/>
    <col min="9" max="9" width="8.1640625" style="6" customWidth="1"/>
    <col min="10" max="10" width="21.6640625" style="6" customWidth="1"/>
    <col min="11" max="12" width="15.83203125" style="6" customWidth="1"/>
    <col min="13" max="13" width="16.5" style="6" customWidth="1"/>
    <col min="14" max="14" width="20.33203125" style="6" customWidth="1"/>
    <col min="15" max="15" width="13" style="6" customWidth="1"/>
    <col min="16" max="16" width="7.33203125" style="6" customWidth="1"/>
    <col min="17" max="17" width="8" style="6" customWidth="1"/>
    <col min="18" max="18" width="12.6640625" style="6" customWidth="1"/>
    <col min="19" max="19" width="11.33203125" style="6" customWidth="1"/>
    <col min="20" max="20" width="16.5" style="6" customWidth="1"/>
    <col min="21" max="21" width="17.83203125" style="6" customWidth="1"/>
    <col min="22" max="22" width="15" style="6" customWidth="1"/>
    <col min="23" max="23" width="9.83203125" style="6" customWidth="1"/>
    <col min="24" max="24" width="17.5" style="6" customWidth="1"/>
    <col min="25" max="25" width="10.33203125" style="6" customWidth="1"/>
    <col min="26" max="26" width="12.5" style="6" customWidth="1"/>
    <col min="27" max="27" width="9.83203125" style="6" customWidth="1"/>
    <col min="28" max="28" width="8.5" style="6" customWidth="1"/>
    <col min="29" max="29" width="14.83203125" style="6" customWidth="1"/>
    <col min="30" max="30" width="20.5" style="6" customWidth="1"/>
    <col min="31" max="31" width="11.5" style="6" customWidth="1"/>
    <col min="32" max="32" width="6.83203125" style="6" customWidth="1"/>
    <col min="33" max="33" width="19.5" style="6" customWidth="1"/>
    <col min="34" max="34" width="16.33203125" style="6" customWidth="1"/>
    <col min="35" max="35" width="8.83203125" style="6" customWidth="1"/>
    <col min="36" max="36" width="6.6640625" style="6" customWidth="1"/>
    <col min="37" max="37" width="14.33203125" style="6" customWidth="1"/>
    <col min="38" max="38" width="8.33203125" style="6" customWidth="1"/>
    <col min="39" max="39" width="9.1640625" customWidth="1"/>
    <col min="40" max="40" width="9.83203125" customWidth="1"/>
    <col min="41" max="41" width="7.6640625" customWidth="1"/>
    <col min="42" max="42" width="21.6640625" customWidth="1"/>
    <col min="43" max="43" width="6.5" customWidth="1"/>
    <col min="81" max="81" width="22.1640625" bestFit="1" customWidth="1"/>
  </cols>
  <sheetData>
    <row r="1" spans="1:43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93" t="s">
        <v>192</v>
      </c>
      <c r="J1" s="193" t="s">
        <v>193</v>
      </c>
      <c r="K1" s="193" t="s">
        <v>194</v>
      </c>
      <c r="L1" s="193" t="s">
        <v>195</v>
      </c>
      <c r="M1" s="193" t="s">
        <v>196</v>
      </c>
      <c r="N1" s="193" t="s">
        <v>197</v>
      </c>
      <c r="O1" s="193" t="s">
        <v>198</v>
      </c>
      <c r="P1" s="193" t="s">
        <v>199</v>
      </c>
      <c r="Q1" s="193" t="s">
        <v>200</v>
      </c>
      <c r="R1" s="193" t="s">
        <v>201</v>
      </c>
      <c r="S1" s="193" t="s">
        <v>202</v>
      </c>
      <c r="T1" s="193" t="s">
        <v>203</v>
      </c>
      <c r="U1" s="193" t="s">
        <v>204</v>
      </c>
      <c r="V1" s="193" t="s">
        <v>205</v>
      </c>
      <c r="W1" s="193" t="s">
        <v>206</v>
      </c>
      <c r="X1" s="193" t="s">
        <v>207</v>
      </c>
      <c r="Y1" s="193" t="s">
        <v>208</v>
      </c>
      <c r="Z1" s="193" t="s">
        <v>209</v>
      </c>
      <c r="AA1" s="193" t="s">
        <v>210</v>
      </c>
      <c r="AB1" s="193" t="s">
        <v>211</v>
      </c>
      <c r="AC1" s="193" t="s">
        <v>212</v>
      </c>
      <c r="AD1" s="193" t="s">
        <v>213</v>
      </c>
      <c r="AE1" s="193" t="s">
        <v>214</v>
      </c>
      <c r="AF1" s="193" t="s">
        <v>215</v>
      </c>
      <c r="AG1" s="193" t="s">
        <v>216</v>
      </c>
      <c r="AH1" s="193" t="s">
        <v>217</v>
      </c>
      <c r="AI1" s="193" t="s">
        <v>218</v>
      </c>
      <c r="AJ1" s="193" t="s">
        <v>219</v>
      </c>
      <c r="AK1" s="193" t="s">
        <v>220</v>
      </c>
      <c r="AL1" s="193" t="s">
        <v>221</v>
      </c>
      <c r="AM1" s="193" t="s">
        <v>222</v>
      </c>
      <c r="AN1" s="193" t="s">
        <v>223</v>
      </c>
      <c r="AO1" s="193" t="s">
        <v>224</v>
      </c>
      <c r="AP1" s="193" t="s">
        <v>225</v>
      </c>
      <c r="AQ1" s="193" t="s">
        <v>226</v>
      </c>
    </row>
    <row r="2" spans="1:43" x14ac:dyDescent="0.15">
      <c r="A2" t="s">
        <v>38</v>
      </c>
      <c r="B2" s="10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3" x14ac:dyDescent="0.15">
      <c r="A3" t="s">
        <v>40</v>
      </c>
      <c r="B3" s="10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3" x14ac:dyDescent="0.15">
      <c r="A4" t="s">
        <v>41</v>
      </c>
      <c r="B4" s="10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3" x14ac:dyDescent="0.15">
      <c r="A5" s="192" t="s">
        <v>192</v>
      </c>
      <c r="B5" s="10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3" x14ac:dyDescent="0.15">
      <c r="A6" s="192" t="s">
        <v>193</v>
      </c>
      <c r="B6" s="10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3" x14ac:dyDescent="0.15">
      <c r="A7" s="192" t="s">
        <v>194</v>
      </c>
      <c r="B7" s="10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3" x14ac:dyDescent="0.15">
      <c r="A8" s="192" t="s">
        <v>195</v>
      </c>
      <c r="B8" s="10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3" x14ac:dyDescent="0.15">
      <c r="A9" s="192" t="s">
        <v>196</v>
      </c>
      <c r="B9" s="10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3" x14ac:dyDescent="0.15">
      <c r="A10" s="192" t="s">
        <v>197</v>
      </c>
      <c r="B10" s="10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3" x14ac:dyDescent="0.15">
      <c r="A11" s="192" t="s">
        <v>198</v>
      </c>
      <c r="B11" s="10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3" x14ac:dyDescent="0.15">
      <c r="A12" s="192" t="s">
        <v>199</v>
      </c>
      <c r="B12" s="10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3" x14ac:dyDescent="0.15">
      <c r="A13" s="192" t="s">
        <v>200</v>
      </c>
      <c r="B13" s="10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3" x14ac:dyDescent="0.15">
      <c r="A14" s="192" t="s">
        <v>201</v>
      </c>
      <c r="B14" s="10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3" x14ac:dyDescent="0.15">
      <c r="A15" s="192" t="s">
        <v>202</v>
      </c>
      <c r="B15" s="10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3" x14ac:dyDescent="0.15">
      <c r="A16" s="192" t="s">
        <v>203</v>
      </c>
      <c r="B16" s="10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2" t="s">
        <v>204</v>
      </c>
      <c r="B17" s="10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2" t="s">
        <v>205</v>
      </c>
      <c r="B18" s="10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2" t="s">
        <v>206</v>
      </c>
      <c r="B19" s="10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2" t="s">
        <v>207</v>
      </c>
      <c r="B20" s="10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2" t="s">
        <v>208</v>
      </c>
      <c r="B21" s="10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2" t="s">
        <v>209</v>
      </c>
      <c r="B22" s="10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2" t="s">
        <v>210</v>
      </c>
      <c r="B23" s="10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2" t="s">
        <v>211</v>
      </c>
      <c r="B24" s="10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2" t="s">
        <v>212</v>
      </c>
      <c r="B25" s="10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2" t="s">
        <v>213</v>
      </c>
      <c r="B26" s="10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2" t="s">
        <v>214</v>
      </c>
      <c r="B27" s="10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2" t="s">
        <v>215</v>
      </c>
      <c r="B28" s="10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2" t="s">
        <v>216</v>
      </c>
      <c r="B29" s="10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2" t="s">
        <v>217</v>
      </c>
      <c r="B30" s="10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2" t="s">
        <v>218</v>
      </c>
      <c r="B31" s="10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2" t="s">
        <v>219</v>
      </c>
      <c r="B32" s="10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2" t="s">
        <v>220</v>
      </c>
      <c r="B33" s="10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2" t="s">
        <v>221</v>
      </c>
      <c r="B34" s="10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2" t="s">
        <v>222</v>
      </c>
      <c r="B35" s="10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2" t="s">
        <v>223</v>
      </c>
      <c r="B36" s="105">
        <v>0</v>
      </c>
      <c r="C36"/>
      <c r="D36"/>
    </row>
    <row r="37" spans="1:38" ht="15" customHeight="1" x14ac:dyDescent="0.15">
      <c r="A37" s="192" t="s">
        <v>224</v>
      </c>
      <c r="B37" s="105">
        <v>0</v>
      </c>
      <c r="C37"/>
      <c r="D37"/>
    </row>
    <row r="38" spans="1:38" ht="15" customHeight="1" x14ac:dyDescent="0.15">
      <c r="A38" s="192" t="s">
        <v>225</v>
      </c>
      <c r="B38" s="105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2" t="s">
        <v>226</v>
      </c>
      <c r="B39" s="105">
        <v>0</v>
      </c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2022-10-23T22:47:52Z</dcterms:modified>
</cp:coreProperties>
</file>