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Pacific/Pacific_ECOTRAN_K-path_versions/"/>
    </mc:Choice>
  </mc:AlternateContent>
  <xr:revisionPtr revIDLastSave="0" documentId="13_ncr:1_{959FB88B-B584-7E46-9C68-701DC8CFB8F0}" xr6:coauthVersionLast="45" xr6:coauthVersionMax="45" xr10:uidLastSave="{00000000-0000-0000-0000-000000000000}"/>
  <bookViews>
    <workbookView xWindow="0" yWindow="48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Main!$C$2:$N$28</definedName>
    <definedName name="matDetritus">Detritus!$C$2:$E$28</definedName>
    <definedName name="matDiet">Diets!$B$2:$R$21</definedName>
    <definedName name="matDiscards">Discards!$C$2:$J$20</definedName>
    <definedName name="matFishery">Fishing!$C$2:$J$20</definedName>
    <definedName name="matFishing">Fishing!#REF!</definedName>
    <definedName name="matMort">Mortalities!$A$1:$AD$20</definedName>
    <definedName name="matOut">MainOutputs!$A$2:$I$28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" i="1"/>
  <c r="C26" i="78"/>
  <c r="D26" i="78"/>
  <c r="E26" i="78"/>
  <c r="F26" i="78"/>
  <c r="G26" i="78"/>
  <c r="H26" i="78"/>
  <c r="I26" i="78"/>
  <c r="J26" i="78"/>
  <c r="K26" i="78"/>
  <c r="L26" i="78"/>
  <c r="M26" i="78"/>
  <c r="N26" i="78"/>
  <c r="O26" i="78"/>
  <c r="P26" i="78"/>
  <c r="Q26" i="78"/>
  <c r="R26" i="78"/>
  <c r="S26" i="78"/>
  <c r="T26" i="78"/>
  <c r="B26" i="78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<sst xmlns="http://schemas.openxmlformats.org/spreadsheetml/2006/main" count="793" uniqueCount="232">
  <si>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</si>
  <si>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</si>
  <si>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</si>
  <si>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</si>
  <si>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</si>
  <si>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</si>
  <si>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</si>
  <si>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</si>
  <si>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</si>
  <si>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</si>
  <si>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</si>
  <si>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</si>
  <si>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</si>
  <si>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</si>
  <si>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</si>
  <si>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</si>
  <si>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</si>
  <si>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</si>
  <si>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</si>
  <si>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</si>
  <si>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</si>
  <si>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</si>
  <si>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</si>
  <si>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</si>
  <si>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</si>
  <si>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</si>
  <si>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</si>
  <si>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</si>
  <si>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</si>
  <si>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</si>
  <si>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</si>
  <si>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</si>
  <si>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</si>
  <si>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</si>
  <si>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</si>
  <si>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</si>
  <si>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</si>
  <si>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</si>
  <si>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</si>
  <si>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</si>
  <si>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</si>
  <si>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</si>
  <si>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</si>
  <si>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</si>
  <si>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</si>
  <si>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</si>
  <si>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</si>
  <si>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</si>
  <si>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</si>
  <si>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</si>
  <si>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</si>
  <si>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</si>
  <si>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</si>
  <si>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</si>
  <si>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</si>
  <si>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</si>
  <si>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</si>
  <si>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</si>
  <si>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</si>
  <si>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</si>
  <si>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</si>
  <si>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</si>
  <si>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</si>
  <si>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</si>
  <si>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</si>
  <si>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</si>
  <si>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</si>
  <si>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</si>
  <si>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</si>
  <si>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</si>
  <si>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</si>
  <si>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</si>
  <si>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</si>
  <si>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</si>
  <si>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</si>
  <si>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</si>
  <si>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</si>
  <si>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</si>
  <si>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</si>
  <si>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</si>
  <si>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</si>
  <si>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</si>
  <si>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</si>
  <si>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</si>
  <si>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</si>
  <si>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</si>
  <si>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</si>
  <si>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</si>
  <si>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</si>
  <si>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</si>
  <si>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</si>
  <si>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</si>
  <si>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</si>
  <si>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</si>
  <si>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</si>
  <si>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</si>
  <si>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</si>
  <si>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</si>
  <si>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</si>
  <si>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</si>
  <si>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</si>
  <si>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</si>
  <si>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</si>
  <si>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</si>
  <si>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</si>
  <si>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</si>
  <si>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</si>
  <si>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</si>
  <si>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</si>
  <si>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</si>
  <si>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</si>
  <si>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</si>
  <si>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</si>
  <si>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</si>
  <si>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</si>
  <si>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</si>
  <si>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</si>
  <si>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</si>
  <si>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</si>
  <si>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</si>
  <si>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</si>
  <si>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</si>
  <si>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</si>
  <si>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</si>
  <si>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</si>
  <si>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</si>
  <si>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</si>
  <si>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</si>
  <si>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</si>
  <si>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</si>
  <si>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</si>
  <si>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</si>
  <si>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</si>
  <si>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</si>
  <si>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</si>
  <si>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</si>
  <si>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</si>
  <si>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</si>
  <si>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</si>
  <si>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</si>
  <si>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</si>
  <si>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</si>
  <si>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</si>
  <si>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</si>
  <si>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</si>
  <si>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</si>
  <si>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</si>
  <si>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</si>
  <si>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</si>
  <si>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</si>
  <si>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</si>
  <si>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</si>
  <si>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</si>
  <si>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</si>
  <si>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</si>
  <si>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</si>
  <si>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</si>
  <si>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</si>
  <si>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</si>
  <si>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</si>
  <si>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</si>
  <si>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</si>
  <si>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</si>
  <si>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</si>
  <si>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</si>
  <si>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</si>
  <si>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</si>
  <si>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</si>
  <si>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</si>
  <si>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</si>
  <si>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</si>
  <si>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</si>
  <si>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</si>
  <si>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</si>
  <si>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</si>
  <si>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</si>
  <si>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</si>
  <si>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</si>
  <si>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</si>
  <si>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</si>
  <si>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</si>
  <si>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</si>
  <si>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</si>
  <si>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</si>
  <si>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</si>
  <si>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Baja California</t>
  </si>
  <si>
    <t>Mexico</t>
  </si>
  <si>
    <t>BOX(-128.510236168944 18.1326079876082,-104.78491370729 32.5330155709461)</t>
  </si>
  <si>
    <t>continental shelf</t>
  </si>
  <si>
    <t>WetWeight</t>
  </si>
  <si>
    <t>Baja California Sur model intended to depict the near and offshore pelagic ecosystem.</t>
  </si>
  <si>
    <t>Cisneros-Montemayor A.M.,Christensen V.,Arreguín-Sánchez F.,Sumaila R.U.(2012). Ecosystem models for management advice: An analysis of recreational and commercial fisheries policies in Baja California Sur, Mexico Ecological Modelling. pp 8-16</t>
  </si>
  <si>
    <t>Large_sharks</t>
  </si>
  <si>
    <t>Small_sharks</t>
  </si>
  <si>
    <t>Dolphins</t>
  </si>
  <si>
    <t>Marlin</t>
  </si>
  <si>
    <t>Yellowfin_tuna</t>
  </si>
  <si>
    <t>Dorado</t>
  </si>
  <si>
    <t>Skipjack_tuna</t>
  </si>
  <si>
    <t>Sailfish</t>
  </si>
  <si>
    <t>Other_billfish</t>
  </si>
  <si>
    <t>Small_scombrids</t>
  </si>
  <si>
    <t>Misc_piscivores</t>
  </si>
  <si>
    <t>Squids</t>
  </si>
  <si>
    <t>Flying_fish</t>
  </si>
  <si>
    <t>Small_pelagics</t>
  </si>
  <si>
    <t>Mesopelagic_fish</t>
  </si>
  <si>
    <t>Zooplankton</t>
  </si>
  <si>
    <t>Phytoplankton</t>
  </si>
  <si>
    <t>Detritus</t>
  </si>
  <si>
    <t>detritus_TerminalBenthic</t>
  </si>
  <si>
    <t>Recreational</t>
  </si>
  <si>
    <t>Longline</t>
  </si>
  <si>
    <t>Artisanal</t>
  </si>
  <si>
    <t>Small_seiner</t>
  </si>
  <si>
    <t>Large_seiner</t>
  </si>
  <si>
    <t>JPN_longline</t>
  </si>
  <si>
    <t>Shark_Bycatch</t>
  </si>
  <si>
    <t>Recreational_Discards</t>
  </si>
  <si>
    <t>Import</t>
  </si>
  <si>
    <t>export</t>
  </si>
  <si>
    <t>sum</t>
  </si>
  <si>
    <t>TOTAL</t>
  </si>
  <si>
    <t>F Recreational</t>
  </si>
  <si>
    <t>F Longline</t>
  </si>
  <si>
    <t>F Artisanal</t>
  </si>
  <si>
    <t>F Small_seiner</t>
  </si>
  <si>
    <t>F Large_seiner</t>
  </si>
  <si>
    <t>F JPN_longline</t>
  </si>
  <si>
    <t>F Shark_Bycatch</t>
  </si>
  <si>
    <t>F Recreational_Discards</t>
  </si>
  <si>
    <t>sum--&gt;&gt;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</si>
</sst>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13" fillId="0" borderId="0" xfId="0" applyFont="1"/>
    <xf numFmtId="0" fontId="8" fillId="104" borderId="0" xfId="0" applyFont="1" applyFill="1" applyAlignment="1">
      <alignment horizontal="center"/>
    </xf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8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5" t="s">
        <v>171</v>
      </c>
      <c r="C53" s="100">
        <v>417</v>
      </c>
      <c r="D53" s="100"/>
    </row>
    <row r="54" spans="2:4" x14ac:dyDescent="0.15">
      <c r="B54" s="165" t="s">
        <v>172</v>
      </c>
      <c r="C54" s="165" t="s">
        <v>185</v>
      </c>
      <c r="D54" s="100"/>
    </row>
    <row r="55" spans="2:4" x14ac:dyDescent="0.15">
      <c r="B55" s="165" t="s">
        <v>173</v>
      </c>
      <c r="C55" s="165" t="s">
        <v>186</v>
      </c>
      <c r="D55" s="100"/>
    </row>
    <row r="56" spans="2:4" x14ac:dyDescent="0.15">
      <c r="B56" s="165" t="s">
        <v>174</v>
      </c>
      <c r="C56" s="100">
        <v>286744</v>
      </c>
      <c r="D56" s="100"/>
    </row>
    <row r="57" spans="2:4" x14ac:dyDescent="0.15">
      <c r="B57" s="165" t="s">
        <v>175</v>
      </c>
      <c r="C57" s="165" t="s">
        <v>187</v>
      </c>
      <c r="D57" s="100"/>
    </row>
    <row r="58" spans="2:4" x14ac:dyDescent="0.15">
      <c r="B58" s="165" t="s">
        <v>176</v>
      </c>
      <c r="C58" s="165" t="s">
        <v>188</v>
      </c>
      <c r="D58" s="100"/>
    </row>
    <row r="59" spans="2:4" x14ac:dyDescent="0.15">
      <c r="B59" s="165" t="s">
        <v>177</v>
      </c>
      <c r="C59" s="165" t="s">
        <v>189</v>
      </c>
      <c r="D59" s="100"/>
    </row>
    <row r="60" spans="2:4" x14ac:dyDescent="0.15">
      <c r="B60" s="165" t="s">
        <v>178</v>
      </c>
      <c r="C60" s="165" t="s">
        <v>190</v>
      </c>
      <c r="D60" s="100"/>
    </row>
    <row r="61" spans="2:4" x14ac:dyDescent="0.15">
      <c r="B61" s="165" t="s">
        <v>179</v>
      </c>
      <c r="C61" s="100">
        <v>18</v>
      </c>
      <c r="D61" s="100"/>
    </row>
    <row r="62" spans="2:4" x14ac:dyDescent="0.15">
      <c r="B62" s="165" t="s">
        <v>180</v>
      </c>
      <c r="C62" s="100">
        <v>8</v>
      </c>
      <c r="D62" s="100"/>
    </row>
    <row r="63" spans="2:4" x14ac:dyDescent="0.15">
      <c r="B63" s="165" t="s">
        <v>181</v>
      </c>
      <c r="C63" s="100">
        <v>1970</v>
      </c>
      <c r="D63" s="100"/>
    </row>
    <row r="64" spans="2:4" x14ac:dyDescent="0.15">
      <c r="B64" s="165" t="s">
        <v>182</v>
      </c>
      <c r="C64" s="100">
        <v>0</v>
      </c>
      <c r="D64" s="100"/>
    </row>
    <row r="65" spans="2:4" x14ac:dyDescent="0.15">
      <c r="B65" s="165" t="s">
        <v>183</v>
      </c>
      <c r="C65" s="165" t="s">
        <v>191</v>
      </c>
      <c r="D65" s="100"/>
    </row>
    <row r="66" spans="2:4" x14ac:dyDescent="0.15">
      <c r="B66" s="165" t="s">
        <v>184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L31" sqref="L31"/>
    </sheetView>
  </sheetViews>
  <sheetFormatPr baseColWidth="10" defaultColWidth="8.83203125" defaultRowHeight="15" customHeight="1" x14ac:dyDescent="0.15"/>
  <cols>
    <col min="1" max="1" width="22.5" style="75" customWidth="1"/>
    <col min="2" max="3" width="3.33203125" style="75" customWidth="1"/>
    <col min="4" max="4" width="14.33203125" style="75" customWidth="1"/>
    <col min="5" max="5" width="21.6640625" style="75" bestFit="1" customWidth="1"/>
    <col min="6" max="6" width="7.6640625" style="75" customWidth="1"/>
    <col min="7" max="7" width="12.83203125" style="75" bestFit="1" customWidth="1"/>
    <col min="8" max="8" width="11.83203125" style="75" customWidth="1"/>
    <col min="9" max="9" width="10.83203125" style="75" customWidth="1"/>
    <col min="10" max="10" width="11.83203125" style="75" customWidth="1"/>
    <col min="11" max="11" width="12.83203125" style="75" customWidth="1"/>
    <col min="12" max="14" width="6.83203125" style="75" customWidth="1"/>
    <col min="16" max="25" width="8.83203125" style="7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5"/>
  </cols>
  <sheetData>
    <row r="1" spans="1:46" s="92" customFormat="1" ht="15" customHeight="1" x14ac:dyDescent="0.15">
      <c r="A1" s="71" t="s">
        <v>18</v>
      </c>
      <c r="C1" s="72" t="s">
        <v>8</v>
      </c>
      <c r="D1" s="71" t="s">
        <v>23</v>
      </c>
      <c r="E1" s="71" t="s">
        <v>0</v>
      </c>
      <c r="F1" s="71" t="s">
        <v>7</v>
      </c>
      <c r="G1" s="73" t="s">
        <v>13</v>
      </c>
      <c r="H1" s="71" t="s">
        <v>1</v>
      </c>
      <c r="I1" s="71" t="s">
        <v>2</v>
      </c>
      <c r="J1" s="71" t="s">
        <v>14</v>
      </c>
      <c r="K1" s="71" t="s">
        <v>3</v>
      </c>
      <c r="L1" s="71" t="s">
        <v>4</v>
      </c>
      <c r="M1" s="71" t="s">
        <v>5</v>
      </c>
      <c r="N1" s="7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2">
        <v>1</v>
      </c>
      <c r="D2"/>
      <c r="E2" s="166" t="s">
        <v>192</v>
      </c>
      <c r="F2" s="75">
        <v>0</v>
      </c>
      <c r="G2" s="75">
        <v>5.6972759999999997E-2</v>
      </c>
      <c r="H2" s="75">
        <v>0.32</v>
      </c>
      <c r="I2" s="6">
        <v>7.81</v>
      </c>
      <c r="J2" s="6">
        <v>0.78752739999999999</v>
      </c>
      <c r="K2" s="6">
        <v>4.0973111999999999E-2</v>
      </c>
      <c r="L2" s="6">
        <v>0</v>
      </c>
      <c r="M2" s="75">
        <v>0.2</v>
      </c>
      <c r="N2" s="75">
        <v>0</v>
      </c>
    </row>
    <row r="3" spans="1:46" ht="15" customHeight="1" x14ac:dyDescent="0.15">
      <c r="A3" s="1" t="s">
        <v>9</v>
      </c>
      <c r="B3" s="4">
        <v>17</v>
      </c>
      <c r="C3" s="75">
        <v>2</v>
      </c>
      <c r="D3"/>
      <c r="E3" s="166" t="s">
        <v>193</v>
      </c>
      <c r="F3" s="75">
        <v>0</v>
      </c>
      <c r="G3" s="75">
        <v>4.9477942300000001E-2</v>
      </c>
      <c r="H3" s="75">
        <v>0.57999999999999996</v>
      </c>
      <c r="I3" s="75">
        <v>9.16</v>
      </c>
      <c r="J3" s="75">
        <v>0.77710129999999999</v>
      </c>
      <c r="K3" s="75">
        <v>6.3318774100000003E-2</v>
      </c>
      <c r="L3" s="75">
        <v>0</v>
      </c>
      <c r="M3" s="75">
        <v>0.2</v>
      </c>
      <c r="N3" s="75">
        <v>0</v>
      </c>
    </row>
    <row r="4" spans="1:46" ht="15" customHeight="1" x14ac:dyDescent="0.15">
      <c r="A4" s="1" t="s">
        <v>10</v>
      </c>
      <c r="B4" s="4">
        <v>2</v>
      </c>
      <c r="C4" s="75">
        <v>3</v>
      </c>
      <c r="D4"/>
      <c r="E4" s="166" t="s">
        <v>194</v>
      </c>
      <c r="F4" s="75">
        <v>0</v>
      </c>
      <c r="G4" s="75">
        <v>0.12</v>
      </c>
      <c r="H4" s="75">
        <v>6.5000000000000002E-2</v>
      </c>
      <c r="I4" s="75">
        <v>16.5</v>
      </c>
      <c r="J4" s="75">
        <v>0.94701080000000004</v>
      </c>
      <c r="K4" s="75">
        <v>3.9393939999999997E-3</v>
      </c>
      <c r="L4" s="75">
        <v>0</v>
      </c>
      <c r="M4" s="75">
        <v>0.2</v>
      </c>
      <c r="N4" s="7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75">
        <v>4</v>
      </c>
      <c r="D5"/>
      <c r="E5" s="166" t="s">
        <v>195</v>
      </c>
      <c r="F5" s="75">
        <v>0</v>
      </c>
      <c r="G5" s="75">
        <v>0.14000000000000001</v>
      </c>
      <c r="H5" s="75">
        <v>0.6</v>
      </c>
      <c r="I5" s="75">
        <v>8</v>
      </c>
      <c r="J5" s="75">
        <v>0.60788089999999995</v>
      </c>
      <c r="K5" s="75">
        <v>7.4999999999999997E-2</v>
      </c>
      <c r="L5" s="75">
        <v>0</v>
      </c>
      <c r="M5" s="75">
        <v>0.2</v>
      </c>
      <c r="N5" s="75">
        <v>0</v>
      </c>
      <c r="P5" s="68"/>
      <c r="Q5" s="68"/>
      <c r="R5" s="68"/>
    </row>
    <row r="6" spans="1:46" ht="15" customHeight="1" thickBot="1" x14ac:dyDescent="0.2">
      <c r="B6" s="1"/>
      <c r="C6" s="75">
        <v>5</v>
      </c>
      <c r="D6"/>
      <c r="E6" s="166" t="s">
        <v>196</v>
      </c>
      <c r="F6" s="75">
        <v>0</v>
      </c>
      <c r="G6" s="75">
        <v>7.0000000000000007E-2</v>
      </c>
      <c r="H6" s="75">
        <v>1.538</v>
      </c>
      <c r="I6" s="75">
        <v>17.63</v>
      </c>
      <c r="J6" s="75">
        <v>0.771660864</v>
      </c>
      <c r="K6" s="75">
        <v>8.7237659999999995E-2</v>
      </c>
      <c r="L6" s="75">
        <v>0</v>
      </c>
      <c r="M6" s="75">
        <v>0.2</v>
      </c>
      <c r="N6" s="75">
        <v>0</v>
      </c>
      <c r="P6" s="68"/>
      <c r="Q6" s="68"/>
      <c r="R6" s="68"/>
      <c r="W6" s="34" t="s">
        <v>31</v>
      </c>
      <c r="X6" s="50">
        <f>MAX(MainOutputs!G:G)</f>
        <v>0.99907773733139038</v>
      </c>
    </row>
    <row r="7" spans="1:46" ht="15" customHeight="1" x14ac:dyDescent="0.15">
      <c r="A7" s="2" t="s">
        <v>27</v>
      </c>
      <c r="B7" s="75">
        <f ca="1">COUNTIF(OFFSET(cornerDiets,1,1,NumLiving+NumDead+1,NumLiving+NumDead),"&gt;0")+NumLiving+NumDead+1</f>
        <v>134</v>
      </c>
      <c r="C7" s="75">
        <v>6</v>
      </c>
      <c r="D7"/>
      <c r="E7" s="166" t="s">
        <v>197</v>
      </c>
      <c r="F7" s="75">
        <v>0</v>
      </c>
      <c r="G7" s="75">
        <v>0.17645585499999999</v>
      </c>
      <c r="H7" s="75">
        <v>3.0015888199999998</v>
      </c>
      <c r="I7" s="75">
        <v>20.3941765</v>
      </c>
      <c r="J7" s="75">
        <v>0.45023405599999999</v>
      </c>
      <c r="K7" s="75">
        <v>0.14717872400000001</v>
      </c>
      <c r="L7" s="75">
        <v>0</v>
      </c>
      <c r="M7" s="75">
        <v>0.2</v>
      </c>
      <c r="N7" s="75">
        <v>0</v>
      </c>
      <c r="P7" s="68"/>
      <c r="Q7" s="68"/>
      <c r="R7" s="68"/>
    </row>
    <row r="8" spans="1:46" ht="15" customHeight="1" x14ac:dyDescent="0.15">
      <c r="A8" s="2" t="s">
        <v>28</v>
      </c>
      <c r="B8" s="75">
        <f ca="1">COUNTIF(OFFSET(cornerFishing,1,2,NumLiving+NumDead,NumGears),"&gt;0")+NumDead*COUNTIF(OFFSET(cornerDiscards,1,2,NumLiving+NumDead,NumGears),"&gt;0")+NumLiving+NumDead+1</f>
        <v>47</v>
      </c>
      <c r="C8" s="75">
        <v>7</v>
      </c>
      <c r="D8"/>
      <c r="E8" s="166" t="s">
        <v>198</v>
      </c>
      <c r="F8" s="75">
        <v>0</v>
      </c>
      <c r="G8" s="75">
        <v>0.34699999999999998</v>
      </c>
      <c r="H8" s="75">
        <v>1.9006276099999999</v>
      </c>
      <c r="I8" s="75">
        <v>20.521162</v>
      </c>
      <c r="J8" s="75">
        <v>0.63190245599999995</v>
      </c>
      <c r="K8" s="75">
        <v>9.2617939999999996E-2</v>
      </c>
      <c r="L8" s="75">
        <v>0</v>
      </c>
      <c r="M8" s="75">
        <v>0.2</v>
      </c>
      <c r="N8" s="75">
        <v>0</v>
      </c>
      <c r="P8" s="68"/>
      <c r="Q8" s="68"/>
      <c r="R8" s="68"/>
    </row>
    <row r="9" spans="1:46" ht="15" customHeight="1" x14ac:dyDescent="0.15">
      <c r="B9" s="1"/>
      <c r="C9" s="75">
        <v>8</v>
      </c>
      <c r="D9"/>
      <c r="E9" s="166" t="s">
        <v>199</v>
      </c>
      <c r="F9" s="75">
        <v>0</v>
      </c>
      <c r="G9" s="75">
        <v>7.9564490000000002E-2</v>
      </c>
      <c r="H9" s="75">
        <v>0.68</v>
      </c>
      <c r="I9" s="75">
        <v>7</v>
      </c>
      <c r="J9" s="75">
        <v>0.77990466400000003</v>
      </c>
      <c r="K9" s="75">
        <v>9.7142859999999998E-2</v>
      </c>
      <c r="L9" s="75">
        <v>0</v>
      </c>
      <c r="M9" s="75">
        <v>0.2</v>
      </c>
      <c r="N9" s="75">
        <v>0</v>
      </c>
      <c r="P9" s="68"/>
      <c r="Q9" s="68"/>
      <c r="R9" s="68"/>
    </row>
    <row r="10" spans="1:46" ht="15" customHeight="1" x14ac:dyDescent="0.15">
      <c r="B10" s="1"/>
      <c r="C10" s="75">
        <v>9</v>
      </c>
      <c r="D10"/>
      <c r="E10" s="166" t="s">
        <v>200</v>
      </c>
      <c r="F10" s="75">
        <v>0</v>
      </c>
      <c r="G10" s="75">
        <v>0.06</v>
      </c>
      <c r="H10" s="75">
        <v>0.49449074300000001</v>
      </c>
      <c r="I10" s="75">
        <v>5</v>
      </c>
      <c r="J10" s="75">
        <v>0.47816273599999998</v>
      </c>
      <c r="K10" s="75">
        <v>9.8898150000000004E-2</v>
      </c>
      <c r="L10" s="75">
        <v>0</v>
      </c>
      <c r="M10" s="75">
        <v>0.2</v>
      </c>
      <c r="N10" s="75">
        <v>0</v>
      </c>
    </row>
    <row r="11" spans="1:46" ht="15" customHeight="1" x14ac:dyDescent="0.15">
      <c r="C11" s="75">
        <v>10</v>
      </c>
      <c r="D11"/>
      <c r="E11" s="166" t="s">
        <v>201</v>
      </c>
      <c r="F11" s="75">
        <v>0</v>
      </c>
      <c r="G11" s="75">
        <v>2.6753010000000002</v>
      </c>
      <c r="H11" s="75">
        <v>1.9971548299999999</v>
      </c>
      <c r="I11" s="75">
        <v>10</v>
      </c>
      <c r="J11" s="75">
        <v>0.43784824</v>
      </c>
      <c r="K11" s="75">
        <v>0.19971548</v>
      </c>
      <c r="L11" s="75">
        <v>0</v>
      </c>
      <c r="M11" s="75">
        <v>0.2</v>
      </c>
      <c r="N11" s="75">
        <v>0</v>
      </c>
    </row>
    <row r="12" spans="1:46" ht="15" customHeight="1" x14ac:dyDescent="0.15">
      <c r="C12" s="75">
        <v>11</v>
      </c>
      <c r="D12"/>
      <c r="E12" s="166" t="s">
        <v>202</v>
      </c>
      <c r="F12" s="75">
        <v>0</v>
      </c>
      <c r="G12" s="75">
        <v>0.23</v>
      </c>
      <c r="H12" s="75">
        <v>2.4</v>
      </c>
      <c r="I12" s="75">
        <v>7.7</v>
      </c>
      <c r="J12" s="75">
        <v>0.91020520000000005</v>
      </c>
      <c r="K12" s="75">
        <v>0.31168833400000001</v>
      </c>
      <c r="L12" s="75">
        <v>0</v>
      </c>
      <c r="M12" s="75">
        <v>0.2</v>
      </c>
      <c r="N12" s="75">
        <v>0</v>
      </c>
    </row>
    <row r="13" spans="1:46" ht="15" customHeight="1" x14ac:dyDescent="0.15">
      <c r="C13" s="75">
        <v>12</v>
      </c>
      <c r="D13"/>
      <c r="E13" s="166" t="s">
        <v>203</v>
      </c>
      <c r="F13" s="75">
        <v>0</v>
      </c>
      <c r="G13" s="75">
        <v>7.3931209999999998</v>
      </c>
      <c r="H13" s="75">
        <v>3.15995765</v>
      </c>
      <c r="I13" s="75">
        <v>19.265000000000001</v>
      </c>
      <c r="J13" s="75">
        <v>0.91042393399999999</v>
      </c>
      <c r="K13" s="75">
        <v>0.164025843</v>
      </c>
      <c r="L13" s="75">
        <v>0</v>
      </c>
      <c r="M13" s="75">
        <v>0.2</v>
      </c>
      <c r="N13" s="75">
        <v>0</v>
      </c>
    </row>
    <row r="14" spans="1:46" ht="15" customHeight="1" x14ac:dyDescent="0.15">
      <c r="C14" s="75">
        <v>13</v>
      </c>
      <c r="D14"/>
      <c r="E14" s="166" t="s">
        <v>204</v>
      </c>
      <c r="F14" s="75">
        <v>0</v>
      </c>
      <c r="G14" s="75">
        <v>1.4</v>
      </c>
      <c r="H14" s="75">
        <v>2.6072735800000002</v>
      </c>
      <c r="I14" s="75">
        <v>19.679494900000002</v>
      </c>
      <c r="J14" s="75">
        <v>0.80472183200000003</v>
      </c>
      <c r="K14" s="75">
        <v>0.13248682000000001</v>
      </c>
      <c r="L14" s="75">
        <v>0</v>
      </c>
      <c r="M14" s="75">
        <v>0.2</v>
      </c>
      <c r="N14" s="75">
        <v>0</v>
      </c>
    </row>
    <row r="15" spans="1:46" ht="15" customHeight="1" x14ac:dyDescent="0.15">
      <c r="C15" s="75">
        <v>14</v>
      </c>
      <c r="D15"/>
      <c r="E15" s="166" t="s">
        <v>205</v>
      </c>
      <c r="F15" s="75">
        <v>0</v>
      </c>
      <c r="G15" s="75">
        <v>15.9856157</v>
      </c>
      <c r="H15" s="75">
        <v>3.3096220000000001</v>
      </c>
      <c r="I15" s="75">
        <v>10.555999999999999</v>
      </c>
      <c r="J15" s="75">
        <v>0.83457429999999999</v>
      </c>
      <c r="K15" s="75">
        <v>0.31352993800000001</v>
      </c>
      <c r="L15" s="75">
        <v>0</v>
      </c>
      <c r="M15" s="75">
        <v>0.2</v>
      </c>
      <c r="N15" s="75">
        <v>0</v>
      </c>
    </row>
    <row r="16" spans="1:46" ht="15" customHeight="1" x14ac:dyDescent="0.15">
      <c r="C16" s="75">
        <v>15</v>
      </c>
      <c r="D16"/>
      <c r="E16" s="166" t="s">
        <v>206</v>
      </c>
      <c r="F16" s="75">
        <v>0</v>
      </c>
      <c r="G16" s="75">
        <v>13.429391900000001</v>
      </c>
      <c r="H16" s="75">
        <v>1.99265289</v>
      </c>
      <c r="I16" s="75">
        <v>9.2730060000000005</v>
      </c>
      <c r="J16" s="75">
        <v>0.95641416300000004</v>
      </c>
      <c r="K16" s="75">
        <v>0.21488747</v>
      </c>
      <c r="L16" s="75">
        <v>0</v>
      </c>
      <c r="M16" s="75">
        <v>0.2</v>
      </c>
      <c r="N16" s="75">
        <v>0</v>
      </c>
    </row>
    <row r="17" spans="1:22" ht="15" customHeight="1" x14ac:dyDescent="0.15">
      <c r="C17" s="75">
        <v>16</v>
      </c>
      <c r="D17"/>
      <c r="E17" s="166" t="s">
        <v>207</v>
      </c>
      <c r="F17" s="75">
        <v>0</v>
      </c>
      <c r="G17" s="75">
        <v>26.367496500000001</v>
      </c>
      <c r="H17" s="75">
        <v>34.003689999999999</v>
      </c>
      <c r="I17" s="75">
        <v>97</v>
      </c>
      <c r="J17" s="75">
        <v>0.99907773700000002</v>
      </c>
      <c r="K17" s="75">
        <v>0.350553483</v>
      </c>
      <c r="L17" s="75">
        <v>0</v>
      </c>
      <c r="M17" s="75">
        <v>0.2</v>
      </c>
      <c r="N17" s="75">
        <v>0</v>
      </c>
      <c r="V17" s="1" t="s">
        <v>30</v>
      </c>
    </row>
    <row r="18" spans="1:22" ht="15" customHeight="1" x14ac:dyDescent="0.15">
      <c r="C18" s="75">
        <v>17</v>
      </c>
      <c r="D18"/>
      <c r="E18" s="166" t="s">
        <v>208</v>
      </c>
      <c r="F18" s="75">
        <v>1</v>
      </c>
      <c r="G18" s="75">
        <v>31.6161289</v>
      </c>
      <c r="H18" s="75">
        <v>131.99998500000001</v>
      </c>
      <c r="I18" s="75">
        <v>0</v>
      </c>
      <c r="J18" s="75">
        <v>0.49680596599999999</v>
      </c>
      <c r="K18" s="75">
        <v>0</v>
      </c>
      <c r="L18" s="75">
        <v>0</v>
      </c>
      <c r="M18" s="75">
        <v>0</v>
      </c>
      <c r="N18" s="75">
        <v>0</v>
      </c>
      <c r="V18" s="1"/>
    </row>
    <row r="19" spans="1:22" ht="15" customHeight="1" x14ac:dyDescent="0.15">
      <c r="C19" s="75">
        <v>18</v>
      </c>
      <c r="D19"/>
      <c r="E19" s="166" t="s">
        <v>209</v>
      </c>
      <c r="F19" s="75">
        <v>2</v>
      </c>
      <c r="G19" s="75">
        <v>1</v>
      </c>
      <c r="H19" s="75">
        <v>0</v>
      </c>
      <c r="I19" s="75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</row>
    <row r="20" spans="1:22" ht="15" customHeight="1" thickBot="1" x14ac:dyDescent="0.2">
      <c r="C20" s="75">
        <v>19</v>
      </c>
      <c r="D20"/>
      <c r="E20" s="166" t="s">
        <v>210</v>
      </c>
      <c r="F20" s="75">
        <v>2</v>
      </c>
      <c r="G20" s="75">
        <v>5</v>
      </c>
      <c r="H20" s="75">
        <v>0</v>
      </c>
      <c r="I20" s="75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</row>
    <row r="21" spans="1:22" ht="15" customHeight="1" thickBot="1" x14ac:dyDescent="0.2">
      <c r="A21" s="45" t="s">
        <v>137</v>
      </c>
      <c r="B21" s="93"/>
      <c r="C21" s="75">
        <v>20</v>
      </c>
      <c r="D21"/>
      <c r="E21" s="166" t="s">
        <v>211</v>
      </c>
      <c r="F21" s="75">
        <v>3</v>
      </c>
      <c r="G21" s="75">
        <v>0</v>
      </c>
      <c r="H21" s="75">
        <v>0</v>
      </c>
      <c r="I21" s="75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</row>
    <row r="22" spans="1:22" ht="15" customHeight="1" x14ac:dyDescent="0.15">
      <c r="A22" s="94" t="s">
        <v>58</v>
      </c>
      <c r="B22" s="95">
        <v>0</v>
      </c>
      <c r="C22" s="75">
        <v>21</v>
      </c>
      <c r="D22"/>
      <c r="E22" s="166" t="s">
        <v>212</v>
      </c>
      <c r="F22" s="75">
        <v>3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</row>
    <row r="23" spans="1:22" ht="15" customHeight="1" x14ac:dyDescent="0.15">
      <c r="A23" s="94" t="s">
        <v>59</v>
      </c>
      <c r="B23" s="95">
        <v>1</v>
      </c>
      <c r="C23" s="75">
        <v>22</v>
      </c>
      <c r="D23"/>
      <c r="E23" s="166" t="s">
        <v>213</v>
      </c>
      <c r="F23" s="75">
        <v>3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</row>
    <row r="24" spans="1:22" ht="15" customHeight="1" x14ac:dyDescent="0.15">
      <c r="A24" s="94" t="s">
        <v>60</v>
      </c>
      <c r="B24" s="95">
        <v>2</v>
      </c>
      <c r="C24" s="75">
        <v>23</v>
      </c>
      <c r="D24"/>
      <c r="E24" s="166" t="s">
        <v>214</v>
      </c>
      <c r="F24" s="75">
        <v>3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</row>
    <row r="25" spans="1:22" ht="15" customHeight="1" thickBot="1" x14ac:dyDescent="0.2">
      <c r="A25" s="96" t="s">
        <v>44</v>
      </c>
      <c r="B25" s="97">
        <v>3</v>
      </c>
      <c r="C25" s="75">
        <v>24</v>
      </c>
      <c r="D25"/>
      <c r="E25" s="166" t="s">
        <v>215</v>
      </c>
      <c r="F25" s="75">
        <v>3</v>
      </c>
      <c r="G25" s="75">
        <v>0</v>
      </c>
      <c r="H25" s="75">
        <v>0</v>
      </c>
      <c r="I25" s="75">
        <v>0</v>
      </c>
      <c r="J25" s="75">
        <v>0</v>
      </c>
      <c r="K25" s="75">
        <v>0</v>
      </c>
      <c r="L25" s="75">
        <v>0</v>
      </c>
      <c r="M25" s="75">
        <v>0</v>
      </c>
      <c r="N25" s="75">
        <v>0</v>
      </c>
    </row>
    <row r="26" spans="1:22" ht="15" customHeight="1" x14ac:dyDescent="0.15">
      <c r="A26" s="98" t="s">
        <v>140</v>
      </c>
      <c r="C26" s="75">
        <v>25</v>
      </c>
      <c r="D26"/>
      <c r="E26" s="166" t="s">
        <v>216</v>
      </c>
      <c r="F26" s="75">
        <v>3</v>
      </c>
      <c r="G26" s="75">
        <v>0</v>
      </c>
      <c r="H26" s="75">
        <v>0</v>
      </c>
      <c r="I26" s="75">
        <v>0</v>
      </c>
      <c r="J26" s="75">
        <v>0</v>
      </c>
      <c r="K26" s="75">
        <v>0</v>
      </c>
      <c r="L26" s="75">
        <v>0</v>
      </c>
      <c r="M26" s="75">
        <v>0</v>
      </c>
      <c r="N26" s="75">
        <v>0</v>
      </c>
    </row>
    <row r="27" spans="1:22" ht="15" customHeight="1" x14ac:dyDescent="0.15">
      <c r="C27" s="75">
        <v>26</v>
      </c>
      <c r="D27"/>
      <c r="E27" s="166" t="s">
        <v>217</v>
      </c>
      <c r="F27" s="75">
        <v>3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  <c r="N27" s="75">
        <v>0</v>
      </c>
    </row>
    <row r="28" spans="1:22" ht="15" customHeight="1" x14ac:dyDescent="0.15">
      <c r="C28" s="75">
        <v>27</v>
      </c>
      <c r="D28"/>
      <c r="E28" s="166" t="s">
        <v>218</v>
      </c>
      <c r="F28" s="75">
        <v>3</v>
      </c>
      <c r="G28" s="75">
        <v>0</v>
      </c>
      <c r="H28" s="75">
        <v>0</v>
      </c>
      <c r="I28" s="75">
        <v>0</v>
      </c>
      <c r="J28" s="75">
        <v>0</v>
      </c>
      <c r="K28" s="75">
        <v>0</v>
      </c>
      <c r="L28" s="75">
        <v>0</v>
      </c>
      <c r="M28" s="75">
        <v>0</v>
      </c>
      <c r="N28" s="75">
        <v>0</v>
      </c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3" sqref="F43"/>
    </sheetView>
  </sheetViews>
  <sheetFormatPr baseColWidth="10" defaultColWidth="8.83203125" defaultRowHeight="13" x14ac:dyDescent="0.15"/>
  <cols>
    <col min="1" max="1" width="21.6640625" style="135" bestFit="1" customWidth="1"/>
    <col min="2" max="5" width="12.1640625" style="135" bestFit="1" customWidth="1"/>
    <col min="6" max="6" width="12.5" style="135" bestFit="1" customWidth="1"/>
    <col min="7" max="10" width="12.1640625" style="135" bestFit="1" customWidth="1"/>
    <col min="11" max="11" width="14" style="135" bestFit="1" customWidth="1"/>
    <col min="12" max="12" width="13" style="135" customWidth="1"/>
    <col min="13" max="13" width="12.1640625" style="135" bestFit="1" customWidth="1"/>
    <col min="14" max="14" width="9.33203125" style="135" bestFit="1" customWidth="1"/>
    <col min="15" max="15" width="12.6640625" style="135" bestFit="1" customWidth="1"/>
    <col min="16" max="16" width="14.5" style="135" bestFit="1" customWidth="1"/>
    <col min="17" max="17" width="10.83203125" style="135" bestFit="1" customWidth="1"/>
    <col min="18" max="18" width="12.33203125" style="135" bestFit="1" customWidth="1"/>
    <col min="19" max="19" width="7" style="135" bestFit="1" customWidth="1"/>
    <col min="20" max="20" width="20.33203125" style="135" bestFit="1" customWidth="1"/>
    <col min="21" max="29" width="9" style="135" bestFit="1" customWidth="1"/>
    <col min="30" max="16384" width="8.83203125" style="135"/>
  </cols>
  <sheetData>
    <row r="1" spans="1:34" x14ac:dyDescent="0.15">
      <c r="A1" s="134" t="s">
        <v>19</v>
      </c>
      <c r="B1" s="168" t="s">
        <v>192</v>
      </c>
      <c r="C1" s="168" t="s">
        <v>193</v>
      </c>
      <c r="D1" s="168" t="s">
        <v>194</v>
      </c>
      <c r="E1" s="168" t="s">
        <v>195</v>
      </c>
      <c r="F1" s="168" t="s">
        <v>196</v>
      </c>
      <c r="G1" s="168" t="s">
        <v>197</v>
      </c>
      <c r="H1" s="168" t="s">
        <v>198</v>
      </c>
      <c r="I1" s="168" t="s">
        <v>199</v>
      </c>
      <c r="J1" s="168" t="s">
        <v>200</v>
      </c>
      <c r="K1" s="168" t="s">
        <v>201</v>
      </c>
      <c r="L1" s="168" t="s">
        <v>202</v>
      </c>
      <c r="M1" s="168" t="s">
        <v>203</v>
      </c>
      <c r="N1" s="168" t="s">
        <v>204</v>
      </c>
      <c r="O1" s="168" t="s">
        <v>205</v>
      </c>
      <c r="P1" s="168" t="s">
        <v>206</v>
      </c>
      <c r="Q1" s="168" t="s">
        <v>207</v>
      </c>
      <c r="R1" s="168" t="s">
        <v>208</v>
      </c>
      <c r="S1" s="168" t="s">
        <v>209</v>
      </c>
      <c r="T1" s="168" t="s">
        <v>210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7" t="s">
        <v>192</v>
      </c>
      <c r="B2" s="135">
        <v>5.2985647396618391E-3</v>
      </c>
      <c r="C2" s="135">
        <v>0</v>
      </c>
      <c r="D2" s="135">
        <v>0</v>
      </c>
      <c r="E2" s="135">
        <v>0</v>
      </c>
      <c r="F2" s="135">
        <v>0</v>
      </c>
      <c r="G2" s="135">
        <v>0</v>
      </c>
      <c r="H2" s="135">
        <v>0</v>
      </c>
      <c r="I2" s="135">
        <v>0</v>
      </c>
      <c r="J2" s="135">
        <v>0</v>
      </c>
      <c r="K2" s="135">
        <v>0</v>
      </c>
      <c r="L2" s="135">
        <v>0</v>
      </c>
      <c r="M2" s="135">
        <v>0</v>
      </c>
      <c r="N2" s="135">
        <v>0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</row>
    <row r="3" spans="1:34" customFormat="1" x14ac:dyDescent="0.15">
      <c r="A3" s="167" t="s">
        <v>193</v>
      </c>
      <c r="B3" s="135">
        <v>2.1194258938647355E-2</v>
      </c>
      <c r="C3" s="135">
        <v>5.8943265804308354E-3</v>
      </c>
      <c r="D3" s="135">
        <v>0</v>
      </c>
      <c r="E3" s="135">
        <v>3.7488229366823803E-3</v>
      </c>
      <c r="F3" s="135">
        <v>0</v>
      </c>
      <c r="G3" s="135">
        <v>0</v>
      </c>
      <c r="H3" s="135">
        <v>0</v>
      </c>
      <c r="I3" s="135">
        <v>0</v>
      </c>
      <c r="J3" s="135">
        <v>0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</row>
    <row r="4" spans="1:34" customFormat="1" x14ac:dyDescent="0.15">
      <c r="A4" s="167" t="s">
        <v>194</v>
      </c>
      <c r="B4" s="135">
        <v>1.059712951932368E-2</v>
      </c>
      <c r="C4" s="135">
        <v>5.8943265804308354E-3</v>
      </c>
      <c r="D4" s="135">
        <v>0</v>
      </c>
      <c r="E4" s="135">
        <v>0</v>
      </c>
      <c r="F4" s="135">
        <v>0</v>
      </c>
      <c r="G4" s="135">
        <v>0</v>
      </c>
      <c r="H4" s="135">
        <v>0</v>
      </c>
      <c r="I4" s="135">
        <v>0</v>
      </c>
      <c r="J4" s="135">
        <v>0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</row>
    <row r="5" spans="1:34" customFormat="1" x14ac:dyDescent="0.15">
      <c r="A5" s="167" t="s">
        <v>195</v>
      </c>
      <c r="B5" s="135">
        <v>5.2985647396618391E-3</v>
      </c>
      <c r="C5" s="135">
        <v>1.7682982041292499E-3</v>
      </c>
      <c r="D5" s="135">
        <v>0</v>
      </c>
      <c r="E5" s="135">
        <v>5.1921195423051012E-3</v>
      </c>
      <c r="F5" s="135">
        <v>0</v>
      </c>
      <c r="G5" s="135">
        <v>0</v>
      </c>
      <c r="H5" s="135">
        <v>0</v>
      </c>
      <c r="I5" s="135">
        <v>1.0038176539168648E-3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</row>
    <row r="6" spans="1:34" customFormat="1" x14ac:dyDescent="0.15">
      <c r="A6" s="167" t="s">
        <v>196</v>
      </c>
      <c r="B6" s="135">
        <v>1.2205519137434145E-3</v>
      </c>
      <c r="C6" s="135">
        <v>2.0903989930598755E-3</v>
      </c>
      <c r="D6" s="135">
        <v>0</v>
      </c>
      <c r="E6" s="135">
        <v>2.0113905560276132E-2</v>
      </c>
      <c r="F6" s="135">
        <v>2.1100729049410619E-3</v>
      </c>
      <c r="G6" s="135">
        <v>2.0020082895096016E-3</v>
      </c>
      <c r="H6" s="135">
        <v>0</v>
      </c>
      <c r="I6" s="135">
        <v>0</v>
      </c>
      <c r="J6" s="135">
        <v>2.0040166787175157E-3</v>
      </c>
      <c r="K6" s="135">
        <v>0</v>
      </c>
      <c r="L6" s="135">
        <v>2.0040164243687558E-3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</row>
    <row r="7" spans="1:34" customFormat="1" x14ac:dyDescent="0.15">
      <c r="A7" s="167" t="s">
        <v>197</v>
      </c>
      <c r="B7" s="135">
        <v>2.6492823198309191E-2</v>
      </c>
      <c r="C7" s="135">
        <v>1.1788653160861671E-2</v>
      </c>
      <c r="D7" s="135">
        <v>7.7848545027600921E-3</v>
      </c>
      <c r="E7" s="135">
        <v>9.2970808429723037E-2</v>
      </c>
      <c r="F7" s="135">
        <v>2.1068815349033397E-2</v>
      </c>
      <c r="G7" s="135">
        <v>1.7013479250778684E-2</v>
      </c>
      <c r="H7" s="135">
        <v>0</v>
      </c>
      <c r="I7" s="135">
        <v>0</v>
      </c>
      <c r="J7" s="135">
        <v>4.0568940378913898E-2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</row>
    <row r="8" spans="1:34" customFormat="1" x14ac:dyDescent="0.15">
      <c r="A8" s="167" t="s">
        <v>198</v>
      </c>
      <c r="B8" s="135">
        <v>7.3650050829299568E-2</v>
      </c>
      <c r="C8" s="135">
        <v>7.4857964851471559E-2</v>
      </c>
      <c r="D8" s="135">
        <v>7.0771408934182584E-4</v>
      </c>
      <c r="E8" s="135">
        <v>0.22492937320094289</v>
      </c>
      <c r="F8" s="135">
        <v>3.7254810440351865E-2</v>
      </c>
      <c r="G8" s="135">
        <v>0</v>
      </c>
      <c r="H8" s="135">
        <v>7.1225069594017104E-4</v>
      </c>
      <c r="I8" s="135">
        <v>9.6428209415645033E-3</v>
      </c>
      <c r="J8" s="135">
        <v>0.12170682913674179</v>
      </c>
      <c r="K8" s="135">
        <v>0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</row>
    <row r="9" spans="1:34" customFormat="1" x14ac:dyDescent="0.15">
      <c r="A9" s="167" t="s">
        <v>199</v>
      </c>
      <c r="B9" s="135">
        <v>1.5895693978985517E-3</v>
      </c>
      <c r="C9" s="135">
        <v>1.7682982041292499E-3</v>
      </c>
      <c r="D9" s="135">
        <v>0</v>
      </c>
      <c r="E9" s="135">
        <v>1.124646771004716E-2</v>
      </c>
      <c r="F9" s="135">
        <v>0</v>
      </c>
      <c r="G9" s="135">
        <v>0</v>
      </c>
      <c r="H9" s="135">
        <v>0</v>
      </c>
      <c r="I9" s="135">
        <v>4.8214103707822529E-3</v>
      </c>
      <c r="J9" s="135">
        <v>0</v>
      </c>
      <c r="K9" s="135">
        <v>0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</row>
    <row r="10" spans="1:34" customFormat="1" x14ac:dyDescent="0.15">
      <c r="A10" s="167" t="s">
        <v>200</v>
      </c>
      <c r="B10" s="135">
        <v>1.059712951932368E-2</v>
      </c>
      <c r="C10" s="135">
        <v>0</v>
      </c>
      <c r="D10" s="135">
        <v>0</v>
      </c>
      <c r="E10" s="135">
        <v>7.4976458733647606E-3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</row>
    <row r="11" spans="1:34" customFormat="1" x14ac:dyDescent="0.15">
      <c r="A11" s="167" t="s">
        <v>201</v>
      </c>
      <c r="B11" s="135">
        <v>7.9478470894927586E-2</v>
      </c>
      <c r="C11" s="135">
        <v>8.252057402603169E-2</v>
      </c>
      <c r="D11" s="135">
        <v>0</v>
      </c>
      <c r="E11" s="135">
        <v>9.7469388353742026E-2</v>
      </c>
      <c r="F11" s="135">
        <v>0.10431346423298515</v>
      </c>
      <c r="G11" s="135">
        <v>0.12602575285761958</v>
      </c>
      <c r="H11" s="135">
        <v>0.21367521478205126</v>
      </c>
      <c r="I11" s="135">
        <v>0</v>
      </c>
      <c r="J11" s="135">
        <v>0.16227576251565562</v>
      </c>
      <c r="K11" s="135">
        <v>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</row>
    <row r="12" spans="1:34" customFormat="1" x14ac:dyDescent="0.15">
      <c r="A12" s="167" t="s">
        <v>202</v>
      </c>
      <c r="B12" s="135">
        <v>2.1194258938647355E-2</v>
      </c>
      <c r="C12" s="135">
        <v>2.1219577529551004E-2</v>
      </c>
      <c r="D12" s="135">
        <v>7.0771406234182623E-3</v>
      </c>
      <c r="E12" s="135">
        <v>0.11246468710047143</v>
      </c>
      <c r="F12" s="135">
        <v>1.2666635349719631E-2</v>
      </c>
      <c r="G12" s="135">
        <v>4.662953068731928E-2</v>
      </c>
      <c r="H12" s="135">
        <v>0</v>
      </c>
      <c r="I12" s="135">
        <v>0.24107050753911269</v>
      </c>
      <c r="J12" s="135">
        <v>0</v>
      </c>
      <c r="K12" s="135">
        <v>0</v>
      </c>
      <c r="L12" s="135">
        <v>1.3671176529803163E-2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</row>
    <row r="13" spans="1:34" customFormat="1" x14ac:dyDescent="0.15">
      <c r="A13" s="167" t="s">
        <v>203</v>
      </c>
      <c r="B13" s="135">
        <v>0.29142105928140116</v>
      </c>
      <c r="C13" s="135">
        <v>0.41260289863015837</v>
      </c>
      <c r="D13" s="135">
        <v>0.42250531263707003</v>
      </c>
      <c r="E13" s="135">
        <v>0.29990586093458999</v>
      </c>
      <c r="F13" s="135">
        <v>0.13411732158526676</v>
      </c>
      <c r="G13" s="135">
        <v>0.10346716052510593</v>
      </c>
      <c r="H13" s="135">
        <v>0.21581196676987177</v>
      </c>
      <c r="I13" s="135">
        <v>9.8356759403958036E-2</v>
      </c>
      <c r="J13" s="135">
        <v>0.2839826026523975</v>
      </c>
      <c r="K13" s="135">
        <v>0.2</v>
      </c>
      <c r="L13" s="135">
        <v>8.2027060178818986E-2</v>
      </c>
      <c r="M13" s="135">
        <v>8.3986123623976047E-2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</row>
    <row r="14" spans="1:34" customFormat="1" x14ac:dyDescent="0.15">
      <c r="A14" s="167" t="s">
        <v>204</v>
      </c>
      <c r="B14" s="135">
        <v>5.8284210656280215E-3</v>
      </c>
      <c r="C14" s="135">
        <v>5.8943265804308354E-3</v>
      </c>
      <c r="D14" s="135">
        <v>4.953998625392781E-2</v>
      </c>
      <c r="E14" s="135">
        <v>4.4985873840188585E-3</v>
      </c>
      <c r="F14" s="135">
        <v>7.4509620880703731E-2</v>
      </c>
      <c r="G14" s="135">
        <v>0.31040144457531721</v>
      </c>
      <c r="H14" s="135">
        <v>8.5470079512820537E-3</v>
      </c>
      <c r="I14" s="135">
        <v>0</v>
      </c>
      <c r="J14" s="135">
        <v>0</v>
      </c>
      <c r="K14" s="135">
        <v>0</v>
      </c>
      <c r="L14" s="135">
        <v>6.8355890149015844E-2</v>
      </c>
      <c r="M14" s="135">
        <v>1.0096885926374392E-2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</row>
    <row r="15" spans="1:34" customFormat="1" x14ac:dyDescent="0.15">
      <c r="A15" s="167" t="s">
        <v>205</v>
      </c>
      <c r="B15" s="135">
        <v>0.20770374133874414</v>
      </c>
      <c r="C15" s="135">
        <v>0.10845561263992737</v>
      </c>
      <c r="D15" s="135">
        <v>0.12455767212416147</v>
      </c>
      <c r="E15" s="135">
        <v>0.1199623329738362</v>
      </c>
      <c r="F15" s="135">
        <v>0.27717578727621783</v>
      </c>
      <c r="G15" s="135">
        <v>0.17643606960066766</v>
      </c>
      <c r="H15" s="135">
        <v>0.22222222273333331</v>
      </c>
      <c r="I15" s="135">
        <v>0.19285641483129012</v>
      </c>
      <c r="J15" s="135">
        <v>0.22718608612191804</v>
      </c>
      <c r="K15" s="135">
        <v>0.2</v>
      </c>
      <c r="L15" s="135">
        <v>0.58786064528153625</v>
      </c>
      <c r="M15" s="135">
        <v>0.20193772952748754</v>
      </c>
      <c r="N15" s="135">
        <v>0</v>
      </c>
      <c r="O15" s="135">
        <v>3.2258064193548375E-2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</row>
    <row r="16" spans="1:34" customFormat="1" x14ac:dyDescent="0.15">
      <c r="A16" s="167" t="s">
        <v>206</v>
      </c>
      <c r="B16" s="135">
        <v>0.13246411249154591</v>
      </c>
      <c r="C16" s="135">
        <v>8.8414914606462475E-2</v>
      </c>
      <c r="D16" s="135">
        <v>0.38287332123392781</v>
      </c>
      <c r="E16" s="135">
        <v>0</v>
      </c>
      <c r="F16" s="135">
        <v>0.18776422921937322</v>
      </c>
      <c r="G16" s="135">
        <v>9.1998801356062324E-2</v>
      </c>
      <c r="H16" s="135">
        <v>0.12535612228547011</v>
      </c>
      <c r="I16" s="135">
        <v>0.40403416555155297</v>
      </c>
      <c r="J16" s="135">
        <v>0</v>
      </c>
      <c r="K16" s="135">
        <v>0.1</v>
      </c>
      <c r="L16" s="135">
        <v>9.5698245108622182E-2</v>
      </c>
      <c r="M16" s="135">
        <v>0.14190567615435618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</row>
    <row r="17" spans="1:20" customFormat="1" x14ac:dyDescent="0.15">
      <c r="A17" s="167" t="s">
        <v>207</v>
      </c>
      <c r="B17" s="135">
        <v>0.10597129319323675</v>
      </c>
      <c r="C17" s="135">
        <v>0.17682982941292494</v>
      </c>
      <c r="D17" s="135">
        <v>4.9539985353927833E-3</v>
      </c>
      <c r="E17" s="135">
        <v>0</v>
      </c>
      <c r="F17" s="135">
        <v>0.14901924276140746</v>
      </c>
      <c r="G17" s="135">
        <v>0.12602575285761958</v>
      </c>
      <c r="H17" s="135">
        <v>0.21367521478205126</v>
      </c>
      <c r="I17" s="135">
        <v>4.8214103707822531E-2</v>
      </c>
      <c r="J17" s="135">
        <v>0.16227576251565562</v>
      </c>
      <c r="K17" s="135">
        <v>0.5</v>
      </c>
      <c r="L17" s="135">
        <v>0.15038296632783488</v>
      </c>
      <c r="M17" s="135">
        <v>0.56207358476780578</v>
      </c>
      <c r="N17" s="135">
        <v>1</v>
      </c>
      <c r="O17" s="135">
        <v>0.80645161483870975</v>
      </c>
      <c r="P17" s="135">
        <v>1</v>
      </c>
      <c r="Q17" s="135">
        <v>0.2</v>
      </c>
      <c r="R17" s="135">
        <v>0</v>
      </c>
      <c r="S17" s="135">
        <v>0</v>
      </c>
      <c r="T17" s="135">
        <v>0</v>
      </c>
    </row>
    <row r="18" spans="1:20" customFormat="1" x14ac:dyDescent="0.15">
      <c r="A18" s="167" t="s">
        <v>208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</v>
      </c>
      <c r="I18" s="135">
        <v>0</v>
      </c>
      <c r="J18" s="135">
        <v>0</v>
      </c>
      <c r="K18" s="135">
        <v>0</v>
      </c>
      <c r="L18" s="135">
        <v>0</v>
      </c>
      <c r="M18" s="135">
        <v>0</v>
      </c>
      <c r="N18" s="135">
        <v>0</v>
      </c>
      <c r="O18" s="135">
        <v>0.1612903209677419</v>
      </c>
      <c r="P18" s="135">
        <v>0</v>
      </c>
      <c r="Q18" s="135">
        <v>0.8</v>
      </c>
      <c r="R18" s="135">
        <v>0</v>
      </c>
      <c r="S18" s="135">
        <v>0</v>
      </c>
      <c r="T18" s="135">
        <v>0</v>
      </c>
    </row>
    <row r="19" spans="1:20" customFormat="1" x14ac:dyDescent="0.15">
      <c r="A19" s="167" t="s">
        <v>209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v>0</v>
      </c>
      <c r="I19" s="135">
        <v>0</v>
      </c>
      <c r="J19" s="135">
        <v>0</v>
      </c>
      <c r="K19" s="135">
        <v>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</row>
    <row r="20" spans="1:20" customFormat="1" x14ac:dyDescent="0.15">
      <c r="A20" s="167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</row>
    <row r="21" spans="1:20" customFormat="1" x14ac:dyDescent="0.15">
      <c r="A21" s="167" t="s">
        <v>219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>
      <c r="A26" s="227" t="s">
        <v>231</v>
      </c>
      <c r="B26">
        <f>SUM(B2:B21)</f>
        <v>0.99999999999999989</v>
      </c>
      <c r="C26">
        <f t="shared" ref="C26:T26" si="0">SUM(C2:C21)</f>
        <v>0.99999999999999989</v>
      </c>
      <c r="D26">
        <f t="shared" si="0"/>
        <v>1</v>
      </c>
      <c r="E26">
        <f t="shared" si="0"/>
        <v>1</v>
      </c>
      <c r="F26">
        <f t="shared" si="0"/>
        <v>1.0000000000000002</v>
      </c>
      <c r="G26">
        <f t="shared" si="0"/>
        <v>0.99999999999999978</v>
      </c>
      <c r="H26">
        <f t="shared" si="0"/>
        <v>0.99999999999999978</v>
      </c>
      <c r="I26">
        <f t="shared" si="0"/>
        <v>1</v>
      </c>
      <c r="J26">
        <f t="shared" si="0"/>
        <v>1</v>
      </c>
      <c r="K26">
        <f t="shared" si="0"/>
        <v>1</v>
      </c>
      <c r="L26">
        <f t="shared" si="0"/>
        <v>1</v>
      </c>
      <c r="M26">
        <f t="shared" si="0"/>
        <v>1</v>
      </c>
      <c r="N26">
        <f t="shared" si="0"/>
        <v>1</v>
      </c>
      <c r="O26">
        <f t="shared" si="0"/>
        <v>1</v>
      </c>
      <c r="P26">
        <f t="shared" si="0"/>
        <v>1</v>
      </c>
      <c r="Q26">
        <f t="shared" si="0"/>
        <v>1</v>
      </c>
      <c r="R26">
        <f t="shared" si="0"/>
        <v>0</v>
      </c>
      <c r="S26">
        <f t="shared" si="0"/>
        <v>0</v>
      </c>
      <c r="T26">
        <f t="shared" si="0"/>
        <v>0</v>
      </c>
    </row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3" sqref="G2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3.83203125" style="102" customWidth="1"/>
    <col min="5" max="6" width="13.83203125" style="10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70" t="s">
        <v>209</v>
      </c>
      <c r="D1" s="170" t="s">
        <v>210</v>
      </c>
      <c r="E1" s="170" t="s">
        <v>220</v>
      </c>
      <c r="F1" s="170" t="s">
        <v>221</v>
      </c>
      <c r="G1"/>
      <c r="H1"/>
    </row>
    <row r="2" spans="1:8" x14ac:dyDescent="0.15">
      <c r="A2">
        <v>1</v>
      </c>
      <c r="B2" s="169" t="s">
        <v>192</v>
      </c>
      <c r="C2" s="102">
        <v>1</v>
      </c>
      <c r="D2" s="102">
        <v>0</v>
      </c>
      <c r="E2" s="101">
        <v>0</v>
      </c>
      <c r="F2" s="101">
        <f>SUM(C2:E2)</f>
        <v>1</v>
      </c>
      <c r="G2"/>
      <c r="H2"/>
    </row>
    <row r="3" spans="1:8" x14ac:dyDescent="0.15">
      <c r="A3">
        <v>2</v>
      </c>
      <c r="B3" s="169" t="s">
        <v>193</v>
      </c>
      <c r="C3" s="102">
        <v>1</v>
      </c>
      <c r="D3" s="102">
        <v>0</v>
      </c>
      <c r="E3" s="101">
        <v>0</v>
      </c>
      <c r="F3" s="101">
        <f t="shared" ref="F3:F28" si="0">SUM(C3:E3)</f>
        <v>1</v>
      </c>
      <c r="G3"/>
      <c r="H3"/>
    </row>
    <row r="4" spans="1:8" x14ac:dyDescent="0.15">
      <c r="A4">
        <v>3</v>
      </c>
      <c r="B4" s="169" t="s">
        <v>194</v>
      </c>
      <c r="C4" s="102">
        <v>1</v>
      </c>
      <c r="D4" s="102">
        <v>0</v>
      </c>
      <c r="E4" s="101">
        <v>0</v>
      </c>
      <c r="F4" s="101">
        <f t="shared" si="0"/>
        <v>1</v>
      </c>
      <c r="G4"/>
      <c r="H4"/>
    </row>
    <row r="5" spans="1:8" x14ac:dyDescent="0.15">
      <c r="A5">
        <v>4</v>
      </c>
      <c r="B5" s="169" t="s">
        <v>195</v>
      </c>
      <c r="C5" s="102">
        <v>1</v>
      </c>
      <c r="D5" s="102">
        <v>0</v>
      </c>
      <c r="E5" s="101">
        <v>0</v>
      </c>
      <c r="F5" s="101">
        <f t="shared" si="0"/>
        <v>1</v>
      </c>
      <c r="G5"/>
      <c r="H5"/>
    </row>
    <row r="6" spans="1:8" x14ac:dyDescent="0.15">
      <c r="A6">
        <v>5</v>
      </c>
      <c r="B6" s="169" t="s">
        <v>196</v>
      </c>
      <c r="C6" s="102">
        <v>1</v>
      </c>
      <c r="D6" s="102">
        <v>0</v>
      </c>
      <c r="E6" s="101">
        <v>0</v>
      </c>
      <c r="F6" s="101">
        <f t="shared" si="0"/>
        <v>1</v>
      </c>
      <c r="G6"/>
      <c r="H6"/>
    </row>
    <row r="7" spans="1:8" x14ac:dyDescent="0.15">
      <c r="A7">
        <v>6</v>
      </c>
      <c r="B7" s="169" t="s">
        <v>197</v>
      </c>
      <c r="C7" s="102">
        <v>1</v>
      </c>
      <c r="D7" s="102">
        <v>0</v>
      </c>
      <c r="E7" s="101">
        <v>0</v>
      </c>
      <c r="F7" s="101">
        <f t="shared" si="0"/>
        <v>1</v>
      </c>
      <c r="G7"/>
      <c r="H7"/>
    </row>
    <row r="8" spans="1:8" x14ac:dyDescent="0.15">
      <c r="A8">
        <v>7</v>
      </c>
      <c r="B8" s="169" t="s">
        <v>198</v>
      </c>
      <c r="C8" s="102">
        <v>1</v>
      </c>
      <c r="D8" s="102">
        <v>0</v>
      </c>
      <c r="E8" s="101">
        <v>0</v>
      </c>
      <c r="F8" s="101">
        <f t="shared" si="0"/>
        <v>1</v>
      </c>
      <c r="G8"/>
      <c r="H8"/>
    </row>
    <row r="9" spans="1:8" x14ac:dyDescent="0.15">
      <c r="A9">
        <v>8</v>
      </c>
      <c r="B9" s="169" t="s">
        <v>199</v>
      </c>
      <c r="C9" s="102">
        <v>1</v>
      </c>
      <c r="D9" s="102">
        <v>0</v>
      </c>
      <c r="E9" s="101">
        <v>0</v>
      </c>
      <c r="F9" s="101">
        <f t="shared" si="0"/>
        <v>1</v>
      </c>
      <c r="G9"/>
      <c r="H9"/>
    </row>
    <row r="10" spans="1:8" x14ac:dyDescent="0.15">
      <c r="A10">
        <v>9</v>
      </c>
      <c r="B10" s="169" t="s">
        <v>200</v>
      </c>
      <c r="C10" s="102">
        <v>1</v>
      </c>
      <c r="D10" s="102">
        <v>0</v>
      </c>
      <c r="E10" s="101">
        <v>0</v>
      </c>
      <c r="F10" s="101">
        <f t="shared" si="0"/>
        <v>1</v>
      </c>
      <c r="G10"/>
      <c r="H10"/>
    </row>
    <row r="11" spans="1:8" x14ac:dyDescent="0.15">
      <c r="A11">
        <v>10</v>
      </c>
      <c r="B11" s="169" t="s">
        <v>201</v>
      </c>
      <c r="C11" s="102">
        <v>1</v>
      </c>
      <c r="D11" s="102">
        <v>0</v>
      </c>
      <c r="E11" s="101">
        <v>0</v>
      </c>
      <c r="F11" s="101">
        <f t="shared" si="0"/>
        <v>1</v>
      </c>
      <c r="G11"/>
      <c r="H11"/>
    </row>
    <row r="12" spans="1:8" x14ac:dyDescent="0.15">
      <c r="A12">
        <v>11</v>
      </c>
      <c r="B12" s="169" t="s">
        <v>202</v>
      </c>
      <c r="C12" s="102">
        <v>1</v>
      </c>
      <c r="D12" s="102">
        <v>0</v>
      </c>
      <c r="E12" s="101">
        <v>0</v>
      </c>
      <c r="F12" s="101">
        <f t="shared" si="0"/>
        <v>1</v>
      </c>
      <c r="G12"/>
      <c r="H12"/>
    </row>
    <row r="13" spans="1:8" x14ac:dyDescent="0.15">
      <c r="A13">
        <v>12</v>
      </c>
      <c r="B13" s="169" t="s">
        <v>203</v>
      </c>
      <c r="C13" s="102">
        <v>1</v>
      </c>
      <c r="D13" s="102">
        <v>0</v>
      </c>
      <c r="E13" s="101">
        <v>0</v>
      </c>
      <c r="F13" s="101">
        <f t="shared" si="0"/>
        <v>1</v>
      </c>
      <c r="G13"/>
      <c r="H13"/>
    </row>
    <row r="14" spans="1:8" x14ac:dyDescent="0.15">
      <c r="A14">
        <v>13</v>
      </c>
      <c r="B14" s="169" t="s">
        <v>204</v>
      </c>
      <c r="C14" s="102">
        <v>1</v>
      </c>
      <c r="D14" s="102">
        <v>0</v>
      </c>
      <c r="E14" s="101">
        <v>0</v>
      </c>
      <c r="F14" s="101">
        <f t="shared" si="0"/>
        <v>1</v>
      </c>
      <c r="G14"/>
      <c r="H14"/>
    </row>
    <row r="15" spans="1:8" x14ac:dyDescent="0.15">
      <c r="A15">
        <v>14</v>
      </c>
      <c r="B15" s="169" t="s">
        <v>205</v>
      </c>
      <c r="C15" s="102">
        <v>1</v>
      </c>
      <c r="D15" s="102">
        <v>0</v>
      </c>
      <c r="E15" s="101">
        <v>0</v>
      </c>
      <c r="F15" s="101">
        <f t="shared" si="0"/>
        <v>1</v>
      </c>
      <c r="G15"/>
      <c r="H15"/>
    </row>
    <row r="16" spans="1:8" x14ac:dyDescent="0.15">
      <c r="A16">
        <v>15</v>
      </c>
      <c r="B16" s="169" t="s">
        <v>206</v>
      </c>
      <c r="C16" s="102">
        <v>1</v>
      </c>
      <c r="D16" s="102">
        <v>0</v>
      </c>
      <c r="E16" s="101">
        <v>0</v>
      </c>
      <c r="F16" s="101">
        <f t="shared" si="0"/>
        <v>1</v>
      </c>
      <c r="G16"/>
      <c r="H16"/>
    </row>
    <row r="17" spans="1:8" ht="15" customHeight="1" x14ac:dyDescent="0.15">
      <c r="A17">
        <v>16</v>
      </c>
      <c r="B17" s="169" t="s">
        <v>207</v>
      </c>
      <c r="C17" s="102">
        <v>1</v>
      </c>
      <c r="D17" s="102">
        <v>0</v>
      </c>
      <c r="E17" s="101">
        <v>0</v>
      </c>
      <c r="F17" s="101">
        <f t="shared" si="0"/>
        <v>1</v>
      </c>
      <c r="G17"/>
      <c r="H17"/>
    </row>
    <row r="18" spans="1:8" ht="15" customHeight="1" x14ac:dyDescent="0.15">
      <c r="A18">
        <v>17</v>
      </c>
      <c r="B18" s="169" t="s">
        <v>208</v>
      </c>
      <c r="C18" s="102">
        <v>1</v>
      </c>
      <c r="D18" s="102">
        <v>0</v>
      </c>
      <c r="E18" s="101">
        <v>0</v>
      </c>
      <c r="F18" s="101">
        <f t="shared" si="0"/>
        <v>1</v>
      </c>
      <c r="G18"/>
      <c r="H18"/>
    </row>
    <row r="19" spans="1:8" ht="15" customHeight="1" x14ac:dyDescent="0.15">
      <c r="A19">
        <v>18</v>
      </c>
      <c r="B19" s="169" t="s">
        <v>209</v>
      </c>
      <c r="C19" s="102">
        <v>0</v>
      </c>
      <c r="D19" s="102">
        <v>1</v>
      </c>
      <c r="E19" s="101">
        <v>0</v>
      </c>
      <c r="F19" s="101">
        <f t="shared" si="0"/>
        <v>1</v>
      </c>
      <c r="G19"/>
      <c r="H19"/>
    </row>
    <row r="20" spans="1:8" ht="15" customHeight="1" x14ac:dyDescent="0.15">
      <c r="A20">
        <v>19</v>
      </c>
      <c r="B20" s="169" t="s">
        <v>210</v>
      </c>
      <c r="C20" s="102">
        <v>0</v>
      </c>
      <c r="D20" s="102">
        <v>0</v>
      </c>
      <c r="E20" s="101">
        <v>1</v>
      </c>
      <c r="F20" s="101">
        <f t="shared" si="0"/>
        <v>1</v>
      </c>
      <c r="G20"/>
      <c r="H20"/>
    </row>
    <row r="21" spans="1:8" ht="15" customHeight="1" x14ac:dyDescent="0.15">
      <c r="A21">
        <v>20</v>
      </c>
      <c r="B21" s="169" t="s">
        <v>211</v>
      </c>
      <c r="C21" s="228">
        <v>1</v>
      </c>
      <c r="D21" s="228">
        <v>0</v>
      </c>
      <c r="E21" s="101">
        <v>0</v>
      </c>
      <c r="F21" s="101">
        <f t="shared" si="0"/>
        <v>1</v>
      </c>
      <c r="G21"/>
      <c r="H21"/>
    </row>
    <row r="22" spans="1:8" ht="15" customHeight="1" x14ac:dyDescent="0.15">
      <c r="A22">
        <v>21</v>
      </c>
      <c r="B22" s="169" t="s">
        <v>212</v>
      </c>
      <c r="C22" s="228">
        <v>1</v>
      </c>
      <c r="D22" s="228">
        <v>0</v>
      </c>
      <c r="E22" s="101">
        <v>0</v>
      </c>
      <c r="F22" s="101">
        <f t="shared" si="0"/>
        <v>1</v>
      </c>
      <c r="G22"/>
      <c r="H22"/>
    </row>
    <row r="23" spans="1:8" ht="15" customHeight="1" x14ac:dyDescent="0.15">
      <c r="A23">
        <v>22</v>
      </c>
      <c r="B23" s="169" t="s">
        <v>213</v>
      </c>
      <c r="C23" s="228">
        <v>1</v>
      </c>
      <c r="D23" s="228">
        <v>0</v>
      </c>
      <c r="E23" s="101">
        <v>0</v>
      </c>
      <c r="F23" s="101">
        <f t="shared" si="0"/>
        <v>1</v>
      </c>
      <c r="G23"/>
      <c r="H23"/>
    </row>
    <row r="24" spans="1:8" ht="15" customHeight="1" x14ac:dyDescent="0.15">
      <c r="A24">
        <v>23</v>
      </c>
      <c r="B24" s="169" t="s">
        <v>214</v>
      </c>
      <c r="C24" s="228">
        <v>1</v>
      </c>
      <c r="D24" s="228">
        <v>0</v>
      </c>
      <c r="E24" s="101">
        <v>0</v>
      </c>
      <c r="F24" s="101">
        <f t="shared" si="0"/>
        <v>1</v>
      </c>
      <c r="G24"/>
      <c r="H24"/>
    </row>
    <row r="25" spans="1:8" ht="15" customHeight="1" x14ac:dyDescent="0.15">
      <c r="A25">
        <v>24</v>
      </c>
      <c r="B25" s="169" t="s">
        <v>215</v>
      </c>
      <c r="C25" s="228">
        <v>1</v>
      </c>
      <c r="D25" s="228">
        <v>0</v>
      </c>
      <c r="E25" s="101">
        <v>0</v>
      </c>
      <c r="F25" s="101">
        <f t="shared" si="0"/>
        <v>1</v>
      </c>
      <c r="G25"/>
      <c r="H25"/>
    </row>
    <row r="26" spans="1:8" ht="15" customHeight="1" x14ac:dyDescent="0.15">
      <c r="A26">
        <v>25</v>
      </c>
      <c r="B26" s="169" t="s">
        <v>216</v>
      </c>
      <c r="C26" s="228">
        <v>1</v>
      </c>
      <c r="D26" s="228">
        <v>0</v>
      </c>
      <c r="E26" s="101">
        <v>0</v>
      </c>
      <c r="F26" s="101">
        <f t="shared" si="0"/>
        <v>1</v>
      </c>
      <c r="G26"/>
      <c r="H26"/>
    </row>
    <row r="27" spans="1:8" ht="15" customHeight="1" x14ac:dyDescent="0.15">
      <c r="A27">
        <v>26</v>
      </c>
      <c r="B27" s="169" t="s">
        <v>217</v>
      </c>
      <c r="C27" s="228">
        <v>1</v>
      </c>
      <c r="D27" s="228">
        <v>0</v>
      </c>
      <c r="E27" s="101">
        <v>0</v>
      </c>
      <c r="F27" s="101">
        <f t="shared" si="0"/>
        <v>1</v>
      </c>
      <c r="G27"/>
      <c r="H27"/>
    </row>
    <row r="28" spans="1:8" ht="15" customHeight="1" x14ac:dyDescent="0.15">
      <c r="A28">
        <v>27</v>
      </c>
      <c r="B28" s="169" t="s">
        <v>218</v>
      </c>
      <c r="C28" s="228">
        <v>1</v>
      </c>
      <c r="D28" s="228">
        <v>0</v>
      </c>
      <c r="E28" s="101">
        <v>0</v>
      </c>
      <c r="F28" s="101">
        <f t="shared" si="0"/>
        <v>1</v>
      </c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3" width="11.83203125" bestFit="1" customWidth="1"/>
    <col min="4" max="4" width="10.83203125" bestFit="1" customWidth="1"/>
    <col min="5" max="5" width="9.83203125" bestFit="1" customWidth="1"/>
    <col min="6" max="6" width="3.83203125" customWidth="1"/>
    <col min="7" max="7" width="6.83203125" customWidth="1"/>
    <col min="8" max="9" width="7.83203125" customWidth="1"/>
    <col min="10" max="11" width="11.83203125" customWidth="1"/>
  </cols>
  <sheetData>
    <row r="1" spans="1:11" s="103" customFormat="1" ht="112" x14ac:dyDescent="0.15">
      <c r="A1" s="5" t="s">
        <v>21</v>
      </c>
      <c r="B1" s="3" t="s">
        <v>0</v>
      </c>
      <c r="C1" s="172" t="s">
        <v>211</v>
      </c>
      <c r="D1" s="172" t="s">
        <v>212</v>
      </c>
      <c r="E1" s="172" t="s">
        <v>213</v>
      </c>
      <c r="F1" s="172" t="s">
        <v>214</v>
      </c>
      <c r="G1" s="172" t="s">
        <v>215</v>
      </c>
      <c r="H1" s="172" t="s">
        <v>216</v>
      </c>
      <c r="I1" s="172" t="s">
        <v>217</v>
      </c>
      <c r="J1" s="172" t="s">
        <v>218</v>
      </c>
      <c r="K1" s="172" t="s">
        <v>222</v>
      </c>
    </row>
    <row r="2" spans="1:11" ht="15" customHeight="1" x14ac:dyDescent="0.15">
      <c r="A2">
        <v>1</v>
      </c>
      <c r="B2" s="171" t="s">
        <v>192</v>
      </c>
      <c r="C2">
        <v>0</v>
      </c>
      <c r="D2">
        <v>1.2E-2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1.2E-2</v>
      </c>
    </row>
    <row r="3" spans="1:11" ht="15" customHeight="1" x14ac:dyDescent="0.15">
      <c r="A3">
        <v>2</v>
      </c>
      <c r="B3" s="171" t="s">
        <v>193</v>
      </c>
      <c r="C3">
        <v>0</v>
      </c>
      <c r="D3">
        <v>0</v>
      </c>
      <c r="E3">
        <v>6.0000000000000001E-3</v>
      </c>
      <c r="F3">
        <v>0</v>
      </c>
      <c r="G3">
        <v>0</v>
      </c>
      <c r="H3">
        <v>0</v>
      </c>
      <c r="I3">
        <v>0</v>
      </c>
      <c r="J3">
        <v>0</v>
      </c>
      <c r="K3">
        <v>6.0000000000000001E-3</v>
      </c>
    </row>
    <row r="4" spans="1:11" ht="15" customHeight="1" x14ac:dyDescent="0.15">
      <c r="A4">
        <v>3</v>
      </c>
      <c r="B4" s="17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t="15" customHeight="1" x14ac:dyDescent="0.15">
      <c r="A5">
        <v>4</v>
      </c>
      <c r="B5" s="171" t="s">
        <v>195</v>
      </c>
      <c r="C5">
        <v>2E-3</v>
      </c>
      <c r="D5">
        <v>4.8000000000000001E-4</v>
      </c>
      <c r="E5">
        <v>0</v>
      </c>
      <c r="F5">
        <v>0</v>
      </c>
      <c r="G5">
        <v>0</v>
      </c>
      <c r="H5">
        <v>3.1300000000000001E-2</v>
      </c>
      <c r="I5">
        <v>1.32E-3</v>
      </c>
      <c r="J5">
        <v>6.4286839999999996E-3</v>
      </c>
      <c r="K5">
        <v>4.1528684000000003E-2</v>
      </c>
    </row>
    <row r="6" spans="1:11" ht="15" customHeight="1" x14ac:dyDescent="0.15">
      <c r="A6">
        <v>5</v>
      </c>
      <c r="B6" s="171" t="s">
        <v>196</v>
      </c>
      <c r="C6">
        <v>1E-4</v>
      </c>
      <c r="D6">
        <v>0</v>
      </c>
      <c r="E6">
        <v>0</v>
      </c>
      <c r="F6">
        <v>0</v>
      </c>
      <c r="G6">
        <v>0.02</v>
      </c>
      <c r="H6">
        <v>2.5000000000000001E-2</v>
      </c>
      <c r="I6">
        <v>0</v>
      </c>
      <c r="J6">
        <v>0</v>
      </c>
      <c r="K6">
        <v>4.5100000000000001E-2</v>
      </c>
    </row>
    <row r="7" spans="1:11" ht="15" customHeight="1" x14ac:dyDescent="0.15">
      <c r="A7">
        <v>6</v>
      </c>
      <c r="B7" s="171" t="s">
        <v>197</v>
      </c>
      <c r="C7">
        <v>4.42075E-4</v>
      </c>
      <c r="D7">
        <v>4.8000000000000001E-4</v>
      </c>
      <c r="E7">
        <v>4.4200000000000001E-4</v>
      </c>
      <c r="F7">
        <v>0</v>
      </c>
      <c r="G7">
        <v>0</v>
      </c>
      <c r="H7">
        <v>0</v>
      </c>
      <c r="I7">
        <v>0</v>
      </c>
      <c r="J7">
        <v>1.031508E-3</v>
      </c>
      <c r="K7">
        <v>2.3955830000000002E-3</v>
      </c>
    </row>
    <row r="8" spans="1:11" ht="15" customHeight="1" x14ac:dyDescent="0.15">
      <c r="A8">
        <v>7</v>
      </c>
      <c r="B8" s="171" t="s">
        <v>198</v>
      </c>
      <c r="C8">
        <v>0</v>
      </c>
      <c r="D8">
        <v>0</v>
      </c>
      <c r="E8">
        <v>0</v>
      </c>
      <c r="F8">
        <v>0</v>
      </c>
      <c r="G8">
        <v>1.8E-3</v>
      </c>
      <c r="H8">
        <v>2E-3</v>
      </c>
      <c r="I8">
        <v>0</v>
      </c>
      <c r="J8">
        <v>0</v>
      </c>
      <c r="K8">
        <v>3.8E-3</v>
      </c>
    </row>
    <row r="9" spans="1:11" ht="15" customHeight="1" x14ac:dyDescent="0.15">
      <c r="A9">
        <v>8</v>
      </c>
      <c r="B9" s="171" t="s">
        <v>199</v>
      </c>
      <c r="C9">
        <v>1E-4</v>
      </c>
      <c r="D9">
        <v>1.3599999999999999E-2</v>
      </c>
      <c r="E9">
        <v>0</v>
      </c>
      <c r="F9">
        <v>0</v>
      </c>
      <c r="G9">
        <v>0</v>
      </c>
      <c r="H9">
        <v>1.1480000000000001E-2</v>
      </c>
      <c r="I9">
        <v>0</v>
      </c>
      <c r="J9">
        <v>2.2579499999999999E-4</v>
      </c>
      <c r="K9">
        <v>2.5405795000000002E-2</v>
      </c>
    </row>
    <row r="10" spans="1:11" ht="15" customHeight="1" x14ac:dyDescent="0.15">
      <c r="A10">
        <v>9</v>
      </c>
      <c r="B10" s="171" t="s">
        <v>200</v>
      </c>
      <c r="C10">
        <v>4.4200000000000001E-4</v>
      </c>
      <c r="D10">
        <v>1.9018999999999999E-4</v>
      </c>
      <c r="E10">
        <v>0</v>
      </c>
      <c r="F10">
        <v>0</v>
      </c>
      <c r="G10">
        <v>0</v>
      </c>
      <c r="H10">
        <v>0</v>
      </c>
      <c r="I10">
        <v>0</v>
      </c>
      <c r="J10">
        <v>4.4200000000000001E-4</v>
      </c>
      <c r="K10">
        <v>1.07419E-3</v>
      </c>
    </row>
    <row r="11" spans="1:11" ht="15" customHeight="1" x14ac:dyDescent="0.15">
      <c r="A11">
        <v>10</v>
      </c>
      <c r="B11" s="171" t="s">
        <v>201</v>
      </c>
      <c r="C11">
        <v>0</v>
      </c>
      <c r="D11">
        <v>0</v>
      </c>
      <c r="E11">
        <v>5.0000000000000001E-3</v>
      </c>
      <c r="F11">
        <v>0</v>
      </c>
      <c r="G11">
        <v>0</v>
      </c>
      <c r="H11">
        <v>0</v>
      </c>
      <c r="I11">
        <v>0</v>
      </c>
      <c r="J11">
        <v>0</v>
      </c>
      <c r="K11">
        <v>5.0000000000000001E-3</v>
      </c>
    </row>
    <row r="12" spans="1:11" ht="15" customHeight="1" x14ac:dyDescent="0.15">
      <c r="A12">
        <v>11</v>
      </c>
      <c r="B12" s="171" t="s">
        <v>202</v>
      </c>
      <c r="C12">
        <v>0</v>
      </c>
      <c r="D12">
        <v>0</v>
      </c>
      <c r="E12">
        <v>1.5E-3</v>
      </c>
      <c r="F12">
        <v>0</v>
      </c>
      <c r="G12">
        <v>0</v>
      </c>
      <c r="H12">
        <v>0</v>
      </c>
      <c r="I12">
        <v>0</v>
      </c>
      <c r="J12">
        <v>0</v>
      </c>
      <c r="K12">
        <v>1.5E-3</v>
      </c>
    </row>
    <row r="13" spans="1:11" ht="15" customHeight="1" x14ac:dyDescent="0.15">
      <c r="A13">
        <v>12</v>
      </c>
      <c r="B13" s="171" t="s">
        <v>203</v>
      </c>
      <c r="C13">
        <v>0</v>
      </c>
      <c r="D13">
        <v>0</v>
      </c>
      <c r="E13">
        <v>0.10766779999999999</v>
      </c>
      <c r="F13">
        <v>0</v>
      </c>
      <c r="G13">
        <v>0</v>
      </c>
      <c r="H13">
        <v>0</v>
      </c>
      <c r="I13">
        <v>0</v>
      </c>
      <c r="J13">
        <v>0</v>
      </c>
      <c r="K13">
        <v>0.10766779999999999</v>
      </c>
    </row>
    <row r="14" spans="1:11" ht="15" customHeight="1" x14ac:dyDescent="0.15">
      <c r="A14">
        <v>13</v>
      </c>
      <c r="B14" s="17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ht="15" customHeight="1" x14ac:dyDescent="0.15">
      <c r="A15">
        <v>14</v>
      </c>
      <c r="B15" s="171" t="s">
        <v>205</v>
      </c>
      <c r="C15">
        <v>0</v>
      </c>
      <c r="D15">
        <v>0</v>
      </c>
      <c r="E15">
        <v>0</v>
      </c>
      <c r="F15">
        <v>0.3</v>
      </c>
      <c r="G15">
        <v>0</v>
      </c>
      <c r="H15">
        <v>0</v>
      </c>
      <c r="I15">
        <v>0</v>
      </c>
      <c r="J15">
        <v>0</v>
      </c>
      <c r="K15">
        <v>0.3</v>
      </c>
    </row>
    <row r="16" spans="1:11" ht="15" customHeight="1" x14ac:dyDescent="0.15">
      <c r="A16">
        <v>15</v>
      </c>
      <c r="B16" s="17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ht="15" customHeight="1" x14ac:dyDescent="0.15">
      <c r="A17">
        <v>16</v>
      </c>
      <c r="B17" s="171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ht="15" customHeight="1" x14ac:dyDescent="0.15">
      <c r="A18">
        <v>17</v>
      </c>
      <c r="B18" s="17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ht="15" customHeight="1" x14ac:dyDescent="0.15">
      <c r="A19">
        <v>18</v>
      </c>
      <c r="B19" s="17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ht="15" customHeight="1" x14ac:dyDescent="0.15">
      <c r="A20">
        <v>19</v>
      </c>
      <c r="B20" s="17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ht="15" customHeight="1" x14ac:dyDescent="0.15"/>
    <row r="22" spans="1:11" ht="15" customHeight="1" x14ac:dyDescent="0.15"/>
    <row r="23" spans="1:11" ht="15" customHeight="1" x14ac:dyDescent="0.15"/>
    <row r="24" spans="1:11" ht="15" customHeight="1" x14ac:dyDescent="0.15"/>
    <row r="25" spans="1:11" ht="15" customHeight="1" x14ac:dyDescent="0.15"/>
    <row r="26" spans="1:11" ht="15" customHeight="1" x14ac:dyDescent="0.15"/>
    <row r="27" spans="1:11" ht="15" customHeight="1" x14ac:dyDescent="0.15"/>
    <row r="28" spans="1:11" ht="15" customHeight="1" x14ac:dyDescent="0.15"/>
    <row r="29" spans="1:11" ht="15" customHeight="1" x14ac:dyDescent="0.15"/>
    <row r="30" spans="1:11" ht="15" customHeight="1" x14ac:dyDescent="0.15"/>
    <row r="31" spans="1:11" ht="15" customHeight="1" x14ac:dyDescent="0.15"/>
    <row r="32" spans="1:11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5" width="2.33203125" bestFit="1" customWidth="1"/>
    <col min="6" max="11" width="2.33203125" customWidth="1"/>
  </cols>
  <sheetData>
    <row r="1" spans="1:11" s="103" customFormat="1" ht="112" x14ac:dyDescent="0.15">
      <c r="A1" s="5" t="s">
        <v>22</v>
      </c>
      <c r="B1" s="3" t="s">
        <v>0</v>
      </c>
      <c r="C1" s="174" t="s">
        <v>211</v>
      </c>
      <c r="D1" s="174" t="s">
        <v>212</v>
      </c>
      <c r="E1" s="174" t="s">
        <v>213</v>
      </c>
      <c r="F1" s="174" t="s">
        <v>214</v>
      </c>
      <c r="G1" s="174" t="s">
        <v>215</v>
      </c>
      <c r="H1" s="174" t="s">
        <v>216</v>
      </c>
      <c r="I1" s="174" t="s">
        <v>217</v>
      </c>
      <c r="J1" s="174" t="s">
        <v>218</v>
      </c>
      <c r="K1" s="174" t="s">
        <v>222</v>
      </c>
    </row>
    <row r="2" spans="1:11" x14ac:dyDescent="0.15">
      <c r="A2">
        <v>1</v>
      </c>
      <c r="B2" s="17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7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7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73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73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73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73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73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73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73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7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7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73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73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73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73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7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73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73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75" t="s">
        <v>192</v>
      </c>
      <c r="F2">
        <v>0.98</v>
      </c>
      <c r="G2">
        <v>0.8</v>
      </c>
      <c r="H2">
        <v>0.8</v>
      </c>
      <c r="I2">
        <v>0.8</v>
      </c>
      <c r="J2" s="102">
        <v>0.25</v>
      </c>
      <c r="K2" s="102">
        <v>0.05</v>
      </c>
    </row>
    <row r="3" spans="1:42" x14ac:dyDescent="0.15">
      <c r="A3" s="111" t="s">
        <v>75</v>
      </c>
      <c r="B3" s="113">
        <v>1</v>
      </c>
      <c r="D3">
        <v>2</v>
      </c>
      <c r="E3" s="175" t="s">
        <v>193</v>
      </c>
      <c r="F3">
        <v>0.98</v>
      </c>
      <c r="G3">
        <v>0.8</v>
      </c>
      <c r="H3">
        <v>0.8</v>
      </c>
      <c r="I3">
        <v>0.8</v>
      </c>
      <c r="J3" s="102">
        <v>0.25</v>
      </c>
      <c r="K3" s="102">
        <v>0.05</v>
      </c>
    </row>
    <row r="4" spans="1:42" x14ac:dyDescent="0.15">
      <c r="A4" s="111" t="s">
        <v>76</v>
      </c>
      <c r="B4" s="113">
        <v>1</v>
      </c>
      <c r="D4">
        <v>3</v>
      </c>
      <c r="E4" s="175" t="s">
        <v>194</v>
      </c>
      <c r="F4">
        <v>0.98</v>
      </c>
      <c r="G4">
        <v>0.8</v>
      </c>
      <c r="H4">
        <v>0.8</v>
      </c>
      <c r="I4">
        <v>0.8</v>
      </c>
      <c r="J4" s="102">
        <v>0.25</v>
      </c>
      <c r="K4" s="102">
        <v>0.05</v>
      </c>
    </row>
    <row r="5" spans="1:42" x14ac:dyDescent="0.15">
      <c r="A5" s="111" t="s">
        <v>77</v>
      </c>
      <c r="B5" s="113">
        <v>1</v>
      </c>
      <c r="D5">
        <v>4</v>
      </c>
      <c r="E5" s="175" t="s">
        <v>195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75" t="s">
        <v>196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75" t="s">
        <v>197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75" t="s">
        <v>198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9" t="s">
        <v>150</v>
      </c>
      <c r="D9">
        <v>8</v>
      </c>
      <c r="E9" s="175" t="s">
        <v>199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9" t="s">
        <v>150</v>
      </c>
      <c r="D10">
        <v>9</v>
      </c>
      <c r="E10" s="175" t="s">
        <v>200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75" t="s">
        <v>201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75" t="s">
        <v>202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75" t="s">
        <v>203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75" t="s">
        <v>204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75" t="s">
        <v>205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75" t="s">
        <v>206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75" t="s">
        <v>207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75" t="s">
        <v>208</v>
      </c>
      <c r="F18">
        <v>0.98</v>
      </c>
      <c r="G18">
        <v>0.8</v>
      </c>
      <c r="H18">
        <v>0.8</v>
      </c>
      <c r="I18">
        <v>0</v>
      </c>
      <c r="J18" s="102">
        <v>0</v>
      </c>
      <c r="K18" s="102">
        <v>0</v>
      </c>
    </row>
    <row r="19" spans="4:33" ht="15" customHeight="1" x14ac:dyDescent="0.15">
      <c r="D19">
        <v>18</v>
      </c>
      <c r="E19" s="175" t="s">
        <v>209</v>
      </c>
      <c r="F19">
        <v>0.98</v>
      </c>
      <c r="G19">
        <v>0.8</v>
      </c>
      <c r="H19">
        <v>0</v>
      </c>
      <c r="I19">
        <v>0</v>
      </c>
      <c r="J19" s="102">
        <v>0</v>
      </c>
      <c r="K19" s="102">
        <v>0</v>
      </c>
    </row>
    <row r="20" spans="4:33" ht="15" customHeight="1" x14ac:dyDescent="0.15">
      <c r="D20">
        <v>19</v>
      </c>
      <c r="E20" s="175" t="s">
        <v>210</v>
      </c>
      <c r="F20">
        <v>0.98</v>
      </c>
      <c r="G20">
        <v>0.8</v>
      </c>
      <c r="H20">
        <v>0</v>
      </c>
      <c r="I20">
        <v>0</v>
      </c>
      <c r="J20" s="102">
        <v>0</v>
      </c>
      <c r="K20" s="102">
        <v>0</v>
      </c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17" width="3.83203125" style="100" customWidth="1"/>
    <col min="18" max="20" width="2.33203125" style="100" customWidth="1"/>
    <col min="21" max="16384" width="10.83203125" style="100"/>
  </cols>
  <sheetData>
    <row r="1" spans="1:30" x14ac:dyDescent="0.15">
      <c r="A1" s="61" t="s">
        <v>118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76" t="s">
        <v>192</v>
      </c>
      <c r="B2" s="100">
        <v>0.8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</row>
    <row r="3" spans="1:30" customFormat="1" x14ac:dyDescent="0.15">
      <c r="A3" s="176" t="s">
        <v>193</v>
      </c>
      <c r="B3" s="100">
        <v>0.8</v>
      </c>
      <c r="C3" s="100">
        <v>0.8</v>
      </c>
      <c r="D3" s="100">
        <v>0</v>
      </c>
      <c r="E3" s="100">
        <v>0.8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</row>
    <row r="4" spans="1:30" customFormat="1" x14ac:dyDescent="0.15">
      <c r="A4" s="176" t="s">
        <v>194</v>
      </c>
      <c r="B4" s="100">
        <v>0.8</v>
      </c>
      <c r="C4" s="100">
        <v>0.8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</row>
    <row r="5" spans="1:30" customFormat="1" x14ac:dyDescent="0.15">
      <c r="A5" s="176" t="s">
        <v>195</v>
      </c>
      <c r="B5" s="100">
        <v>0.8</v>
      </c>
      <c r="C5" s="100">
        <v>0.8</v>
      </c>
      <c r="D5" s="100">
        <v>0</v>
      </c>
      <c r="E5" s="100">
        <v>0.8</v>
      </c>
      <c r="F5" s="100">
        <v>0</v>
      </c>
      <c r="G5" s="100">
        <v>0</v>
      </c>
      <c r="H5" s="100">
        <v>0</v>
      </c>
      <c r="I5" s="100">
        <v>0.8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</row>
    <row r="6" spans="1:30" customFormat="1" x14ac:dyDescent="0.15">
      <c r="A6" s="176" t="s">
        <v>196</v>
      </c>
      <c r="B6" s="100">
        <v>0.8</v>
      </c>
      <c r="C6" s="100">
        <v>0.8</v>
      </c>
      <c r="D6" s="100">
        <v>0</v>
      </c>
      <c r="E6" s="100">
        <v>0.8</v>
      </c>
      <c r="F6" s="100">
        <v>0.8</v>
      </c>
      <c r="G6" s="100">
        <v>0.8</v>
      </c>
      <c r="H6" s="100">
        <v>0</v>
      </c>
      <c r="I6" s="100">
        <v>0</v>
      </c>
      <c r="J6" s="100">
        <v>0.8</v>
      </c>
      <c r="K6" s="100">
        <v>0</v>
      </c>
      <c r="L6" s="100">
        <v>0.8</v>
      </c>
      <c r="M6" s="100">
        <v>0</v>
      </c>
      <c r="N6" s="100">
        <v>0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</row>
    <row r="7" spans="1:30" customFormat="1" x14ac:dyDescent="0.15">
      <c r="A7" s="176" t="s">
        <v>197</v>
      </c>
      <c r="B7" s="100">
        <v>0.8</v>
      </c>
      <c r="C7" s="100">
        <v>0.8</v>
      </c>
      <c r="D7" s="100">
        <v>0.8</v>
      </c>
      <c r="E7" s="100">
        <v>0.8</v>
      </c>
      <c r="F7" s="100">
        <v>0.8</v>
      </c>
      <c r="G7" s="100">
        <v>0.8</v>
      </c>
      <c r="H7" s="100">
        <v>0</v>
      </c>
      <c r="I7" s="100">
        <v>0</v>
      </c>
      <c r="J7" s="100">
        <v>0.8</v>
      </c>
      <c r="K7" s="100">
        <v>0</v>
      </c>
      <c r="L7" s="100">
        <v>0</v>
      </c>
      <c r="M7" s="100">
        <v>0</v>
      </c>
      <c r="N7" s="100">
        <v>0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</row>
    <row r="8" spans="1:30" customFormat="1" x14ac:dyDescent="0.15">
      <c r="A8" s="176" t="s">
        <v>198</v>
      </c>
      <c r="B8" s="100">
        <v>0.8</v>
      </c>
      <c r="C8" s="100">
        <v>0.8</v>
      </c>
      <c r="D8" s="100">
        <v>0.8</v>
      </c>
      <c r="E8" s="100">
        <v>0.8</v>
      </c>
      <c r="F8" s="100">
        <v>0.8</v>
      </c>
      <c r="G8" s="100">
        <v>0</v>
      </c>
      <c r="H8" s="100">
        <v>0.8</v>
      </c>
      <c r="I8" s="100">
        <v>0.8</v>
      </c>
      <c r="J8" s="100">
        <v>0.8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</row>
    <row r="9" spans="1:30" customFormat="1" x14ac:dyDescent="0.15">
      <c r="A9" s="176" t="s">
        <v>199</v>
      </c>
      <c r="B9" s="100">
        <v>0.8</v>
      </c>
      <c r="C9" s="100">
        <v>0.8</v>
      </c>
      <c r="D9" s="100">
        <v>0</v>
      </c>
      <c r="E9" s="100">
        <v>0.8</v>
      </c>
      <c r="F9" s="100">
        <v>0</v>
      </c>
      <c r="G9" s="100">
        <v>0</v>
      </c>
      <c r="H9" s="100">
        <v>0</v>
      </c>
      <c r="I9" s="100">
        <v>0.8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</row>
    <row r="10" spans="1:30" customFormat="1" x14ac:dyDescent="0.15">
      <c r="A10" s="176" t="s">
        <v>200</v>
      </c>
      <c r="B10" s="100">
        <v>0.8</v>
      </c>
      <c r="C10" s="100">
        <v>0</v>
      </c>
      <c r="D10" s="100">
        <v>0</v>
      </c>
      <c r="E10" s="100">
        <v>0.8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</row>
    <row r="11" spans="1:30" customFormat="1" x14ac:dyDescent="0.15">
      <c r="A11" s="176" t="s">
        <v>201</v>
      </c>
      <c r="B11" s="100">
        <v>0.8</v>
      </c>
      <c r="C11" s="100">
        <v>0.8</v>
      </c>
      <c r="D11" s="100">
        <v>0</v>
      </c>
      <c r="E11" s="100">
        <v>0.8</v>
      </c>
      <c r="F11" s="100">
        <v>0.8</v>
      </c>
      <c r="G11" s="100">
        <v>0.8</v>
      </c>
      <c r="H11" s="100">
        <v>0.8</v>
      </c>
      <c r="I11" s="100">
        <v>0</v>
      </c>
      <c r="J11" s="100">
        <v>0.8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</row>
    <row r="12" spans="1:30" customFormat="1" x14ac:dyDescent="0.15">
      <c r="A12" s="176" t="s">
        <v>202</v>
      </c>
      <c r="B12" s="100">
        <v>0.8</v>
      </c>
      <c r="C12" s="100">
        <v>0.8</v>
      </c>
      <c r="D12" s="100">
        <v>0.8</v>
      </c>
      <c r="E12" s="100">
        <v>0.8</v>
      </c>
      <c r="F12" s="100">
        <v>0.8</v>
      </c>
      <c r="G12" s="100">
        <v>0.8</v>
      </c>
      <c r="H12" s="100">
        <v>0</v>
      </c>
      <c r="I12" s="100">
        <v>0.8</v>
      </c>
      <c r="J12" s="100">
        <v>0</v>
      </c>
      <c r="K12" s="100">
        <v>0</v>
      </c>
      <c r="L12" s="100">
        <v>0.8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</row>
    <row r="13" spans="1:30" customFormat="1" x14ac:dyDescent="0.15">
      <c r="A13" s="176" t="s">
        <v>203</v>
      </c>
      <c r="B13" s="100">
        <v>0.8</v>
      </c>
      <c r="C13" s="100">
        <v>0.8</v>
      </c>
      <c r="D13" s="100">
        <v>0.8</v>
      </c>
      <c r="E13" s="100">
        <v>0.8</v>
      </c>
      <c r="F13" s="100">
        <v>0.8</v>
      </c>
      <c r="G13" s="100">
        <v>0.8</v>
      </c>
      <c r="H13" s="100">
        <v>0.8</v>
      </c>
      <c r="I13" s="100">
        <v>0.8</v>
      </c>
      <c r="J13" s="100">
        <v>0.8</v>
      </c>
      <c r="K13" s="100">
        <v>0.8</v>
      </c>
      <c r="L13" s="100">
        <v>0.8</v>
      </c>
      <c r="M13" s="100">
        <v>0.8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</row>
    <row r="14" spans="1:30" customFormat="1" x14ac:dyDescent="0.15">
      <c r="A14" s="176" t="s">
        <v>204</v>
      </c>
      <c r="B14" s="100">
        <v>0.8</v>
      </c>
      <c r="C14" s="100">
        <v>0.8</v>
      </c>
      <c r="D14" s="100">
        <v>0.8</v>
      </c>
      <c r="E14" s="100">
        <v>0.8</v>
      </c>
      <c r="F14" s="100">
        <v>0.8</v>
      </c>
      <c r="G14" s="100">
        <v>0.8</v>
      </c>
      <c r="H14" s="100">
        <v>0.8</v>
      </c>
      <c r="I14" s="100">
        <v>0</v>
      </c>
      <c r="J14" s="100">
        <v>0</v>
      </c>
      <c r="K14" s="100">
        <v>0</v>
      </c>
      <c r="L14" s="100">
        <v>0.8</v>
      </c>
      <c r="M14" s="100">
        <v>0.8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</row>
    <row r="15" spans="1:30" customFormat="1" x14ac:dyDescent="0.15">
      <c r="A15" s="176" t="s">
        <v>205</v>
      </c>
      <c r="B15" s="100">
        <v>0.8</v>
      </c>
      <c r="C15" s="100">
        <v>0.8</v>
      </c>
      <c r="D15" s="100">
        <v>0.8</v>
      </c>
      <c r="E15" s="100">
        <v>0.8</v>
      </c>
      <c r="F15" s="100">
        <v>0.8</v>
      </c>
      <c r="G15" s="100">
        <v>0.8</v>
      </c>
      <c r="H15" s="100">
        <v>0.8</v>
      </c>
      <c r="I15" s="100">
        <v>0.8</v>
      </c>
      <c r="J15" s="100">
        <v>0.8</v>
      </c>
      <c r="K15" s="100">
        <v>0.8</v>
      </c>
      <c r="L15" s="100">
        <v>0.8</v>
      </c>
      <c r="M15" s="100">
        <v>0.8</v>
      </c>
      <c r="N15" s="100">
        <v>0</v>
      </c>
      <c r="O15" s="100">
        <v>0.8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</row>
    <row r="16" spans="1:30" customFormat="1" x14ac:dyDescent="0.15">
      <c r="A16" s="176" t="s">
        <v>206</v>
      </c>
      <c r="B16" s="100">
        <v>0.8</v>
      </c>
      <c r="C16" s="100">
        <v>0.8</v>
      </c>
      <c r="D16" s="100">
        <v>0.8</v>
      </c>
      <c r="E16" s="100">
        <v>0</v>
      </c>
      <c r="F16" s="100">
        <v>0.8</v>
      </c>
      <c r="G16" s="100">
        <v>0.8</v>
      </c>
      <c r="H16" s="100">
        <v>0.8</v>
      </c>
      <c r="I16" s="100">
        <v>0.8</v>
      </c>
      <c r="J16" s="100">
        <v>0</v>
      </c>
      <c r="K16" s="100">
        <v>0.8</v>
      </c>
      <c r="L16" s="100">
        <v>0.8</v>
      </c>
      <c r="M16" s="100">
        <v>0.8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</row>
    <row r="17" spans="1:20" customFormat="1" x14ac:dyDescent="0.15">
      <c r="A17" s="176" t="s">
        <v>207</v>
      </c>
      <c r="B17" s="100">
        <v>0.8</v>
      </c>
      <c r="C17" s="100">
        <v>0.8</v>
      </c>
      <c r="D17" s="100">
        <v>0.8</v>
      </c>
      <c r="E17" s="100">
        <v>0</v>
      </c>
      <c r="F17" s="100">
        <v>0.8</v>
      </c>
      <c r="G17" s="100">
        <v>0.8</v>
      </c>
      <c r="H17" s="100">
        <v>0.8</v>
      </c>
      <c r="I17" s="100">
        <v>0.8</v>
      </c>
      <c r="J17" s="100">
        <v>0.8</v>
      </c>
      <c r="K17" s="100">
        <v>0.8</v>
      </c>
      <c r="L17" s="100">
        <v>0.8</v>
      </c>
      <c r="M17" s="100">
        <v>0.8</v>
      </c>
      <c r="N17" s="100">
        <v>0.8</v>
      </c>
      <c r="O17" s="100">
        <v>0.8</v>
      </c>
      <c r="P17" s="100">
        <v>0.8</v>
      </c>
      <c r="Q17" s="100">
        <v>0.8</v>
      </c>
      <c r="R17" s="100">
        <v>0</v>
      </c>
      <c r="S17" s="100">
        <v>0</v>
      </c>
      <c r="T17" s="100">
        <v>0</v>
      </c>
    </row>
    <row r="18" spans="1:20" customFormat="1" x14ac:dyDescent="0.15">
      <c r="A18" s="176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0.8</v>
      </c>
      <c r="P18" s="100">
        <v>0</v>
      </c>
      <c r="Q18" s="100">
        <v>0.8</v>
      </c>
      <c r="R18" s="100">
        <v>0</v>
      </c>
      <c r="S18" s="100">
        <v>0</v>
      </c>
      <c r="T18" s="100">
        <v>0</v>
      </c>
    </row>
    <row r="19" spans="1:20" customFormat="1" x14ac:dyDescent="0.15">
      <c r="A19" s="176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0</v>
      </c>
    </row>
    <row r="20" spans="1:20" customFormat="1" x14ac:dyDescent="0.15">
      <c r="A20" s="176" t="s">
        <v>210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</row>
    <row r="21" spans="1:20" customFormat="1" x14ac:dyDescent="0.15">
      <c r="A21" s="176" t="s">
        <v>219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20" width="2.33203125" style="100" customWidth="1"/>
    <col min="21" max="16384" width="10.83203125" style="100"/>
  </cols>
  <sheetData>
    <row r="1" spans="1:31" x14ac:dyDescent="0.15">
      <c r="A1" s="61" t="s">
        <v>139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78" t="s">
        <v>192</v>
      </c>
      <c r="B2" s="100">
        <v>1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</row>
    <row r="3" spans="1:31" customFormat="1" x14ac:dyDescent="0.15">
      <c r="A3" s="178" t="s">
        <v>193</v>
      </c>
      <c r="B3" s="100">
        <v>1</v>
      </c>
      <c r="C3" s="100">
        <v>1</v>
      </c>
      <c r="D3" s="100">
        <v>0</v>
      </c>
      <c r="E3" s="100">
        <v>1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</row>
    <row r="4" spans="1:31" customFormat="1" x14ac:dyDescent="0.15">
      <c r="A4" s="178" t="s">
        <v>194</v>
      </c>
      <c r="B4" s="100">
        <v>1</v>
      </c>
      <c r="C4" s="100">
        <v>1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</row>
    <row r="5" spans="1:31" customFormat="1" x14ac:dyDescent="0.15">
      <c r="A5" s="178" t="s">
        <v>195</v>
      </c>
      <c r="B5" s="100">
        <v>1</v>
      </c>
      <c r="C5" s="100">
        <v>1</v>
      </c>
      <c r="D5" s="100">
        <v>0</v>
      </c>
      <c r="E5" s="100">
        <v>1</v>
      </c>
      <c r="F5" s="100">
        <v>0</v>
      </c>
      <c r="G5" s="100">
        <v>0</v>
      </c>
      <c r="H5" s="100">
        <v>0</v>
      </c>
      <c r="I5" s="100">
        <v>1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</row>
    <row r="6" spans="1:31" customFormat="1" x14ac:dyDescent="0.15">
      <c r="A6" s="178" t="s">
        <v>196</v>
      </c>
      <c r="B6" s="100">
        <v>1</v>
      </c>
      <c r="C6" s="100">
        <v>1</v>
      </c>
      <c r="D6" s="100">
        <v>0</v>
      </c>
      <c r="E6" s="100">
        <v>1</v>
      </c>
      <c r="F6" s="100">
        <v>1</v>
      </c>
      <c r="G6" s="100">
        <v>1</v>
      </c>
      <c r="H6" s="100">
        <v>0</v>
      </c>
      <c r="I6" s="100">
        <v>0</v>
      </c>
      <c r="J6" s="100">
        <v>1</v>
      </c>
      <c r="K6" s="100">
        <v>0</v>
      </c>
      <c r="L6" s="100">
        <v>1</v>
      </c>
      <c r="M6" s="100">
        <v>0</v>
      </c>
      <c r="N6" s="100">
        <v>0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</row>
    <row r="7" spans="1:31" customFormat="1" x14ac:dyDescent="0.15">
      <c r="A7" s="178" t="s">
        <v>197</v>
      </c>
      <c r="B7" s="100">
        <v>1</v>
      </c>
      <c r="C7" s="100">
        <v>1</v>
      </c>
      <c r="D7" s="100">
        <v>1</v>
      </c>
      <c r="E7" s="100">
        <v>1</v>
      </c>
      <c r="F7" s="100">
        <v>1</v>
      </c>
      <c r="G7" s="100">
        <v>1</v>
      </c>
      <c r="H7" s="100">
        <v>0</v>
      </c>
      <c r="I7" s="100">
        <v>0</v>
      </c>
      <c r="J7" s="100">
        <v>1</v>
      </c>
      <c r="K7" s="100">
        <v>0</v>
      </c>
      <c r="L7" s="100">
        <v>0</v>
      </c>
      <c r="M7" s="100">
        <v>0</v>
      </c>
      <c r="N7" s="100">
        <v>0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</row>
    <row r="8" spans="1:31" customFormat="1" x14ac:dyDescent="0.15">
      <c r="A8" s="178" t="s">
        <v>198</v>
      </c>
      <c r="B8" s="100">
        <v>1</v>
      </c>
      <c r="C8" s="100">
        <v>1</v>
      </c>
      <c r="D8" s="100">
        <v>1</v>
      </c>
      <c r="E8" s="100">
        <v>1</v>
      </c>
      <c r="F8" s="100">
        <v>1</v>
      </c>
      <c r="G8" s="100">
        <v>0</v>
      </c>
      <c r="H8" s="100">
        <v>1</v>
      </c>
      <c r="I8" s="100">
        <v>1</v>
      </c>
      <c r="J8" s="100">
        <v>1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</row>
    <row r="9" spans="1:31" customFormat="1" x14ac:dyDescent="0.15">
      <c r="A9" s="178" t="s">
        <v>199</v>
      </c>
      <c r="B9" s="100">
        <v>1</v>
      </c>
      <c r="C9" s="100">
        <v>1</v>
      </c>
      <c r="D9" s="100">
        <v>0</v>
      </c>
      <c r="E9" s="100">
        <v>1</v>
      </c>
      <c r="F9" s="100">
        <v>0</v>
      </c>
      <c r="G9" s="100">
        <v>0</v>
      </c>
      <c r="H9" s="100">
        <v>0</v>
      </c>
      <c r="I9" s="100">
        <v>1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</row>
    <row r="10" spans="1:31" customFormat="1" x14ac:dyDescent="0.15">
      <c r="A10" s="178" t="s">
        <v>200</v>
      </c>
      <c r="B10" s="100">
        <v>1</v>
      </c>
      <c r="C10" s="100">
        <v>0</v>
      </c>
      <c r="D10" s="100">
        <v>0</v>
      </c>
      <c r="E10" s="100">
        <v>1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</row>
    <row r="11" spans="1:31" customFormat="1" x14ac:dyDescent="0.15">
      <c r="A11" s="178" t="s">
        <v>201</v>
      </c>
      <c r="B11" s="100">
        <v>1</v>
      </c>
      <c r="C11" s="100">
        <v>1</v>
      </c>
      <c r="D11" s="100">
        <v>0</v>
      </c>
      <c r="E11" s="100">
        <v>1</v>
      </c>
      <c r="F11" s="100">
        <v>1</v>
      </c>
      <c r="G11" s="100">
        <v>1</v>
      </c>
      <c r="H11" s="100">
        <v>1</v>
      </c>
      <c r="I11" s="100">
        <v>0</v>
      </c>
      <c r="J11" s="100">
        <v>1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</row>
    <row r="12" spans="1:31" customFormat="1" x14ac:dyDescent="0.15">
      <c r="A12" s="178" t="s">
        <v>202</v>
      </c>
      <c r="B12" s="100">
        <v>1</v>
      </c>
      <c r="C12" s="100">
        <v>1</v>
      </c>
      <c r="D12" s="100">
        <v>1</v>
      </c>
      <c r="E12" s="100">
        <v>1</v>
      </c>
      <c r="F12" s="100">
        <v>1</v>
      </c>
      <c r="G12" s="100">
        <v>1</v>
      </c>
      <c r="H12" s="100">
        <v>0</v>
      </c>
      <c r="I12" s="100">
        <v>1</v>
      </c>
      <c r="J12" s="100">
        <v>0</v>
      </c>
      <c r="K12" s="100">
        <v>0</v>
      </c>
      <c r="L12" s="100">
        <v>1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</row>
    <row r="13" spans="1:31" customFormat="1" x14ac:dyDescent="0.15">
      <c r="A13" s="178" t="s">
        <v>203</v>
      </c>
      <c r="B13" s="100">
        <v>1</v>
      </c>
      <c r="C13" s="100">
        <v>1</v>
      </c>
      <c r="D13" s="100">
        <v>1</v>
      </c>
      <c r="E13" s="100">
        <v>1</v>
      </c>
      <c r="F13" s="100">
        <v>1</v>
      </c>
      <c r="G13" s="100">
        <v>1</v>
      </c>
      <c r="H13" s="100">
        <v>1</v>
      </c>
      <c r="I13" s="100">
        <v>1</v>
      </c>
      <c r="J13" s="100">
        <v>1</v>
      </c>
      <c r="K13" s="100">
        <v>1</v>
      </c>
      <c r="L13" s="100">
        <v>1</v>
      </c>
      <c r="M13" s="100">
        <v>1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</row>
    <row r="14" spans="1:31" customFormat="1" x14ac:dyDescent="0.15">
      <c r="A14" s="178" t="s">
        <v>204</v>
      </c>
      <c r="B14" s="100">
        <v>1</v>
      </c>
      <c r="C14" s="100">
        <v>1</v>
      </c>
      <c r="D14" s="100">
        <v>1</v>
      </c>
      <c r="E14" s="100">
        <v>1</v>
      </c>
      <c r="F14" s="100">
        <v>1</v>
      </c>
      <c r="G14" s="100">
        <v>1</v>
      </c>
      <c r="H14" s="100">
        <v>1</v>
      </c>
      <c r="I14" s="100">
        <v>0</v>
      </c>
      <c r="J14" s="100">
        <v>0</v>
      </c>
      <c r="K14" s="100">
        <v>0</v>
      </c>
      <c r="L14" s="100">
        <v>1</v>
      </c>
      <c r="M14" s="100">
        <v>1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</row>
    <row r="15" spans="1:31" customFormat="1" x14ac:dyDescent="0.15">
      <c r="A15" s="178" t="s">
        <v>205</v>
      </c>
      <c r="B15" s="100">
        <v>1</v>
      </c>
      <c r="C15" s="100">
        <v>1</v>
      </c>
      <c r="D15" s="100">
        <v>1</v>
      </c>
      <c r="E15" s="100">
        <v>1</v>
      </c>
      <c r="F15" s="100">
        <v>1</v>
      </c>
      <c r="G15" s="100">
        <v>1</v>
      </c>
      <c r="H15" s="100">
        <v>1</v>
      </c>
      <c r="I15" s="100">
        <v>1</v>
      </c>
      <c r="J15" s="100">
        <v>1</v>
      </c>
      <c r="K15" s="100">
        <v>1</v>
      </c>
      <c r="L15" s="100">
        <v>1</v>
      </c>
      <c r="M15" s="100">
        <v>1</v>
      </c>
      <c r="N15" s="100">
        <v>0</v>
      </c>
      <c r="O15" s="100">
        <v>1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</row>
    <row r="16" spans="1:31" customFormat="1" x14ac:dyDescent="0.15">
      <c r="A16" s="178" t="s">
        <v>206</v>
      </c>
      <c r="B16" s="100">
        <v>1</v>
      </c>
      <c r="C16" s="100">
        <v>1</v>
      </c>
      <c r="D16" s="100">
        <v>1</v>
      </c>
      <c r="E16" s="100">
        <v>0</v>
      </c>
      <c r="F16" s="100">
        <v>1</v>
      </c>
      <c r="G16" s="100">
        <v>1</v>
      </c>
      <c r="H16" s="100">
        <v>1</v>
      </c>
      <c r="I16" s="100">
        <v>1</v>
      </c>
      <c r="J16" s="100">
        <v>0</v>
      </c>
      <c r="K16" s="100">
        <v>1</v>
      </c>
      <c r="L16" s="100">
        <v>1</v>
      </c>
      <c r="M16" s="100">
        <v>1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</row>
    <row r="17" spans="1:20" customFormat="1" x14ac:dyDescent="0.15">
      <c r="A17" s="178" t="s">
        <v>207</v>
      </c>
      <c r="B17" s="100">
        <v>1</v>
      </c>
      <c r="C17" s="100">
        <v>1</v>
      </c>
      <c r="D17" s="100">
        <v>1</v>
      </c>
      <c r="E17" s="100">
        <v>0</v>
      </c>
      <c r="F17" s="100">
        <v>1</v>
      </c>
      <c r="G17" s="100">
        <v>1</v>
      </c>
      <c r="H17" s="100">
        <v>1</v>
      </c>
      <c r="I17" s="100">
        <v>1</v>
      </c>
      <c r="J17" s="100">
        <v>1</v>
      </c>
      <c r="K17" s="100">
        <v>1</v>
      </c>
      <c r="L17" s="100">
        <v>1</v>
      </c>
      <c r="M17" s="100">
        <v>1</v>
      </c>
      <c r="N17" s="100">
        <v>1</v>
      </c>
      <c r="O17" s="100">
        <v>1</v>
      </c>
      <c r="P17" s="100">
        <v>1</v>
      </c>
      <c r="Q17" s="100">
        <v>1</v>
      </c>
      <c r="R17" s="100">
        <v>0</v>
      </c>
      <c r="S17" s="100">
        <v>0</v>
      </c>
      <c r="T17" s="100">
        <v>0</v>
      </c>
    </row>
    <row r="18" spans="1:20" customFormat="1" x14ac:dyDescent="0.15">
      <c r="A18" s="178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1</v>
      </c>
      <c r="P18" s="100">
        <v>0</v>
      </c>
      <c r="Q18" s="100">
        <v>1</v>
      </c>
      <c r="R18" s="100">
        <v>0</v>
      </c>
      <c r="S18" s="100">
        <v>0</v>
      </c>
      <c r="T18" s="100">
        <v>0</v>
      </c>
    </row>
    <row r="19" spans="1:20" customFormat="1" x14ac:dyDescent="0.15">
      <c r="A19" s="178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0</v>
      </c>
    </row>
    <row r="20" spans="1:20" customFormat="1" x14ac:dyDescent="0.15">
      <c r="A20" s="178" t="s">
        <v>210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</row>
    <row r="21" spans="1:20" customFormat="1" x14ac:dyDescent="0.15">
      <c r="A21" s="178" t="s">
        <v>219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81" t="s">
        <v>211</v>
      </c>
      <c r="D1" s="181" t="s">
        <v>212</v>
      </c>
      <c r="E1" s="181" t="s">
        <v>213</v>
      </c>
      <c r="F1" s="181" t="s">
        <v>214</v>
      </c>
      <c r="G1" s="181" t="s">
        <v>215</v>
      </c>
      <c r="H1" s="181" t="s">
        <v>216</v>
      </c>
      <c r="I1" s="181" t="s">
        <v>217</v>
      </c>
      <c r="J1" s="181" t="s">
        <v>218</v>
      </c>
    </row>
    <row r="2" spans="1:10" x14ac:dyDescent="0.15">
      <c r="A2">
        <v>1</v>
      </c>
      <c r="B2" s="180" t="s">
        <v>192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0" t="s">
        <v>193</v>
      </c>
      <c r="C3">
        <v>0</v>
      </c>
      <c r="D3">
        <v>0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0" t="s">
        <v>195</v>
      </c>
      <c r="C5">
        <v>0.8</v>
      </c>
      <c r="D5">
        <v>0.8</v>
      </c>
      <c r="E5">
        <v>0</v>
      </c>
      <c r="F5">
        <v>0</v>
      </c>
      <c r="G5">
        <v>0</v>
      </c>
      <c r="H5">
        <v>0.8</v>
      </c>
      <c r="I5">
        <v>0.8</v>
      </c>
      <c r="J5">
        <v>0.8</v>
      </c>
    </row>
    <row r="6" spans="1:10" x14ac:dyDescent="0.15">
      <c r="A6">
        <v>5</v>
      </c>
      <c r="B6" s="180" t="s">
        <v>196</v>
      </c>
      <c r="C6">
        <v>0.8</v>
      </c>
      <c r="D6">
        <v>0</v>
      </c>
      <c r="E6">
        <v>0</v>
      </c>
      <c r="F6">
        <v>0</v>
      </c>
      <c r="G6">
        <v>0.8</v>
      </c>
      <c r="H6">
        <v>0.8</v>
      </c>
      <c r="I6">
        <v>0</v>
      </c>
      <c r="J6">
        <v>0</v>
      </c>
    </row>
    <row r="7" spans="1:10" x14ac:dyDescent="0.15">
      <c r="A7">
        <v>6</v>
      </c>
      <c r="B7" s="180" t="s">
        <v>197</v>
      </c>
      <c r="C7">
        <v>0.8</v>
      </c>
      <c r="D7">
        <v>0.8</v>
      </c>
      <c r="E7">
        <v>0.8</v>
      </c>
      <c r="F7">
        <v>0</v>
      </c>
      <c r="G7">
        <v>0</v>
      </c>
      <c r="H7">
        <v>0</v>
      </c>
      <c r="I7">
        <v>0</v>
      </c>
      <c r="J7">
        <v>0.8</v>
      </c>
    </row>
    <row r="8" spans="1:10" x14ac:dyDescent="0.15">
      <c r="A8">
        <v>7</v>
      </c>
      <c r="B8" s="180" t="s">
        <v>198</v>
      </c>
      <c r="C8">
        <v>0</v>
      </c>
      <c r="D8">
        <v>0</v>
      </c>
      <c r="E8">
        <v>0</v>
      </c>
      <c r="F8">
        <v>0</v>
      </c>
      <c r="G8">
        <v>0.8</v>
      </c>
      <c r="H8">
        <v>0.8</v>
      </c>
      <c r="I8">
        <v>0</v>
      </c>
      <c r="J8">
        <v>0</v>
      </c>
    </row>
    <row r="9" spans="1:10" x14ac:dyDescent="0.15">
      <c r="A9">
        <v>8</v>
      </c>
      <c r="B9" s="180" t="s">
        <v>199</v>
      </c>
      <c r="C9">
        <v>0.8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0.8</v>
      </c>
    </row>
    <row r="10" spans="1:10" x14ac:dyDescent="0.15">
      <c r="A10">
        <v>9</v>
      </c>
      <c r="B10" s="180" t="s">
        <v>200</v>
      </c>
      <c r="C10">
        <v>0.8</v>
      </c>
      <c r="D10">
        <v>0.8</v>
      </c>
      <c r="E10">
        <v>0</v>
      </c>
      <c r="F10">
        <v>0</v>
      </c>
      <c r="G10">
        <v>0</v>
      </c>
      <c r="H10">
        <v>0</v>
      </c>
      <c r="I10">
        <v>0</v>
      </c>
      <c r="J10">
        <v>0.8</v>
      </c>
    </row>
    <row r="11" spans="1:10" x14ac:dyDescent="0.15">
      <c r="A11">
        <v>10</v>
      </c>
      <c r="B11" s="180" t="s">
        <v>201</v>
      </c>
      <c r="C11">
        <v>0</v>
      </c>
      <c r="D11">
        <v>0</v>
      </c>
      <c r="E11">
        <v>0.8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0" t="s">
        <v>202</v>
      </c>
      <c r="C12">
        <v>0</v>
      </c>
      <c r="D12">
        <v>0</v>
      </c>
      <c r="E12">
        <v>0.8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0" t="s">
        <v>203</v>
      </c>
      <c r="C13">
        <v>0</v>
      </c>
      <c r="D13">
        <v>0</v>
      </c>
      <c r="E13">
        <v>0.8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0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0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0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0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0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2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83" t="s">
        <v>211</v>
      </c>
      <c r="D1" s="183" t="s">
        <v>212</v>
      </c>
      <c r="E1" s="183" t="s">
        <v>213</v>
      </c>
      <c r="F1" s="183" t="s">
        <v>214</v>
      </c>
      <c r="G1" s="183" t="s">
        <v>215</v>
      </c>
      <c r="H1" s="183" t="s">
        <v>216</v>
      </c>
      <c r="I1" s="183" t="s">
        <v>217</v>
      </c>
      <c r="J1" s="183" t="s">
        <v>218</v>
      </c>
    </row>
    <row r="2" spans="1:10" x14ac:dyDescent="0.15">
      <c r="A2">
        <v>1</v>
      </c>
      <c r="B2" s="182" t="s">
        <v>192</v>
      </c>
      <c r="C2">
        <v>0</v>
      </c>
      <c r="D2">
        <v>0.8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82" t="s">
        <v>193</v>
      </c>
      <c r="C3">
        <v>0</v>
      </c>
      <c r="D3">
        <v>0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8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82" t="s">
        <v>195</v>
      </c>
      <c r="C5">
        <v>0.8</v>
      </c>
      <c r="D5">
        <v>0.8</v>
      </c>
      <c r="E5">
        <v>0</v>
      </c>
      <c r="F5">
        <v>0</v>
      </c>
      <c r="G5">
        <v>0</v>
      </c>
      <c r="H5">
        <v>0.8</v>
      </c>
      <c r="I5">
        <v>0.8</v>
      </c>
      <c r="J5">
        <v>0.8</v>
      </c>
    </row>
    <row r="6" spans="1:10" x14ac:dyDescent="0.15">
      <c r="A6">
        <v>5</v>
      </c>
      <c r="B6" s="182" t="s">
        <v>196</v>
      </c>
      <c r="C6">
        <v>0.8</v>
      </c>
      <c r="D6">
        <v>0</v>
      </c>
      <c r="E6">
        <v>0</v>
      </c>
      <c r="F6">
        <v>0</v>
      </c>
      <c r="G6">
        <v>0.8</v>
      </c>
      <c r="H6">
        <v>0.8</v>
      </c>
      <c r="I6">
        <v>0</v>
      </c>
      <c r="J6">
        <v>0</v>
      </c>
    </row>
    <row r="7" spans="1:10" x14ac:dyDescent="0.15">
      <c r="A7">
        <v>6</v>
      </c>
      <c r="B7" s="182" t="s">
        <v>197</v>
      </c>
      <c r="C7">
        <v>0.8</v>
      </c>
      <c r="D7">
        <v>0.8</v>
      </c>
      <c r="E7">
        <v>0.8</v>
      </c>
      <c r="F7">
        <v>0</v>
      </c>
      <c r="G7">
        <v>0</v>
      </c>
      <c r="H7">
        <v>0</v>
      </c>
      <c r="I7">
        <v>0</v>
      </c>
      <c r="J7">
        <v>0.8</v>
      </c>
    </row>
    <row r="8" spans="1:10" x14ac:dyDescent="0.15">
      <c r="A8">
        <v>7</v>
      </c>
      <c r="B8" s="182" t="s">
        <v>198</v>
      </c>
      <c r="C8">
        <v>0</v>
      </c>
      <c r="D8">
        <v>0</v>
      </c>
      <c r="E8">
        <v>0</v>
      </c>
      <c r="F8">
        <v>0</v>
      </c>
      <c r="G8">
        <v>0.8</v>
      </c>
      <c r="H8">
        <v>0.8</v>
      </c>
      <c r="I8">
        <v>0</v>
      </c>
      <c r="J8">
        <v>0</v>
      </c>
    </row>
    <row r="9" spans="1:10" x14ac:dyDescent="0.15">
      <c r="A9">
        <v>8</v>
      </c>
      <c r="B9" s="182" t="s">
        <v>199</v>
      </c>
      <c r="C9">
        <v>0.8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0.8</v>
      </c>
    </row>
    <row r="10" spans="1:10" x14ac:dyDescent="0.15">
      <c r="A10">
        <v>9</v>
      </c>
      <c r="B10" s="182" t="s">
        <v>200</v>
      </c>
      <c r="C10">
        <v>0.8</v>
      </c>
      <c r="D10">
        <v>0.8</v>
      </c>
      <c r="E10">
        <v>0</v>
      </c>
      <c r="F10">
        <v>0</v>
      </c>
      <c r="G10">
        <v>0</v>
      </c>
      <c r="H10">
        <v>0</v>
      </c>
      <c r="I10">
        <v>0</v>
      </c>
      <c r="J10">
        <v>0.8</v>
      </c>
    </row>
    <row r="11" spans="1:10" x14ac:dyDescent="0.15">
      <c r="A11">
        <v>10</v>
      </c>
      <c r="B11" s="182" t="s">
        <v>201</v>
      </c>
      <c r="C11">
        <v>0</v>
      </c>
      <c r="D11">
        <v>0</v>
      </c>
      <c r="E11">
        <v>0.8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82" t="s">
        <v>202</v>
      </c>
      <c r="C12">
        <v>0</v>
      </c>
      <c r="D12">
        <v>0</v>
      </c>
      <c r="E12">
        <v>0.8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82" t="s">
        <v>203</v>
      </c>
      <c r="C13">
        <v>0</v>
      </c>
      <c r="D13">
        <v>0</v>
      </c>
      <c r="E13">
        <v>0.8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15">
      <c r="A14">
        <v>13</v>
      </c>
      <c r="B14" s="182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82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82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82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82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91" bestFit="1" customWidth="1"/>
    <col min="8" max="8" width="9.33203125" style="75" bestFit="1" customWidth="1"/>
    <col min="9" max="9" width="11" style="75" customWidth="1"/>
    <col min="10" max="10" width="8.83203125" style="75"/>
    <col min="15" max="16384" width="8.83203125" style="7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8">
        <v>1</v>
      </c>
      <c r="B2" s="138" t="s">
        <v>192</v>
      </c>
      <c r="C2" s="8">
        <v>4.4615850448608398</v>
      </c>
      <c r="D2" s="9">
        <v>5.6972760707139969E-2</v>
      </c>
      <c r="E2" s="9">
        <v>0.31999999284744263</v>
      </c>
      <c r="F2" s="9">
        <v>7.809999942779541</v>
      </c>
      <c r="G2" s="9">
        <v>0.78752738237380981</v>
      </c>
      <c r="H2" s="9">
        <v>4.0973111987113953E-2</v>
      </c>
      <c r="I2">
        <v>1.2000000104308128E-2</v>
      </c>
      <c r="J2"/>
    </row>
    <row r="3" spans="1:10" ht="15" customHeight="1" x14ac:dyDescent="0.15">
      <c r="A3" s="139">
        <v>2</v>
      </c>
      <c r="B3" s="139" t="s">
        <v>193</v>
      </c>
      <c r="C3" s="8">
        <v>4.4026522636413574</v>
      </c>
      <c r="D3" s="9">
        <v>4.9477942287921906E-2</v>
      </c>
      <c r="E3" s="9">
        <v>0.57999998331069946</v>
      </c>
      <c r="F3" s="9">
        <v>9.1599998474121094</v>
      </c>
      <c r="G3" s="9">
        <v>0.77710127830505371</v>
      </c>
      <c r="H3" s="9">
        <v>6.3318774104118347E-2</v>
      </c>
      <c r="I3">
        <v>6.0000000521540642E-3</v>
      </c>
      <c r="J3"/>
    </row>
    <row r="4" spans="1:10" ht="15" customHeight="1" x14ac:dyDescent="0.15">
      <c r="A4" s="140">
        <v>3</v>
      </c>
      <c r="B4" s="140" t="s">
        <v>194</v>
      </c>
      <c r="C4" s="8">
        <v>4.4231491088867188</v>
      </c>
      <c r="D4" s="9">
        <v>0.11999999731779099</v>
      </c>
      <c r="E4" s="9">
        <v>6.4999997615814209E-2</v>
      </c>
      <c r="F4" s="9">
        <v>16.5</v>
      </c>
      <c r="G4" s="9">
        <v>0.94701087474822998</v>
      </c>
      <c r="H4" s="9">
        <v>3.9393939077854156E-3</v>
      </c>
      <c r="I4">
        <v>0</v>
      </c>
      <c r="J4"/>
    </row>
    <row r="5" spans="1:10" ht="15" customHeight="1" x14ac:dyDescent="0.15">
      <c r="A5" s="141">
        <v>4</v>
      </c>
      <c r="B5" s="141" t="s">
        <v>195</v>
      </c>
      <c r="C5" s="8">
        <v>4.8692526817321777</v>
      </c>
      <c r="D5" s="9">
        <v>0.14000000059604645</v>
      </c>
      <c r="E5" s="9">
        <v>0.60000002384185791</v>
      </c>
      <c r="F5" s="9">
        <v>8</v>
      </c>
      <c r="G5" s="9">
        <v>0.60788089036941528</v>
      </c>
      <c r="H5" s="9">
        <v>7.5000002980232239E-2</v>
      </c>
      <c r="I5">
        <v>4.1528686881065369E-2</v>
      </c>
      <c r="J5"/>
    </row>
    <row r="6" spans="1:10" ht="15" customHeight="1" x14ac:dyDescent="0.15">
      <c r="A6" s="142">
        <v>5</v>
      </c>
      <c r="B6" s="142" t="s">
        <v>196</v>
      </c>
      <c r="C6" s="8">
        <v>4.238440990447998</v>
      </c>
      <c r="D6" s="9">
        <v>7.0000000298023224E-2</v>
      </c>
      <c r="E6" s="9">
        <v>1.5379999876022339</v>
      </c>
      <c r="F6" s="9">
        <v>17.629999160766602</v>
      </c>
      <c r="G6" s="9">
        <v>0.77166086435317993</v>
      </c>
      <c r="H6" s="9">
        <v>8.7237663567066193E-2</v>
      </c>
      <c r="I6">
        <v>4.5099999755620956E-2</v>
      </c>
      <c r="J6"/>
    </row>
    <row r="7" spans="1:10" ht="15" customHeight="1" x14ac:dyDescent="0.15">
      <c r="A7" s="143">
        <v>6</v>
      </c>
      <c r="B7" s="143" t="s">
        <v>197</v>
      </c>
      <c r="C7" s="8">
        <v>4.2645926475524902</v>
      </c>
      <c r="D7" s="9">
        <v>0.17645585536956787</v>
      </c>
      <c r="E7" s="9">
        <v>3.0015888214111328</v>
      </c>
      <c r="F7" s="9">
        <v>20.394176483154297</v>
      </c>
      <c r="G7" s="9">
        <v>0.450234055519104</v>
      </c>
      <c r="H7" s="9">
        <v>0.14717872440814972</v>
      </c>
      <c r="I7">
        <v>2.3955828510224819E-3</v>
      </c>
      <c r="J7"/>
    </row>
    <row r="8" spans="1:10" ht="15" customHeight="1" x14ac:dyDescent="0.15">
      <c r="A8" s="144">
        <v>7</v>
      </c>
      <c r="B8" s="144" t="s">
        <v>198</v>
      </c>
      <c r="C8" s="8">
        <v>4.2111101150512695</v>
      </c>
      <c r="D8" s="9">
        <v>0.34700000286102295</v>
      </c>
      <c r="E8" s="9">
        <v>1.900627613067627</v>
      </c>
      <c r="F8" s="9">
        <v>20.521162033081055</v>
      </c>
      <c r="G8" s="9">
        <v>0.63190245628356934</v>
      </c>
      <c r="H8" s="9">
        <v>9.2617936432361603E-2</v>
      </c>
      <c r="I8">
        <v>3.8000000640749931E-3</v>
      </c>
      <c r="J8"/>
    </row>
    <row r="9" spans="1:10" ht="15" customHeight="1" x14ac:dyDescent="0.15">
      <c r="A9" s="145">
        <v>8</v>
      </c>
      <c r="B9" s="145" t="s">
        <v>199</v>
      </c>
      <c r="C9" s="8">
        <v>4.4196043014526367</v>
      </c>
      <c r="D9" s="9">
        <v>7.9564489424228668E-2</v>
      </c>
      <c r="E9" s="9">
        <v>0.68000000715255737</v>
      </c>
      <c r="F9" s="9">
        <v>7</v>
      </c>
      <c r="G9" s="9">
        <v>0.77990466356277466</v>
      </c>
      <c r="H9" s="9">
        <v>9.7142860293388367E-2</v>
      </c>
      <c r="I9">
        <v>2.5405796244740486E-2</v>
      </c>
      <c r="J9"/>
    </row>
    <row r="10" spans="1:10" ht="15" customHeight="1" x14ac:dyDescent="0.15">
      <c r="A10" s="146">
        <v>9</v>
      </c>
      <c r="B10" s="146" t="s">
        <v>200</v>
      </c>
      <c r="C10" s="8">
        <v>4.422614574432373</v>
      </c>
      <c r="D10" s="9">
        <v>5.9999998658895493E-2</v>
      </c>
      <c r="E10" s="9">
        <v>0.49449074268341064</v>
      </c>
      <c r="F10" s="9">
        <v>5</v>
      </c>
      <c r="G10" s="9">
        <v>0.4781627357006073</v>
      </c>
      <c r="H10" s="9">
        <v>9.8898150026798248E-2</v>
      </c>
      <c r="I10">
        <v>1.0741900186985731E-3</v>
      </c>
      <c r="J10"/>
    </row>
    <row r="11" spans="1:10" ht="15" customHeight="1" x14ac:dyDescent="0.15">
      <c r="A11" s="147">
        <v>10</v>
      </c>
      <c r="B11" s="147" t="s">
        <v>201</v>
      </c>
      <c r="C11" s="8">
        <v>3.8028998374938965</v>
      </c>
      <c r="D11" s="9">
        <v>2.6753010749816895</v>
      </c>
      <c r="E11" s="9">
        <v>1.9971548318862915</v>
      </c>
      <c r="F11" s="9">
        <v>10</v>
      </c>
      <c r="G11" s="9">
        <v>0.43784824013710022</v>
      </c>
      <c r="H11" s="9">
        <v>0.19971548020839691</v>
      </c>
      <c r="I11">
        <v>4.999999888241291E-3</v>
      </c>
      <c r="J11"/>
    </row>
    <row r="12" spans="1:10" ht="15" customHeight="1" x14ac:dyDescent="0.15">
      <c r="A12" s="148">
        <v>11</v>
      </c>
      <c r="B12" s="148" t="s">
        <v>202</v>
      </c>
      <c r="C12" s="8">
        <v>4.0456504821777344</v>
      </c>
      <c r="D12" s="9">
        <v>0.23000000417232513</v>
      </c>
      <c r="E12" s="9">
        <v>2.4000000953674316</v>
      </c>
      <c r="F12" s="9">
        <v>7.6999998092651367</v>
      </c>
      <c r="G12" s="9">
        <v>0.9102051854133606</v>
      </c>
      <c r="H12" s="9">
        <v>0.31168833374977112</v>
      </c>
      <c r="I12">
        <v>1.500000013038516E-3</v>
      </c>
      <c r="J12"/>
    </row>
    <row r="13" spans="1:10" ht="15" customHeight="1" x14ac:dyDescent="0.15">
      <c r="A13" s="149">
        <v>12</v>
      </c>
      <c r="B13" s="149" t="s">
        <v>203</v>
      </c>
      <c r="C13" s="8">
        <v>3.6894991397857666</v>
      </c>
      <c r="D13" s="9">
        <v>7.3931207656860352</v>
      </c>
      <c r="E13" s="9">
        <v>3.1599576473236084</v>
      </c>
      <c r="F13" s="9">
        <v>19.264999389648438</v>
      </c>
      <c r="G13" s="9">
        <v>0.91042393445968628</v>
      </c>
      <c r="H13" s="9">
        <v>0.16402584314346313</v>
      </c>
      <c r="I13">
        <v>0.10766779631376266</v>
      </c>
      <c r="J13"/>
    </row>
    <row r="14" spans="1:10" ht="15" customHeight="1" x14ac:dyDescent="0.15">
      <c r="A14" s="150">
        <v>13</v>
      </c>
      <c r="B14" s="150" t="s">
        <v>204</v>
      </c>
      <c r="C14" s="8">
        <v>3.25</v>
      </c>
      <c r="D14" s="9">
        <v>1.3999999761581421</v>
      </c>
      <c r="E14" s="9">
        <v>2.6072735786437988</v>
      </c>
      <c r="F14" s="9">
        <v>19.679494857788086</v>
      </c>
      <c r="G14" s="9">
        <v>0.80472183227539062</v>
      </c>
      <c r="H14" s="9">
        <v>0.13248682022094727</v>
      </c>
      <c r="I14">
        <v>0</v>
      </c>
      <c r="J14"/>
    </row>
    <row r="15" spans="1:10" ht="15" customHeight="1" x14ac:dyDescent="0.15">
      <c r="A15" s="151">
        <v>14</v>
      </c>
      <c r="B15" s="151" t="s">
        <v>205</v>
      </c>
      <c r="C15" s="8">
        <v>3.0749998092651367</v>
      </c>
      <c r="D15" s="9">
        <v>15.985615730285645</v>
      </c>
      <c r="E15" s="9">
        <v>3.309622049331665</v>
      </c>
      <c r="F15" s="9">
        <v>10.555999755859375</v>
      </c>
      <c r="G15" s="9">
        <v>0.83457428216934204</v>
      </c>
      <c r="H15" s="9">
        <v>0.31352993845939636</v>
      </c>
      <c r="I15">
        <v>0.30000001192092896</v>
      </c>
      <c r="J15"/>
    </row>
    <row r="16" spans="1:10" ht="15" customHeight="1" x14ac:dyDescent="0.15">
      <c r="A16" s="152">
        <v>15</v>
      </c>
      <c r="B16" s="152" t="s">
        <v>206</v>
      </c>
      <c r="C16" s="8">
        <v>3.25</v>
      </c>
      <c r="D16" s="9">
        <v>13.429391860961914</v>
      </c>
      <c r="E16" s="9">
        <v>1.9926528930664062</v>
      </c>
      <c r="F16" s="9">
        <v>9.2730064392089844</v>
      </c>
      <c r="G16" s="9">
        <v>0.95641416311264038</v>
      </c>
      <c r="H16" s="9">
        <v>0.21488747000694275</v>
      </c>
      <c r="I16">
        <v>0</v>
      </c>
      <c r="J16"/>
    </row>
    <row r="17" spans="1:10" ht="15" customHeight="1" x14ac:dyDescent="0.15">
      <c r="A17" s="153">
        <v>16</v>
      </c>
      <c r="B17" s="153" t="s">
        <v>207</v>
      </c>
      <c r="C17" s="8">
        <v>2.25</v>
      </c>
      <c r="D17" s="9">
        <v>26.367496490478516</v>
      </c>
      <c r="E17" s="9">
        <v>34.003688812255859</v>
      </c>
      <c r="F17" s="9">
        <v>97</v>
      </c>
      <c r="G17" s="9">
        <v>0.99907773733139038</v>
      </c>
      <c r="H17" s="9">
        <v>0.3505534827709198</v>
      </c>
      <c r="I17">
        <v>0</v>
      </c>
      <c r="J17"/>
    </row>
    <row r="18" spans="1:10" ht="15" customHeight="1" x14ac:dyDescent="0.15">
      <c r="A18" s="154">
        <v>17</v>
      </c>
      <c r="B18" s="154" t="s">
        <v>208</v>
      </c>
      <c r="C18" s="8">
        <v>1</v>
      </c>
      <c r="D18" s="9">
        <v>31.616128921508789</v>
      </c>
      <c r="E18" s="9">
        <v>131.99998474121094</v>
      </c>
      <c r="F18" s="10"/>
      <c r="G18" s="9">
        <v>0.49680596590042114</v>
      </c>
      <c r="H18" s="10"/>
      <c r="I18">
        <v>0</v>
      </c>
      <c r="J18"/>
    </row>
    <row r="19" spans="1:10" ht="15" customHeight="1" x14ac:dyDescent="0.15">
      <c r="A19" s="155">
        <v>18</v>
      </c>
      <c r="B19" s="155" t="s">
        <v>209</v>
      </c>
      <c r="C19" s="8">
        <v>1</v>
      </c>
      <c r="D19" s="9">
        <v>1</v>
      </c>
      <c r="E19" s="10"/>
      <c r="F19" s="10"/>
      <c r="G19" s="7">
        <v>0</v>
      </c>
      <c r="H19" s="10"/>
      <c r="I19">
        <v>0</v>
      </c>
      <c r="J19"/>
    </row>
    <row r="20" spans="1:10" ht="15" customHeight="1" x14ac:dyDescent="0.15">
      <c r="A20" s="156">
        <v>19</v>
      </c>
      <c r="B20" s="156" t="s">
        <v>210</v>
      </c>
      <c r="C20" s="8">
        <v>1</v>
      </c>
      <c r="D20" s="9">
        <v>5</v>
      </c>
      <c r="E20" s="10"/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157">
        <v>20</v>
      </c>
      <c r="B21" s="157" t="s">
        <v>211</v>
      </c>
      <c r="C21" s="8">
        <v>5.6835355758666992</v>
      </c>
      <c r="D21" s="10"/>
      <c r="E21" s="10"/>
      <c r="F21" s="10"/>
      <c r="G21" s="10"/>
      <c r="H21" s="10"/>
      <c r="I21">
        <v>3.0840751715004444E-3</v>
      </c>
      <c r="J21"/>
    </row>
    <row r="22" spans="1:10" ht="15" customHeight="1" x14ac:dyDescent="0.15">
      <c r="A22" s="158">
        <v>21</v>
      </c>
      <c r="B22" s="158" t="s">
        <v>212</v>
      </c>
      <c r="C22" s="8">
        <v>5.4437441825866699</v>
      </c>
      <c r="D22" s="10"/>
      <c r="E22" s="10"/>
      <c r="F22" s="10"/>
      <c r="G22" s="10"/>
      <c r="H22" s="10"/>
      <c r="I22">
        <v>2.6750190183520317E-2</v>
      </c>
      <c r="J22"/>
    </row>
    <row r="23" spans="1:10" ht="15" customHeight="1" x14ac:dyDescent="0.15">
      <c r="A23" s="159">
        <v>22</v>
      </c>
      <c r="B23" s="159" t="s">
        <v>213</v>
      </c>
      <c r="C23" s="8">
        <v>4.7362141609191895</v>
      </c>
      <c r="D23" s="10"/>
      <c r="E23" s="10"/>
      <c r="F23" s="10"/>
      <c r="G23" s="10"/>
      <c r="H23" s="10"/>
      <c r="I23">
        <v>0.12060979753732681</v>
      </c>
      <c r="J23"/>
    </row>
    <row r="24" spans="1:10" ht="15" customHeight="1" x14ac:dyDescent="0.15">
      <c r="A24" s="160">
        <v>23</v>
      </c>
      <c r="B24" s="160" t="s">
        <v>214</v>
      </c>
      <c r="C24" s="8">
        <v>4.0749998092651367</v>
      </c>
      <c r="D24" s="10"/>
      <c r="E24" s="10"/>
      <c r="F24" s="10"/>
      <c r="G24" s="10"/>
      <c r="H24" s="10"/>
      <c r="I24">
        <v>0.30000001192092896</v>
      </c>
      <c r="J24"/>
    </row>
    <row r="25" spans="1:10" ht="15" customHeight="1" x14ac:dyDescent="0.15">
      <c r="A25" s="161">
        <v>24</v>
      </c>
      <c r="B25" s="161" t="s">
        <v>215</v>
      </c>
      <c r="C25" s="8">
        <v>5.2361841201782227</v>
      </c>
      <c r="D25" s="10"/>
      <c r="E25" s="10"/>
      <c r="F25" s="10"/>
      <c r="G25" s="10"/>
      <c r="H25" s="10"/>
      <c r="I25">
        <v>2.1800000220537186E-2</v>
      </c>
      <c r="J25"/>
    </row>
    <row r="26" spans="1:10" ht="15" customHeight="1" x14ac:dyDescent="0.15">
      <c r="A26" s="162">
        <v>25</v>
      </c>
      <c r="B26" s="162" t="s">
        <v>216</v>
      </c>
      <c r="C26" s="8">
        <v>5.5504140853881836</v>
      </c>
      <c r="D26" s="10"/>
      <c r="E26" s="10"/>
      <c r="F26" s="10"/>
      <c r="G26" s="10"/>
      <c r="H26" s="10"/>
      <c r="I26">
        <v>6.9779999554157257E-2</v>
      </c>
      <c r="J26"/>
    </row>
    <row r="27" spans="1:10" ht="15" customHeight="1" x14ac:dyDescent="0.15">
      <c r="A27" s="163">
        <v>26</v>
      </c>
      <c r="B27" s="163" t="s">
        <v>217</v>
      </c>
      <c r="C27" s="8">
        <v>5.8692526817321777</v>
      </c>
      <c r="D27" s="10"/>
      <c r="E27" s="10"/>
      <c r="F27" s="10"/>
      <c r="G27" s="10"/>
      <c r="H27" s="10"/>
      <c r="I27">
        <v>1.3200000394135714E-3</v>
      </c>
      <c r="J27"/>
    </row>
    <row r="28" spans="1:10" ht="15" customHeight="1" x14ac:dyDescent="0.15">
      <c r="A28" s="164">
        <v>27</v>
      </c>
      <c r="B28" s="164" t="s">
        <v>218</v>
      </c>
      <c r="C28" s="8">
        <v>5.7557373046875</v>
      </c>
      <c r="D28" s="10"/>
      <c r="E28" s="10"/>
      <c r="F28" s="10"/>
      <c r="G28" s="10"/>
      <c r="H28" s="10"/>
      <c r="I28">
        <v>8.127986453473568E-3</v>
      </c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t="s">
        <v>203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0.31999999284744263</v>
      </c>
      <c r="C2">
        <v>6.7991234362125397E-2</v>
      </c>
      <c r="D2"/>
      <c r="E2" s="193">
        <v>0.21062697470188141</v>
      </c>
      <c r="F2"/>
      <c r="G2"/>
      <c r="H2"/>
      <c r="I2"/>
      <c r="J2"/>
      <c r="K2"/>
      <c r="L2" s="130">
        <v>4.138178750872612E-2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0.57999998331069946</v>
      </c>
      <c r="C3">
        <v>0.12928125262260437</v>
      </c>
      <c r="D3"/>
      <c r="E3"/>
      <c r="F3" s="194">
        <v>0.12126615643501282</v>
      </c>
      <c r="G3"/>
      <c r="H3"/>
      <c r="I3"/>
      <c r="J3"/>
      <c r="K3"/>
      <c r="L3" s="207">
        <v>0.19060087203979492</v>
      </c>
      <c r="M3" s="64">
        <v>5.3992033004760742E-2</v>
      </c>
      <c r="N3"/>
      <c r="O3" s="202">
        <v>8.4859661757946014E-2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6.4999997615814209E-2</v>
      </c>
      <c r="C4">
        <v>3.4442930482327938E-3</v>
      </c>
      <c r="D4"/>
      <c r="E4"/>
      <c r="F4"/>
      <c r="G4"/>
      <c r="H4"/>
      <c r="I4"/>
      <c r="J4"/>
      <c r="K4"/>
      <c r="L4" s="203">
        <v>3.9293911308050156E-2</v>
      </c>
      <c r="M4" s="199">
        <v>2.2261790931224823E-2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0.23527146875858307</v>
      </c>
      <c r="D5" s="192">
        <v>1.428571529686451E-2</v>
      </c>
      <c r="E5" s="22">
        <v>3.4285713918507099E-3</v>
      </c>
      <c r="F5"/>
      <c r="G5"/>
      <c r="H5"/>
      <c r="I5" s="196">
        <v>0.22357143461704254</v>
      </c>
      <c r="J5" s="15">
        <v>9.4285719096660614E-3</v>
      </c>
      <c r="K5" s="26">
        <v>4.5919172465801239E-2</v>
      </c>
      <c r="L5" s="23">
        <v>1.6840247437357903E-2</v>
      </c>
      <c r="M5" s="14">
        <v>5.7244612835347652E-3</v>
      </c>
      <c r="N5"/>
      <c r="O5" s="205">
        <v>4.1536957025527954E-2</v>
      </c>
      <c r="P5"/>
      <c r="Q5"/>
      <c r="R5"/>
      <c r="S5" s="22">
        <v>3.9934120140969753E-3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1.5379999876022339</v>
      </c>
      <c r="C6">
        <v>0.35118559002876282</v>
      </c>
      <c r="D6" s="11">
        <v>1.4285714132711291E-3</v>
      </c>
      <c r="E6"/>
      <c r="F6"/>
      <c r="G6"/>
      <c r="H6" s="195">
        <v>0.28571426868438721</v>
      </c>
      <c r="I6" s="197">
        <v>0.3571428656578064</v>
      </c>
      <c r="J6"/>
      <c r="K6"/>
      <c r="L6" s="22">
        <v>7.7584777027368546E-3</v>
      </c>
      <c r="M6" s="21">
        <v>1.3534377329051495E-2</v>
      </c>
      <c r="N6"/>
      <c r="O6" s="194">
        <v>0.32182249426841736</v>
      </c>
      <c r="P6" s="192">
        <v>3.7200581282377243E-2</v>
      </c>
      <c r="Q6" s="99">
        <v>0.10292243957519531</v>
      </c>
      <c r="R6"/>
      <c r="S6"/>
      <c r="T6" s="22">
        <v>8.5886428132653236E-3</v>
      </c>
      <c r="U6"/>
      <c r="V6" s="201">
        <v>5.0701618194580078E-2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3.0015888214111328</v>
      </c>
      <c r="C7">
        <v>1.6501712799072266</v>
      </c>
      <c r="D7" s="11">
        <v>2.5053007993847132E-3</v>
      </c>
      <c r="E7" s="11">
        <v>2.7202269993722439E-3</v>
      </c>
      <c r="F7" s="11">
        <v>2.5048756506294012E-3</v>
      </c>
      <c r="G7"/>
      <c r="H7"/>
      <c r="I7"/>
      <c r="J7"/>
      <c r="K7" s="13">
        <v>5.8456999249756336E-3</v>
      </c>
      <c r="L7" s="63">
        <v>6.6805228590965271E-2</v>
      </c>
      <c r="M7" s="14">
        <v>3.0278561636805534E-2</v>
      </c>
      <c r="N7" s="136">
        <v>8.7353356182575226E-2</v>
      </c>
      <c r="O7" s="210">
        <v>0.59010404348373413</v>
      </c>
      <c r="P7" s="200">
        <v>0.14735142886638641</v>
      </c>
      <c r="Q7" s="209">
        <v>0.3469758927822113</v>
      </c>
      <c r="R7"/>
      <c r="S7"/>
      <c r="T7" s="192">
        <v>6.8972952663898468E-2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1.900627613067627</v>
      </c>
      <c r="C8">
        <v>0.69961637258529663</v>
      </c>
      <c r="D8"/>
      <c r="E8"/>
      <c r="F8"/>
      <c r="G8"/>
      <c r="H8" s="13">
        <v>5.1873195916414261E-3</v>
      </c>
      <c r="I8" s="12">
        <v>5.7636890560388565E-3</v>
      </c>
      <c r="J8"/>
      <c r="K8"/>
      <c r="L8" s="200">
        <v>9.444127231836319E-2</v>
      </c>
      <c r="M8" s="65">
        <v>9.7772262990474701E-2</v>
      </c>
      <c r="N8" s="13">
        <v>4.0382528677582741E-3</v>
      </c>
      <c r="O8" s="214">
        <v>0.72599685192108154</v>
      </c>
      <c r="P8" s="67">
        <v>0.13249613344669342</v>
      </c>
      <c r="Q8"/>
      <c r="R8" s="21">
        <v>1.461621280759573E-2</v>
      </c>
      <c r="S8" s="21">
        <v>1.547718420624733E-2</v>
      </c>
      <c r="T8" s="62">
        <v>0.10522203892469406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0.68000000715255737</v>
      </c>
      <c r="C9">
        <v>0.14966483414173126</v>
      </c>
      <c r="D9" s="13">
        <v>1.2568420497700572E-3</v>
      </c>
      <c r="E9" s="137">
        <v>0.17093053460121155</v>
      </c>
      <c r="F9"/>
      <c r="G9"/>
      <c r="H9"/>
      <c r="I9" s="198">
        <v>0.14428547024726868</v>
      </c>
      <c r="J9"/>
      <c r="K9" s="12">
        <v>2.837886568158865E-3</v>
      </c>
      <c r="L9" s="16">
        <v>8.8895242661237717E-3</v>
      </c>
      <c r="M9" s="15">
        <v>1.007264107465744E-2</v>
      </c>
      <c r="N9"/>
      <c r="O9" s="208">
        <v>0.15831238031387329</v>
      </c>
      <c r="P9"/>
      <c r="Q9"/>
      <c r="R9"/>
      <c r="S9" s="200">
        <v>3.374987468123436E-2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0.49449074268341064</v>
      </c>
      <c r="C10">
        <v>0.25804370641708374</v>
      </c>
      <c r="D10" s="15">
        <v>7.3666665703058243E-3</v>
      </c>
      <c r="E10" s="22">
        <v>3.1698334496468306E-3</v>
      </c>
      <c r="F10"/>
      <c r="G10"/>
      <c r="H10"/>
      <c r="I10"/>
      <c r="J10"/>
      <c r="K10" s="15">
        <v>7.3666665703058243E-3</v>
      </c>
      <c r="L10" s="204">
        <v>7.8587822616100311E-2</v>
      </c>
      <c r="M10"/>
      <c r="N10"/>
      <c r="O10" s="206">
        <v>0.13995605707168579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1.9971548318862915</v>
      </c>
      <c r="C11">
        <v>1.1227041482925415</v>
      </c>
      <c r="D11"/>
      <c r="E11"/>
      <c r="F11" s="11">
        <v>1.8689484568312764E-3</v>
      </c>
      <c r="G11"/>
      <c r="H11"/>
      <c r="I11"/>
      <c r="J11"/>
      <c r="K11"/>
      <c r="L11" s="22">
        <v>1.3218894600868225E-2</v>
      </c>
      <c r="M11" s="21">
        <v>1.3979664072394371E-2</v>
      </c>
      <c r="N11"/>
      <c r="O11" s="20">
        <v>4.0805019438266754E-2</v>
      </c>
      <c r="P11" s="192">
        <v>4.8119157552719116E-2</v>
      </c>
      <c r="Q11" s="215">
        <v>0.16952310502529144</v>
      </c>
      <c r="R11" s="218">
        <v>0.56873887777328491</v>
      </c>
      <c r="S11"/>
      <c r="T11" s="14">
        <v>1.8197102472186089E-2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2.4000000953674316</v>
      </c>
      <c r="C12">
        <v>0.21550756692886353</v>
      </c>
      <c r="D12"/>
      <c r="E12"/>
      <c r="F12" s="13">
        <v>6.5217390656471252E-3</v>
      </c>
      <c r="G12"/>
      <c r="H12"/>
      <c r="I12"/>
      <c r="J12"/>
      <c r="K12"/>
      <c r="L12" s="18">
        <v>4.1002340614795685E-2</v>
      </c>
      <c r="M12" s="18">
        <v>4.1813451796770096E-2</v>
      </c>
      <c r="N12" s="25">
        <v>6.0924947261810303E-2</v>
      </c>
      <c r="O12" s="211">
        <v>0.54765415191650391</v>
      </c>
      <c r="P12" s="23">
        <v>6.7964754998683929E-2</v>
      </c>
      <c r="Q12" s="213">
        <v>0.7295842170715332</v>
      </c>
      <c r="R12"/>
      <c r="S12" s="212">
        <v>0.58375895023345947</v>
      </c>
      <c r="T12"/>
      <c r="U12"/>
      <c r="V12" s="19">
        <v>0.10526805371046066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3.1599576473236084</v>
      </c>
      <c r="C13">
        <v>0.2830565869808197</v>
      </c>
      <c r="D13"/>
      <c r="E13"/>
      <c r="F13" s="12">
        <v>1.4563240110874176E-2</v>
      </c>
      <c r="G13"/>
      <c r="H13"/>
      <c r="I13"/>
      <c r="J13"/>
      <c r="K13"/>
      <c r="L13" s="22">
        <v>1.7539266496896744E-2</v>
      </c>
      <c r="M13" s="21">
        <v>2.5293655693531036E-2</v>
      </c>
      <c r="N13" s="27">
        <v>0.11315390467643738</v>
      </c>
      <c r="O13" s="16">
        <v>4.5433394610881805E-2</v>
      </c>
      <c r="P13" s="21">
        <v>2.2387592121958733E-2</v>
      </c>
      <c r="Q13" s="15">
        <v>5.0363622605800629E-2</v>
      </c>
      <c r="R13" s="99">
        <v>0.2078639417886734</v>
      </c>
      <c r="S13" s="13">
        <v>7.4095828458666801E-3</v>
      </c>
      <c r="T13" s="12">
        <v>1.1523520573973656E-2</v>
      </c>
      <c r="U13" s="220">
        <v>0.72372716665267944</v>
      </c>
      <c r="V13" s="22">
        <v>1.9649337977170944E-2</v>
      </c>
      <c r="W13" s="131">
        <v>1.617992639541626</v>
      </c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2.6072735786437988</v>
      </c>
      <c r="C14">
        <v>0.50914359092712402</v>
      </c>
      <c r="D14"/>
      <c r="E14"/>
      <c r="F14"/>
      <c r="G14"/>
      <c r="H14"/>
      <c r="I14"/>
      <c r="J14"/>
      <c r="K14"/>
      <c r="L14" s="11">
        <v>1.852427376434207E-3</v>
      </c>
      <c r="M14" s="11">
        <v>1.9081534119322896E-3</v>
      </c>
      <c r="N14" s="23">
        <v>7.0063695311546326E-2</v>
      </c>
      <c r="O14" s="13">
        <v>3.5988700110465288E-3</v>
      </c>
      <c r="P14" s="25">
        <v>6.5680228173732758E-2</v>
      </c>
      <c r="Q14" s="216">
        <v>0.79788064956665039</v>
      </c>
      <c r="R14" s="18">
        <v>4.3472789227962494E-2</v>
      </c>
      <c r="S14"/>
      <c r="T14"/>
      <c r="U14"/>
      <c r="V14" s="201">
        <v>8.647020161151886E-2</v>
      </c>
      <c r="W14" s="217">
        <v>1.027202844619751</v>
      </c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3.309622049331665</v>
      </c>
      <c r="C15">
        <v>0.54749661684036255</v>
      </c>
      <c r="D15"/>
      <c r="E15"/>
      <c r="F15"/>
      <c r="G15" s="22">
        <v>1.8766872584819794E-2</v>
      </c>
      <c r="H15"/>
      <c r="I15"/>
      <c r="J15"/>
      <c r="K15"/>
      <c r="L15" s="13">
        <v>5.7814032770693302E-3</v>
      </c>
      <c r="M15" s="11">
        <v>3.0748913995921612E-3</v>
      </c>
      <c r="N15" s="12">
        <v>1.5427881851792336E-2</v>
      </c>
      <c r="O15" s="13">
        <v>8.404918946325779E-3</v>
      </c>
      <c r="P15" s="22">
        <v>2.139815129339695E-2</v>
      </c>
      <c r="Q15" s="17">
        <v>3.9719175547361374E-2</v>
      </c>
      <c r="R15" s="136">
        <v>9.8989591002464294E-2</v>
      </c>
      <c r="S15" s="13">
        <v>6.7192688584327698E-3</v>
      </c>
      <c r="T15" s="13">
        <v>4.2635719291865826E-3</v>
      </c>
      <c r="U15" s="219">
        <v>0.33471354842185974</v>
      </c>
      <c r="V15" s="20">
        <v>6.5127380192279816E-2</v>
      </c>
      <c r="W15" s="132">
        <v>1.7992227077484131</v>
      </c>
      <c r="X15"/>
      <c r="Y15" s="219">
        <v>0.34051612019538879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1.9926528930664062</v>
      </c>
      <c r="C16">
        <v>8.6851440370082855E-2</v>
      </c>
      <c r="D16"/>
      <c r="E16"/>
      <c r="F16"/>
      <c r="G16"/>
      <c r="H16"/>
      <c r="I16"/>
      <c r="J16"/>
      <c r="K16"/>
      <c r="L16" s="13">
        <v>4.3889456428587437E-3</v>
      </c>
      <c r="M16" s="13">
        <v>2.9838455375283957E-3</v>
      </c>
      <c r="N16" s="23">
        <v>5.6450001895427704E-2</v>
      </c>
      <c r="O16"/>
      <c r="P16" s="21">
        <v>1.7254676669836044E-2</v>
      </c>
      <c r="Q16" s="17">
        <v>2.4652902036905289E-2</v>
      </c>
      <c r="R16" s="201">
        <v>6.6469229757785797E-2</v>
      </c>
      <c r="S16" s="21">
        <v>1.6756337136030197E-2</v>
      </c>
      <c r="T16"/>
      <c r="U16" s="133">
        <v>0.19921237230300903</v>
      </c>
      <c r="V16" s="22">
        <v>1.2620198540389538E-2</v>
      </c>
      <c r="W16" s="221">
        <v>1.5050129890441895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34.003688812255859</v>
      </c>
      <c r="C17">
        <v>3.1360331922769547E-2</v>
      </c>
      <c r="D17"/>
      <c r="E17"/>
      <c r="F17"/>
      <c r="G17"/>
      <c r="H17"/>
      <c r="I17"/>
      <c r="J17"/>
      <c r="K17"/>
      <c r="L17" s="11">
        <v>1.7882885877043009E-3</v>
      </c>
      <c r="M17" s="11">
        <v>3.039441304281354E-3</v>
      </c>
      <c r="N17" s="11">
        <v>3.7200789665803313E-4</v>
      </c>
      <c r="O17"/>
      <c r="P17" s="11">
        <v>6.9746719673275948E-3</v>
      </c>
      <c r="Q17" s="11">
        <v>1.72001663595438E-2</v>
      </c>
      <c r="R17" s="13">
        <v>5.7705428451299667E-2</v>
      </c>
      <c r="S17" s="11">
        <v>1.0184096172451973E-3</v>
      </c>
      <c r="T17" s="11">
        <v>1.8463158048689365E-3</v>
      </c>
      <c r="U17" s="15">
        <v>0.50731039047241211</v>
      </c>
      <c r="V17" s="11">
        <v>1.0100627318024635E-2</v>
      </c>
      <c r="W17" s="222">
        <v>3.036135196685791</v>
      </c>
      <c r="X17" s="24">
        <v>1.0448960065841675</v>
      </c>
      <c r="Y17" s="224">
        <v>5.1610512733459473</v>
      </c>
      <c r="Z17" s="223">
        <v>4.7228918075561523</v>
      </c>
      <c r="AA17" s="225">
        <v>19.400001525878906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131.99998474121094</v>
      </c>
      <c r="C18">
        <v>66.421607971191406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22">
        <v>0.8608517050743103</v>
      </c>
      <c r="Z18"/>
      <c r="AA18" s="226">
        <v>64.717529296875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/>
      <c r="C19">
        <v>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21" sqref="D2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4" t="s">
        <v>192</v>
      </c>
      <c r="E5">
        <v>4</v>
      </c>
      <c r="F5">
        <v>3.12</v>
      </c>
      <c r="G5">
        <v>4</v>
      </c>
      <c r="H5" s="185" t="s">
        <v>192</v>
      </c>
      <c r="J5" s="55"/>
      <c r="K5" s="56"/>
    </row>
    <row r="6" spans="1:12" ht="14" thickBot="1" x14ac:dyDescent="0.2">
      <c r="A6" s="39" t="s">
        <v>121</v>
      </c>
      <c r="D6" s="184" t="s">
        <v>193</v>
      </c>
      <c r="E6">
        <v>5</v>
      </c>
      <c r="F6">
        <v>3.12</v>
      </c>
      <c r="G6">
        <v>5</v>
      </c>
      <c r="H6" s="185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4" t="s">
        <v>194</v>
      </c>
      <c r="E7">
        <v>6</v>
      </c>
      <c r="F7">
        <v>3.13</v>
      </c>
      <c r="G7">
        <v>6</v>
      </c>
      <c r="H7" s="185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4" t="s">
        <v>195</v>
      </c>
      <c r="E8">
        <v>7</v>
      </c>
      <c r="F8">
        <v>3.12</v>
      </c>
      <c r="G8">
        <v>7</v>
      </c>
      <c r="H8" s="185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4" t="s">
        <v>196</v>
      </c>
      <c r="E9">
        <v>8</v>
      </c>
      <c r="F9">
        <v>3.12</v>
      </c>
      <c r="G9">
        <v>8</v>
      </c>
      <c r="H9" s="185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4" t="s">
        <v>197</v>
      </c>
      <c r="E10">
        <v>9</v>
      </c>
      <c r="F10">
        <v>3.12</v>
      </c>
      <c r="G10">
        <v>9</v>
      </c>
      <c r="H10" s="185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4" t="s">
        <v>198</v>
      </c>
      <c r="E11">
        <v>10</v>
      </c>
      <c r="F11">
        <v>3.12</v>
      </c>
      <c r="G11">
        <v>10</v>
      </c>
      <c r="H11" s="185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4" t="s">
        <v>199</v>
      </c>
      <c r="E12">
        <v>11</v>
      </c>
      <c r="F12">
        <v>3.12</v>
      </c>
      <c r="G12">
        <v>11</v>
      </c>
      <c r="H12" s="185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4" t="s">
        <v>200</v>
      </c>
      <c r="E13">
        <v>12</v>
      </c>
      <c r="F13">
        <v>3.12</v>
      </c>
      <c r="G13">
        <v>12</v>
      </c>
      <c r="H13" s="185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4" t="s">
        <v>201</v>
      </c>
      <c r="E14">
        <v>13</v>
      </c>
      <c r="F14">
        <v>3.12</v>
      </c>
      <c r="G14">
        <v>13</v>
      </c>
      <c r="H14" s="185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4" t="s">
        <v>202</v>
      </c>
      <c r="E15">
        <v>14</v>
      </c>
      <c r="F15">
        <v>3</v>
      </c>
      <c r="G15">
        <v>14</v>
      </c>
      <c r="H15" s="185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4" t="s">
        <v>203</v>
      </c>
      <c r="E16">
        <v>15</v>
      </c>
      <c r="F16">
        <v>3.12</v>
      </c>
      <c r="G16">
        <v>15</v>
      </c>
      <c r="H16" s="185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4" t="s">
        <v>204</v>
      </c>
      <c r="E17">
        <v>16</v>
      </c>
      <c r="F17">
        <v>3.12</v>
      </c>
      <c r="G17">
        <v>16</v>
      </c>
      <c r="H17" s="185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4" t="s">
        <v>205</v>
      </c>
      <c r="E18">
        <v>17</v>
      </c>
      <c r="F18">
        <v>3.1</v>
      </c>
      <c r="G18">
        <v>17</v>
      </c>
      <c r="H18" s="185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4" t="s">
        <v>206</v>
      </c>
      <c r="E19">
        <v>18</v>
      </c>
      <c r="F19">
        <v>3.12</v>
      </c>
      <c r="G19">
        <v>18</v>
      </c>
      <c r="H19" s="185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4" t="s">
        <v>207</v>
      </c>
      <c r="E20">
        <v>19</v>
      </c>
      <c r="F20">
        <v>3.11</v>
      </c>
      <c r="G20">
        <v>19</v>
      </c>
      <c r="H20" s="185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4" t="s">
        <v>208</v>
      </c>
      <c r="E21">
        <v>20</v>
      </c>
      <c r="F21">
        <v>2</v>
      </c>
      <c r="G21">
        <v>20</v>
      </c>
      <c r="H21" s="185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4" t="s">
        <v>209</v>
      </c>
      <c r="E22">
        <v>21</v>
      </c>
      <c r="F22">
        <v>4.0999999999999996</v>
      </c>
      <c r="G22">
        <v>21</v>
      </c>
      <c r="H22" s="185" t="s">
        <v>209</v>
      </c>
    </row>
    <row r="23" spans="1:12" x14ac:dyDescent="0.15">
      <c r="A23" s="34" t="s">
        <v>129</v>
      </c>
      <c r="B23" s="42">
        <v>4</v>
      </c>
      <c r="C23" s="36"/>
      <c r="D23" s="184" t="s">
        <v>210</v>
      </c>
      <c r="E23">
        <v>22</v>
      </c>
      <c r="F23">
        <v>4.3</v>
      </c>
      <c r="G23">
        <v>22</v>
      </c>
      <c r="H23" s="185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84" t="s">
        <v>211</v>
      </c>
      <c r="E24">
        <v>23</v>
      </c>
      <c r="F24">
        <v>5</v>
      </c>
      <c r="G24">
        <v>23</v>
      </c>
      <c r="H24" s="185" t="s">
        <v>211</v>
      </c>
    </row>
    <row r="25" spans="1:12" x14ac:dyDescent="0.15">
      <c r="A25" s="34" t="s">
        <v>70</v>
      </c>
      <c r="B25" s="42">
        <v>4.2</v>
      </c>
      <c r="C25" s="36"/>
      <c r="D25" s="184" t="s">
        <v>212</v>
      </c>
      <c r="E25">
        <v>24</v>
      </c>
      <c r="F25">
        <v>5</v>
      </c>
      <c r="G25">
        <v>24</v>
      </c>
      <c r="H25" s="185" t="s">
        <v>212</v>
      </c>
    </row>
    <row r="26" spans="1:12" x14ac:dyDescent="0.15">
      <c r="A26" s="34" t="s">
        <v>123</v>
      </c>
      <c r="B26" s="42">
        <v>4.3</v>
      </c>
      <c r="C26" s="36"/>
      <c r="D26" s="184" t="s">
        <v>213</v>
      </c>
      <c r="E26">
        <v>25</v>
      </c>
      <c r="F26">
        <v>5</v>
      </c>
      <c r="G26">
        <v>25</v>
      </c>
      <c r="H26" s="185" t="s">
        <v>213</v>
      </c>
    </row>
    <row r="27" spans="1:12" x14ac:dyDescent="0.15">
      <c r="A27" s="34" t="s">
        <v>125</v>
      </c>
      <c r="B27" s="42">
        <v>6.1</v>
      </c>
      <c r="D27" s="184" t="s">
        <v>214</v>
      </c>
      <c r="E27">
        <v>26</v>
      </c>
      <c r="F27">
        <v>5</v>
      </c>
      <c r="G27">
        <v>26</v>
      </c>
      <c r="H27" s="185" t="s">
        <v>214</v>
      </c>
    </row>
    <row r="28" spans="1:12" x14ac:dyDescent="0.15">
      <c r="A28" s="34" t="s">
        <v>124</v>
      </c>
      <c r="B28" s="42">
        <v>6.2</v>
      </c>
      <c r="D28" s="184" t="s">
        <v>215</v>
      </c>
      <c r="E28">
        <v>27</v>
      </c>
      <c r="F28">
        <v>5</v>
      </c>
      <c r="G28">
        <v>27</v>
      </c>
      <c r="H28" s="185" t="s">
        <v>215</v>
      </c>
    </row>
    <row r="29" spans="1:12" x14ac:dyDescent="0.15">
      <c r="A29" s="34" t="s">
        <v>44</v>
      </c>
      <c r="B29" s="42">
        <v>5</v>
      </c>
      <c r="D29" s="184" t="s">
        <v>216</v>
      </c>
      <c r="E29">
        <v>28</v>
      </c>
      <c r="F29">
        <v>5</v>
      </c>
      <c r="G29">
        <v>28</v>
      </c>
      <c r="H29" s="185" t="s">
        <v>216</v>
      </c>
    </row>
    <row r="30" spans="1:12" x14ac:dyDescent="0.15">
      <c r="A30" s="34" t="s">
        <v>73</v>
      </c>
      <c r="B30" s="42">
        <v>7</v>
      </c>
      <c r="D30" s="184" t="s">
        <v>217</v>
      </c>
      <c r="E30">
        <v>29</v>
      </c>
      <c r="F30">
        <v>5</v>
      </c>
      <c r="G30">
        <v>29</v>
      </c>
      <c r="H30" s="185" t="s">
        <v>217</v>
      </c>
    </row>
    <row r="31" spans="1:12" x14ac:dyDescent="0.15">
      <c r="A31" s="34" t="s">
        <v>169</v>
      </c>
      <c r="B31" s="42">
        <v>3.14</v>
      </c>
      <c r="D31" s="184" t="s">
        <v>218</v>
      </c>
      <c r="E31">
        <v>30</v>
      </c>
      <c r="F31">
        <v>5</v>
      </c>
      <c r="G31">
        <v>30</v>
      </c>
      <c r="H31" s="185" t="s">
        <v>218</v>
      </c>
    </row>
    <row r="32" spans="1:12" ht="12" customHeight="1" thickBot="1" x14ac:dyDescent="0.2">
      <c r="A32" s="40" t="s">
        <v>170</v>
      </c>
      <c r="B32" s="43">
        <v>9</v>
      </c>
      <c r="D32" s="184" t="s">
        <v>138</v>
      </c>
      <c r="E32">
        <v>31</v>
      </c>
      <c r="F32">
        <v>6.1</v>
      </c>
      <c r="G32">
        <v>31</v>
      </c>
      <c r="H32" s="185" t="s">
        <v>138</v>
      </c>
    </row>
    <row r="33" spans="4:8" customFormat="1" ht="12" customHeight="1" x14ac:dyDescent="0.15">
      <c r="D33" s="184" t="s">
        <v>45</v>
      </c>
      <c r="E33">
        <v>32</v>
      </c>
      <c r="F33">
        <v>6.2</v>
      </c>
      <c r="G33">
        <v>32</v>
      </c>
      <c r="H33" s="185" t="s">
        <v>45</v>
      </c>
    </row>
    <row r="34" spans="4:8" customFormat="1" ht="12" customHeight="1" x14ac:dyDescent="0.15"/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T15" sqref="T15"/>
    </sheetView>
  </sheetViews>
  <sheetFormatPr baseColWidth="10" defaultColWidth="11.5" defaultRowHeight="15" customHeight="1" x14ac:dyDescent="0.15"/>
  <cols>
    <col min="1" max="1" width="40.1640625" style="76" bestFit="1" customWidth="1"/>
    <col min="2" max="2" width="10.83203125" style="75" customWidth="1"/>
    <col min="3" max="3" width="13.1640625" style="75" customWidth="1"/>
    <col min="4" max="4" width="39.6640625" style="75" customWidth="1"/>
    <col min="5" max="5" width="8.1640625" style="75" customWidth="1"/>
    <col min="6" max="6" width="21.6640625" style="75" bestFit="1" customWidth="1"/>
    <col min="7" max="9" width="2.33203125" style="75" customWidth="1"/>
    <col min="10" max="10" width="2.33203125" style="75" bestFit="1" customWidth="1"/>
    <col min="11" max="15" width="2.33203125" style="75" customWidth="1"/>
    <col min="16" max="16" width="2.33203125" style="68" customWidth="1"/>
    <col min="17" max="17" width="2.33203125" style="75" customWidth="1"/>
    <col min="18" max="18" width="2.33203125" style="69" customWidth="1"/>
    <col min="19" max="16384" width="11.5" style="75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7" t="s">
        <v>48</v>
      </c>
      <c r="L1" s="69"/>
      <c r="M1" s="77" t="s">
        <v>119</v>
      </c>
      <c r="N1" s="69"/>
      <c r="O1" s="77" t="s">
        <v>49</v>
      </c>
      <c r="P1" s="70"/>
      <c r="Q1" s="77" t="s">
        <v>50</v>
      </c>
      <c r="R1" s="66" t="s">
        <v>154</v>
      </c>
    </row>
    <row r="2" spans="1:23" ht="15" customHeight="1" x14ac:dyDescent="0.15">
      <c r="A2" s="77" t="s">
        <v>51</v>
      </c>
      <c r="B2" s="78">
        <v>0.5</v>
      </c>
      <c r="C2" s="76" t="s">
        <v>52</v>
      </c>
      <c r="D2" s="79"/>
      <c r="F2" s="1"/>
      <c r="G2" s="80"/>
      <c r="H2" s="80"/>
      <c r="I2" s="80" t="s">
        <v>133</v>
      </c>
      <c r="J2" s="80" t="s">
        <v>133</v>
      </c>
      <c r="K2" s="80" t="s">
        <v>52</v>
      </c>
      <c r="L2" s="80" t="s">
        <v>53</v>
      </c>
      <c r="M2" s="80" t="s">
        <v>52</v>
      </c>
      <c r="N2" s="80" t="s">
        <v>53</v>
      </c>
      <c r="O2" s="80" t="s">
        <v>52</v>
      </c>
      <c r="P2" s="81" t="s">
        <v>53</v>
      </c>
      <c r="Q2" s="80"/>
      <c r="R2" s="82" t="s">
        <v>155</v>
      </c>
    </row>
    <row r="3" spans="1:23" ht="15" customHeight="1" thickBot="1" x14ac:dyDescent="0.2">
      <c r="A3" s="77" t="s">
        <v>54</v>
      </c>
      <c r="B3" s="83">
        <v>0.5</v>
      </c>
      <c r="C3" s="76" t="s">
        <v>53</v>
      </c>
      <c r="D3" s="7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1">
        <v>0</v>
      </c>
    </row>
    <row r="5" spans="1:23" ht="15" customHeight="1" x14ac:dyDescent="0.15">
      <c r="A5" s="77" t="s">
        <v>55</v>
      </c>
      <c r="B5" s="84">
        <v>0.5</v>
      </c>
      <c r="C5" s="76" t="s">
        <v>52</v>
      </c>
      <c r="D5" s="7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1">
        <v>0</v>
      </c>
    </row>
    <row r="6" spans="1:23" ht="15" customHeight="1" thickBot="1" x14ac:dyDescent="0.2">
      <c r="A6" s="77"/>
      <c r="B6" s="85">
        <v>0.5</v>
      </c>
      <c r="C6" s="76" t="s">
        <v>53</v>
      </c>
      <c r="D6" s="79"/>
      <c r="F6" s="186" t="s">
        <v>192</v>
      </c>
      <c r="G6" s="75">
        <v>0</v>
      </c>
      <c r="H6" s="75">
        <v>0</v>
      </c>
      <c r="I6" s="75">
        <v>0</v>
      </c>
      <c r="J6" s="75">
        <v>0</v>
      </c>
      <c r="K6" s="75">
        <v>1</v>
      </c>
      <c r="L6" s="75">
        <v>0</v>
      </c>
      <c r="M6" s="75">
        <v>1</v>
      </c>
      <c r="N6" s="75">
        <v>0</v>
      </c>
      <c r="O6" s="75">
        <v>1</v>
      </c>
      <c r="P6" s="68">
        <v>0</v>
      </c>
      <c r="Q6" s="75">
        <v>0</v>
      </c>
      <c r="R6" s="69">
        <v>1</v>
      </c>
      <c r="S6"/>
      <c r="T6"/>
    </row>
    <row r="7" spans="1:23" ht="15" customHeight="1" thickBot="1" x14ac:dyDescent="0.2">
      <c r="F7" s="186" t="s">
        <v>193</v>
      </c>
      <c r="G7" s="75">
        <v>0</v>
      </c>
      <c r="H7" s="75">
        <v>0</v>
      </c>
      <c r="I7" s="75">
        <v>0</v>
      </c>
      <c r="J7" s="75">
        <v>0</v>
      </c>
      <c r="K7" s="75">
        <v>1</v>
      </c>
      <c r="L7" s="75">
        <v>0</v>
      </c>
      <c r="M7" s="75">
        <v>1</v>
      </c>
      <c r="N7" s="75">
        <v>0</v>
      </c>
      <c r="O7" s="75">
        <v>1</v>
      </c>
      <c r="P7" s="68">
        <v>0</v>
      </c>
      <c r="Q7" s="75">
        <v>0</v>
      </c>
      <c r="R7" s="69">
        <v>1</v>
      </c>
      <c r="S7"/>
      <c r="T7"/>
    </row>
    <row r="8" spans="1:23" ht="15" customHeight="1" x14ac:dyDescent="0.15">
      <c r="A8" s="77" t="s">
        <v>56</v>
      </c>
      <c r="B8" s="84">
        <v>1</v>
      </c>
      <c r="C8" s="187" t="s">
        <v>208</v>
      </c>
      <c r="D8" s="79" t="s">
        <v>160</v>
      </c>
      <c r="F8" s="186" t="s">
        <v>194</v>
      </c>
      <c r="G8" s="75">
        <v>0</v>
      </c>
      <c r="H8" s="75">
        <v>0</v>
      </c>
      <c r="I8" s="75">
        <v>0</v>
      </c>
      <c r="J8" s="75">
        <v>0</v>
      </c>
      <c r="K8" s="75">
        <v>1</v>
      </c>
      <c r="L8" s="75">
        <v>0</v>
      </c>
      <c r="M8" s="75">
        <v>1</v>
      </c>
      <c r="N8" s="75">
        <v>0</v>
      </c>
      <c r="O8" s="75">
        <v>1</v>
      </c>
      <c r="P8" s="68">
        <v>0</v>
      </c>
      <c r="Q8" s="75">
        <v>0</v>
      </c>
      <c r="R8" s="69">
        <v>1</v>
      </c>
      <c r="S8"/>
      <c r="T8"/>
      <c r="W8"/>
    </row>
    <row r="9" spans="1:23" ht="15" customHeight="1" x14ac:dyDescent="0.15">
      <c r="A9" s="115" t="s">
        <v>168</v>
      </c>
      <c r="B9" s="86"/>
      <c r="C9" s="74"/>
      <c r="D9" s="79" t="s">
        <v>160</v>
      </c>
      <c r="F9" s="186" t="s">
        <v>195</v>
      </c>
      <c r="G9" s="75">
        <v>0</v>
      </c>
      <c r="H9" s="75">
        <v>0</v>
      </c>
      <c r="I9" s="75">
        <v>0</v>
      </c>
      <c r="J9" s="75">
        <v>0</v>
      </c>
      <c r="K9" s="75">
        <v>1</v>
      </c>
      <c r="L9" s="75">
        <v>0</v>
      </c>
      <c r="M9" s="75">
        <v>1</v>
      </c>
      <c r="N9" s="75">
        <v>0</v>
      </c>
      <c r="O9" s="75">
        <v>1</v>
      </c>
      <c r="P9" s="68">
        <v>0</v>
      </c>
      <c r="Q9" s="75">
        <v>0</v>
      </c>
      <c r="R9" s="69">
        <v>1</v>
      </c>
      <c r="S9"/>
      <c r="T9"/>
      <c r="W9"/>
    </row>
    <row r="10" spans="1:23" ht="15" customHeight="1" x14ac:dyDescent="0.15">
      <c r="B10" s="86"/>
      <c r="C10" s="74"/>
      <c r="D10" s="79" t="s">
        <v>160</v>
      </c>
      <c r="F10" s="186" t="s">
        <v>196</v>
      </c>
      <c r="G10" s="75">
        <v>0</v>
      </c>
      <c r="H10" s="75">
        <v>0</v>
      </c>
      <c r="I10" s="75">
        <v>0</v>
      </c>
      <c r="J10" s="75">
        <v>0</v>
      </c>
      <c r="K10" s="75">
        <v>1</v>
      </c>
      <c r="L10" s="75">
        <v>0</v>
      </c>
      <c r="M10" s="75">
        <v>1</v>
      </c>
      <c r="N10" s="75">
        <v>0</v>
      </c>
      <c r="O10" s="75">
        <v>1</v>
      </c>
      <c r="P10" s="68">
        <v>0</v>
      </c>
      <c r="Q10" s="75">
        <v>0</v>
      </c>
      <c r="R10" s="69">
        <v>1</v>
      </c>
      <c r="S10"/>
      <c r="T10"/>
      <c r="W10"/>
    </row>
    <row r="11" spans="1:23" ht="15" customHeight="1" x14ac:dyDescent="0.15">
      <c r="A11" s="77"/>
      <c r="B11" s="86"/>
      <c r="C11" s="89"/>
      <c r="D11" s="79" t="s">
        <v>160</v>
      </c>
      <c r="F11" s="186" t="s">
        <v>197</v>
      </c>
      <c r="G11" s="75">
        <v>0</v>
      </c>
      <c r="H11" s="75">
        <v>0</v>
      </c>
      <c r="I11" s="75">
        <v>0</v>
      </c>
      <c r="J11" s="75">
        <v>0</v>
      </c>
      <c r="K11" s="75">
        <v>1</v>
      </c>
      <c r="L11" s="75">
        <v>0</v>
      </c>
      <c r="M11" s="75">
        <v>1</v>
      </c>
      <c r="N11" s="75">
        <v>0</v>
      </c>
      <c r="O11" s="75">
        <v>1</v>
      </c>
      <c r="P11" s="68">
        <v>0</v>
      </c>
      <c r="Q11" s="75">
        <v>0</v>
      </c>
      <c r="R11" s="69">
        <v>1</v>
      </c>
      <c r="S11"/>
      <c r="T11"/>
      <c r="W11"/>
    </row>
    <row r="12" spans="1:23" ht="15" customHeight="1" x14ac:dyDescent="0.15">
      <c r="B12" s="86"/>
      <c r="C12" s="90"/>
      <c r="D12" s="79" t="s">
        <v>160</v>
      </c>
      <c r="F12" s="186" t="s">
        <v>198</v>
      </c>
      <c r="G12" s="75">
        <v>0</v>
      </c>
      <c r="H12" s="75">
        <v>0</v>
      </c>
      <c r="I12" s="75">
        <v>0</v>
      </c>
      <c r="J12" s="75">
        <v>0</v>
      </c>
      <c r="K12" s="75">
        <v>1</v>
      </c>
      <c r="L12" s="75">
        <v>0</v>
      </c>
      <c r="M12" s="75">
        <v>1</v>
      </c>
      <c r="N12" s="75">
        <v>0</v>
      </c>
      <c r="O12" s="75">
        <v>1</v>
      </c>
      <c r="P12" s="68">
        <v>0</v>
      </c>
      <c r="Q12" s="75">
        <v>0</v>
      </c>
      <c r="R12" s="69">
        <v>1</v>
      </c>
      <c r="S12"/>
      <c r="T12"/>
      <c r="W12"/>
    </row>
    <row r="13" spans="1:23" ht="15" customHeight="1" x14ac:dyDescent="0.15">
      <c r="B13" s="86"/>
      <c r="C13" s="90"/>
      <c r="D13" s="79" t="s">
        <v>160</v>
      </c>
      <c r="F13" s="186" t="s">
        <v>199</v>
      </c>
      <c r="G13" s="75">
        <v>0</v>
      </c>
      <c r="H13" s="75">
        <v>0</v>
      </c>
      <c r="I13" s="75">
        <v>0</v>
      </c>
      <c r="J13" s="75">
        <v>0</v>
      </c>
      <c r="K13" s="75">
        <v>1</v>
      </c>
      <c r="L13" s="75">
        <v>0</v>
      </c>
      <c r="M13" s="75">
        <v>1</v>
      </c>
      <c r="N13" s="75">
        <v>0</v>
      </c>
      <c r="O13" s="75">
        <v>1</v>
      </c>
      <c r="P13" s="68">
        <v>0</v>
      </c>
      <c r="Q13" s="75">
        <v>0</v>
      </c>
      <c r="R13" s="69">
        <v>1</v>
      </c>
      <c r="S13"/>
      <c r="T13"/>
      <c r="W13"/>
    </row>
    <row r="14" spans="1:23" ht="15" customHeight="1" x14ac:dyDescent="0.15">
      <c r="B14" s="86"/>
      <c r="C14" s="74"/>
      <c r="D14" s="79" t="s">
        <v>160</v>
      </c>
      <c r="F14" s="186" t="s">
        <v>200</v>
      </c>
      <c r="G14" s="75">
        <v>0</v>
      </c>
      <c r="H14" s="75">
        <v>0</v>
      </c>
      <c r="I14" s="75">
        <v>0</v>
      </c>
      <c r="J14" s="75">
        <v>0</v>
      </c>
      <c r="K14" s="75">
        <v>1</v>
      </c>
      <c r="L14" s="75">
        <v>0</v>
      </c>
      <c r="M14" s="75">
        <v>1</v>
      </c>
      <c r="N14" s="75">
        <v>0</v>
      </c>
      <c r="O14" s="75">
        <v>1</v>
      </c>
      <c r="P14" s="68">
        <v>0</v>
      </c>
      <c r="Q14" s="75">
        <v>0</v>
      </c>
      <c r="R14" s="69">
        <v>1</v>
      </c>
      <c r="S14"/>
      <c r="T14"/>
      <c r="W14"/>
    </row>
    <row r="15" spans="1:23" ht="15" customHeight="1" x14ac:dyDescent="0.15">
      <c r="B15" s="86"/>
      <c r="C15" s="74"/>
      <c r="D15" s="79" t="s">
        <v>160</v>
      </c>
      <c r="F15" s="186" t="s">
        <v>201</v>
      </c>
      <c r="G15" s="75">
        <v>0</v>
      </c>
      <c r="H15" s="75">
        <v>0</v>
      </c>
      <c r="I15" s="75">
        <v>0</v>
      </c>
      <c r="J15" s="75">
        <v>0</v>
      </c>
      <c r="K15" s="75">
        <v>1</v>
      </c>
      <c r="L15" s="75">
        <v>0</v>
      </c>
      <c r="M15" s="75">
        <v>1</v>
      </c>
      <c r="N15" s="75">
        <v>0</v>
      </c>
      <c r="O15" s="75">
        <v>1</v>
      </c>
      <c r="P15" s="68">
        <v>0</v>
      </c>
      <c r="Q15" s="75">
        <v>0</v>
      </c>
      <c r="R15" s="69">
        <v>1</v>
      </c>
      <c r="S15"/>
      <c r="T15"/>
      <c r="W15"/>
    </row>
    <row r="16" spans="1:23" ht="15" customHeight="1" x14ac:dyDescent="0.15">
      <c r="B16" s="86"/>
      <c r="C16" s="74"/>
      <c r="D16" s="79" t="s">
        <v>160</v>
      </c>
      <c r="F16" s="186" t="s">
        <v>202</v>
      </c>
      <c r="G16" s="75">
        <v>0</v>
      </c>
      <c r="H16" s="75">
        <v>0</v>
      </c>
      <c r="I16" s="75">
        <v>0</v>
      </c>
      <c r="J16" s="75">
        <v>0</v>
      </c>
      <c r="K16" s="75">
        <v>1</v>
      </c>
      <c r="L16" s="75">
        <v>0</v>
      </c>
      <c r="M16" s="75">
        <v>1</v>
      </c>
      <c r="N16" s="75">
        <v>0</v>
      </c>
      <c r="O16" s="75">
        <v>1</v>
      </c>
      <c r="P16" s="68">
        <v>0</v>
      </c>
      <c r="Q16" s="75">
        <v>0</v>
      </c>
      <c r="R16" s="69">
        <v>1</v>
      </c>
      <c r="S16"/>
      <c r="T16"/>
    </row>
    <row r="17" spans="1:20" ht="15" customHeight="1" thickBot="1" x14ac:dyDescent="0.2">
      <c r="B17" s="85"/>
      <c r="C17" s="74"/>
      <c r="D17" s="79" t="s">
        <v>160</v>
      </c>
      <c r="F17" s="186" t="s">
        <v>203</v>
      </c>
      <c r="G17" s="75">
        <v>0</v>
      </c>
      <c r="H17" s="75">
        <v>0</v>
      </c>
      <c r="I17" s="75">
        <v>0</v>
      </c>
      <c r="J17" s="75">
        <v>0</v>
      </c>
      <c r="K17" s="75">
        <v>1</v>
      </c>
      <c r="L17" s="75">
        <v>0</v>
      </c>
      <c r="M17" s="75">
        <v>1</v>
      </c>
      <c r="N17" s="75">
        <v>0</v>
      </c>
      <c r="O17" s="75">
        <v>1</v>
      </c>
      <c r="P17" s="68">
        <v>0</v>
      </c>
      <c r="Q17" s="75">
        <v>0</v>
      </c>
      <c r="R17" s="69">
        <v>1</v>
      </c>
      <c r="S17"/>
      <c r="T17"/>
    </row>
    <row r="18" spans="1:20" ht="15" customHeight="1" thickBot="1" x14ac:dyDescent="0.2">
      <c r="B18" s="87"/>
      <c r="F18" s="186" t="s">
        <v>204</v>
      </c>
      <c r="G18" s="75">
        <v>0</v>
      </c>
      <c r="H18" s="75">
        <v>0</v>
      </c>
      <c r="I18" s="75">
        <v>0</v>
      </c>
      <c r="J18" s="75">
        <v>0</v>
      </c>
      <c r="K18" s="75">
        <v>1</v>
      </c>
      <c r="L18" s="75">
        <v>0</v>
      </c>
      <c r="M18" s="75">
        <v>1</v>
      </c>
      <c r="N18" s="75">
        <v>0</v>
      </c>
      <c r="O18" s="75">
        <v>1</v>
      </c>
      <c r="P18" s="68">
        <v>0</v>
      </c>
      <c r="Q18" s="75">
        <v>0</v>
      </c>
      <c r="R18" s="69">
        <v>1</v>
      </c>
      <c r="S18"/>
      <c r="T18"/>
    </row>
    <row r="19" spans="1:20" ht="15" customHeight="1" x14ac:dyDescent="0.15">
      <c r="A19" s="77" t="s">
        <v>57</v>
      </c>
      <c r="B19" s="84">
        <v>1</v>
      </c>
      <c r="C19" s="188" t="s">
        <v>208</v>
      </c>
      <c r="D19" s="79" t="s">
        <v>160</v>
      </c>
      <c r="F19" s="186" t="s">
        <v>205</v>
      </c>
      <c r="G19" s="75">
        <v>0</v>
      </c>
      <c r="H19" s="75">
        <v>0</v>
      </c>
      <c r="I19" s="75">
        <v>0</v>
      </c>
      <c r="J19" s="75">
        <v>0</v>
      </c>
      <c r="K19" s="75">
        <v>1</v>
      </c>
      <c r="L19" s="75">
        <v>0</v>
      </c>
      <c r="M19" s="75">
        <v>1</v>
      </c>
      <c r="N19" s="75">
        <v>0</v>
      </c>
      <c r="O19" s="75">
        <v>1</v>
      </c>
      <c r="P19" s="68">
        <v>0</v>
      </c>
      <c r="Q19" s="75">
        <v>0</v>
      </c>
      <c r="R19" s="69">
        <v>1</v>
      </c>
      <c r="S19"/>
      <c r="T19"/>
    </row>
    <row r="20" spans="1:20" ht="15" customHeight="1" x14ac:dyDescent="0.15">
      <c r="A20" s="115" t="s">
        <v>168</v>
      </c>
      <c r="B20" s="86"/>
      <c r="C20" s="74"/>
      <c r="D20" s="79" t="s">
        <v>160</v>
      </c>
      <c r="F20" s="186" t="s">
        <v>206</v>
      </c>
      <c r="G20" s="75">
        <v>0</v>
      </c>
      <c r="H20" s="75">
        <v>0</v>
      </c>
      <c r="I20" s="75">
        <v>0</v>
      </c>
      <c r="J20" s="75">
        <v>0</v>
      </c>
      <c r="K20" s="75">
        <v>1</v>
      </c>
      <c r="L20" s="75">
        <v>0</v>
      </c>
      <c r="M20" s="75">
        <v>1</v>
      </c>
      <c r="N20" s="75">
        <v>0</v>
      </c>
      <c r="O20" s="75">
        <v>1</v>
      </c>
      <c r="P20" s="68">
        <v>0</v>
      </c>
      <c r="Q20" s="75">
        <v>0</v>
      </c>
      <c r="R20" s="69">
        <v>1</v>
      </c>
      <c r="S20"/>
      <c r="T20"/>
    </row>
    <row r="21" spans="1:20" ht="15" customHeight="1" x14ac:dyDescent="0.15">
      <c r="B21" s="86"/>
      <c r="C21" s="74"/>
      <c r="D21" s="79" t="s">
        <v>160</v>
      </c>
      <c r="F21" s="186" t="s">
        <v>207</v>
      </c>
      <c r="G21" s="75">
        <v>0</v>
      </c>
      <c r="H21" s="75">
        <v>0</v>
      </c>
      <c r="I21" s="75">
        <v>0</v>
      </c>
      <c r="J21" s="75">
        <v>0</v>
      </c>
      <c r="K21" s="75">
        <v>1</v>
      </c>
      <c r="L21" s="75">
        <v>0</v>
      </c>
      <c r="M21" s="75">
        <v>1</v>
      </c>
      <c r="N21" s="75">
        <v>0</v>
      </c>
      <c r="O21" s="75">
        <v>1</v>
      </c>
      <c r="P21" s="68">
        <v>0</v>
      </c>
      <c r="Q21" s="75">
        <v>0</v>
      </c>
      <c r="R21" s="69">
        <v>1</v>
      </c>
      <c r="S21"/>
      <c r="T21"/>
    </row>
    <row r="22" spans="1:20" ht="15" customHeight="1" x14ac:dyDescent="0.15">
      <c r="A22" s="75"/>
      <c r="B22" s="86"/>
      <c r="C22" s="89"/>
      <c r="D22" s="79" t="s">
        <v>160</v>
      </c>
      <c r="F22" s="186" t="s">
        <v>208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1</v>
      </c>
      <c r="N22" s="75">
        <v>0</v>
      </c>
      <c r="O22" s="75">
        <v>0</v>
      </c>
      <c r="P22" s="68">
        <v>0</v>
      </c>
      <c r="Q22" s="75">
        <v>0</v>
      </c>
      <c r="R22" s="69">
        <v>1</v>
      </c>
      <c r="S22"/>
      <c r="T22"/>
    </row>
    <row r="23" spans="1:20" ht="15" customHeight="1" x14ac:dyDescent="0.15">
      <c r="A23" s="75"/>
      <c r="B23" s="86"/>
      <c r="C23" s="90"/>
      <c r="D23" s="79" t="s">
        <v>160</v>
      </c>
      <c r="F23" s="186" t="s">
        <v>209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1</v>
      </c>
      <c r="M23" s="75">
        <v>0</v>
      </c>
      <c r="N23" s="75">
        <v>1</v>
      </c>
      <c r="O23" s="75">
        <v>0</v>
      </c>
      <c r="P23" s="68">
        <v>1</v>
      </c>
      <c r="Q23" s="75">
        <v>0</v>
      </c>
      <c r="R23" s="69">
        <v>1</v>
      </c>
      <c r="S23"/>
      <c r="T23"/>
    </row>
    <row r="24" spans="1:20" ht="15" customHeight="1" x14ac:dyDescent="0.15">
      <c r="A24" s="75"/>
      <c r="B24" s="86"/>
      <c r="C24" s="90"/>
      <c r="D24" s="79" t="s">
        <v>160</v>
      </c>
      <c r="F24" s="186" t="s">
        <v>210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1</v>
      </c>
      <c r="M24" s="75">
        <v>0</v>
      </c>
      <c r="N24" s="75">
        <v>1</v>
      </c>
      <c r="O24" s="75">
        <v>0</v>
      </c>
      <c r="P24" s="68">
        <v>1</v>
      </c>
      <c r="Q24" s="75">
        <v>0</v>
      </c>
      <c r="R24" s="69">
        <v>1</v>
      </c>
      <c r="S24"/>
      <c r="T24"/>
    </row>
    <row r="25" spans="1:20" ht="15" customHeight="1" x14ac:dyDescent="0.15">
      <c r="A25" s="75"/>
      <c r="B25" s="86"/>
      <c r="C25" s="74"/>
      <c r="D25" s="79" t="s">
        <v>160</v>
      </c>
      <c r="F25" s="186" t="s">
        <v>211</v>
      </c>
      <c r="G25" s="75">
        <v>0</v>
      </c>
      <c r="H25" s="75">
        <v>0</v>
      </c>
      <c r="I25" s="75">
        <v>0</v>
      </c>
      <c r="J25" s="75">
        <v>0</v>
      </c>
      <c r="K25" s="75">
        <v>0</v>
      </c>
      <c r="L25" s="75">
        <v>1</v>
      </c>
      <c r="M25" s="75">
        <v>0</v>
      </c>
      <c r="N25" s="75">
        <v>0</v>
      </c>
      <c r="O25" s="75">
        <v>0</v>
      </c>
      <c r="P25" s="68">
        <v>0</v>
      </c>
      <c r="Q25" s="75">
        <v>0</v>
      </c>
      <c r="R25" s="69">
        <v>1</v>
      </c>
      <c r="S25"/>
      <c r="T25"/>
    </row>
    <row r="26" spans="1:20" ht="15" customHeight="1" x14ac:dyDescent="0.15">
      <c r="B26" s="86"/>
      <c r="C26" s="74"/>
      <c r="D26" s="79" t="s">
        <v>160</v>
      </c>
      <c r="F26" s="186" t="s">
        <v>212</v>
      </c>
      <c r="G26" s="75">
        <v>0</v>
      </c>
      <c r="H26" s="75">
        <v>0</v>
      </c>
      <c r="I26" s="75">
        <v>0</v>
      </c>
      <c r="J26" s="75">
        <v>0</v>
      </c>
      <c r="K26" s="75">
        <v>0</v>
      </c>
      <c r="L26" s="75">
        <v>1</v>
      </c>
      <c r="M26" s="75">
        <v>0</v>
      </c>
      <c r="N26" s="75">
        <v>0</v>
      </c>
      <c r="O26" s="75">
        <v>0</v>
      </c>
      <c r="P26" s="68">
        <v>0</v>
      </c>
      <c r="Q26" s="75">
        <v>0</v>
      </c>
      <c r="R26" s="69">
        <v>1</v>
      </c>
      <c r="S26"/>
      <c r="T26"/>
    </row>
    <row r="27" spans="1:20" ht="15" customHeight="1" x14ac:dyDescent="0.15">
      <c r="B27" s="86"/>
      <c r="C27" s="74"/>
      <c r="D27" s="79" t="s">
        <v>160</v>
      </c>
      <c r="F27" s="186" t="s">
        <v>213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1</v>
      </c>
      <c r="M27" s="75">
        <v>0</v>
      </c>
      <c r="N27" s="75">
        <v>0</v>
      </c>
      <c r="O27" s="75">
        <v>0</v>
      </c>
      <c r="P27" s="68">
        <v>0</v>
      </c>
      <c r="Q27" s="75">
        <v>0</v>
      </c>
      <c r="R27" s="69">
        <v>1</v>
      </c>
      <c r="S27"/>
      <c r="T27"/>
    </row>
    <row r="28" spans="1:20" ht="15" customHeight="1" thickBot="1" x14ac:dyDescent="0.2">
      <c r="B28" s="85"/>
      <c r="C28" s="74"/>
      <c r="D28" s="79" t="s">
        <v>160</v>
      </c>
      <c r="F28" s="186" t="s">
        <v>214</v>
      </c>
      <c r="G28" s="75">
        <v>0</v>
      </c>
      <c r="H28" s="75">
        <v>0</v>
      </c>
      <c r="I28" s="75">
        <v>0</v>
      </c>
      <c r="J28" s="75">
        <v>0</v>
      </c>
      <c r="K28" s="75">
        <v>0</v>
      </c>
      <c r="L28" s="75">
        <v>1</v>
      </c>
      <c r="M28" s="75">
        <v>0</v>
      </c>
      <c r="N28" s="75">
        <v>0</v>
      </c>
      <c r="O28" s="75">
        <v>0</v>
      </c>
      <c r="P28" s="68">
        <v>0</v>
      </c>
      <c r="Q28" s="75">
        <v>0</v>
      </c>
      <c r="R28" s="69">
        <v>1</v>
      </c>
      <c r="S28"/>
      <c r="T28"/>
    </row>
    <row r="29" spans="1:20" ht="15" customHeight="1" x14ac:dyDescent="0.15">
      <c r="F29" s="186" t="s">
        <v>215</v>
      </c>
      <c r="G29" s="75">
        <v>0</v>
      </c>
      <c r="H29" s="75">
        <v>0</v>
      </c>
      <c r="I29" s="75">
        <v>0</v>
      </c>
      <c r="J29" s="75">
        <v>0</v>
      </c>
      <c r="K29" s="75">
        <v>0</v>
      </c>
      <c r="L29" s="75">
        <v>1</v>
      </c>
      <c r="M29" s="75">
        <v>0</v>
      </c>
      <c r="N29" s="75">
        <v>0</v>
      </c>
      <c r="O29" s="75">
        <v>0</v>
      </c>
      <c r="P29" s="68">
        <v>0</v>
      </c>
      <c r="Q29" s="75">
        <v>0</v>
      </c>
      <c r="R29" s="69">
        <v>1</v>
      </c>
      <c r="S29"/>
      <c r="T29"/>
    </row>
    <row r="30" spans="1:20" ht="15" customHeight="1" x14ac:dyDescent="0.15">
      <c r="F30" s="186" t="s">
        <v>216</v>
      </c>
      <c r="G30" s="75">
        <v>0</v>
      </c>
      <c r="H30" s="75">
        <v>0</v>
      </c>
      <c r="I30" s="75">
        <v>0</v>
      </c>
      <c r="J30" s="75">
        <v>0</v>
      </c>
      <c r="K30" s="75">
        <v>0</v>
      </c>
      <c r="L30" s="75">
        <v>1</v>
      </c>
      <c r="M30" s="75">
        <v>0</v>
      </c>
      <c r="N30" s="75">
        <v>0</v>
      </c>
      <c r="O30" s="75">
        <v>0</v>
      </c>
      <c r="P30" s="68">
        <v>0</v>
      </c>
      <c r="Q30" s="75">
        <v>0</v>
      </c>
      <c r="R30" s="69">
        <v>1</v>
      </c>
      <c r="S30"/>
      <c r="T30"/>
    </row>
    <row r="31" spans="1:20" ht="15" customHeight="1" x14ac:dyDescent="0.15">
      <c r="A31" s="116"/>
      <c r="B31" s="127" t="s">
        <v>17</v>
      </c>
      <c r="C31" s="127" t="s">
        <v>1</v>
      </c>
      <c r="D31" s="127" t="s">
        <v>161</v>
      </c>
      <c r="E31" s="128" t="s">
        <v>163</v>
      </c>
      <c r="F31" s="186" t="s">
        <v>217</v>
      </c>
      <c r="G31" s="75">
        <v>0</v>
      </c>
      <c r="H31" s="75">
        <v>0</v>
      </c>
      <c r="I31" s="75">
        <v>0</v>
      </c>
      <c r="J31" s="75">
        <v>0</v>
      </c>
      <c r="K31" s="75">
        <v>0</v>
      </c>
      <c r="L31" s="75">
        <v>1</v>
      </c>
      <c r="M31" s="75">
        <v>0</v>
      </c>
      <c r="N31" s="75">
        <v>0</v>
      </c>
      <c r="O31" s="75">
        <v>0</v>
      </c>
      <c r="P31" s="68">
        <v>0</v>
      </c>
      <c r="Q31" s="75">
        <v>0</v>
      </c>
      <c r="R31" s="69">
        <v>1</v>
      </c>
      <c r="S31"/>
      <c r="T31"/>
    </row>
    <row r="32" spans="1:20" ht="15" customHeight="1" x14ac:dyDescent="0.15">
      <c r="A32" s="189" t="s">
        <v>208</v>
      </c>
      <c r="B32" s="87">
        <v>31.6161289</v>
      </c>
      <c r="C32" s="87">
        <v>131.99998500000001</v>
      </c>
      <c r="D32" s="87">
        <v>4173.3285405580664</v>
      </c>
      <c r="E32" s="118">
        <v>1</v>
      </c>
      <c r="F32" s="186" t="s">
        <v>218</v>
      </c>
      <c r="G32" s="75">
        <v>0</v>
      </c>
      <c r="H32" s="75">
        <v>0</v>
      </c>
      <c r="I32" s="75">
        <v>0</v>
      </c>
      <c r="J32" s="75">
        <v>0</v>
      </c>
      <c r="K32" s="75">
        <v>0</v>
      </c>
      <c r="L32" s="75">
        <v>1</v>
      </c>
      <c r="M32" s="75">
        <v>0</v>
      </c>
      <c r="N32" s="75">
        <v>0</v>
      </c>
      <c r="O32" s="75">
        <v>0</v>
      </c>
      <c r="P32" s="68">
        <v>0</v>
      </c>
      <c r="Q32" s="75">
        <v>0</v>
      </c>
      <c r="R32" s="69">
        <v>1</v>
      </c>
      <c r="S32"/>
      <c r="T32"/>
    </row>
    <row r="33" spans="1:20" ht="15" customHeight="1" x14ac:dyDescent="0.15">
      <c r="A33" s="117"/>
      <c r="B33" s="87"/>
      <c r="C33" s="87"/>
      <c r="D33" s="87"/>
      <c r="E33" s="118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9"/>
      <c r="B34" s="87"/>
      <c r="C34" s="87"/>
      <c r="D34" s="87"/>
      <c r="E34" s="11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0"/>
      <c r="B35" s="87"/>
      <c r="C35" s="87"/>
      <c r="D35" s="87"/>
      <c r="E35" s="11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1"/>
      <c r="B36" s="87"/>
      <c r="C36" s="87"/>
      <c r="D36" s="87"/>
      <c r="E36" s="11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1"/>
      <c r="B37" s="87"/>
      <c r="C37" s="87"/>
      <c r="D37" s="87"/>
      <c r="E37" s="11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2"/>
      <c r="B38" s="87"/>
      <c r="C38" s="87"/>
      <c r="D38" s="87"/>
      <c r="E38" s="11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2"/>
      <c r="B39" s="87"/>
      <c r="C39" s="87"/>
      <c r="D39" s="87"/>
      <c r="E39" s="11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2"/>
      <c r="B40" s="87"/>
      <c r="C40" s="87"/>
      <c r="D40" s="87"/>
      <c r="E40" s="11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2"/>
      <c r="B41" s="87"/>
      <c r="C41" s="87"/>
      <c r="D41" s="88"/>
      <c r="E41" s="12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4173.3285405580664</v>
      </c>
      <c r="E42" s="12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1" customWidth="1"/>
    <col min="3" max="5" width="7.83203125" style="101" customWidth="1"/>
    <col min="6" max="8" width="8.83203125" style="6"/>
    <col min="9" max="10" width="12.5" style="6" customWidth="1"/>
    <col min="11" max="11" width="8.5" style="6" customWidth="1"/>
    <col min="12" max="12" width="6.33203125" style="6" customWidth="1"/>
    <col min="13" max="13" width="13.1640625" style="6" customWidth="1"/>
    <col min="14" max="14" width="7.1640625" style="6" customWidth="1"/>
    <col min="15" max="15" width="13" style="6" customWidth="1"/>
    <col min="16" max="16" width="7.33203125" style="6" customWidth="1"/>
    <col min="17" max="17" width="12" style="6" customWidth="1"/>
    <col min="18" max="18" width="15.5" style="6" customWidth="1"/>
    <col min="19" max="19" width="14.5" style="6" customWidth="1"/>
    <col min="20" max="20" width="7" style="6" customWidth="1"/>
    <col min="21" max="21" width="10.1640625" style="6" customWidth="1"/>
    <col min="22" max="22" width="13.83203125" style="6" customWidth="1"/>
    <col min="23" max="23" width="15.5" style="6" customWidth="1"/>
    <col min="24" max="24" width="11.33203125" style="6" customWidth="1"/>
    <col min="25" max="25" width="13.1640625" style="6" customWidth="1"/>
    <col min="26" max="26" width="7.6640625" style="6" customWidth="1"/>
    <col min="27" max="27" width="21.6640625" style="6" customWidth="1"/>
    <col min="28" max="28" width="11.5" style="6" customWidth="1"/>
    <col min="29" max="29" width="8.1640625" style="6" customWidth="1"/>
    <col min="30" max="30" width="8.5" style="6" customWidth="1"/>
    <col min="31" max="31" width="12" style="6" customWidth="1"/>
    <col min="32" max="32" width="11.83203125" style="6" customWidth="1"/>
    <col min="33" max="33" width="12" style="6" customWidth="1"/>
    <col min="34" max="34" width="14" style="6" customWidth="1"/>
    <col min="35" max="35" width="19.83203125" style="6" customWidth="1"/>
    <col min="36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1" t="s">
        <v>192</v>
      </c>
      <c r="J1" s="191" t="s">
        <v>193</v>
      </c>
      <c r="K1" s="191" t="s">
        <v>194</v>
      </c>
      <c r="L1" s="191" t="s">
        <v>195</v>
      </c>
      <c r="M1" s="191" t="s">
        <v>196</v>
      </c>
      <c r="N1" s="191" t="s">
        <v>197</v>
      </c>
      <c r="O1" s="191" t="s">
        <v>198</v>
      </c>
      <c r="P1" s="191" t="s">
        <v>199</v>
      </c>
      <c r="Q1" s="191" t="s">
        <v>200</v>
      </c>
      <c r="R1" s="191" t="s">
        <v>201</v>
      </c>
      <c r="S1" s="191" t="s">
        <v>202</v>
      </c>
      <c r="T1" s="191" t="s">
        <v>203</v>
      </c>
      <c r="U1" s="191" t="s">
        <v>204</v>
      </c>
      <c r="V1" s="191" t="s">
        <v>205</v>
      </c>
      <c r="W1" s="191" t="s">
        <v>206</v>
      </c>
      <c r="X1" s="191" t="s">
        <v>207</v>
      </c>
      <c r="Y1" s="191" t="s">
        <v>208</v>
      </c>
      <c r="Z1" s="191" t="s">
        <v>209</v>
      </c>
      <c r="AA1" s="191" t="s">
        <v>210</v>
      </c>
      <c r="AB1" s="191" t="s">
        <v>211</v>
      </c>
      <c r="AC1" s="191" t="s">
        <v>212</v>
      </c>
      <c r="AD1" s="191" t="s">
        <v>213</v>
      </c>
      <c r="AE1" s="191" t="s">
        <v>214</v>
      </c>
      <c r="AF1" s="191" t="s">
        <v>215</v>
      </c>
      <c r="AG1" s="191" t="s">
        <v>216</v>
      </c>
      <c r="AH1" s="191" t="s">
        <v>217</v>
      </c>
      <c r="AI1" s="191" t="s">
        <v>218</v>
      </c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90" t="s">
        <v>192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90" t="s">
        <v>193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90" t="s">
        <v>194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90" t="s">
        <v>195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90" t="s">
        <v>196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90" t="s">
        <v>197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90" t="s">
        <v>198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90" t="s">
        <v>199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90" t="s">
        <v>200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90" t="s">
        <v>201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90" t="s">
        <v>202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90" t="s">
        <v>203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0" t="s">
        <v>204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0" t="s">
        <v>205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0" t="s">
        <v>206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0" t="s">
        <v>207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0" t="s">
        <v>208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0" t="s">
        <v>209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0" t="s">
        <v>210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0" t="s">
        <v>211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0" t="s">
        <v>212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0" t="s">
        <v>213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0" t="s">
        <v>214</v>
      </c>
      <c r="B27" s="10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0" t="s">
        <v>215</v>
      </c>
      <c r="B28" s="10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0" t="s">
        <v>216</v>
      </c>
      <c r="B29" s="10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0" t="s">
        <v>217</v>
      </c>
      <c r="B30" s="10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0" t="s">
        <v>218</v>
      </c>
      <c r="B31" s="10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2023-08-14T22:58:06Z</dcterms:modified>
</cp:coreProperties>
</file>