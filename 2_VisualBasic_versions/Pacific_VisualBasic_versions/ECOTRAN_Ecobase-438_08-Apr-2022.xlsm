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108" codeName="{6BE1CDB9-6C1C-A5B6-3FC1-E231EC3C600E}"/>
  <workbookPr showInkAnnotation="0" codeName="ThisWorkbook" checkCompatibility="1" autoCompressPictures="0"/>
  <mc:AlternateContent xmlns:mc="http://schemas.openxmlformats.org/markup-compatibility/2006">
    <mc:Choice Requires="x15">
      <x15ac:absPath xmlns:x15ac="http://schemas.microsoft.com/office/spreadsheetml/2010/11/ac" url="/Users/jimsebi/Documents/14_Manuscripts/2022_PICES_SmallPelagicFish/EwEmodel_database/ECOTRAN_versions/ECOTRAN_Pacific/Pacific_ECOTRAN_K-path_versions/"/>
    </mc:Choice>
  </mc:AlternateContent>
  <xr:revisionPtr revIDLastSave="0" documentId="13_ncr:1_{A78EBB3C-BE45-9D4F-ABCB-E61AB75E347A}" xr6:coauthVersionLast="45" xr6:coauthVersionMax="45" xr10:uidLastSave="{00000000-0000-0000-0000-000000000000}"/>
  <bookViews>
    <workbookView xWindow="0" yWindow="460" windowWidth="25600" windowHeight="14240" tabRatio="728" firstSheet="3" activeTab="11" xr2:uid="{00000000-000D-0000-FFFF-FFFF00000000}"/>
  </bookViews>
  <sheets>
    <sheet name="READ ME" sheetId="80" r:id="rId1"/>
    <sheet name="Main" sheetId="75" r:id="rId2"/>
    <sheet name="Diets" sheetId="78" r:id="rId3"/>
    <sheet name="Detritus" sheetId="1" r:id="rId4"/>
    <sheet name="Fishing" sheetId="2" r:id="rId5"/>
    <sheet name="Discards" sheetId="3" r:id="rId6"/>
    <sheet name="pedigree_Parameters" sheetId="87" r:id="rId7"/>
    <sheet name="pedigree_Diet" sheetId="88" r:id="rId8"/>
    <sheet name="pedigree_DietPrefRules" sheetId="89" r:id="rId9"/>
    <sheet name="pedigree_Landings" sheetId="93" r:id="rId10"/>
    <sheet name="pedigree_Discards" sheetId="91" r:id="rId11"/>
    <sheet name="MainOutputs" sheetId="83" r:id="rId12"/>
    <sheet name="Mortalities" sheetId="84" r:id="rId13"/>
    <sheet name="EcotranType" sheetId="85" r:id="rId14"/>
    <sheet name="EcotranRecycling" sheetId="86" r:id="rId15"/>
    <sheet name="FunctionalResponse" sheetId="94" r:id="rId16"/>
  </sheets>
  <functionGroups builtInGroupCount="19"/>
  <definedNames>
    <definedName name="cornerBasic">Main!$C$1</definedName>
    <definedName name="cornerBasicOut">MainOutputs!$A$1</definedName>
    <definedName name="cornerDetritus">Detritus!$A$1</definedName>
    <definedName name="cornerDiets">Diets!$A$1</definedName>
    <definedName name="cornerDiscards">Discards!$A$1</definedName>
    <definedName name="cornerFishing">Fishing!$A$1</definedName>
    <definedName name="cornerMort">Mortalities!$A$1</definedName>
    <definedName name="cornerPedcat">#REF!</definedName>
    <definedName name="cornerPedigree">#REF!</definedName>
    <definedName name="FishingLinks">Main!$B$8</definedName>
    <definedName name="matBasic">Main!$C$2:$N$43</definedName>
    <definedName name="matDetritus">Detritus!$C$2:$E$43</definedName>
    <definedName name="matDiet">Diets!$B$2:$AN$43</definedName>
    <definedName name="matDiscards">Discards!$C$2:$C$42</definedName>
    <definedName name="matFishery">Fishing!$C$2:$C$42</definedName>
    <definedName name="matFishing">Fishing!#REF!</definedName>
    <definedName name="matMort">Mortalities!$A$1:$AS$42</definedName>
    <definedName name="matOut">MainOutputs!$A$2:$I$43</definedName>
    <definedName name="matPedcat">#REF!</definedName>
    <definedName name="matPedigree">#REF!</definedName>
    <definedName name="NumDead">Main!$B$4</definedName>
    <definedName name="NumGears">Main!$B$5</definedName>
    <definedName name="NumLiving">Main!$B$3</definedName>
    <definedName name="PredPreyLinks">Main!$B$7</definedName>
    <definedName name="vecBB">MainOutputs!$E$2:$E$150</definedName>
  </definedNames>
  <calcPr calcId="191029"/>
  <extLst>
    <ext xmlns:mx="http://schemas.microsoft.com/office/mac/excel/2008/main" uri="{7523E5D3-25F3-A5E0-1632-64F254C22452}">
      <mx:ArchID Flags="2"/>
    </ext>
  </extLst>
</workbook>
</file>

<file path=xl/calcChain.xml><?xml version="1.0" encoding="utf-8"?>
<calcChain xmlns="http://schemas.openxmlformats.org/spreadsheetml/2006/main">
  <c r="E42" i="86" l="1"/>
  <c r="D42" i="86"/>
  <c r="B10" i="87"/>
  <c r="B8" i="75"/>
  <c r="B7" i="75"/>
  <c r="X6" i="75"/>
</calcChain>
</file>

<file path=xl/sharedStrings.xml><?xml version="1.0" encoding="utf-8"?>
<sst xmlns="http://schemas.openxmlformats.org/spreadsheetml/2006/main" count="1166" uniqueCount="239">
  <si>
    <t>Group</t>
  </si>
  <si>
    <t>PB</t>
  </si>
  <si>
    <t>QB</t>
  </si>
  <si>
    <t>ProdCons</t>
  </si>
  <si>
    <t>BioAcc</t>
  </si>
  <si>
    <t>Unassim</t>
  </si>
  <si>
    <t>DetInput</t>
  </si>
  <si>
    <t>Type</t>
  </si>
  <si>
    <t>Num</t>
  </si>
  <si>
    <t>Number of living</t>
  </si>
  <si>
    <t>Number of detritus</t>
  </si>
  <si>
    <t>Number of gear</t>
  </si>
  <si>
    <t>TL</t>
  </si>
  <si>
    <t>Biomass</t>
  </si>
  <si>
    <t>EE</t>
  </si>
  <si>
    <t>Mortalities</t>
  </si>
  <si>
    <t>M0</t>
  </si>
  <si>
    <t>B</t>
  </si>
  <si>
    <t>MAIN INPUTS</t>
  </si>
  <si>
    <t>DIETS</t>
  </si>
  <si>
    <t>Detritus Fate</t>
  </si>
  <si>
    <t>Retained Fisheries</t>
  </si>
  <si>
    <t>Fisheries Discards</t>
  </si>
  <si>
    <t>Guild</t>
  </si>
  <si>
    <t>Removals</t>
  </si>
  <si>
    <t>NUM</t>
  </si>
  <si>
    <t>GE</t>
  </si>
  <si>
    <t>PredPreyLinks</t>
  </si>
  <si>
    <t>FishingLinks</t>
  </si>
  <si>
    <t>BALANCE</t>
  </si>
  <si>
    <t>EXPORT TO .CSV</t>
  </si>
  <si>
    <t>max EE--&gt;&gt;</t>
  </si>
  <si>
    <t>Resolved Names</t>
  </si>
  <si>
    <t>EcotranNumber</t>
  </si>
  <si>
    <t>GroupType</t>
  </si>
  <si>
    <t>AggregationCode</t>
  </si>
  <si>
    <t>Aggregation Names</t>
  </si>
  <si>
    <t>Number of Nitrogen Nutrients</t>
  </si>
  <si>
    <t>NO3</t>
  </si>
  <si>
    <t>Number of NonNitrogen Nutrients</t>
  </si>
  <si>
    <t>pelagic NH4</t>
  </si>
  <si>
    <t>benthic NH4</t>
  </si>
  <si>
    <t>large phytoplankton</t>
  </si>
  <si>
    <t>small phytoplankton</t>
  </si>
  <si>
    <t>fishery</t>
  </si>
  <si>
    <t>emigration</t>
  </si>
  <si>
    <t>BA</t>
  </si>
  <si>
    <t>EM</t>
  </si>
  <si>
    <t>DetritusFate_feces</t>
  </si>
  <si>
    <t>ExcretionFate</t>
  </si>
  <si>
    <t>ProductionLossScaler</t>
  </si>
  <si>
    <t>PelagicBacterialReduction</t>
  </si>
  <si>
    <t>surface</t>
  </si>
  <si>
    <t>sub-surface</t>
  </si>
  <si>
    <t>BenthicBacterialReduction</t>
  </si>
  <si>
    <t>Oxidation_NH4</t>
  </si>
  <si>
    <t>PhytoUptake_NH4</t>
  </si>
  <si>
    <t>PhytoUptake_NO3</t>
  </si>
  <si>
    <t>consumer</t>
  </si>
  <si>
    <t>autotroph</t>
  </si>
  <si>
    <t>detritus</t>
  </si>
  <si>
    <t>consumer - pelagic - nekton</t>
  </si>
  <si>
    <t>consumer - pelagic - plankton</t>
  </si>
  <si>
    <t>consumer - benthic - vertebrate</t>
  </si>
  <si>
    <t>eggs</t>
  </si>
  <si>
    <t>ECOTRAN types</t>
  </si>
  <si>
    <t>consumer - benthic - invertebrate</t>
  </si>
  <si>
    <t>macrophytes</t>
  </si>
  <si>
    <t>consumer - pelagic - warm-blooded</t>
  </si>
  <si>
    <t>consumer - benthic - warm-blooded</t>
  </si>
  <si>
    <t>offal</t>
  </si>
  <si>
    <t>pelagic detritus</t>
  </si>
  <si>
    <t>benthic detritus</t>
  </si>
  <si>
    <t>assigned in matlab code later (import??)</t>
  </si>
  <si>
    <t>PhysiologyScaler</t>
  </si>
  <si>
    <t>BiomassScaler</t>
  </si>
  <si>
    <t>FisheriesScaler</t>
  </si>
  <si>
    <t>DietScaler</t>
  </si>
  <si>
    <t>BAScaler</t>
  </si>
  <si>
    <t>EMScaler</t>
  </si>
  <si>
    <t>DiscardScaler</t>
  </si>
  <si>
    <t>minBiomass</t>
  </si>
  <si>
    <t>Pedigree Discards</t>
  </si>
  <si>
    <t>Pedigree Landings</t>
  </si>
  <si>
    <t>B (CV)</t>
  </si>
  <si>
    <t>PB (CV)</t>
  </si>
  <si>
    <t>QB (CV)</t>
  </si>
  <si>
    <t>PQ (CV)</t>
  </si>
  <si>
    <t>AE (CV)</t>
  </si>
  <si>
    <t>B (abs min)</t>
  </si>
  <si>
    <t>PQ (abs min)</t>
  </si>
  <si>
    <t>AE (abs min)</t>
  </si>
  <si>
    <t>QB (abs min)</t>
  </si>
  <si>
    <t>PB (abs min)</t>
  </si>
  <si>
    <t>B (abs max)</t>
  </si>
  <si>
    <t>PB (abs max)</t>
  </si>
  <si>
    <t>QB (abs max)</t>
  </si>
  <si>
    <t>PQ (abs max)</t>
  </si>
  <si>
    <t>AE (abs max)</t>
  </si>
  <si>
    <t>max EE</t>
  </si>
  <si>
    <t>BA (CV)</t>
  </si>
  <si>
    <t>EM (CV)</t>
  </si>
  <si>
    <t>Egg rate (CV)</t>
  </si>
  <si>
    <t>BA (abs min)</t>
  </si>
  <si>
    <t>EM (abs min)</t>
  </si>
  <si>
    <t>Egg rate (abs min)</t>
  </si>
  <si>
    <t>BA (abs max)</t>
  </si>
  <si>
    <t>EM (abs max)</t>
  </si>
  <si>
    <t>Egg rate (abs max)</t>
  </si>
  <si>
    <t>DetritusFate_feces (CV)</t>
  </si>
  <si>
    <t>ExcretionFate (CV)</t>
  </si>
  <si>
    <t>DetritusFate_senescence (CV)</t>
  </si>
  <si>
    <t>DetritusFate_feces (max)</t>
  </si>
  <si>
    <t>DetritusFate_senescence (max)</t>
  </si>
  <si>
    <t>ExcretionFate (max)</t>
  </si>
  <si>
    <t>DetritusFate_feces (min)</t>
  </si>
  <si>
    <t>DetritusFate_senescence (min)</t>
  </si>
  <si>
    <t>ExcretionFate (min)</t>
  </si>
  <si>
    <t>DIET PEDIGREE</t>
  </si>
  <si>
    <t>DetritusFate_senescence</t>
  </si>
  <si>
    <t>Eggs</t>
  </si>
  <si>
    <t>ECOTRAN GroupType definitions</t>
  </si>
  <si>
    <t>terminal pelagic detritus</t>
  </si>
  <si>
    <t>terminal benthic detritus</t>
  </si>
  <si>
    <t>emigration (EM)</t>
  </si>
  <si>
    <t>accumulation (BA)</t>
  </si>
  <si>
    <t>any Nitrogen Nutrient</t>
  </si>
  <si>
    <t>any Primary Producer</t>
  </si>
  <si>
    <t>any consumer</t>
  </si>
  <si>
    <t>any detritus (not egg)</t>
  </si>
  <si>
    <t>PreyGuild_Name</t>
  </si>
  <si>
    <t>PreyGuild_code</t>
  </si>
  <si>
    <t>Metabolism</t>
  </si>
  <si>
    <t>(future)</t>
  </si>
  <si>
    <t>Metabolism rate (CV)</t>
  </si>
  <si>
    <t>Metabolism rate (abs min)</t>
  </si>
  <si>
    <t>Metabolism rate (abs max)</t>
  </si>
  <si>
    <t>EwE type codes</t>
  </si>
  <si>
    <t>biomass accumulation</t>
  </si>
  <si>
    <t>DIET PEDIGREE preference rules</t>
  </si>
  <si>
    <t>(NOTE: these are different from ECOTRAN type codes)</t>
  </si>
  <si>
    <t>NOTES:</t>
  </si>
  <si>
    <t>2) Be sure to enter number of functional groups in cells B3 - B5 on "Main" worksheet</t>
  </si>
  <si>
    <t>1) Every model must have a terminal pelagic and terminal benthic detritus group defined</t>
  </si>
  <si>
    <t>3) AggregationCode on "ECOTRANtype" worksheet will both define groups to aggregate (those with same number get lumped) and the order in the ECOTRAN model</t>
  </si>
  <si>
    <t>This Visual Basic version of EwE was provided courtesy of K. Aydin (AFSC NOAA)</t>
  </si>
  <si>
    <t>(ECOTRAN export mods and messing up by J. Ruzicka)</t>
  </si>
  <si>
    <t>4) note that diet matrix includes the columns for producer groups and detritus groups</t>
  </si>
  <si>
    <t xml:space="preserve"> (now assigned dynamically in "EcotranType" worksheet) 8/19/2013</t>
  </si>
  <si>
    <t>minPhysiology</t>
  </si>
  <si>
    <t>&lt;--(minimum fraction of base value)</t>
  </si>
  <si>
    <t>5) PreyGuild_code numbers refer to AggregationCode numbers as given in "EcotranType" worksheet</t>
  </si>
  <si>
    <t>&lt;-- don't make more prey guilds than this</t>
  </si>
  <si>
    <t>6) on EcotranRecycling page, fishery discards are assigned as "DetritusFate_feces"</t>
  </si>
  <si>
    <t>RetentionScaler</t>
  </si>
  <si>
    <t>( 0 = more advection &lt;--&gt; less advection =1)</t>
  </si>
  <si>
    <t>Functional Response</t>
  </si>
  <si>
    <t>A</t>
  </si>
  <si>
    <t>C</t>
  </si>
  <si>
    <t>D</t>
  </si>
  <si>
    <t>&lt;--based on fraction of total primary production</t>
  </si>
  <si>
    <t>P</t>
  </si>
  <si>
    <t>total--&gt;</t>
  </si>
  <si>
    <t>fraction</t>
  </si>
  <si>
    <t>revision date: 5-1-2016</t>
  </si>
  <si>
    <t>7) allows up to 10 primary producers</t>
  </si>
  <si>
    <t>&lt;-NOTE: PreyGuilds are NOT necessary</t>
  </si>
  <si>
    <t>&lt;-- use AggregationCode numbers and brackets "[ ]"</t>
  </si>
  <si>
    <t>NOTE: Maximum of 10 primary producers-&gt;</t>
  </si>
  <si>
    <t>micrograzers</t>
  </si>
  <si>
    <t>bacteria</t>
  </si>
  <si>
    <t>model number</t>
  </si>
  <si>
    <t>model name</t>
  </si>
  <si>
    <t>country</t>
  </si>
  <si>
    <t>area</t>
  </si>
  <si>
    <t>geographic extent</t>
  </si>
  <si>
    <t>ecosystem type</t>
  </si>
  <si>
    <t>currency units</t>
  </si>
  <si>
    <t>description</t>
  </si>
  <si>
    <t>number of groups</t>
  </si>
  <si>
    <t>number of fleets</t>
  </si>
  <si>
    <t>model year</t>
  </si>
  <si>
    <t>model period</t>
  </si>
  <si>
    <t>reference</t>
  </si>
  <si>
    <t>doi</t>
  </si>
  <si>
    <t>South East Alaska</t>
  </si>
  <si>
    <t>United States of America</t>
  </si>
  <si>
    <t>BOX(-140.021541788383 54.0057093550836,-130.30807272473 60.1382748124894)</t>
  </si>
  <si>
    <t>continental shelf</t>
  </si>
  <si>
    <t>WetWeight</t>
  </si>
  <si>
    <t>; 19-Mar-2005 15:46:29; 19-Mar-2005 17:32:38; 20-Mar-2005 16:17:09; 20-Mar-2005 20:31:46; 10/06/2005 16:59:50; 8/10/2010 11:59:27 AM</t>
  </si>
  <si>
    <t>Guénette S.,Heymans S.J.J.,Christensen V.,Trites A.W.(2006). Ecosystem models show combined effects of fishing, predation, competition, and ocean productivity on Steller sea lions (Eumetopias jubatus) in Alaska Canadian Journal of Fisheries and Aquatic Sciences. pp 2495-2517</t>
  </si>
  <si>
    <t>Transient orca</t>
  </si>
  <si>
    <t>Toothed whales</t>
  </si>
  <si>
    <t>Baleen whales</t>
  </si>
  <si>
    <t>Sea lions embryo</t>
  </si>
  <si>
    <t>Sea lions pup</t>
  </si>
  <si>
    <t>Sea lions juv</t>
  </si>
  <si>
    <t>Sea lions adults</t>
  </si>
  <si>
    <t>Small mammals</t>
  </si>
  <si>
    <t>Sea otters</t>
  </si>
  <si>
    <t>Birds</t>
  </si>
  <si>
    <t>Shark mammal eater</t>
  </si>
  <si>
    <t>Shark and skate</t>
  </si>
  <si>
    <t>Salmon</t>
  </si>
  <si>
    <t>Pel L</t>
  </si>
  <si>
    <t>Pel S</t>
  </si>
  <si>
    <t>Sandlance</t>
  </si>
  <si>
    <t>Herring</t>
  </si>
  <si>
    <t>Pollock juv</t>
  </si>
  <si>
    <t>Pollock adult</t>
  </si>
  <si>
    <t>POP</t>
  </si>
  <si>
    <t>Rockfish slope</t>
  </si>
  <si>
    <t>Rockfish shelf</t>
  </si>
  <si>
    <t>Sablefish</t>
  </si>
  <si>
    <t>Pacific cod</t>
  </si>
  <si>
    <t>Halibut</t>
  </si>
  <si>
    <t>Arrowtooth</t>
  </si>
  <si>
    <t>Dem L</t>
  </si>
  <si>
    <t>Flatfish</t>
  </si>
  <si>
    <t>Dem S</t>
  </si>
  <si>
    <t>Deep L</t>
  </si>
  <si>
    <t>Deep S</t>
  </si>
  <si>
    <t>Shrimps</t>
  </si>
  <si>
    <t>Benthic inverts</t>
  </si>
  <si>
    <t>Epibenthic carnivorous</t>
  </si>
  <si>
    <t>Cephalopods</t>
  </si>
  <si>
    <t>L zoo</t>
  </si>
  <si>
    <t>S zoo</t>
  </si>
  <si>
    <t>Phyto</t>
  </si>
  <si>
    <t>Marine plants</t>
  </si>
  <si>
    <t>Detritus</t>
  </si>
  <si>
    <t>detritus_TerminalBenthic</t>
  </si>
  <si>
    <t>Fleet1</t>
  </si>
  <si>
    <t>Import</t>
  </si>
  <si>
    <t>export</t>
  </si>
  <si>
    <t>sum</t>
  </si>
  <si>
    <t>TOTAL</t>
  </si>
  <si>
    <t>F Fleet1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</si>
</sst>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0"/>
      <name val="Arial"/>
    </font>
    <font>
      <b/>
      <sz val="10"/>
      <name val="Arial"/>
      <family val="2"/>
    </font>
    <font>
      <sz val="8"/>
      <name val="Arial"/>
      <family val="2"/>
    </font>
    <font>
      <i/>
      <sz val="10"/>
      <name val="Arial"/>
      <family val="2"/>
    </font>
    <font>
      <sz val="10"/>
      <name val="Verdana"/>
      <family val="2"/>
    </font>
    <font>
      <u/>
      <sz val="10"/>
      <color theme="10"/>
      <name val="Arial"/>
      <family val="2"/>
    </font>
    <font>
      <u/>
      <sz val="10"/>
      <color theme="11"/>
      <name val="Arial"/>
      <family val="2"/>
    </font>
    <font>
      <b/>
      <u/>
      <sz val="10"/>
      <name val="Arial"/>
      <family val="2"/>
    </font>
    <font>
      <sz val="10"/>
      <color rgb="FFFF0000"/>
      <name val="Arial"/>
      <family val="2"/>
    </font>
    <font>
      <b/>
      <sz val="10"/>
      <color rgb="FFFF0000"/>
      <name val="Arial"/>
      <family val="2"/>
    </font>
    <font>
      <sz val="10"/>
      <color rgb="FF000000"/>
      <name val="Arial"/>
      <family val="2"/>
    </font>
    <font>
      <sz val="10"/>
      <color indexed="10"/>
      <name val="Arial"/>
      <family val="2"/>
    </font>
    <font>
      <b/>
      <sz val="10"/>
      <name val="Verdana"/>
      <family val="2"/>
    </font>
  </fonts>
  <fills count="161">
    <fill>
      <patternFill patternType="none"/>
    </fill>
    <fill>
      <patternFill patternType="gray125"/>
    </fill>
    <fill>
      <patternFill patternType="solid">
        <fgColor indexed="53"/>
        <bgColor indexed="64"/>
      </patternFill>
    </fill>
    <fill>
      <patternFill patternType="solid">
        <fgColor rgb="FF00FFFF"/>
        <bgColor indexed="64"/>
      </patternFill>
    </fill>
    <fill>
      <patternFill patternType="solid">
        <fgColor rgb="FFFFFFFF"/>
        <bgColor indexed="64"/>
      </patternFill>
    </fill>
    <fill>
      <patternFill patternType="solid">
        <fgColor rgb="FF808080"/>
        <bgColor indexed="64"/>
      </patternFill>
    </fill>
    <fill>
      <patternFill patternType="solid">
        <fgColor rgb="FF00FF00"/>
        <bgColor indexed="64"/>
      </patternFill>
    </fill>
    <fill>
      <patternFill patternType="solid">
        <fgColor rgb="FF02FF00"/>
        <bgColor indexed="64"/>
      </patternFill>
    </fill>
    <fill>
      <patternFill patternType="solid">
        <fgColor rgb="FF13FF00"/>
        <bgColor indexed="64"/>
      </patternFill>
    </fill>
    <fill>
      <patternFill patternType="solid">
        <fgColor rgb="FF01FF00"/>
        <bgColor indexed="64"/>
      </patternFill>
    </fill>
    <fill>
      <patternFill patternType="solid">
        <fgColor rgb="FF05FF00"/>
        <bgColor indexed="64"/>
      </patternFill>
    </fill>
    <fill>
      <patternFill patternType="solid">
        <fgColor rgb="FF08FF00"/>
        <bgColor indexed="64"/>
      </patternFill>
    </fill>
    <fill>
      <patternFill patternType="solid">
        <fgColor rgb="FF07FF00"/>
        <bgColor indexed="64"/>
      </patternFill>
    </fill>
    <fill>
      <patternFill patternType="solid">
        <fgColor rgb="FF06FF00"/>
        <bgColor indexed="64"/>
      </patternFill>
    </fill>
    <fill>
      <patternFill patternType="solid">
        <fgColor rgb="FF09FF00"/>
        <bgColor indexed="64"/>
      </patternFill>
    </fill>
    <fill>
      <patternFill patternType="solid">
        <fgColor rgb="FF16FF00"/>
        <bgColor indexed="64"/>
      </patternFill>
    </fill>
    <fill>
      <patternFill patternType="solid">
        <fgColor rgb="FF0AFF00"/>
        <bgColor indexed="64"/>
      </patternFill>
    </fill>
    <fill>
      <patternFill patternType="solid">
        <fgColor rgb="FF04FF00"/>
        <bgColor indexed="64"/>
      </patternFill>
    </fill>
    <fill>
      <patternFill patternType="solid">
        <fgColor rgb="FF03FF00"/>
        <bgColor indexed="64"/>
      </patternFill>
    </fill>
    <fill>
      <patternFill patternType="solid">
        <fgColor rgb="FF0EFF00"/>
        <bgColor indexed="64"/>
      </patternFill>
    </fill>
    <fill>
      <patternFill patternType="solid">
        <fgColor rgb="FF10FF00"/>
        <bgColor indexed="64"/>
      </patternFill>
    </fill>
    <fill>
      <patternFill patternType="solid">
        <fgColor rgb="FF0DFF00"/>
        <bgColor indexed="64"/>
      </patternFill>
    </fill>
    <fill>
      <patternFill patternType="solid">
        <fgColor rgb="FF27FF00"/>
        <bgColor indexed="64"/>
      </patternFill>
    </fill>
    <fill>
      <patternFill patternType="solid">
        <fgColor rgb="FF12FF00"/>
        <bgColor indexed="64"/>
      </patternFill>
    </fill>
    <fill>
      <patternFill patternType="solid">
        <fgColor rgb="FF18FF00"/>
        <bgColor indexed="64"/>
      </patternFill>
    </fill>
    <fill>
      <patternFill patternType="solid">
        <fgColor rgb="FFFF6600"/>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theme="3" tint="0.39997558519241921"/>
        <bgColor indexed="64"/>
      </patternFill>
    </fill>
    <fill>
      <patternFill patternType="solid">
        <fgColor theme="2" tint="-0.24994659260841701"/>
        <bgColor indexed="64"/>
      </patternFill>
    </fill>
    <fill>
      <patternFill patternType="solid">
        <fgColor theme="7" tint="0.39997558519241921"/>
        <bgColor indexed="64"/>
      </patternFill>
    </fill>
    <fill>
      <patternFill patternType="solid">
        <fgColor rgb="FF1CFF00"/>
        <bgColor indexed="64"/>
      </patternFill>
    </fill>
    <fill>
      <patternFill patternType="solid">
        <fgColor rgb="FF0BFF00"/>
        <bgColor indexed="64"/>
      </patternFill>
    </fill>
    <fill>
      <patternFill patternType="solid">
        <fgColor rgb="FF15FF00"/>
        <bgColor indexed="64"/>
      </patternFill>
    </fill>
    <fill>
      <patternFill patternType="solid">
        <fgColor rgb="FF2FFF00"/>
        <bgColor indexed="64"/>
      </patternFill>
    </fill>
    <fill>
      <patternFill patternType="solid">
        <fgColor rgb="FF1AFF00"/>
        <bgColor indexed="64"/>
      </patternFill>
    </fill>
    <fill>
      <patternFill patternType="solid">
        <fgColor rgb="FF24FF00"/>
        <bgColor indexed="64"/>
      </patternFill>
    </fill>
    <fill>
      <patternFill patternType="solid">
        <fgColor theme="9"/>
        <bgColor indexed="64"/>
      </patternFill>
    </fill>
    <fill>
      <patternFill patternType="solid">
        <fgColor rgb="FF30FF00"/>
        <bgColor indexed="64"/>
      </patternFill>
    </fill>
    <fill>
      <patternFill patternType="solid">
        <fgColor rgb="FF21FF00"/>
        <bgColor indexed="64"/>
      </patternFill>
    </fill>
    <fill>
      <patternFill patternType="solid">
        <fgColor rgb="FF48FF00"/>
        <bgColor indexed="64"/>
      </patternFill>
    </fill>
    <fill>
      <patternFill patternType="solid">
        <fgColor rgb="FF71FF00"/>
        <bgColor indexed="64"/>
      </patternFill>
    </fill>
    <fill>
      <patternFill patternType="solid">
        <fgColor rgb="FF3FFF00"/>
        <bgColor indexed="64"/>
      </patternFill>
    </fill>
    <fill>
      <patternFill patternType="solid">
        <fgColor rgb="FF50FF00"/>
        <bgColor indexed="64"/>
      </patternFill>
    </fill>
    <fill>
      <patternFill patternType="solid">
        <fgColor rgb="FF22FF00"/>
        <bgColor indexed="64"/>
      </patternFill>
    </fill>
    <fill>
      <patternFill patternType="solid">
        <fgColor rgb="FF58FF00"/>
        <bgColor indexed="64"/>
      </patternFill>
    </fill>
    <fill>
      <patternFill patternType="solid">
        <fgColor rgb="FF97FF00"/>
        <bgColor indexed="64"/>
      </patternFill>
    </fill>
    <fill>
      <patternFill patternType="solid">
        <fgColor rgb="FF5DFF00"/>
        <bgColor indexed="64"/>
      </patternFill>
    </fill>
    <fill>
      <patternFill patternType="solid">
        <fgColor rgb="FF42FF00"/>
        <bgColor indexed="64"/>
      </patternFill>
    </fill>
    <fill>
      <patternFill patternType="solid">
        <fgColor rgb="FF6EFF00"/>
        <bgColor indexed="64"/>
      </patternFill>
    </fill>
    <fill>
      <patternFill patternType="solid">
        <fgColor rgb="FFE9FF00"/>
        <bgColor indexed="64"/>
      </patternFill>
    </fill>
    <fill>
      <patternFill patternType="solid">
        <fgColor rgb="FF33FF00"/>
        <bgColor indexed="64"/>
      </patternFill>
    </fill>
    <fill>
      <patternFill patternType="solid">
        <fgColor rgb="FF0FFF00"/>
        <bgColor indexed="64"/>
      </patternFill>
    </fill>
    <fill>
      <patternFill patternType="solid">
        <fgColor rgb="FF81FF00"/>
        <bgColor indexed="64"/>
      </patternFill>
    </fill>
    <fill>
      <patternFill patternType="solid">
        <fgColor rgb="FF82FF00"/>
        <bgColor indexed="64"/>
      </patternFill>
    </fill>
    <fill>
      <patternFill patternType="solid">
        <fgColor rgb="FFB48894"/>
        <bgColor indexed="64"/>
      </patternFill>
    </fill>
    <fill>
      <patternFill patternType="solid">
        <fgColor rgb="FF4A4DC6"/>
        <bgColor indexed="64"/>
      </patternFill>
    </fill>
    <fill>
      <patternFill patternType="solid">
        <fgColor rgb="FF04C2D0"/>
        <bgColor indexed="64"/>
      </patternFill>
    </fill>
    <fill>
      <patternFill patternType="solid">
        <fgColor rgb="FFB50C6A"/>
        <bgColor indexed="64"/>
      </patternFill>
    </fill>
    <fill>
      <patternFill patternType="solid">
        <fgColor rgb="FFDCCA5F"/>
        <bgColor indexed="64"/>
      </patternFill>
    </fill>
    <fill>
      <patternFill patternType="solid">
        <fgColor rgb="FFF5DE0E"/>
        <bgColor indexed="64"/>
      </patternFill>
    </fill>
    <fill>
      <patternFill patternType="solid">
        <fgColor rgb="FFF25D86"/>
        <bgColor indexed="64"/>
      </patternFill>
    </fill>
    <fill>
      <patternFill patternType="solid">
        <fgColor rgb="FFC40E97"/>
        <bgColor indexed="64"/>
      </patternFill>
    </fill>
    <fill>
      <patternFill patternType="solid">
        <fgColor rgb="FF784C9F"/>
        <bgColor indexed="64"/>
      </patternFill>
    </fill>
    <fill>
      <patternFill patternType="solid">
        <fgColor rgb="FFA54347"/>
        <bgColor indexed="64"/>
      </patternFill>
    </fill>
    <fill>
      <patternFill patternType="solid">
        <fgColor rgb="FFD4D296"/>
        <bgColor indexed="64"/>
      </patternFill>
    </fill>
    <fill>
      <patternFill patternType="solid">
        <fgColor rgb="FFFBE83A"/>
        <bgColor indexed="64"/>
      </patternFill>
    </fill>
    <fill>
      <patternFill patternType="solid">
        <fgColor rgb="FFB1FA3E"/>
        <bgColor indexed="64"/>
      </patternFill>
    </fill>
    <fill>
      <patternFill patternType="solid">
        <fgColor rgb="FF881BFF"/>
        <bgColor indexed="64"/>
      </patternFill>
    </fill>
    <fill>
      <patternFill patternType="solid">
        <fgColor rgb="FFAC0493"/>
        <bgColor indexed="64"/>
      </patternFill>
    </fill>
    <fill>
      <patternFill patternType="solid">
        <fgColor rgb="FF1A1ACC"/>
        <bgColor indexed="64"/>
      </patternFill>
    </fill>
    <fill>
      <patternFill patternType="solid">
        <fgColor rgb="FF490C4B"/>
        <bgColor indexed="64"/>
      </patternFill>
    </fill>
    <fill>
      <patternFill patternType="solid">
        <fgColor rgb="FF614DF2"/>
        <bgColor indexed="64"/>
      </patternFill>
    </fill>
    <fill>
      <patternFill patternType="solid">
        <fgColor rgb="FFFA6647"/>
        <bgColor indexed="64"/>
      </patternFill>
    </fill>
    <fill>
      <patternFill patternType="solid">
        <fgColor rgb="FF292AA5"/>
        <bgColor indexed="64"/>
      </patternFill>
    </fill>
    <fill>
      <patternFill patternType="solid">
        <fgColor rgb="FF6969B6"/>
        <bgColor indexed="64"/>
      </patternFill>
    </fill>
    <fill>
      <patternFill patternType="solid">
        <fgColor rgb="FF53A135"/>
        <bgColor indexed="64"/>
      </patternFill>
    </fill>
    <fill>
      <patternFill patternType="solid">
        <fgColor rgb="FF2F9515"/>
        <bgColor indexed="64"/>
      </patternFill>
    </fill>
    <fill>
      <patternFill patternType="solid">
        <fgColor rgb="FF75E743"/>
        <bgColor indexed="64"/>
      </patternFill>
    </fill>
    <fill>
      <patternFill patternType="solid">
        <fgColor rgb="FFC8614A"/>
        <bgColor indexed="64"/>
      </patternFill>
    </fill>
    <fill>
      <patternFill patternType="solid">
        <fgColor rgb="FFEAA1A0"/>
        <bgColor indexed="64"/>
      </patternFill>
    </fill>
    <fill>
      <patternFill patternType="solid">
        <fgColor rgb="FF6D198F"/>
        <bgColor indexed="64"/>
      </patternFill>
    </fill>
    <fill>
      <patternFill patternType="solid">
        <fgColor rgb="FFB1E9D5"/>
        <bgColor indexed="64"/>
      </patternFill>
    </fill>
    <fill>
      <patternFill patternType="solid">
        <fgColor rgb="FF068BEA"/>
        <bgColor indexed="64"/>
      </patternFill>
    </fill>
    <fill>
      <patternFill patternType="solid">
        <fgColor rgb="FF6EAD80"/>
        <bgColor indexed="64"/>
      </patternFill>
    </fill>
    <fill>
      <patternFill patternType="solid">
        <fgColor rgb="FF83765A"/>
        <bgColor indexed="64"/>
      </patternFill>
    </fill>
    <fill>
      <patternFill patternType="solid">
        <fgColor rgb="FF67450E"/>
        <bgColor indexed="64"/>
      </patternFill>
    </fill>
    <fill>
      <patternFill patternType="solid">
        <fgColor rgb="FF3EFA10"/>
        <bgColor indexed="64"/>
      </patternFill>
    </fill>
    <fill>
      <patternFill patternType="solid">
        <fgColor rgb="FF645D7D"/>
        <bgColor indexed="64"/>
      </patternFill>
    </fill>
    <fill>
      <patternFill patternType="solid">
        <fgColor rgb="FF287942"/>
        <bgColor indexed="64"/>
      </patternFill>
    </fill>
    <fill>
      <patternFill patternType="solid">
        <fgColor rgb="FFA08A28"/>
        <bgColor indexed="64"/>
      </patternFill>
    </fill>
    <fill>
      <patternFill patternType="solid">
        <fgColor rgb="FFEFA781"/>
        <bgColor indexed="64"/>
      </patternFill>
    </fill>
    <fill>
      <patternFill patternType="solid">
        <fgColor rgb="FF641BC8"/>
        <bgColor indexed="64"/>
      </patternFill>
    </fill>
    <fill>
      <patternFill patternType="solid">
        <fgColor rgb="FF75C098"/>
        <bgColor indexed="64"/>
      </patternFill>
    </fill>
    <fill>
      <patternFill patternType="solid">
        <fgColor rgb="FFD40536"/>
        <bgColor indexed="64"/>
      </patternFill>
    </fill>
    <fill>
      <patternFill patternType="solid">
        <fgColor rgb="FF131B55"/>
        <bgColor indexed="64"/>
      </patternFill>
    </fill>
    <fill>
      <patternFill patternType="solid">
        <fgColor rgb="FF210089"/>
        <bgColor indexed="64"/>
      </patternFill>
    </fill>
    <fill>
      <patternFill patternType="solid">
        <fgColor rgb="FFFF7200"/>
        <bgColor indexed="64"/>
      </patternFill>
    </fill>
    <fill>
      <patternFill patternType="solid">
        <fgColor rgb="FFD7FF00"/>
        <bgColor indexed="64"/>
      </patternFill>
    </fill>
    <fill>
      <patternFill patternType="solid">
        <fgColor rgb="FF77FF00"/>
        <bgColor indexed="64"/>
      </patternFill>
    </fill>
    <fill>
      <patternFill patternType="solid">
        <fgColor rgb="FFD8FF00"/>
        <bgColor indexed="64"/>
      </patternFill>
    </fill>
    <fill>
      <patternFill patternType="solid">
        <fgColor rgb="FF35FF00"/>
        <bgColor indexed="64"/>
      </patternFill>
    </fill>
    <fill>
      <patternFill patternType="solid">
        <fgColor rgb="FFFF2400"/>
        <bgColor indexed="64"/>
      </patternFill>
    </fill>
    <fill>
      <patternFill patternType="solid">
        <fgColor rgb="FF7CFF00"/>
        <bgColor indexed="64"/>
      </patternFill>
    </fill>
    <fill>
      <patternFill patternType="solid">
        <fgColor rgb="FFFFD900"/>
        <bgColor indexed="64"/>
      </patternFill>
    </fill>
    <fill>
      <patternFill patternType="solid">
        <fgColor rgb="FF11FF00"/>
        <bgColor indexed="64"/>
      </patternFill>
    </fill>
    <fill>
      <patternFill patternType="solid">
        <fgColor rgb="FF23FF00"/>
        <bgColor indexed="64"/>
      </patternFill>
    </fill>
    <fill>
      <patternFill patternType="solid">
        <fgColor rgb="FF4FFF00"/>
        <bgColor indexed="64"/>
      </patternFill>
    </fill>
    <fill>
      <patternFill patternType="solid">
        <fgColor rgb="FFFF9800"/>
        <bgColor indexed="64"/>
      </patternFill>
    </fill>
    <fill>
      <patternFill patternType="solid">
        <fgColor rgb="FF2EFF00"/>
        <bgColor indexed="64"/>
      </patternFill>
    </fill>
    <fill>
      <patternFill patternType="solid">
        <fgColor rgb="FF17FF00"/>
        <bgColor indexed="64"/>
      </patternFill>
    </fill>
    <fill>
      <patternFill patternType="solid">
        <fgColor rgb="FF2BFF00"/>
        <bgColor indexed="64"/>
      </patternFill>
    </fill>
    <fill>
      <patternFill patternType="solid">
        <fgColor rgb="FF44FF00"/>
        <bgColor indexed="64"/>
      </patternFill>
    </fill>
    <fill>
      <patternFill patternType="solid">
        <fgColor rgb="FF70FF00"/>
        <bgColor indexed="64"/>
      </patternFill>
    </fill>
    <fill>
      <patternFill patternType="solid">
        <fgColor rgb="FF2DFF00"/>
        <bgColor indexed="64"/>
      </patternFill>
    </fill>
    <fill>
      <patternFill patternType="solid">
        <fgColor rgb="FF3BFF00"/>
        <bgColor indexed="64"/>
      </patternFill>
    </fill>
    <fill>
      <patternFill patternType="solid">
        <fgColor rgb="FFFF9900"/>
        <bgColor indexed="64"/>
      </patternFill>
    </fill>
    <fill>
      <patternFill patternType="solid">
        <fgColor rgb="FF41FF00"/>
        <bgColor indexed="64"/>
      </patternFill>
    </fill>
    <fill>
      <patternFill patternType="solid">
        <fgColor rgb="FF0CFF00"/>
        <bgColor indexed="64"/>
      </patternFill>
    </fill>
    <fill>
      <patternFill patternType="solid">
        <fgColor rgb="FF6CFF00"/>
        <bgColor indexed="64"/>
      </patternFill>
    </fill>
    <fill>
      <patternFill patternType="solid">
        <fgColor rgb="FF14FF00"/>
        <bgColor indexed="64"/>
      </patternFill>
    </fill>
    <fill>
      <patternFill patternType="solid">
        <fgColor rgb="FFA2FF00"/>
        <bgColor indexed="64"/>
      </patternFill>
    </fill>
    <fill>
      <patternFill patternType="solid">
        <fgColor rgb="FF19FF00"/>
        <bgColor indexed="64"/>
      </patternFill>
    </fill>
    <fill>
      <patternFill patternType="solid">
        <fgColor rgb="FF1DFF00"/>
        <bgColor indexed="64"/>
      </patternFill>
    </fill>
    <fill>
      <patternFill patternType="solid">
        <fgColor rgb="FF4CFF00"/>
        <bgColor indexed="64"/>
      </patternFill>
    </fill>
    <fill>
      <patternFill patternType="solid">
        <fgColor rgb="FF36FF00"/>
        <bgColor indexed="64"/>
      </patternFill>
    </fill>
    <fill>
      <patternFill patternType="solid">
        <fgColor rgb="FFFFA700"/>
        <bgColor indexed="64"/>
      </patternFill>
    </fill>
    <fill>
      <patternFill patternType="solid">
        <fgColor rgb="FF39FF00"/>
        <bgColor indexed="64"/>
      </patternFill>
    </fill>
    <fill>
      <patternFill patternType="solid">
        <fgColor rgb="FF3CFF00"/>
        <bgColor indexed="64"/>
      </patternFill>
    </fill>
    <fill>
      <patternFill patternType="solid">
        <fgColor rgb="FF26FF00"/>
        <bgColor indexed="64"/>
      </patternFill>
    </fill>
    <fill>
      <patternFill patternType="solid">
        <fgColor rgb="FF29FF00"/>
        <bgColor indexed="64"/>
      </patternFill>
    </fill>
    <fill>
      <patternFill patternType="solid">
        <fgColor rgb="FF37FF00"/>
        <bgColor indexed="64"/>
      </patternFill>
    </fill>
    <fill>
      <patternFill patternType="solid">
        <fgColor rgb="FF32FF00"/>
        <bgColor indexed="64"/>
      </patternFill>
    </fill>
    <fill>
      <patternFill patternType="solid">
        <fgColor rgb="FF69FF00"/>
        <bgColor indexed="64"/>
      </patternFill>
    </fill>
    <fill>
      <patternFill patternType="solid">
        <fgColor rgb="FF6AFF00"/>
        <bgColor indexed="64"/>
      </patternFill>
    </fill>
    <fill>
      <patternFill patternType="solid">
        <fgColor rgb="FFDAFF00"/>
        <bgColor indexed="64"/>
      </patternFill>
    </fill>
    <fill>
      <patternFill patternType="solid">
        <fgColor rgb="FF5CFF00"/>
        <bgColor indexed="64"/>
      </patternFill>
    </fill>
    <fill>
      <patternFill patternType="solid">
        <fgColor rgb="FF43FF00"/>
        <bgColor indexed="64"/>
      </patternFill>
    </fill>
    <fill>
      <patternFill patternType="solid">
        <fgColor rgb="FF74FF00"/>
        <bgColor indexed="64"/>
      </patternFill>
    </fill>
    <fill>
      <patternFill patternType="solid">
        <fgColor rgb="FF47FF00"/>
        <bgColor indexed="64"/>
      </patternFill>
    </fill>
    <fill>
      <patternFill patternType="solid">
        <fgColor rgb="FFA5FF00"/>
        <bgColor indexed="64"/>
      </patternFill>
    </fill>
    <fill>
      <patternFill patternType="solid">
        <fgColor rgb="FF5AFF00"/>
        <bgColor indexed="64"/>
      </patternFill>
    </fill>
    <fill>
      <patternFill patternType="solid">
        <fgColor rgb="FF1BFF00"/>
        <bgColor indexed="64"/>
      </patternFill>
    </fill>
    <fill>
      <patternFill patternType="solid">
        <fgColor rgb="FFFFED00"/>
        <bgColor indexed="64"/>
      </patternFill>
    </fill>
    <fill>
      <patternFill patternType="solid">
        <fgColor rgb="FF2AFF00"/>
        <bgColor indexed="64"/>
      </patternFill>
    </fill>
    <fill>
      <patternFill patternType="solid">
        <fgColor rgb="FF3AFF00"/>
        <bgColor indexed="64"/>
      </patternFill>
    </fill>
    <fill>
      <patternFill patternType="solid">
        <fgColor rgb="FFB8FF00"/>
        <bgColor indexed="64"/>
      </patternFill>
    </fill>
    <fill>
      <patternFill patternType="solid">
        <fgColor rgb="FF61FF00"/>
        <bgColor indexed="64"/>
      </patternFill>
    </fill>
    <fill>
      <patternFill patternType="solid">
        <fgColor rgb="FF54FF00"/>
        <bgColor indexed="64"/>
      </patternFill>
    </fill>
    <fill>
      <patternFill patternType="solid">
        <fgColor rgb="FF59FF00"/>
        <bgColor indexed="64"/>
      </patternFill>
    </fill>
    <fill>
      <patternFill patternType="solid">
        <fgColor rgb="FFB1FF00"/>
        <bgColor indexed="64"/>
      </patternFill>
    </fill>
    <fill>
      <patternFill patternType="solid">
        <fgColor rgb="FF4AFF00"/>
        <bgColor indexed="64"/>
      </patternFill>
    </fill>
    <fill>
      <patternFill patternType="solid">
        <fgColor rgb="FF31FF00"/>
        <bgColor indexed="64"/>
      </patternFill>
    </fill>
    <fill>
      <patternFill patternType="solid">
        <fgColor rgb="FFEEFF00"/>
        <bgColor indexed="64"/>
      </patternFill>
    </fill>
    <fill>
      <patternFill patternType="solid">
        <fgColor rgb="FFFBFF00"/>
        <bgColor indexed="64"/>
      </patternFill>
    </fill>
    <fill>
      <patternFill patternType="solid">
        <fgColor rgb="FF78FF00"/>
        <bgColor indexed="64"/>
      </patternFill>
    </fill>
    <fill>
      <patternFill patternType="solid">
        <fgColor rgb="FF7EFF00"/>
        <bgColor indexed="64"/>
      </patternFill>
    </fill>
    <fill>
      <patternFill patternType="solid">
        <fgColor rgb="FFFCFF00"/>
        <bgColor indexed="64"/>
      </patternFill>
    </fill>
    <fill>
      <patternFill patternType="solid">
        <fgColor rgb="FFFF5600"/>
        <bgColor indexed="64"/>
      </patternFill>
    </fill>
    <fill>
      <patternFill patternType="solid">
        <fgColor rgb="FFFFC000"/>
        <bgColor indexed="64"/>
      </patternFill>
    </fill>
    <fill>
      <patternFill patternType="solid">
        <fgColor rgb="FFFFCA00"/>
        <bgColor indexed="64"/>
      </patternFill>
    </fill>
  </fills>
  <borders count="54">
    <border>
      <left/>
      <right/>
      <top/>
      <bottom/>
      <diagonal/>
    </border>
    <border>
      <left/>
      <right/>
      <top/>
      <bottom style="thin">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thin">
        <color rgb="FFC0C0C0"/>
      </left>
      <right/>
      <top style="thin">
        <color rgb="FFC0C0C0"/>
      </top>
      <bottom style="thin">
        <color rgb="FFC0C0C0"/>
      </bottom>
      <diagonal/>
    </border>
    <border>
      <left style="thin">
        <color rgb="FFC0C0C0"/>
      </left>
      <right/>
      <top/>
      <bottom style="thin">
        <color rgb="FFC0C0C0"/>
      </bottom>
      <diagonal/>
    </border>
    <border>
      <left style="thin">
        <color auto="1"/>
      </left>
      <right/>
      <top style="thin">
        <color auto="1"/>
      </top>
      <bottom/>
      <diagonal/>
    </border>
    <border>
      <left style="thin">
        <color auto="1"/>
      </left>
      <right/>
      <top/>
      <bottom/>
      <diagonal/>
    </border>
    <border>
      <left/>
      <right style="thin">
        <color auto="1"/>
      </right>
      <top/>
      <bottom/>
      <diagonal/>
    </border>
    <border>
      <left style="thin">
        <color auto="1"/>
      </left>
      <right/>
      <top style="thin">
        <color rgb="FFC0C0C0"/>
      </top>
      <bottom style="thin">
        <color rgb="FFC0C0C0"/>
      </bottom>
      <diagonal/>
    </border>
    <border>
      <left style="thin">
        <color auto="1"/>
      </left>
      <right/>
      <top/>
      <bottom style="thin">
        <color rgb="FFC0C0C0"/>
      </bottom>
      <diagonal/>
    </border>
    <border>
      <left/>
      <right style="thin">
        <color auto="1"/>
      </right>
      <top/>
      <bottom style="medium">
        <color auto="1"/>
      </bottom>
      <diagonal/>
    </border>
    <border>
      <left style="thin">
        <color auto="1"/>
      </left>
      <right/>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s>
  <cellStyleXfs count="3654">
    <xf numFmtId="0" fontId="0"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4"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cellStyleXfs>
  <cellXfs count="283">
    <xf numFmtId="0" fontId="0" fillId="0" borderId="0" xfId="0"/>
    <xf numFmtId="0" fontId="1" fillId="0" borderId="0" xfId="0" applyFont="1"/>
    <xf numFmtId="0" fontId="3" fillId="0" borderId="0" xfId="0" applyFont="1"/>
    <xf numFmtId="0" fontId="1" fillId="0" borderId="0" xfId="0" applyFont="1" applyAlignment="1">
      <alignment wrapText="1"/>
    </xf>
    <xf numFmtId="0" fontId="1" fillId="2" borderId="0" xfId="0" applyFont="1" applyFill="1"/>
    <xf numFmtId="0" fontId="1" fillId="2" borderId="0" xfId="0" applyFont="1" applyFill="1" applyAlignment="1">
      <alignment wrapText="1"/>
    </xf>
    <xf numFmtId="0" fontId="0" fillId="0" borderId="0" xfId="0" applyFill="1"/>
    <xf numFmtId="0" fontId="0" fillId="3" borderId="0" xfId="0" applyFill="1"/>
    <xf numFmtId="2" fontId="0" fillId="3" borderId="0" xfId="0" applyNumberFormat="1" applyFill="1"/>
    <xf numFmtId="0" fontId="0" fillId="4" borderId="0" xfId="0" applyFill="1"/>
    <xf numFmtId="0" fontId="0" fillId="5" borderId="0" xfId="0" applyFill="1"/>
    <xf numFmtId="0" fontId="0" fillId="6" borderId="0" xfId="0" applyFill="1"/>
    <xf numFmtId="0" fontId="0" fillId="7" borderId="0" xfId="0" applyFill="1"/>
    <xf numFmtId="0" fontId="0" fillId="8" borderId="0" xfId="0" applyFill="1"/>
    <xf numFmtId="0" fontId="0" fillId="9" borderId="0" xfId="0" applyFill="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6" borderId="0" xfId="0" applyFill="1"/>
    <xf numFmtId="0" fontId="0" fillId="17" borderId="0" xfId="0" applyFill="1"/>
    <xf numFmtId="0" fontId="0" fillId="18" borderId="0" xfId="0" applyFill="1"/>
    <xf numFmtId="0" fontId="0" fillId="19" borderId="0" xfId="0" applyFill="1"/>
    <xf numFmtId="0" fontId="0" fillId="20" borderId="0" xfId="0" applyFill="1"/>
    <xf numFmtId="0" fontId="0" fillId="21" borderId="0" xfId="0" applyFill="1"/>
    <xf numFmtId="0" fontId="0" fillId="22" borderId="0" xfId="0" applyFill="1"/>
    <xf numFmtId="0" fontId="0" fillId="23" borderId="0" xfId="0" applyFill="1"/>
    <xf numFmtId="0" fontId="0" fillId="24" borderId="0" xfId="0" applyFill="1"/>
    <xf numFmtId="14" fontId="0" fillId="0" borderId="0" xfId="0" applyNumberFormat="1"/>
    <xf numFmtId="0" fontId="0" fillId="0" borderId="6" xfId="0" applyBorder="1"/>
    <xf numFmtId="0" fontId="0" fillId="0" borderId="7" xfId="0" applyBorder="1"/>
    <xf numFmtId="0" fontId="0" fillId="0" borderId="8" xfId="0" applyBorder="1"/>
    <xf numFmtId="0" fontId="0" fillId="0" borderId="11" xfId="0" applyBorder="1"/>
    <xf numFmtId="2" fontId="1" fillId="0" borderId="0" xfId="0" applyNumberFormat="1" applyFont="1"/>
    <xf numFmtId="0" fontId="1" fillId="0" borderId="0" xfId="0" applyFont="1" applyAlignment="1">
      <alignment horizontal="right"/>
    </xf>
    <xf numFmtId="0" fontId="1" fillId="0" borderId="0" xfId="0" applyFont="1" applyFill="1" applyAlignment="1">
      <alignment horizontal="center"/>
    </xf>
    <xf numFmtId="0" fontId="0" fillId="0" borderId="0" xfId="0" applyFill="1" applyBorder="1" applyAlignment="1">
      <alignment horizontal="center"/>
    </xf>
    <xf numFmtId="0" fontId="1" fillId="2" borderId="2" xfId="0" applyFont="1" applyFill="1" applyBorder="1" applyAlignment="1">
      <alignment horizontal="center"/>
    </xf>
    <xf numFmtId="0" fontId="1" fillId="2" borderId="3" xfId="0" applyFont="1" applyFill="1" applyBorder="1" applyAlignment="1">
      <alignment horizontal="center"/>
    </xf>
    <xf numFmtId="0" fontId="7" fillId="0" borderId="0" xfId="0" applyFont="1" applyAlignment="1">
      <alignment horizontal="right"/>
    </xf>
    <xf numFmtId="0" fontId="1" fillId="0" borderId="0" xfId="0" applyFont="1" applyFill="1" applyBorder="1" applyAlignment="1">
      <alignment horizontal="right"/>
    </xf>
    <xf numFmtId="0" fontId="1" fillId="25" borderId="2" xfId="0" applyFont="1" applyFill="1" applyBorder="1" applyAlignment="1">
      <alignment horizontal="center"/>
    </xf>
    <xf numFmtId="0" fontId="1" fillId="25" borderId="4" xfId="0" applyFont="1" applyFill="1" applyBorder="1" applyAlignment="1">
      <alignment horizontal="center"/>
    </xf>
    <xf numFmtId="0" fontId="1" fillId="25" borderId="3" xfId="0" applyFont="1" applyFill="1" applyBorder="1" applyAlignment="1">
      <alignment horizontal="center"/>
    </xf>
    <xf numFmtId="0" fontId="1" fillId="0" borderId="10" xfId="0" applyFont="1" applyBorder="1" applyAlignment="1">
      <alignment horizontal="center"/>
    </xf>
    <xf numFmtId="0" fontId="1" fillId="0" borderId="13" xfId="0" applyFont="1" applyBorder="1" applyAlignment="1">
      <alignment horizontal="center"/>
    </xf>
    <xf numFmtId="0" fontId="0" fillId="0" borderId="14" xfId="0" applyBorder="1"/>
    <xf numFmtId="0" fontId="0" fillId="0" borderId="7" xfId="0" applyBorder="1" applyAlignment="1">
      <alignment horizontal="right"/>
    </xf>
    <xf numFmtId="0" fontId="0" fillId="0" borderId="9" xfId="0" applyBorder="1" applyAlignment="1">
      <alignment horizontal="right"/>
    </xf>
    <xf numFmtId="0" fontId="0" fillId="0" borderId="7" xfId="0" applyFill="1" applyBorder="1" applyAlignment="1">
      <alignment horizontal="left"/>
    </xf>
    <xf numFmtId="2" fontId="1" fillId="0" borderId="12" xfId="0" applyNumberFormat="1" applyFont="1" applyBorder="1" applyAlignment="1">
      <alignment horizontal="center"/>
    </xf>
    <xf numFmtId="0" fontId="0" fillId="0" borderId="5" xfId="0" applyBorder="1" applyAlignment="1">
      <alignment horizontal="right"/>
    </xf>
    <xf numFmtId="0" fontId="1" fillId="0" borderId="0" xfId="0" applyFont="1" applyFill="1"/>
    <xf numFmtId="0" fontId="0" fillId="25" borderId="5" xfId="0" applyFill="1" applyBorder="1"/>
    <xf numFmtId="0" fontId="0" fillId="25" borderId="6" xfId="0" applyFill="1" applyBorder="1"/>
    <xf numFmtId="0" fontId="0" fillId="25" borderId="7" xfId="0" applyFill="1" applyBorder="1"/>
    <xf numFmtId="0" fontId="0" fillId="25" borderId="8" xfId="0" applyFill="1" applyBorder="1"/>
    <xf numFmtId="0" fontId="0" fillId="25" borderId="9" xfId="0" applyFill="1" applyBorder="1"/>
    <xf numFmtId="0" fontId="0" fillId="25" borderId="11" xfId="0" applyFill="1" applyBorder="1"/>
    <xf numFmtId="0" fontId="8" fillId="0" borderId="0" xfId="0" applyFont="1"/>
    <xf numFmtId="0" fontId="9" fillId="0" borderId="0" xfId="0" applyFont="1"/>
    <xf numFmtId="0" fontId="1" fillId="2" borderId="0" xfId="0" applyFont="1" applyFill="1" applyBorder="1"/>
    <xf numFmtId="0" fontId="0" fillId="31" borderId="0" xfId="0" applyFill="1"/>
    <xf numFmtId="0" fontId="0" fillId="32" borderId="0" xfId="0" applyFill="1"/>
    <xf numFmtId="0" fontId="0" fillId="33" borderId="0" xfId="0" applyFill="1"/>
    <xf numFmtId="0" fontId="0" fillId="34" borderId="0" xfId="0" applyFill="1"/>
    <xf numFmtId="0" fontId="0" fillId="35" borderId="0" xfId="0" applyFill="1"/>
    <xf numFmtId="0" fontId="1" fillId="0" borderId="0" xfId="0" applyFont="1" applyAlignment="1">
      <alignment horizontal="center"/>
    </xf>
    <xf numFmtId="0" fontId="0" fillId="36" borderId="0" xfId="0" applyFill="1"/>
    <xf numFmtId="0" fontId="0" fillId="0" borderId="0" xfId="0" applyFont="1" applyFill="1"/>
    <xf numFmtId="0" fontId="0" fillId="0" borderId="0" xfId="0" applyFont="1" applyAlignment="1">
      <alignment horizontal="center"/>
    </xf>
    <xf numFmtId="0" fontId="0" fillId="38" borderId="0" xfId="0" applyFill="1"/>
    <xf numFmtId="0" fontId="0" fillId="0" borderId="0" xfId="0" applyFont="1" applyFill="1" applyAlignment="1">
      <alignment horizontal="center"/>
    </xf>
    <xf numFmtId="0" fontId="0" fillId="39" borderId="0" xfId="0" applyFill="1"/>
    <xf numFmtId="0" fontId="0" fillId="40" borderId="0" xfId="0" applyFill="1"/>
    <xf numFmtId="0" fontId="0" fillId="41" borderId="0" xfId="0" applyFill="1"/>
    <xf numFmtId="0" fontId="1" fillId="0" borderId="0" xfId="0" applyFont="1" applyAlignment="1"/>
    <xf numFmtId="0" fontId="1" fillId="2" borderId="0" xfId="0" applyFont="1" applyFill="1" applyAlignment="1"/>
    <xf numFmtId="0" fontId="1" fillId="0" borderId="0" xfId="0" applyFont="1" applyFill="1" applyAlignment="1"/>
    <xf numFmtId="0" fontId="0" fillId="0" borderId="0" xfId="0" applyFont="1" applyFill="1" applyAlignment="1">
      <alignment horizontal="left"/>
    </xf>
    <xf numFmtId="0" fontId="0" fillId="0" borderId="0" xfId="0" applyFont="1"/>
    <xf numFmtId="0" fontId="0" fillId="0" borderId="0" xfId="0" applyFont="1" applyAlignment="1">
      <alignment horizontal="left"/>
    </xf>
    <xf numFmtId="0" fontId="1" fillId="0" borderId="0" xfId="0" applyFont="1" applyAlignment="1">
      <alignment horizontal="left"/>
    </xf>
    <xf numFmtId="0" fontId="0" fillId="37" borderId="2" xfId="0" applyNumberFormat="1" applyFont="1" applyFill="1" applyBorder="1"/>
    <xf numFmtId="0" fontId="11" fillId="0" borderId="0" xfId="0" applyFont="1"/>
    <xf numFmtId="0" fontId="0" fillId="0" borderId="1" xfId="0" applyFont="1" applyBorder="1" applyAlignment="1">
      <alignment horizontal="center"/>
    </xf>
    <xf numFmtId="0" fontId="0" fillId="0" borderId="1" xfId="0" applyFont="1" applyFill="1" applyBorder="1" applyAlignment="1">
      <alignment horizontal="center"/>
    </xf>
    <xf numFmtId="0" fontId="0" fillId="0" borderId="0" xfId="0" applyFont="1" applyFill="1" applyBorder="1" applyAlignment="1">
      <alignment horizontal="center"/>
    </xf>
    <xf numFmtId="0" fontId="0" fillId="37" borderId="3" xfId="0" applyNumberFormat="1" applyFont="1" applyFill="1" applyBorder="1"/>
    <xf numFmtId="0" fontId="0" fillId="37" borderId="2" xfId="0" applyFont="1" applyFill="1" applyBorder="1"/>
    <xf numFmtId="0" fontId="0" fillId="37" borderId="3" xfId="0" applyFont="1" applyFill="1" applyBorder="1"/>
    <xf numFmtId="0" fontId="0" fillId="37" borderId="4" xfId="0" applyFont="1" applyFill="1" applyBorder="1"/>
    <xf numFmtId="0" fontId="0" fillId="0" borderId="0" xfId="0" applyFont="1" applyBorder="1"/>
    <xf numFmtId="0" fontId="0" fillId="0" borderId="10" xfId="0" applyFont="1" applyBorder="1"/>
    <xf numFmtId="0" fontId="10" fillId="0" borderId="15" xfId="0" applyFont="1" applyFill="1" applyBorder="1" applyAlignment="1">
      <alignment horizontal="left" wrapText="1"/>
    </xf>
    <xf numFmtId="0" fontId="10" fillId="0" borderId="16" xfId="0" applyFont="1" applyFill="1" applyBorder="1" applyAlignment="1">
      <alignment horizontal="left" wrapText="1"/>
    </xf>
    <xf numFmtId="2" fontId="0" fillId="0" borderId="0" xfId="0" applyNumberFormat="1" applyFont="1"/>
    <xf numFmtId="0" fontId="0" fillId="0" borderId="0" xfId="0" applyFont="1" applyAlignment="1"/>
    <xf numFmtId="0" fontId="0" fillId="0" borderId="14" xfId="0" applyFont="1" applyBorder="1"/>
    <xf numFmtId="0" fontId="0" fillId="0" borderId="7" xfId="0" applyFont="1" applyBorder="1" applyAlignment="1">
      <alignment horizontal="right"/>
    </xf>
    <xf numFmtId="0" fontId="0" fillId="0" borderId="8" xfId="0" applyFont="1" applyBorder="1"/>
    <xf numFmtId="0" fontId="0" fillId="0" borderId="9" xfId="0" applyFont="1" applyBorder="1" applyAlignment="1">
      <alignment horizontal="right"/>
    </xf>
    <xf numFmtId="0" fontId="0" fillId="0" borderId="11" xfId="0" applyFont="1" applyBorder="1"/>
    <xf numFmtId="0" fontId="0" fillId="0" borderId="7" xfId="0" applyFont="1" applyFill="1" applyBorder="1" applyAlignment="1">
      <alignment horizontal="left"/>
    </xf>
    <xf numFmtId="0" fontId="0" fillId="42" borderId="0" xfId="0" applyFill="1"/>
    <xf numFmtId="0" fontId="0" fillId="43" borderId="0" xfId="0" applyFill="1"/>
    <xf numFmtId="0" fontId="0" fillId="44" borderId="0" xfId="0" applyFill="1"/>
    <xf numFmtId="0" fontId="0" fillId="45" borderId="0" xfId="0" applyFill="1"/>
    <xf numFmtId="0" fontId="0" fillId="46" borderId="0" xfId="0" applyFill="1"/>
    <xf numFmtId="0" fontId="0" fillId="47" borderId="0" xfId="0" applyFill="1"/>
    <xf numFmtId="0" fontId="0" fillId="0" borderId="0" xfId="0" applyBorder="1"/>
    <xf numFmtId="0" fontId="0" fillId="0" borderId="0" xfId="0" applyFill="1" applyAlignment="1">
      <alignment horizontal="center"/>
    </xf>
    <xf numFmtId="0" fontId="0" fillId="0" borderId="0" xfId="0" applyAlignment="1">
      <alignment horizontal="center"/>
    </xf>
    <xf numFmtId="0" fontId="0" fillId="0" borderId="0" xfId="0" applyAlignment="1">
      <alignment wrapText="1"/>
    </xf>
    <xf numFmtId="0" fontId="12" fillId="0" borderId="0" xfId="0" applyFont="1" applyAlignment="1">
      <alignment horizontal="center"/>
    </xf>
    <xf numFmtId="0" fontId="12" fillId="0" borderId="0" xfId="0" applyFont="1" applyFill="1" applyAlignment="1">
      <alignment horizontal="center"/>
    </xf>
    <xf numFmtId="0" fontId="12" fillId="30" borderId="0" xfId="0" applyFont="1" applyFill="1" applyAlignment="1">
      <alignment horizontal="center"/>
    </xf>
    <xf numFmtId="0" fontId="12" fillId="28" borderId="0" xfId="0" applyFont="1" applyFill="1" applyAlignment="1">
      <alignment horizontal="center"/>
    </xf>
    <xf numFmtId="0" fontId="12" fillId="29" borderId="0" xfId="0" applyFont="1" applyFill="1" applyAlignment="1">
      <alignment horizontal="center"/>
    </xf>
    <xf numFmtId="0" fontId="12" fillId="26" borderId="0" xfId="0" applyFont="1" applyFill="1" applyAlignment="1">
      <alignment horizontal="center"/>
    </xf>
    <xf numFmtId="0" fontId="12" fillId="27" borderId="0" xfId="0" applyFont="1" applyFill="1" applyAlignment="1">
      <alignment horizontal="center"/>
    </xf>
    <xf numFmtId="0" fontId="12" fillId="0" borderId="0" xfId="0" applyFont="1" applyFill="1" applyAlignment="1">
      <alignment horizontal="right"/>
    </xf>
    <xf numFmtId="0" fontId="0" fillId="25" borderId="2" xfId="0" applyFill="1" applyBorder="1" applyAlignment="1">
      <alignment horizontal="center"/>
    </xf>
    <xf numFmtId="0" fontId="0" fillId="25" borderId="4" xfId="0" applyFill="1" applyBorder="1" applyAlignment="1">
      <alignment horizontal="center"/>
    </xf>
    <xf numFmtId="0" fontId="0" fillId="25" borderId="3" xfId="0" applyFill="1" applyBorder="1"/>
    <xf numFmtId="0" fontId="9" fillId="0" borderId="0" xfId="0" applyFont="1" applyAlignment="1">
      <alignment horizontal="left"/>
    </xf>
    <xf numFmtId="0" fontId="0" fillId="0" borderId="17" xfId="0" applyFont="1" applyBorder="1"/>
    <xf numFmtId="0" fontId="0" fillId="0" borderId="19" xfId="0" applyFont="1" applyBorder="1"/>
    <xf numFmtId="0" fontId="0" fillId="0" borderId="18" xfId="0" applyBorder="1"/>
    <xf numFmtId="0" fontId="10" fillId="0" borderId="20" xfId="0" applyFont="1" applyFill="1" applyBorder="1" applyAlignment="1">
      <alignment horizontal="right" wrapText="1"/>
    </xf>
    <xf numFmtId="0" fontId="10" fillId="0" borderId="21" xfId="0" applyFont="1" applyFill="1" applyBorder="1" applyAlignment="1">
      <alignment horizontal="right" wrapText="1"/>
    </xf>
    <xf numFmtId="0" fontId="0" fillId="0" borderId="18" xfId="0" applyFont="1" applyFill="1" applyBorder="1" applyAlignment="1">
      <alignment horizontal="right"/>
    </xf>
    <xf numFmtId="0" fontId="0" fillId="0" borderId="22" xfId="0" applyFont="1" applyBorder="1"/>
    <xf numFmtId="0" fontId="0" fillId="0" borderId="23" xfId="0" applyFont="1" applyBorder="1"/>
    <xf numFmtId="0" fontId="0" fillId="0" borderId="1" xfId="0" applyFont="1" applyBorder="1"/>
    <xf numFmtId="0" fontId="0" fillId="0" borderId="24" xfId="0" applyFont="1" applyBorder="1"/>
    <xf numFmtId="0" fontId="1" fillId="0" borderId="26" xfId="0" applyFont="1" applyBorder="1" applyAlignment="1">
      <alignment horizontal="center"/>
    </xf>
    <xf numFmtId="0" fontId="1" fillId="0" borderId="25" xfId="0" applyFont="1" applyBorder="1" applyAlignment="1">
      <alignment horizontal="center"/>
    </xf>
    <xf numFmtId="0" fontId="0" fillId="0" borderId="0" xfId="0" applyBorder="1" applyAlignment="1"/>
    <xf numFmtId="0" fontId="0" fillId="48" borderId="0" xfId="0" applyFill="1"/>
    <xf numFmtId="0" fontId="0" fillId="49" borderId="0" xfId="0" applyFill="1"/>
    <xf numFmtId="0" fontId="0" fillId="50" borderId="0" xfId="0" applyFill="1"/>
    <xf numFmtId="0" fontId="0" fillId="51" borderId="0" xfId="0" applyFill="1"/>
    <xf numFmtId="0" fontId="1" fillId="2" borderId="0" xfId="0" applyNumberFormat="1" applyFont="1" applyFill="1"/>
    <xf numFmtId="0" fontId="0" fillId="0" borderId="0" xfId="0" applyNumberFormat="1"/>
    <xf numFmtId="0" fontId="0" fillId="52" borderId="0" xfId="0" applyFill="1"/>
    <xf numFmtId="0" fontId="0" fillId="53" borderId="0" xfId="0" applyFill="1"/>
    <xf numFmtId="0" fontId="0" fillId="54" borderId="0" xfId="0" applyFill="1"/>
    <xf numFmtId="0" fontId="0" fillId="55" borderId="0" xfId="0" applyFill="1"/>
    <xf numFmtId="0" fontId="0" fillId="56" borderId="0" xfId="0" applyFill="1"/>
    <xf numFmtId="0" fontId="0" fillId="57" borderId="0" xfId="0" applyFill="1"/>
    <xf numFmtId="0" fontId="0" fillId="58" borderId="0" xfId="0" applyFill="1"/>
    <xf numFmtId="0" fontId="0" fillId="59" borderId="0" xfId="0" applyFill="1"/>
    <xf numFmtId="0" fontId="0" fillId="60" borderId="0" xfId="0" applyFill="1"/>
    <xf numFmtId="0" fontId="0" fillId="61" borderId="0" xfId="0" applyFill="1"/>
    <xf numFmtId="0" fontId="0" fillId="62" borderId="0" xfId="0" applyFill="1"/>
    <xf numFmtId="0" fontId="0" fillId="63" borderId="0" xfId="0" applyFill="1"/>
    <xf numFmtId="0" fontId="0" fillId="64" borderId="0" xfId="0" applyFill="1"/>
    <xf numFmtId="0" fontId="0" fillId="65" borderId="0" xfId="0" applyFill="1"/>
    <xf numFmtId="0" fontId="0" fillId="66" borderId="0" xfId="0" applyFill="1"/>
    <xf numFmtId="0" fontId="0" fillId="67" borderId="0" xfId="0" applyFill="1"/>
    <xf numFmtId="0" fontId="0" fillId="68" borderId="0" xfId="0" applyFill="1"/>
    <xf numFmtId="0" fontId="0" fillId="69" borderId="0" xfId="0" applyFill="1"/>
    <xf numFmtId="0" fontId="0" fillId="70" borderId="0" xfId="0" applyFill="1"/>
    <xf numFmtId="0" fontId="0" fillId="71" borderId="0" xfId="0" applyFill="1"/>
    <xf numFmtId="0" fontId="0" fillId="72" borderId="0" xfId="0" applyFill="1"/>
    <xf numFmtId="0" fontId="0" fillId="73" borderId="0" xfId="0" applyFill="1"/>
    <xf numFmtId="0" fontId="0" fillId="74" borderId="0" xfId="0" applyFill="1"/>
    <xf numFmtId="0" fontId="0" fillId="75" borderId="0" xfId="0" applyFill="1"/>
    <xf numFmtId="0" fontId="0" fillId="76" borderId="0" xfId="0" applyFill="1"/>
    <xf numFmtId="0" fontId="0" fillId="77" borderId="0" xfId="0" applyFill="1"/>
    <xf numFmtId="0" fontId="0" fillId="78" borderId="0" xfId="0" applyFill="1"/>
    <xf numFmtId="0" fontId="0" fillId="79" borderId="0" xfId="0" applyFill="1"/>
    <xf numFmtId="0" fontId="0" fillId="80" borderId="0" xfId="0" applyFill="1"/>
    <xf numFmtId="0" fontId="0" fillId="81" borderId="0" xfId="0" applyFill="1"/>
    <xf numFmtId="0" fontId="0" fillId="82" borderId="0" xfId="0" applyFill="1"/>
    <xf numFmtId="0" fontId="0" fillId="83" borderId="0" xfId="0" applyFill="1"/>
    <xf numFmtId="0" fontId="0" fillId="84" borderId="0" xfId="0" applyFill="1"/>
    <xf numFmtId="49" fontId="0" fillId="0" borderId="27" xfId="0" applyNumberFormat="1" applyBorder="1"/>
    <xf numFmtId="49" fontId="0" fillId="0" borderId="28" xfId="0" applyNumberFormat="1" applyBorder="1"/>
    <xf numFmtId="49" fontId="0" fillId="0" borderId="29" xfId="0" applyNumberFormat="1" applyBorder="1"/>
    <xf numFmtId="49" fontId="0" fillId="0" borderId="30" xfId="0" applyNumberFormat="1" applyBorder="1"/>
    <xf numFmtId="49" fontId="0" fillId="0" borderId="31" xfId="0" applyNumberFormat="1" applyBorder="1"/>
    <xf numFmtId="49" fontId="0" fillId="0" borderId="32" xfId="0" applyNumberFormat="1" applyBorder="1"/>
    <xf numFmtId="49" fontId="0" fillId="0" borderId="33" xfId="0" applyNumberFormat="1" applyBorder="1"/>
    <xf numFmtId="49" fontId="0" fillId="0" borderId="34" xfId="0" applyNumberFormat="1" applyBorder="1"/>
    <xf numFmtId="49" fontId="0" fillId="0" borderId="35" xfId="0" applyNumberFormat="1" applyBorder="1"/>
    <xf numFmtId="49" fontId="0" fillId="0" borderId="36" xfId="0" applyNumberFormat="1" applyBorder="1"/>
    <xf numFmtId="49" fontId="0" fillId="0" borderId="37" xfId="0" applyNumberFormat="1" applyBorder="1"/>
    <xf numFmtId="49" fontId="0" fillId="0" borderId="38" xfId="0" applyNumberFormat="1" applyBorder="1"/>
    <xf numFmtId="49" fontId="0" fillId="0" borderId="39" xfId="0" applyNumberFormat="1" applyBorder="1"/>
    <xf numFmtId="49" fontId="0" fillId="0" borderId="40" xfId="0" applyNumberFormat="1" applyBorder="1"/>
    <xf numFmtId="49" fontId="0" fillId="0" borderId="41" xfId="0" applyNumberFormat="1" applyBorder="1"/>
    <xf numFmtId="49" fontId="0" fillId="0" borderId="42" xfId="0" applyNumberFormat="1" applyBorder="1"/>
    <xf numFmtId="49" fontId="0" fillId="0" borderId="43" xfId="0" applyNumberFormat="1" applyBorder="1"/>
    <xf numFmtId="49" fontId="0" fillId="0" borderId="44" xfId="0" applyNumberFormat="1" applyBorder="1"/>
    <xf numFmtId="49" fontId="0" fillId="0" borderId="45" xfId="0" applyNumberFormat="1" applyBorder="1"/>
    <xf numFmtId="49" fontId="0" fillId="0" borderId="46" xfId="0" applyNumberFormat="1" applyBorder="1"/>
    <xf numFmtId="49" fontId="0" fillId="0" borderId="47" xfId="0" applyNumberFormat="1" applyBorder="1"/>
    <xf numFmtId="49" fontId="0" fillId="0" borderId="48" xfId="0" applyNumberFormat="1" applyBorder="1"/>
    <xf numFmtId="49" fontId="0" fillId="0" borderId="49" xfId="0" applyNumberFormat="1" applyBorder="1"/>
    <xf numFmtId="49" fontId="0" fillId="0" borderId="50" xfId="0" applyNumberFormat="1" applyBorder="1"/>
    <xf numFmtId="49" fontId="0" fillId="0" borderId="51" xfId="0" applyNumberFormat="1" applyBorder="1"/>
    <xf numFmtId="49" fontId="0" fillId="0" borderId="52" xfId="0" applyNumberFormat="1" applyBorder="1"/>
    <xf numFmtId="49" fontId="0" fillId="0" borderId="53" xfId="0" applyNumberFormat="1" applyBorder="1"/>
    <xf numFmtId="0" fontId="0" fillId="85" borderId="0" xfId="0" applyFill="1"/>
    <xf numFmtId="0" fontId="0" fillId="86" borderId="0" xfId="0" applyFill="1"/>
    <xf numFmtId="0" fontId="0" fillId="87" borderId="0" xfId="0" applyFill="1"/>
    <xf numFmtId="0" fontId="0" fillId="88" borderId="0" xfId="0" applyFill="1"/>
    <xf numFmtId="0" fontId="0" fillId="89" borderId="0" xfId="0" applyFill="1"/>
    <xf numFmtId="0" fontId="0" fillId="90" borderId="0" xfId="0" applyFill="1"/>
    <xf numFmtId="0" fontId="0" fillId="91" borderId="0" xfId="0" applyFill="1"/>
    <xf numFmtId="0" fontId="0" fillId="92" borderId="0" xfId="0" applyFill="1"/>
    <xf numFmtId="0" fontId="0" fillId="93" borderId="0" xfId="0" applyFill="1"/>
    <xf numFmtId="0" fontId="0" fillId="94" borderId="0" xfId="0" applyFill="1"/>
    <xf numFmtId="0" fontId="0" fillId="95" borderId="0" xfId="0" applyFill="1"/>
    <xf numFmtId="0" fontId="0" fillId="96" borderId="0" xfId="0" applyFill="1"/>
    <xf numFmtId="0" fontId="0" fillId="97" borderId="0" xfId="0" applyFill="1"/>
    <xf numFmtId="0" fontId="0" fillId="98" borderId="0" xfId="0" applyFill="1"/>
    <xf numFmtId="0" fontId="0" fillId="99" borderId="0" xfId="0" applyFill="1"/>
    <xf numFmtId="0" fontId="0" fillId="100" borderId="0" xfId="0" applyFill="1"/>
    <xf numFmtId="0" fontId="0" fillId="101" borderId="0" xfId="0" applyFill="1"/>
    <xf numFmtId="0" fontId="0" fillId="102" borderId="0" xfId="0" applyFill="1"/>
    <xf numFmtId="0" fontId="0" fillId="103" borderId="0" xfId="0" applyFill="1"/>
    <xf numFmtId="0" fontId="0" fillId="104" borderId="0" xfId="0" applyFill="1"/>
    <xf numFmtId="0" fontId="0" fillId="105" borderId="0" xfId="0" applyFill="1"/>
    <xf numFmtId="0" fontId="0" fillId="106" borderId="0" xfId="0" applyFill="1"/>
    <xf numFmtId="0" fontId="0" fillId="107" borderId="0" xfId="0" applyFill="1"/>
    <xf numFmtId="0" fontId="0" fillId="108" borderId="0" xfId="0" applyFill="1"/>
    <xf numFmtId="0" fontId="0" fillId="109" borderId="0" xfId="0" applyFill="1"/>
    <xf numFmtId="0" fontId="0" fillId="110" borderId="0" xfId="0" applyFill="1"/>
    <xf numFmtId="0" fontId="0" fillId="111" borderId="0" xfId="0" applyFill="1"/>
    <xf numFmtId="0" fontId="0" fillId="112" borderId="0" xfId="0" applyFill="1"/>
    <xf numFmtId="0" fontId="0" fillId="113" borderId="0" xfId="0" applyFill="1"/>
    <xf numFmtId="0" fontId="0" fillId="114" borderId="0" xfId="0" applyFill="1"/>
    <xf numFmtId="0" fontId="0" fillId="115" borderId="0" xfId="0" applyFill="1"/>
    <xf numFmtId="0" fontId="0" fillId="116" borderId="0" xfId="0" applyFill="1"/>
    <xf numFmtId="0" fontId="0" fillId="117" borderId="0" xfId="0" applyFill="1"/>
    <xf numFmtId="0" fontId="0" fillId="118" borderId="0" xfId="0" applyFill="1"/>
    <xf numFmtId="0" fontId="0" fillId="119" borderId="0" xfId="0" applyFill="1"/>
    <xf numFmtId="0" fontId="0" fillId="120" borderId="0" xfId="0" applyFill="1"/>
    <xf numFmtId="0" fontId="0" fillId="121" borderId="0" xfId="0" applyFill="1"/>
    <xf numFmtId="0" fontId="0" fillId="122" borderId="0" xfId="0" applyFill="1"/>
    <xf numFmtId="0" fontId="0" fillId="123" borderId="0" xfId="0" applyFill="1"/>
    <xf numFmtId="0" fontId="0" fillId="124" borderId="0" xfId="0" applyFill="1"/>
    <xf numFmtId="0" fontId="0" fillId="125" borderId="0" xfId="0" applyFill="1"/>
    <xf numFmtId="0" fontId="0" fillId="126" borderId="0" xfId="0" applyFill="1"/>
    <xf numFmtId="0" fontId="0" fillId="127" borderId="0" xfId="0" applyFill="1"/>
    <xf numFmtId="0" fontId="0" fillId="128" borderId="0" xfId="0" applyFill="1"/>
    <xf numFmtId="0" fontId="0" fillId="129" borderId="0" xfId="0" applyFill="1"/>
    <xf numFmtId="0" fontId="0" fillId="130" borderId="0" xfId="0" applyFill="1"/>
    <xf numFmtId="0" fontId="0" fillId="131" borderId="0" xfId="0" applyFill="1"/>
    <xf numFmtId="0" fontId="0" fillId="132" borderId="0" xfId="0" applyFill="1"/>
    <xf numFmtId="0" fontId="0" fillId="133" borderId="0" xfId="0" applyFill="1"/>
    <xf numFmtId="0" fontId="0" fillId="134" borderId="0" xfId="0" applyFill="1"/>
    <xf numFmtId="0" fontId="0" fillId="135" borderId="0" xfId="0" applyFill="1"/>
    <xf numFmtId="0" fontId="0" fillId="136" borderId="0" xfId="0" applyFill="1"/>
    <xf numFmtId="0" fontId="0" fillId="137" borderId="0" xfId="0" applyFill="1"/>
    <xf numFmtId="0" fontId="0" fillId="138" borderId="0" xfId="0" applyFill="1"/>
    <xf numFmtId="0" fontId="0" fillId="139" borderId="0" xfId="0" applyFill="1"/>
    <xf numFmtId="0" fontId="0" fillId="140" borderId="0" xfId="0" applyFill="1"/>
    <xf numFmtId="0" fontId="0" fillId="141" borderId="0" xfId="0" applyFill="1"/>
    <xf numFmtId="0" fontId="0" fillId="142" borderId="0" xfId="0" applyFill="1"/>
    <xf numFmtId="0" fontId="0" fillId="143" borderId="0" xfId="0" applyFill="1"/>
    <xf numFmtId="0" fontId="0" fillId="144" borderId="0" xfId="0" applyFill="1"/>
    <xf numFmtId="0" fontId="0" fillId="145" borderId="0" xfId="0" applyFill="1"/>
    <xf numFmtId="0" fontId="0" fillId="146" borderId="0" xfId="0" applyFill="1"/>
    <xf numFmtId="0" fontId="0" fillId="147" borderId="0" xfId="0" applyFill="1"/>
    <xf numFmtId="0" fontId="0" fillId="148" borderId="0" xfId="0" applyFill="1"/>
    <xf numFmtId="0" fontId="0" fillId="149" borderId="0" xfId="0" applyFill="1"/>
    <xf numFmtId="0" fontId="0" fillId="150" borderId="0" xfId="0" applyFill="1"/>
    <xf numFmtId="0" fontId="0" fillId="151" borderId="0" xfId="0" applyFill="1"/>
    <xf numFmtId="0" fontId="0" fillId="152" borderId="0" xfId="0" applyFill="1"/>
    <xf numFmtId="0" fontId="0" fillId="153" borderId="0" xfId="0" applyFill="1"/>
    <xf numFmtId="0" fontId="0" fillId="154" borderId="0" xfId="0" applyFill="1"/>
    <xf numFmtId="0" fontId="0" fillId="155" borderId="0" xfId="0" applyFill="1"/>
    <xf numFmtId="0" fontId="0" fillId="156" borderId="0" xfId="0" applyFill="1"/>
    <xf numFmtId="0" fontId="0" fillId="157" borderId="0" xfId="0" applyFill="1"/>
    <xf numFmtId="0" fontId="0" fillId="158" borderId="0" xfId="0" applyFill="1"/>
    <xf numFmtId="0" fontId="0" fillId="159" borderId="0" xfId="0" applyFill="1"/>
    <xf numFmtId="0" fontId="0" fillId="160" borderId="0" xfId="0" applyFill="1"/>
  </cellXfs>
  <cellStyles count="3654">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Followed Hyperlink" xfId="720" builtinId="9" hidden="1"/>
    <cellStyle name="Followed Hyperlink" xfId="722" builtinId="9" hidden="1"/>
    <cellStyle name="Followed Hyperlink" xfId="724" builtinId="9" hidden="1"/>
    <cellStyle name="Followed Hyperlink" xfId="726" builtinId="9" hidden="1"/>
    <cellStyle name="Followed Hyperlink" xfId="728" builtinId="9" hidden="1"/>
    <cellStyle name="Followed Hyperlink" xfId="730" builtinId="9" hidden="1"/>
    <cellStyle name="Followed Hyperlink" xfId="732" builtinId="9" hidden="1"/>
    <cellStyle name="Followed Hyperlink" xfId="734" builtinId="9" hidden="1"/>
    <cellStyle name="Followed Hyperlink" xfId="736" builtinId="9" hidden="1"/>
    <cellStyle name="Followed Hyperlink" xfId="738" builtinId="9" hidden="1"/>
    <cellStyle name="Followed Hyperlink" xfId="740" builtinId="9" hidden="1"/>
    <cellStyle name="Followed Hyperlink" xfId="742" builtinId="9" hidden="1"/>
    <cellStyle name="Followed Hyperlink" xfId="744" builtinId="9" hidden="1"/>
    <cellStyle name="Followed Hyperlink" xfId="746" builtinId="9" hidden="1"/>
    <cellStyle name="Followed Hyperlink" xfId="748" builtinId="9" hidden="1"/>
    <cellStyle name="Followed Hyperlink" xfId="750" builtinId="9" hidden="1"/>
    <cellStyle name="Followed Hyperlink" xfId="752" builtinId="9" hidden="1"/>
    <cellStyle name="Followed Hyperlink" xfId="754" builtinId="9" hidden="1"/>
    <cellStyle name="Followed Hyperlink" xfId="756" builtinId="9" hidden="1"/>
    <cellStyle name="Followed Hyperlink" xfId="758" builtinId="9" hidden="1"/>
    <cellStyle name="Followed Hyperlink" xfId="760" builtinId="9" hidden="1"/>
    <cellStyle name="Followed Hyperlink" xfId="762" builtinId="9" hidden="1"/>
    <cellStyle name="Followed Hyperlink" xfId="764" builtinId="9" hidden="1"/>
    <cellStyle name="Followed Hyperlink" xfId="766" builtinId="9" hidden="1"/>
    <cellStyle name="Followed Hyperlink" xfId="768" builtinId="9" hidden="1"/>
    <cellStyle name="Followed Hyperlink" xfId="770" builtinId="9" hidden="1"/>
    <cellStyle name="Followed Hyperlink" xfId="772" builtinId="9" hidden="1"/>
    <cellStyle name="Followed Hyperlink" xfId="774" builtinId="9" hidden="1"/>
    <cellStyle name="Followed Hyperlink" xfId="776" builtinId="9" hidden="1"/>
    <cellStyle name="Followed Hyperlink" xfId="778" builtinId="9" hidden="1"/>
    <cellStyle name="Followed Hyperlink" xfId="780" builtinId="9" hidden="1"/>
    <cellStyle name="Followed Hyperlink" xfId="782" builtinId="9" hidden="1"/>
    <cellStyle name="Followed Hyperlink" xfId="784" builtinId="9" hidden="1"/>
    <cellStyle name="Followed Hyperlink" xfId="786" builtinId="9" hidden="1"/>
    <cellStyle name="Followed Hyperlink" xfId="788" builtinId="9" hidden="1"/>
    <cellStyle name="Followed Hyperlink" xfId="790" builtinId="9" hidden="1"/>
    <cellStyle name="Followed Hyperlink" xfId="792" builtinId="9" hidden="1"/>
    <cellStyle name="Followed Hyperlink" xfId="794" builtinId="9" hidden="1"/>
    <cellStyle name="Followed Hyperlink" xfId="796" builtinId="9" hidden="1"/>
    <cellStyle name="Followed Hyperlink" xfId="798" builtinId="9" hidden="1"/>
    <cellStyle name="Followed Hyperlink" xfId="800" builtinId="9" hidden="1"/>
    <cellStyle name="Followed Hyperlink" xfId="802" builtinId="9" hidden="1"/>
    <cellStyle name="Followed Hyperlink" xfId="804" builtinId="9" hidden="1"/>
    <cellStyle name="Followed Hyperlink" xfId="806" builtinId="9" hidden="1"/>
    <cellStyle name="Followed Hyperlink" xfId="808" builtinId="9" hidden="1"/>
    <cellStyle name="Followed Hyperlink" xfId="810" builtinId="9" hidden="1"/>
    <cellStyle name="Followed Hyperlink" xfId="812" builtinId="9" hidden="1"/>
    <cellStyle name="Followed Hyperlink" xfId="814" builtinId="9" hidden="1"/>
    <cellStyle name="Followed Hyperlink" xfId="816" builtinId="9" hidden="1"/>
    <cellStyle name="Followed Hyperlink" xfId="818" builtinId="9" hidden="1"/>
    <cellStyle name="Followed Hyperlink" xfId="820" builtinId="9" hidden="1"/>
    <cellStyle name="Followed Hyperlink" xfId="822" builtinId="9" hidden="1"/>
    <cellStyle name="Followed Hyperlink" xfId="824" builtinId="9" hidden="1"/>
    <cellStyle name="Followed Hyperlink" xfId="826" builtinId="9" hidden="1"/>
    <cellStyle name="Followed Hyperlink" xfId="828" builtinId="9" hidden="1"/>
    <cellStyle name="Followed Hyperlink" xfId="830" builtinId="9" hidden="1"/>
    <cellStyle name="Followed Hyperlink" xfId="832" builtinId="9" hidden="1"/>
    <cellStyle name="Followed Hyperlink" xfId="834" builtinId="9" hidden="1"/>
    <cellStyle name="Followed Hyperlink" xfId="836" builtinId="9" hidden="1"/>
    <cellStyle name="Followed Hyperlink" xfId="838" builtinId="9" hidden="1"/>
    <cellStyle name="Followed Hyperlink" xfId="840" builtinId="9" hidden="1"/>
    <cellStyle name="Followed Hyperlink" xfId="842" builtinId="9" hidden="1"/>
    <cellStyle name="Followed Hyperlink" xfId="844" builtinId="9" hidden="1"/>
    <cellStyle name="Followed Hyperlink" xfId="846" builtinId="9" hidden="1"/>
    <cellStyle name="Followed Hyperlink" xfId="848" builtinId="9" hidden="1"/>
    <cellStyle name="Followed Hyperlink" xfId="850" builtinId="9" hidden="1"/>
    <cellStyle name="Followed Hyperlink" xfId="852" builtinId="9" hidden="1"/>
    <cellStyle name="Followed Hyperlink" xfId="854" builtinId="9" hidden="1"/>
    <cellStyle name="Followed Hyperlink" xfId="856" builtinId="9" hidden="1"/>
    <cellStyle name="Followed Hyperlink" xfId="858" builtinId="9" hidden="1"/>
    <cellStyle name="Followed Hyperlink" xfId="860" builtinId="9" hidden="1"/>
    <cellStyle name="Followed Hyperlink" xfId="862" builtinId="9" hidden="1"/>
    <cellStyle name="Followed Hyperlink" xfId="864" builtinId="9" hidden="1"/>
    <cellStyle name="Followed Hyperlink" xfId="866" builtinId="9" hidden="1"/>
    <cellStyle name="Followed Hyperlink" xfId="868" builtinId="9" hidden="1"/>
    <cellStyle name="Followed Hyperlink" xfId="870" builtinId="9" hidden="1"/>
    <cellStyle name="Followed Hyperlink" xfId="872" builtinId="9" hidden="1"/>
    <cellStyle name="Followed Hyperlink" xfId="874" builtinId="9" hidden="1"/>
    <cellStyle name="Followed Hyperlink" xfId="876" builtinId="9" hidden="1"/>
    <cellStyle name="Followed Hyperlink" xfId="878" builtinId="9" hidden="1"/>
    <cellStyle name="Followed Hyperlink" xfId="880" builtinId="9" hidden="1"/>
    <cellStyle name="Followed Hyperlink" xfId="882" builtinId="9" hidden="1"/>
    <cellStyle name="Followed Hyperlink" xfId="884" builtinId="9" hidden="1"/>
    <cellStyle name="Followed Hyperlink" xfId="886" builtinId="9" hidden="1"/>
    <cellStyle name="Followed Hyperlink" xfId="888" builtinId="9" hidden="1"/>
    <cellStyle name="Followed Hyperlink" xfId="890" builtinId="9" hidden="1"/>
    <cellStyle name="Followed Hyperlink" xfId="892" builtinId="9" hidden="1"/>
    <cellStyle name="Followed Hyperlink" xfId="894" builtinId="9" hidden="1"/>
    <cellStyle name="Followed Hyperlink" xfId="896" builtinId="9" hidden="1"/>
    <cellStyle name="Followed Hyperlink" xfId="898" builtinId="9" hidden="1"/>
    <cellStyle name="Followed Hyperlink" xfId="900" builtinId="9" hidden="1"/>
    <cellStyle name="Followed Hyperlink" xfId="902" builtinId="9" hidden="1"/>
    <cellStyle name="Followed Hyperlink" xfId="904" builtinId="9" hidden="1"/>
    <cellStyle name="Followed Hyperlink" xfId="906" builtinId="9" hidden="1"/>
    <cellStyle name="Followed Hyperlink" xfId="908" builtinId="9" hidden="1"/>
    <cellStyle name="Followed Hyperlink" xfId="910" builtinId="9" hidden="1"/>
    <cellStyle name="Followed Hyperlink" xfId="912" builtinId="9" hidden="1"/>
    <cellStyle name="Followed Hyperlink" xfId="914" builtinId="9" hidden="1"/>
    <cellStyle name="Followed Hyperlink" xfId="916" builtinId="9" hidden="1"/>
    <cellStyle name="Followed Hyperlink" xfId="918" builtinId="9" hidden="1"/>
    <cellStyle name="Followed Hyperlink" xfId="920" builtinId="9" hidden="1"/>
    <cellStyle name="Followed Hyperlink" xfId="922" builtinId="9" hidden="1"/>
    <cellStyle name="Followed Hyperlink" xfId="924" builtinId="9" hidden="1"/>
    <cellStyle name="Followed Hyperlink" xfId="926" builtinId="9" hidden="1"/>
    <cellStyle name="Followed Hyperlink" xfId="928" builtinId="9" hidden="1"/>
    <cellStyle name="Followed Hyperlink" xfId="930" builtinId="9" hidden="1"/>
    <cellStyle name="Followed Hyperlink" xfId="932" builtinId="9" hidden="1"/>
    <cellStyle name="Followed Hyperlink" xfId="934" builtinId="9" hidden="1"/>
    <cellStyle name="Followed Hyperlink" xfId="936" builtinId="9" hidden="1"/>
    <cellStyle name="Followed Hyperlink" xfId="938" builtinId="9" hidden="1"/>
    <cellStyle name="Followed Hyperlink" xfId="940" builtinId="9" hidden="1"/>
    <cellStyle name="Followed Hyperlink" xfId="942" builtinId="9" hidden="1"/>
    <cellStyle name="Followed Hyperlink" xfId="944" builtinId="9" hidden="1"/>
    <cellStyle name="Followed Hyperlink" xfId="946" builtinId="9" hidden="1"/>
    <cellStyle name="Followed Hyperlink" xfId="948" builtinId="9" hidden="1"/>
    <cellStyle name="Followed Hyperlink" xfId="950" builtinId="9" hidden="1"/>
    <cellStyle name="Followed Hyperlink" xfId="952" builtinId="9" hidden="1"/>
    <cellStyle name="Followed Hyperlink" xfId="954" builtinId="9" hidden="1"/>
    <cellStyle name="Followed Hyperlink" xfId="956" builtinId="9" hidden="1"/>
    <cellStyle name="Followed Hyperlink" xfId="958" builtinId="9" hidden="1"/>
    <cellStyle name="Followed Hyperlink" xfId="960" builtinId="9" hidden="1"/>
    <cellStyle name="Followed Hyperlink" xfId="962" builtinId="9" hidden="1"/>
    <cellStyle name="Followed Hyperlink" xfId="964" builtinId="9" hidden="1"/>
    <cellStyle name="Followed Hyperlink" xfId="966" builtinId="9" hidden="1"/>
    <cellStyle name="Followed Hyperlink" xfId="968" builtinId="9" hidden="1"/>
    <cellStyle name="Followed Hyperlink" xfId="970" builtinId="9" hidden="1"/>
    <cellStyle name="Followed Hyperlink" xfId="973" builtinId="9" hidden="1"/>
    <cellStyle name="Followed Hyperlink" xfId="975" builtinId="9" hidden="1"/>
    <cellStyle name="Followed Hyperlink" xfId="977" builtinId="9" hidden="1"/>
    <cellStyle name="Followed Hyperlink" xfId="979" builtinId="9" hidden="1"/>
    <cellStyle name="Followed Hyperlink" xfId="981" builtinId="9" hidden="1"/>
    <cellStyle name="Followed Hyperlink" xfId="983" builtinId="9" hidden="1"/>
    <cellStyle name="Followed Hyperlink" xfId="985" builtinId="9" hidden="1"/>
    <cellStyle name="Followed Hyperlink" xfId="987" builtinId="9" hidden="1"/>
    <cellStyle name="Followed Hyperlink" xfId="989" builtinId="9" hidden="1"/>
    <cellStyle name="Followed Hyperlink" xfId="991" builtinId="9" hidden="1"/>
    <cellStyle name="Followed Hyperlink" xfId="993" builtinId="9" hidden="1"/>
    <cellStyle name="Followed Hyperlink" xfId="995" builtinId="9" hidden="1"/>
    <cellStyle name="Followed Hyperlink" xfId="997" builtinId="9" hidden="1"/>
    <cellStyle name="Followed Hyperlink" xfId="999" builtinId="9" hidden="1"/>
    <cellStyle name="Followed Hyperlink" xfId="1001" builtinId="9" hidden="1"/>
    <cellStyle name="Followed Hyperlink" xfId="1003" builtinId="9" hidden="1"/>
    <cellStyle name="Followed Hyperlink" xfId="1005" builtinId="9" hidden="1"/>
    <cellStyle name="Followed Hyperlink" xfId="1007" builtinId="9" hidden="1"/>
    <cellStyle name="Followed Hyperlink" xfId="1009" builtinId="9" hidden="1"/>
    <cellStyle name="Followed Hyperlink" xfId="1011" builtinId="9" hidden="1"/>
    <cellStyle name="Followed Hyperlink" xfId="1013" builtinId="9" hidden="1"/>
    <cellStyle name="Followed Hyperlink" xfId="1015" builtinId="9" hidden="1"/>
    <cellStyle name="Followed Hyperlink" xfId="1017" builtinId="9" hidden="1"/>
    <cellStyle name="Followed Hyperlink" xfId="1019" builtinId="9" hidden="1"/>
    <cellStyle name="Followed Hyperlink" xfId="1021" builtinId="9" hidden="1"/>
    <cellStyle name="Followed Hyperlink" xfId="1023" builtinId="9" hidden="1"/>
    <cellStyle name="Followed Hyperlink" xfId="1025" builtinId="9" hidden="1"/>
    <cellStyle name="Followed Hyperlink" xfId="1027" builtinId="9" hidden="1"/>
    <cellStyle name="Followed Hyperlink" xfId="1029" builtinId="9" hidden="1"/>
    <cellStyle name="Followed Hyperlink" xfId="1031" builtinId="9" hidden="1"/>
    <cellStyle name="Followed Hyperlink" xfId="1033" builtinId="9" hidden="1"/>
    <cellStyle name="Followed Hyperlink" xfId="1035" builtinId="9" hidden="1"/>
    <cellStyle name="Followed Hyperlink" xfId="1037" builtinId="9" hidden="1"/>
    <cellStyle name="Followed Hyperlink" xfId="1039" builtinId="9" hidden="1"/>
    <cellStyle name="Followed Hyperlink" xfId="1041" builtinId="9" hidden="1"/>
    <cellStyle name="Followed Hyperlink" xfId="1043" builtinId="9" hidden="1"/>
    <cellStyle name="Followed Hyperlink" xfId="1045" builtinId="9" hidden="1"/>
    <cellStyle name="Followed Hyperlink" xfId="1047" builtinId="9" hidden="1"/>
    <cellStyle name="Followed Hyperlink" xfId="1049" builtinId="9" hidden="1"/>
    <cellStyle name="Followed Hyperlink" xfId="1051" builtinId="9" hidden="1"/>
    <cellStyle name="Followed Hyperlink" xfId="1053" builtinId="9" hidden="1"/>
    <cellStyle name="Followed Hyperlink" xfId="1055" builtinId="9" hidden="1"/>
    <cellStyle name="Followed Hyperlink" xfId="1057" builtinId="9" hidden="1"/>
    <cellStyle name="Followed Hyperlink" xfId="1059" builtinId="9" hidden="1"/>
    <cellStyle name="Followed Hyperlink" xfId="1061" builtinId="9" hidden="1"/>
    <cellStyle name="Followed Hyperlink" xfId="1063" builtinId="9" hidden="1"/>
    <cellStyle name="Followed Hyperlink" xfId="1065" builtinId="9" hidden="1"/>
    <cellStyle name="Followed Hyperlink" xfId="1067" builtinId="9" hidden="1"/>
    <cellStyle name="Followed Hyperlink" xfId="1069" builtinId="9" hidden="1"/>
    <cellStyle name="Followed Hyperlink" xfId="1071" builtinId="9" hidden="1"/>
    <cellStyle name="Followed Hyperlink" xfId="1073" builtinId="9" hidden="1"/>
    <cellStyle name="Followed Hyperlink" xfId="1075" builtinId="9" hidden="1"/>
    <cellStyle name="Followed Hyperlink" xfId="1077" builtinId="9" hidden="1"/>
    <cellStyle name="Followed Hyperlink" xfId="1079" builtinId="9" hidden="1"/>
    <cellStyle name="Followed Hyperlink" xfId="1081" builtinId="9" hidden="1"/>
    <cellStyle name="Followed Hyperlink" xfId="1083" builtinId="9" hidden="1"/>
    <cellStyle name="Followed Hyperlink" xfId="1085" builtinId="9" hidden="1"/>
    <cellStyle name="Followed Hyperlink" xfId="1087" builtinId="9" hidden="1"/>
    <cellStyle name="Followed Hyperlink" xfId="1089" builtinId="9" hidden="1"/>
    <cellStyle name="Followed Hyperlink" xfId="1091" builtinId="9" hidden="1"/>
    <cellStyle name="Followed Hyperlink" xfId="1093" builtinId="9" hidden="1"/>
    <cellStyle name="Followed Hyperlink" xfId="1095" builtinId="9" hidden="1"/>
    <cellStyle name="Followed Hyperlink" xfId="1097" builtinId="9" hidden="1"/>
    <cellStyle name="Followed Hyperlink" xfId="1099" builtinId="9" hidden="1"/>
    <cellStyle name="Followed Hyperlink" xfId="1101" builtinId="9" hidden="1"/>
    <cellStyle name="Followed Hyperlink" xfId="1103" builtinId="9" hidden="1"/>
    <cellStyle name="Followed Hyperlink" xfId="1105" builtinId="9" hidden="1"/>
    <cellStyle name="Followed Hyperlink" xfId="1107" builtinId="9" hidden="1"/>
    <cellStyle name="Followed Hyperlink" xfId="1109" builtinId="9" hidden="1"/>
    <cellStyle name="Followed Hyperlink" xfId="1111" builtinId="9" hidden="1"/>
    <cellStyle name="Followed Hyperlink" xfId="1113" builtinId="9" hidden="1"/>
    <cellStyle name="Followed Hyperlink" xfId="1115" builtinId="9" hidden="1"/>
    <cellStyle name="Followed Hyperlink" xfId="1117" builtinId="9" hidden="1"/>
    <cellStyle name="Followed Hyperlink" xfId="1119" builtinId="9" hidden="1"/>
    <cellStyle name="Followed Hyperlink" xfId="1121" builtinId="9" hidden="1"/>
    <cellStyle name="Followed Hyperlink" xfId="1123" builtinId="9" hidden="1"/>
    <cellStyle name="Followed Hyperlink" xfId="1125" builtinId="9" hidden="1"/>
    <cellStyle name="Followed Hyperlink" xfId="1127" builtinId="9" hidden="1"/>
    <cellStyle name="Followed Hyperlink" xfId="1129" builtinId="9" hidden="1"/>
    <cellStyle name="Followed Hyperlink" xfId="1131" builtinId="9" hidden="1"/>
    <cellStyle name="Followed Hyperlink" xfId="1133" builtinId="9" hidden="1"/>
    <cellStyle name="Followed Hyperlink" xfId="1135" builtinId="9" hidden="1"/>
    <cellStyle name="Followed Hyperlink" xfId="1137" builtinId="9" hidden="1"/>
    <cellStyle name="Followed Hyperlink" xfId="1139" builtinId="9" hidden="1"/>
    <cellStyle name="Followed Hyperlink" xfId="1141" builtinId="9" hidden="1"/>
    <cellStyle name="Followed Hyperlink" xfId="1143" builtinId="9" hidden="1"/>
    <cellStyle name="Followed Hyperlink" xfId="1145" builtinId="9" hidden="1"/>
    <cellStyle name="Followed Hyperlink" xfId="1147" builtinId="9" hidden="1"/>
    <cellStyle name="Followed Hyperlink" xfId="1149" builtinId="9" hidden="1"/>
    <cellStyle name="Followed Hyperlink" xfId="1151" builtinId="9" hidden="1"/>
    <cellStyle name="Followed Hyperlink" xfId="1153" builtinId="9" hidden="1"/>
    <cellStyle name="Followed Hyperlink" xfId="1155" builtinId="9" hidden="1"/>
    <cellStyle name="Followed Hyperlink" xfId="1157" builtinId="9" hidden="1"/>
    <cellStyle name="Followed Hyperlink" xfId="1159" builtinId="9" hidden="1"/>
    <cellStyle name="Followed Hyperlink" xfId="1161" builtinId="9" hidden="1"/>
    <cellStyle name="Followed Hyperlink" xfId="1163" builtinId="9" hidden="1"/>
    <cellStyle name="Followed Hyperlink" xfId="1165" builtinId="9" hidden="1"/>
    <cellStyle name="Followed Hyperlink" xfId="1167" builtinId="9" hidden="1"/>
    <cellStyle name="Followed Hyperlink" xfId="1169" builtinId="9" hidden="1"/>
    <cellStyle name="Followed Hyperlink" xfId="1171" builtinId="9" hidden="1"/>
    <cellStyle name="Followed Hyperlink" xfId="1173" builtinId="9" hidden="1"/>
    <cellStyle name="Followed Hyperlink" xfId="1175" builtinId="9" hidden="1"/>
    <cellStyle name="Followed Hyperlink" xfId="1177" builtinId="9" hidden="1"/>
    <cellStyle name="Followed Hyperlink" xfId="1179" builtinId="9" hidden="1"/>
    <cellStyle name="Followed Hyperlink" xfId="1181" builtinId="9" hidden="1"/>
    <cellStyle name="Followed Hyperlink" xfId="1183" builtinId="9" hidden="1"/>
    <cellStyle name="Followed Hyperlink" xfId="1185" builtinId="9" hidden="1"/>
    <cellStyle name="Followed Hyperlink" xfId="1187" builtinId="9" hidden="1"/>
    <cellStyle name="Followed Hyperlink" xfId="1189" builtinId="9" hidden="1"/>
    <cellStyle name="Followed Hyperlink" xfId="1191" builtinId="9" hidden="1"/>
    <cellStyle name="Followed Hyperlink" xfId="1193" builtinId="9" hidden="1"/>
    <cellStyle name="Followed Hyperlink" xfId="1195" builtinId="9" hidden="1"/>
    <cellStyle name="Followed Hyperlink" xfId="1197" builtinId="9" hidden="1"/>
    <cellStyle name="Followed Hyperlink" xfId="1199" builtinId="9" hidden="1"/>
    <cellStyle name="Followed Hyperlink" xfId="1201" builtinId="9" hidden="1"/>
    <cellStyle name="Followed Hyperlink" xfId="1203" builtinId="9" hidden="1"/>
    <cellStyle name="Followed Hyperlink" xfId="1205" builtinId="9" hidden="1"/>
    <cellStyle name="Followed Hyperlink" xfId="1207" builtinId="9" hidden="1"/>
    <cellStyle name="Followed Hyperlink" xfId="1209" builtinId="9" hidden="1"/>
    <cellStyle name="Followed Hyperlink" xfId="1211" builtinId="9" hidden="1"/>
    <cellStyle name="Followed Hyperlink" xfId="1213" builtinId="9" hidden="1"/>
    <cellStyle name="Followed Hyperlink" xfId="1215" builtinId="9" hidden="1"/>
    <cellStyle name="Followed Hyperlink" xfId="1217" builtinId="9" hidden="1"/>
    <cellStyle name="Followed Hyperlink" xfId="1219" builtinId="9" hidden="1"/>
    <cellStyle name="Followed Hyperlink" xfId="1221" builtinId="9" hidden="1"/>
    <cellStyle name="Followed Hyperlink" xfId="1223" builtinId="9" hidden="1"/>
    <cellStyle name="Followed Hyperlink" xfId="1225" builtinId="9" hidden="1"/>
    <cellStyle name="Followed Hyperlink" xfId="1227" builtinId="9" hidden="1"/>
    <cellStyle name="Followed Hyperlink" xfId="1229" builtinId="9" hidden="1"/>
    <cellStyle name="Followed Hyperlink" xfId="1231" builtinId="9" hidden="1"/>
    <cellStyle name="Followed Hyperlink" xfId="1233" builtinId="9" hidden="1"/>
    <cellStyle name="Followed Hyperlink" xfId="1235" builtinId="9" hidden="1"/>
    <cellStyle name="Followed Hyperlink" xfId="1237" builtinId="9" hidden="1"/>
    <cellStyle name="Followed Hyperlink" xfId="1239" builtinId="9" hidden="1"/>
    <cellStyle name="Followed Hyperlink" xfId="1241" builtinId="9" hidden="1"/>
    <cellStyle name="Followed Hyperlink" xfId="1243" builtinId="9" hidden="1"/>
    <cellStyle name="Followed Hyperlink" xfId="1245" builtinId="9" hidden="1"/>
    <cellStyle name="Followed Hyperlink" xfId="1247" builtinId="9" hidden="1"/>
    <cellStyle name="Followed Hyperlink" xfId="1249" builtinId="9" hidden="1"/>
    <cellStyle name="Followed Hyperlink" xfId="1251" builtinId="9" hidden="1"/>
    <cellStyle name="Followed Hyperlink" xfId="1253" builtinId="9" hidden="1"/>
    <cellStyle name="Followed Hyperlink" xfId="1255" builtinId="9" hidden="1"/>
    <cellStyle name="Followed Hyperlink" xfId="1257" builtinId="9" hidden="1"/>
    <cellStyle name="Followed Hyperlink" xfId="1259" builtinId="9" hidden="1"/>
    <cellStyle name="Followed Hyperlink" xfId="1261" builtinId="9" hidden="1"/>
    <cellStyle name="Followed Hyperlink" xfId="1263" builtinId="9" hidden="1"/>
    <cellStyle name="Followed Hyperlink" xfId="1265" builtinId="9" hidden="1"/>
    <cellStyle name="Followed Hyperlink" xfId="1267" builtinId="9" hidden="1"/>
    <cellStyle name="Followed Hyperlink" xfId="1269" builtinId="9" hidden="1"/>
    <cellStyle name="Followed Hyperlink" xfId="1271" builtinId="9" hidden="1"/>
    <cellStyle name="Followed Hyperlink" xfId="1273" builtinId="9" hidden="1"/>
    <cellStyle name="Followed Hyperlink" xfId="1275" builtinId="9" hidden="1"/>
    <cellStyle name="Followed Hyperlink" xfId="1277" builtinId="9" hidden="1"/>
    <cellStyle name="Followed Hyperlink" xfId="1279" builtinId="9" hidden="1"/>
    <cellStyle name="Followed Hyperlink" xfId="1281" builtinId="9" hidden="1"/>
    <cellStyle name="Followed Hyperlink" xfId="1283" builtinId="9" hidden="1"/>
    <cellStyle name="Followed Hyperlink" xfId="1285" builtinId="9" hidden="1"/>
    <cellStyle name="Followed Hyperlink" xfId="1287" builtinId="9" hidden="1"/>
    <cellStyle name="Followed Hyperlink" xfId="1289" builtinId="9" hidden="1"/>
    <cellStyle name="Followed Hyperlink" xfId="1291" builtinId="9" hidden="1"/>
    <cellStyle name="Followed Hyperlink" xfId="1293" builtinId="9" hidden="1"/>
    <cellStyle name="Followed Hyperlink" xfId="1295" builtinId="9" hidden="1"/>
    <cellStyle name="Followed Hyperlink" xfId="1297" builtinId="9" hidden="1"/>
    <cellStyle name="Followed Hyperlink" xfId="1299" builtinId="9" hidden="1"/>
    <cellStyle name="Followed Hyperlink" xfId="1301" builtinId="9" hidden="1"/>
    <cellStyle name="Followed Hyperlink" xfId="1303" builtinId="9" hidden="1"/>
    <cellStyle name="Followed Hyperlink" xfId="1305" builtinId="9" hidden="1"/>
    <cellStyle name="Followed Hyperlink" xfId="1307" builtinId="9" hidden="1"/>
    <cellStyle name="Followed Hyperlink" xfId="1309" builtinId="9" hidden="1"/>
    <cellStyle name="Followed Hyperlink" xfId="1311" builtinId="9" hidden="1"/>
    <cellStyle name="Followed Hyperlink" xfId="1313" builtinId="9" hidden="1"/>
    <cellStyle name="Followed Hyperlink" xfId="1315" builtinId="9" hidden="1"/>
    <cellStyle name="Followed Hyperlink" xfId="1317" builtinId="9" hidden="1"/>
    <cellStyle name="Followed Hyperlink" xfId="1319" builtinId="9" hidden="1"/>
    <cellStyle name="Followed Hyperlink" xfId="1321" builtinId="9" hidden="1"/>
    <cellStyle name="Followed Hyperlink" xfId="1323" builtinId="9" hidden="1"/>
    <cellStyle name="Followed Hyperlink" xfId="1325" builtinId="9" hidden="1"/>
    <cellStyle name="Followed Hyperlink" xfId="1327" builtinId="9" hidden="1"/>
    <cellStyle name="Followed Hyperlink" xfId="1329" builtinId="9" hidden="1"/>
    <cellStyle name="Followed Hyperlink" xfId="1331" builtinId="9" hidden="1"/>
    <cellStyle name="Followed Hyperlink" xfId="1333" builtinId="9" hidden="1"/>
    <cellStyle name="Followed Hyperlink" xfId="1335" builtinId="9" hidden="1"/>
    <cellStyle name="Followed Hyperlink" xfId="1337" builtinId="9" hidden="1"/>
    <cellStyle name="Followed Hyperlink" xfId="1339" builtinId="9" hidden="1"/>
    <cellStyle name="Followed Hyperlink" xfId="1341" builtinId="9" hidden="1"/>
    <cellStyle name="Followed Hyperlink" xfId="1343" builtinId="9" hidden="1"/>
    <cellStyle name="Followed Hyperlink" xfId="1345" builtinId="9" hidden="1"/>
    <cellStyle name="Followed Hyperlink" xfId="1347" builtinId="9" hidden="1"/>
    <cellStyle name="Followed Hyperlink" xfId="1349" builtinId="9" hidden="1"/>
    <cellStyle name="Followed Hyperlink" xfId="1351" builtinId="9" hidden="1"/>
    <cellStyle name="Followed Hyperlink" xfId="1353" builtinId="9" hidden="1"/>
    <cellStyle name="Followed Hyperlink" xfId="1355" builtinId="9" hidden="1"/>
    <cellStyle name="Followed Hyperlink" xfId="1357" builtinId="9" hidden="1"/>
    <cellStyle name="Followed Hyperlink" xfId="1359" builtinId="9" hidden="1"/>
    <cellStyle name="Followed Hyperlink" xfId="1361" builtinId="9" hidden="1"/>
    <cellStyle name="Followed Hyperlink" xfId="1363" builtinId="9" hidden="1"/>
    <cellStyle name="Followed Hyperlink" xfId="1365" builtinId="9" hidden="1"/>
    <cellStyle name="Followed Hyperlink" xfId="1367" builtinId="9" hidden="1"/>
    <cellStyle name="Followed Hyperlink" xfId="1369" builtinId="9" hidden="1"/>
    <cellStyle name="Followed Hyperlink" xfId="1371" builtinId="9" hidden="1"/>
    <cellStyle name="Followed Hyperlink" xfId="1373" builtinId="9" hidden="1"/>
    <cellStyle name="Followed Hyperlink" xfId="1375" builtinId="9" hidden="1"/>
    <cellStyle name="Followed Hyperlink" xfId="1377" builtinId="9" hidden="1"/>
    <cellStyle name="Followed Hyperlink" xfId="1379" builtinId="9" hidden="1"/>
    <cellStyle name="Followed Hyperlink" xfId="1381" builtinId="9" hidden="1"/>
    <cellStyle name="Followed Hyperlink" xfId="1383" builtinId="9" hidden="1"/>
    <cellStyle name="Followed Hyperlink" xfId="1385" builtinId="9" hidden="1"/>
    <cellStyle name="Followed Hyperlink" xfId="1387" builtinId="9" hidden="1"/>
    <cellStyle name="Followed Hyperlink" xfId="1389" builtinId="9" hidden="1"/>
    <cellStyle name="Followed Hyperlink" xfId="1391" builtinId="9" hidden="1"/>
    <cellStyle name="Followed Hyperlink" xfId="1393" builtinId="9" hidden="1"/>
    <cellStyle name="Followed Hyperlink" xfId="1395" builtinId="9" hidden="1"/>
    <cellStyle name="Followed Hyperlink" xfId="1397" builtinId="9" hidden="1"/>
    <cellStyle name="Followed Hyperlink" xfId="1399" builtinId="9" hidden="1"/>
    <cellStyle name="Followed Hyperlink" xfId="1401" builtinId="9" hidden="1"/>
    <cellStyle name="Followed Hyperlink" xfId="1403" builtinId="9" hidden="1"/>
    <cellStyle name="Followed Hyperlink" xfId="1405" builtinId="9" hidden="1"/>
    <cellStyle name="Followed Hyperlink" xfId="1407" builtinId="9" hidden="1"/>
    <cellStyle name="Followed Hyperlink" xfId="1409" builtinId="9" hidden="1"/>
    <cellStyle name="Followed Hyperlink" xfId="1411" builtinId="9" hidden="1"/>
    <cellStyle name="Followed Hyperlink" xfId="1413" builtinId="9" hidden="1"/>
    <cellStyle name="Followed Hyperlink" xfId="1415" builtinId="9" hidden="1"/>
    <cellStyle name="Followed Hyperlink" xfId="1417" builtinId="9" hidden="1"/>
    <cellStyle name="Followed Hyperlink" xfId="1419" builtinId="9" hidden="1"/>
    <cellStyle name="Followed Hyperlink" xfId="1421" builtinId="9" hidden="1"/>
    <cellStyle name="Followed Hyperlink" xfId="1423" builtinId="9" hidden="1"/>
    <cellStyle name="Followed Hyperlink" xfId="1425" builtinId="9" hidden="1"/>
    <cellStyle name="Followed Hyperlink" xfId="1427" builtinId="9" hidden="1"/>
    <cellStyle name="Followed Hyperlink" xfId="1429" builtinId="9" hidden="1"/>
    <cellStyle name="Followed Hyperlink" xfId="1431" builtinId="9" hidden="1"/>
    <cellStyle name="Followed Hyperlink" xfId="1433" builtinId="9" hidden="1"/>
    <cellStyle name="Followed Hyperlink" xfId="1435" builtinId="9" hidden="1"/>
    <cellStyle name="Followed Hyperlink" xfId="1437" builtinId="9" hidden="1"/>
    <cellStyle name="Followed Hyperlink" xfId="1439" builtinId="9" hidden="1"/>
    <cellStyle name="Followed Hyperlink" xfId="1441" builtinId="9" hidden="1"/>
    <cellStyle name="Followed Hyperlink" xfId="1443" builtinId="9" hidden="1"/>
    <cellStyle name="Followed Hyperlink" xfId="1445" builtinId="9" hidden="1"/>
    <cellStyle name="Followed Hyperlink" xfId="1447" builtinId="9" hidden="1"/>
    <cellStyle name="Followed Hyperlink" xfId="1449" builtinId="9" hidden="1"/>
    <cellStyle name="Followed Hyperlink" xfId="1451" builtinId="9" hidden="1"/>
    <cellStyle name="Followed Hyperlink" xfId="1453" builtinId="9" hidden="1"/>
    <cellStyle name="Followed Hyperlink" xfId="1455" builtinId="9" hidden="1"/>
    <cellStyle name="Followed Hyperlink" xfId="1457" builtinId="9" hidden="1"/>
    <cellStyle name="Followed Hyperlink" xfId="1459" builtinId="9" hidden="1"/>
    <cellStyle name="Followed Hyperlink" xfId="1461" builtinId="9" hidden="1"/>
    <cellStyle name="Followed Hyperlink" xfId="1463" builtinId="9" hidden="1"/>
    <cellStyle name="Followed Hyperlink" xfId="1465" builtinId="9" hidden="1"/>
    <cellStyle name="Followed Hyperlink" xfId="1467" builtinId="9" hidden="1"/>
    <cellStyle name="Followed Hyperlink" xfId="1469" builtinId="9" hidden="1"/>
    <cellStyle name="Followed Hyperlink" xfId="1471" builtinId="9" hidden="1"/>
    <cellStyle name="Followed Hyperlink" xfId="1473" builtinId="9" hidden="1"/>
    <cellStyle name="Followed Hyperlink" xfId="1475" builtinId="9" hidden="1"/>
    <cellStyle name="Followed Hyperlink" xfId="1477" builtinId="9" hidden="1"/>
    <cellStyle name="Followed Hyperlink" xfId="1479" builtinId="9" hidden="1"/>
    <cellStyle name="Followed Hyperlink" xfId="1481" builtinId="9" hidden="1"/>
    <cellStyle name="Followed Hyperlink" xfId="1483" builtinId="9" hidden="1"/>
    <cellStyle name="Followed Hyperlink" xfId="1485" builtinId="9" hidden="1"/>
    <cellStyle name="Followed Hyperlink" xfId="1487" builtinId="9" hidden="1"/>
    <cellStyle name="Followed Hyperlink" xfId="1489" builtinId="9" hidden="1"/>
    <cellStyle name="Followed Hyperlink" xfId="1491" builtinId="9" hidden="1"/>
    <cellStyle name="Followed Hyperlink" xfId="1493" builtinId="9" hidden="1"/>
    <cellStyle name="Followed Hyperlink" xfId="1495" builtinId="9" hidden="1"/>
    <cellStyle name="Followed Hyperlink" xfId="1497" builtinId="9" hidden="1"/>
    <cellStyle name="Followed Hyperlink" xfId="1499" builtinId="9" hidden="1"/>
    <cellStyle name="Followed Hyperlink" xfId="1501" builtinId="9" hidden="1"/>
    <cellStyle name="Followed Hyperlink" xfId="1503" builtinId="9" hidden="1"/>
    <cellStyle name="Followed Hyperlink" xfId="1505" builtinId="9" hidden="1"/>
    <cellStyle name="Followed Hyperlink" xfId="1507" builtinId="9" hidden="1"/>
    <cellStyle name="Followed Hyperlink" xfId="1509" builtinId="9" hidden="1"/>
    <cellStyle name="Followed Hyperlink" xfId="1511" builtinId="9" hidden="1"/>
    <cellStyle name="Followed Hyperlink" xfId="1513" builtinId="9" hidden="1"/>
    <cellStyle name="Followed Hyperlink" xfId="1515" builtinId="9" hidden="1"/>
    <cellStyle name="Followed Hyperlink" xfId="1517" builtinId="9" hidden="1"/>
    <cellStyle name="Followed Hyperlink" xfId="1519" builtinId="9" hidden="1"/>
    <cellStyle name="Followed Hyperlink" xfId="1521" builtinId="9" hidden="1"/>
    <cellStyle name="Followed Hyperlink" xfId="1523" builtinId="9" hidden="1"/>
    <cellStyle name="Followed Hyperlink" xfId="1525" builtinId="9" hidden="1"/>
    <cellStyle name="Followed Hyperlink" xfId="1527" builtinId="9" hidden="1"/>
    <cellStyle name="Followed Hyperlink" xfId="1529" builtinId="9" hidden="1"/>
    <cellStyle name="Followed Hyperlink" xfId="1531" builtinId="9" hidden="1"/>
    <cellStyle name="Followed Hyperlink" xfId="1533" builtinId="9" hidden="1"/>
    <cellStyle name="Followed Hyperlink" xfId="1535" builtinId="9" hidden="1"/>
    <cellStyle name="Followed Hyperlink" xfId="1537" builtinId="9" hidden="1"/>
    <cellStyle name="Followed Hyperlink" xfId="1539" builtinId="9" hidden="1"/>
    <cellStyle name="Followed Hyperlink" xfId="1541" builtinId="9" hidden="1"/>
    <cellStyle name="Followed Hyperlink" xfId="1543" builtinId="9" hidden="1"/>
    <cellStyle name="Followed Hyperlink" xfId="1545" builtinId="9" hidden="1"/>
    <cellStyle name="Followed Hyperlink" xfId="1547" builtinId="9" hidden="1"/>
    <cellStyle name="Followed Hyperlink" xfId="1549" builtinId="9" hidden="1"/>
    <cellStyle name="Followed Hyperlink" xfId="1551" builtinId="9" hidden="1"/>
    <cellStyle name="Followed Hyperlink" xfId="1553" builtinId="9" hidden="1"/>
    <cellStyle name="Followed Hyperlink" xfId="1555" builtinId="9" hidden="1"/>
    <cellStyle name="Followed Hyperlink" xfId="1557" builtinId="9" hidden="1"/>
    <cellStyle name="Followed Hyperlink" xfId="1559" builtinId="9" hidden="1"/>
    <cellStyle name="Followed Hyperlink" xfId="1561" builtinId="9" hidden="1"/>
    <cellStyle name="Followed Hyperlink" xfId="1563" builtinId="9" hidden="1"/>
    <cellStyle name="Followed Hyperlink" xfId="1565" builtinId="9" hidden="1"/>
    <cellStyle name="Followed Hyperlink" xfId="1567" builtinId="9" hidden="1"/>
    <cellStyle name="Followed Hyperlink" xfId="1569" builtinId="9" hidden="1"/>
    <cellStyle name="Followed Hyperlink" xfId="1571" builtinId="9" hidden="1"/>
    <cellStyle name="Followed Hyperlink" xfId="1573" builtinId="9" hidden="1"/>
    <cellStyle name="Followed Hyperlink" xfId="1575" builtinId="9" hidden="1"/>
    <cellStyle name="Followed Hyperlink" xfId="1577" builtinId="9" hidden="1"/>
    <cellStyle name="Followed Hyperlink" xfId="1579" builtinId="9" hidden="1"/>
    <cellStyle name="Followed Hyperlink" xfId="1581" builtinId="9" hidden="1"/>
    <cellStyle name="Followed Hyperlink" xfId="1583" builtinId="9" hidden="1"/>
    <cellStyle name="Followed Hyperlink" xfId="1585" builtinId="9" hidden="1"/>
    <cellStyle name="Followed Hyperlink" xfId="1587" builtinId="9" hidden="1"/>
    <cellStyle name="Followed Hyperlink" xfId="1589" builtinId="9" hidden="1"/>
    <cellStyle name="Followed Hyperlink" xfId="1591" builtinId="9" hidden="1"/>
    <cellStyle name="Followed Hyperlink" xfId="1593" builtinId="9" hidden="1"/>
    <cellStyle name="Followed Hyperlink" xfId="1595" builtinId="9" hidden="1"/>
    <cellStyle name="Followed Hyperlink" xfId="1597" builtinId="9" hidden="1"/>
    <cellStyle name="Followed Hyperlink" xfId="1599" builtinId="9" hidden="1"/>
    <cellStyle name="Followed Hyperlink" xfId="1601" builtinId="9" hidden="1"/>
    <cellStyle name="Followed Hyperlink" xfId="1603" builtinId="9" hidden="1"/>
    <cellStyle name="Followed Hyperlink" xfId="1605" builtinId="9" hidden="1"/>
    <cellStyle name="Followed Hyperlink" xfId="1607" builtinId="9" hidden="1"/>
    <cellStyle name="Followed Hyperlink" xfId="1609" builtinId="9" hidden="1"/>
    <cellStyle name="Followed Hyperlink" xfId="1611" builtinId="9" hidden="1"/>
    <cellStyle name="Followed Hyperlink" xfId="1613" builtinId="9" hidden="1"/>
    <cellStyle name="Followed Hyperlink" xfId="1615" builtinId="9" hidden="1"/>
    <cellStyle name="Followed Hyperlink" xfId="1617" builtinId="9" hidden="1"/>
    <cellStyle name="Followed Hyperlink" xfId="1619" builtinId="9" hidden="1"/>
    <cellStyle name="Followed Hyperlink" xfId="1621" builtinId="9" hidden="1"/>
    <cellStyle name="Followed Hyperlink" xfId="1623" builtinId="9" hidden="1"/>
    <cellStyle name="Followed Hyperlink" xfId="1625" builtinId="9" hidden="1"/>
    <cellStyle name="Followed Hyperlink" xfId="1627" builtinId="9" hidden="1"/>
    <cellStyle name="Followed Hyperlink" xfId="1629" builtinId="9" hidden="1"/>
    <cellStyle name="Followed Hyperlink" xfId="1631" builtinId="9" hidden="1"/>
    <cellStyle name="Followed Hyperlink" xfId="1633" builtinId="9" hidden="1"/>
    <cellStyle name="Followed Hyperlink" xfId="1635" builtinId="9" hidden="1"/>
    <cellStyle name="Followed Hyperlink" xfId="1637" builtinId="9" hidden="1"/>
    <cellStyle name="Followed Hyperlink" xfId="1639" builtinId="9" hidden="1"/>
    <cellStyle name="Followed Hyperlink" xfId="1641" builtinId="9" hidden="1"/>
    <cellStyle name="Followed Hyperlink" xfId="1643" builtinId="9" hidden="1"/>
    <cellStyle name="Followed Hyperlink" xfId="1645" builtinId="9" hidden="1"/>
    <cellStyle name="Followed Hyperlink" xfId="1647" builtinId="9" hidden="1"/>
    <cellStyle name="Followed Hyperlink" xfId="1649" builtinId="9" hidden="1"/>
    <cellStyle name="Followed Hyperlink" xfId="1651" builtinId="9" hidden="1"/>
    <cellStyle name="Followed Hyperlink" xfId="1653" builtinId="9" hidden="1"/>
    <cellStyle name="Followed Hyperlink" xfId="1655" builtinId="9" hidden="1"/>
    <cellStyle name="Followed Hyperlink" xfId="1657" builtinId="9" hidden="1"/>
    <cellStyle name="Followed Hyperlink" xfId="1659" builtinId="9" hidden="1"/>
    <cellStyle name="Followed Hyperlink" xfId="1661" builtinId="9" hidden="1"/>
    <cellStyle name="Followed Hyperlink" xfId="1663" builtinId="9" hidden="1"/>
    <cellStyle name="Followed Hyperlink" xfId="1665" builtinId="9" hidden="1"/>
    <cellStyle name="Followed Hyperlink" xfId="1667" builtinId="9" hidden="1"/>
    <cellStyle name="Followed Hyperlink" xfId="1669" builtinId="9" hidden="1"/>
    <cellStyle name="Followed Hyperlink" xfId="1671" builtinId="9" hidden="1"/>
    <cellStyle name="Followed Hyperlink" xfId="1673" builtinId="9" hidden="1"/>
    <cellStyle name="Followed Hyperlink" xfId="1675" builtinId="9" hidden="1"/>
    <cellStyle name="Followed Hyperlink" xfId="1677" builtinId="9" hidden="1"/>
    <cellStyle name="Followed Hyperlink" xfId="1679" builtinId="9" hidden="1"/>
    <cellStyle name="Followed Hyperlink" xfId="1681" builtinId="9" hidden="1"/>
    <cellStyle name="Followed Hyperlink" xfId="1683" builtinId="9" hidden="1"/>
    <cellStyle name="Followed Hyperlink" xfId="1685" builtinId="9" hidden="1"/>
    <cellStyle name="Followed Hyperlink" xfId="1687" builtinId="9" hidden="1"/>
    <cellStyle name="Followed Hyperlink" xfId="1689" builtinId="9" hidden="1"/>
    <cellStyle name="Followed Hyperlink" xfId="1691" builtinId="9" hidden="1"/>
    <cellStyle name="Followed Hyperlink" xfId="1693" builtinId="9" hidden="1"/>
    <cellStyle name="Followed Hyperlink" xfId="1695" builtinId="9" hidden="1"/>
    <cellStyle name="Followed Hyperlink" xfId="1697" builtinId="9" hidden="1"/>
    <cellStyle name="Followed Hyperlink" xfId="1699" builtinId="9" hidden="1"/>
    <cellStyle name="Followed Hyperlink" xfId="1701" builtinId="9" hidden="1"/>
    <cellStyle name="Followed Hyperlink" xfId="1703" builtinId="9" hidden="1"/>
    <cellStyle name="Followed Hyperlink" xfId="1705" builtinId="9" hidden="1"/>
    <cellStyle name="Followed Hyperlink" xfId="1707" builtinId="9" hidden="1"/>
    <cellStyle name="Followed Hyperlink" xfId="1709" builtinId="9" hidden="1"/>
    <cellStyle name="Followed Hyperlink" xfId="1711" builtinId="9" hidden="1"/>
    <cellStyle name="Followed Hyperlink" xfId="1713" builtinId="9" hidden="1"/>
    <cellStyle name="Followed Hyperlink" xfId="1715" builtinId="9" hidden="1"/>
    <cellStyle name="Followed Hyperlink" xfId="1717" builtinId="9" hidden="1"/>
    <cellStyle name="Followed Hyperlink" xfId="1719" builtinId="9" hidden="1"/>
    <cellStyle name="Followed Hyperlink" xfId="1721" builtinId="9" hidden="1"/>
    <cellStyle name="Followed Hyperlink" xfId="1723" builtinId="9" hidden="1"/>
    <cellStyle name="Followed Hyperlink" xfId="1725" builtinId="9" hidden="1"/>
    <cellStyle name="Followed Hyperlink" xfId="1727" builtinId="9" hidden="1"/>
    <cellStyle name="Followed Hyperlink" xfId="1729" builtinId="9" hidden="1"/>
    <cellStyle name="Followed Hyperlink" xfId="1731" builtinId="9" hidden="1"/>
    <cellStyle name="Followed Hyperlink" xfId="1733" builtinId="9" hidden="1"/>
    <cellStyle name="Followed Hyperlink" xfId="1735" builtinId="9" hidden="1"/>
    <cellStyle name="Followed Hyperlink" xfId="1737" builtinId="9" hidden="1"/>
    <cellStyle name="Followed Hyperlink" xfId="1739" builtinId="9" hidden="1"/>
    <cellStyle name="Followed Hyperlink" xfId="1741" builtinId="9" hidden="1"/>
    <cellStyle name="Followed Hyperlink" xfId="1743" builtinId="9" hidden="1"/>
    <cellStyle name="Followed Hyperlink" xfId="1745" builtinId="9" hidden="1"/>
    <cellStyle name="Followed Hyperlink" xfId="1747" builtinId="9" hidden="1"/>
    <cellStyle name="Followed Hyperlink" xfId="1749" builtinId="9" hidden="1"/>
    <cellStyle name="Followed Hyperlink" xfId="1751" builtinId="9" hidden="1"/>
    <cellStyle name="Followed Hyperlink" xfId="1753" builtinId="9" hidden="1"/>
    <cellStyle name="Followed Hyperlink" xfId="1755" builtinId="9" hidden="1"/>
    <cellStyle name="Followed Hyperlink" xfId="1757" builtinId="9" hidden="1"/>
    <cellStyle name="Followed Hyperlink" xfId="1759" builtinId="9" hidden="1"/>
    <cellStyle name="Followed Hyperlink" xfId="1761" builtinId="9" hidden="1"/>
    <cellStyle name="Followed Hyperlink" xfId="1763" builtinId="9" hidden="1"/>
    <cellStyle name="Followed Hyperlink" xfId="1765" builtinId="9" hidden="1"/>
    <cellStyle name="Followed Hyperlink" xfId="1767" builtinId="9" hidden="1"/>
    <cellStyle name="Followed Hyperlink" xfId="1769" builtinId="9" hidden="1"/>
    <cellStyle name="Followed Hyperlink" xfId="1771" builtinId="9" hidden="1"/>
    <cellStyle name="Followed Hyperlink" xfId="1773" builtinId="9" hidden="1"/>
    <cellStyle name="Followed Hyperlink" xfId="1775" builtinId="9" hidden="1"/>
    <cellStyle name="Followed Hyperlink" xfId="1777" builtinId="9" hidden="1"/>
    <cellStyle name="Followed Hyperlink" xfId="1779" builtinId="9" hidden="1"/>
    <cellStyle name="Followed Hyperlink" xfId="1781" builtinId="9" hidden="1"/>
    <cellStyle name="Followed Hyperlink" xfId="1783" builtinId="9" hidden="1"/>
    <cellStyle name="Followed Hyperlink" xfId="1785" builtinId="9" hidden="1"/>
    <cellStyle name="Followed Hyperlink" xfId="1787" builtinId="9" hidden="1"/>
    <cellStyle name="Followed Hyperlink" xfId="1789" builtinId="9" hidden="1"/>
    <cellStyle name="Followed Hyperlink" xfId="1791" builtinId="9" hidden="1"/>
    <cellStyle name="Followed Hyperlink" xfId="1793" builtinId="9" hidden="1"/>
    <cellStyle name="Followed Hyperlink" xfId="1795" builtinId="9" hidden="1"/>
    <cellStyle name="Followed Hyperlink" xfId="1797" builtinId="9" hidden="1"/>
    <cellStyle name="Followed Hyperlink" xfId="1799" builtinId="9" hidden="1"/>
    <cellStyle name="Followed Hyperlink" xfId="1801" builtinId="9" hidden="1"/>
    <cellStyle name="Followed Hyperlink" xfId="1803" builtinId="9" hidden="1"/>
    <cellStyle name="Followed Hyperlink" xfId="1805" builtinId="9" hidden="1"/>
    <cellStyle name="Followed Hyperlink" xfId="1807" builtinId="9" hidden="1"/>
    <cellStyle name="Followed Hyperlink" xfId="1809" builtinId="9" hidden="1"/>
    <cellStyle name="Followed Hyperlink" xfId="1811" builtinId="9" hidden="1"/>
    <cellStyle name="Followed Hyperlink" xfId="1813" builtinId="9" hidden="1"/>
    <cellStyle name="Followed Hyperlink" xfId="1815" builtinId="9" hidden="1"/>
    <cellStyle name="Followed Hyperlink" xfId="1817" builtinId="9" hidden="1"/>
    <cellStyle name="Followed Hyperlink" xfId="1819" builtinId="9" hidden="1"/>
    <cellStyle name="Followed Hyperlink" xfId="1821" builtinId="9" hidden="1"/>
    <cellStyle name="Followed Hyperlink" xfId="1823" builtinId="9" hidden="1"/>
    <cellStyle name="Followed Hyperlink" xfId="1825" builtinId="9" hidden="1"/>
    <cellStyle name="Followed Hyperlink" xfId="1827" builtinId="9" hidden="1"/>
    <cellStyle name="Followed Hyperlink" xfId="1829" builtinId="9" hidden="1"/>
    <cellStyle name="Followed Hyperlink" xfId="1831" builtinId="9" hidden="1"/>
    <cellStyle name="Followed Hyperlink" xfId="1833" builtinId="9" hidden="1"/>
    <cellStyle name="Followed Hyperlink" xfId="1835" builtinId="9" hidden="1"/>
    <cellStyle name="Followed Hyperlink" xfId="1837" builtinId="9" hidden="1"/>
    <cellStyle name="Followed Hyperlink" xfId="1839" builtinId="9" hidden="1"/>
    <cellStyle name="Followed Hyperlink" xfId="1841" builtinId="9" hidden="1"/>
    <cellStyle name="Followed Hyperlink" xfId="1843" builtinId="9" hidden="1"/>
    <cellStyle name="Followed Hyperlink" xfId="1845" builtinId="9" hidden="1"/>
    <cellStyle name="Followed Hyperlink" xfId="1847" builtinId="9" hidden="1"/>
    <cellStyle name="Followed Hyperlink" xfId="1849" builtinId="9" hidden="1"/>
    <cellStyle name="Followed Hyperlink" xfId="1851" builtinId="9" hidden="1"/>
    <cellStyle name="Followed Hyperlink" xfId="1853" builtinId="9" hidden="1"/>
    <cellStyle name="Followed Hyperlink" xfId="1855" builtinId="9" hidden="1"/>
    <cellStyle name="Followed Hyperlink" xfId="1857" builtinId="9" hidden="1"/>
    <cellStyle name="Followed Hyperlink" xfId="1859" builtinId="9" hidden="1"/>
    <cellStyle name="Followed Hyperlink" xfId="1861" builtinId="9" hidden="1"/>
    <cellStyle name="Followed Hyperlink" xfId="1863" builtinId="9" hidden="1"/>
    <cellStyle name="Followed Hyperlink" xfId="1865" builtinId="9" hidden="1"/>
    <cellStyle name="Followed Hyperlink" xfId="1867" builtinId="9" hidden="1"/>
    <cellStyle name="Followed Hyperlink" xfId="1869" builtinId="9" hidden="1"/>
    <cellStyle name="Followed Hyperlink" xfId="1871" builtinId="9" hidden="1"/>
    <cellStyle name="Followed Hyperlink" xfId="1873" builtinId="9" hidden="1"/>
    <cellStyle name="Followed Hyperlink" xfId="1875" builtinId="9" hidden="1"/>
    <cellStyle name="Followed Hyperlink" xfId="1877" builtinId="9" hidden="1"/>
    <cellStyle name="Followed Hyperlink" xfId="1879" builtinId="9" hidden="1"/>
    <cellStyle name="Followed Hyperlink" xfId="1881" builtinId="9" hidden="1"/>
    <cellStyle name="Followed Hyperlink" xfId="1883" builtinId="9" hidden="1"/>
    <cellStyle name="Followed Hyperlink" xfId="1885" builtinId="9" hidden="1"/>
    <cellStyle name="Followed Hyperlink" xfId="1887" builtinId="9" hidden="1"/>
    <cellStyle name="Followed Hyperlink" xfId="1889" builtinId="9" hidden="1"/>
    <cellStyle name="Followed Hyperlink" xfId="1891" builtinId="9" hidden="1"/>
    <cellStyle name="Followed Hyperlink" xfId="1893" builtinId="9" hidden="1"/>
    <cellStyle name="Followed Hyperlink" xfId="1895" builtinId="9" hidden="1"/>
    <cellStyle name="Followed Hyperlink" xfId="1897" builtinId="9" hidden="1"/>
    <cellStyle name="Followed Hyperlink" xfId="1899" builtinId="9" hidden="1"/>
    <cellStyle name="Followed Hyperlink" xfId="1901" builtinId="9" hidden="1"/>
    <cellStyle name="Followed Hyperlink" xfId="1903" builtinId="9" hidden="1"/>
    <cellStyle name="Followed Hyperlink" xfId="1905" builtinId="9" hidden="1"/>
    <cellStyle name="Followed Hyperlink" xfId="1907" builtinId="9" hidden="1"/>
    <cellStyle name="Followed Hyperlink" xfId="1909" builtinId="9" hidden="1"/>
    <cellStyle name="Followed Hyperlink" xfId="1911" builtinId="9" hidden="1"/>
    <cellStyle name="Followed Hyperlink" xfId="1913" builtinId="9" hidden="1"/>
    <cellStyle name="Followed Hyperlink" xfId="1915" builtinId="9" hidden="1"/>
    <cellStyle name="Followed Hyperlink" xfId="1917" builtinId="9" hidden="1"/>
    <cellStyle name="Followed Hyperlink" xfId="1919" builtinId="9" hidden="1"/>
    <cellStyle name="Followed Hyperlink" xfId="1921" builtinId="9" hidden="1"/>
    <cellStyle name="Followed Hyperlink" xfId="1923" builtinId="9" hidden="1"/>
    <cellStyle name="Followed Hyperlink" xfId="1925" builtinId="9" hidden="1"/>
    <cellStyle name="Followed Hyperlink" xfId="1927" builtinId="9" hidden="1"/>
    <cellStyle name="Followed Hyperlink" xfId="1929" builtinId="9" hidden="1"/>
    <cellStyle name="Followed Hyperlink" xfId="1931" builtinId="9" hidden="1"/>
    <cellStyle name="Followed Hyperlink" xfId="1933" builtinId="9" hidden="1"/>
    <cellStyle name="Followed Hyperlink" xfId="1935" builtinId="9" hidden="1"/>
    <cellStyle name="Followed Hyperlink" xfId="1937" builtinId="9" hidden="1"/>
    <cellStyle name="Followed Hyperlink" xfId="1939" builtinId="9" hidden="1"/>
    <cellStyle name="Followed Hyperlink" xfId="1941" builtinId="9" hidden="1"/>
    <cellStyle name="Followed Hyperlink" xfId="1943" builtinId="9" hidden="1"/>
    <cellStyle name="Followed Hyperlink" xfId="1945" builtinId="9" hidden="1"/>
    <cellStyle name="Followed Hyperlink" xfId="1947" builtinId="9" hidden="1"/>
    <cellStyle name="Followed Hyperlink" xfId="1949" builtinId="9" hidden="1"/>
    <cellStyle name="Followed Hyperlink" xfId="1951" builtinId="9" hidden="1"/>
    <cellStyle name="Followed Hyperlink" xfId="1953" builtinId="9" hidden="1"/>
    <cellStyle name="Followed Hyperlink" xfId="1955" builtinId="9" hidden="1"/>
    <cellStyle name="Followed Hyperlink" xfId="1957" builtinId="9" hidden="1"/>
    <cellStyle name="Followed Hyperlink" xfId="1959" builtinId="9" hidden="1"/>
    <cellStyle name="Followed Hyperlink" xfId="1961" builtinId="9" hidden="1"/>
    <cellStyle name="Followed Hyperlink" xfId="1963" builtinId="9" hidden="1"/>
    <cellStyle name="Followed Hyperlink" xfId="1965" builtinId="9" hidden="1"/>
    <cellStyle name="Followed Hyperlink" xfId="1967" builtinId="9" hidden="1"/>
    <cellStyle name="Followed Hyperlink" xfId="1969" builtinId="9" hidden="1"/>
    <cellStyle name="Followed Hyperlink" xfId="1971" builtinId="9" hidden="1"/>
    <cellStyle name="Followed Hyperlink" xfId="1973" builtinId="9" hidden="1"/>
    <cellStyle name="Followed Hyperlink" xfId="1975" builtinId="9" hidden="1"/>
    <cellStyle name="Followed Hyperlink" xfId="1977" builtinId="9" hidden="1"/>
    <cellStyle name="Followed Hyperlink" xfId="1979" builtinId="9" hidden="1"/>
    <cellStyle name="Followed Hyperlink" xfId="1981" builtinId="9" hidden="1"/>
    <cellStyle name="Followed Hyperlink" xfId="1983" builtinId="9" hidden="1"/>
    <cellStyle name="Followed Hyperlink" xfId="1985" builtinId="9" hidden="1"/>
    <cellStyle name="Followed Hyperlink" xfId="1987" builtinId="9" hidden="1"/>
    <cellStyle name="Followed Hyperlink" xfId="1989" builtinId="9" hidden="1"/>
    <cellStyle name="Followed Hyperlink" xfId="1991" builtinId="9" hidden="1"/>
    <cellStyle name="Followed Hyperlink" xfId="1993" builtinId="9" hidden="1"/>
    <cellStyle name="Followed Hyperlink" xfId="1995" builtinId="9" hidden="1"/>
    <cellStyle name="Followed Hyperlink" xfId="1997" builtinId="9" hidden="1"/>
    <cellStyle name="Followed Hyperlink" xfId="1999" builtinId="9" hidden="1"/>
    <cellStyle name="Followed Hyperlink" xfId="2001" builtinId="9" hidden="1"/>
    <cellStyle name="Followed Hyperlink" xfId="2003" builtinId="9" hidden="1"/>
    <cellStyle name="Followed Hyperlink" xfId="2005" builtinId="9" hidden="1"/>
    <cellStyle name="Followed Hyperlink" xfId="2007" builtinId="9" hidden="1"/>
    <cellStyle name="Followed Hyperlink" xfId="2009" builtinId="9" hidden="1"/>
    <cellStyle name="Followed Hyperlink" xfId="2011" builtinId="9" hidden="1"/>
    <cellStyle name="Followed Hyperlink" xfId="2013" builtinId="9" hidden="1"/>
    <cellStyle name="Followed Hyperlink" xfId="2015" builtinId="9" hidden="1"/>
    <cellStyle name="Followed Hyperlink" xfId="2017" builtinId="9" hidden="1"/>
    <cellStyle name="Followed Hyperlink" xfId="2019" builtinId="9" hidden="1"/>
    <cellStyle name="Followed Hyperlink" xfId="2021" builtinId="9" hidden="1"/>
    <cellStyle name="Followed Hyperlink" xfId="2023" builtinId="9" hidden="1"/>
    <cellStyle name="Followed Hyperlink" xfId="2025" builtinId="9" hidden="1"/>
    <cellStyle name="Followed Hyperlink" xfId="2027" builtinId="9" hidden="1"/>
    <cellStyle name="Followed Hyperlink" xfId="2029" builtinId="9" hidden="1"/>
    <cellStyle name="Followed Hyperlink" xfId="2031" builtinId="9" hidden="1"/>
    <cellStyle name="Followed Hyperlink" xfId="2033" builtinId="9" hidden="1"/>
    <cellStyle name="Followed Hyperlink" xfId="2035" builtinId="9" hidden="1"/>
    <cellStyle name="Followed Hyperlink" xfId="2037" builtinId="9" hidden="1"/>
    <cellStyle name="Followed Hyperlink" xfId="2039" builtinId="9" hidden="1"/>
    <cellStyle name="Followed Hyperlink" xfId="2041" builtinId="9" hidden="1"/>
    <cellStyle name="Followed Hyperlink" xfId="2043" builtinId="9" hidden="1"/>
    <cellStyle name="Followed Hyperlink" xfId="2045" builtinId="9" hidden="1"/>
    <cellStyle name="Followed Hyperlink" xfId="2047" builtinId="9" hidden="1"/>
    <cellStyle name="Followed Hyperlink" xfId="2049" builtinId="9" hidden="1"/>
    <cellStyle name="Followed Hyperlink" xfId="2051" builtinId="9" hidden="1"/>
    <cellStyle name="Followed Hyperlink" xfId="2053" builtinId="9" hidden="1"/>
    <cellStyle name="Followed Hyperlink" xfId="2055" builtinId="9" hidden="1"/>
    <cellStyle name="Followed Hyperlink" xfId="2057" builtinId="9" hidden="1"/>
    <cellStyle name="Followed Hyperlink" xfId="2059" builtinId="9" hidden="1"/>
    <cellStyle name="Followed Hyperlink" xfId="2061" builtinId="9" hidden="1"/>
    <cellStyle name="Followed Hyperlink" xfId="2063" builtinId="9" hidden="1"/>
    <cellStyle name="Followed Hyperlink" xfId="2065" builtinId="9" hidden="1"/>
    <cellStyle name="Followed Hyperlink" xfId="2067" builtinId="9" hidden="1"/>
    <cellStyle name="Followed Hyperlink" xfId="2069" builtinId="9" hidden="1"/>
    <cellStyle name="Followed Hyperlink" xfId="2071" builtinId="9" hidden="1"/>
    <cellStyle name="Followed Hyperlink" xfId="2073" builtinId="9" hidden="1"/>
    <cellStyle name="Followed Hyperlink" xfId="2075" builtinId="9" hidden="1"/>
    <cellStyle name="Followed Hyperlink" xfId="2077" builtinId="9" hidden="1"/>
    <cellStyle name="Followed Hyperlink" xfId="2079" builtinId="9" hidden="1"/>
    <cellStyle name="Followed Hyperlink" xfId="2081" builtinId="9" hidden="1"/>
    <cellStyle name="Followed Hyperlink" xfId="2083" builtinId="9" hidden="1"/>
    <cellStyle name="Followed Hyperlink" xfId="2085" builtinId="9" hidden="1"/>
    <cellStyle name="Followed Hyperlink" xfId="2087" builtinId="9" hidden="1"/>
    <cellStyle name="Followed Hyperlink" xfId="2089" builtinId="9" hidden="1"/>
    <cellStyle name="Followed Hyperlink" xfId="2091" builtinId="9" hidden="1"/>
    <cellStyle name="Followed Hyperlink" xfId="2093" builtinId="9" hidden="1"/>
    <cellStyle name="Followed Hyperlink" xfId="2095" builtinId="9" hidden="1"/>
    <cellStyle name="Followed Hyperlink" xfId="2097" builtinId="9" hidden="1"/>
    <cellStyle name="Followed Hyperlink" xfId="2099" builtinId="9" hidden="1"/>
    <cellStyle name="Followed Hyperlink" xfId="2101" builtinId="9" hidden="1"/>
    <cellStyle name="Followed Hyperlink" xfId="2103" builtinId="9" hidden="1"/>
    <cellStyle name="Followed Hyperlink" xfId="2105" builtinId="9" hidden="1"/>
    <cellStyle name="Followed Hyperlink" xfId="2107" builtinId="9" hidden="1"/>
    <cellStyle name="Followed Hyperlink" xfId="2109" builtinId="9" hidden="1"/>
    <cellStyle name="Followed Hyperlink" xfId="2111" builtinId="9" hidden="1"/>
    <cellStyle name="Followed Hyperlink" xfId="2113" builtinId="9" hidden="1"/>
    <cellStyle name="Followed Hyperlink" xfId="2115" builtinId="9" hidden="1"/>
    <cellStyle name="Followed Hyperlink" xfId="2117" builtinId="9" hidden="1"/>
    <cellStyle name="Followed Hyperlink" xfId="2119" builtinId="9" hidden="1"/>
    <cellStyle name="Followed Hyperlink" xfId="2121" builtinId="9" hidden="1"/>
    <cellStyle name="Followed Hyperlink" xfId="2123" builtinId="9" hidden="1"/>
    <cellStyle name="Followed Hyperlink" xfId="2125" builtinId="9" hidden="1"/>
    <cellStyle name="Followed Hyperlink" xfId="2127" builtinId="9" hidden="1"/>
    <cellStyle name="Followed Hyperlink" xfId="2129" builtinId="9" hidden="1"/>
    <cellStyle name="Followed Hyperlink" xfId="2131" builtinId="9" hidden="1"/>
    <cellStyle name="Followed Hyperlink" xfId="2133" builtinId="9" hidden="1"/>
    <cellStyle name="Followed Hyperlink" xfId="2135" builtinId="9" hidden="1"/>
    <cellStyle name="Followed Hyperlink" xfId="2137" builtinId="9" hidden="1"/>
    <cellStyle name="Followed Hyperlink" xfId="2139" builtinId="9" hidden="1"/>
    <cellStyle name="Followed Hyperlink" xfId="2141" builtinId="9" hidden="1"/>
    <cellStyle name="Followed Hyperlink" xfId="2143" builtinId="9" hidden="1"/>
    <cellStyle name="Followed Hyperlink" xfId="2145" builtinId="9" hidden="1"/>
    <cellStyle name="Followed Hyperlink" xfId="2147" builtinId="9" hidden="1"/>
    <cellStyle name="Followed Hyperlink" xfId="2149" builtinId="9" hidden="1"/>
    <cellStyle name="Followed Hyperlink" xfId="2151" builtinId="9" hidden="1"/>
    <cellStyle name="Followed Hyperlink" xfId="2153" builtinId="9" hidden="1"/>
    <cellStyle name="Followed Hyperlink" xfId="2155" builtinId="9" hidden="1"/>
    <cellStyle name="Followed Hyperlink" xfId="2157" builtinId="9" hidden="1"/>
    <cellStyle name="Followed Hyperlink" xfId="2159" builtinId="9" hidden="1"/>
    <cellStyle name="Followed Hyperlink" xfId="2161" builtinId="9" hidden="1"/>
    <cellStyle name="Followed Hyperlink" xfId="2163" builtinId="9" hidden="1"/>
    <cellStyle name="Followed Hyperlink" xfId="2165" builtinId="9" hidden="1"/>
    <cellStyle name="Followed Hyperlink" xfId="2167" builtinId="9" hidden="1"/>
    <cellStyle name="Followed Hyperlink" xfId="2169" builtinId="9" hidden="1"/>
    <cellStyle name="Followed Hyperlink" xfId="2171" builtinId="9" hidden="1"/>
    <cellStyle name="Followed Hyperlink" xfId="2173" builtinId="9" hidden="1"/>
    <cellStyle name="Followed Hyperlink" xfId="2175" builtinId="9" hidden="1"/>
    <cellStyle name="Followed Hyperlink" xfId="2177" builtinId="9" hidden="1"/>
    <cellStyle name="Followed Hyperlink" xfId="2179" builtinId="9" hidden="1"/>
    <cellStyle name="Followed Hyperlink" xfId="2181" builtinId="9" hidden="1"/>
    <cellStyle name="Followed Hyperlink" xfId="2183" builtinId="9" hidden="1"/>
    <cellStyle name="Followed Hyperlink" xfId="2185" builtinId="9" hidden="1"/>
    <cellStyle name="Followed Hyperlink" xfId="2187" builtinId="9" hidden="1"/>
    <cellStyle name="Followed Hyperlink" xfId="2189" builtinId="9" hidden="1"/>
    <cellStyle name="Followed Hyperlink" xfId="2191" builtinId="9" hidden="1"/>
    <cellStyle name="Followed Hyperlink" xfId="2193" builtinId="9" hidden="1"/>
    <cellStyle name="Followed Hyperlink" xfId="2195" builtinId="9" hidden="1"/>
    <cellStyle name="Followed Hyperlink" xfId="2197" builtinId="9" hidden="1"/>
    <cellStyle name="Followed Hyperlink" xfId="2199" builtinId="9" hidden="1"/>
    <cellStyle name="Followed Hyperlink" xfId="2201" builtinId="9" hidden="1"/>
    <cellStyle name="Followed Hyperlink" xfId="2203" builtinId="9" hidden="1"/>
    <cellStyle name="Followed Hyperlink" xfId="2205" builtinId="9" hidden="1"/>
    <cellStyle name="Followed Hyperlink" xfId="2207" builtinId="9" hidden="1"/>
    <cellStyle name="Followed Hyperlink" xfId="2209" builtinId="9" hidden="1"/>
    <cellStyle name="Followed Hyperlink" xfId="2211" builtinId="9" hidden="1"/>
    <cellStyle name="Followed Hyperlink" xfId="2213" builtinId="9" hidden="1"/>
    <cellStyle name="Followed Hyperlink" xfId="2215" builtinId="9" hidden="1"/>
    <cellStyle name="Followed Hyperlink" xfId="2217" builtinId="9" hidden="1"/>
    <cellStyle name="Followed Hyperlink" xfId="2219" builtinId="9" hidden="1"/>
    <cellStyle name="Followed Hyperlink" xfId="2221" builtinId="9" hidden="1"/>
    <cellStyle name="Followed Hyperlink" xfId="2223" builtinId="9" hidden="1"/>
    <cellStyle name="Followed Hyperlink" xfId="2225" builtinId="9" hidden="1"/>
    <cellStyle name="Followed Hyperlink" xfId="2227" builtinId="9" hidden="1"/>
    <cellStyle name="Followed Hyperlink" xfId="2229" builtinId="9" hidden="1"/>
    <cellStyle name="Followed Hyperlink" xfId="2231" builtinId="9" hidden="1"/>
    <cellStyle name="Followed Hyperlink" xfId="2233" builtinId="9" hidden="1"/>
    <cellStyle name="Followed Hyperlink" xfId="2235" builtinId="9" hidden="1"/>
    <cellStyle name="Followed Hyperlink" xfId="2237" builtinId="9" hidden="1"/>
    <cellStyle name="Followed Hyperlink" xfId="2239" builtinId="9" hidden="1"/>
    <cellStyle name="Followed Hyperlink" xfId="2241" builtinId="9" hidden="1"/>
    <cellStyle name="Followed Hyperlink" xfId="2243" builtinId="9" hidden="1"/>
    <cellStyle name="Followed Hyperlink" xfId="2245" builtinId="9" hidden="1"/>
    <cellStyle name="Followed Hyperlink" xfId="2247" builtinId="9" hidden="1"/>
    <cellStyle name="Followed Hyperlink" xfId="2249" builtinId="9" hidden="1"/>
    <cellStyle name="Followed Hyperlink" xfId="2251" builtinId="9" hidden="1"/>
    <cellStyle name="Followed Hyperlink" xfId="2253" builtinId="9" hidden="1"/>
    <cellStyle name="Followed Hyperlink" xfId="2255" builtinId="9" hidden="1"/>
    <cellStyle name="Followed Hyperlink" xfId="2257" builtinId="9" hidden="1"/>
    <cellStyle name="Followed Hyperlink" xfId="2259" builtinId="9" hidden="1"/>
    <cellStyle name="Followed Hyperlink" xfId="2261" builtinId="9" hidden="1"/>
    <cellStyle name="Followed Hyperlink" xfId="2263" builtinId="9" hidden="1"/>
    <cellStyle name="Followed Hyperlink" xfId="2265" builtinId="9" hidden="1"/>
    <cellStyle name="Followed Hyperlink" xfId="2267" builtinId="9" hidden="1"/>
    <cellStyle name="Followed Hyperlink" xfId="2269" builtinId="9" hidden="1"/>
    <cellStyle name="Followed Hyperlink" xfId="2271" builtinId="9" hidden="1"/>
    <cellStyle name="Followed Hyperlink" xfId="2273" builtinId="9" hidden="1"/>
    <cellStyle name="Followed Hyperlink" xfId="2275" builtinId="9" hidden="1"/>
    <cellStyle name="Followed Hyperlink" xfId="2277" builtinId="9" hidden="1"/>
    <cellStyle name="Followed Hyperlink" xfId="2279" builtinId="9" hidden="1"/>
    <cellStyle name="Followed Hyperlink" xfId="2281" builtinId="9" hidden="1"/>
    <cellStyle name="Followed Hyperlink" xfId="2283" builtinId="9" hidden="1"/>
    <cellStyle name="Followed Hyperlink" xfId="2285" builtinId="9" hidden="1"/>
    <cellStyle name="Followed Hyperlink" xfId="2287" builtinId="9" hidden="1"/>
    <cellStyle name="Followed Hyperlink" xfId="2289" builtinId="9" hidden="1"/>
    <cellStyle name="Followed Hyperlink" xfId="2291" builtinId="9" hidden="1"/>
    <cellStyle name="Followed Hyperlink" xfId="2293" builtinId="9" hidden="1"/>
    <cellStyle name="Followed Hyperlink" xfId="2295" builtinId="9" hidden="1"/>
    <cellStyle name="Followed Hyperlink" xfId="2297" builtinId="9" hidden="1"/>
    <cellStyle name="Followed Hyperlink" xfId="2299" builtinId="9" hidden="1"/>
    <cellStyle name="Followed Hyperlink" xfId="2301" builtinId="9" hidden="1"/>
    <cellStyle name="Followed Hyperlink" xfId="2303" builtinId="9" hidden="1"/>
    <cellStyle name="Followed Hyperlink" xfId="2305" builtinId="9" hidden="1"/>
    <cellStyle name="Followed Hyperlink" xfId="2307" builtinId="9" hidden="1"/>
    <cellStyle name="Followed Hyperlink" xfId="2309" builtinId="9" hidden="1"/>
    <cellStyle name="Followed Hyperlink" xfId="2311" builtinId="9" hidden="1"/>
    <cellStyle name="Followed Hyperlink" xfId="2313" builtinId="9" hidden="1"/>
    <cellStyle name="Followed Hyperlink" xfId="2315" builtinId="9" hidden="1"/>
    <cellStyle name="Followed Hyperlink" xfId="2317" builtinId="9" hidden="1"/>
    <cellStyle name="Followed Hyperlink" xfId="2319" builtinId="9" hidden="1"/>
    <cellStyle name="Followed Hyperlink" xfId="2321" builtinId="9" hidden="1"/>
    <cellStyle name="Followed Hyperlink" xfId="2323" builtinId="9" hidden="1"/>
    <cellStyle name="Followed Hyperlink" xfId="2325" builtinId="9" hidden="1"/>
    <cellStyle name="Followed Hyperlink" xfId="2327" builtinId="9" hidden="1"/>
    <cellStyle name="Followed Hyperlink" xfId="2329" builtinId="9" hidden="1"/>
    <cellStyle name="Followed Hyperlink" xfId="2331" builtinId="9" hidden="1"/>
    <cellStyle name="Followed Hyperlink" xfId="2333" builtinId="9" hidden="1"/>
    <cellStyle name="Followed Hyperlink" xfId="2335" builtinId="9" hidden="1"/>
    <cellStyle name="Followed Hyperlink" xfId="2337" builtinId="9" hidden="1"/>
    <cellStyle name="Followed Hyperlink" xfId="2339" builtinId="9" hidden="1"/>
    <cellStyle name="Followed Hyperlink" xfId="2341" builtinId="9" hidden="1"/>
    <cellStyle name="Followed Hyperlink" xfId="2343" builtinId="9" hidden="1"/>
    <cellStyle name="Followed Hyperlink" xfId="2345" builtinId="9" hidden="1"/>
    <cellStyle name="Followed Hyperlink" xfId="2347" builtinId="9" hidden="1"/>
    <cellStyle name="Followed Hyperlink" xfId="2349" builtinId="9" hidden="1"/>
    <cellStyle name="Followed Hyperlink" xfId="2351" builtinId="9" hidden="1"/>
    <cellStyle name="Followed Hyperlink" xfId="2353" builtinId="9" hidden="1"/>
    <cellStyle name="Followed Hyperlink" xfId="2355" builtinId="9" hidden="1"/>
    <cellStyle name="Followed Hyperlink" xfId="2357" builtinId="9" hidden="1"/>
    <cellStyle name="Followed Hyperlink" xfId="2359" builtinId="9" hidden="1"/>
    <cellStyle name="Followed Hyperlink" xfId="2361" builtinId="9" hidden="1"/>
    <cellStyle name="Followed Hyperlink" xfId="2363" builtinId="9" hidden="1"/>
    <cellStyle name="Followed Hyperlink" xfId="2365" builtinId="9" hidden="1"/>
    <cellStyle name="Followed Hyperlink" xfId="2367" builtinId="9" hidden="1"/>
    <cellStyle name="Followed Hyperlink" xfId="2369" builtinId="9" hidden="1"/>
    <cellStyle name="Followed Hyperlink" xfId="2371" builtinId="9" hidden="1"/>
    <cellStyle name="Followed Hyperlink" xfId="2373" builtinId="9" hidden="1"/>
    <cellStyle name="Followed Hyperlink" xfId="2375" builtinId="9" hidden="1"/>
    <cellStyle name="Followed Hyperlink" xfId="2377" builtinId="9" hidden="1"/>
    <cellStyle name="Followed Hyperlink" xfId="2379" builtinId="9" hidden="1"/>
    <cellStyle name="Followed Hyperlink" xfId="2381" builtinId="9" hidden="1"/>
    <cellStyle name="Followed Hyperlink" xfId="2383" builtinId="9" hidden="1"/>
    <cellStyle name="Followed Hyperlink" xfId="2385" builtinId="9" hidden="1"/>
    <cellStyle name="Followed Hyperlink" xfId="2387" builtinId="9" hidden="1"/>
    <cellStyle name="Followed Hyperlink" xfId="2389" builtinId="9" hidden="1"/>
    <cellStyle name="Followed Hyperlink" xfId="2391" builtinId="9" hidden="1"/>
    <cellStyle name="Followed Hyperlink" xfId="2393" builtinId="9" hidden="1"/>
    <cellStyle name="Followed Hyperlink" xfId="2395" builtinId="9" hidden="1"/>
    <cellStyle name="Followed Hyperlink" xfId="2397" builtinId="9" hidden="1"/>
    <cellStyle name="Followed Hyperlink" xfId="2399" builtinId="9" hidden="1"/>
    <cellStyle name="Followed Hyperlink" xfId="2401" builtinId="9" hidden="1"/>
    <cellStyle name="Followed Hyperlink" xfId="2403" builtinId="9" hidden="1"/>
    <cellStyle name="Followed Hyperlink" xfId="2405" builtinId="9" hidden="1"/>
    <cellStyle name="Followed Hyperlink" xfId="2407" builtinId="9" hidden="1"/>
    <cellStyle name="Followed Hyperlink" xfId="2409" builtinId="9" hidden="1"/>
    <cellStyle name="Followed Hyperlink" xfId="2411" builtinId="9" hidden="1"/>
    <cellStyle name="Followed Hyperlink" xfId="2413" builtinId="9" hidden="1"/>
    <cellStyle name="Followed Hyperlink" xfId="2415" builtinId="9" hidden="1"/>
    <cellStyle name="Followed Hyperlink" xfId="2417" builtinId="9" hidden="1"/>
    <cellStyle name="Followed Hyperlink" xfId="2419" builtinId="9" hidden="1"/>
    <cellStyle name="Followed Hyperlink" xfId="2421" builtinId="9" hidden="1"/>
    <cellStyle name="Followed Hyperlink" xfId="2423" builtinId="9" hidden="1"/>
    <cellStyle name="Followed Hyperlink" xfId="2425" builtinId="9" hidden="1"/>
    <cellStyle name="Followed Hyperlink" xfId="2427" builtinId="9" hidden="1"/>
    <cellStyle name="Followed Hyperlink" xfId="2429" builtinId="9" hidden="1"/>
    <cellStyle name="Followed Hyperlink" xfId="2431" builtinId="9" hidden="1"/>
    <cellStyle name="Followed Hyperlink" xfId="2433" builtinId="9" hidden="1"/>
    <cellStyle name="Followed Hyperlink" xfId="2435" builtinId="9" hidden="1"/>
    <cellStyle name="Followed Hyperlink" xfId="2437" builtinId="9" hidden="1"/>
    <cellStyle name="Followed Hyperlink" xfId="2439" builtinId="9" hidden="1"/>
    <cellStyle name="Followed Hyperlink" xfId="2441" builtinId="9" hidden="1"/>
    <cellStyle name="Followed Hyperlink" xfId="2443" builtinId="9" hidden="1"/>
    <cellStyle name="Followed Hyperlink" xfId="2445" builtinId="9" hidden="1"/>
    <cellStyle name="Followed Hyperlink" xfId="2447" builtinId="9" hidden="1"/>
    <cellStyle name="Followed Hyperlink" xfId="2449" builtinId="9" hidden="1"/>
    <cellStyle name="Followed Hyperlink" xfId="2451" builtinId="9" hidden="1"/>
    <cellStyle name="Followed Hyperlink" xfId="2453" builtinId="9" hidden="1"/>
    <cellStyle name="Followed Hyperlink" xfId="2455" builtinId="9" hidden="1"/>
    <cellStyle name="Followed Hyperlink" xfId="2457" builtinId="9" hidden="1"/>
    <cellStyle name="Followed Hyperlink" xfId="2459" builtinId="9" hidden="1"/>
    <cellStyle name="Followed Hyperlink" xfId="2461" builtinId="9" hidden="1"/>
    <cellStyle name="Followed Hyperlink" xfId="2463" builtinId="9" hidden="1"/>
    <cellStyle name="Followed Hyperlink" xfId="2465" builtinId="9" hidden="1"/>
    <cellStyle name="Followed Hyperlink" xfId="2467" builtinId="9" hidden="1"/>
    <cellStyle name="Followed Hyperlink" xfId="2469" builtinId="9" hidden="1"/>
    <cellStyle name="Followed Hyperlink" xfId="2471" builtinId="9" hidden="1"/>
    <cellStyle name="Followed Hyperlink" xfId="2473" builtinId="9" hidden="1"/>
    <cellStyle name="Followed Hyperlink" xfId="2475" builtinId="9" hidden="1"/>
    <cellStyle name="Followed Hyperlink" xfId="2477" builtinId="9" hidden="1"/>
    <cellStyle name="Followed Hyperlink" xfId="2479" builtinId="9" hidden="1"/>
    <cellStyle name="Followed Hyperlink" xfId="2481" builtinId="9" hidden="1"/>
    <cellStyle name="Followed Hyperlink" xfId="2483" builtinId="9" hidden="1"/>
    <cellStyle name="Followed Hyperlink" xfId="2485" builtinId="9" hidden="1"/>
    <cellStyle name="Followed Hyperlink" xfId="2487" builtinId="9" hidden="1"/>
    <cellStyle name="Followed Hyperlink" xfId="2489" builtinId="9" hidden="1"/>
    <cellStyle name="Followed Hyperlink" xfId="2491" builtinId="9" hidden="1"/>
    <cellStyle name="Followed Hyperlink" xfId="2493" builtinId="9" hidden="1"/>
    <cellStyle name="Followed Hyperlink" xfId="2495" builtinId="9" hidden="1"/>
    <cellStyle name="Followed Hyperlink" xfId="2497" builtinId="9" hidden="1"/>
    <cellStyle name="Followed Hyperlink" xfId="2499" builtinId="9" hidden="1"/>
    <cellStyle name="Followed Hyperlink" xfId="2501" builtinId="9" hidden="1"/>
    <cellStyle name="Followed Hyperlink" xfId="2503" builtinId="9" hidden="1"/>
    <cellStyle name="Followed Hyperlink" xfId="2505" builtinId="9" hidden="1"/>
    <cellStyle name="Followed Hyperlink" xfId="2507" builtinId="9" hidden="1"/>
    <cellStyle name="Followed Hyperlink" xfId="2509" builtinId="9" hidden="1"/>
    <cellStyle name="Followed Hyperlink" xfId="2511" builtinId="9" hidden="1"/>
    <cellStyle name="Followed Hyperlink" xfId="2513" builtinId="9" hidden="1"/>
    <cellStyle name="Followed Hyperlink" xfId="2515" builtinId="9" hidden="1"/>
    <cellStyle name="Followed Hyperlink" xfId="2517" builtinId="9" hidden="1"/>
    <cellStyle name="Followed Hyperlink" xfId="2519" builtinId="9" hidden="1"/>
    <cellStyle name="Followed Hyperlink" xfId="2521" builtinId="9" hidden="1"/>
    <cellStyle name="Followed Hyperlink" xfId="2523" builtinId="9" hidden="1"/>
    <cellStyle name="Followed Hyperlink" xfId="2525" builtinId="9" hidden="1"/>
    <cellStyle name="Followed Hyperlink" xfId="2527" builtinId="9" hidden="1"/>
    <cellStyle name="Followed Hyperlink" xfId="2529" builtinId="9" hidden="1"/>
    <cellStyle name="Followed Hyperlink" xfId="2531" builtinId="9" hidden="1"/>
    <cellStyle name="Followed Hyperlink" xfId="2533" builtinId="9" hidden="1"/>
    <cellStyle name="Followed Hyperlink" xfId="2535" builtinId="9" hidden="1"/>
    <cellStyle name="Followed Hyperlink" xfId="2537" builtinId="9" hidden="1"/>
    <cellStyle name="Followed Hyperlink" xfId="2539" builtinId="9" hidden="1"/>
    <cellStyle name="Followed Hyperlink" xfId="2541" builtinId="9" hidden="1"/>
    <cellStyle name="Followed Hyperlink" xfId="2543" builtinId="9" hidden="1"/>
    <cellStyle name="Followed Hyperlink" xfId="2545" builtinId="9" hidden="1"/>
    <cellStyle name="Followed Hyperlink" xfId="2547" builtinId="9" hidden="1"/>
    <cellStyle name="Followed Hyperlink" xfId="2549" builtinId="9" hidden="1"/>
    <cellStyle name="Followed Hyperlink" xfId="2551" builtinId="9" hidden="1"/>
    <cellStyle name="Followed Hyperlink" xfId="2553" builtinId="9" hidden="1"/>
    <cellStyle name="Followed Hyperlink" xfId="2555" builtinId="9" hidden="1"/>
    <cellStyle name="Followed Hyperlink" xfId="2557" builtinId="9" hidden="1"/>
    <cellStyle name="Followed Hyperlink" xfId="2559" builtinId="9" hidden="1"/>
    <cellStyle name="Followed Hyperlink" xfId="2561" builtinId="9" hidden="1"/>
    <cellStyle name="Followed Hyperlink" xfId="2563" builtinId="9" hidden="1"/>
    <cellStyle name="Followed Hyperlink" xfId="2565" builtinId="9" hidden="1"/>
    <cellStyle name="Followed Hyperlink" xfId="2567" builtinId="9" hidden="1"/>
    <cellStyle name="Followed Hyperlink" xfId="2569" builtinId="9" hidden="1"/>
    <cellStyle name="Followed Hyperlink" xfId="2571" builtinId="9" hidden="1"/>
    <cellStyle name="Followed Hyperlink" xfId="2573" builtinId="9" hidden="1"/>
    <cellStyle name="Followed Hyperlink" xfId="2575" builtinId="9" hidden="1"/>
    <cellStyle name="Followed Hyperlink" xfId="2577" builtinId="9" hidden="1"/>
    <cellStyle name="Followed Hyperlink" xfId="2579" builtinId="9" hidden="1"/>
    <cellStyle name="Followed Hyperlink" xfId="2581" builtinId="9" hidden="1"/>
    <cellStyle name="Followed Hyperlink" xfId="2583" builtinId="9" hidden="1"/>
    <cellStyle name="Followed Hyperlink" xfId="2585" builtinId="9" hidden="1"/>
    <cellStyle name="Followed Hyperlink" xfId="2587" builtinId="9" hidden="1"/>
    <cellStyle name="Followed Hyperlink" xfId="2589" builtinId="9" hidden="1"/>
    <cellStyle name="Followed Hyperlink" xfId="2591" builtinId="9" hidden="1"/>
    <cellStyle name="Followed Hyperlink" xfId="2593" builtinId="9" hidden="1"/>
    <cellStyle name="Followed Hyperlink" xfId="2595" builtinId="9" hidden="1"/>
    <cellStyle name="Followed Hyperlink" xfId="2597" builtinId="9" hidden="1"/>
    <cellStyle name="Followed Hyperlink" xfId="2599" builtinId="9" hidden="1"/>
    <cellStyle name="Followed Hyperlink" xfId="2601" builtinId="9" hidden="1"/>
    <cellStyle name="Followed Hyperlink" xfId="2603" builtinId="9" hidden="1"/>
    <cellStyle name="Followed Hyperlink" xfId="2605" builtinId="9" hidden="1"/>
    <cellStyle name="Followed Hyperlink" xfId="2607" builtinId="9" hidden="1"/>
    <cellStyle name="Followed Hyperlink" xfId="2609" builtinId="9" hidden="1"/>
    <cellStyle name="Followed Hyperlink" xfId="2611" builtinId="9" hidden="1"/>
    <cellStyle name="Followed Hyperlink" xfId="2613" builtinId="9" hidden="1"/>
    <cellStyle name="Followed Hyperlink" xfId="2615" builtinId="9" hidden="1"/>
    <cellStyle name="Followed Hyperlink" xfId="2617" builtinId="9" hidden="1"/>
    <cellStyle name="Followed Hyperlink" xfId="2619" builtinId="9" hidden="1"/>
    <cellStyle name="Followed Hyperlink" xfId="2621" builtinId="9" hidden="1"/>
    <cellStyle name="Followed Hyperlink" xfId="2623" builtinId="9" hidden="1"/>
    <cellStyle name="Followed Hyperlink" xfId="2625" builtinId="9" hidden="1"/>
    <cellStyle name="Followed Hyperlink" xfId="2627" builtinId="9" hidden="1"/>
    <cellStyle name="Followed Hyperlink" xfId="2629" builtinId="9" hidden="1"/>
    <cellStyle name="Followed Hyperlink" xfId="2631" builtinId="9" hidden="1"/>
    <cellStyle name="Followed Hyperlink" xfId="2633" builtinId="9" hidden="1"/>
    <cellStyle name="Followed Hyperlink" xfId="2635" builtinId="9" hidden="1"/>
    <cellStyle name="Followed Hyperlink" xfId="2637" builtinId="9" hidden="1"/>
    <cellStyle name="Followed Hyperlink" xfId="2639" builtinId="9" hidden="1"/>
    <cellStyle name="Followed Hyperlink" xfId="2641" builtinId="9" hidden="1"/>
    <cellStyle name="Followed Hyperlink" xfId="2643" builtinId="9" hidden="1"/>
    <cellStyle name="Followed Hyperlink" xfId="2645" builtinId="9" hidden="1"/>
    <cellStyle name="Followed Hyperlink" xfId="2647" builtinId="9" hidden="1"/>
    <cellStyle name="Followed Hyperlink" xfId="2649" builtinId="9" hidden="1"/>
    <cellStyle name="Followed Hyperlink" xfId="2651" builtinId="9" hidden="1"/>
    <cellStyle name="Followed Hyperlink" xfId="2653" builtinId="9" hidden="1"/>
    <cellStyle name="Followed Hyperlink" xfId="2655" builtinId="9" hidden="1"/>
    <cellStyle name="Followed Hyperlink" xfId="2657" builtinId="9" hidden="1"/>
    <cellStyle name="Followed Hyperlink" xfId="2659" builtinId="9" hidden="1"/>
    <cellStyle name="Followed Hyperlink" xfId="2661" builtinId="9" hidden="1"/>
    <cellStyle name="Followed Hyperlink" xfId="2663" builtinId="9" hidden="1"/>
    <cellStyle name="Followed Hyperlink" xfId="2665" builtinId="9" hidden="1"/>
    <cellStyle name="Followed Hyperlink" xfId="2667" builtinId="9" hidden="1"/>
    <cellStyle name="Followed Hyperlink" xfId="2669" builtinId="9" hidden="1"/>
    <cellStyle name="Followed Hyperlink" xfId="2671" builtinId="9" hidden="1"/>
    <cellStyle name="Followed Hyperlink" xfId="2673" builtinId="9" hidden="1"/>
    <cellStyle name="Followed Hyperlink" xfId="2675" builtinId="9" hidden="1"/>
    <cellStyle name="Followed Hyperlink" xfId="2677" builtinId="9" hidden="1"/>
    <cellStyle name="Followed Hyperlink" xfId="2679" builtinId="9" hidden="1"/>
    <cellStyle name="Followed Hyperlink" xfId="2681" builtinId="9" hidden="1"/>
    <cellStyle name="Followed Hyperlink" xfId="2683" builtinId="9" hidden="1"/>
    <cellStyle name="Followed Hyperlink" xfId="2685" builtinId="9" hidden="1"/>
    <cellStyle name="Followed Hyperlink" xfId="2687" builtinId="9" hidden="1"/>
    <cellStyle name="Followed Hyperlink" xfId="2689" builtinId="9" hidden="1"/>
    <cellStyle name="Followed Hyperlink" xfId="2691" builtinId="9" hidden="1"/>
    <cellStyle name="Followed Hyperlink" xfId="2693" builtinId="9" hidden="1"/>
    <cellStyle name="Followed Hyperlink" xfId="2695" builtinId="9" hidden="1"/>
    <cellStyle name="Followed Hyperlink" xfId="2697" builtinId="9" hidden="1"/>
    <cellStyle name="Followed Hyperlink" xfId="2699" builtinId="9" hidden="1"/>
    <cellStyle name="Followed Hyperlink" xfId="2701" builtinId="9" hidden="1"/>
    <cellStyle name="Followed Hyperlink" xfId="2703" builtinId="9" hidden="1"/>
    <cellStyle name="Followed Hyperlink" xfId="2705" builtinId="9" hidden="1"/>
    <cellStyle name="Followed Hyperlink" xfId="2707" builtinId="9" hidden="1"/>
    <cellStyle name="Followed Hyperlink" xfId="2709" builtinId="9" hidden="1"/>
    <cellStyle name="Followed Hyperlink" xfId="2711" builtinId="9" hidden="1"/>
    <cellStyle name="Followed Hyperlink" xfId="2713" builtinId="9" hidden="1"/>
    <cellStyle name="Followed Hyperlink" xfId="2715" builtinId="9" hidden="1"/>
    <cellStyle name="Followed Hyperlink" xfId="2717" builtinId="9" hidden="1"/>
    <cellStyle name="Followed Hyperlink" xfId="2719" builtinId="9" hidden="1"/>
    <cellStyle name="Followed Hyperlink" xfId="2721" builtinId="9" hidden="1"/>
    <cellStyle name="Followed Hyperlink" xfId="2723" builtinId="9" hidden="1"/>
    <cellStyle name="Followed Hyperlink" xfId="2725" builtinId="9" hidden="1"/>
    <cellStyle name="Followed Hyperlink" xfId="2727" builtinId="9" hidden="1"/>
    <cellStyle name="Followed Hyperlink" xfId="2729" builtinId="9" hidden="1"/>
    <cellStyle name="Followed Hyperlink" xfId="2731" builtinId="9" hidden="1"/>
    <cellStyle name="Followed Hyperlink" xfId="2733" builtinId="9" hidden="1"/>
    <cellStyle name="Followed Hyperlink" xfId="2735" builtinId="9" hidden="1"/>
    <cellStyle name="Followed Hyperlink" xfId="2737" builtinId="9" hidden="1"/>
    <cellStyle name="Followed Hyperlink" xfId="2739" builtinId="9" hidden="1"/>
    <cellStyle name="Followed Hyperlink" xfId="2741" builtinId="9" hidden="1"/>
    <cellStyle name="Followed Hyperlink" xfId="2743" builtinId="9" hidden="1"/>
    <cellStyle name="Followed Hyperlink" xfId="2745" builtinId="9" hidden="1"/>
    <cellStyle name="Followed Hyperlink" xfId="2747" builtinId="9" hidden="1"/>
    <cellStyle name="Followed Hyperlink" xfId="2749" builtinId="9" hidden="1"/>
    <cellStyle name="Followed Hyperlink" xfId="2751" builtinId="9" hidden="1"/>
    <cellStyle name="Followed Hyperlink" xfId="2753" builtinId="9" hidden="1"/>
    <cellStyle name="Followed Hyperlink" xfId="2755" builtinId="9" hidden="1"/>
    <cellStyle name="Followed Hyperlink" xfId="2757" builtinId="9" hidden="1"/>
    <cellStyle name="Followed Hyperlink" xfId="2759" builtinId="9" hidden="1"/>
    <cellStyle name="Followed Hyperlink" xfId="2761" builtinId="9" hidden="1"/>
    <cellStyle name="Followed Hyperlink" xfId="2763" builtinId="9" hidden="1"/>
    <cellStyle name="Followed Hyperlink" xfId="2765" builtinId="9" hidden="1"/>
    <cellStyle name="Followed Hyperlink" xfId="2767" builtinId="9" hidden="1"/>
    <cellStyle name="Followed Hyperlink" xfId="2769" builtinId="9" hidden="1"/>
    <cellStyle name="Followed Hyperlink" xfId="2771" builtinId="9" hidden="1"/>
    <cellStyle name="Followed Hyperlink" xfId="2773" builtinId="9" hidden="1"/>
    <cellStyle name="Followed Hyperlink" xfId="2775" builtinId="9" hidden="1"/>
    <cellStyle name="Followed Hyperlink" xfId="2777" builtinId="9" hidden="1"/>
    <cellStyle name="Followed Hyperlink" xfId="2779" builtinId="9" hidden="1"/>
    <cellStyle name="Followed Hyperlink" xfId="2781" builtinId="9" hidden="1"/>
    <cellStyle name="Followed Hyperlink" xfId="2783" builtinId="9" hidden="1"/>
    <cellStyle name="Followed Hyperlink" xfId="2785" builtinId="9" hidden="1"/>
    <cellStyle name="Followed Hyperlink" xfId="2787" builtinId="9" hidden="1"/>
    <cellStyle name="Followed Hyperlink" xfId="2789" builtinId="9" hidden="1"/>
    <cellStyle name="Followed Hyperlink" xfId="2791" builtinId="9" hidden="1"/>
    <cellStyle name="Followed Hyperlink" xfId="2793" builtinId="9" hidden="1"/>
    <cellStyle name="Followed Hyperlink" xfId="2795" builtinId="9" hidden="1"/>
    <cellStyle name="Followed Hyperlink" xfId="2797" builtinId="9" hidden="1"/>
    <cellStyle name="Followed Hyperlink" xfId="2799" builtinId="9" hidden="1"/>
    <cellStyle name="Followed Hyperlink" xfId="2801" builtinId="9" hidden="1"/>
    <cellStyle name="Followed Hyperlink" xfId="2803" builtinId="9" hidden="1"/>
    <cellStyle name="Followed Hyperlink" xfId="2805" builtinId="9" hidden="1"/>
    <cellStyle name="Followed Hyperlink" xfId="2807" builtinId="9" hidden="1"/>
    <cellStyle name="Followed Hyperlink" xfId="2809" builtinId="9" hidden="1"/>
    <cellStyle name="Followed Hyperlink" xfId="2811" builtinId="9" hidden="1"/>
    <cellStyle name="Followed Hyperlink" xfId="2813" builtinId="9" hidden="1"/>
    <cellStyle name="Followed Hyperlink" xfId="2815" builtinId="9" hidden="1"/>
    <cellStyle name="Followed Hyperlink" xfId="2817" builtinId="9" hidden="1"/>
    <cellStyle name="Followed Hyperlink" xfId="2819" builtinId="9" hidden="1"/>
    <cellStyle name="Followed Hyperlink" xfId="2821" builtinId="9" hidden="1"/>
    <cellStyle name="Followed Hyperlink" xfId="2823" builtinId="9" hidden="1"/>
    <cellStyle name="Followed Hyperlink" xfId="2825" builtinId="9" hidden="1"/>
    <cellStyle name="Followed Hyperlink" xfId="2827" builtinId="9" hidden="1"/>
    <cellStyle name="Followed Hyperlink" xfId="2829" builtinId="9" hidden="1"/>
    <cellStyle name="Followed Hyperlink" xfId="2831" builtinId="9" hidden="1"/>
    <cellStyle name="Followed Hyperlink" xfId="2833" builtinId="9" hidden="1"/>
    <cellStyle name="Followed Hyperlink" xfId="2835" builtinId="9" hidden="1"/>
    <cellStyle name="Followed Hyperlink" xfId="2837" builtinId="9" hidden="1"/>
    <cellStyle name="Followed Hyperlink" xfId="2839" builtinId="9" hidden="1"/>
    <cellStyle name="Followed Hyperlink" xfId="2841" builtinId="9" hidden="1"/>
    <cellStyle name="Followed Hyperlink" xfId="2843" builtinId="9" hidden="1"/>
    <cellStyle name="Followed Hyperlink" xfId="2845" builtinId="9" hidden="1"/>
    <cellStyle name="Followed Hyperlink" xfId="2847" builtinId="9" hidden="1"/>
    <cellStyle name="Followed Hyperlink" xfId="2849" builtinId="9" hidden="1"/>
    <cellStyle name="Followed Hyperlink" xfId="2851" builtinId="9" hidden="1"/>
    <cellStyle name="Followed Hyperlink" xfId="2853" builtinId="9" hidden="1"/>
    <cellStyle name="Followed Hyperlink" xfId="2855" builtinId="9" hidden="1"/>
    <cellStyle name="Followed Hyperlink" xfId="2857" builtinId="9" hidden="1"/>
    <cellStyle name="Followed Hyperlink" xfId="2859" builtinId="9" hidden="1"/>
    <cellStyle name="Followed Hyperlink" xfId="2861" builtinId="9" hidden="1"/>
    <cellStyle name="Followed Hyperlink" xfId="2863" builtinId="9" hidden="1"/>
    <cellStyle name="Followed Hyperlink" xfId="2865" builtinId="9" hidden="1"/>
    <cellStyle name="Followed Hyperlink" xfId="2867" builtinId="9" hidden="1"/>
    <cellStyle name="Followed Hyperlink" xfId="2869" builtinId="9" hidden="1"/>
    <cellStyle name="Followed Hyperlink" xfId="2871" builtinId="9" hidden="1"/>
    <cellStyle name="Followed Hyperlink" xfId="2873" builtinId="9" hidden="1"/>
    <cellStyle name="Followed Hyperlink" xfId="2875" builtinId="9" hidden="1"/>
    <cellStyle name="Followed Hyperlink" xfId="2877" builtinId="9" hidden="1"/>
    <cellStyle name="Followed Hyperlink" xfId="2879" builtinId="9" hidden="1"/>
    <cellStyle name="Followed Hyperlink" xfId="2881" builtinId="9" hidden="1"/>
    <cellStyle name="Followed Hyperlink" xfId="2883" builtinId="9" hidden="1"/>
    <cellStyle name="Followed Hyperlink" xfId="2885" builtinId="9" hidden="1"/>
    <cellStyle name="Followed Hyperlink" xfId="2887" builtinId="9" hidden="1"/>
    <cellStyle name="Followed Hyperlink" xfId="2889" builtinId="9" hidden="1"/>
    <cellStyle name="Followed Hyperlink" xfId="2891" builtinId="9" hidden="1"/>
    <cellStyle name="Followed Hyperlink" xfId="2893" builtinId="9" hidden="1"/>
    <cellStyle name="Followed Hyperlink" xfId="2895" builtinId="9" hidden="1"/>
    <cellStyle name="Followed Hyperlink" xfId="2897" builtinId="9" hidden="1"/>
    <cellStyle name="Followed Hyperlink" xfId="2899" builtinId="9" hidden="1"/>
    <cellStyle name="Followed Hyperlink" xfId="2901" builtinId="9" hidden="1"/>
    <cellStyle name="Followed Hyperlink" xfId="2903" builtinId="9" hidden="1"/>
    <cellStyle name="Followed Hyperlink" xfId="2905" builtinId="9" hidden="1"/>
    <cellStyle name="Followed Hyperlink" xfId="2907" builtinId="9" hidden="1"/>
    <cellStyle name="Followed Hyperlink" xfId="2909" builtinId="9" hidden="1"/>
    <cellStyle name="Followed Hyperlink" xfId="2911" builtinId="9" hidden="1"/>
    <cellStyle name="Followed Hyperlink" xfId="2913" builtinId="9" hidden="1"/>
    <cellStyle name="Followed Hyperlink" xfId="2915" builtinId="9" hidden="1"/>
    <cellStyle name="Followed Hyperlink" xfId="2917" builtinId="9" hidden="1"/>
    <cellStyle name="Followed Hyperlink" xfId="2919" builtinId="9" hidden="1"/>
    <cellStyle name="Followed Hyperlink" xfId="2921" builtinId="9" hidden="1"/>
    <cellStyle name="Followed Hyperlink" xfId="2923" builtinId="9" hidden="1"/>
    <cellStyle name="Followed Hyperlink" xfId="2925" builtinId="9" hidden="1"/>
    <cellStyle name="Followed Hyperlink" xfId="2927" builtinId="9" hidden="1"/>
    <cellStyle name="Followed Hyperlink" xfId="2929" builtinId="9" hidden="1"/>
    <cellStyle name="Followed Hyperlink" xfId="2931" builtinId="9" hidden="1"/>
    <cellStyle name="Followed Hyperlink" xfId="2933" builtinId="9" hidden="1"/>
    <cellStyle name="Followed Hyperlink" xfId="2935" builtinId="9" hidden="1"/>
    <cellStyle name="Followed Hyperlink" xfId="2937" builtinId="9" hidden="1"/>
    <cellStyle name="Followed Hyperlink" xfId="2939" builtinId="9" hidden="1"/>
    <cellStyle name="Followed Hyperlink" xfId="2941" builtinId="9" hidden="1"/>
    <cellStyle name="Followed Hyperlink" xfId="2943" builtinId="9" hidden="1"/>
    <cellStyle name="Followed Hyperlink" xfId="2945" builtinId="9" hidden="1"/>
    <cellStyle name="Followed Hyperlink" xfId="2947" builtinId="9" hidden="1"/>
    <cellStyle name="Followed Hyperlink" xfId="2949" builtinId="9" hidden="1"/>
    <cellStyle name="Followed Hyperlink" xfId="2951" builtinId="9" hidden="1"/>
    <cellStyle name="Followed Hyperlink" xfId="2953" builtinId="9" hidden="1"/>
    <cellStyle name="Followed Hyperlink" xfId="2955" builtinId="9" hidden="1"/>
    <cellStyle name="Followed Hyperlink" xfId="2957" builtinId="9" hidden="1"/>
    <cellStyle name="Followed Hyperlink" xfId="2959" builtinId="9" hidden="1"/>
    <cellStyle name="Followed Hyperlink" xfId="2961" builtinId="9" hidden="1"/>
    <cellStyle name="Followed Hyperlink" xfId="2963" builtinId="9" hidden="1"/>
    <cellStyle name="Followed Hyperlink" xfId="2965" builtinId="9" hidden="1"/>
    <cellStyle name="Followed Hyperlink" xfId="2967" builtinId="9" hidden="1"/>
    <cellStyle name="Followed Hyperlink" xfId="2969" builtinId="9" hidden="1"/>
    <cellStyle name="Followed Hyperlink" xfId="2971" builtinId="9" hidden="1"/>
    <cellStyle name="Followed Hyperlink" xfId="2973" builtinId="9" hidden="1"/>
    <cellStyle name="Followed Hyperlink" xfId="2975" builtinId="9" hidden="1"/>
    <cellStyle name="Followed Hyperlink" xfId="2977" builtinId="9" hidden="1"/>
    <cellStyle name="Followed Hyperlink" xfId="2979" builtinId="9" hidden="1"/>
    <cellStyle name="Followed Hyperlink" xfId="2981" builtinId="9" hidden="1"/>
    <cellStyle name="Followed Hyperlink" xfId="2983" builtinId="9" hidden="1"/>
    <cellStyle name="Followed Hyperlink" xfId="2985" builtinId="9" hidden="1"/>
    <cellStyle name="Followed Hyperlink" xfId="2987" builtinId="9" hidden="1"/>
    <cellStyle name="Followed Hyperlink" xfId="2989" builtinId="9" hidden="1"/>
    <cellStyle name="Followed Hyperlink" xfId="2991" builtinId="9" hidden="1"/>
    <cellStyle name="Followed Hyperlink" xfId="2993" builtinId="9" hidden="1"/>
    <cellStyle name="Followed Hyperlink" xfId="2995" builtinId="9" hidden="1"/>
    <cellStyle name="Followed Hyperlink" xfId="2997" builtinId="9" hidden="1"/>
    <cellStyle name="Followed Hyperlink" xfId="2999" builtinId="9" hidden="1"/>
    <cellStyle name="Followed Hyperlink" xfId="3001" builtinId="9" hidden="1"/>
    <cellStyle name="Followed Hyperlink" xfId="3003" builtinId="9" hidden="1"/>
    <cellStyle name="Followed Hyperlink" xfId="3005" builtinId="9" hidden="1"/>
    <cellStyle name="Followed Hyperlink" xfId="3007" builtinId="9" hidden="1"/>
    <cellStyle name="Followed Hyperlink" xfId="3009" builtinId="9" hidden="1"/>
    <cellStyle name="Followed Hyperlink" xfId="3011" builtinId="9" hidden="1"/>
    <cellStyle name="Followed Hyperlink" xfId="3013" builtinId="9" hidden="1"/>
    <cellStyle name="Followed Hyperlink" xfId="3015" builtinId="9" hidden="1"/>
    <cellStyle name="Followed Hyperlink" xfId="3017" builtinId="9" hidden="1"/>
    <cellStyle name="Followed Hyperlink" xfId="3019" builtinId="9" hidden="1"/>
    <cellStyle name="Followed Hyperlink" xfId="3021" builtinId="9" hidden="1"/>
    <cellStyle name="Followed Hyperlink" xfId="3023" builtinId="9" hidden="1"/>
    <cellStyle name="Followed Hyperlink" xfId="3025" builtinId="9" hidden="1"/>
    <cellStyle name="Followed Hyperlink" xfId="3027" builtinId="9" hidden="1"/>
    <cellStyle name="Followed Hyperlink" xfId="3029" builtinId="9" hidden="1"/>
    <cellStyle name="Followed Hyperlink" xfId="3031" builtinId="9" hidden="1"/>
    <cellStyle name="Followed Hyperlink" xfId="3033" builtinId="9" hidden="1"/>
    <cellStyle name="Followed Hyperlink" xfId="3035" builtinId="9" hidden="1"/>
    <cellStyle name="Followed Hyperlink" xfId="3037" builtinId="9" hidden="1"/>
    <cellStyle name="Followed Hyperlink" xfId="3039" builtinId="9" hidden="1"/>
    <cellStyle name="Followed Hyperlink" xfId="3041" builtinId="9" hidden="1"/>
    <cellStyle name="Followed Hyperlink" xfId="3043" builtinId="9" hidden="1"/>
    <cellStyle name="Followed Hyperlink" xfId="3045" builtinId="9" hidden="1"/>
    <cellStyle name="Followed Hyperlink" xfId="3047" builtinId="9" hidden="1"/>
    <cellStyle name="Followed Hyperlink" xfId="3049" builtinId="9" hidden="1"/>
    <cellStyle name="Followed Hyperlink" xfId="3051" builtinId="9" hidden="1"/>
    <cellStyle name="Followed Hyperlink" xfId="3053" builtinId="9" hidden="1"/>
    <cellStyle name="Followed Hyperlink" xfId="3055" builtinId="9" hidden="1"/>
    <cellStyle name="Followed Hyperlink" xfId="3057" builtinId="9" hidden="1"/>
    <cellStyle name="Followed Hyperlink" xfId="3059" builtinId="9" hidden="1"/>
    <cellStyle name="Followed Hyperlink" xfId="3061" builtinId="9" hidden="1"/>
    <cellStyle name="Followed Hyperlink" xfId="3063" builtinId="9" hidden="1"/>
    <cellStyle name="Followed Hyperlink" xfId="3065" builtinId="9" hidden="1"/>
    <cellStyle name="Followed Hyperlink" xfId="3067" builtinId="9" hidden="1"/>
    <cellStyle name="Followed Hyperlink" xfId="3069" builtinId="9" hidden="1"/>
    <cellStyle name="Followed Hyperlink" xfId="3071" builtinId="9" hidden="1"/>
    <cellStyle name="Followed Hyperlink" xfId="3073" builtinId="9" hidden="1"/>
    <cellStyle name="Followed Hyperlink" xfId="3075" builtinId="9" hidden="1"/>
    <cellStyle name="Followed Hyperlink" xfId="3077" builtinId="9" hidden="1"/>
    <cellStyle name="Followed Hyperlink" xfId="3079" builtinId="9" hidden="1"/>
    <cellStyle name="Followed Hyperlink" xfId="3081" builtinId="9" hidden="1"/>
    <cellStyle name="Followed Hyperlink" xfId="3083" builtinId="9" hidden="1"/>
    <cellStyle name="Followed Hyperlink" xfId="3085" builtinId="9" hidden="1"/>
    <cellStyle name="Followed Hyperlink" xfId="3087" builtinId="9" hidden="1"/>
    <cellStyle name="Followed Hyperlink" xfId="3089" builtinId="9" hidden="1"/>
    <cellStyle name="Followed Hyperlink" xfId="3091" builtinId="9" hidden="1"/>
    <cellStyle name="Followed Hyperlink" xfId="3093" builtinId="9" hidden="1"/>
    <cellStyle name="Followed Hyperlink" xfId="3095" builtinId="9" hidden="1"/>
    <cellStyle name="Followed Hyperlink" xfId="3097" builtinId="9" hidden="1"/>
    <cellStyle name="Followed Hyperlink" xfId="3099" builtinId="9" hidden="1"/>
    <cellStyle name="Followed Hyperlink" xfId="3101" builtinId="9" hidden="1"/>
    <cellStyle name="Followed Hyperlink" xfId="3103" builtinId="9" hidden="1"/>
    <cellStyle name="Followed Hyperlink" xfId="3105" builtinId="9" hidden="1"/>
    <cellStyle name="Followed Hyperlink" xfId="3107" builtinId="9" hidden="1"/>
    <cellStyle name="Followed Hyperlink" xfId="3109" builtinId="9" hidden="1"/>
    <cellStyle name="Followed Hyperlink" xfId="3111" builtinId="9" hidden="1"/>
    <cellStyle name="Followed Hyperlink" xfId="3113" builtinId="9" hidden="1"/>
    <cellStyle name="Followed Hyperlink" xfId="3115" builtinId="9" hidden="1"/>
    <cellStyle name="Followed Hyperlink" xfId="3117" builtinId="9" hidden="1"/>
    <cellStyle name="Followed Hyperlink" xfId="3119" builtinId="9" hidden="1"/>
    <cellStyle name="Followed Hyperlink" xfId="3121" builtinId="9" hidden="1"/>
    <cellStyle name="Followed Hyperlink" xfId="3123" builtinId="9" hidden="1"/>
    <cellStyle name="Followed Hyperlink" xfId="3125" builtinId="9" hidden="1"/>
    <cellStyle name="Followed Hyperlink" xfId="3127" builtinId="9" hidden="1"/>
    <cellStyle name="Followed Hyperlink" xfId="3129" builtinId="9" hidden="1"/>
    <cellStyle name="Followed Hyperlink" xfId="3131" builtinId="9" hidden="1"/>
    <cellStyle name="Followed Hyperlink" xfId="3133" builtinId="9" hidden="1"/>
    <cellStyle name="Followed Hyperlink" xfId="3135" builtinId="9" hidden="1"/>
    <cellStyle name="Followed Hyperlink" xfId="3137" builtinId="9" hidden="1"/>
    <cellStyle name="Followed Hyperlink" xfId="3139" builtinId="9" hidden="1"/>
    <cellStyle name="Followed Hyperlink" xfId="3141" builtinId="9" hidden="1"/>
    <cellStyle name="Followed Hyperlink" xfId="3143" builtinId="9" hidden="1"/>
    <cellStyle name="Followed Hyperlink" xfId="3145" builtinId="9" hidden="1"/>
    <cellStyle name="Followed Hyperlink" xfId="3147" builtinId="9" hidden="1"/>
    <cellStyle name="Followed Hyperlink" xfId="3149" builtinId="9" hidden="1"/>
    <cellStyle name="Followed Hyperlink" xfId="3151" builtinId="9" hidden="1"/>
    <cellStyle name="Followed Hyperlink" xfId="3153" builtinId="9" hidden="1"/>
    <cellStyle name="Followed Hyperlink" xfId="3155" builtinId="9" hidden="1"/>
    <cellStyle name="Followed Hyperlink" xfId="3157" builtinId="9" hidden="1"/>
    <cellStyle name="Followed Hyperlink" xfId="3159" builtinId="9" hidden="1"/>
    <cellStyle name="Followed Hyperlink" xfId="3161" builtinId="9" hidden="1"/>
    <cellStyle name="Followed Hyperlink" xfId="3163" builtinId="9" hidden="1"/>
    <cellStyle name="Followed Hyperlink" xfId="3165" builtinId="9" hidden="1"/>
    <cellStyle name="Followed Hyperlink" xfId="3167" builtinId="9" hidden="1"/>
    <cellStyle name="Followed Hyperlink" xfId="3169" builtinId="9" hidden="1"/>
    <cellStyle name="Followed Hyperlink" xfId="3171" builtinId="9" hidden="1"/>
    <cellStyle name="Followed Hyperlink" xfId="3173" builtinId="9" hidden="1"/>
    <cellStyle name="Followed Hyperlink" xfId="3175" builtinId="9" hidden="1"/>
    <cellStyle name="Followed Hyperlink" xfId="3177" builtinId="9" hidden="1"/>
    <cellStyle name="Followed Hyperlink" xfId="3179" builtinId="9" hidden="1"/>
    <cellStyle name="Followed Hyperlink" xfId="3181" builtinId="9" hidden="1"/>
    <cellStyle name="Followed Hyperlink" xfId="3183" builtinId="9" hidden="1"/>
    <cellStyle name="Followed Hyperlink" xfId="3185" builtinId="9" hidden="1"/>
    <cellStyle name="Followed Hyperlink" xfId="3187" builtinId="9" hidden="1"/>
    <cellStyle name="Followed Hyperlink" xfId="3189" builtinId="9" hidden="1"/>
    <cellStyle name="Followed Hyperlink" xfId="3191" builtinId="9" hidden="1"/>
    <cellStyle name="Followed Hyperlink" xfId="3193" builtinId="9" hidden="1"/>
    <cellStyle name="Followed Hyperlink" xfId="3195" builtinId="9" hidden="1"/>
    <cellStyle name="Followed Hyperlink" xfId="3197" builtinId="9" hidden="1"/>
    <cellStyle name="Followed Hyperlink" xfId="3199" builtinId="9" hidden="1"/>
    <cellStyle name="Followed Hyperlink" xfId="3201" builtinId="9" hidden="1"/>
    <cellStyle name="Followed Hyperlink" xfId="3203" builtinId="9" hidden="1"/>
    <cellStyle name="Followed Hyperlink" xfId="3205" builtinId="9" hidden="1"/>
    <cellStyle name="Followed Hyperlink" xfId="3207" builtinId="9" hidden="1"/>
    <cellStyle name="Followed Hyperlink" xfId="3209" builtinId="9" hidden="1"/>
    <cellStyle name="Followed Hyperlink" xfId="3211" builtinId="9" hidden="1"/>
    <cellStyle name="Followed Hyperlink" xfId="3213" builtinId="9" hidden="1"/>
    <cellStyle name="Followed Hyperlink" xfId="3215" builtinId="9" hidden="1"/>
    <cellStyle name="Followed Hyperlink" xfId="3217" builtinId="9" hidden="1"/>
    <cellStyle name="Followed Hyperlink" xfId="3219" builtinId="9" hidden="1"/>
    <cellStyle name="Followed Hyperlink" xfId="3221" builtinId="9" hidden="1"/>
    <cellStyle name="Followed Hyperlink" xfId="3223" builtinId="9" hidden="1"/>
    <cellStyle name="Followed Hyperlink" xfId="3225" builtinId="9" hidden="1"/>
    <cellStyle name="Followed Hyperlink" xfId="3227" builtinId="9" hidden="1"/>
    <cellStyle name="Followed Hyperlink" xfId="3229" builtinId="9" hidden="1"/>
    <cellStyle name="Followed Hyperlink" xfId="3231" builtinId="9" hidden="1"/>
    <cellStyle name="Followed Hyperlink" xfId="3233" builtinId="9" hidden="1"/>
    <cellStyle name="Followed Hyperlink" xfId="3235" builtinId="9" hidden="1"/>
    <cellStyle name="Followed Hyperlink" xfId="3237" builtinId="9" hidden="1"/>
    <cellStyle name="Followed Hyperlink" xfId="3239" builtinId="9" hidden="1"/>
    <cellStyle name="Followed Hyperlink" xfId="3241" builtinId="9" hidden="1"/>
    <cellStyle name="Followed Hyperlink" xfId="3243" builtinId="9" hidden="1"/>
    <cellStyle name="Followed Hyperlink" xfId="3245" builtinId="9" hidden="1"/>
    <cellStyle name="Followed Hyperlink" xfId="3247" builtinId="9" hidden="1"/>
    <cellStyle name="Followed Hyperlink" xfId="3249" builtinId="9" hidden="1"/>
    <cellStyle name="Followed Hyperlink" xfId="3251" builtinId="9" hidden="1"/>
    <cellStyle name="Followed Hyperlink" xfId="3253" builtinId="9" hidden="1"/>
    <cellStyle name="Followed Hyperlink" xfId="3255" builtinId="9" hidden="1"/>
    <cellStyle name="Followed Hyperlink" xfId="3257" builtinId="9" hidden="1"/>
    <cellStyle name="Followed Hyperlink" xfId="3259" builtinId="9" hidden="1"/>
    <cellStyle name="Followed Hyperlink" xfId="3261" builtinId="9" hidden="1"/>
    <cellStyle name="Followed Hyperlink" xfId="3263" builtinId="9" hidden="1"/>
    <cellStyle name="Followed Hyperlink" xfId="3265" builtinId="9" hidden="1"/>
    <cellStyle name="Followed Hyperlink" xfId="3267" builtinId="9" hidden="1"/>
    <cellStyle name="Followed Hyperlink" xfId="3269" builtinId="9" hidden="1"/>
    <cellStyle name="Followed Hyperlink" xfId="3271" builtinId="9" hidden="1"/>
    <cellStyle name="Followed Hyperlink" xfId="3273" builtinId="9" hidden="1"/>
    <cellStyle name="Followed Hyperlink" xfId="3275" builtinId="9" hidden="1"/>
    <cellStyle name="Followed Hyperlink" xfId="3277" builtinId="9" hidden="1"/>
    <cellStyle name="Followed Hyperlink" xfId="3279" builtinId="9" hidden="1"/>
    <cellStyle name="Followed Hyperlink" xfId="3281" builtinId="9" hidden="1"/>
    <cellStyle name="Followed Hyperlink" xfId="3283" builtinId="9" hidden="1"/>
    <cellStyle name="Followed Hyperlink" xfId="3285" builtinId="9" hidden="1"/>
    <cellStyle name="Followed Hyperlink" xfId="3287" builtinId="9" hidden="1"/>
    <cellStyle name="Followed Hyperlink" xfId="3289" builtinId="9" hidden="1"/>
    <cellStyle name="Followed Hyperlink" xfId="3291" builtinId="9" hidden="1"/>
    <cellStyle name="Followed Hyperlink" xfId="3293" builtinId="9" hidden="1"/>
    <cellStyle name="Followed Hyperlink" xfId="3295" builtinId="9" hidden="1"/>
    <cellStyle name="Followed Hyperlink" xfId="3297" builtinId="9" hidden="1"/>
    <cellStyle name="Followed Hyperlink" xfId="3299" builtinId="9" hidden="1"/>
    <cellStyle name="Followed Hyperlink" xfId="3301" builtinId="9" hidden="1"/>
    <cellStyle name="Followed Hyperlink" xfId="3303" builtinId="9" hidden="1"/>
    <cellStyle name="Followed Hyperlink" xfId="3305" builtinId="9" hidden="1"/>
    <cellStyle name="Followed Hyperlink" xfId="3307" builtinId="9" hidden="1"/>
    <cellStyle name="Followed Hyperlink" xfId="3309" builtinId="9" hidden="1"/>
    <cellStyle name="Followed Hyperlink" xfId="3311" builtinId="9" hidden="1"/>
    <cellStyle name="Followed Hyperlink" xfId="3313" builtinId="9" hidden="1"/>
    <cellStyle name="Followed Hyperlink" xfId="3315" builtinId="9" hidden="1"/>
    <cellStyle name="Followed Hyperlink" xfId="3317" builtinId="9" hidden="1"/>
    <cellStyle name="Followed Hyperlink" xfId="3319" builtinId="9" hidden="1"/>
    <cellStyle name="Followed Hyperlink" xfId="3321" builtinId="9" hidden="1"/>
    <cellStyle name="Followed Hyperlink" xfId="3323" builtinId="9" hidden="1"/>
    <cellStyle name="Followed Hyperlink" xfId="3325" builtinId="9" hidden="1"/>
    <cellStyle name="Followed Hyperlink" xfId="3327" builtinId="9" hidden="1"/>
    <cellStyle name="Followed Hyperlink" xfId="3329" builtinId="9" hidden="1"/>
    <cellStyle name="Followed Hyperlink" xfId="3331" builtinId="9" hidden="1"/>
    <cellStyle name="Followed Hyperlink" xfId="3333" builtinId="9" hidden="1"/>
    <cellStyle name="Followed Hyperlink" xfId="3335" builtinId="9" hidden="1"/>
    <cellStyle name="Followed Hyperlink" xfId="3337" builtinId="9" hidden="1"/>
    <cellStyle name="Followed Hyperlink" xfId="3339" builtinId="9" hidden="1"/>
    <cellStyle name="Followed Hyperlink" xfId="3341" builtinId="9" hidden="1"/>
    <cellStyle name="Followed Hyperlink" xfId="3343" builtinId="9" hidden="1"/>
    <cellStyle name="Followed Hyperlink" xfId="3345" builtinId="9" hidden="1"/>
    <cellStyle name="Followed Hyperlink" xfId="3347" builtinId="9" hidden="1"/>
    <cellStyle name="Followed Hyperlink" xfId="3349" builtinId="9" hidden="1"/>
    <cellStyle name="Followed Hyperlink" xfId="3351" builtinId="9" hidden="1"/>
    <cellStyle name="Followed Hyperlink" xfId="3353" builtinId="9" hidden="1"/>
    <cellStyle name="Followed Hyperlink" xfId="3355" builtinId="9" hidden="1"/>
    <cellStyle name="Followed Hyperlink" xfId="3357" builtinId="9" hidden="1"/>
    <cellStyle name="Followed Hyperlink" xfId="3359" builtinId="9" hidden="1"/>
    <cellStyle name="Followed Hyperlink" xfId="3361" builtinId="9" hidden="1"/>
    <cellStyle name="Followed Hyperlink" xfId="3363" builtinId="9" hidden="1"/>
    <cellStyle name="Followed Hyperlink" xfId="3365" builtinId="9" hidden="1"/>
    <cellStyle name="Followed Hyperlink" xfId="3367" builtinId="9" hidden="1"/>
    <cellStyle name="Followed Hyperlink" xfId="3369" builtinId="9" hidden="1"/>
    <cellStyle name="Followed Hyperlink" xfId="3371" builtinId="9" hidden="1"/>
    <cellStyle name="Followed Hyperlink" xfId="3373" builtinId="9" hidden="1"/>
    <cellStyle name="Followed Hyperlink" xfId="3375" builtinId="9" hidden="1"/>
    <cellStyle name="Followed Hyperlink" xfId="3377" builtinId="9" hidden="1"/>
    <cellStyle name="Followed Hyperlink" xfId="3379" builtinId="9" hidden="1"/>
    <cellStyle name="Followed Hyperlink" xfId="3381" builtinId="9" hidden="1"/>
    <cellStyle name="Followed Hyperlink" xfId="3383" builtinId="9" hidden="1"/>
    <cellStyle name="Followed Hyperlink" xfId="3385" builtinId="9" hidden="1"/>
    <cellStyle name="Followed Hyperlink" xfId="3387" builtinId="9" hidden="1"/>
    <cellStyle name="Followed Hyperlink" xfId="3389" builtinId="9" hidden="1"/>
    <cellStyle name="Followed Hyperlink" xfId="3391" builtinId="9" hidden="1"/>
    <cellStyle name="Followed Hyperlink" xfId="3393" builtinId="9" hidden="1"/>
    <cellStyle name="Followed Hyperlink" xfId="3395" builtinId="9" hidden="1"/>
    <cellStyle name="Followed Hyperlink" xfId="3397" builtinId="9" hidden="1"/>
    <cellStyle name="Followed Hyperlink" xfId="3399" builtinId="9" hidden="1"/>
    <cellStyle name="Followed Hyperlink" xfId="3401" builtinId="9" hidden="1"/>
    <cellStyle name="Followed Hyperlink" xfId="3403" builtinId="9" hidden="1"/>
    <cellStyle name="Followed Hyperlink" xfId="3405" builtinId="9" hidden="1"/>
    <cellStyle name="Followed Hyperlink" xfId="3407" builtinId="9" hidden="1"/>
    <cellStyle name="Followed Hyperlink" xfId="3409" builtinId="9" hidden="1"/>
    <cellStyle name="Followed Hyperlink" xfId="3411" builtinId="9" hidden="1"/>
    <cellStyle name="Followed Hyperlink" xfId="3413" builtinId="9" hidden="1"/>
    <cellStyle name="Followed Hyperlink" xfId="3415" builtinId="9" hidden="1"/>
    <cellStyle name="Followed Hyperlink" xfId="3417" builtinId="9" hidden="1"/>
    <cellStyle name="Followed Hyperlink" xfId="3419" builtinId="9" hidden="1"/>
    <cellStyle name="Followed Hyperlink" xfId="3421" builtinId="9" hidden="1"/>
    <cellStyle name="Followed Hyperlink" xfId="3423" builtinId="9" hidden="1"/>
    <cellStyle name="Followed Hyperlink" xfId="3425" builtinId="9" hidden="1"/>
    <cellStyle name="Followed Hyperlink" xfId="3427" builtinId="9" hidden="1"/>
    <cellStyle name="Followed Hyperlink" xfId="3429" builtinId="9" hidden="1"/>
    <cellStyle name="Followed Hyperlink" xfId="3431" builtinId="9" hidden="1"/>
    <cellStyle name="Followed Hyperlink" xfId="3433" builtinId="9" hidden="1"/>
    <cellStyle name="Followed Hyperlink" xfId="3435" builtinId="9" hidden="1"/>
    <cellStyle name="Followed Hyperlink" xfId="3437" builtinId="9" hidden="1"/>
    <cellStyle name="Followed Hyperlink" xfId="3439" builtinId="9" hidden="1"/>
    <cellStyle name="Followed Hyperlink" xfId="3441" builtinId="9" hidden="1"/>
    <cellStyle name="Followed Hyperlink" xfId="3443" builtinId="9" hidden="1"/>
    <cellStyle name="Followed Hyperlink" xfId="3445" builtinId="9" hidden="1"/>
    <cellStyle name="Followed Hyperlink" xfId="3447" builtinId="9" hidden="1"/>
    <cellStyle name="Followed Hyperlink" xfId="3449" builtinId="9" hidden="1"/>
    <cellStyle name="Followed Hyperlink" xfId="3451" builtinId="9" hidden="1"/>
    <cellStyle name="Followed Hyperlink" xfId="3453" builtinId="9" hidden="1"/>
    <cellStyle name="Followed Hyperlink" xfId="3455" builtinId="9" hidden="1"/>
    <cellStyle name="Followed Hyperlink" xfId="3457" builtinId="9" hidden="1"/>
    <cellStyle name="Followed Hyperlink" xfId="3459" builtinId="9" hidden="1"/>
    <cellStyle name="Followed Hyperlink" xfId="3461" builtinId="9" hidden="1"/>
    <cellStyle name="Followed Hyperlink" xfId="3463" builtinId="9" hidden="1"/>
    <cellStyle name="Followed Hyperlink" xfId="3465" builtinId="9" hidden="1"/>
    <cellStyle name="Followed Hyperlink" xfId="3467" builtinId="9" hidden="1"/>
    <cellStyle name="Followed Hyperlink" xfId="3469" builtinId="9" hidden="1"/>
    <cellStyle name="Followed Hyperlink" xfId="3471" builtinId="9" hidden="1"/>
    <cellStyle name="Followed Hyperlink" xfId="3473" builtinId="9" hidden="1"/>
    <cellStyle name="Followed Hyperlink" xfId="3475" builtinId="9" hidden="1"/>
    <cellStyle name="Followed Hyperlink" xfId="3477" builtinId="9" hidden="1"/>
    <cellStyle name="Followed Hyperlink" xfId="3479" builtinId="9" hidden="1"/>
    <cellStyle name="Followed Hyperlink" xfId="3481" builtinId="9" hidden="1"/>
    <cellStyle name="Followed Hyperlink" xfId="3483" builtinId="9" hidden="1"/>
    <cellStyle name="Followed Hyperlink" xfId="3485" builtinId="9" hidden="1"/>
    <cellStyle name="Followed Hyperlink" xfId="3487" builtinId="9" hidden="1"/>
    <cellStyle name="Followed Hyperlink" xfId="3489" builtinId="9" hidden="1"/>
    <cellStyle name="Followed Hyperlink" xfId="3491" builtinId="9" hidden="1"/>
    <cellStyle name="Followed Hyperlink" xfId="3493" builtinId="9" hidden="1"/>
    <cellStyle name="Followed Hyperlink" xfId="3495" builtinId="9" hidden="1"/>
    <cellStyle name="Followed Hyperlink" xfId="3497" builtinId="9" hidden="1"/>
    <cellStyle name="Followed Hyperlink" xfId="3499" builtinId="9" hidden="1"/>
    <cellStyle name="Followed Hyperlink" xfId="3501" builtinId="9" hidden="1"/>
    <cellStyle name="Followed Hyperlink" xfId="3503" builtinId="9" hidden="1"/>
    <cellStyle name="Followed Hyperlink" xfId="3505" builtinId="9" hidden="1"/>
    <cellStyle name="Followed Hyperlink" xfId="3507" builtinId="9" hidden="1"/>
    <cellStyle name="Followed Hyperlink" xfId="3509" builtinId="9" hidden="1"/>
    <cellStyle name="Followed Hyperlink" xfId="3511" builtinId="9" hidden="1"/>
    <cellStyle name="Followed Hyperlink" xfId="3513" builtinId="9" hidden="1"/>
    <cellStyle name="Followed Hyperlink" xfId="3515" builtinId="9" hidden="1"/>
    <cellStyle name="Followed Hyperlink" xfId="3517" builtinId="9" hidden="1"/>
    <cellStyle name="Followed Hyperlink" xfId="3519" builtinId="9" hidden="1"/>
    <cellStyle name="Followed Hyperlink" xfId="3521" builtinId="9" hidden="1"/>
    <cellStyle name="Followed Hyperlink" xfId="3523" builtinId="9" hidden="1"/>
    <cellStyle name="Followed Hyperlink" xfId="3525" builtinId="9" hidden="1"/>
    <cellStyle name="Followed Hyperlink" xfId="3527" builtinId="9" hidden="1"/>
    <cellStyle name="Followed Hyperlink" xfId="3529" builtinId="9" hidden="1"/>
    <cellStyle name="Followed Hyperlink" xfId="3531" builtinId="9" hidden="1"/>
    <cellStyle name="Followed Hyperlink" xfId="3533" builtinId="9" hidden="1"/>
    <cellStyle name="Followed Hyperlink" xfId="3535" builtinId="9" hidden="1"/>
    <cellStyle name="Followed Hyperlink" xfId="3537" builtinId="9" hidden="1"/>
    <cellStyle name="Followed Hyperlink" xfId="3539" builtinId="9" hidden="1"/>
    <cellStyle name="Followed Hyperlink" xfId="3541" builtinId="9" hidden="1"/>
    <cellStyle name="Followed Hyperlink" xfId="3543" builtinId="9" hidden="1"/>
    <cellStyle name="Followed Hyperlink" xfId="3545" builtinId="9" hidden="1"/>
    <cellStyle name="Followed Hyperlink" xfId="3547" builtinId="9" hidden="1"/>
    <cellStyle name="Followed Hyperlink" xfId="3549" builtinId="9" hidden="1"/>
    <cellStyle name="Followed Hyperlink" xfId="3551" builtinId="9" hidden="1"/>
    <cellStyle name="Followed Hyperlink" xfId="3553" builtinId="9" hidden="1"/>
    <cellStyle name="Followed Hyperlink" xfId="3555" builtinId="9" hidden="1"/>
    <cellStyle name="Followed Hyperlink" xfId="3557" builtinId="9" hidden="1"/>
    <cellStyle name="Followed Hyperlink" xfId="3559" builtinId="9" hidden="1"/>
    <cellStyle name="Followed Hyperlink" xfId="3561" builtinId="9" hidden="1"/>
    <cellStyle name="Followed Hyperlink" xfId="3563" builtinId="9" hidden="1"/>
    <cellStyle name="Followed Hyperlink" xfId="3565" builtinId="9" hidden="1"/>
    <cellStyle name="Followed Hyperlink" xfId="3567" builtinId="9" hidden="1"/>
    <cellStyle name="Followed Hyperlink" xfId="3569" builtinId="9" hidden="1"/>
    <cellStyle name="Followed Hyperlink" xfId="3571" builtinId="9" hidden="1"/>
    <cellStyle name="Followed Hyperlink" xfId="3573" builtinId="9" hidden="1"/>
    <cellStyle name="Followed Hyperlink" xfId="3575" builtinId="9" hidden="1"/>
    <cellStyle name="Followed Hyperlink" xfId="3577" builtinId="9" hidden="1"/>
    <cellStyle name="Followed Hyperlink" xfId="3579" builtinId="9" hidden="1"/>
    <cellStyle name="Followed Hyperlink" xfId="3581" builtinId="9" hidden="1"/>
    <cellStyle name="Followed Hyperlink" xfId="3583" builtinId="9" hidden="1"/>
    <cellStyle name="Followed Hyperlink" xfId="3585" builtinId="9" hidden="1"/>
    <cellStyle name="Followed Hyperlink" xfId="3587" builtinId="9" hidden="1"/>
    <cellStyle name="Followed Hyperlink" xfId="3589" builtinId="9" hidden="1"/>
    <cellStyle name="Followed Hyperlink" xfId="3591" builtinId="9" hidden="1"/>
    <cellStyle name="Followed Hyperlink" xfId="3593" builtinId="9" hidden="1"/>
    <cellStyle name="Followed Hyperlink" xfId="3595" builtinId="9" hidden="1"/>
    <cellStyle name="Followed Hyperlink" xfId="3597" builtinId="9" hidden="1"/>
    <cellStyle name="Followed Hyperlink" xfId="3599" builtinId="9" hidden="1"/>
    <cellStyle name="Followed Hyperlink" xfId="3601" builtinId="9" hidden="1"/>
    <cellStyle name="Followed Hyperlink" xfId="3603" builtinId="9" hidden="1"/>
    <cellStyle name="Followed Hyperlink" xfId="3605" builtinId="9" hidden="1"/>
    <cellStyle name="Followed Hyperlink" xfId="3607" builtinId="9" hidden="1"/>
    <cellStyle name="Followed Hyperlink" xfId="3609" builtinId="9" hidden="1"/>
    <cellStyle name="Followed Hyperlink" xfId="3611" builtinId="9" hidden="1"/>
    <cellStyle name="Followed Hyperlink" xfId="3613" builtinId="9" hidden="1"/>
    <cellStyle name="Followed Hyperlink" xfId="3615" builtinId="9" hidden="1"/>
    <cellStyle name="Followed Hyperlink" xfId="3617" builtinId="9" hidden="1"/>
    <cellStyle name="Followed Hyperlink" xfId="3619" builtinId="9" hidden="1"/>
    <cellStyle name="Followed Hyperlink" xfId="3621" builtinId="9" hidden="1"/>
    <cellStyle name="Followed Hyperlink" xfId="3623" builtinId="9" hidden="1"/>
    <cellStyle name="Followed Hyperlink" xfId="3625" builtinId="9" hidden="1"/>
    <cellStyle name="Followed Hyperlink" xfId="3627" builtinId="9" hidden="1"/>
    <cellStyle name="Followed Hyperlink" xfId="3629" builtinId="9" hidden="1"/>
    <cellStyle name="Followed Hyperlink" xfId="3631" builtinId="9" hidden="1"/>
    <cellStyle name="Followed Hyperlink" xfId="3633" builtinId="9" hidden="1"/>
    <cellStyle name="Followed Hyperlink" xfId="3635" builtinId="9" hidden="1"/>
    <cellStyle name="Followed Hyperlink" xfId="3637" builtinId="9" hidden="1"/>
    <cellStyle name="Followed Hyperlink" xfId="3639" builtinId="9" hidden="1"/>
    <cellStyle name="Followed Hyperlink" xfId="3641" builtinId="9" hidden="1"/>
    <cellStyle name="Followed Hyperlink" xfId="3643" builtinId="9" hidden="1"/>
    <cellStyle name="Followed Hyperlink" xfId="3645" builtinId="9" hidden="1"/>
    <cellStyle name="Followed Hyperlink" xfId="3647" builtinId="9" hidden="1"/>
    <cellStyle name="Followed Hyperlink" xfId="3649" builtinId="9" hidden="1"/>
    <cellStyle name="Followed Hyperlink" xfId="3651" builtinId="9" hidden="1"/>
    <cellStyle name="Followed Hyperlink" xfId="3653"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Hyperlink" xfId="719" builtinId="8" hidden="1"/>
    <cellStyle name="Hyperlink" xfId="721" builtinId="8" hidden="1"/>
    <cellStyle name="Hyperlink" xfId="723" builtinId="8" hidden="1"/>
    <cellStyle name="Hyperlink" xfId="725" builtinId="8" hidden="1"/>
    <cellStyle name="Hyperlink" xfId="727" builtinId="8" hidden="1"/>
    <cellStyle name="Hyperlink" xfId="729" builtinId="8" hidden="1"/>
    <cellStyle name="Hyperlink" xfId="731" builtinId="8" hidden="1"/>
    <cellStyle name="Hyperlink" xfId="733" builtinId="8" hidden="1"/>
    <cellStyle name="Hyperlink" xfId="735" builtinId="8" hidden="1"/>
    <cellStyle name="Hyperlink" xfId="737" builtinId="8" hidden="1"/>
    <cellStyle name="Hyperlink" xfId="739" builtinId="8" hidden="1"/>
    <cellStyle name="Hyperlink" xfId="741" builtinId="8" hidden="1"/>
    <cellStyle name="Hyperlink" xfId="743" builtinId="8" hidden="1"/>
    <cellStyle name="Hyperlink" xfId="745" builtinId="8" hidden="1"/>
    <cellStyle name="Hyperlink" xfId="747" builtinId="8" hidden="1"/>
    <cellStyle name="Hyperlink" xfId="749" builtinId="8" hidden="1"/>
    <cellStyle name="Hyperlink" xfId="751" builtinId="8" hidden="1"/>
    <cellStyle name="Hyperlink" xfId="753" builtinId="8" hidden="1"/>
    <cellStyle name="Hyperlink" xfId="755" builtinId="8" hidden="1"/>
    <cellStyle name="Hyperlink" xfId="757" builtinId="8" hidden="1"/>
    <cellStyle name="Hyperlink" xfId="759" builtinId="8" hidden="1"/>
    <cellStyle name="Hyperlink" xfId="761" builtinId="8" hidden="1"/>
    <cellStyle name="Hyperlink" xfId="763" builtinId="8" hidden="1"/>
    <cellStyle name="Hyperlink" xfId="765" builtinId="8" hidden="1"/>
    <cellStyle name="Hyperlink" xfId="767" builtinId="8" hidden="1"/>
    <cellStyle name="Hyperlink" xfId="769" builtinId="8" hidden="1"/>
    <cellStyle name="Hyperlink" xfId="771" builtinId="8" hidden="1"/>
    <cellStyle name="Hyperlink" xfId="773" builtinId="8" hidden="1"/>
    <cellStyle name="Hyperlink" xfId="775" builtinId="8" hidden="1"/>
    <cellStyle name="Hyperlink" xfId="777" builtinId="8" hidden="1"/>
    <cellStyle name="Hyperlink" xfId="779" builtinId="8" hidden="1"/>
    <cellStyle name="Hyperlink" xfId="781" builtinId="8" hidden="1"/>
    <cellStyle name="Hyperlink" xfId="783" builtinId="8" hidden="1"/>
    <cellStyle name="Hyperlink" xfId="785" builtinId="8" hidden="1"/>
    <cellStyle name="Hyperlink" xfId="787" builtinId="8" hidden="1"/>
    <cellStyle name="Hyperlink" xfId="789" builtinId="8" hidden="1"/>
    <cellStyle name="Hyperlink" xfId="791" builtinId="8" hidden="1"/>
    <cellStyle name="Hyperlink" xfId="793" builtinId="8" hidden="1"/>
    <cellStyle name="Hyperlink" xfId="795" builtinId="8" hidden="1"/>
    <cellStyle name="Hyperlink" xfId="797" builtinId="8" hidden="1"/>
    <cellStyle name="Hyperlink" xfId="799" builtinId="8" hidden="1"/>
    <cellStyle name="Hyperlink" xfId="801" builtinId="8" hidden="1"/>
    <cellStyle name="Hyperlink" xfId="803" builtinId="8" hidden="1"/>
    <cellStyle name="Hyperlink" xfId="805" builtinId="8" hidden="1"/>
    <cellStyle name="Hyperlink" xfId="807" builtinId="8" hidden="1"/>
    <cellStyle name="Hyperlink" xfId="809" builtinId="8" hidden="1"/>
    <cellStyle name="Hyperlink" xfId="811" builtinId="8" hidden="1"/>
    <cellStyle name="Hyperlink" xfId="813" builtinId="8" hidden="1"/>
    <cellStyle name="Hyperlink" xfId="815" builtinId="8" hidden="1"/>
    <cellStyle name="Hyperlink" xfId="817" builtinId="8" hidden="1"/>
    <cellStyle name="Hyperlink" xfId="819" builtinId="8" hidden="1"/>
    <cellStyle name="Hyperlink" xfId="821" builtinId="8" hidden="1"/>
    <cellStyle name="Hyperlink" xfId="823" builtinId="8" hidden="1"/>
    <cellStyle name="Hyperlink" xfId="825" builtinId="8" hidden="1"/>
    <cellStyle name="Hyperlink" xfId="827" builtinId="8" hidden="1"/>
    <cellStyle name="Hyperlink" xfId="829" builtinId="8" hidden="1"/>
    <cellStyle name="Hyperlink" xfId="831" builtinId="8" hidden="1"/>
    <cellStyle name="Hyperlink" xfId="833" builtinId="8" hidden="1"/>
    <cellStyle name="Hyperlink" xfId="835" builtinId="8" hidden="1"/>
    <cellStyle name="Hyperlink" xfId="837" builtinId="8" hidden="1"/>
    <cellStyle name="Hyperlink" xfId="839" builtinId="8" hidden="1"/>
    <cellStyle name="Hyperlink" xfId="841" builtinId="8" hidden="1"/>
    <cellStyle name="Hyperlink" xfId="843" builtinId="8" hidden="1"/>
    <cellStyle name="Hyperlink" xfId="845" builtinId="8" hidden="1"/>
    <cellStyle name="Hyperlink" xfId="847" builtinId="8" hidden="1"/>
    <cellStyle name="Hyperlink" xfId="849" builtinId="8" hidden="1"/>
    <cellStyle name="Hyperlink" xfId="851" builtinId="8" hidden="1"/>
    <cellStyle name="Hyperlink" xfId="853" builtinId="8" hidden="1"/>
    <cellStyle name="Hyperlink" xfId="855" builtinId="8" hidden="1"/>
    <cellStyle name="Hyperlink" xfId="857" builtinId="8" hidden="1"/>
    <cellStyle name="Hyperlink" xfId="859" builtinId="8" hidden="1"/>
    <cellStyle name="Hyperlink" xfId="861" builtinId="8" hidden="1"/>
    <cellStyle name="Hyperlink" xfId="863" builtinId="8" hidden="1"/>
    <cellStyle name="Hyperlink" xfId="865" builtinId="8" hidden="1"/>
    <cellStyle name="Hyperlink" xfId="867" builtinId="8" hidden="1"/>
    <cellStyle name="Hyperlink" xfId="869" builtinId="8" hidden="1"/>
    <cellStyle name="Hyperlink" xfId="871" builtinId="8" hidden="1"/>
    <cellStyle name="Hyperlink" xfId="873" builtinId="8" hidden="1"/>
    <cellStyle name="Hyperlink" xfId="875" builtinId="8" hidden="1"/>
    <cellStyle name="Hyperlink" xfId="877" builtinId="8" hidden="1"/>
    <cellStyle name="Hyperlink" xfId="879" builtinId="8" hidden="1"/>
    <cellStyle name="Hyperlink" xfId="881" builtinId="8" hidden="1"/>
    <cellStyle name="Hyperlink" xfId="883" builtinId="8" hidden="1"/>
    <cellStyle name="Hyperlink" xfId="885" builtinId="8" hidden="1"/>
    <cellStyle name="Hyperlink" xfId="887" builtinId="8" hidden="1"/>
    <cellStyle name="Hyperlink" xfId="889" builtinId="8" hidden="1"/>
    <cellStyle name="Hyperlink" xfId="891" builtinId="8" hidden="1"/>
    <cellStyle name="Hyperlink" xfId="893" builtinId="8" hidden="1"/>
    <cellStyle name="Hyperlink" xfId="895" builtinId="8" hidden="1"/>
    <cellStyle name="Hyperlink" xfId="897" builtinId="8" hidden="1"/>
    <cellStyle name="Hyperlink" xfId="899" builtinId="8" hidden="1"/>
    <cellStyle name="Hyperlink" xfId="901" builtinId="8" hidden="1"/>
    <cellStyle name="Hyperlink" xfId="903" builtinId="8" hidden="1"/>
    <cellStyle name="Hyperlink" xfId="905" builtinId="8" hidden="1"/>
    <cellStyle name="Hyperlink" xfId="907" builtinId="8" hidden="1"/>
    <cellStyle name="Hyperlink" xfId="909" builtinId="8" hidden="1"/>
    <cellStyle name="Hyperlink" xfId="911" builtinId="8" hidden="1"/>
    <cellStyle name="Hyperlink" xfId="913" builtinId="8" hidden="1"/>
    <cellStyle name="Hyperlink" xfId="915" builtinId="8" hidden="1"/>
    <cellStyle name="Hyperlink" xfId="917" builtinId="8" hidden="1"/>
    <cellStyle name="Hyperlink" xfId="919" builtinId="8" hidden="1"/>
    <cellStyle name="Hyperlink" xfId="921" builtinId="8" hidden="1"/>
    <cellStyle name="Hyperlink" xfId="923" builtinId="8" hidden="1"/>
    <cellStyle name="Hyperlink" xfId="925" builtinId="8" hidden="1"/>
    <cellStyle name="Hyperlink" xfId="927" builtinId="8" hidden="1"/>
    <cellStyle name="Hyperlink" xfId="929" builtinId="8" hidden="1"/>
    <cellStyle name="Hyperlink" xfId="931" builtinId="8" hidden="1"/>
    <cellStyle name="Hyperlink" xfId="933" builtinId="8" hidden="1"/>
    <cellStyle name="Hyperlink" xfId="935" builtinId="8" hidden="1"/>
    <cellStyle name="Hyperlink" xfId="937" builtinId="8" hidden="1"/>
    <cellStyle name="Hyperlink" xfId="939" builtinId="8" hidden="1"/>
    <cellStyle name="Hyperlink" xfId="941" builtinId="8" hidden="1"/>
    <cellStyle name="Hyperlink" xfId="943" builtinId="8" hidden="1"/>
    <cellStyle name="Hyperlink" xfId="945" builtinId="8" hidden="1"/>
    <cellStyle name="Hyperlink" xfId="947" builtinId="8" hidden="1"/>
    <cellStyle name="Hyperlink" xfId="949" builtinId="8" hidden="1"/>
    <cellStyle name="Hyperlink" xfId="951" builtinId="8" hidden="1"/>
    <cellStyle name="Hyperlink" xfId="953" builtinId="8" hidden="1"/>
    <cellStyle name="Hyperlink" xfId="955" builtinId="8" hidden="1"/>
    <cellStyle name="Hyperlink" xfId="957" builtinId="8" hidden="1"/>
    <cellStyle name="Hyperlink" xfId="959" builtinId="8" hidden="1"/>
    <cellStyle name="Hyperlink" xfId="961" builtinId="8" hidden="1"/>
    <cellStyle name="Hyperlink" xfId="963" builtinId="8" hidden="1"/>
    <cellStyle name="Hyperlink" xfId="965" builtinId="8" hidden="1"/>
    <cellStyle name="Hyperlink" xfId="967" builtinId="8" hidden="1"/>
    <cellStyle name="Hyperlink" xfId="969" builtinId="8" hidden="1"/>
    <cellStyle name="Hyperlink" xfId="972" builtinId="8" hidden="1"/>
    <cellStyle name="Hyperlink" xfId="974" builtinId="8" hidden="1"/>
    <cellStyle name="Hyperlink" xfId="976" builtinId="8" hidden="1"/>
    <cellStyle name="Hyperlink" xfId="978" builtinId="8" hidden="1"/>
    <cellStyle name="Hyperlink" xfId="980" builtinId="8" hidden="1"/>
    <cellStyle name="Hyperlink" xfId="982" builtinId="8" hidden="1"/>
    <cellStyle name="Hyperlink" xfId="984" builtinId="8" hidden="1"/>
    <cellStyle name="Hyperlink" xfId="986" builtinId="8" hidden="1"/>
    <cellStyle name="Hyperlink" xfId="988" builtinId="8" hidden="1"/>
    <cellStyle name="Hyperlink" xfId="990" builtinId="8" hidden="1"/>
    <cellStyle name="Hyperlink" xfId="992" builtinId="8" hidden="1"/>
    <cellStyle name="Hyperlink" xfId="994" builtinId="8" hidden="1"/>
    <cellStyle name="Hyperlink" xfId="996" builtinId="8" hidden="1"/>
    <cellStyle name="Hyperlink" xfId="998" builtinId="8" hidden="1"/>
    <cellStyle name="Hyperlink" xfId="1000" builtinId="8" hidden="1"/>
    <cellStyle name="Hyperlink" xfId="1002" builtinId="8" hidden="1"/>
    <cellStyle name="Hyperlink" xfId="1004" builtinId="8" hidden="1"/>
    <cellStyle name="Hyperlink" xfId="1006" builtinId="8" hidden="1"/>
    <cellStyle name="Hyperlink" xfId="1008" builtinId="8" hidden="1"/>
    <cellStyle name="Hyperlink" xfId="1010" builtinId="8" hidden="1"/>
    <cellStyle name="Hyperlink" xfId="1012" builtinId="8" hidden="1"/>
    <cellStyle name="Hyperlink" xfId="1014" builtinId="8" hidden="1"/>
    <cellStyle name="Hyperlink" xfId="1016" builtinId="8" hidden="1"/>
    <cellStyle name="Hyperlink" xfId="1018" builtinId="8" hidden="1"/>
    <cellStyle name="Hyperlink" xfId="1020" builtinId="8" hidden="1"/>
    <cellStyle name="Hyperlink" xfId="1022" builtinId="8" hidden="1"/>
    <cellStyle name="Hyperlink" xfId="1024" builtinId="8" hidden="1"/>
    <cellStyle name="Hyperlink" xfId="1026" builtinId="8" hidden="1"/>
    <cellStyle name="Hyperlink" xfId="1028" builtinId="8" hidden="1"/>
    <cellStyle name="Hyperlink" xfId="1030" builtinId="8" hidden="1"/>
    <cellStyle name="Hyperlink" xfId="1032" builtinId="8" hidden="1"/>
    <cellStyle name="Hyperlink" xfId="1034" builtinId="8" hidden="1"/>
    <cellStyle name="Hyperlink" xfId="1036" builtinId="8" hidden="1"/>
    <cellStyle name="Hyperlink" xfId="1038" builtinId="8" hidden="1"/>
    <cellStyle name="Hyperlink" xfId="1040" builtinId="8" hidden="1"/>
    <cellStyle name="Hyperlink" xfId="1042" builtinId="8" hidden="1"/>
    <cellStyle name="Hyperlink" xfId="1044" builtinId="8" hidden="1"/>
    <cellStyle name="Hyperlink" xfId="1046" builtinId="8" hidden="1"/>
    <cellStyle name="Hyperlink" xfId="1048" builtinId="8" hidden="1"/>
    <cellStyle name="Hyperlink" xfId="1050" builtinId="8" hidden="1"/>
    <cellStyle name="Hyperlink" xfId="1052" builtinId="8" hidden="1"/>
    <cellStyle name="Hyperlink" xfId="1054" builtinId="8" hidden="1"/>
    <cellStyle name="Hyperlink" xfId="1056" builtinId="8" hidden="1"/>
    <cellStyle name="Hyperlink" xfId="1058" builtinId="8" hidden="1"/>
    <cellStyle name="Hyperlink" xfId="1060" builtinId="8" hidden="1"/>
    <cellStyle name="Hyperlink" xfId="1062" builtinId="8" hidden="1"/>
    <cellStyle name="Hyperlink" xfId="1064" builtinId="8" hidden="1"/>
    <cellStyle name="Hyperlink" xfId="1066" builtinId="8" hidden="1"/>
    <cellStyle name="Hyperlink" xfId="1068" builtinId="8" hidden="1"/>
    <cellStyle name="Hyperlink" xfId="1070" builtinId="8" hidden="1"/>
    <cellStyle name="Hyperlink" xfId="1072" builtinId="8" hidden="1"/>
    <cellStyle name="Hyperlink" xfId="1074" builtinId="8" hidden="1"/>
    <cellStyle name="Hyperlink" xfId="1076" builtinId="8" hidden="1"/>
    <cellStyle name="Hyperlink" xfId="1078" builtinId="8" hidden="1"/>
    <cellStyle name="Hyperlink" xfId="1080" builtinId="8" hidden="1"/>
    <cellStyle name="Hyperlink" xfId="1082" builtinId="8" hidden="1"/>
    <cellStyle name="Hyperlink" xfId="1084" builtinId="8" hidden="1"/>
    <cellStyle name="Hyperlink" xfId="1086" builtinId="8" hidden="1"/>
    <cellStyle name="Hyperlink" xfId="1088" builtinId="8" hidden="1"/>
    <cellStyle name="Hyperlink" xfId="1090" builtinId="8" hidden="1"/>
    <cellStyle name="Hyperlink" xfId="1092" builtinId="8" hidden="1"/>
    <cellStyle name="Hyperlink" xfId="1094" builtinId="8" hidden="1"/>
    <cellStyle name="Hyperlink" xfId="1096" builtinId="8" hidden="1"/>
    <cellStyle name="Hyperlink" xfId="1098" builtinId="8" hidden="1"/>
    <cellStyle name="Hyperlink" xfId="1100" builtinId="8" hidden="1"/>
    <cellStyle name="Hyperlink" xfId="1102" builtinId="8" hidden="1"/>
    <cellStyle name="Hyperlink" xfId="1104" builtinId="8" hidden="1"/>
    <cellStyle name="Hyperlink" xfId="1106" builtinId="8" hidden="1"/>
    <cellStyle name="Hyperlink" xfId="1108" builtinId="8" hidden="1"/>
    <cellStyle name="Hyperlink" xfId="1110" builtinId="8" hidden="1"/>
    <cellStyle name="Hyperlink" xfId="1112" builtinId="8" hidden="1"/>
    <cellStyle name="Hyperlink" xfId="1114" builtinId="8" hidden="1"/>
    <cellStyle name="Hyperlink" xfId="1116" builtinId="8" hidden="1"/>
    <cellStyle name="Hyperlink" xfId="1118" builtinId="8" hidden="1"/>
    <cellStyle name="Hyperlink" xfId="1120" builtinId="8" hidden="1"/>
    <cellStyle name="Hyperlink" xfId="1122" builtinId="8" hidden="1"/>
    <cellStyle name="Hyperlink" xfId="1124" builtinId="8" hidden="1"/>
    <cellStyle name="Hyperlink" xfId="1126" builtinId="8" hidden="1"/>
    <cellStyle name="Hyperlink" xfId="1128" builtinId="8" hidden="1"/>
    <cellStyle name="Hyperlink" xfId="1130" builtinId="8" hidden="1"/>
    <cellStyle name="Hyperlink" xfId="1132" builtinId="8" hidden="1"/>
    <cellStyle name="Hyperlink" xfId="1134" builtinId="8" hidden="1"/>
    <cellStyle name="Hyperlink" xfId="1136" builtinId="8" hidden="1"/>
    <cellStyle name="Hyperlink" xfId="1138" builtinId="8" hidden="1"/>
    <cellStyle name="Hyperlink" xfId="1140" builtinId="8" hidden="1"/>
    <cellStyle name="Hyperlink" xfId="1142" builtinId="8" hidden="1"/>
    <cellStyle name="Hyperlink" xfId="1144" builtinId="8" hidden="1"/>
    <cellStyle name="Hyperlink" xfId="1146" builtinId="8" hidden="1"/>
    <cellStyle name="Hyperlink" xfId="1148" builtinId="8" hidden="1"/>
    <cellStyle name="Hyperlink" xfId="1150" builtinId="8" hidden="1"/>
    <cellStyle name="Hyperlink" xfId="1152" builtinId="8" hidden="1"/>
    <cellStyle name="Hyperlink" xfId="1154" builtinId="8" hidden="1"/>
    <cellStyle name="Hyperlink" xfId="1156" builtinId="8" hidden="1"/>
    <cellStyle name="Hyperlink" xfId="1158" builtinId="8" hidden="1"/>
    <cellStyle name="Hyperlink" xfId="1160" builtinId="8" hidden="1"/>
    <cellStyle name="Hyperlink" xfId="1162" builtinId="8" hidden="1"/>
    <cellStyle name="Hyperlink" xfId="1164" builtinId="8" hidden="1"/>
    <cellStyle name="Hyperlink" xfId="1166" builtinId="8" hidden="1"/>
    <cellStyle name="Hyperlink" xfId="1168" builtinId="8" hidden="1"/>
    <cellStyle name="Hyperlink" xfId="1170" builtinId="8" hidden="1"/>
    <cellStyle name="Hyperlink" xfId="1172" builtinId="8" hidden="1"/>
    <cellStyle name="Hyperlink" xfId="1174" builtinId="8" hidden="1"/>
    <cellStyle name="Hyperlink" xfId="1176" builtinId="8" hidden="1"/>
    <cellStyle name="Hyperlink" xfId="1178" builtinId="8" hidden="1"/>
    <cellStyle name="Hyperlink" xfId="1180" builtinId="8" hidden="1"/>
    <cellStyle name="Hyperlink" xfId="1182" builtinId="8" hidden="1"/>
    <cellStyle name="Hyperlink" xfId="1184" builtinId="8" hidden="1"/>
    <cellStyle name="Hyperlink" xfId="1186" builtinId="8" hidden="1"/>
    <cellStyle name="Hyperlink" xfId="1188" builtinId="8" hidden="1"/>
    <cellStyle name="Hyperlink" xfId="1190" builtinId="8" hidden="1"/>
    <cellStyle name="Hyperlink" xfId="1192" builtinId="8" hidden="1"/>
    <cellStyle name="Hyperlink" xfId="1194" builtinId="8" hidden="1"/>
    <cellStyle name="Hyperlink" xfId="1196" builtinId="8" hidden="1"/>
    <cellStyle name="Hyperlink" xfId="1198" builtinId="8" hidden="1"/>
    <cellStyle name="Hyperlink" xfId="1200" builtinId="8" hidden="1"/>
    <cellStyle name="Hyperlink" xfId="1202" builtinId="8" hidden="1"/>
    <cellStyle name="Hyperlink" xfId="1204" builtinId="8" hidden="1"/>
    <cellStyle name="Hyperlink" xfId="1206" builtinId="8" hidden="1"/>
    <cellStyle name="Hyperlink" xfId="1208" builtinId="8" hidden="1"/>
    <cellStyle name="Hyperlink" xfId="1210" builtinId="8" hidden="1"/>
    <cellStyle name="Hyperlink" xfId="1212" builtinId="8" hidden="1"/>
    <cellStyle name="Hyperlink" xfId="1214" builtinId="8" hidden="1"/>
    <cellStyle name="Hyperlink" xfId="1216" builtinId="8" hidden="1"/>
    <cellStyle name="Hyperlink" xfId="1218" builtinId="8" hidden="1"/>
    <cellStyle name="Hyperlink" xfId="1220" builtinId="8" hidden="1"/>
    <cellStyle name="Hyperlink" xfId="1222" builtinId="8" hidden="1"/>
    <cellStyle name="Hyperlink" xfId="1224" builtinId="8" hidden="1"/>
    <cellStyle name="Hyperlink" xfId="1226" builtinId="8" hidden="1"/>
    <cellStyle name="Hyperlink" xfId="1228" builtinId="8" hidden="1"/>
    <cellStyle name="Hyperlink" xfId="1230" builtinId="8" hidden="1"/>
    <cellStyle name="Hyperlink" xfId="1232" builtinId="8" hidden="1"/>
    <cellStyle name="Hyperlink" xfId="1234" builtinId="8" hidden="1"/>
    <cellStyle name="Hyperlink" xfId="1236" builtinId="8" hidden="1"/>
    <cellStyle name="Hyperlink" xfId="1238" builtinId="8" hidden="1"/>
    <cellStyle name="Hyperlink" xfId="1240" builtinId="8" hidden="1"/>
    <cellStyle name="Hyperlink" xfId="1242" builtinId="8" hidden="1"/>
    <cellStyle name="Hyperlink" xfId="1244" builtinId="8" hidden="1"/>
    <cellStyle name="Hyperlink" xfId="1246" builtinId="8" hidden="1"/>
    <cellStyle name="Hyperlink" xfId="1248" builtinId="8" hidden="1"/>
    <cellStyle name="Hyperlink" xfId="1250" builtinId="8" hidden="1"/>
    <cellStyle name="Hyperlink" xfId="1252" builtinId="8" hidden="1"/>
    <cellStyle name="Hyperlink" xfId="1254" builtinId="8" hidden="1"/>
    <cellStyle name="Hyperlink" xfId="1256" builtinId="8" hidden="1"/>
    <cellStyle name="Hyperlink" xfId="1258" builtinId="8" hidden="1"/>
    <cellStyle name="Hyperlink" xfId="1260" builtinId="8" hidden="1"/>
    <cellStyle name="Hyperlink" xfId="1262" builtinId="8" hidden="1"/>
    <cellStyle name="Hyperlink" xfId="1264" builtinId="8" hidden="1"/>
    <cellStyle name="Hyperlink" xfId="1266" builtinId="8" hidden="1"/>
    <cellStyle name="Hyperlink" xfId="1268" builtinId="8" hidden="1"/>
    <cellStyle name="Hyperlink" xfId="1270" builtinId="8" hidden="1"/>
    <cellStyle name="Hyperlink" xfId="1272" builtinId="8" hidden="1"/>
    <cellStyle name="Hyperlink" xfId="1274" builtinId="8" hidden="1"/>
    <cellStyle name="Hyperlink" xfId="1276" builtinId="8" hidden="1"/>
    <cellStyle name="Hyperlink" xfId="1278" builtinId="8" hidden="1"/>
    <cellStyle name="Hyperlink" xfId="1280" builtinId="8" hidden="1"/>
    <cellStyle name="Hyperlink" xfId="1282" builtinId="8" hidden="1"/>
    <cellStyle name="Hyperlink" xfId="1284" builtinId="8" hidden="1"/>
    <cellStyle name="Hyperlink" xfId="1286" builtinId="8" hidden="1"/>
    <cellStyle name="Hyperlink" xfId="1288" builtinId="8" hidden="1"/>
    <cellStyle name="Hyperlink" xfId="1290" builtinId="8" hidden="1"/>
    <cellStyle name="Hyperlink" xfId="1292" builtinId="8" hidden="1"/>
    <cellStyle name="Hyperlink" xfId="1294" builtinId="8" hidden="1"/>
    <cellStyle name="Hyperlink" xfId="1296" builtinId="8" hidden="1"/>
    <cellStyle name="Hyperlink" xfId="1298" builtinId="8" hidden="1"/>
    <cellStyle name="Hyperlink" xfId="1300" builtinId="8" hidden="1"/>
    <cellStyle name="Hyperlink" xfId="1302" builtinId="8" hidden="1"/>
    <cellStyle name="Hyperlink" xfId="1304" builtinId="8" hidden="1"/>
    <cellStyle name="Hyperlink" xfId="1306" builtinId="8" hidden="1"/>
    <cellStyle name="Hyperlink" xfId="1308" builtinId="8" hidden="1"/>
    <cellStyle name="Hyperlink" xfId="1310" builtinId="8" hidden="1"/>
    <cellStyle name="Hyperlink" xfId="1312" builtinId="8" hidden="1"/>
    <cellStyle name="Hyperlink" xfId="1314" builtinId="8" hidden="1"/>
    <cellStyle name="Hyperlink" xfId="1316" builtinId="8" hidden="1"/>
    <cellStyle name="Hyperlink" xfId="1318" builtinId="8" hidden="1"/>
    <cellStyle name="Hyperlink" xfId="1320" builtinId="8" hidden="1"/>
    <cellStyle name="Hyperlink" xfId="1322" builtinId="8" hidden="1"/>
    <cellStyle name="Hyperlink" xfId="1324" builtinId="8" hidden="1"/>
    <cellStyle name="Hyperlink" xfId="1326" builtinId="8" hidden="1"/>
    <cellStyle name="Hyperlink" xfId="1328" builtinId="8" hidden="1"/>
    <cellStyle name="Hyperlink" xfId="1330" builtinId="8" hidden="1"/>
    <cellStyle name="Hyperlink" xfId="1332" builtinId="8" hidden="1"/>
    <cellStyle name="Hyperlink" xfId="1334" builtinId="8" hidden="1"/>
    <cellStyle name="Hyperlink" xfId="1336" builtinId="8" hidden="1"/>
    <cellStyle name="Hyperlink" xfId="1338" builtinId="8" hidden="1"/>
    <cellStyle name="Hyperlink" xfId="1340" builtinId="8" hidden="1"/>
    <cellStyle name="Hyperlink" xfId="1342" builtinId="8" hidden="1"/>
    <cellStyle name="Hyperlink" xfId="1344" builtinId="8" hidden="1"/>
    <cellStyle name="Hyperlink" xfId="1346" builtinId="8" hidden="1"/>
    <cellStyle name="Hyperlink" xfId="1348" builtinId="8" hidden="1"/>
    <cellStyle name="Hyperlink" xfId="1350" builtinId="8" hidden="1"/>
    <cellStyle name="Hyperlink" xfId="1352" builtinId="8" hidden="1"/>
    <cellStyle name="Hyperlink" xfId="1354" builtinId="8" hidden="1"/>
    <cellStyle name="Hyperlink" xfId="1356" builtinId="8" hidden="1"/>
    <cellStyle name="Hyperlink" xfId="1358" builtinId="8" hidden="1"/>
    <cellStyle name="Hyperlink" xfId="1360" builtinId="8" hidden="1"/>
    <cellStyle name="Hyperlink" xfId="1362" builtinId="8" hidden="1"/>
    <cellStyle name="Hyperlink" xfId="1364" builtinId="8" hidden="1"/>
    <cellStyle name="Hyperlink" xfId="1366" builtinId="8" hidden="1"/>
    <cellStyle name="Hyperlink" xfId="1368" builtinId="8" hidden="1"/>
    <cellStyle name="Hyperlink" xfId="1370" builtinId="8" hidden="1"/>
    <cellStyle name="Hyperlink" xfId="1372" builtinId="8" hidden="1"/>
    <cellStyle name="Hyperlink" xfId="1374" builtinId="8" hidden="1"/>
    <cellStyle name="Hyperlink" xfId="1376" builtinId="8" hidden="1"/>
    <cellStyle name="Hyperlink" xfId="1378" builtinId="8" hidden="1"/>
    <cellStyle name="Hyperlink" xfId="1380" builtinId="8" hidden="1"/>
    <cellStyle name="Hyperlink" xfId="1382" builtinId="8" hidden="1"/>
    <cellStyle name="Hyperlink" xfId="1384" builtinId="8" hidden="1"/>
    <cellStyle name="Hyperlink" xfId="1386" builtinId="8" hidden="1"/>
    <cellStyle name="Hyperlink" xfId="1388" builtinId="8" hidden="1"/>
    <cellStyle name="Hyperlink" xfId="1390" builtinId="8" hidden="1"/>
    <cellStyle name="Hyperlink" xfId="1392" builtinId="8" hidden="1"/>
    <cellStyle name="Hyperlink" xfId="1394" builtinId="8" hidden="1"/>
    <cellStyle name="Hyperlink" xfId="1396" builtinId="8" hidden="1"/>
    <cellStyle name="Hyperlink" xfId="1398" builtinId="8" hidden="1"/>
    <cellStyle name="Hyperlink" xfId="1400" builtinId="8" hidden="1"/>
    <cellStyle name="Hyperlink" xfId="1402" builtinId="8" hidden="1"/>
    <cellStyle name="Hyperlink" xfId="1404" builtinId="8" hidden="1"/>
    <cellStyle name="Hyperlink" xfId="1406" builtinId="8" hidden="1"/>
    <cellStyle name="Hyperlink" xfId="1408" builtinId="8" hidden="1"/>
    <cellStyle name="Hyperlink" xfId="1410" builtinId="8" hidden="1"/>
    <cellStyle name="Hyperlink" xfId="1412" builtinId="8" hidden="1"/>
    <cellStyle name="Hyperlink" xfId="1414" builtinId="8" hidden="1"/>
    <cellStyle name="Hyperlink" xfId="1416" builtinId="8" hidden="1"/>
    <cellStyle name="Hyperlink" xfId="1418" builtinId="8" hidden="1"/>
    <cellStyle name="Hyperlink" xfId="1420" builtinId="8" hidden="1"/>
    <cellStyle name="Hyperlink" xfId="1422" builtinId="8" hidden="1"/>
    <cellStyle name="Hyperlink" xfId="1424" builtinId="8" hidden="1"/>
    <cellStyle name="Hyperlink" xfId="1426" builtinId="8" hidden="1"/>
    <cellStyle name="Hyperlink" xfId="1428" builtinId="8" hidden="1"/>
    <cellStyle name="Hyperlink" xfId="1430" builtinId="8" hidden="1"/>
    <cellStyle name="Hyperlink" xfId="1432" builtinId="8" hidden="1"/>
    <cellStyle name="Hyperlink" xfId="1434" builtinId="8" hidden="1"/>
    <cellStyle name="Hyperlink" xfId="1436" builtinId="8" hidden="1"/>
    <cellStyle name="Hyperlink" xfId="1438" builtinId="8" hidden="1"/>
    <cellStyle name="Hyperlink" xfId="1440" builtinId="8" hidden="1"/>
    <cellStyle name="Hyperlink" xfId="1442" builtinId="8" hidden="1"/>
    <cellStyle name="Hyperlink" xfId="1444" builtinId="8" hidden="1"/>
    <cellStyle name="Hyperlink" xfId="1446" builtinId="8" hidden="1"/>
    <cellStyle name="Hyperlink" xfId="1448" builtinId="8" hidden="1"/>
    <cellStyle name="Hyperlink" xfId="1450" builtinId="8" hidden="1"/>
    <cellStyle name="Hyperlink" xfId="1452" builtinId="8" hidden="1"/>
    <cellStyle name="Hyperlink" xfId="1454" builtinId="8" hidden="1"/>
    <cellStyle name="Hyperlink" xfId="1456" builtinId="8" hidden="1"/>
    <cellStyle name="Hyperlink" xfId="1458" builtinId="8" hidden="1"/>
    <cellStyle name="Hyperlink" xfId="1460" builtinId="8" hidden="1"/>
    <cellStyle name="Hyperlink" xfId="1462" builtinId="8" hidden="1"/>
    <cellStyle name="Hyperlink" xfId="1464" builtinId="8" hidden="1"/>
    <cellStyle name="Hyperlink" xfId="1466" builtinId="8" hidden="1"/>
    <cellStyle name="Hyperlink" xfId="1468" builtinId="8" hidden="1"/>
    <cellStyle name="Hyperlink" xfId="1470" builtinId="8" hidden="1"/>
    <cellStyle name="Hyperlink" xfId="1472" builtinId="8" hidden="1"/>
    <cellStyle name="Hyperlink" xfId="1474" builtinId="8" hidden="1"/>
    <cellStyle name="Hyperlink" xfId="1476" builtinId="8" hidden="1"/>
    <cellStyle name="Hyperlink" xfId="1478" builtinId="8" hidden="1"/>
    <cellStyle name="Hyperlink" xfId="1480" builtinId="8" hidden="1"/>
    <cellStyle name="Hyperlink" xfId="1482" builtinId="8" hidden="1"/>
    <cellStyle name="Hyperlink" xfId="1484" builtinId="8" hidden="1"/>
    <cellStyle name="Hyperlink" xfId="1486" builtinId="8" hidden="1"/>
    <cellStyle name="Hyperlink" xfId="1488" builtinId="8" hidden="1"/>
    <cellStyle name="Hyperlink" xfId="1490" builtinId="8" hidden="1"/>
    <cellStyle name="Hyperlink" xfId="1492" builtinId="8" hidden="1"/>
    <cellStyle name="Hyperlink" xfId="1494" builtinId="8" hidden="1"/>
    <cellStyle name="Hyperlink" xfId="1496" builtinId="8" hidden="1"/>
    <cellStyle name="Hyperlink" xfId="1498" builtinId="8" hidden="1"/>
    <cellStyle name="Hyperlink" xfId="1500" builtinId="8" hidden="1"/>
    <cellStyle name="Hyperlink" xfId="1502" builtinId="8" hidden="1"/>
    <cellStyle name="Hyperlink" xfId="1504" builtinId="8" hidden="1"/>
    <cellStyle name="Hyperlink" xfId="1506" builtinId="8" hidden="1"/>
    <cellStyle name="Hyperlink" xfId="1508" builtinId="8" hidden="1"/>
    <cellStyle name="Hyperlink" xfId="1510" builtinId="8" hidden="1"/>
    <cellStyle name="Hyperlink" xfId="1512" builtinId="8" hidden="1"/>
    <cellStyle name="Hyperlink" xfId="1514" builtinId="8" hidden="1"/>
    <cellStyle name="Hyperlink" xfId="1516" builtinId="8" hidden="1"/>
    <cellStyle name="Hyperlink" xfId="1518" builtinId="8" hidden="1"/>
    <cellStyle name="Hyperlink" xfId="1520" builtinId="8" hidden="1"/>
    <cellStyle name="Hyperlink" xfId="1522" builtinId="8" hidden="1"/>
    <cellStyle name="Hyperlink" xfId="1524" builtinId="8" hidden="1"/>
    <cellStyle name="Hyperlink" xfId="1526" builtinId="8" hidden="1"/>
    <cellStyle name="Hyperlink" xfId="1528" builtinId="8" hidden="1"/>
    <cellStyle name="Hyperlink" xfId="1530" builtinId="8" hidden="1"/>
    <cellStyle name="Hyperlink" xfId="1532" builtinId="8" hidden="1"/>
    <cellStyle name="Hyperlink" xfId="1534" builtinId="8" hidden="1"/>
    <cellStyle name="Hyperlink" xfId="1536" builtinId="8" hidden="1"/>
    <cellStyle name="Hyperlink" xfId="1538" builtinId="8" hidden="1"/>
    <cellStyle name="Hyperlink" xfId="1540" builtinId="8" hidden="1"/>
    <cellStyle name="Hyperlink" xfId="1542" builtinId="8" hidden="1"/>
    <cellStyle name="Hyperlink" xfId="1544" builtinId="8" hidden="1"/>
    <cellStyle name="Hyperlink" xfId="1546" builtinId="8" hidden="1"/>
    <cellStyle name="Hyperlink" xfId="1548" builtinId="8" hidden="1"/>
    <cellStyle name="Hyperlink" xfId="1550" builtinId="8" hidden="1"/>
    <cellStyle name="Hyperlink" xfId="1552" builtinId="8" hidden="1"/>
    <cellStyle name="Hyperlink" xfId="1554" builtinId="8" hidden="1"/>
    <cellStyle name="Hyperlink" xfId="1556" builtinId="8" hidden="1"/>
    <cellStyle name="Hyperlink" xfId="1558" builtinId="8" hidden="1"/>
    <cellStyle name="Hyperlink" xfId="1560" builtinId="8" hidden="1"/>
    <cellStyle name="Hyperlink" xfId="1562" builtinId="8" hidden="1"/>
    <cellStyle name="Hyperlink" xfId="1564" builtinId="8" hidden="1"/>
    <cellStyle name="Hyperlink" xfId="1566" builtinId="8" hidden="1"/>
    <cellStyle name="Hyperlink" xfId="1568" builtinId="8" hidden="1"/>
    <cellStyle name="Hyperlink" xfId="1570" builtinId="8" hidden="1"/>
    <cellStyle name="Hyperlink" xfId="1572" builtinId="8" hidden="1"/>
    <cellStyle name="Hyperlink" xfId="1574" builtinId="8" hidden="1"/>
    <cellStyle name="Hyperlink" xfId="1576" builtinId="8" hidden="1"/>
    <cellStyle name="Hyperlink" xfId="1578" builtinId="8" hidden="1"/>
    <cellStyle name="Hyperlink" xfId="1580" builtinId="8" hidden="1"/>
    <cellStyle name="Hyperlink" xfId="1582" builtinId="8" hidden="1"/>
    <cellStyle name="Hyperlink" xfId="1584" builtinId="8" hidden="1"/>
    <cellStyle name="Hyperlink" xfId="1586" builtinId="8" hidden="1"/>
    <cellStyle name="Hyperlink" xfId="1588" builtinId="8" hidden="1"/>
    <cellStyle name="Hyperlink" xfId="1590" builtinId="8" hidden="1"/>
    <cellStyle name="Hyperlink" xfId="1592" builtinId="8" hidden="1"/>
    <cellStyle name="Hyperlink" xfId="1594" builtinId="8" hidden="1"/>
    <cellStyle name="Hyperlink" xfId="1596" builtinId="8" hidden="1"/>
    <cellStyle name="Hyperlink" xfId="1598" builtinId="8" hidden="1"/>
    <cellStyle name="Hyperlink" xfId="1600" builtinId="8" hidden="1"/>
    <cellStyle name="Hyperlink" xfId="1602" builtinId="8" hidden="1"/>
    <cellStyle name="Hyperlink" xfId="1604" builtinId="8" hidden="1"/>
    <cellStyle name="Hyperlink" xfId="1606" builtinId="8" hidden="1"/>
    <cellStyle name="Hyperlink" xfId="1608" builtinId="8" hidden="1"/>
    <cellStyle name="Hyperlink" xfId="1610" builtinId="8" hidden="1"/>
    <cellStyle name="Hyperlink" xfId="1612" builtinId="8" hidden="1"/>
    <cellStyle name="Hyperlink" xfId="1614" builtinId="8" hidden="1"/>
    <cellStyle name="Hyperlink" xfId="1616" builtinId="8" hidden="1"/>
    <cellStyle name="Hyperlink" xfId="1618" builtinId="8" hidden="1"/>
    <cellStyle name="Hyperlink" xfId="1620" builtinId="8" hidden="1"/>
    <cellStyle name="Hyperlink" xfId="1622" builtinId="8" hidden="1"/>
    <cellStyle name="Hyperlink" xfId="1624" builtinId="8" hidden="1"/>
    <cellStyle name="Hyperlink" xfId="1626" builtinId="8" hidden="1"/>
    <cellStyle name="Hyperlink" xfId="1628" builtinId="8" hidden="1"/>
    <cellStyle name="Hyperlink" xfId="1630" builtinId="8" hidden="1"/>
    <cellStyle name="Hyperlink" xfId="1632" builtinId="8" hidden="1"/>
    <cellStyle name="Hyperlink" xfId="1634" builtinId="8" hidden="1"/>
    <cellStyle name="Hyperlink" xfId="1636" builtinId="8" hidden="1"/>
    <cellStyle name="Hyperlink" xfId="1638" builtinId="8" hidden="1"/>
    <cellStyle name="Hyperlink" xfId="1640" builtinId="8" hidden="1"/>
    <cellStyle name="Hyperlink" xfId="1642" builtinId="8" hidden="1"/>
    <cellStyle name="Hyperlink" xfId="1644" builtinId="8" hidden="1"/>
    <cellStyle name="Hyperlink" xfId="1646" builtinId="8" hidden="1"/>
    <cellStyle name="Hyperlink" xfId="1648" builtinId="8" hidden="1"/>
    <cellStyle name="Hyperlink" xfId="1650" builtinId="8" hidden="1"/>
    <cellStyle name="Hyperlink" xfId="1652" builtinId="8" hidden="1"/>
    <cellStyle name="Hyperlink" xfId="1654" builtinId="8" hidden="1"/>
    <cellStyle name="Hyperlink" xfId="1656" builtinId="8" hidden="1"/>
    <cellStyle name="Hyperlink" xfId="1658" builtinId="8" hidden="1"/>
    <cellStyle name="Hyperlink" xfId="1660" builtinId="8" hidden="1"/>
    <cellStyle name="Hyperlink" xfId="1662" builtinId="8" hidden="1"/>
    <cellStyle name="Hyperlink" xfId="1664" builtinId="8" hidden="1"/>
    <cellStyle name="Hyperlink" xfId="1666" builtinId="8" hidden="1"/>
    <cellStyle name="Hyperlink" xfId="1668" builtinId="8" hidden="1"/>
    <cellStyle name="Hyperlink" xfId="1670" builtinId="8" hidden="1"/>
    <cellStyle name="Hyperlink" xfId="1672" builtinId="8" hidden="1"/>
    <cellStyle name="Hyperlink" xfId="1674" builtinId="8" hidden="1"/>
    <cellStyle name="Hyperlink" xfId="1676" builtinId="8" hidden="1"/>
    <cellStyle name="Hyperlink" xfId="1678" builtinId="8" hidden="1"/>
    <cellStyle name="Hyperlink" xfId="1680" builtinId="8" hidden="1"/>
    <cellStyle name="Hyperlink" xfId="1682" builtinId="8" hidden="1"/>
    <cellStyle name="Hyperlink" xfId="1684" builtinId="8" hidden="1"/>
    <cellStyle name="Hyperlink" xfId="1686" builtinId="8" hidden="1"/>
    <cellStyle name="Hyperlink" xfId="1688" builtinId="8" hidden="1"/>
    <cellStyle name="Hyperlink" xfId="1690" builtinId="8" hidden="1"/>
    <cellStyle name="Hyperlink" xfId="1692" builtinId="8" hidden="1"/>
    <cellStyle name="Hyperlink" xfId="1694" builtinId="8" hidden="1"/>
    <cellStyle name="Hyperlink" xfId="1696" builtinId="8" hidden="1"/>
    <cellStyle name="Hyperlink" xfId="1698" builtinId="8" hidden="1"/>
    <cellStyle name="Hyperlink" xfId="1700" builtinId="8" hidden="1"/>
    <cellStyle name="Hyperlink" xfId="1702" builtinId="8" hidden="1"/>
    <cellStyle name="Hyperlink" xfId="1704" builtinId="8" hidden="1"/>
    <cellStyle name="Hyperlink" xfId="1706" builtinId="8" hidden="1"/>
    <cellStyle name="Hyperlink" xfId="1708" builtinId="8" hidden="1"/>
    <cellStyle name="Hyperlink" xfId="1710" builtinId="8" hidden="1"/>
    <cellStyle name="Hyperlink" xfId="1712" builtinId="8" hidden="1"/>
    <cellStyle name="Hyperlink" xfId="1714" builtinId="8" hidden="1"/>
    <cellStyle name="Hyperlink" xfId="1716" builtinId="8" hidden="1"/>
    <cellStyle name="Hyperlink" xfId="1718" builtinId="8" hidden="1"/>
    <cellStyle name="Hyperlink" xfId="1720" builtinId="8" hidden="1"/>
    <cellStyle name="Hyperlink" xfId="1722" builtinId="8" hidden="1"/>
    <cellStyle name="Hyperlink" xfId="1724" builtinId="8" hidden="1"/>
    <cellStyle name="Hyperlink" xfId="1726" builtinId="8" hidden="1"/>
    <cellStyle name="Hyperlink" xfId="1728" builtinId="8" hidden="1"/>
    <cellStyle name="Hyperlink" xfId="1730" builtinId="8" hidden="1"/>
    <cellStyle name="Hyperlink" xfId="1732" builtinId="8" hidden="1"/>
    <cellStyle name="Hyperlink" xfId="1734" builtinId="8" hidden="1"/>
    <cellStyle name="Hyperlink" xfId="1736" builtinId="8" hidden="1"/>
    <cellStyle name="Hyperlink" xfId="1738" builtinId="8" hidden="1"/>
    <cellStyle name="Hyperlink" xfId="1740" builtinId="8" hidden="1"/>
    <cellStyle name="Hyperlink" xfId="1742" builtinId="8" hidden="1"/>
    <cellStyle name="Hyperlink" xfId="1744" builtinId="8" hidden="1"/>
    <cellStyle name="Hyperlink" xfId="1746" builtinId="8" hidden="1"/>
    <cellStyle name="Hyperlink" xfId="1748" builtinId="8" hidden="1"/>
    <cellStyle name="Hyperlink" xfId="1750" builtinId="8" hidden="1"/>
    <cellStyle name="Hyperlink" xfId="1752" builtinId="8" hidden="1"/>
    <cellStyle name="Hyperlink" xfId="1754" builtinId="8" hidden="1"/>
    <cellStyle name="Hyperlink" xfId="1756" builtinId="8" hidden="1"/>
    <cellStyle name="Hyperlink" xfId="1758" builtinId="8" hidden="1"/>
    <cellStyle name="Hyperlink" xfId="1760" builtinId="8" hidden="1"/>
    <cellStyle name="Hyperlink" xfId="1762" builtinId="8" hidden="1"/>
    <cellStyle name="Hyperlink" xfId="1764" builtinId="8" hidden="1"/>
    <cellStyle name="Hyperlink" xfId="1766" builtinId="8" hidden="1"/>
    <cellStyle name="Hyperlink" xfId="1768" builtinId="8" hidden="1"/>
    <cellStyle name="Hyperlink" xfId="1770" builtinId="8" hidden="1"/>
    <cellStyle name="Hyperlink" xfId="1772" builtinId="8" hidden="1"/>
    <cellStyle name="Hyperlink" xfId="1774" builtinId="8" hidden="1"/>
    <cellStyle name="Hyperlink" xfId="1776" builtinId="8" hidden="1"/>
    <cellStyle name="Hyperlink" xfId="1778" builtinId="8" hidden="1"/>
    <cellStyle name="Hyperlink" xfId="1780" builtinId="8" hidden="1"/>
    <cellStyle name="Hyperlink" xfId="1782" builtinId="8" hidden="1"/>
    <cellStyle name="Hyperlink" xfId="1784" builtinId="8" hidden="1"/>
    <cellStyle name="Hyperlink" xfId="1786" builtinId="8" hidden="1"/>
    <cellStyle name="Hyperlink" xfId="1788" builtinId="8" hidden="1"/>
    <cellStyle name="Hyperlink" xfId="1790" builtinId="8" hidden="1"/>
    <cellStyle name="Hyperlink" xfId="1792" builtinId="8" hidden="1"/>
    <cellStyle name="Hyperlink" xfId="1794" builtinId="8" hidden="1"/>
    <cellStyle name="Hyperlink" xfId="1796" builtinId="8" hidden="1"/>
    <cellStyle name="Hyperlink" xfId="1798" builtinId="8" hidden="1"/>
    <cellStyle name="Hyperlink" xfId="1800" builtinId="8" hidden="1"/>
    <cellStyle name="Hyperlink" xfId="1802" builtinId="8" hidden="1"/>
    <cellStyle name="Hyperlink" xfId="1804" builtinId="8" hidden="1"/>
    <cellStyle name="Hyperlink" xfId="1806" builtinId="8" hidden="1"/>
    <cellStyle name="Hyperlink" xfId="1808" builtinId="8" hidden="1"/>
    <cellStyle name="Hyperlink" xfId="1810" builtinId="8" hidden="1"/>
    <cellStyle name="Hyperlink" xfId="1812" builtinId="8" hidden="1"/>
    <cellStyle name="Hyperlink" xfId="1814" builtinId="8" hidden="1"/>
    <cellStyle name="Hyperlink" xfId="1816" builtinId="8" hidden="1"/>
    <cellStyle name="Hyperlink" xfId="1818" builtinId="8" hidden="1"/>
    <cellStyle name="Hyperlink" xfId="1820" builtinId="8" hidden="1"/>
    <cellStyle name="Hyperlink" xfId="1822" builtinId="8" hidden="1"/>
    <cellStyle name="Hyperlink" xfId="1824" builtinId="8" hidden="1"/>
    <cellStyle name="Hyperlink" xfId="1826" builtinId="8" hidden="1"/>
    <cellStyle name="Hyperlink" xfId="1828" builtinId="8" hidden="1"/>
    <cellStyle name="Hyperlink" xfId="1830" builtinId="8" hidden="1"/>
    <cellStyle name="Hyperlink" xfId="1832" builtinId="8" hidden="1"/>
    <cellStyle name="Hyperlink" xfId="1834" builtinId="8" hidden="1"/>
    <cellStyle name="Hyperlink" xfId="1836" builtinId="8" hidden="1"/>
    <cellStyle name="Hyperlink" xfId="1838" builtinId="8" hidden="1"/>
    <cellStyle name="Hyperlink" xfId="1840" builtinId="8" hidden="1"/>
    <cellStyle name="Hyperlink" xfId="1842" builtinId="8" hidden="1"/>
    <cellStyle name="Hyperlink" xfId="1844" builtinId="8" hidden="1"/>
    <cellStyle name="Hyperlink" xfId="1846" builtinId="8" hidden="1"/>
    <cellStyle name="Hyperlink" xfId="1848" builtinId="8" hidden="1"/>
    <cellStyle name="Hyperlink" xfId="1850" builtinId="8" hidden="1"/>
    <cellStyle name="Hyperlink" xfId="1852" builtinId="8" hidden="1"/>
    <cellStyle name="Hyperlink" xfId="1854" builtinId="8" hidden="1"/>
    <cellStyle name="Hyperlink" xfId="1856" builtinId="8" hidden="1"/>
    <cellStyle name="Hyperlink" xfId="1858" builtinId="8" hidden="1"/>
    <cellStyle name="Hyperlink" xfId="1860" builtinId="8" hidden="1"/>
    <cellStyle name="Hyperlink" xfId="1862" builtinId="8" hidden="1"/>
    <cellStyle name="Hyperlink" xfId="1864" builtinId="8" hidden="1"/>
    <cellStyle name="Hyperlink" xfId="1866" builtinId="8" hidden="1"/>
    <cellStyle name="Hyperlink" xfId="1868" builtinId="8" hidden="1"/>
    <cellStyle name="Hyperlink" xfId="1870" builtinId="8" hidden="1"/>
    <cellStyle name="Hyperlink" xfId="1872" builtinId="8" hidden="1"/>
    <cellStyle name="Hyperlink" xfId="1874" builtinId="8" hidden="1"/>
    <cellStyle name="Hyperlink" xfId="1876" builtinId="8" hidden="1"/>
    <cellStyle name="Hyperlink" xfId="1878" builtinId="8" hidden="1"/>
    <cellStyle name="Hyperlink" xfId="1880" builtinId="8" hidden="1"/>
    <cellStyle name="Hyperlink" xfId="1882" builtinId="8" hidden="1"/>
    <cellStyle name="Hyperlink" xfId="1884" builtinId="8" hidden="1"/>
    <cellStyle name="Hyperlink" xfId="1886" builtinId="8" hidden="1"/>
    <cellStyle name="Hyperlink" xfId="1888" builtinId="8" hidden="1"/>
    <cellStyle name="Hyperlink" xfId="1890" builtinId="8" hidden="1"/>
    <cellStyle name="Hyperlink" xfId="1892" builtinId="8" hidden="1"/>
    <cellStyle name="Hyperlink" xfId="1894" builtinId="8" hidden="1"/>
    <cellStyle name="Hyperlink" xfId="1896" builtinId="8" hidden="1"/>
    <cellStyle name="Hyperlink" xfId="1898" builtinId="8" hidden="1"/>
    <cellStyle name="Hyperlink" xfId="1900" builtinId="8" hidden="1"/>
    <cellStyle name="Hyperlink" xfId="1902" builtinId="8" hidden="1"/>
    <cellStyle name="Hyperlink" xfId="1904" builtinId="8" hidden="1"/>
    <cellStyle name="Hyperlink" xfId="1906" builtinId="8" hidden="1"/>
    <cellStyle name="Hyperlink" xfId="1908" builtinId="8" hidden="1"/>
    <cellStyle name="Hyperlink" xfId="1910" builtinId="8" hidden="1"/>
    <cellStyle name="Hyperlink" xfId="1912" builtinId="8" hidden="1"/>
    <cellStyle name="Hyperlink" xfId="1914" builtinId="8" hidden="1"/>
    <cellStyle name="Hyperlink" xfId="1916" builtinId="8" hidden="1"/>
    <cellStyle name="Hyperlink" xfId="1918" builtinId="8" hidden="1"/>
    <cellStyle name="Hyperlink" xfId="1920" builtinId="8" hidden="1"/>
    <cellStyle name="Hyperlink" xfId="1922" builtinId="8" hidden="1"/>
    <cellStyle name="Hyperlink" xfId="1924" builtinId="8" hidden="1"/>
    <cellStyle name="Hyperlink" xfId="1926" builtinId="8" hidden="1"/>
    <cellStyle name="Hyperlink" xfId="1928" builtinId="8" hidden="1"/>
    <cellStyle name="Hyperlink" xfId="1930" builtinId="8" hidden="1"/>
    <cellStyle name="Hyperlink" xfId="1932" builtinId="8" hidden="1"/>
    <cellStyle name="Hyperlink" xfId="1934" builtinId="8" hidden="1"/>
    <cellStyle name="Hyperlink" xfId="1936" builtinId="8" hidden="1"/>
    <cellStyle name="Hyperlink" xfId="1938" builtinId="8" hidden="1"/>
    <cellStyle name="Hyperlink" xfId="1940" builtinId="8" hidden="1"/>
    <cellStyle name="Hyperlink" xfId="1942" builtinId="8" hidden="1"/>
    <cellStyle name="Hyperlink" xfId="1944" builtinId="8" hidden="1"/>
    <cellStyle name="Hyperlink" xfId="1946" builtinId="8" hidden="1"/>
    <cellStyle name="Hyperlink" xfId="1948" builtinId="8" hidden="1"/>
    <cellStyle name="Hyperlink" xfId="1950" builtinId="8" hidden="1"/>
    <cellStyle name="Hyperlink" xfId="1952" builtinId="8" hidden="1"/>
    <cellStyle name="Hyperlink" xfId="1954" builtinId="8" hidden="1"/>
    <cellStyle name="Hyperlink" xfId="1956" builtinId="8" hidden="1"/>
    <cellStyle name="Hyperlink" xfId="1958" builtinId="8" hidden="1"/>
    <cellStyle name="Hyperlink" xfId="1960" builtinId="8" hidden="1"/>
    <cellStyle name="Hyperlink" xfId="1962" builtinId="8" hidden="1"/>
    <cellStyle name="Hyperlink" xfId="1964" builtinId="8" hidden="1"/>
    <cellStyle name="Hyperlink" xfId="1966" builtinId="8" hidden="1"/>
    <cellStyle name="Hyperlink" xfId="1968" builtinId="8" hidden="1"/>
    <cellStyle name="Hyperlink" xfId="1970" builtinId="8" hidden="1"/>
    <cellStyle name="Hyperlink" xfId="1972" builtinId="8" hidden="1"/>
    <cellStyle name="Hyperlink" xfId="1974" builtinId="8" hidden="1"/>
    <cellStyle name="Hyperlink" xfId="1976" builtinId="8" hidden="1"/>
    <cellStyle name="Hyperlink" xfId="1978" builtinId="8" hidden="1"/>
    <cellStyle name="Hyperlink" xfId="1980" builtinId="8" hidden="1"/>
    <cellStyle name="Hyperlink" xfId="1982" builtinId="8" hidden="1"/>
    <cellStyle name="Hyperlink" xfId="1984" builtinId="8" hidden="1"/>
    <cellStyle name="Hyperlink" xfId="1986" builtinId="8" hidden="1"/>
    <cellStyle name="Hyperlink" xfId="1988" builtinId="8" hidden="1"/>
    <cellStyle name="Hyperlink" xfId="1990" builtinId="8" hidden="1"/>
    <cellStyle name="Hyperlink" xfId="1992" builtinId="8" hidden="1"/>
    <cellStyle name="Hyperlink" xfId="1994" builtinId="8" hidden="1"/>
    <cellStyle name="Hyperlink" xfId="1996" builtinId="8" hidden="1"/>
    <cellStyle name="Hyperlink" xfId="1998" builtinId="8" hidden="1"/>
    <cellStyle name="Hyperlink" xfId="2000" builtinId="8" hidden="1"/>
    <cellStyle name="Hyperlink" xfId="2002" builtinId="8" hidden="1"/>
    <cellStyle name="Hyperlink" xfId="2004" builtinId="8" hidden="1"/>
    <cellStyle name="Hyperlink" xfId="2006" builtinId="8" hidden="1"/>
    <cellStyle name="Hyperlink" xfId="2008" builtinId="8" hidden="1"/>
    <cellStyle name="Hyperlink" xfId="2010" builtinId="8" hidden="1"/>
    <cellStyle name="Hyperlink" xfId="2012" builtinId="8" hidden="1"/>
    <cellStyle name="Hyperlink" xfId="2014" builtinId="8" hidden="1"/>
    <cellStyle name="Hyperlink" xfId="2016" builtinId="8" hidden="1"/>
    <cellStyle name="Hyperlink" xfId="2018" builtinId="8" hidden="1"/>
    <cellStyle name="Hyperlink" xfId="2020" builtinId="8" hidden="1"/>
    <cellStyle name="Hyperlink" xfId="2022" builtinId="8" hidden="1"/>
    <cellStyle name="Hyperlink" xfId="2024" builtinId="8" hidden="1"/>
    <cellStyle name="Hyperlink" xfId="2026" builtinId="8" hidden="1"/>
    <cellStyle name="Hyperlink" xfId="2028" builtinId="8" hidden="1"/>
    <cellStyle name="Hyperlink" xfId="2030" builtinId="8" hidden="1"/>
    <cellStyle name="Hyperlink" xfId="2032" builtinId="8" hidden="1"/>
    <cellStyle name="Hyperlink" xfId="2034" builtinId="8" hidden="1"/>
    <cellStyle name="Hyperlink" xfId="2036" builtinId="8" hidden="1"/>
    <cellStyle name="Hyperlink" xfId="2038" builtinId="8" hidden="1"/>
    <cellStyle name="Hyperlink" xfId="2040" builtinId="8" hidden="1"/>
    <cellStyle name="Hyperlink" xfId="2042" builtinId="8" hidden="1"/>
    <cellStyle name="Hyperlink" xfId="2044" builtinId="8" hidden="1"/>
    <cellStyle name="Hyperlink" xfId="2046" builtinId="8" hidden="1"/>
    <cellStyle name="Hyperlink" xfId="2048" builtinId="8" hidden="1"/>
    <cellStyle name="Hyperlink" xfId="2050" builtinId="8" hidden="1"/>
    <cellStyle name="Hyperlink" xfId="2052" builtinId="8" hidden="1"/>
    <cellStyle name="Hyperlink" xfId="2054" builtinId="8" hidden="1"/>
    <cellStyle name="Hyperlink" xfId="2056" builtinId="8" hidden="1"/>
    <cellStyle name="Hyperlink" xfId="2058" builtinId="8" hidden="1"/>
    <cellStyle name="Hyperlink" xfId="2060" builtinId="8" hidden="1"/>
    <cellStyle name="Hyperlink" xfId="2062" builtinId="8" hidden="1"/>
    <cellStyle name="Hyperlink" xfId="2064" builtinId="8" hidden="1"/>
    <cellStyle name="Hyperlink" xfId="2066" builtinId="8" hidden="1"/>
    <cellStyle name="Hyperlink" xfId="2068" builtinId="8" hidden="1"/>
    <cellStyle name="Hyperlink" xfId="2070" builtinId="8" hidden="1"/>
    <cellStyle name="Hyperlink" xfId="2072" builtinId="8" hidden="1"/>
    <cellStyle name="Hyperlink" xfId="2074" builtinId="8" hidden="1"/>
    <cellStyle name="Hyperlink" xfId="2076" builtinId="8" hidden="1"/>
    <cellStyle name="Hyperlink" xfId="2078" builtinId="8" hidden="1"/>
    <cellStyle name="Hyperlink" xfId="2080" builtinId="8" hidden="1"/>
    <cellStyle name="Hyperlink" xfId="2082" builtinId="8" hidden="1"/>
    <cellStyle name="Hyperlink" xfId="2084" builtinId="8" hidden="1"/>
    <cellStyle name="Hyperlink" xfId="2086" builtinId="8" hidden="1"/>
    <cellStyle name="Hyperlink" xfId="2088" builtinId="8" hidden="1"/>
    <cellStyle name="Hyperlink" xfId="2090" builtinId="8" hidden="1"/>
    <cellStyle name="Hyperlink" xfId="2092" builtinId="8" hidden="1"/>
    <cellStyle name="Hyperlink" xfId="2094" builtinId="8" hidden="1"/>
    <cellStyle name="Hyperlink" xfId="2096" builtinId="8" hidden="1"/>
    <cellStyle name="Hyperlink" xfId="2098" builtinId="8" hidden="1"/>
    <cellStyle name="Hyperlink" xfId="2100" builtinId="8" hidden="1"/>
    <cellStyle name="Hyperlink" xfId="2102" builtinId="8" hidden="1"/>
    <cellStyle name="Hyperlink" xfId="2104" builtinId="8" hidden="1"/>
    <cellStyle name="Hyperlink" xfId="2106" builtinId="8" hidden="1"/>
    <cellStyle name="Hyperlink" xfId="2108" builtinId="8" hidden="1"/>
    <cellStyle name="Hyperlink" xfId="2110" builtinId="8" hidden="1"/>
    <cellStyle name="Hyperlink" xfId="2112" builtinId="8" hidden="1"/>
    <cellStyle name="Hyperlink" xfId="2114" builtinId="8" hidden="1"/>
    <cellStyle name="Hyperlink" xfId="2116" builtinId="8" hidden="1"/>
    <cellStyle name="Hyperlink" xfId="2118" builtinId="8" hidden="1"/>
    <cellStyle name="Hyperlink" xfId="2120" builtinId="8" hidden="1"/>
    <cellStyle name="Hyperlink" xfId="2122" builtinId="8" hidden="1"/>
    <cellStyle name="Hyperlink" xfId="2124" builtinId="8" hidden="1"/>
    <cellStyle name="Hyperlink" xfId="2126" builtinId="8" hidden="1"/>
    <cellStyle name="Hyperlink" xfId="2128" builtinId="8" hidden="1"/>
    <cellStyle name="Hyperlink" xfId="2130" builtinId="8" hidden="1"/>
    <cellStyle name="Hyperlink" xfId="2132" builtinId="8" hidden="1"/>
    <cellStyle name="Hyperlink" xfId="2134" builtinId="8" hidden="1"/>
    <cellStyle name="Hyperlink" xfId="2136" builtinId="8" hidden="1"/>
    <cellStyle name="Hyperlink" xfId="2138" builtinId="8" hidden="1"/>
    <cellStyle name="Hyperlink" xfId="2140" builtinId="8" hidden="1"/>
    <cellStyle name="Hyperlink" xfId="2142" builtinId="8" hidden="1"/>
    <cellStyle name="Hyperlink" xfId="2144" builtinId="8" hidden="1"/>
    <cellStyle name="Hyperlink" xfId="2146" builtinId="8" hidden="1"/>
    <cellStyle name="Hyperlink" xfId="2148" builtinId="8" hidden="1"/>
    <cellStyle name="Hyperlink" xfId="2150" builtinId="8" hidden="1"/>
    <cellStyle name="Hyperlink" xfId="2152" builtinId="8" hidden="1"/>
    <cellStyle name="Hyperlink" xfId="2154" builtinId="8" hidden="1"/>
    <cellStyle name="Hyperlink" xfId="2156" builtinId="8" hidden="1"/>
    <cellStyle name="Hyperlink" xfId="2158" builtinId="8" hidden="1"/>
    <cellStyle name="Hyperlink" xfId="2160" builtinId="8" hidden="1"/>
    <cellStyle name="Hyperlink" xfId="2162" builtinId="8" hidden="1"/>
    <cellStyle name="Hyperlink" xfId="2164" builtinId="8" hidden="1"/>
    <cellStyle name="Hyperlink" xfId="2166" builtinId="8" hidden="1"/>
    <cellStyle name="Hyperlink" xfId="2168" builtinId="8" hidden="1"/>
    <cellStyle name="Hyperlink" xfId="2170" builtinId="8" hidden="1"/>
    <cellStyle name="Hyperlink" xfId="2172" builtinId="8" hidden="1"/>
    <cellStyle name="Hyperlink" xfId="2174" builtinId="8" hidden="1"/>
    <cellStyle name="Hyperlink" xfId="2176" builtinId="8" hidden="1"/>
    <cellStyle name="Hyperlink" xfId="2178" builtinId="8" hidden="1"/>
    <cellStyle name="Hyperlink" xfId="2180" builtinId="8" hidden="1"/>
    <cellStyle name="Hyperlink" xfId="2182" builtinId="8" hidden="1"/>
    <cellStyle name="Hyperlink" xfId="2184" builtinId="8" hidden="1"/>
    <cellStyle name="Hyperlink" xfId="2186" builtinId="8" hidden="1"/>
    <cellStyle name="Hyperlink" xfId="2188" builtinId="8" hidden="1"/>
    <cellStyle name="Hyperlink" xfId="2190" builtinId="8" hidden="1"/>
    <cellStyle name="Hyperlink" xfId="2192" builtinId="8" hidden="1"/>
    <cellStyle name="Hyperlink" xfId="2194" builtinId="8" hidden="1"/>
    <cellStyle name="Hyperlink" xfId="2196" builtinId="8" hidden="1"/>
    <cellStyle name="Hyperlink" xfId="2198" builtinId="8" hidden="1"/>
    <cellStyle name="Hyperlink" xfId="2200" builtinId="8" hidden="1"/>
    <cellStyle name="Hyperlink" xfId="2202" builtinId="8" hidden="1"/>
    <cellStyle name="Hyperlink" xfId="2204" builtinId="8" hidden="1"/>
    <cellStyle name="Hyperlink" xfId="2206" builtinId="8" hidden="1"/>
    <cellStyle name="Hyperlink" xfId="2208" builtinId="8" hidden="1"/>
    <cellStyle name="Hyperlink" xfId="2210" builtinId="8" hidden="1"/>
    <cellStyle name="Hyperlink" xfId="2212" builtinId="8" hidden="1"/>
    <cellStyle name="Hyperlink" xfId="2214" builtinId="8" hidden="1"/>
    <cellStyle name="Hyperlink" xfId="2216" builtinId="8" hidden="1"/>
    <cellStyle name="Hyperlink" xfId="2218" builtinId="8" hidden="1"/>
    <cellStyle name="Hyperlink" xfId="2220" builtinId="8" hidden="1"/>
    <cellStyle name="Hyperlink" xfId="2222" builtinId="8" hidden="1"/>
    <cellStyle name="Hyperlink" xfId="2224" builtinId="8" hidden="1"/>
    <cellStyle name="Hyperlink" xfId="2226" builtinId="8" hidden="1"/>
    <cellStyle name="Hyperlink" xfId="2228" builtinId="8" hidden="1"/>
    <cellStyle name="Hyperlink" xfId="2230" builtinId="8" hidden="1"/>
    <cellStyle name="Hyperlink" xfId="2232" builtinId="8" hidden="1"/>
    <cellStyle name="Hyperlink" xfId="2234" builtinId="8" hidden="1"/>
    <cellStyle name="Hyperlink" xfId="2236" builtinId="8" hidden="1"/>
    <cellStyle name="Hyperlink" xfId="2238" builtinId="8" hidden="1"/>
    <cellStyle name="Hyperlink" xfId="2240" builtinId="8" hidden="1"/>
    <cellStyle name="Hyperlink" xfId="2242" builtinId="8" hidden="1"/>
    <cellStyle name="Hyperlink" xfId="2244" builtinId="8" hidden="1"/>
    <cellStyle name="Hyperlink" xfId="2246" builtinId="8" hidden="1"/>
    <cellStyle name="Hyperlink" xfId="2248" builtinId="8" hidden="1"/>
    <cellStyle name="Hyperlink" xfId="2250" builtinId="8" hidden="1"/>
    <cellStyle name="Hyperlink" xfId="2252" builtinId="8" hidden="1"/>
    <cellStyle name="Hyperlink" xfId="2254" builtinId="8" hidden="1"/>
    <cellStyle name="Hyperlink" xfId="2256" builtinId="8" hidden="1"/>
    <cellStyle name="Hyperlink" xfId="2258" builtinId="8" hidden="1"/>
    <cellStyle name="Hyperlink" xfId="2260" builtinId="8" hidden="1"/>
    <cellStyle name="Hyperlink" xfId="2262" builtinId="8" hidden="1"/>
    <cellStyle name="Hyperlink" xfId="2264" builtinId="8" hidden="1"/>
    <cellStyle name="Hyperlink" xfId="2266" builtinId="8" hidden="1"/>
    <cellStyle name="Hyperlink" xfId="2268" builtinId="8" hidden="1"/>
    <cellStyle name="Hyperlink" xfId="2270" builtinId="8" hidden="1"/>
    <cellStyle name="Hyperlink" xfId="2272" builtinId="8" hidden="1"/>
    <cellStyle name="Hyperlink" xfId="2274" builtinId="8" hidden="1"/>
    <cellStyle name="Hyperlink" xfId="2276" builtinId="8" hidden="1"/>
    <cellStyle name="Hyperlink" xfId="2278" builtinId="8" hidden="1"/>
    <cellStyle name="Hyperlink" xfId="2280" builtinId="8" hidden="1"/>
    <cellStyle name="Hyperlink" xfId="2282" builtinId="8" hidden="1"/>
    <cellStyle name="Hyperlink" xfId="2284" builtinId="8" hidden="1"/>
    <cellStyle name="Hyperlink" xfId="2286" builtinId="8" hidden="1"/>
    <cellStyle name="Hyperlink" xfId="2288" builtinId="8" hidden="1"/>
    <cellStyle name="Hyperlink" xfId="2290" builtinId="8" hidden="1"/>
    <cellStyle name="Hyperlink" xfId="2292" builtinId="8" hidden="1"/>
    <cellStyle name="Hyperlink" xfId="2294" builtinId="8" hidden="1"/>
    <cellStyle name="Hyperlink" xfId="2296" builtinId="8" hidden="1"/>
    <cellStyle name="Hyperlink" xfId="2298" builtinId="8" hidden="1"/>
    <cellStyle name="Hyperlink" xfId="2300" builtinId="8" hidden="1"/>
    <cellStyle name="Hyperlink" xfId="2302" builtinId="8" hidden="1"/>
    <cellStyle name="Hyperlink" xfId="2304" builtinId="8" hidden="1"/>
    <cellStyle name="Hyperlink" xfId="2306" builtinId="8" hidden="1"/>
    <cellStyle name="Hyperlink" xfId="2308" builtinId="8" hidden="1"/>
    <cellStyle name="Hyperlink" xfId="2310" builtinId="8" hidden="1"/>
    <cellStyle name="Hyperlink" xfId="2312" builtinId="8" hidden="1"/>
    <cellStyle name="Hyperlink" xfId="2314" builtinId="8" hidden="1"/>
    <cellStyle name="Hyperlink" xfId="2316" builtinId="8" hidden="1"/>
    <cellStyle name="Hyperlink" xfId="2318" builtinId="8" hidden="1"/>
    <cellStyle name="Hyperlink" xfId="2320" builtinId="8" hidden="1"/>
    <cellStyle name="Hyperlink" xfId="2322" builtinId="8" hidden="1"/>
    <cellStyle name="Hyperlink" xfId="2324" builtinId="8" hidden="1"/>
    <cellStyle name="Hyperlink" xfId="2326" builtinId="8" hidden="1"/>
    <cellStyle name="Hyperlink" xfId="2328" builtinId="8" hidden="1"/>
    <cellStyle name="Hyperlink" xfId="2330" builtinId="8" hidden="1"/>
    <cellStyle name="Hyperlink" xfId="2332" builtinId="8" hidden="1"/>
    <cellStyle name="Hyperlink" xfId="2334" builtinId="8" hidden="1"/>
    <cellStyle name="Hyperlink" xfId="2336" builtinId="8" hidden="1"/>
    <cellStyle name="Hyperlink" xfId="2338" builtinId="8" hidden="1"/>
    <cellStyle name="Hyperlink" xfId="2340" builtinId="8" hidden="1"/>
    <cellStyle name="Hyperlink" xfId="2342" builtinId="8" hidden="1"/>
    <cellStyle name="Hyperlink" xfId="2344" builtinId="8" hidden="1"/>
    <cellStyle name="Hyperlink" xfId="2346" builtinId="8" hidden="1"/>
    <cellStyle name="Hyperlink" xfId="2348" builtinId="8" hidden="1"/>
    <cellStyle name="Hyperlink" xfId="2350" builtinId="8" hidden="1"/>
    <cellStyle name="Hyperlink" xfId="2352" builtinId="8" hidden="1"/>
    <cellStyle name="Hyperlink" xfId="2354" builtinId="8" hidden="1"/>
    <cellStyle name="Hyperlink" xfId="2356" builtinId="8" hidden="1"/>
    <cellStyle name="Hyperlink" xfId="2358" builtinId="8" hidden="1"/>
    <cellStyle name="Hyperlink" xfId="2360" builtinId="8" hidden="1"/>
    <cellStyle name="Hyperlink" xfId="2362" builtinId="8" hidden="1"/>
    <cellStyle name="Hyperlink" xfId="2364" builtinId="8" hidden="1"/>
    <cellStyle name="Hyperlink" xfId="2366" builtinId="8" hidden="1"/>
    <cellStyle name="Hyperlink" xfId="2368" builtinId="8" hidden="1"/>
    <cellStyle name="Hyperlink" xfId="2370" builtinId="8" hidden="1"/>
    <cellStyle name="Hyperlink" xfId="2372" builtinId="8" hidden="1"/>
    <cellStyle name="Hyperlink" xfId="2374" builtinId="8" hidden="1"/>
    <cellStyle name="Hyperlink" xfId="2376" builtinId="8" hidden="1"/>
    <cellStyle name="Hyperlink" xfId="2378" builtinId="8" hidden="1"/>
    <cellStyle name="Hyperlink" xfId="2380" builtinId="8" hidden="1"/>
    <cellStyle name="Hyperlink" xfId="2382" builtinId="8" hidden="1"/>
    <cellStyle name="Hyperlink" xfId="2384" builtinId="8" hidden="1"/>
    <cellStyle name="Hyperlink" xfId="2386" builtinId="8" hidden="1"/>
    <cellStyle name="Hyperlink" xfId="2388" builtinId="8" hidden="1"/>
    <cellStyle name="Hyperlink" xfId="2390" builtinId="8" hidden="1"/>
    <cellStyle name="Hyperlink" xfId="2392" builtinId="8" hidden="1"/>
    <cellStyle name="Hyperlink" xfId="2394" builtinId="8" hidden="1"/>
    <cellStyle name="Hyperlink" xfId="2396" builtinId="8" hidden="1"/>
    <cellStyle name="Hyperlink" xfId="2398" builtinId="8" hidden="1"/>
    <cellStyle name="Hyperlink" xfId="2400" builtinId="8" hidden="1"/>
    <cellStyle name="Hyperlink" xfId="2402" builtinId="8" hidden="1"/>
    <cellStyle name="Hyperlink" xfId="2404" builtinId="8" hidden="1"/>
    <cellStyle name="Hyperlink" xfId="2406" builtinId="8" hidden="1"/>
    <cellStyle name="Hyperlink" xfId="2408" builtinId="8" hidden="1"/>
    <cellStyle name="Hyperlink" xfId="2410" builtinId="8" hidden="1"/>
    <cellStyle name="Hyperlink" xfId="2412" builtinId="8" hidden="1"/>
    <cellStyle name="Hyperlink" xfId="2414" builtinId="8" hidden="1"/>
    <cellStyle name="Hyperlink" xfId="2416" builtinId="8" hidden="1"/>
    <cellStyle name="Hyperlink" xfId="2418" builtinId="8" hidden="1"/>
    <cellStyle name="Hyperlink" xfId="2420" builtinId="8" hidden="1"/>
    <cellStyle name="Hyperlink" xfId="2422" builtinId="8" hidden="1"/>
    <cellStyle name="Hyperlink" xfId="2424" builtinId="8" hidden="1"/>
    <cellStyle name="Hyperlink" xfId="2426" builtinId="8" hidden="1"/>
    <cellStyle name="Hyperlink" xfId="2428" builtinId="8" hidden="1"/>
    <cellStyle name="Hyperlink" xfId="2430" builtinId="8" hidden="1"/>
    <cellStyle name="Hyperlink" xfId="2432" builtinId="8" hidden="1"/>
    <cellStyle name="Hyperlink" xfId="2434" builtinId="8" hidden="1"/>
    <cellStyle name="Hyperlink" xfId="2436" builtinId="8" hidden="1"/>
    <cellStyle name="Hyperlink" xfId="2438" builtinId="8" hidden="1"/>
    <cellStyle name="Hyperlink" xfId="2440" builtinId="8" hidden="1"/>
    <cellStyle name="Hyperlink" xfId="2442" builtinId="8" hidden="1"/>
    <cellStyle name="Hyperlink" xfId="2444" builtinId="8" hidden="1"/>
    <cellStyle name="Hyperlink" xfId="2446" builtinId="8" hidden="1"/>
    <cellStyle name="Hyperlink" xfId="2448" builtinId="8" hidden="1"/>
    <cellStyle name="Hyperlink" xfId="2450" builtinId="8" hidden="1"/>
    <cellStyle name="Hyperlink" xfId="2452" builtinId="8" hidden="1"/>
    <cellStyle name="Hyperlink" xfId="2454" builtinId="8" hidden="1"/>
    <cellStyle name="Hyperlink" xfId="2456" builtinId="8" hidden="1"/>
    <cellStyle name="Hyperlink" xfId="2458" builtinId="8" hidden="1"/>
    <cellStyle name="Hyperlink" xfId="2460" builtinId="8" hidden="1"/>
    <cellStyle name="Hyperlink" xfId="2462" builtinId="8" hidden="1"/>
    <cellStyle name="Hyperlink" xfId="2464" builtinId="8" hidden="1"/>
    <cellStyle name="Hyperlink" xfId="2466" builtinId="8" hidden="1"/>
    <cellStyle name="Hyperlink" xfId="2468" builtinId="8" hidden="1"/>
    <cellStyle name="Hyperlink" xfId="2470" builtinId="8" hidden="1"/>
    <cellStyle name="Hyperlink" xfId="2472" builtinId="8" hidden="1"/>
    <cellStyle name="Hyperlink" xfId="2474" builtinId="8" hidden="1"/>
    <cellStyle name="Hyperlink" xfId="2476" builtinId="8" hidden="1"/>
    <cellStyle name="Hyperlink" xfId="2478" builtinId="8" hidden="1"/>
    <cellStyle name="Hyperlink" xfId="2480" builtinId="8" hidden="1"/>
    <cellStyle name="Hyperlink" xfId="2482" builtinId="8" hidden="1"/>
    <cellStyle name="Hyperlink" xfId="2484" builtinId="8" hidden="1"/>
    <cellStyle name="Hyperlink" xfId="2486" builtinId="8" hidden="1"/>
    <cellStyle name="Hyperlink" xfId="2488" builtinId="8" hidden="1"/>
    <cellStyle name="Hyperlink" xfId="2490" builtinId="8" hidden="1"/>
    <cellStyle name="Hyperlink" xfId="2492" builtinId="8" hidden="1"/>
    <cellStyle name="Hyperlink" xfId="2494" builtinId="8" hidden="1"/>
    <cellStyle name="Hyperlink" xfId="2496" builtinId="8" hidden="1"/>
    <cellStyle name="Hyperlink" xfId="2498" builtinId="8" hidden="1"/>
    <cellStyle name="Hyperlink" xfId="2500" builtinId="8" hidden="1"/>
    <cellStyle name="Hyperlink" xfId="2502" builtinId="8" hidden="1"/>
    <cellStyle name="Hyperlink" xfId="2504" builtinId="8" hidden="1"/>
    <cellStyle name="Hyperlink" xfId="2506" builtinId="8" hidden="1"/>
    <cellStyle name="Hyperlink" xfId="2508" builtinId="8" hidden="1"/>
    <cellStyle name="Hyperlink" xfId="2510" builtinId="8" hidden="1"/>
    <cellStyle name="Hyperlink" xfId="2512" builtinId="8" hidden="1"/>
    <cellStyle name="Hyperlink" xfId="2514" builtinId="8" hidden="1"/>
    <cellStyle name="Hyperlink" xfId="2516" builtinId="8" hidden="1"/>
    <cellStyle name="Hyperlink" xfId="2518" builtinId="8" hidden="1"/>
    <cellStyle name="Hyperlink" xfId="2520" builtinId="8" hidden="1"/>
    <cellStyle name="Hyperlink" xfId="2522" builtinId="8" hidden="1"/>
    <cellStyle name="Hyperlink" xfId="2524" builtinId="8" hidden="1"/>
    <cellStyle name="Hyperlink" xfId="2526" builtinId="8" hidden="1"/>
    <cellStyle name="Hyperlink" xfId="2528" builtinId="8" hidden="1"/>
    <cellStyle name="Hyperlink" xfId="2530" builtinId="8" hidden="1"/>
    <cellStyle name="Hyperlink" xfId="2532" builtinId="8" hidden="1"/>
    <cellStyle name="Hyperlink" xfId="2534" builtinId="8" hidden="1"/>
    <cellStyle name="Hyperlink" xfId="2536" builtinId="8" hidden="1"/>
    <cellStyle name="Hyperlink" xfId="2538" builtinId="8" hidden="1"/>
    <cellStyle name="Hyperlink" xfId="2540" builtinId="8" hidden="1"/>
    <cellStyle name="Hyperlink" xfId="2542" builtinId="8" hidden="1"/>
    <cellStyle name="Hyperlink" xfId="2544" builtinId="8" hidden="1"/>
    <cellStyle name="Hyperlink" xfId="2546" builtinId="8" hidden="1"/>
    <cellStyle name="Hyperlink" xfId="2548" builtinId="8" hidden="1"/>
    <cellStyle name="Hyperlink" xfId="2550" builtinId="8" hidden="1"/>
    <cellStyle name="Hyperlink" xfId="2552" builtinId="8" hidden="1"/>
    <cellStyle name="Hyperlink" xfId="2554" builtinId="8" hidden="1"/>
    <cellStyle name="Hyperlink" xfId="2556" builtinId="8" hidden="1"/>
    <cellStyle name="Hyperlink" xfId="2558" builtinId="8" hidden="1"/>
    <cellStyle name="Hyperlink" xfId="2560" builtinId="8" hidden="1"/>
    <cellStyle name="Hyperlink" xfId="2562" builtinId="8" hidden="1"/>
    <cellStyle name="Hyperlink" xfId="2564" builtinId="8" hidden="1"/>
    <cellStyle name="Hyperlink" xfId="2566" builtinId="8" hidden="1"/>
    <cellStyle name="Hyperlink" xfId="2568" builtinId="8" hidden="1"/>
    <cellStyle name="Hyperlink" xfId="2570" builtinId="8" hidden="1"/>
    <cellStyle name="Hyperlink" xfId="2572" builtinId="8" hidden="1"/>
    <cellStyle name="Hyperlink" xfId="2574" builtinId="8" hidden="1"/>
    <cellStyle name="Hyperlink" xfId="2576" builtinId="8" hidden="1"/>
    <cellStyle name="Hyperlink" xfId="2578" builtinId="8" hidden="1"/>
    <cellStyle name="Hyperlink" xfId="2580" builtinId="8" hidden="1"/>
    <cellStyle name="Hyperlink" xfId="2582" builtinId="8" hidden="1"/>
    <cellStyle name="Hyperlink" xfId="2584" builtinId="8" hidden="1"/>
    <cellStyle name="Hyperlink" xfId="2586" builtinId="8" hidden="1"/>
    <cellStyle name="Hyperlink" xfId="2588" builtinId="8" hidden="1"/>
    <cellStyle name="Hyperlink" xfId="2590" builtinId="8" hidden="1"/>
    <cellStyle name="Hyperlink" xfId="2592" builtinId="8" hidden="1"/>
    <cellStyle name="Hyperlink" xfId="2594" builtinId="8" hidden="1"/>
    <cellStyle name="Hyperlink" xfId="2596" builtinId="8" hidden="1"/>
    <cellStyle name="Hyperlink" xfId="2598" builtinId="8" hidden="1"/>
    <cellStyle name="Hyperlink" xfId="2600" builtinId="8" hidden="1"/>
    <cellStyle name="Hyperlink" xfId="2602" builtinId="8" hidden="1"/>
    <cellStyle name="Hyperlink" xfId="2604" builtinId="8" hidden="1"/>
    <cellStyle name="Hyperlink" xfId="2606" builtinId="8" hidden="1"/>
    <cellStyle name="Hyperlink" xfId="2608" builtinId="8" hidden="1"/>
    <cellStyle name="Hyperlink" xfId="2610" builtinId="8" hidden="1"/>
    <cellStyle name="Hyperlink" xfId="2612" builtinId="8" hidden="1"/>
    <cellStyle name="Hyperlink" xfId="2614" builtinId="8" hidden="1"/>
    <cellStyle name="Hyperlink" xfId="2616" builtinId="8" hidden="1"/>
    <cellStyle name="Hyperlink" xfId="2618" builtinId="8" hidden="1"/>
    <cellStyle name="Hyperlink" xfId="2620" builtinId="8" hidden="1"/>
    <cellStyle name="Hyperlink" xfId="2622" builtinId="8" hidden="1"/>
    <cellStyle name="Hyperlink" xfId="2624" builtinId="8" hidden="1"/>
    <cellStyle name="Hyperlink" xfId="2626" builtinId="8" hidden="1"/>
    <cellStyle name="Hyperlink" xfId="2628" builtinId="8" hidden="1"/>
    <cellStyle name="Hyperlink" xfId="2630" builtinId="8" hidden="1"/>
    <cellStyle name="Hyperlink" xfId="2632" builtinId="8" hidden="1"/>
    <cellStyle name="Hyperlink" xfId="2634" builtinId="8" hidden="1"/>
    <cellStyle name="Hyperlink" xfId="2636" builtinId="8" hidden="1"/>
    <cellStyle name="Hyperlink" xfId="2638" builtinId="8" hidden="1"/>
    <cellStyle name="Hyperlink" xfId="2640" builtinId="8" hidden="1"/>
    <cellStyle name="Hyperlink" xfId="2642" builtinId="8" hidden="1"/>
    <cellStyle name="Hyperlink" xfId="2644" builtinId="8" hidden="1"/>
    <cellStyle name="Hyperlink" xfId="2646" builtinId="8" hidden="1"/>
    <cellStyle name="Hyperlink" xfId="2648" builtinId="8" hidden="1"/>
    <cellStyle name="Hyperlink" xfId="2650" builtinId="8" hidden="1"/>
    <cellStyle name="Hyperlink" xfId="2652" builtinId="8" hidden="1"/>
    <cellStyle name="Hyperlink" xfId="2654" builtinId="8" hidden="1"/>
    <cellStyle name="Hyperlink" xfId="2656" builtinId="8" hidden="1"/>
    <cellStyle name="Hyperlink" xfId="2658" builtinId="8" hidden="1"/>
    <cellStyle name="Hyperlink" xfId="2660" builtinId="8" hidden="1"/>
    <cellStyle name="Hyperlink" xfId="2662" builtinId="8" hidden="1"/>
    <cellStyle name="Hyperlink" xfId="2664" builtinId="8" hidden="1"/>
    <cellStyle name="Hyperlink" xfId="2666" builtinId="8" hidden="1"/>
    <cellStyle name="Hyperlink" xfId="2668" builtinId="8" hidden="1"/>
    <cellStyle name="Hyperlink" xfId="2670" builtinId="8" hidden="1"/>
    <cellStyle name="Hyperlink" xfId="2672" builtinId="8" hidden="1"/>
    <cellStyle name="Hyperlink" xfId="2674" builtinId="8" hidden="1"/>
    <cellStyle name="Hyperlink" xfId="2676" builtinId="8" hidden="1"/>
    <cellStyle name="Hyperlink" xfId="2678" builtinId="8" hidden="1"/>
    <cellStyle name="Hyperlink" xfId="2680" builtinId="8" hidden="1"/>
    <cellStyle name="Hyperlink" xfId="2682" builtinId="8" hidden="1"/>
    <cellStyle name="Hyperlink" xfId="2684" builtinId="8" hidden="1"/>
    <cellStyle name="Hyperlink" xfId="2686" builtinId="8" hidden="1"/>
    <cellStyle name="Hyperlink" xfId="2688" builtinId="8" hidden="1"/>
    <cellStyle name="Hyperlink" xfId="2690" builtinId="8" hidden="1"/>
    <cellStyle name="Hyperlink" xfId="2692" builtinId="8" hidden="1"/>
    <cellStyle name="Hyperlink" xfId="2694" builtinId="8" hidden="1"/>
    <cellStyle name="Hyperlink" xfId="2696" builtinId="8" hidden="1"/>
    <cellStyle name="Hyperlink" xfId="2698" builtinId="8" hidden="1"/>
    <cellStyle name="Hyperlink" xfId="2700" builtinId="8" hidden="1"/>
    <cellStyle name="Hyperlink" xfId="2702" builtinId="8" hidden="1"/>
    <cellStyle name="Hyperlink" xfId="2704" builtinId="8" hidden="1"/>
    <cellStyle name="Hyperlink" xfId="2706" builtinId="8" hidden="1"/>
    <cellStyle name="Hyperlink" xfId="2708" builtinId="8" hidden="1"/>
    <cellStyle name="Hyperlink" xfId="2710" builtinId="8" hidden="1"/>
    <cellStyle name="Hyperlink" xfId="2712" builtinId="8" hidden="1"/>
    <cellStyle name="Hyperlink" xfId="2714" builtinId="8" hidden="1"/>
    <cellStyle name="Hyperlink" xfId="2716" builtinId="8" hidden="1"/>
    <cellStyle name="Hyperlink" xfId="2718" builtinId="8" hidden="1"/>
    <cellStyle name="Hyperlink" xfId="2720" builtinId="8" hidden="1"/>
    <cellStyle name="Hyperlink" xfId="2722" builtinId="8" hidden="1"/>
    <cellStyle name="Hyperlink" xfId="2724" builtinId="8" hidden="1"/>
    <cellStyle name="Hyperlink" xfId="2726" builtinId="8" hidden="1"/>
    <cellStyle name="Hyperlink" xfId="2728" builtinId="8" hidden="1"/>
    <cellStyle name="Hyperlink" xfId="2730" builtinId="8" hidden="1"/>
    <cellStyle name="Hyperlink" xfId="2732" builtinId="8" hidden="1"/>
    <cellStyle name="Hyperlink" xfId="2734" builtinId="8" hidden="1"/>
    <cellStyle name="Hyperlink" xfId="2736" builtinId="8" hidden="1"/>
    <cellStyle name="Hyperlink" xfId="2738" builtinId="8" hidden="1"/>
    <cellStyle name="Hyperlink" xfId="2740" builtinId="8" hidden="1"/>
    <cellStyle name="Hyperlink" xfId="2742" builtinId="8" hidden="1"/>
    <cellStyle name="Hyperlink" xfId="2744" builtinId="8" hidden="1"/>
    <cellStyle name="Hyperlink" xfId="2746" builtinId="8" hidden="1"/>
    <cellStyle name="Hyperlink" xfId="2748" builtinId="8" hidden="1"/>
    <cellStyle name="Hyperlink" xfId="2750" builtinId="8" hidden="1"/>
    <cellStyle name="Hyperlink" xfId="2752" builtinId="8" hidden="1"/>
    <cellStyle name="Hyperlink" xfId="2754" builtinId="8" hidden="1"/>
    <cellStyle name="Hyperlink" xfId="2756" builtinId="8" hidden="1"/>
    <cellStyle name="Hyperlink" xfId="2758" builtinId="8" hidden="1"/>
    <cellStyle name="Hyperlink" xfId="2760" builtinId="8" hidden="1"/>
    <cellStyle name="Hyperlink" xfId="2762" builtinId="8" hidden="1"/>
    <cellStyle name="Hyperlink" xfId="2764" builtinId="8" hidden="1"/>
    <cellStyle name="Hyperlink" xfId="2766" builtinId="8" hidden="1"/>
    <cellStyle name="Hyperlink" xfId="2768" builtinId="8" hidden="1"/>
    <cellStyle name="Hyperlink" xfId="2770" builtinId="8" hidden="1"/>
    <cellStyle name="Hyperlink" xfId="2772" builtinId="8" hidden="1"/>
    <cellStyle name="Hyperlink" xfId="2774" builtinId="8" hidden="1"/>
    <cellStyle name="Hyperlink" xfId="2776" builtinId="8" hidden="1"/>
    <cellStyle name="Hyperlink" xfId="2778" builtinId="8" hidden="1"/>
    <cellStyle name="Hyperlink" xfId="2780" builtinId="8" hidden="1"/>
    <cellStyle name="Hyperlink" xfId="2782" builtinId="8" hidden="1"/>
    <cellStyle name="Hyperlink" xfId="2784" builtinId="8" hidden="1"/>
    <cellStyle name="Hyperlink" xfId="2786" builtinId="8" hidden="1"/>
    <cellStyle name="Hyperlink" xfId="2788" builtinId="8" hidden="1"/>
    <cellStyle name="Hyperlink" xfId="2790" builtinId="8" hidden="1"/>
    <cellStyle name="Hyperlink" xfId="2792" builtinId="8" hidden="1"/>
    <cellStyle name="Hyperlink" xfId="2794" builtinId="8" hidden="1"/>
    <cellStyle name="Hyperlink" xfId="2796" builtinId="8" hidden="1"/>
    <cellStyle name="Hyperlink" xfId="2798" builtinId="8" hidden="1"/>
    <cellStyle name="Hyperlink" xfId="2800" builtinId="8" hidden="1"/>
    <cellStyle name="Hyperlink" xfId="2802" builtinId="8" hidden="1"/>
    <cellStyle name="Hyperlink" xfId="2804" builtinId="8" hidden="1"/>
    <cellStyle name="Hyperlink" xfId="2806" builtinId="8" hidden="1"/>
    <cellStyle name="Hyperlink" xfId="2808" builtinId="8" hidden="1"/>
    <cellStyle name="Hyperlink" xfId="2810" builtinId="8" hidden="1"/>
    <cellStyle name="Hyperlink" xfId="2812" builtinId="8" hidden="1"/>
    <cellStyle name="Hyperlink" xfId="2814" builtinId="8" hidden="1"/>
    <cellStyle name="Hyperlink" xfId="2816" builtinId="8" hidden="1"/>
    <cellStyle name="Hyperlink" xfId="2818" builtinId="8" hidden="1"/>
    <cellStyle name="Hyperlink" xfId="2820" builtinId="8" hidden="1"/>
    <cellStyle name="Hyperlink" xfId="2822" builtinId="8" hidden="1"/>
    <cellStyle name="Hyperlink" xfId="2824" builtinId="8" hidden="1"/>
    <cellStyle name="Hyperlink" xfId="2826" builtinId="8" hidden="1"/>
    <cellStyle name="Hyperlink" xfId="2828" builtinId="8" hidden="1"/>
    <cellStyle name="Hyperlink" xfId="2830" builtinId="8" hidden="1"/>
    <cellStyle name="Hyperlink" xfId="2832" builtinId="8" hidden="1"/>
    <cellStyle name="Hyperlink" xfId="2834" builtinId="8" hidden="1"/>
    <cellStyle name="Hyperlink" xfId="2836" builtinId="8" hidden="1"/>
    <cellStyle name="Hyperlink" xfId="2838" builtinId="8" hidden="1"/>
    <cellStyle name="Hyperlink" xfId="2840" builtinId="8" hidden="1"/>
    <cellStyle name="Hyperlink" xfId="2842" builtinId="8" hidden="1"/>
    <cellStyle name="Hyperlink" xfId="2844" builtinId="8" hidden="1"/>
    <cellStyle name="Hyperlink" xfId="2846" builtinId="8" hidden="1"/>
    <cellStyle name="Hyperlink" xfId="2848" builtinId="8" hidden="1"/>
    <cellStyle name="Hyperlink" xfId="2850" builtinId="8" hidden="1"/>
    <cellStyle name="Hyperlink" xfId="2852" builtinId="8" hidden="1"/>
    <cellStyle name="Hyperlink" xfId="2854" builtinId="8" hidden="1"/>
    <cellStyle name="Hyperlink" xfId="2856" builtinId="8" hidden="1"/>
    <cellStyle name="Hyperlink" xfId="2858" builtinId="8" hidden="1"/>
    <cellStyle name="Hyperlink" xfId="2860" builtinId="8" hidden="1"/>
    <cellStyle name="Hyperlink" xfId="2862" builtinId="8" hidden="1"/>
    <cellStyle name="Hyperlink" xfId="2864" builtinId="8" hidden="1"/>
    <cellStyle name="Hyperlink" xfId="2866" builtinId="8" hidden="1"/>
    <cellStyle name="Hyperlink" xfId="2868" builtinId="8" hidden="1"/>
    <cellStyle name="Hyperlink" xfId="2870" builtinId="8" hidden="1"/>
    <cellStyle name="Hyperlink" xfId="2872" builtinId="8" hidden="1"/>
    <cellStyle name="Hyperlink" xfId="2874" builtinId="8" hidden="1"/>
    <cellStyle name="Hyperlink" xfId="2876" builtinId="8" hidden="1"/>
    <cellStyle name="Hyperlink" xfId="2878" builtinId="8" hidden="1"/>
    <cellStyle name="Hyperlink" xfId="2880" builtinId="8" hidden="1"/>
    <cellStyle name="Hyperlink" xfId="2882" builtinId="8" hidden="1"/>
    <cellStyle name="Hyperlink" xfId="2884" builtinId="8" hidden="1"/>
    <cellStyle name="Hyperlink" xfId="2886" builtinId="8" hidden="1"/>
    <cellStyle name="Hyperlink" xfId="2888" builtinId="8" hidden="1"/>
    <cellStyle name="Hyperlink" xfId="2890" builtinId="8" hidden="1"/>
    <cellStyle name="Hyperlink" xfId="2892" builtinId="8" hidden="1"/>
    <cellStyle name="Hyperlink" xfId="2894" builtinId="8" hidden="1"/>
    <cellStyle name="Hyperlink" xfId="2896" builtinId="8" hidden="1"/>
    <cellStyle name="Hyperlink" xfId="2898" builtinId="8" hidden="1"/>
    <cellStyle name="Hyperlink" xfId="2900" builtinId="8" hidden="1"/>
    <cellStyle name="Hyperlink" xfId="2902" builtinId="8" hidden="1"/>
    <cellStyle name="Hyperlink" xfId="2904" builtinId="8" hidden="1"/>
    <cellStyle name="Hyperlink" xfId="2906" builtinId="8" hidden="1"/>
    <cellStyle name="Hyperlink" xfId="2908" builtinId="8" hidden="1"/>
    <cellStyle name="Hyperlink" xfId="2910" builtinId="8" hidden="1"/>
    <cellStyle name="Hyperlink" xfId="2912" builtinId="8" hidden="1"/>
    <cellStyle name="Hyperlink" xfId="2914" builtinId="8" hidden="1"/>
    <cellStyle name="Hyperlink" xfId="2916" builtinId="8" hidden="1"/>
    <cellStyle name="Hyperlink" xfId="2918" builtinId="8" hidden="1"/>
    <cellStyle name="Hyperlink" xfId="2920" builtinId="8" hidden="1"/>
    <cellStyle name="Hyperlink" xfId="2922" builtinId="8" hidden="1"/>
    <cellStyle name="Hyperlink" xfId="2924" builtinId="8" hidden="1"/>
    <cellStyle name="Hyperlink" xfId="2926" builtinId="8" hidden="1"/>
    <cellStyle name="Hyperlink" xfId="2928" builtinId="8" hidden="1"/>
    <cellStyle name="Hyperlink" xfId="2930" builtinId="8" hidden="1"/>
    <cellStyle name="Hyperlink" xfId="2932" builtinId="8" hidden="1"/>
    <cellStyle name="Hyperlink" xfId="2934" builtinId="8" hidden="1"/>
    <cellStyle name="Hyperlink" xfId="2936" builtinId="8" hidden="1"/>
    <cellStyle name="Hyperlink" xfId="2938" builtinId="8" hidden="1"/>
    <cellStyle name="Hyperlink" xfId="2940" builtinId="8" hidden="1"/>
    <cellStyle name="Hyperlink" xfId="2942" builtinId="8" hidden="1"/>
    <cellStyle name="Hyperlink" xfId="2944" builtinId="8" hidden="1"/>
    <cellStyle name="Hyperlink" xfId="2946" builtinId="8" hidden="1"/>
    <cellStyle name="Hyperlink" xfId="2948" builtinId="8" hidden="1"/>
    <cellStyle name="Hyperlink" xfId="2950" builtinId="8" hidden="1"/>
    <cellStyle name="Hyperlink" xfId="2952" builtinId="8" hidden="1"/>
    <cellStyle name="Hyperlink" xfId="2954" builtinId="8" hidden="1"/>
    <cellStyle name="Hyperlink" xfId="2956" builtinId="8" hidden="1"/>
    <cellStyle name="Hyperlink" xfId="2958" builtinId="8" hidden="1"/>
    <cellStyle name="Hyperlink" xfId="2960" builtinId="8" hidden="1"/>
    <cellStyle name="Hyperlink" xfId="2962" builtinId="8" hidden="1"/>
    <cellStyle name="Hyperlink" xfId="2964" builtinId="8" hidden="1"/>
    <cellStyle name="Hyperlink" xfId="2966" builtinId="8" hidden="1"/>
    <cellStyle name="Hyperlink" xfId="2968" builtinId="8" hidden="1"/>
    <cellStyle name="Hyperlink" xfId="2970" builtinId="8" hidden="1"/>
    <cellStyle name="Hyperlink" xfId="2972" builtinId="8" hidden="1"/>
    <cellStyle name="Hyperlink" xfId="2974" builtinId="8" hidden="1"/>
    <cellStyle name="Hyperlink" xfId="2976" builtinId="8" hidden="1"/>
    <cellStyle name="Hyperlink" xfId="2978" builtinId="8" hidden="1"/>
    <cellStyle name="Hyperlink" xfId="2980" builtinId="8" hidden="1"/>
    <cellStyle name="Hyperlink" xfId="2982" builtinId="8" hidden="1"/>
    <cellStyle name="Hyperlink" xfId="2984" builtinId="8" hidden="1"/>
    <cellStyle name="Hyperlink" xfId="2986" builtinId="8" hidden="1"/>
    <cellStyle name="Hyperlink" xfId="2988" builtinId="8" hidden="1"/>
    <cellStyle name="Hyperlink" xfId="2990" builtinId="8" hidden="1"/>
    <cellStyle name="Hyperlink" xfId="2992" builtinId="8" hidden="1"/>
    <cellStyle name="Hyperlink" xfId="2994" builtinId="8" hidden="1"/>
    <cellStyle name="Hyperlink" xfId="2996" builtinId="8" hidden="1"/>
    <cellStyle name="Hyperlink" xfId="2998" builtinId="8" hidden="1"/>
    <cellStyle name="Hyperlink" xfId="3000" builtinId="8" hidden="1"/>
    <cellStyle name="Hyperlink" xfId="3002" builtinId="8" hidden="1"/>
    <cellStyle name="Hyperlink" xfId="3004" builtinId="8" hidden="1"/>
    <cellStyle name="Hyperlink" xfId="3006" builtinId="8" hidden="1"/>
    <cellStyle name="Hyperlink" xfId="3008" builtinId="8" hidden="1"/>
    <cellStyle name="Hyperlink" xfId="3010" builtinId="8" hidden="1"/>
    <cellStyle name="Hyperlink" xfId="3012" builtinId="8" hidden="1"/>
    <cellStyle name="Hyperlink" xfId="3014" builtinId="8" hidden="1"/>
    <cellStyle name="Hyperlink" xfId="3016" builtinId="8" hidden="1"/>
    <cellStyle name="Hyperlink" xfId="3018" builtinId="8" hidden="1"/>
    <cellStyle name="Hyperlink" xfId="3020" builtinId="8" hidden="1"/>
    <cellStyle name="Hyperlink" xfId="3022" builtinId="8" hidden="1"/>
    <cellStyle name="Hyperlink" xfId="3024" builtinId="8" hidden="1"/>
    <cellStyle name="Hyperlink" xfId="3026" builtinId="8" hidden="1"/>
    <cellStyle name="Hyperlink" xfId="3028" builtinId="8" hidden="1"/>
    <cellStyle name="Hyperlink" xfId="3030" builtinId="8" hidden="1"/>
    <cellStyle name="Hyperlink" xfId="3032" builtinId="8" hidden="1"/>
    <cellStyle name="Hyperlink" xfId="3034" builtinId="8" hidden="1"/>
    <cellStyle name="Hyperlink" xfId="3036" builtinId="8" hidden="1"/>
    <cellStyle name="Hyperlink" xfId="3038" builtinId="8" hidden="1"/>
    <cellStyle name="Hyperlink" xfId="3040" builtinId="8" hidden="1"/>
    <cellStyle name="Hyperlink" xfId="3042" builtinId="8" hidden="1"/>
    <cellStyle name="Hyperlink" xfId="3044" builtinId="8" hidden="1"/>
    <cellStyle name="Hyperlink" xfId="3046" builtinId="8" hidden="1"/>
    <cellStyle name="Hyperlink" xfId="3048" builtinId="8" hidden="1"/>
    <cellStyle name="Hyperlink" xfId="3050" builtinId="8" hidden="1"/>
    <cellStyle name="Hyperlink" xfId="3052" builtinId="8" hidden="1"/>
    <cellStyle name="Hyperlink" xfId="3054" builtinId="8" hidden="1"/>
    <cellStyle name="Hyperlink" xfId="3056" builtinId="8" hidden="1"/>
    <cellStyle name="Hyperlink" xfId="3058" builtinId="8" hidden="1"/>
    <cellStyle name="Hyperlink" xfId="3060" builtinId="8" hidden="1"/>
    <cellStyle name="Hyperlink" xfId="3062" builtinId="8" hidden="1"/>
    <cellStyle name="Hyperlink" xfId="3064" builtinId="8" hidden="1"/>
    <cellStyle name="Hyperlink" xfId="3066" builtinId="8" hidden="1"/>
    <cellStyle name="Hyperlink" xfId="3068" builtinId="8" hidden="1"/>
    <cellStyle name="Hyperlink" xfId="3070" builtinId="8" hidden="1"/>
    <cellStyle name="Hyperlink" xfId="3072" builtinId="8" hidden="1"/>
    <cellStyle name="Hyperlink" xfId="3074" builtinId="8" hidden="1"/>
    <cellStyle name="Hyperlink" xfId="3076" builtinId="8" hidden="1"/>
    <cellStyle name="Hyperlink" xfId="3078" builtinId="8" hidden="1"/>
    <cellStyle name="Hyperlink" xfId="3080" builtinId="8" hidden="1"/>
    <cellStyle name="Hyperlink" xfId="3082" builtinId="8" hidden="1"/>
    <cellStyle name="Hyperlink" xfId="3084" builtinId="8" hidden="1"/>
    <cellStyle name="Hyperlink" xfId="3086" builtinId="8" hidden="1"/>
    <cellStyle name="Hyperlink" xfId="3088" builtinId="8" hidden="1"/>
    <cellStyle name="Hyperlink" xfId="3090" builtinId="8" hidden="1"/>
    <cellStyle name="Hyperlink" xfId="3092" builtinId="8" hidden="1"/>
    <cellStyle name="Hyperlink" xfId="3094" builtinId="8" hidden="1"/>
    <cellStyle name="Hyperlink" xfId="3096" builtinId="8" hidden="1"/>
    <cellStyle name="Hyperlink" xfId="3098" builtinId="8" hidden="1"/>
    <cellStyle name="Hyperlink" xfId="3100" builtinId="8" hidden="1"/>
    <cellStyle name="Hyperlink" xfId="3102" builtinId="8" hidden="1"/>
    <cellStyle name="Hyperlink" xfId="3104" builtinId="8" hidden="1"/>
    <cellStyle name="Hyperlink" xfId="3106" builtinId="8" hidden="1"/>
    <cellStyle name="Hyperlink" xfId="3108" builtinId="8" hidden="1"/>
    <cellStyle name="Hyperlink" xfId="3110" builtinId="8" hidden="1"/>
    <cellStyle name="Hyperlink" xfId="3112" builtinId="8" hidden="1"/>
    <cellStyle name="Hyperlink" xfId="3114" builtinId="8" hidden="1"/>
    <cellStyle name="Hyperlink" xfId="3116" builtinId="8" hidden="1"/>
    <cellStyle name="Hyperlink" xfId="3118" builtinId="8" hidden="1"/>
    <cellStyle name="Hyperlink" xfId="3120" builtinId="8" hidden="1"/>
    <cellStyle name="Hyperlink" xfId="3122" builtinId="8" hidden="1"/>
    <cellStyle name="Hyperlink" xfId="3124" builtinId="8" hidden="1"/>
    <cellStyle name="Hyperlink" xfId="3126" builtinId="8" hidden="1"/>
    <cellStyle name="Hyperlink" xfId="3128" builtinId="8" hidden="1"/>
    <cellStyle name="Hyperlink" xfId="3130" builtinId="8" hidden="1"/>
    <cellStyle name="Hyperlink" xfId="3132" builtinId="8" hidden="1"/>
    <cellStyle name="Hyperlink" xfId="3134" builtinId="8" hidden="1"/>
    <cellStyle name="Hyperlink" xfId="3136" builtinId="8" hidden="1"/>
    <cellStyle name="Hyperlink" xfId="3138" builtinId="8" hidden="1"/>
    <cellStyle name="Hyperlink" xfId="3140" builtinId="8" hidden="1"/>
    <cellStyle name="Hyperlink" xfId="3142" builtinId="8" hidden="1"/>
    <cellStyle name="Hyperlink" xfId="3144" builtinId="8" hidden="1"/>
    <cellStyle name="Hyperlink" xfId="3146" builtinId="8" hidden="1"/>
    <cellStyle name="Hyperlink" xfId="3148" builtinId="8" hidden="1"/>
    <cellStyle name="Hyperlink" xfId="3150" builtinId="8" hidden="1"/>
    <cellStyle name="Hyperlink" xfId="3152" builtinId="8" hidden="1"/>
    <cellStyle name="Hyperlink" xfId="3154" builtinId="8" hidden="1"/>
    <cellStyle name="Hyperlink" xfId="3156" builtinId="8" hidden="1"/>
    <cellStyle name="Hyperlink" xfId="3158" builtinId="8" hidden="1"/>
    <cellStyle name="Hyperlink" xfId="3160" builtinId="8" hidden="1"/>
    <cellStyle name="Hyperlink" xfId="3162" builtinId="8" hidden="1"/>
    <cellStyle name="Hyperlink" xfId="3164" builtinId="8" hidden="1"/>
    <cellStyle name="Hyperlink" xfId="3166" builtinId="8" hidden="1"/>
    <cellStyle name="Hyperlink" xfId="3168" builtinId="8" hidden="1"/>
    <cellStyle name="Hyperlink" xfId="3170" builtinId="8" hidden="1"/>
    <cellStyle name="Hyperlink" xfId="3172" builtinId="8" hidden="1"/>
    <cellStyle name="Hyperlink" xfId="3174" builtinId="8" hidden="1"/>
    <cellStyle name="Hyperlink" xfId="3176" builtinId="8" hidden="1"/>
    <cellStyle name="Hyperlink" xfId="3178" builtinId="8" hidden="1"/>
    <cellStyle name="Hyperlink" xfId="3180" builtinId="8" hidden="1"/>
    <cellStyle name="Hyperlink" xfId="3182" builtinId="8" hidden="1"/>
    <cellStyle name="Hyperlink" xfId="3184" builtinId="8" hidden="1"/>
    <cellStyle name="Hyperlink" xfId="3186" builtinId="8" hidden="1"/>
    <cellStyle name="Hyperlink" xfId="3188" builtinId="8" hidden="1"/>
    <cellStyle name="Hyperlink" xfId="3190" builtinId="8" hidden="1"/>
    <cellStyle name="Hyperlink" xfId="3192" builtinId="8" hidden="1"/>
    <cellStyle name="Hyperlink" xfId="3194" builtinId="8" hidden="1"/>
    <cellStyle name="Hyperlink" xfId="3196" builtinId="8" hidden="1"/>
    <cellStyle name="Hyperlink" xfId="3198" builtinId="8" hidden="1"/>
    <cellStyle name="Hyperlink" xfId="3200" builtinId="8" hidden="1"/>
    <cellStyle name="Hyperlink" xfId="3202" builtinId="8" hidden="1"/>
    <cellStyle name="Hyperlink" xfId="3204" builtinId="8" hidden="1"/>
    <cellStyle name="Hyperlink" xfId="3206" builtinId="8" hidden="1"/>
    <cellStyle name="Hyperlink" xfId="3208" builtinId="8" hidden="1"/>
    <cellStyle name="Hyperlink" xfId="3210" builtinId="8" hidden="1"/>
    <cellStyle name="Hyperlink" xfId="3212" builtinId="8" hidden="1"/>
    <cellStyle name="Hyperlink" xfId="3214" builtinId="8" hidden="1"/>
    <cellStyle name="Hyperlink" xfId="3216" builtinId="8" hidden="1"/>
    <cellStyle name="Hyperlink" xfId="3218" builtinId="8" hidden="1"/>
    <cellStyle name="Hyperlink" xfId="3220" builtinId="8" hidden="1"/>
    <cellStyle name="Hyperlink" xfId="3222" builtinId="8" hidden="1"/>
    <cellStyle name="Hyperlink" xfId="3224" builtinId="8" hidden="1"/>
    <cellStyle name="Hyperlink" xfId="3226" builtinId="8" hidden="1"/>
    <cellStyle name="Hyperlink" xfId="3228" builtinId="8" hidden="1"/>
    <cellStyle name="Hyperlink" xfId="3230" builtinId="8" hidden="1"/>
    <cellStyle name="Hyperlink" xfId="3232" builtinId="8" hidden="1"/>
    <cellStyle name="Hyperlink" xfId="3234" builtinId="8" hidden="1"/>
    <cellStyle name="Hyperlink" xfId="3236" builtinId="8" hidden="1"/>
    <cellStyle name="Hyperlink" xfId="3238" builtinId="8" hidden="1"/>
    <cellStyle name="Hyperlink" xfId="3240" builtinId="8" hidden="1"/>
    <cellStyle name="Hyperlink" xfId="3242" builtinId="8" hidden="1"/>
    <cellStyle name="Hyperlink" xfId="3244" builtinId="8" hidden="1"/>
    <cellStyle name="Hyperlink" xfId="3246" builtinId="8" hidden="1"/>
    <cellStyle name="Hyperlink" xfId="3248" builtinId="8" hidden="1"/>
    <cellStyle name="Hyperlink" xfId="3250" builtinId="8" hidden="1"/>
    <cellStyle name="Hyperlink" xfId="3252" builtinId="8" hidden="1"/>
    <cellStyle name="Hyperlink" xfId="3254" builtinId="8" hidden="1"/>
    <cellStyle name="Hyperlink" xfId="3256" builtinId="8" hidden="1"/>
    <cellStyle name="Hyperlink" xfId="3258" builtinId="8" hidden="1"/>
    <cellStyle name="Hyperlink" xfId="3260" builtinId="8" hidden="1"/>
    <cellStyle name="Hyperlink" xfId="3262" builtinId="8" hidden="1"/>
    <cellStyle name="Hyperlink" xfId="3264" builtinId="8" hidden="1"/>
    <cellStyle name="Hyperlink" xfId="3266" builtinId="8" hidden="1"/>
    <cellStyle name="Hyperlink" xfId="3268" builtinId="8" hidden="1"/>
    <cellStyle name="Hyperlink" xfId="3270" builtinId="8" hidden="1"/>
    <cellStyle name="Hyperlink" xfId="3272" builtinId="8" hidden="1"/>
    <cellStyle name="Hyperlink" xfId="3274" builtinId="8" hidden="1"/>
    <cellStyle name="Hyperlink" xfId="3276" builtinId="8" hidden="1"/>
    <cellStyle name="Hyperlink" xfId="3278" builtinId="8" hidden="1"/>
    <cellStyle name="Hyperlink" xfId="3280" builtinId="8" hidden="1"/>
    <cellStyle name="Hyperlink" xfId="3282" builtinId="8" hidden="1"/>
    <cellStyle name="Hyperlink" xfId="3284" builtinId="8" hidden="1"/>
    <cellStyle name="Hyperlink" xfId="3286" builtinId="8" hidden="1"/>
    <cellStyle name="Hyperlink" xfId="3288" builtinId="8" hidden="1"/>
    <cellStyle name="Hyperlink" xfId="3290" builtinId="8" hidden="1"/>
    <cellStyle name="Hyperlink" xfId="3292" builtinId="8" hidden="1"/>
    <cellStyle name="Hyperlink" xfId="3294" builtinId="8" hidden="1"/>
    <cellStyle name="Hyperlink" xfId="3296" builtinId="8" hidden="1"/>
    <cellStyle name="Hyperlink" xfId="3298" builtinId="8" hidden="1"/>
    <cellStyle name="Hyperlink" xfId="3300" builtinId="8" hidden="1"/>
    <cellStyle name="Hyperlink" xfId="3302" builtinId="8" hidden="1"/>
    <cellStyle name="Hyperlink" xfId="3304" builtinId="8" hidden="1"/>
    <cellStyle name="Hyperlink" xfId="3306" builtinId="8" hidden="1"/>
    <cellStyle name="Hyperlink" xfId="3308" builtinId="8" hidden="1"/>
    <cellStyle name="Hyperlink" xfId="3310" builtinId="8" hidden="1"/>
    <cellStyle name="Hyperlink" xfId="3312" builtinId="8" hidden="1"/>
    <cellStyle name="Hyperlink" xfId="3314" builtinId="8" hidden="1"/>
    <cellStyle name="Hyperlink" xfId="3316" builtinId="8" hidden="1"/>
    <cellStyle name="Hyperlink" xfId="3318" builtinId="8" hidden="1"/>
    <cellStyle name="Hyperlink" xfId="3320" builtinId="8" hidden="1"/>
    <cellStyle name="Hyperlink" xfId="3322" builtinId="8" hidden="1"/>
    <cellStyle name="Hyperlink" xfId="3324" builtinId="8" hidden="1"/>
    <cellStyle name="Hyperlink" xfId="3326" builtinId="8" hidden="1"/>
    <cellStyle name="Hyperlink" xfId="3328" builtinId="8" hidden="1"/>
    <cellStyle name="Hyperlink" xfId="3330" builtinId="8" hidden="1"/>
    <cellStyle name="Hyperlink" xfId="3332" builtinId="8" hidden="1"/>
    <cellStyle name="Hyperlink" xfId="3334" builtinId="8" hidden="1"/>
    <cellStyle name="Hyperlink" xfId="3336" builtinId="8" hidden="1"/>
    <cellStyle name="Hyperlink" xfId="3338" builtinId="8" hidden="1"/>
    <cellStyle name="Hyperlink" xfId="3340" builtinId="8" hidden="1"/>
    <cellStyle name="Hyperlink" xfId="3342" builtinId="8" hidden="1"/>
    <cellStyle name="Hyperlink" xfId="3344" builtinId="8" hidden="1"/>
    <cellStyle name="Hyperlink" xfId="3346" builtinId="8" hidden="1"/>
    <cellStyle name="Hyperlink" xfId="3348" builtinId="8" hidden="1"/>
    <cellStyle name="Hyperlink" xfId="3350" builtinId="8" hidden="1"/>
    <cellStyle name="Hyperlink" xfId="3352" builtinId="8" hidden="1"/>
    <cellStyle name="Hyperlink" xfId="3354" builtinId="8" hidden="1"/>
    <cellStyle name="Hyperlink" xfId="3356" builtinId="8" hidden="1"/>
    <cellStyle name="Hyperlink" xfId="3358" builtinId="8" hidden="1"/>
    <cellStyle name="Hyperlink" xfId="3360" builtinId="8" hidden="1"/>
    <cellStyle name="Hyperlink" xfId="3362" builtinId="8" hidden="1"/>
    <cellStyle name="Hyperlink" xfId="3364" builtinId="8" hidden="1"/>
    <cellStyle name="Hyperlink" xfId="3366" builtinId="8" hidden="1"/>
    <cellStyle name="Hyperlink" xfId="3368" builtinId="8" hidden="1"/>
    <cellStyle name="Hyperlink" xfId="3370" builtinId="8" hidden="1"/>
    <cellStyle name="Hyperlink" xfId="3372" builtinId="8" hidden="1"/>
    <cellStyle name="Hyperlink" xfId="3374" builtinId="8" hidden="1"/>
    <cellStyle name="Hyperlink" xfId="3376" builtinId="8" hidden="1"/>
    <cellStyle name="Hyperlink" xfId="3378" builtinId="8" hidden="1"/>
    <cellStyle name="Hyperlink" xfId="3380" builtinId="8" hidden="1"/>
    <cellStyle name="Hyperlink" xfId="3382" builtinId="8" hidden="1"/>
    <cellStyle name="Hyperlink" xfId="3384" builtinId="8" hidden="1"/>
    <cellStyle name="Hyperlink" xfId="3386" builtinId="8" hidden="1"/>
    <cellStyle name="Hyperlink" xfId="3388" builtinId="8" hidden="1"/>
    <cellStyle name="Hyperlink" xfId="3390" builtinId="8" hidden="1"/>
    <cellStyle name="Hyperlink" xfId="3392" builtinId="8" hidden="1"/>
    <cellStyle name="Hyperlink" xfId="3394" builtinId="8" hidden="1"/>
    <cellStyle name="Hyperlink" xfId="3396" builtinId="8" hidden="1"/>
    <cellStyle name="Hyperlink" xfId="3398" builtinId="8" hidden="1"/>
    <cellStyle name="Hyperlink" xfId="3400" builtinId="8" hidden="1"/>
    <cellStyle name="Hyperlink" xfId="3402" builtinId="8" hidden="1"/>
    <cellStyle name="Hyperlink" xfId="3404" builtinId="8" hidden="1"/>
    <cellStyle name="Hyperlink" xfId="3406" builtinId="8" hidden="1"/>
    <cellStyle name="Hyperlink" xfId="3408" builtinId="8" hidden="1"/>
    <cellStyle name="Hyperlink" xfId="3410" builtinId="8" hidden="1"/>
    <cellStyle name="Hyperlink" xfId="3412" builtinId="8" hidden="1"/>
    <cellStyle name="Hyperlink" xfId="3414" builtinId="8" hidden="1"/>
    <cellStyle name="Hyperlink" xfId="3416" builtinId="8" hidden="1"/>
    <cellStyle name="Hyperlink" xfId="3418" builtinId="8" hidden="1"/>
    <cellStyle name="Hyperlink" xfId="3420" builtinId="8" hidden="1"/>
    <cellStyle name="Hyperlink" xfId="3422" builtinId="8" hidden="1"/>
    <cellStyle name="Hyperlink" xfId="3424" builtinId="8" hidden="1"/>
    <cellStyle name="Hyperlink" xfId="3426" builtinId="8" hidden="1"/>
    <cellStyle name="Hyperlink" xfId="3428" builtinId="8" hidden="1"/>
    <cellStyle name="Hyperlink" xfId="3430" builtinId="8" hidden="1"/>
    <cellStyle name="Hyperlink" xfId="3432" builtinId="8" hidden="1"/>
    <cellStyle name="Hyperlink" xfId="3434" builtinId="8" hidden="1"/>
    <cellStyle name="Hyperlink" xfId="3436" builtinId="8" hidden="1"/>
    <cellStyle name="Hyperlink" xfId="3438" builtinId="8" hidden="1"/>
    <cellStyle name="Hyperlink" xfId="3440" builtinId="8" hidden="1"/>
    <cellStyle name="Hyperlink" xfId="3442" builtinId="8" hidden="1"/>
    <cellStyle name="Hyperlink" xfId="3444" builtinId="8" hidden="1"/>
    <cellStyle name="Hyperlink" xfId="3446" builtinId="8" hidden="1"/>
    <cellStyle name="Hyperlink" xfId="3448" builtinId="8" hidden="1"/>
    <cellStyle name="Hyperlink" xfId="3450" builtinId="8" hidden="1"/>
    <cellStyle name="Hyperlink" xfId="3452" builtinId="8" hidden="1"/>
    <cellStyle name="Hyperlink" xfId="3454" builtinId="8" hidden="1"/>
    <cellStyle name="Hyperlink" xfId="3456" builtinId="8" hidden="1"/>
    <cellStyle name="Hyperlink" xfId="3458" builtinId="8" hidden="1"/>
    <cellStyle name="Hyperlink" xfId="3460" builtinId="8" hidden="1"/>
    <cellStyle name="Hyperlink" xfId="3462" builtinId="8" hidden="1"/>
    <cellStyle name="Hyperlink" xfId="3464" builtinId="8" hidden="1"/>
    <cellStyle name="Hyperlink" xfId="3466" builtinId="8" hidden="1"/>
    <cellStyle name="Hyperlink" xfId="3468" builtinId="8" hidden="1"/>
    <cellStyle name="Hyperlink" xfId="3470" builtinId="8" hidden="1"/>
    <cellStyle name="Hyperlink" xfId="3472" builtinId="8" hidden="1"/>
    <cellStyle name="Hyperlink" xfId="3474" builtinId="8" hidden="1"/>
    <cellStyle name="Hyperlink" xfId="3476" builtinId="8" hidden="1"/>
    <cellStyle name="Hyperlink" xfId="3478" builtinId="8" hidden="1"/>
    <cellStyle name="Hyperlink" xfId="3480" builtinId="8" hidden="1"/>
    <cellStyle name="Hyperlink" xfId="3482" builtinId="8" hidden="1"/>
    <cellStyle name="Hyperlink" xfId="3484" builtinId="8" hidden="1"/>
    <cellStyle name="Hyperlink" xfId="3486" builtinId="8" hidden="1"/>
    <cellStyle name="Hyperlink" xfId="3488" builtinId="8" hidden="1"/>
    <cellStyle name="Hyperlink" xfId="3490" builtinId="8" hidden="1"/>
    <cellStyle name="Hyperlink" xfId="3492" builtinId="8" hidden="1"/>
    <cellStyle name="Hyperlink" xfId="3494" builtinId="8" hidden="1"/>
    <cellStyle name="Hyperlink" xfId="3496" builtinId="8" hidden="1"/>
    <cellStyle name="Hyperlink" xfId="3498" builtinId="8" hidden="1"/>
    <cellStyle name="Hyperlink" xfId="3500" builtinId="8" hidden="1"/>
    <cellStyle name="Hyperlink" xfId="3502" builtinId="8" hidden="1"/>
    <cellStyle name="Hyperlink" xfId="3504" builtinId="8" hidden="1"/>
    <cellStyle name="Hyperlink" xfId="3506" builtinId="8" hidden="1"/>
    <cellStyle name="Hyperlink" xfId="3508" builtinId="8" hidden="1"/>
    <cellStyle name="Hyperlink" xfId="3510" builtinId="8" hidden="1"/>
    <cellStyle name="Hyperlink" xfId="3512" builtinId="8" hidden="1"/>
    <cellStyle name="Hyperlink" xfId="3514" builtinId="8" hidden="1"/>
    <cellStyle name="Hyperlink" xfId="3516" builtinId="8" hidden="1"/>
    <cellStyle name="Hyperlink" xfId="3518" builtinId="8" hidden="1"/>
    <cellStyle name="Hyperlink" xfId="3520" builtinId="8" hidden="1"/>
    <cellStyle name="Hyperlink" xfId="3522" builtinId="8" hidden="1"/>
    <cellStyle name="Hyperlink" xfId="3524" builtinId="8" hidden="1"/>
    <cellStyle name="Hyperlink" xfId="3526" builtinId="8" hidden="1"/>
    <cellStyle name="Hyperlink" xfId="3528" builtinId="8" hidden="1"/>
    <cellStyle name="Hyperlink" xfId="3530" builtinId="8" hidden="1"/>
    <cellStyle name="Hyperlink" xfId="3532" builtinId="8" hidden="1"/>
    <cellStyle name="Hyperlink" xfId="3534" builtinId="8" hidden="1"/>
    <cellStyle name="Hyperlink" xfId="3536" builtinId="8" hidden="1"/>
    <cellStyle name="Hyperlink" xfId="3538" builtinId="8" hidden="1"/>
    <cellStyle name="Hyperlink" xfId="3540" builtinId="8" hidden="1"/>
    <cellStyle name="Hyperlink" xfId="3542" builtinId="8" hidden="1"/>
    <cellStyle name="Hyperlink" xfId="3544" builtinId="8" hidden="1"/>
    <cellStyle name="Hyperlink" xfId="3546" builtinId="8" hidden="1"/>
    <cellStyle name="Hyperlink" xfId="3548" builtinId="8" hidden="1"/>
    <cellStyle name="Hyperlink" xfId="3550" builtinId="8" hidden="1"/>
    <cellStyle name="Hyperlink" xfId="3552" builtinId="8" hidden="1"/>
    <cellStyle name="Hyperlink" xfId="3554" builtinId="8" hidden="1"/>
    <cellStyle name="Hyperlink" xfId="3556" builtinId="8" hidden="1"/>
    <cellStyle name="Hyperlink" xfId="3558" builtinId="8" hidden="1"/>
    <cellStyle name="Hyperlink" xfId="3560" builtinId="8" hidden="1"/>
    <cellStyle name="Hyperlink" xfId="3562" builtinId="8" hidden="1"/>
    <cellStyle name="Hyperlink" xfId="3564" builtinId="8" hidden="1"/>
    <cellStyle name="Hyperlink" xfId="3566" builtinId="8" hidden="1"/>
    <cellStyle name="Hyperlink" xfId="3568" builtinId="8" hidden="1"/>
    <cellStyle name="Hyperlink" xfId="3570" builtinId="8" hidden="1"/>
    <cellStyle name="Hyperlink" xfId="3572" builtinId="8" hidden="1"/>
    <cellStyle name="Hyperlink" xfId="3574" builtinId="8" hidden="1"/>
    <cellStyle name="Hyperlink" xfId="3576" builtinId="8" hidden="1"/>
    <cellStyle name="Hyperlink" xfId="3578" builtinId="8" hidden="1"/>
    <cellStyle name="Hyperlink" xfId="3580" builtinId="8" hidden="1"/>
    <cellStyle name="Hyperlink" xfId="3582" builtinId="8" hidden="1"/>
    <cellStyle name="Hyperlink" xfId="3584" builtinId="8" hidden="1"/>
    <cellStyle name="Hyperlink" xfId="3586" builtinId="8" hidden="1"/>
    <cellStyle name="Hyperlink" xfId="3588" builtinId="8" hidden="1"/>
    <cellStyle name="Hyperlink" xfId="3590" builtinId="8" hidden="1"/>
    <cellStyle name="Hyperlink" xfId="3592" builtinId="8" hidden="1"/>
    <cellStyle name="Hyperlink" xfId="3594" builtinId="8" hidden="1"/>
    <cellStyle name="Hyperlink" xfId="3596" builtinId="8" hidden="1"/>
    <cellStyle name="Hyperlink" xfId="3598" builtinId="8" hidden="1"/>
    <cellStyle name="Hyperlink" xfId="3600" builtinId="8" hidden="1"/>
    <cellStyle name="Hyperlink" xfId="3602" builtinId="8" hidden="1"/>
    <cellStyle name="Hyperlink" xfId="3604" builtinId="8" hidden="1"/>
    <cellStyle name="Hyperlink" xfId="3606" builtinId="8" hidden="1"/>
    <cellStyle name="Hyperlink" xfId="3608" builtinId="8" hidden="1"/>
    <cellStyle name="Hyperlink" xfId="3610" builtinId="8" hidden="1"/>
    <cellStyle name="Hyperlink" xfId="3612" builtinId="8" hidden="1"/>
    <cellStyle name="Hyperlink" xfId="3614" builtinId="8" hidden="1"/>
    <cellStyle name="Hyperlink" xfId="3616" builtinId="8" hidden="1"/>
    <cellStyle name="Hyperlink" xfId="3618" builtinId="8" hidden="1"/>
    <cellStyle name="Hyperlink" xfId="3620" builtinId="8" hidden="1"/>
    <cellStyle name="Hyperlink" xfId="3622" builtinId="8" hidden="1"/>
    <cellStyle name="Hyperlink" xfId="3624" builtinId="8" hidden="1"/>
    <cellStyle name="Hyperlink" xfId="3626" builtinId="8" hidden="1"/>
    <cellStyle name="Hyperlink" xfId="3628" builtinId="8" hidden="1"/>
    <cellStyle name="Hyperlink" xfId="3630" builtinId="8" hidden="1"/>
    <cellStyle name="Hyperlink" xfId="3632" builtinId="8" hidden="1"/>
    <cellStyle name="Hyperlink" xfId="3634" builtinId="8" hidden="1"/>
    <cellStyle name="Hyperlink" xfId="3636" builtinId="8" hidden="1"/>
    <cellStyle name="Hyperlink" xfId="3638" builtinId="8" hidden="1"/>
    <cellStyle name="Hyperlink" xfId="3640" builtinId="8" hidden="1"/>
    <cellStyle name="Hyperlink" xfId="3642" builtinId="8" hidden="1"/>
    <cellStyle name="Hyperlink" xfId="3644" builtinId="8" hidden="1"/>
    <cellStyle name="Hyperlink" xfId="3646" builtinId="8" hidden="1"/>
    <cellStyle name="Hyperlink" xfId="3648" builtinId="8" hidden="1"/>
    <cellStyle name="Hyperlink" xfId="3650" builtinId="8" hidden="1"/>
    <cellStyle name="Hyperlink" xfId="3652" builtinId="8" hidden="1"/>
    <cellStyle name="Normal" xfId="0" builtinId="0"/>
    <cellStyle name="Normal 2" xfId="971" xr:uid="{00000000-0005-0000-0000-0000450E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355600</xdr:colOff>
      <xdr:row>10</xdr:row>
      <xdr:rowOff>131233</xdr:rowOff>
    </xdr:from>
    <xdr:to>
      <xdr:col>1</xdr:col>
      <xdr:colOff>80433</xdr:colOff>
      <xdr:row>16</xdr:row>
      <xdr:rowOff>131233</xdr:rowOff>
    </xdr:to>
    <xdr:sp macro="" textlink="">
      <xdr:nvSpPr>
        <xdr:cNvPr id="5123" name="BalanceButton" hidden="1">
          <a:extLst>
            <a:ext uri="{63B3BB69-23CF-44E3-9099-C40C66FF867C}">
              <a14:compatExt xmlns:a14="http://schemas.microsoft.com/office/drawing/2010/main" spid="_x0000_s5123"/>
            </a:ext>
            <a:ext uri="{FF2B5EF4-FFF2-40B4-BE49-F238E27FC236}">
              <a16:creationId xmlns:a16="http://schemas.microsoft.com/office/drawing/2014/main" id="{00000000-0008-0000-0100-000003140000}"/>
            </a:ext>
          </a:extLst>
        </xdr:cNvPr>
        <xdr:cNvSpPr/>
      </xdr:nvSpPr>
      <xdr:spPr>
        <a:xfrm>
          <a:off x="0" y="0"/>
          <a:ext cx="0" cy="0"/>
        </a:xfrm>
        <a:prstGeom prst="rect">
          <a:avLst/>
        </a:prstGeom>
      </xdr:spPr>
    </xdr:sp>
    <xdr:clientData/>
  </xdr:twoCellAnchor>
  <xdr:twoCellAnchor editAs="oneCell">
    <xdr:from>
      <xdr:col>18</xdr:col>
      <xdr:colOff>67734</xdr:colOff>
      <xdr:row>1</xdr:row>
      <xdr:rowOff>101599</xdr:rowOff>
    </xdr:from>
    <xdr:to>
      <xdr:col>20</xdr:col>
      <xdr:colOff>541867</xdr:colOff>
      <xdr:row>11</xdr:row>
      <xdr:rowOff>25399</xdr:rowOff>
    </xdr:to>
    <xdr:pic macro="[0]!Sheet8.BalanceButton_Click">
      <xdr:nvPicPr>
        <xdr:cNvPr id="3" name="Picture 2" descr="129498-simple-red-square-icon-signs-scale-sc2.png">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5396" t="14113" r="15319" b="16603"/>
        <a:stretch/>
      </xdr:blipFill>
      <xdr:spPr>
        <a:xfrm>
          <a:off x="16594667" y="253999"/>
          <a:ext cx="1828800" cy="1828800"/>
        </a:xfrm>
        <a:prstGeom prst="rect">
          <a:avLst/>
        </a:prstGeom>
      </xdr:spPr>
    </xdr:pic>
    <xdr:clientData/>
  </xdr:twoCellAnchor>
  <xdr:twoCellAnchor editAs="oneCell">
    <xdr:from>
      <xdr:col>18</xdr:col>
      <xdr:colOff>71966</xdr:colOff>
      <xdr:row>15</xdr:row>
      <xdr:rowOff>63472</xdr:rowOff>
    </xdr:from>
    <xdr:to>
      <xdr:col>20</xdr:col>
      <xdr:colOff>581268</xdr:colOff>
      <xdr:row>24</xdr:row>
      <xdr:rowOff>177772</xdr:rowOff>
    </xdr:to>
    <xdr:pic macro="[0]!WriteEwEResult">
      <xdr:nvPicPr>
        <xdr:cNvPr id="2" name="Picture 1" descr="129217-simple-red-square-icon-natural-wonders-leaves-sc49.png">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5365" t="14063" r="15625" b="18229"/>
        <a:stretch/>
      </xdr:blipFill>
      <xdr:spPr>
        <a:xfrm>
          <a:off x="16531166" y="2374872"/>
          <a:ext cx="1855502" cy="182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584200</xdr:colOff>
      <xdr:row>8</xdr:row>
      <xdr:rowOff>0</xdr:rowOff>
    </xdr:from>
    <xdr:to>
      <xdr:col>11</xdr:col>
      <xdr:colOff>541020</xdr:colOff>
      <xdr:row>12</xdr:row>
      <xdr:rowOff>40640</xdr:rowOff>
    </xdr:to>
    <xdr:sp macro="" textlink="">
      <xdr:nvSpPr>
        <xdr:cNvPr id="19459" name="comEvv" hidden="1">
          <a:extLst>
            <a:ext uri="{63B3BB69-23CF-44E3-9099-C40C66FF867C}">
              <a14:compatExt xmlns:a14="http://schemas.microsoft.com/office/drawing/2010/main" spid="_x0000_s19459"/>
            </a:ext>
            <a:ext uri="{FF2B5EF4-FFF2-40B4-BE49-F238E27FC236}">
              <a16:creationId xmlns:a16="http://schemas.microsoft.com/office/drawing/2014/main" id="{00000000-0008-0000-0B00-0000034C0000}"/>
            </a:ext>
          </a:extLst>
        </xdr:cNvPr>
        <xdr:cNvSpPr/>
      </xdr:nvSpPr>
      <xdr:spPr>
        <a:xfrm>
          <a:off x="0" y="0"/>
          <a:ext cx="0" cy="0"/>
        </a:xfrm>
        <a:prstGeom prst="rect">
          <a:avLst/>
        </a:prstGeom>
      </xdr:spPr>
    </xdr:sp>
    <xdr:clientData/>
  </xdr:twoCellAnchor>
  <xdr:twoCellAnchor editAs="oneCell">
    <xdr:from>
      <xdr:col>9</xdr:col>
      <xdr:colOff>520700</xdr:colOff>
      <xdr:row>1</xdr:row>
      <xdr:rowOff>101600</xdr:rowOff>
    </xdr:from>
    <xdr:to>
      <xdr:col>11</xdr:col>
      <xdr:colOff>477520</xdr:colOff>
      <xdr:row>5</xdr:row>
      <xdr:rowOff>154940</xdr:rowOff>
    </xdr:to>
    <xdr:sp macro="" textlink="">
      <xdr:nvSpPr>
        <xdr:cNvPr id="19460" name="comCexport" hidden="1">
          <a:extLst>
            <a:ext uri="{63B3BB69-23CF-44E3-9099-C40C66FF867C}">
              <a14:compatExt xmlns:a14="http://schemas.microsoft.com/office/drawing/2010/main" spid="_x0000_s19460"/>
            </a:ext>
            <a:ext uri="{FF2B5EF4-FFF2-40B4-BE49-F238E27FC236}">
              <a16:creationId xmlns:a16="http://schemas.microsoft.com/office/drawing/2014/main" id="{00000000-0008-0000-0B00-0000044C0000}"/>
            </a:ext>
          </a:extLst>
        </xdr:cNvPr>
        <xdr:cNvSpPr/>
      </xdr:nvSpPr>
      <xdr:spPr>
        <a:xfrm>
          <a:off x="0" y="0"/>
          <a:ext cx="0" cy="0"/>
        </a:xfrm>
        <a:prstGeom prst="rect">
          <a:avLst/>
        </a:prstGeom>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indexed="8"/>
  </sheetPr>
  <dimension ref="B2:D68"/>
  <sheetViews>
    <sheetView topLeftCell="A44" zoomScale="125" zoomScaleNormal="125" zoomScalePageLayoutView="125" workbookViewId="0">
      <selection activeCell="B54" sqref="B54"/>
    </sheetView>
  </sheetViews>
  <sheetFormatPr baseColWidth="10" defaultColWidth="8.83203125" defaultRowHeight="13" x14ac:dyDescent="0.15"/>
  <cols>
    <col min="2" max="2" width="16" customWidth="1"/>
    <col min="3" max="3" width="235.1640625" customWidth="1"/>
  </cols>
  <sheetData>
    <row r="2" spans="2:4" x14ac:dyDescent="0.15">
      <c r="B2" t="s">
        <v>145</v>
      </c>
    </row>
    <row r="3" spans="2:4" x14ac:dyDescent="0.15">
      <c r="B3" t="s">
        <v>146</v>
      </c>
    </row>
    <row r="4" spans="2:4" x14ac:dyDescent="0.15">
      <c r="B4" s="62" t="s">
        <v>164</v>
      </c>
    </row>
    <row r="6" spans="2:4" ht="14" thickBot="1" x14ac:dyDescent="0.2">
      <c r="B6" s="46" t="s">
        <v>141</v>
      </c>
    </row>
    <row r="7" spans="2:4" x14ac:dyDescent="0.15">
      <c r="B7" s="62" t="s">
        <v>143</v>
      </c>
    </row>
    <row r="8" spans="2:4" x14ac:dyDescent="0.15">
      <c r="B8" s="62" t="s">
        <v>142</v>
      </c>
    </row>
    <row r="9" spans="2:4" x14ac:dyDescent="0.15">
      <c r="B9" s="62" t="s">
        <v>144</v>
      </c>
    </row>
    <row r="10" spans="2:4" x14ac:dyDescent="0.15">
      <c r="B10" s="62" t="s">
        <v>147</v>
      </c>
    </row>
    <row r="11" spans="2:4" x14ac:dyDescent="0.15">
      <c r="B11" s="62" t="s">
        <v>151</v>
      </c>
    </row>
    <row r="12" spans="2:4" x14ac:dyDescent="0.15">
      <c r="B12" s="62" t="s">
        <v>153</v>
      </c>
    </row>
    <row r="13" spans="2:4" x14ac:dyDescent="0.15">
      <c r="B13" s="62" t="s">
        <v>165</v>
      </c>
    </row>
    <row r="15" spans="2:4" ht="14" thickBot="1" x14ac:dyDescent="0.2"/>
    <row r="16" spans="2:4" ht="14" thickBot="1" x14ac:dyDescent="0.2">
      <c r="B16" s="47" t="s">
        <v>137</v>
      </c>
      <c r="C16" s="48"/>
      <c r="D16" s="30">
        <v>41373</v>
      </c>
    </row>
    <row r="17" spans="2:4" x14ac:dyDescent="0.15">
      <c r="B17" s="49" t="s">
        <v>58</v>
      </c>
      <c r="C17" s="33">
        <v>0</v>
      </c>
    </row>
    <row r="18" spans="2:4" x14ac:dyDescent="0.15">
      <c r="B18" s="49" t="s">
        <v>59</v>
      </c>
      <c r="C18" s="33">
        <v>1</v>
      </c>
    </row>
    <row r="19" spans="2:4" x14ac:dyDescent="0.15">
      <c r="B19" s="49" t="s">
        <v>60</v>
      </c>
      <c r="C19" s="33">
        <v>2</v>
      </c>
    </row>
    <row r="20" spans="2:4" ht="14" thickBot="1" x14ac:dyDescent="0.2">
      <c r="B20" s="50" t="s">
        <v>44</v>
      </c>
      <c r="C20" s="34">
        <v>3</v>
      </c>
    </row>
    <row r="21" spans="2:4" x14ac:dyDescent="0.15">
      <c r="B21" s="51" t="s">
        <v>140</v>
      </c>
    </row>
    <row r="22" spans="2:4" ht="14" thickBot="1" x14ac:dyDescent="0.2"/>
    <row r="23" spans="2:4" ht="14" thickBot="1" x14ac:dyDescent="0.2">
      <c r="B23" s="47" t="s">
        <v>65</v>
      </c>
      <c r="C23" s="48"/>
      <c r="D23" s="30" t="s">
        <v>148</v>
      </c>
    </row>
    <row r="24" spans="2:4" x14ac:dyDescent="0.15">
      <c r="B24" s="53" t="s">
        <v>38</v>
      </c>
      <c r="C24" s="31">
        <v>1</v>
      </c>
    </row>
    <row r="25" spans="2:4" x14ac:dyDescent="0.15">
      <c r="B25" s="49" t="s">
        <v>40</v>
      </c>
      <c r="C25" s="33">
        <v>1.1000000000000001</v>
      </c>
    </row>
    <row r="26" spans="2:4" x14ac:dyDescent="0.15">
      <c r="B26" s="49" t="s">
        <v>41</v>
      </c>
      <c r="C26" s="33">
        <v>1.2</v>
      </c>
    </row>
    <row r="27" spans="2:4" x14ac:dyDescent="0.15">
      <c r="B27" s="49"/>
      <c r="C27" s="33"/>
    </row>
    <row r="28" spans="2:4" x14ac:dyDescent="0.15">
      <c r="B28" s="49" t="s">
        <v>42</v>
      </c>
      <c r="C28" s="33">
        <v>2.1</v>
      </c>
    </row>
    <row r="29" spans="2:4" x14ac:dyDescent="0.15">
      <c r="B29" s="49" t="s">
        <v>43</v>
      </c>
      <c r="C29" s="33">
        <v>2.2000000000000002</v>
      </c>
    </row>
    <row r="30" spans="2:4" x14ac:dyDescent="0.15">
      <c r="B30" s="49" t="s">
        <v>67</v>
      </c>
      <c r="C30" s="33">
        <v>2.2999999999999998</v>
      </c>
    </row>
    <row r="31" spans="2:4" x14ac:dyDescent="0.15">
      <c r="B31" s="49"/>
      <c r="C31" s="33"/>
    </row>
    <row r="32" spans="2:4" x14ac:dyDescent="0.15">
      <c r="B32" s="49" t="s">
        <v>62</v>
      </c>
      <c r="C32" s="33">
        <v>3.11</v>
      </c>
    </row>
    <row r="33" spans="2:3" x14ac:dyDescent="0.15">
      <c r="B33" s="49" t="s">
        <v>61</v>
      </c>
      <c r="C33" s="33">
        <v>3.12</v>
      </c>
    </row>
    <row r="34" spans="2:3" x14ac:dyDescent="0.15">
      <c r="B34" s="49" t="s">
        <v>68</v>
      </c>
      <c r="C34" s="33">
        <v>3.13</v>
      </c>
    </row>
    <row r="35" spans="2:3" x14ac:dyDescent="0.15">
      <c r="B35" s="49"/>
      <c r="C35" s="33"/>
    </row>
    <row r="36" spans="2:3" x14ac:dyDescent="0.15">
      <c r="B36" s="49" t="s">
        <v>66</v>
      </c>
      <c r="C36" s="33">
        <v>3.21</v>
      </c>
    </row>
    <row r="37" spans="2:3" x14ac:dyDescent="0.15">
      <c r="B37" s="49" t="s">
        <v>63</v>
      </c>
      <c r="C37" s="33">
        <v>3.22</v>
      </c>
    </row>
    <row r="38" spans="2:3" x14ac:dyDescent="0.15">
      <c r="B38" s="49" t="s">
        <v>69</v>
      </c>
      <c r="C38" s="33">
        <v>3.23</v>
      </c>
    </row>
    <row r="39" spans="2:3" x14ac:dyDescent="0.15">
      <c r="B39" s="49"/>
      <c r="C39" s="33"/>
    </row>
    <row r="40" spans="2:3" x14ac:dyDescent="0.15">
      <c r="B40" s="49" t="s">
        <v>64</v>
      </c>
      <c r="C40" s="33">
        <v>8</v>
      </c>
    </row>
    <row r="41" spans="2:3" x14ac:dyDescent="0.15">
      <c r="B41" s="49"/>
      <c r="C41" s="33"/>
    </row>
    <row r="42" spans="2:3" x14ac:dyDescent="0.15">
      <c r="B42" s="49" t="s">
        <v>71</v>
      </c>
      <c r="C42" s="33">
        <v>4.0999999999999996</v>
      </c>
    </row>
    <row r="43" spans="2:3" x14ac:dyDescent="0.15">
      <c r="B43" s="49" t="s">
        <v>70</v>
      </c>
      <c r="C43" s="33">
        <v>4.2</v>
      </c>
    </row>
    <row r="44" spans="2:3" x14ac:dyDescent="0.15">
      <c r="B44" s="49" t="s">
        <v>72</v>
      </c>
      <c r="C44" s="33">
        <v>4.3</v>
      </c>
    </row>
    <row r="45" spans="2:3" x14ac:dyDescent="0.15">
      <c r="B45" s="32"/>
      <c r="C45" s="33"/>
    </row>
    <row r="46" spans="2:3" x14ac:dyDescent="0.15">
      <c r="B46" s="49" t="s">
        <v>138</v>
      </c>
      <c r="C46" s="33">
        <v>6.1</v>
      </c>
    </row>
    <row r="47" spans="2:3" x14ac:dyDescent="0.15">
      <c r="B47" s="49" t="s">
        <v>45</v>
      </c>
      <c r="C47" s="33">
        <v>6.2</v>
      </c>
    </row>
    <row r="48" spans="2:3" x14ac:dyDescent="0.15">
      <c r="B48" s="49"/>
      <c r="C48" s="33"/>
    </row>
    <row r="49" spans="2:4" x14ac:dyDescent="0.15">
      <c r="B49" s="49" t="s">
        <v>44</v>
      </c>
      <c r="C49" s="33">
        <v>5</v>
      </c>
    </row>
    <row r="50" spans="2:4" x14ac:dyDescent="0.15">
      <c r="B50" s="49"/>
      <c r="C50" s="33"/>
    </row>
    <row r="51" spans="2:4" ht="14" thickBot="1" x14ac:dyDescent="0.2">
      <c r="B51" s="50" t="s">
        <v>73</v>
      </c>
      <c r="C51" s="34">
        <v>7</v>
      </c>
    </row>
    <row r="53" spans="2:4" x14ac:dyDescent="0.15">
      <c r="B53" s="180" t="s">
        <v>171</v>
      </c>
      <c r="C53" s="112">
        <v>438</v>
      </c>
      <c r="D53" s="112"/>
    </row>
    <row r="54" spans="2:4" x14ac:dyDescent="0.15">
      <c r="B54" s="180" t="s">
        <v>172</v>
      </c>
      <c r="C54" s="180" t="s">
        <v>185</v>
      </c>
      <c r="D54" s="112"/>
    </row>
    <row r="55" spans="2:4" x14ac:dyDescent="0.15">
      <c r="B55" s="180" t="s">
        <v>173</v>
      </c>
      <c r="C55" s="180" t="s">
        <v>186</v>
      </c>
      <c r="D55" s="112"/>
    </row>
    <row r="56" spans="2:4" x14ac:dyDescent="0.15">
      <c r="B56" s="180" t="s">
        <v>174</v>
      </c>
      <c r="C56" s="112">
        <v>91351</v>
      </c>
      <c r="D56" s="112"/>
    </row>
    <row r="57" spans="2:4" x14ac:dyDescent="0.15">
      <c r="B57" s="180" t="s">
        <v>175</v>
      </c>
      <c r="C57" s="180" t="s">
        <v>187</v>
      </c>
      <c r="D57" s="112"/>
    </row>
    <row r="58" spans="2:4" x14ac:dyDescent="0.15">
      <c r="B58" s="180" t="s">
        <v>176</v>
      </c>
      <c r="C58" s="180" t="s">
        <v>188</v>
      </c>
      <c r="D58" s="112"/>
    </row>
    <row r="59" spans="2:4" x14ac:dyDescent="0.15">
      <c r="B59" s="180" t="s">
        <v>177</v>
      </c>
      <c r="C59" s="180" t="s">
        <v>189</v>
      </c>
      <c r="D59" s="112"/>
    </row>
    <row r="60" spans="2:4" x14ac:dyDescent="0.15">
      <c r="B60" s="180" t="s">
        <v>178</v>
      </c>
      <c r="C60" s="180" t="s">
        <v>190</v>
      </c>
      <c r="D60" s="112"/>
    </row>
    <row r="61" spans="2:4" x14ac:dyDescent="0.15">
      <c r="B61" s="180" t="s">
        <v>179</v>
      </c>
      <c r="C61" s="112">
        <v>40</v>
      </c>
      <c r="D61" s="112"/>
    </row>
    <row r="62" spans="2:4" x14ac:dyDescent="0.15">
      <c r="B62" s="180" t="s">
        <v>180</v>
      </c>
      <c r="C62" s="112">
        <v>1</v>
      </c>
      <c r="D62" s="112"/>
    </row>
    <row r="63" spans="2:4" x14ac:dyDescent="0.15">
      <c r="B63" s="180" t="s">
        <v>181</v>
      </c>
      <c r="C63" s="112">
        <v>1963</v>
      </c>
      <c r="D63" s="112"/>
    </row>
    <row r="64" spans="2:4" x14ac:dyDescent="0.15">
      <c r="B64" s="180" t="s">
        <v>182</v>
      </c>
      <c r="C64" s="112">
        <v>0</v>
      </c>
      <c r="D64" s="112"/>
    </row>
    <row r="65" spans="2:4" x14ac:dyDescent="0.15">
      <c r="B65" s="180" t="s">
        <v>183</v>
      </c>
      <c r="C65" s="180" t="s">
        <v>191</v>
      </c>
      <c r="D65" s="112"/>
    </row>
    <row r="66" spans="2:4" x14ac:dyDescent="0.15">
      <c r="B66" s="180" t="s">
        <v>184</v>
      </c>
      <c r="D66" s="112"/>
    </row>
    <row r="67" spans="2:4" x14ac:dyDescent="0.15">
      <c r="B67" s="112"/>
      <c r="C67" s="112"/>
      <c r="D67" s="112"/>
    </row>
    <row r="68" spans="2:4" x14ac:dyDescent="0.15">
      <c r="B68" s="112"/>
      <c r="C68" s="112"/>
      <c r="D68" s="112"/>
    </row>
  </sheetData>
  <phoneticPr fontId="2" type="noConversion"/>
  <pageMargins left="0.75" right="0.75" top="1" bottom="1" header="0.5" footer="0.5"/>
  <pageSetup orientation="portrai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tabColor indexed="45"/>
  </sheetPr>
  <dimension ref="A1:AT193"/>
  <sheetViews>
    <sheetView workbookViewId="0">
      <pane ySplit="1" topLeftCell="A2" activePane="bottomLeft" state="frozenSplit"/>
      <selection activeCell="E1" sqref="E1"/>
      <selection pane="bottomLeft" activeCell="Q8" sqref="Q8"/>
    </sheetView>
  </sheetViews>
  <sheetFormatPr baseColWidth="10" defaultColWidth="8.83203125" defaultRowHeight="15" customHeight="1" x14ac:dyDescent="0.15"/>
  <cols>
    <col min="1" max="1" width="22.5" style="82" customWidth="1"/>
    <col min="2" max="3" width="3.33203125" style="82" customWidth="1"/>
    <col min="4" max="4" width="14.33203125" style="82" customWidth="1"/>
    <col min="5" max="5" width="21.6640625" style="82" bestFit="1" customWidth="1"/>
    <col min="6" max="6" width="2.33203125" style="82" bestFit="1" customWidth="1"/>
    <col min="7" max="7" width="14.5" style="82" bestFit="1" customWidth="1"/>
    <col min="8" max="8" width="6.83203125" style="82" customWidth="1"/>
    <col min="9" max="10" width="11.83203125" style="82" customWidth="1"/>
    <col min="11" max="11" width="13.83203125" style="82" customWidth="1"/>
    <col min="12" max="12" width="2.33203125" style="82" customWidth="1"/>
    <col min="13" max="13" width="4.83203125" style="82" customWidth="1"/>
    <col min="14" max="14" width="2.33203125" style="82" customWidth="1"/>
    <col min="16" max="25" width="8.83203125" style="82"/>
    <col min="26" max="26" width="16.1640625" bestFit="1" customWidth="1"/>
    <col min="27" max="27" width="23.6640625" customWidth="1"/>
    <col min="28" max="28" width="18.83203125" bestFit="1" customWidth="1"/>
    <col min="29" max="29" width="18.83203125" customWidth="1"/>
    <col min="30" max="30" width="16.33203125" customWidth="1"/>
    <col min="32" max="32" width="41.83203125" bestFit="1" customWidth="1"/>
    <col min="39" max="39" width="33.33203125" bestFit="1" customWidth="1"/>
    <col min="47" max="16384" width="8.83203125" style="82"/>
  </cols>
  <sheetData>
    <row r="1" spans="1:46" s="99" customFormat="1" ht="15" customHeight="1" x14ac:dyDescent="0.15">
      <c r="A1" s="78" t="s">
        <v>18</v>
      </c>
      <c r="C1" s="79" t="s">
        <v>8</v>
      </c>
      <c r="D1" s="78" t="s">
        <v>23</v>
      </c>
      <c r="E1" s="78" t="s">
        <v>0</v>
      </c>
      <c r="F1" s="78" t="s">
        <v>7</v>
      </c>
      <c r="G1" s="80" t="s">
        <v>13</v>
      </c>
      <c r="H1" s="78" t="s">
        <v>1</v>
      </c>
      <c r="I1" s="78" t="s">
        <v>2</v>
      </c>
      <c r="J1" s="78" t="s">
        <v>14</v>
      </c>
      <c r="K1" s="78" t="s">
        <v>3</v>
      </c>
      <c r="L1" s="78" t="s">
        <v>4</v>
      </c>
      <c r="M1" s="78" t="s">
        <v>5</v>
      </c>
      <c r="N1" s="78" t="s">
        <v>6</v>
      </c>
      <c r="O1"/>
      <c r="Z1"/>
      <c r="AA1"/>
      <c r="AB1"/>
      <c r="AC1"/>
      <c r="AD1"/>
      <c r="AE1"/>
      <c r="AF1"/>
      <c r="AG1"/>
      <c r="AH1"/>
      <c r="AI1"/>
      <c r="AJ1"/>
      <c r="AK1"/>
      <c r="AL1"/>
      <c r="AM1"/>
      <c r="AN1"/>
      <c r="AO1"/>
      <c r="AP1"/>
      <c r="AQ1"/>
      <c r="AR1"/>
      <c r="AS1"/>
      <c r="AT1"/>
    </row>
    <row r="2" spans="1:46" ht="15" customHeight="1" x14ac:dyDescent="0.15">
      <c r="C2" s="99">
        <v>1</v>
      </c>
      <c r="D2"/>
      <c r="E2" s="181" t="s">
        <v>192</v>
      </c>
      <c r="F2" s="82">
        <v>0</v>
      </c>
      <c r="G2" s="82">
        <v>6.9999999999999999E-4</v>
      </c>
      <c r="H2" s="82">
        <v>0.02</v>
      </c>
      <c r="I2" s="6">
        <v>11</v>
      </c>
      <c r="J2" s="6">
        <v>0</v>
      </c>
      <c r="K2" s="6">
        <v>1.81818183E-3</v>
      </c>
      <c r="L2" s="6">
        <v>0</v>
      </c>
      <c r="M2" s="82">
        <v>0.2</v>
      </c>
      <c r="N2" s="82">
        <v>0</v>
      </c>
    </row>
    <row r="3" spans="1:46" ht="15" customHeight="1" x14ac:dyDescent="0.15">
      <c r="A3" s="1" t="s">
        <v>9</v>
      </c>
      <c r="B3" s="4">
        <v>39</v>
      </c>
      <c r="C3" s="82">
        <v>2</v>
      </c>
      <c r="D3"/>
      <c r="E3" s="181" t="s">
        <v>193</v>
      </c>
      <c r="F3" s="82">
        <v>0</v>
      </c>
      <c r="G3" s="82">
        <v>1.7451893499999999E-2</v>
      </c>
      <c r="H3" s="82">
        <v>3.4000000000000002E-2</v>
      </c>
      <c r="I3" s="82">
        <v>11.5</v>
      </c>
      <c r="J3" s="82">
        <v>0.93155396000000001</v>
      </c>
      <c r="K3" s="82">
        <v>2.9565220000000001E-3</v>
      </c>
      <c r="L3" s="82">
        <v>0</v>
      </c>
      <c r="M3" s="82">
        <v>0.2</v>
      </c>
      <c r="N3" s="82">
        <v>0</v>
      </c>
    </row>
    <row r="4" spans="1:46" ht="15" customHeight="1" x14ac:dyDescent="0.15">
      <c r="A4" s="1" t="s">
        <v>10</v>
      </c>
      <c r="B4" s="4">
        <v>2</v>
      </c>
      <c r="C4" s="82">
        <v>3</v>
      </c>
      <c r="D4"/>
      <c r="E4" s="181" t="s">
        <v>194</v>
      </c>
      <c r="F4" s="82">
        <v>0</v>
      </c>
      <c r="G4" s="82">
        <v>3.61E-2</v>
      </c>
      <c r="H4" s="82">
        <v>9.6299999999999997E-2</v>
      </c>
      <c r="I4" s="82">
        <v>10.92</v>
      </c>
      <c r="J4" s="82">
        <v>0.63954920000000004</v>
      </c>
      <c r="K4" s="82">
        <v>8.8186810000000001E-3</v>
      </c>
      <c r="L4" s="82">
        <v>0</v>
      </c>
      <c r="M4" s="82">
        <v>0.2</v>
      </c>
      <c r="N4" s="82">
        <v>0</v>
      </c>
      <c r="V4" s="1" t="s">
        <v>29</v>
      </c>
    </row>
    <row r="5" spans="1:46" ht="15" customHeight="1" thickBot="1" x14ac:dyDescent="0.2">
      <c r="A5" s="1" t="s">
        <v>11</v>
      </c>
      <c r="B5" s="4">
        <v>1</v>
      </c>
      <c r="C5" s="82">
        <v>4</v>
      </c>
      <c r="D5"/>
      <c r="E5" s="181" t="s">
        <v>195</v>
      </c>
      <c r="F5" s="82">
        <v>0</v>
      </c>
      <c r="G5" s="82">
        <v>2.39263341E-6</v>
      </c>
      <c r="H5" s="82">
        <v>2.0199999999999999E-2</v>
      </c>
      <c r="I5" s="82">
        <v>227.859375</v>
      </c>
      <c r="J5" s="82">
        <v>0</v>
      </c>
      <c r="K5" s="82">
        <v>8.865116E-5</v>
      </c>
      <c r="L5" s="82">
        <v>0</v>
      </c>
      <c r="M5" s="82">
        <v>0.01</v>
      </c>
      <c r="N5" s="82">
        <v>0</v>
      </c>
      <c r="P5" s="71"/>
      <c r="Q5" s="71"/>
      <c r="R5" s="71"/>
    </row>
    <row r="6" spans="1:46" ht="15" customHeight="1" thickBot="1" x14ac:dyDescent="0.2">
      <c r="B6" s="1"/>
      <c r="C6" s="82">
        <v>5</v>
      </c>
      <c r="D6"/>
      <c r="E6" s="181" t="s">
        <v>196</v>
      </c>
      <c r="F6" s="82">
        <v>0</v>
      </c>
      <c r="G6" s="82">
        <v>9.0790649999999994E-5</v>
      </c>
      <c r="H6" s="82">
        <v>0.59</v>
      </c>
      <c r="I6" s="82">
        <v>86.455709999999996</v>
      </c>
      <c r="J6" s="82">
        <v>0.81767553100000001</v>
      </c>
      <c r="K6" s="82">
        <v>6.8243030000000003E-3</v>
      </c>
      <c r="L6" s="82">
        <v>0</v>
      </c>
      <c r="M6" s="82">
        <v>0.2</v>
      </c>
      <c r="N6" s="82">
        <v>0</v>
      </c>
      <c r="P6" s="71"/>
      <c r="Q6" s="71"/>
      <c r="R6" s="71"/>
      <c r="W6" s="36" t="s">
        <v>31</v>
      </c>
      <c r="X6" s="52">
        <f>MAX(MainOutputs!G:G)</f>
        <v>0.99154525995254517</v>
      </c>
    </row>
    <row r="7" spans="1:46" ht="15" customHeight="1" x14ac:dyDescent="0.15">
      <c r="A7" s="2" t="s">
        <v>27</v>
      </c>
      <c r="B7" s="82">
        <f ca="1">COUNTIF(OFFSET(cornerDiets,1,1,NumLiving+NumDead+1,NumLiving+NumDead),"&gt;0")+NumLiving+NumDead+1</f>
        <v>523</v>
      </c>
      <c r="C7" s="82">
        <v>6</v>
      </c>
      <c r="D7"/>
      <c r="E7" s="181" t="s">
        <v>197</v>
      </c>
      <c r="F7" s="82">
        <v>0</v>
      </c>
      <c r="G7" s="82">
        <v>1.4426874700000001E-3</v>
      </c>
      <c r="H7" s="82">
        <v>0.19</v>
      </c>
      <c r="I7" s="82">
        <v>40.537342099999996</v>
      </c>
      <c r="J7" s="82">
        <v>0.74969730000000001</v>
      </c>
      <c r="K7" s="82">
        <v>4.6870363899999996E-3</v>
      </c>
      <c r="L7" s="82">
        <v>0</v>
      </c>
      <c r="M7" s="82">
        <v>0.2</v>
      </c>
      <c r="N7" s="82">
        <v>0</v>
      </c>
      <c r="P7" s="71"/>
      <c r="Q7" s="71"/>
      <c r="R7" s="71"/>
    </row>
    <row r="8" spans="1:46" ht="15" customHeight="1" x14ac:dyDescent="0.15">
      <c r="A8" s="2" t="s">
        <v>28</v>
      </c>
      <c r="B8" s="82">
        <f ca="1">COUNTIF(OFFSET(cornerFishing,1,2,NumLiving+NumDead,NumGears),"&gt;0")+NumDead*COUNTIF(OFFSET(cornerDiscards,1,2,NumLiving+NumDead,NumGears),"&gt;0")+NumLiving+NumDead+1</f>
        <v>71</v>
      </c>
      <c r="C8" s="82">
        <v>7</v>
      </c>
      <c r="D8"/>
      <c r="E8" s="181" t="s">
        <v>198</v>
      </c>
      <c r="F8" s="82">
        <v>0</v>
      </c>
      <c r="G8" s="82">
        <v>1.2999999999999999E-2</v>
      </c>
      <c r="H8" s="82">
        <v>0.11</v>
      </c>
      <c r="I8" s="82">
        <v>25.5</v>
      </c>
      <c r="J8" s="82">
        <v>0.69999990000000001</v>
      </c>
      <c r="K8" s="82">
        <v>4.3137255099999997E-3</v>
      </c>
      <c r="L8" s="82">
        <v>0</v>
      </c>
      <c r="M8" s="82">
        <v>0.2</v>
      </c>
      <c r="N8" s="82">
        <v>0</v>
      </c>
      <c r="P8" s="71"/>
      <c r="Q8" s="71"/>
      <c r="R8" s="71"/>
    </row>
    <row r="9" spans="1:46" ht="15" customHeight="1" x14ac:dyDescent="0.15">
      <c r="B9" s="1"/>
      <c r="C9" s="82">
        <v>8</v>
      </c>
      <c r="D9"/>
      <c r="E9" s="181" t="s">
        <v>199</v>
      </c>
      <c r="F9" s="82">
        <v>0</v>
      </c>
      <c r="G9" s="82">
        <v>4.1000000000000002E-2</v>
      </c>
      <c r="H9" s="82">
        <v>0.21</v>
      </c>
      <c r="I9" s="82">
        <v>28.85</v>
      </c>
      <c r="J9" s="82">
        <v>0.79936116899999998</v>
      </c>
      <c r="K9" s="82">
        <v>7.2790290000000002E-3</v>
      </c>
      <c r="L9" s="82">
        <v>0</v>
      </c>
      <c r="M9" s="82">
        <v>0.2</v>
      </c>
      <c r="N9" s="82">
        <v>0</v>
      </c>
      <c r="P9" s="71"/>
      <c r="Q9" s="71"/>
      <c r="R9" s="71"/>
    </row>
    <row r="10" spans="1:46" ht="15" customHeight="1" x14ac:dyDescent="0.15">
      <c r="B10" s="1"/>
      <c r="C10" s="82">
        <v>9</v>
      </c>
      <c r="D10"/>
      <c r="E10" s="181" t="s">
        <v>200</v>
      </c>
      <c r="F10" s="82">
        <v>0</v>
      </c>
      <c r="G10" s="82">
        <v>3.0000000000000001E-5</v>
      </c>
      <c r="H10" s="82">
        <v>0.21</v>
      </c>
      <c r="I10" s="82">
        <v>85</v>
      </c>
      <c r="J10" s="82">
        <v>0</v>
      </c>
      <c r="K10" s="82">
        <v>2.4705880000000001E-3</v>
      </c>
      <c r="L10" s="82">
        <v>0</v>
      </c>
      <c r="M10" s="82">
        <v>0.2</v>
      </c>
      <c r="N10" s="82">
        <v>0</v>
      </c>
    </row>
    <row r="11" spans="1:46" ht="15" customHeight="1" x14ac:dyDescent="0.15">
      <c r="C11" s="82">
        <v>10</v>
      </c>
      <c r="D11"/>
      <c r="E11" s="181" t="s">
        <v>201</v>
      </c>
      <c r="F11" s="82">
        <v>0</v>
      </c>
      <c r="G11" s="82">
        <v>5.9540000000000001E-3</v>
      </c>
      <c r="H11" s="82">
        <v>0.38</v>
      </c>
      <c r="I11" s="82">
        <v>68</v>
      </c>
      <c r="J11" s="82">
        <v>0.38981702899999998</v>
      </c>
      <c r="K11" s="82">
        <v>5.58823533E-3</v>
      </c>
      <c r="L11" s="82">
        <v>0</v>
      </c>
      <c r="M11" s="82">
        <v>0.2</v>
      </c>
      <c r="N11" s="82">
        <v>0</v>
      </c>
    </row>
    <row r="12" spans="1:46" ht="15" customHeight="1" x14ac:dyDescent="0.15">
      <c r="C12" s="82">
        <v>11</v>
      </c>
      <c r="D12"/>
      <c r="E12" s="181" t="s">
        <v>202</v>
      </c>
      <c r="F12" s="82">
        <v>0</v>
      </c>
      <c r="G12" s="82">
        <v>0.01</v>
      </c>
      <c r="H12" s="82">
        <v>0.13</v>
      </c>
      <c r="I12" s="82">
        <v>1.3</v>
      </c>
      <c r="J12" s="82">
        <v>7.0417400000000005E-2</v>
      </c>
      <c r="K12" s="82">
        <v>0.1</v>
      </c>
      <c r="L12" s="82">
        <v>0</v>
      </c>
      <c r="M12" s="82">
        <v>0.2</v>
      </c>
      <c r="N12" s="82">
        <v>0</v>
      </c>
    </row>
    <row r="13" spans="1:46" ht="15" customHeight="1" x14ac:dyDescent="0.15">
      <c r="C13" s="82">
        <v>12</v>
      </c>
      <c r="D13"/>
      <c r="E13" s="181" t="s">
        <v>203</v>
      </c>
      <c r="F13" s="82">
        <v>0</v>
      </c>
      <c r="G13" s="82">
        <v>0.251</v>
      </c>
      <c r="H13" s="82">
        <v>0.12</v>
      </c>
      <c r="I13" s="82">
        <v>1.1999999299999999</v>
      </c>
      <c r="J13" s="82">
        <v>0.70576320000000003</v>
      </c>
      <c r="K13" s="82">
        <v>0.1</v>
      </c>
      <c r="L13" s="82">
        <v>0</v>
      </c>
      <c r="M13" s="82">
        <v>0.2</v>
      </c>
      <c r="N13" s="82">
        <v>0</v>
      </c>
    </row>
    <row r="14" spans="1:46" ht="15" customHeight="1" x14ac:dyDescent="0.15">
      <c r="C14" s="82">
        <v>13</v>
      </c>
      <c r="D14"/>
      <c r="E14" s="181" t="s">
        <v>204</v>
      </c>
      <c r="F14" s="82">
        <v>0</v>
      </c>
      <c r="G14" s="82">
        <v>1.1100000000000001</v>
      </c>
      <c r="H14" s="82">
        <v>2.1</v>
      </c>
      <c r="I14" s="82">
        <v>10.499999000000001</v>
      </c>
      <c r="J14" s="82">
        <v>0.34556552800000001</v>
      </c>
      <c r="K14" s="82">
        <v>0.2</v>
      </c>
      <c r="L14" s="82">
        <v>0</v>
      </c>
      <c r="M14" s="82">
        <v>0.2</v>
      </c>
      <c r="N14" s="82">
        <v>0</v>
      </c>
    </row>
    <row r="15" spans="1:46" ht="15" customHeight="1" x14ac:dyDescent="0.15">
      <c r="C15" s="82">
        <v>14</v>
      </c>
      <c r="D15"/>
      <c r="E15" s="181" t="s">
        <v>205</v>
      </c>
      <c r="F15" s="82">
        <v>0</v>
      </c>
      <c r="G15" s="82">
        <v>3.44353877E-2</v>
      </c>
      <c r="H15" s="82">
        <v>0.22</v>
      </c>
      <c r="I15" s="82">
        <v>1.1000000000000001</v>
      </c>
      <c r="J15" s="82">
        <v>0.95</v>
      </c>
      <c r="K15" s="82">
        <v>0.2</v>
      </c>
      <c r="L15" s="82">
        <v>0</v>
      </c>
      <c r="M15" s="82">
        <v>0.2</v>
      </c>
      <c r="N15" s="82">
        <v>0</v>
      </c>
    </row>
    <row r="16" spans="1:46" ht="15" customHeight="1" x14ac:dyDescent="0.15">
      <c r="C16" s="82">
        <v>15</v>
      </c>
      <c r="D16"/>
      <c r="E16" s="181" t="s">
        <v>206</v>
      </c>
      <c r="F16" s="82">
        <v>0</v>
      </c>
      <c r="G16" s="82">
        <v>0.92398130000000001</v>
      </c>
      <c r="H16" s="82">
        <v>0.89</v>
      </c>
      <c r="I16" s="82">
        <v>4.45</v>
      </c>
      <c r="J16" s="82">
        <v>0.95</v>
      </c>
      <c r="K16" s="82">
        <v>0.2</v>
      </c>
      <c r="L16" s="82">
        <v>0</v>
      </c>
      <c r="M16" s="82">
        <v>0.2</v>
      </c>
      <c r="N16" s="82">
        <v>0</v>
      </c>
    </row>
    <row r="17" spans="1:22" ht="15" customHeight="1" x14ac:dyDescent="0.15">
      <c r="C17" s="82">
        <v>16</v>
      </c>
      <c r="D17"/>
      <c r="E17" s="181" t="s">
        <v>207</v>
      </c>
      <c r="F17" s="82">
        <v>0</v>
      </c>
      <c r="G17" s="82">
        <v>1.3</v>
      </c>
      <c r="H17" s="82">
        <v>1.1499999999999999</v>
      </c>
      <c r="I17" s="82">
        <v>5.75</v>
      </c>
      <c r="J17" s="82">
        <v>0.59245485099999995</v>
      </c>
      <c r="K17" s="82">
        <v>0.2</v>
      </c>
      <c r="L17" s="82">
        <v>0</v>
      </c>
      <c r="M17" s="82">
        <v>0.2</v>
      </c>
      <c r="N17" s="82">
        <v>0</v>
      </c>
      <c r="V17" s="1" t="s">
        <v>30</v>
      </c>
    </row>
    <row r="18" spans="1:22" ht="15" customHeight="1" x14ac:dyDescent="0.15">
      <c r="C18" s="82">
        <v>17</v>
      </c>
      <c r="D18"/>
      <c r="E18" s="181" t="s">
        <v>208</v>
      </c>
      <c r="F18" s="82">
        <v>0</v>
      </c>
      <c r="G18" s="82">
        <v>0.34499999999999997</v>
      </c>
      <c r="H18" s="82">
        <v>1.27</v>
      </c>
      <c r="I18" s="82">
        <v>6.35</v>
      </c>
      <c r="J18" s="82">
        <v>0.99154424699999999</v>
      </c>
      <c r="K18" s="82">
        <v>0.2</v>
      </c>
      <c r="L18" s="82">
        <v>0</v>
      </c>
      <c r="M18" s="82">
        <v>0.2</v>
      </c>
      <c r="N18" s="82">
        <v>0</v>
      </c>
      <c r="V18" s="1"/>
    </row>
    <row r="19" spans="1:22" ht="15" customHeight="1" x14ac:dyDescent="0.15">
      <c r="C19" s="82">
        <v>18</v>
      </c>
      <c r="D19"/>
      <c r="E19" s="181" t="s">
        <v>209</v>
      </c>
      <c r="F19" s="82">
        <v>0</v>
      </c>
      <c r="G19" s="82">
        <v>5.4057165999999999E-3</v>
      </c>
      <c r="H19" s="82">
        <v>1.2</v>
      </c>
      <c r="I19" s="82">
        <v>5.8908205000000002</v>
      </c>
      <c r="J19" s="82">
        <v>0.89000990000000002</v>
      </c>
      <c r="K19" s="82">
        <v>0.20370677100000001</v>
      </c>
      <c r="L19" s="82">
        <v>0</v>
      </c>
      <c r="M19" s="82">
        <v>0.2</v>
      </c>
      <c r="N19" s="82">
        <v>0</v>
      </c>
    </row>
    <row r="20" spans="1:22" ht="15" customHeight="1" thickBot="1" x14ac:dyDescent="0.2">
      <c r="C20" s="82">
        <v>19</v>
      </c>
      <c r="D20"/>
      <c r="E20" s="181" t="s">
        <v>210</v>
      </c>
      <c r="F20" s="82">
        <v>0</v>
      </c>
      <c r="G20" s="82">
        <v>0.2</v>
      </c>
      <c r="H20" s="82">
        <v>0.3</v>
      </c>
      <c r="I20" s="82">
        <v>1.5</v>
      </c>
      <c r="J20" s="82">
        <v>0.86951270000000003</v>
      </c>
      <c r="K20" s="82">
        <v>0.2</v>
      </c>
      <c r="L20" s="82">
        <v>0</v>
      </c>
      <c r="M20" s="82">
        <v>0.2</v>
      </c>
      <c r="N20" s="82">
        <v>0</v>
      </c>
    </row>
    <row r="21" spans="1:22" ht="15" customHeight="1" thickBot="1" x14ac:dyDescent="0.2">
      <c r="A21" s="47" t="s">
        <v>137</v>
      </c>
      <c r="B21" s="100"/>
      <c r="C21" s="82">
        <v>20</v>
      </c>
      <c r="D21"/>
      <c r="E21" s="181" t="s">
        <v>211</v>
      </c>
      <c r="F21" s="82">
        <v>0</v>
      </c>
      <c r="G21" s="82">
        <v>2.38</v>
      </c>
      <c r="H21" s="82">
        <v>7.0000000000000007E-2</v>
      </c>
      <c r="I21" s="82">
        <v>0.35</v>
      </c>
      <c r="J21" s="82">
        <v>0.83365469999999997</v>
      </c>
      <c r="K21" s="82">
        <v>0.2</v>
      </c>
      <c r="L21" s="82">
        <v>0</v>
      </c>
      <c r="M21" s="82">
        <v>0.2</v>
      </c>
      <c r="N21" s="82">
        <v>0</v>
      </c>
    </row>
    <row r="22" spans="1:22" ht="15" customHeight="1" x14ac:dyDescent="0.15">
      <c r="A22" s="101" t="s">
        <v>58</v>
      </c>
      <c r="B22" s="102">
        <v>0</v>
      </c>
      <c r="C22" s="82">
        <v>21</v>
      </c>
      <c r="D22"/>
      <c r="E22" s="181" t="s">
        <v>212</v>
      </c>
      <c r="F22" s="82">
        <v>0</v>
      </c>
      <c r="G22" s="82">
        <v>0.68242420000000004</v>
      </c>
      <c r="H22" s="82">
        <v>0.107</v>
      </c>
      <c r="I22" s="82">
        <v>0.53499996699999997</v>
      </c>
      <c r="J22" s="82">
        <v>0.95</v>
      </c>
      <c r="K22" s="82">
        <v>0.2</v>
      </c>
      <c r="L22" s="82">
        <v>0</v>
      </c>
      <c r="M22" s="82">
        <v>0.2</v>
      </c>
      <c r="N22" s="82">
        <v>0</v>
      </c>
    </row>
    <row r="23" spans="1:22" ht="15" customHeight="1" x14ac:dyDescent="0.15">
      <c r="A23" s="101" t="s">
        <v>59</v>
      </c>
      <c r="B23" s="102">
        <v>1</v>
      </c>
      <c r="C23" s="82">
        <v>22</v>
      </c>
      <c r="D23"/>
      <c r="E23" s="181" t="s">
        <v>213</v>
      </c>
      <c r="F23" s="82">
        <v>0</v>
      </c>
      <c r="G23" s="82">
        <v>2.62234569</v>
      </c>
      <c r="H23" s="82">
        <v>2.1999999999999999E-2</v>
      </c>
      <c r="I23" s="82">
        <v>0.11</v>
      </c>
      <c r="J23" s="82">
        <v>0.95</v>
      </c>
      <c r="K23" s="82">
        <v>0.2</v>
      </c>
      <c r="L23" s="82">
        <v>0</v>
      </c>
      <c r="M23" s="82">
        <v>0.2</v>
      </c>
      <c r="N23" s="82">
        <v>0</v>
      </c>
    </row>
    <row r="24" spans="1:22" ht="15" customHeight="1" x14ac:dyDescent="0.15">
      <c r="A24" s="101" t="s">
        <v>60</v>
      </c>
      <c r="B24" s="102">
        <v>2</v>
      </c>
      <c r="C24" s="82">
        <v>23</v>
      </c>
      <c r="D24"/>
      <c r="E24" s="181" t="s">
        <v>214</v>
      </c>
      <c r="F24" s="82">
        <v>0</v>
      </c>
      <c r="G24" s="82">
        <v>0.89</v>
      </c>
      <c r="H24" s="82">
        <v>0.13</v>
      </c>
      <c r="I24" s="82">
        <v>0.65</v>
      </c>
      <c r="J24" s="82">
        <v>0.36743652799999998</v>
      </c>
      <c r="K24" s="82">
        <v>0.2</v>
      </c>
      <c r="L24" s="82">
        <v>0</v>
      </c>
      <c r="M24" s="82">
        <v>0.2</v>
      </c>
      <c r="N24" s="82">
        <v>0</v>
      </c>
    </row>
    <row r="25" spans="1:22" ht="15" customHeight="1" thickBot="1" x14ac:dyDescent="0.2">
      <c r="A25" s="103" t="s">
        <v>44</v>
      </c>
      <c r="B25" s="104">
        <v>3</v>
      </c>
      <c r="C25" s="82">
        <v>24</v>
      </c>
      <c r="D25"/>
      <c r="E25" s="181" t="s">
        <v>215</v>
      </c>
      <c r="F25" s="82">
        <v>0</v>
      </c>
      <c r="G25" s="82">
        <v>0.28000000000000003</v>
      </c>
      <c r="H25" s="82">
        <v>0.37</v>
      </c>
      <c r="I25" s="82">
        <v>1.85</v>
      </c>
      <c r="J25" s="82">
        <v>0.90673550000000003</v>
      </c>
      <c r="K25" s="82">
        <v>0.2</v>
      </c>
      <c r="L25" s="82">
        <v>0</v>
      </c>
      <c r="M25" s="82">
        <v>0.2</v>
      </c>
      <c r="N25" s="82">
        <v>0</v>
      </c>
    </row>
    <row r="26" spans="1:22" ht="15" customHeight="1" x14ac:dyDescent="0.15">
      <c r="A26" s="105" t="s">
        <v>140</v>
      </c>
      <c r="C26" s="82">
        <v>25</v>
      </c>
      <c r="D26"/>
      <c r="E26" s="181" t="s">
        <v>216</v>
      </c>
      <c r="F26" s="82">
        <v>0</v>
      </c>
      <c r="G26" s="82">
        <v>0.26</v>
      </c>
      <c r="H26" s="82">
        <v>0.36</v>
      </c>
      <c r="I26" s="82">
        <v>1.8000000700000001</v>
      </c>
      <c r="J26" s="82">
        <v>0.98480844499999998</v>
      </c>
      <c r="K26" s="82">
        <v>0.2</v>
      </c>
      <c r="L26" s="82">
        <v>0</v>
      </c>
      <c r="M26" s="82">
        <v>0.2</v>
      </c>
      <c r="N26" s="82">
        <v>0</v>
      </c>
    </row>
    <row r="27" spans="1:22" ht="15" customHeight="1" x14ac:dyDescent="0.15">
      <c r="C27" s="82">
        <v>26</v>
      </c>
      <c r="D27"/>
      <c r="E27" s="181" t="s">
        <v>217</v>
      </c>
      <c r="F27" s="82">
        <v>0</v>
      </c>
      <c r="G27" s="82">
        <v>0.6</v>
      </c>
      <c r="H27" s="82">
        <v>0.2</v>
      </c>
      <c r="I27" s="82">
        <v>1</v>
      </c>
      <c r="J27" s="82">
        <v>0.80594290000000002</v>
      </c>
      <c r="K27" s="82">
        <v>0.2</v>
      </c>
      <c r="L27" s="82">
        <v>0</v>
      </c>
      <c r="M27" s="82">
        <v>0.2</v>
      </c>
      <c r="N27" s="82">
        <v>0</v>
      </c>
    </row>
    <row r="28" spans="1:22" ht="15" customHeight="1" x14ac:dyDescent="0.15">
      <c r="C28" s="82">
        <v>27</v>
      </c>
      <c r="D28"/>
      <c r="E28" s="181" t="s">
        <v>218</v>
      </c>
      <c r="F28" s="82">
        <v>0</v>
      </c>
      <c r="G28" s="82">
        <v>0.198297635</v>
      </c>
      <c r="H28" s="82">
        <v>0.26700000000000002</v>
      </c>
      <c r="I28" s="82">
        <v>1.33499992</v>
      </c>
      <c r="J28" s="82">
        <v>0.95</v>
      </c>
      <c r="K28" s="82">
        <v>0.2</v>
      </c>
      <c r="L28" s="82">
        <v>0</v>
      </c>
      <c r="M28" s="82">
        <v>0.2</v>
      </c>
      <c r="N28" s="82">
        <v>0</v>
      </c>
    </row>
    <row r="29" spans="1:22" customFormat="1" ht="15" customHeight="1" x14ac:dyDescent="0.15">
      <c r="C29" s="82">
        <v>28</v>
      </c>
      <c r="E29" s="181" t="s">
        <v>219</v>
      </c>
      <c r="F29" s="82">
        <v>0</v>
      </c>
      <c r="G29" s="82">
        <v>1.75313652</v>
      </c>
      <c r="H29" s="82">
        <v>0.26300000000000001</v>
      </c>
      <c r="I29" s="82">
        <v>1.3149999999999999</v>
      </c>
      <c r="J29" s="82">
        <v>0.95</v>
      </c>
      <c r="K29" s="82">
        <v>0.2</v>
      </c>
      <c r="L29" s="82">
        <v>0</v>
      </c>
      <c r="M29" s="82">
        <v>0.2</v>
      </c>
      <c r="N29" s="82">
        <v>0</v>
      </c>
    </row>
    <row r="30" spans="1:22" customFormat="1" ht="15" customHeight="1" x14ac:dyDescent="0.15">
      <c r="C30" s="82">
        <v>29</v>
      </c>
      <c r="E30" s="181" t="s">
        <v>220</v>
      </c>
      <c r="F30" s="82">
        <v>0</v>
      </c>
      <c r="G30" s="82">
        <v>1.0237852300000001</v>
      </c>
      <c r="H30" s="82">
        <v>1.07</v>
      </c>
      <c r="I30" s="82">
        <v>4.28</v>
      </c>
      <c r="J30" s="82">
        <v>0.95</v>
      </c>
      <c r="K30" s="82">
        <v>0.25</v>
      </c>
      <c r="L30" s="82">
        <v>0</v>
      </c>
      <c r="M30" s="82">
        <v>0.2</v>
      </c>
      <c r="N30" s="82">
        <v>0</v>
      </c>
    </row>
    <row r="31" spans="1:22" customFormat="1" ht="15" customHeight="1" x14ac:dyDescent="0.15">
      <c r="C31" s="82">
        <v>30</v>
      </c>
      <c r="E31" s="181" t="s">
        <v>221</v>
      </c>
      <c r="F31" s="82">
        <v>0</v>
      </c>
      <c r="G31" s="82">
        <v>0.143090144</v>
      </c>
      <c r="H31" s="82">
        <v>0.45</v>
      </c>
      <c r="I31" s="82">
        <v>2.25</v>
      </c>
      <c r="J31" s="82">
        <v>0.95</v>
      </c>
      <c r="K31" s="82">
        <v>0.2</v>
      </c>
      <c r="L31" s="82">
        <v>0</v>
      </c>
      <c r="M31" s="82">
        <v>0.2</v>
      </c>
      <c r="N31" s="82">
        <v>0</v>
      </c>
    </row>
    <row r="32" spans="1:22" customFormat="1" ht="15" customHeight="1" x14ac:dyDescent="0.15">
      <c r="C32" s="82">
        <v>31</v>
      </c>
      <c r="E32" s="181" t="s">
        <v>222</v>
      </c>
      <c r="F32" s="82">
        <v>0</v>
      </c>
      <c r="G32" s="82">
        <v>1.3716431899999999</v>
      </c>
      <c r="H32" s="82">
        <v>1</v>
      </c>
      <c r="I32" s="82">
        <v>4</v>
      </c>
      <c r="J32" s="82">
        <v>0.5</v>
      </c>
      <c r="K32" s="82">
        <v>0.25</v>
      </c>
      <c r="L32" s="82">
        <v>0</v>
      </c>
      <c r="M32" s="82">
        <v>0.2</v>
      </c>
      <c r="N32" s="82">
        <v>0</v>
      </c>
    </row>
    <row r="33" spans="3:14" customFormat="1" ht="15" customHeight="1" x14ac:dyDescent="0.15">
      <c r="C33" s="82">
        <v>32</v>
      </c>
      <c r="E33" s="181" t="s">
        <v>223</v>
      </c>
      <c r="F33" s="82">
        <v>0</v>
      </c>
      <c r="G33" s="82">
        <v>2.5599780000000001</v>
      </c>
      <c r="H33" s="82">
        <v>2</v>
      </c>
      <c r="I33" s="82">
        <v>13</v>
      </c>
      <c r="J33" s="82">
        <v>0.95</v>
      </c>
      <c r="K33" s="82">
        <v>0.15384616000000001</v>
      </c>
      <c r="L33" s="82">
        <v>0</v>
      </c>
      <c r="M33" s="82">
        <v>0.2</v>
      </c>
      <c r="N33" s="82">
        <v>0</v>
      </c>
    </row>
    <row r="34" spans="3:14" customFormat="1" ht="15" customHeight="1" x14ac:dyDescent="0.15">
      <c r="C34" s="82">
        <v>33</v>
      </c>
      <c r="E34" s="181" t="s">
        <v>224</v>
      </c>
      <c r="F34" s="82">
        <v>0</v>
      </c>
      <c r="G34" s="82">
        <v>50</v>
      </c>
      <c r="H34" s="82">
        <v>2</v>
      </c>
      <c r="I34" s="82">
        <v>17</v>
      </c>
      <c r="J34" s="82">
        <v>0.27470076100000002</v>
      </c>
      <c r="K34" s="82">
        <v>0.117647059</v>
      </c>
      <c r="L34" s="82">
        <v>0</v>
      </c>
      <c r="M34" s="82">
        <v>0.2</v>
      </c>
      <c r="N34" s="82">
        <v>0</v>
      </c>
    </row>
    <row r="35" spans="3:14" customFormat="1" ht="15" customHeight="1" x14ac:dyDescent="0.15">
      <c r="C35" s="82">
        <v>34</v>
      </c>
      <c r="E35" s="181" t="s">
        <v>225</v>
      </c>
      <c r="F35" s="82">
        <v>0</v>
      </c>
      <c r="G35" s="82">
        <v>2.90795016</v>
      </c>
      <c r="H35" s="82">
        <v>1.3</v>
      </c>
      <c r="I35" s="82">
        <v>8.6666659999999993</v>
      </c>
      <c r="J35" s="82">
        <v>0.95</v>
      </c>
      <c r="K35" s="82">
        <v>0.15</v>
      </c>
      <c r="L35" s="82">
        <v>0</v>
      </c>
      <c r="M35" s="82">
        <v>0.2</v>
      </c>
      <c r="N35" s="82">
        <v>0</v>
      </c>
    </row>
    <row r="36" spans="3:14" customFormat="1" ht="15" customHeight="1" x14ac:dyDescent="0.15">
      <c r="C36" s="82">
        <v>35</v>
      </c>
      <c r="E36" s="181" t="s">
        <v>226</v>
      </c>
      <c r="F36" s="82">
        <v>0</v>
      </c>
      <c r="G36" s="82">
        <v>0.22600483900000001</v>
      </c>
      <c r="H36" s="82">
        <v>2.5499999999999998</v>
      </c>
      <c r="I36" s="82">
        <v>10</v>
      </c>
      <c r="J36" s="82">
        <v>0.95</v>
      </c>
      <c r="K36" s="82">
        <v>0.255</v>
      </c>
      <c r="L36" s="82">
        <v>0</v>
      </c>
      <c r="M36" s="82">
        <v>0.2</v>
      </c>
      <c r="N36" s="82">
        <v>0</v>
      </c>
    </row>
    <row r="37" spans="3:14" customFormat="1" ht="15" customHeight="1" x14ac:dyDescent="0.15">
      <c r="C37" s="82">
        <v>36</v>
      </c>
      <c r="E37" s="181" t="s">
        <v>227</v>
      </c>
      <c r="F37" s="82">
        <v>0</v>
      </c>
      <c r="G37" s="82">
        <v>40</v>
      </c>
      <c r="H37" s="82">
        <v>4.3</v>
      </c>
      <c r="I37" s="82">
        <v>16.899999999999999</v>
      </c>
      <c r="J37" s="82">
        <v>0.82440139999999995</v>
      </c>
      <c r="K37" s="82">
        <v>0.25443789999999999</v>
      </c>
      <c r="L37" s="82">
        <v>0</v>
      </c>
      <c r="M37" s="82">
        <v>0.2</v>
      </c>
      <c r="N37" s="82">
        <v>0</v>
      </c>
    </row>
    <row r="38" spans="3:14" customFormat="1" ht="15" customHeight="1" x14ac:dyDescent="0.15">
      <c r="C38" s="82">
        <v>37</v>
      </c>
      <c r="E38" s="181" t="s">
        <v>228</v>
      </c>
      <c r="F38" s="82">
        <v>0</v>
      </c>
      <c r="G38" s="82">
        <v>17.153182999999999</v>
      </c>
      <c r="H38" s="82">
        <v>20</v>
      </c>
      <c r="I38" s="82">
        <v>112</v>
      </c>
      <c r="J38" s="82">
        <v>0.9</v>
      </c>
      <c r="K38" s="82">
        <v>0.178571433</v>
      </c>
      <c r="L38" s="82">
        <v>0</v>
      </c>
      <c r="M38" s="82">
        <v>0.2</v>
      </c>
      <c r="N38" s="82">
        <v>0</v>
      </c>
    </row>
    <row r="39" spans="3:14" customFormat="1" ht="15" customHeight="1" x14ac:dyDescent="0.15">
      <c r="C39" s="82">
        <v>38</v>
      </c>
      <c r="E39" s="181" t="s">
        <v>229</v>
      </c>
      <c r="F39" s="82">
        <v>1</v>
      </c>
      <c r="G39" s="82">
        <v>31.804496799999999</v>
      </c>
      <c r="H39" s="82">
        <v>100</v>
      </c>
      <c r="I39" s="82">
        <v>0</v>
      </c>
      <c r="J39" s="82">
        <v>0.74508744500000001</v>
      </c>
      <c r="K39" s="82">
        <v>0</v>
      </c>
      <c r="L39" s="82">
        <v>0</v>
      </c>
      <c r="M39" s="82">
        <v>0</v>
      </c>
      <c r="N39" s="82">
        <v>0</v>
      </c>
    </row>
    <row r="40" spans="3:14" customFormat="1" ht="15" customHeight="1" x14ac:dyDescent="0.15">
      <c r="C40" s="82">
        <v>39</v>
      </c>
      <c r="E40" s="181" t="s">
        <v>230</v>
      </c>
      <c r="F40" s="82">
        <v>1</v>
      </c>
      <c r="G40" s="82">
        <v>23.228000000000002</v>
      </c>
      <c r="H40" s="82">
        <v>4.4000000000000004</v>
      </c>
      <c r="I40" s="82">
        <v>0</v>
      </c>
      <c r="J40" s="82">
        <v>0.88150379999999995</v>
      </c>
      <c r="K40" s="82">
        <v>0</v>
      </c>
      <c r="L40" s="82">
        <v>0</v>
      </c>
      <c r="M40" s="82">
        <v>0</v>
      </c>
      <c r="N40" s="82">
        <v>0</v>
      </c>
    </row>
    <row r="41" spans="3:14" customFormat="1" ht="15" customHeight="1" x14ac:dyDescent="0.15">
      <c r="C41" s="82">
        <v>40</v>
      </c>
      <c r="E41" s="181" t="s">
        <v>231</v>
      </c>
      <c r="F41" s="82">
        <v>2</v>
      </c>
      <c r="G41" s="82">
        <v>13.95</v>
      </c>
      <c r="H41" s="82">
        <v>0</v>
      </c>
      <c r="I41" s="82">
        <v>0</v>
      </c>
      <c r="J41" s="82">
        <v>0.35255769999999997</v>
      </c>
      <c r="K41" s="82">
        <v>0</v>
      </c>
      <c r="L41" s="82">
        <v>0</v>
      </c>
      <c r="M41" s="82">
        <v>0</v>
      </c>
      <c r="N41" s="82">
        <v>0</v>
      </c>
    </row>
    <row r="42" spans="3:14" customFormat="1" ht="15" customHeight="1" x14ac:dyDescent="0.15">
      <c r="C42" s="82">
        <v>41</v>
      </c>
      <c r="E42" s="181" t="s">
        <v>232</v>
      </c>
      <c r="F42" s="82">
        <v>2</v>
      </c>
      <c r="G42" s="82">
        <v>5</v>
      </c>
      <c r="H42" s="82">
        <v>0</v>
      </c>
      <c r="I42" s="82">
        <v>0</v>
      </c>
      <c r="J42" s="82">
        <v>0</v>
      </c>
      <c r="K42" s="82">
        <v>0</v>
      </c>
      <c r="L42" s="82">
        <v>0</v>
      </c>
      <c r="M42" s="82">
        <v>0</v>
      </c>
      <c r="N42" s="82">
        <v>0</v>
      </c>
    </row>
    <row r="43" spans="3:14" customFormat="1" ht="15" customHeight="1" x14ac:dyDescent="0.15">
      <c r="C43" s="82">
        <v>42</v>
      </c>
      <c r="E43" s="181" t="s">
        <v>233</v>
      </c>
      <c r="F43" s="82">
        <v>3</v>
      </c>
      <c r="G43" s="82">
        <v>0</v>
      </c>
      <c r="H43" s="82">
        <v>0</v>
      </c>
      <c r="I43" s="82">
        <v>0</v>
      </c>
      <c r="J43" s="82">
        <v>0</v>
      </c>
      <c r="K43" s="82">
        <v>0</v>
      </c>
      <c r="L43" s="82">
        <v>0</v>
      </c>
      <c r="M43" s="82">
        <v>0</v>
      </c>
      <c r="N43" s="82">
        <v>0</v>
      </c>
    </row>
    <row r="44" spans="3:14" customFormat="1" ht="15" customHeight="1" x14ac:dyDescent="0.15"/>
    <row r="45" spans="3:14" customFormat="1" ht="15" customHeight="1" x14ac:dyDescent="0.15"/>
    <row r="46" spans="3:14" customFormat="1" ht="15" customHeight="1" x14ac:dyDescent="0.15"/>
    <row r="47" spans="3:14" customFormat="1" ht="15" customHeight="1" x14ac:dyDescent="0.15"/>
    <row r="48" spans="3:14" customFormat="1" ht="15" customHeight="1" x14ac:dyDescent="0.15"/>
    <row r="49" customFormat="1" ht="15" customHeight="1" x14ac:dyDescent="0.15"/>
    <row r="50" customFormat="1" ht="15" customHeight="1" x14ac:dyDescent="0.15"/>
    <row r="51" customFormat="1" ht="15" customHeight="1" x14ac:dyDescent="0.15"/>
    <row r="52" customFormat="1" ht="15" customHeight="1" x14ac:dyDescent="0.15"/>
    <row r="53" customFormat="1" ht="15" customHeight="1" x14ac:dyDescent="0.15"/>
    <row r="54" customFormat="1" ht="15" customHeight="1" x14ac:dyDescent="0.15"/>
    <row r="55" customFormat="1" ht="15" customHeight="1" x14ac:dyDescent="0.15"/>
    <row r="56" customFormat="1" ht="15" customHeight="1" x14ac:dyDescent="0.15"/>
    <row r="57" customFormat="1" ht="15" customHeight="1" x14ac:dyDescent="0.15"/>
    <row r="58" customFormat="1" ht="15" customHeight="1" x14ac:dyDescent="0.15"/>
    <row r="59" customFormat="1" ht="15" customHeight="1" x14ac:dyDescent="0.15"/>
    <row r="60" customFormat="1" ht="15" customHeight="1" x14ac:dyDescent="0.15"/>
    <row r="61" customFormat="1" ht="15" customHeight="1" x14ac:dyDescent="0.15"/>
    <row r="62" customFormat="1" ht="15" customHeight="1" x14ac:dyDescent="0.15"/>
    <row r="63" customFormat="1" ht="15" customHeight="1" x14ac:dyDescent="0.15"/>
    <row r="64" customFormat="1" ht="15" customHeight="1" x14ac:dyDescent="0.15"/>
    <row r="65" customFormat="1" ht="15" customHeight="1" x14ac:dyDescent="0.15"/>
    <row r="66" customFormat="1" ht="15" customHeight="1" x14ac:dyDescent="0.15"/>
    <row r="67" customFormat="1" ht="15" customHeight="1" x14ac:dyDescent="0.15"/>
    <row r="68" customFormat="1" ht="15" customHeight="1" x14ac:dyDescent="0.15"/>
    <row r="69" customFormat="1" ht="15" customHeight="1" x14ac:dyDescent="0.15"/>
    <row r="70" customFormat="1" ht="15" customHeight="1" x14ac:dyDescent="0.15"/>
    <row r="71" customFormat="1" ht="15" customHeight="1" x14ac:dyDescent="0.15"/>
    <row r="72" customFormat="1" ht="15" customHeight="1" x14ac:dyDescent="0.15"/>
    <row r="73" customFormat="1" ht="15" customHeight="1" x14ac:dyDescent="0.15"/>
    <row r="74" customFormat="1" ht="15" customHeight="1" x14ac:dyDescent="0.15"/>
    <row r="75" customFormat="1" ht="15" customHeight="1" x14ac:dyDescent="0.15"/>
    <row r="76" customFormat="1" ht="15" customHeight="1" x14ac:dyDescent="0.15"/>
    <row r="77" customFormat="1" ht="15" customHeight="1" x14ac:dyDescent="0.15"/>
    <row r="78" customFormat="1" ht="15" customHeight="1" x14ac:dyDescent="0.15"/>
    <row r="79" customFormat="1" ht="15" customHeight="1" x14ac:dyDescent="0.15"/>
    <row r="80" customFormat="1" ht="15" customHeight="1" x14ac:dyDescent="0.15"/>
    <row r="81" customFormat="1" ht="15" customHeight="1" x14ac:dyDescent="0.15"/>
    <row r="82" customFormat="1" ht="15" customHeight="1" x14ac:dyDescent="0.15"/>
    <row r="83" customFormat="1" ht="15" customHeight="1" x14ac:dyDescent="0.15"/>
    <row r="84" customFormat="1" ht="15" customHeight="1" x14ac:dyDescent="0.15"/>
    <row r="85" customFormat="1" ht="15" customHeight="1" x14ac:dyDescent="0.15"/>
    <row r="86" customFormat="1" ht="15" customHeight="1" x14ac:dyDescent="0.15"/>
    <row r="87" customFormat="1" ht="15" customHeight="1" x14ac:dyDescent="0.15"/>
    <row r="88" customFormat="1" ht="15" customHeight="1" x14ac:dyDescent="0.15"/>
    <row r="89" customFormat="1" ht="15" customHeight="1" x14ac:dyDescent="0.15"/>
    <row r="90" customFormat="1" ht="15" customHeight="1" x14ac:dyDescent="0.15"/>
    <row r="91" customFormat="1" ht="15" customHeight="1" x14ac:dyDescent="0.15"/>
    <row r="92" customFormat="1" ht="15" customHeight="1" x14ac:dyDescent="0.15"/>
    <row r="93" customFormat="1" ht="15" customHeight="1" x14ac:dyDescent="0.15"/>
    <row r="94" customFormat="1" ht="15" customHeight="1" x14ac:dyDescent="0.15"/>
    <row r="95" customFormat="1" ht="15" customHeight="1" x14ac:dyDescent="0.15"/>
    <row r="96" customFormat="1" ht="15" customHeight="1" x14ac:dyDescent="0.15"/>
    <row r="97" customFormat="1" ht="15" customHeight="1" x14ac:dyDescent="0.15"/>
    <row r="98" customFormat="1" ht="15" customHeight="1" x14ac:dyDescent="0.15"/>
    <row r="99" customFormat="1" ht="15" customHeight="1" x14ac:dyDescent="0.15"/>
    <row r="100" customFormat="1" ht="15" customHeight="1" x14ac:dyDescent="0.15"/>
    <row r="101" customFormat="1" ht="15" customHeight="1" x14ac:dyDescent="0.15"/>
    <row r="102" customFormat="1" ht="15" customHeight="1" x14ac:dyDescent="0.15"/>
    <row r="103" customFormat="1" ht="15" customHeight="1" x14ac:dyDescent="0.15"/>
    <row r="104" customFormat="1" ht="15" customHeight="1" x14ac:dyDescent="0.15"/>
    <row r="105" customFormat="1" ht="15" customHeight="1" x14ac:dyDescent="0.15"/>
    <row r="106" customFormat="1" ht="15" customHeight="1" x14ac:dyDescent="0.15"/>
    <row r="107" customFormat="1" ht="15" customHeight="1" x14ac:dyDescent="0.15"/>
    <row r="108" customFormat="1" ht="15" customHeight="1" x14ac:dyDescent="0.15"/>
    <row r="109" customFormat="1" ht="15" customHeight="1" x14ac:dyDescent="0.15"/>
    <row r="110" customFormat="1" ht="15" customHeight="1" x14ac:dyDescent="0.15"/>
    <row r="111" customFormat="1" ht="15" customHeight="1" x14ac:dyDescent="0.15"/>
    <row r="112" customFormat="1" ht="15" customHeight="1" x14ac:dyDescent="0.15"/>
    <row r="113" customFormat="1" ht="15" customHeight="1" x14ac:dyDescent="0.15"/>
    <row r="114" customFormat="1" ht="15" customHeight="1" x14ac:dyDescent="0.15"/>
    <row r="115" customFormat="1" ht="15" customHeight="1" x14ac:dyDescent="0.15"/>
    <row r="116" customFormat="1" ht="15" customHeight="1" x14ac:dyDescent="0.15"/>
    <row r="117" customFormat="1" ht="15" customHeight="1" x14ac:dyDescent="0.15"/>
    <row r="118" customFormat="1" ht="15" customHeight="1" x14ac:dyDescent="0.15"/>
    <row r="119" customFormat="1" ht="15" customHeight="1" x14ac:dyDescent="0.15"/>
    <row r="120" customFormat="1" ht="15" customHeight="1" x14ac:dyDescent="0.15"/>
    <row r="121" customFormat="1" ht="15" customHeight="1" x14ac:dyDescent="0.15"/>
    <row r="122" customFormat="1" ht="15" customHeight="1" x14ac:dyDescent="0.15"/>
    <row r="123" customFormat="1" ht="15" customHeight="1" x14ac:dyDescent="0.15"/>
    <row r="124" customFormat="1" ht="15" customHeight="1" x14ac:dyDescent="0.15"/>
    <row r="125" customFormat="1" ht="15" customHeight="1" x14ac:dyDescent="0.15"/>
    <row r="126" customFormat="1" ht="15" customHeight="1" x14ac:dyDescent="0.15"/>
    <row r="127" customFormat="1" ht="15" customHeight="1" x14ac:dyDescent="0.15"/>
    <row r="128" customFormat="1" ht="15" customHeight="1" x14ac:dyDescent="0.15"/>
    <row r="129" customFormat="1" ht="15" customHeight="1" x14ac:dyDescent="0.15"/>
    <row r="130" customFormat="1" ht="15" customHeight="1" x14ac:dyDescent="0.15"/>
    <row r="131" customFormat="1" ht="15" customHeight="1" x14ac:dyDescent="0.15"/>
    <row r="132" customFormat="1" ht="15" customHeight="1" x14ac:dyDescent="0.15"/>
    <row r="133" customFormat="1" ht="15" customHeight="1" x14ac:dyDescent="0.15"/>
    <row r="134" customFormat="1" ht="15" customHeight="1" x14ac:dyDescent="0.15"/>
    <row r="135" customFormat="1" ht="15" customHeight="1" x14ac:dyDescent="0.15"/>
    <row r="136" customFormat="1" ht="15" customHeight="1" x14ac:dyDescent="0.15"/>
    <row r="137" customFormat="1" ht="15" customHeight="1" x14ac:dyDescent="0.15"/>
    <row r="138" customFormat="1" ht="15" customHeight="1" x14ac:dyDescent="0.15"/>
    <row r="139" customFormat="1" ht="15" customHeight="1" x14ac:dyDescent="0.15"/>
    <row r="140" customFormat="1" ht="15" customHeight="1" x14ac:dyDescent="0.15"/>
    <row r="141" customFormat="1" ht="15" customHeight="1" x14ac:dyDescent="0.15"/>
    <row r="142" customFormat="1" ht="15" customHeight="1" x14ac:dyDescent="0.15"/>
    <row r="143" customFormat="1" ht="15" customHeight="1" x14ac:dyDescent="0.15"/>
    <row r="144" customFormat="1" ht="15" customHeight="1" x14ac:dyDescent="0.15"/>
    <row r="145" customFormat="1" ht="15" customHeight="1" x14ac:dyDescent="0.15"/>
    <row r="146" customFormat="1" ht="15" customHeight="1" x14ac:dyDescent="0.15"/>
    <row r="147" customFormat="1" ht="15" customHeight="1" x14ac:dyDescent="0.15"/>
    <row r="148" customFormat="1" ht="15" customHeight="1" x14ac:dyDescent="0.15"/>
    <row r="149" customFormat="1" ht="15" customHeight="1" x14ac:dyDescent="0.15"/>
    <row r="150" customFormat="1" ht="15" customHeight="1" x14ac:dyDescent="0.15"/>
    <row r="151" customFormat="1" ht="15" customHeight="1" x14ac:dyDescent="0.15"/>
    <row r="152" customFormat="1" ht="15" customHeight="1" x14ac:dyDescent="0.15"/>
    <row r="153" customFormat="1" ht="15" customHeight="1" x14ac:dyDescent="0.15"/>
    <row r="154" customFormat="1" ht="15" customHeight="1" x14ac:dyDescent="0.15"/>
    <row r="155" customFormat="1" ht="15" customHeight="1" x14ac:dyDescent="0.15"/>
    <row r="156" customFormat="1" ht="15" customHeight="1" x14ac:dyDescent="0.15"/>
    <row r="157" customFormat="1" ht="15" customHeight="1" x14ac:dyDescent="0.15"/>
    <row r="158" customFormat="1" ht="15" customHeight="1" x14ac:dyDescent="0.15"/>
    <row r="159" customFormat="1" ht="15" customHeight="1" x14ac:dyDescent="0.15"/>
    <row r="160" customFormat="1" ht="15" customHeight="1" x14ac:dyDescent="0.15"/>
    <row r="161" customFormat="1" ht="15" customHeight="1" x14ac:dyDescent="0.15"/>
    <row r="162" customFormat="1" ht="15" customHeight="1" x14ac:dyDescent="0.15"/>
    <row r="163" customFormat="1" ht="15" customHeight="1" x14ac:dyDescent="0.15"/>
    <row r="164" customFormat="1" ht="15" customHeight="1" x14ac:dyDescent="0.15"/>
    <row r="165" customFormat="1" ht="15" customHeight="1" x14ac:dyDescent="0.15"/>
    <row r="166" customFormat="1" ht="15" customHeight="1" x14ac:dyDescent="0.15"/>
    <row r="167" customFormat="1" ht="15" customHeight="1" x14ac:dyDescent="0.15"/>
    <row r="168" customFormat="1" ht="15" customHeight="1" x14ac:dyDescent="0.15"/>
    <row r="169" customFormat="1" ht="15" customHeight="1" x14ac:dyDescent="0.15"/>
    <row r="170" customFormat="1" ht="15" customHeight="1" x14ac:dyDescent="0.15"/>
    <row r="171" customFormat="1" ht="15" customHeight="1" x14ac:dyDescent="0.15"/>
    <row r="172" customFormat="1" ht="15" customHeight="1" x14ac:dyDescent="0.15"/>
    <row r="173" customFormat="1" ht="15" customHeight="1" x14ac:dyDescent="0.15"/>
    <row r="174" customFormat="1" ht="15" customHeight="1" x14ac:dyDescent="0.15"/>
    <row r="175" customFormat="1" ht="15" customHeight="1" x14ac:dyDescent="0.15"/>
    <row r="176" customFormat="1" ht="15" customHeight="1" x14ac:dyDescent="0.15"/>
    <row r="177" customFormat="1" ht="15" customHeight="1" x14ac:dyDescent="0.15"/>
    <row r="178" customFormat="1" ht="15" customHeight="1" x14ac:dyDescent="0.15"/>
    <row r="179" customFormat="1" ht="15" customHeight="1" x14ac:dyDescent="0.15"/>
    <row r="180" customFormat="1" ht="15" customHeight="1" x14ac:dyDescent="0.15"/>
    <row r="181" customFormat="1" ht="15" customHeight="1" x14ac:dyDescent="0.15"/>
    <row r="182" customFormat="1" ht="15" customHeight="1" x14ac:dyDescent="0.15"/>
    <row r="183" customFormat="1" ht="15" customHeight="1" x14ac:dyDescent="0.15"/>
    <row r="184" customFormat="1" ht="15" customHeight="1" x14ac:dyDescent="0.15"/>
    <row r="185" customFormat="1" ht="15" customHeight="1" x14ac:dyDescent="0.15"/>
    <row r="186" customFormat="1" ht="15" customHeight="1" x14ac:dyDescent="0.15"/>
    <row r="187" customFormat="1" ht="15" customHeight="1" x14ac:dyDescent="0.15"/>
    <row r="188" customFormat="1" ht="15" customHeight="1" x14ac:dyDescent="0.15"/>
    <row r="189" customFormat="1" ht="15" customHeight="1" x14ac:dyDescent="0.15"/>
    <row r="190" customFormat="1" ht="15" customHeight="1" x14ac:dyDescent="0.15"/>
    <row r="191" customFormat="1" ht="15" customHeight="1" x14ac:dyDescent="0.15"/>
    <row r="192" customFormat="1" ht="15" customHeight="1" x14ac:dyDescent="0.15"/>
    <row r="193" customFormat="1" ht="15" customHeight="1" x14ac:dyDescent="0.15"/>
  </sheetData>
  <phoneticPr fontId="2" type="noConversion"/>
  <pageMargins left="0.75" right="0.75" top="1" bottom="1" header="0.5" footer="0.5"/>
  <pageSetup orientation="portrait"/>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indexed="45"/>
  </sheetPr>
  <dimension ref="A1:AP373"/>
  <sheetViews>
    <sheetView workbookViewId="0">
      <pane xSplit="1" ySplit="1" topLeftCell="B2" activePane="bottomRight" state="frozen"/>
      <selection pane="topRight" activeCell="B1" sqref="B1"/>
      <selection pane="bottomLeft" activeCell="A2" sqref="A2"/>
      <selection pane="bottomRight" activeCell="A3" sqref="A3"/>
    </sheetView>
  </sheetViews>
  <sheetFormatPr baseColWidth="10" defaultColWidth="8.83203125" defaultRowHeight="13" x14ac:dyDescent="0.15"/>
  <cols>
    <col min="1" max="1" width="21.6640625" style="146" bestFit="1" customWidth="1"/>
    <col min="2" max="2" width="5.83203125" style="146" bestFit="1" customWidth="1"/>
    <col min="3" max="3" width="6.83203125" style="146" bestFit="1" customWidth="1"/>
    <col min="4" max="4" width="15.83203125" style="146" bestFit="1" customWidth="1"/>
    <col min="5" max="6" width="2.33203125" style="146" bestFit="1" customWidth="1"/>
    <col min="7" max="7" width="14.83203125" style="146" bestFit="1" customWidth="1"/>
    <col min="8" max="9" width="15.83203125" style="146" bestFit="1" customWidth="1"/>
    <col min="10" max="10" width="3.83203125" style="146" bestFit="1" customWidth="1"/>
    <col min="11" max="11" width="15.83203125" style="146" bestFit="1" customWidth="1"/>
    <col min="12" max="12" width="14.83203125" style="146" bestFit="1" customWidth="1"/>
    <col min="13" max="14" width="15.83203125" style="146" bestFit="1" customWidth="1"/>
    <col min="15" max="15" width="14.83203125" style="146" bestFit="1" customWidth="1"/>
    <col min="16" max="16" width="6.83203125" style="146" bestFit="1" customWidth="1"/>
    <col min="17" max="17" width="5.83203125" style="146" bestFit="1" customWidth="1"/>
    <col min="18" max="19" width="6.83203125" style="146" bestFit="1" customWidth="1"/>
    <col min="20" max="20" width="15.83203125" style="146" bestFit="1" customWidth="1"/>
    <col min="21" max="21" width="4.83203125" style="146" bestFit="1" customWidth="1"/>
    <col min="22" max="22" width="6.83203125" style="146" bestFit="1" customWidth="1"/>
    <col min="23" max="23" width="15.83203125" style="146" bestFit="1" customWidth="1"/>
    <col min="24" max="26" width="6.83203125" style="146" bestFit="1" customWidth="1"/>
    <col min="27" max="27" width="15.83203125" style="146" bestFit="1" customWidth="1"/>
    <col min="28" max="28" width="14.83203125" style="146" bestFit="1" customWidth="1"/>
    <col min="29" max="29" width="15.83203125" style="146" bestFit="1" customWidth="1"/>
    <col min="30" max="32" width="15.83203125" style="146" customWidth="1"/>
    <col min="33" max="33" width="4.83203125" style="146" customWidth="1"/>
    <col min="34" max="34" width="3.83203125" style="146" customWidth="1"/>
    <col min="35" max="35" width="13.83203125" style="146" customWidth="1"/>
    <col min="36" max="36" width="14.83203125" style="146" customWidth="1"/>
    <col min="37" max="37" width="5.83203125" style="146" customWidth="1"/>
    <col min="38" max="42" width="2.33203125" style="146" customWidth="1"/>
    <col min="43" max="16384" width="8.83203125" style="146"/>
  </cols>
  <sheetData>
    <row r="1" spans="1:42" x14ac:dyDescent="0.15">
      <c r="A1" s="145" t="s">
        <v>19</v>
      </c>
      <c r="B1" s="183" t="s">
        <v>192</v>
      </c>
      <c r="C1" s="183" t="s">
        <v>193</v>
      </c>
      <c r="D1" s="183" t="s">
        <v>194</v>
      </c>
      <c r="E1" s="183" t="s">
        <v>195</v>
      </c>
      <c r="F1" s="183" t="s">
        <v>196</v>
      </c>
      <c r="G1" s="183" t="s">
        <v>197</v>
      </c>
      <c r="H1" s="183" t="s">
        <v>198</v>
      </c>
      <c r="I1" s="183" t="s">
        <v>199</v>
      </c>
      <c r="J1" s="183" t="s">
        <v>200</v>
      </c>
      <c r="K1" s="183" t="s">
        <v>201</v>
      </c>
      <c r="L1" s="183" t="s">
        <v>202</v>
      </c>
      <c r="M1" s="183" t="s">
        <v>203</v>
      </c>
      <c r="N1" s="183" t="s">
        <v>204</v>
      </c>
      <c r="O1" s="183" t="s">
        <v>205</v>
      </c>
      <c r="P1" s="183" t="s">
        <v>206</v>
      </c>
      <c r="Q1" s="183" t="s">
        <v>207</v>
      </c>
      <c r="R1" s="183" t="s">
        <v>208</v>
      </c>
      <c r="S1" s="183" t="s">
        <v>209</v>
      </c>
      <c r="T1" s="183" t="s">
        <v>210</v>
      </c>
      <c r="U1" s="183" t="s">
        <v>211</v>
      </c>
      <c r="V1" s="183" t="s">
        <v>212</v>
      </c>
      <c r="W1" s="183" t="s">
        <v>213</v>
      </c>
      <c r="X1" s="183" t="s">
        <v>214</v>
      </c>
      <c r="Y1" s="183" t="s">
        <v>215</v>
      </c>
      <c r="Z1" s="183" t="s">
        <v>216</v>
      </c>
      <c r="AA1" s="183" t="s">
        <v>217</v>
      </c>
      <c r="AB1" s="183" t="s">
        <v>218</v>
      </c>
      <c r="AC1" s="183" t="s">
        <v>219</v>
      </c>
      <c r="AD1" s="183" t="s">
        <v>220</v>
      </c>
      <c r="AE1" s="183" t="s">
        <v>221</v>
      </c>
      <c r="AF1" s="183" t="s">
        <v>222</v>
      </c>
      <c r="AG1" s="183" t="s">
        <v>223</v>
      </c>
      <c r="AH1" s="183" t="s">
        <v>224</v>
      </c>
      <c r="AI1" s="183" t="s">
        <v>225</v>
      </c>
      <c r="AJ1" s="183" t="s">
        <v>226</v>
      </c>
      <c r="AK1" s="183" t="s">
        <v>227</v>
      </c>
      <c r="AL1" s="183" t="s">
        <v>228</v>
      </c>
      <c r="AM1" s="183" t="s">
        <v>229</v>
      </c>
      <c r="AN1" s="183" t="s">
        <v>230</v>
      </c>
      <c r="AO1" s="183" t="s">
        <v>231</v>
      </c>
      <c r="AP1" s="183" t="s">
        <v>232</v>
      </c>
    </row>
    <row r="2" spans="1:42" customFormat="1" x14ac:dyDescent="0.15">
      <c r="A2" s="182" t="s">
        <v>192</v>
      </c>
      <c r="B2" s="146">
        <v>0</v>
      </c>
      <c r="C2" s="146">
        <v>0</v>
      </c>
      <c r="D2" s="146">
        <v>0</v>
      </c>
      <c r="E2" s="146">
        <v>0</v>
      </c>
      <c r="F2" s="146">
        <v>0</v>
      </c>
      <c r="G2" s="146">
        <v>0</v>
      </c>
      <c r="H2" s="146">
        <v>0</v>
      </c>
      <c r="I2" s="146">
        <v>0</v>
      </c>
      <c r="J2" s="146">
        <v>0</v>
      </c>
      <c r="K2" s="146">
        <v>0</v>
      </c>
      <c r="L2" s="146">
        <v>0</v>
      </c>
      <c r="M2" s="146">
        <v>0</v>
      </c>
      <c r="N2" s="146">
        <v>0</v>
      </c>
      <c r="O2" s="146">
        <v>0</v>
      </c>
      <c r="P2" s="146">
        <v>0</v>
      </c>
      <c r="Q2" s="146">
        <v>0</v>
      </c>
      <c r="R2" s="146">
        <v>0</v>
      </c>
      <c r="S2" s="146">
        <v>0</v>
      </c>
      <c r="T2" s="146">
        <v>0</v>
      </c>
      <c r="U2" s="146">
        <v>0</v>
      </c>
      <c r="V2" s="146">
        <v>0</v>
      </c>
      <c r="W2" s="146">
        <v>0</v>
      </c>
      <c r="X2" s="146">
        <v>0</v>
      </c>
      <c r="Y2" s="146">
        <v>0</v>
      </c>
      <c r="Z2" s="146">
        <v>0</v>
      </c>
      <c r="AA2" s="146">
        <v>0</v>
      </c>
      <c r="AB2" s="146">
        <v>0</v>
      </c>
      <c r="AC2" s="146">
        <v>0</v>
      </c>
      <c r="AD2" s="146">
        <v>0</v>
      </c>
      <c r="AE2" s="146">
        <v>0</v>
      </c>
      <c r="AF2" s="146">
        <v>0</v>
      </c>
      <c r="AG2" s="146">
        <v>0</v>
      </c>
      <c r="AH2" s="146">
        <v>0</v>
      </c>
      <c r="AI2" s="146">
        <v>0</v>
      </c>
      <c r="AJ2" s="146">
        <v>0</v>
      </c>
      <c r="AK2" s="146">
        <v>0</v>
      </c>
      <c r="AL2" s="146">
        <v>0</v>
      </c>
      <c r="AM2" s="146">
        <v>0</v>
      </c>
      <c r="AN2" s="146">
        <v>0</v>
      </c>
      <c r="AO2" s="146">
        <v>0</v>
      </c>
      <c r="AP2" s="146">
        <v>0</v>
      </c>
    </row>
    <row r="3" spans="1:42" customFormat="1" x14ac:dyDescent="0.15">
      <c r="A3" s="182" t="s">
        <v>193</v>
      </c>
      <c r="B3" s="146">
        <v>0</v>
      </c>
      <c r="C3" s="146">
        <v>0</v>
      </c>
      <c r="D3" s="146">
        <v>0</v>
      </c>
      <c r="E3" s="146">
        <v>0</v>
      </c>
      <c r="F3" s="146">
        <v>0</v>
      </c>
      <c r="G3" s="146">
        <v>0</v>
      </c>
      <c r="H3" s="146">
        <v>0</v>
      </c>
      <c r="I3" s="146">
        <v>0</v>
      </c>
      <c r="J3" s="146">
        <v>0</v>
      </c>
      <c r="K3" s="146">
        <v>0</v>
      </c>
      <c r="L3" s="146">
        <v>7.0999998012349777E-3</v>
      </c>
      <c r="M3" s="146">
        <v>0</v>
      </c>
      <c r="N3" s="146">
        <v>0</v>
      </c>
      <c r="O3" s="146">
        <v>0</v>
      </c>
      <c r="P3" s="146">
        <v>0</v>
      </c>
      <c r="Q3" s="146">
        <v>0</v>
      </c>
      <c r="R3" s="146">
        <v>0</v>
      </c>
      <c r="S3" s="146">
        <v>0</v>
      </c>
      <c r="T3" s="146">
        <v>0</v>
      </c>
      <c r="U3" s="146">
        <v>0</v>
      </c>
      <c r="V3" s="146">
        <v>0</v>
      </c>
      <c r="W3" s="146">
        <v>0</v>
      </c>
      <c r="X3" s="146">
        <v>0</v>
      </c>
      <c r="Y3" s="146">
        <v>0</v>
      </c>
      <c r="Z3" s="146">
        <v>0</v>
      </c>
      <c r="AA3" s="146">
        <v>0</v>
      </c>
      <c r="AB3" s="146">
        <v>0</v>
      </c>
      <c r="AC3" s="146">
        <v>0</v>
      </c>
      <c r="AD3" s="146">
        <v>0</v>
      </c>
      <c r="AE3" s="146">
        <v>0</v>
      </c>
      <c r="AF3" s="146">
        <v>0</v>
      </c>
      <c r="AG3" s="146">
        <v>0</v>
      </c>
      <c r="AH3" s="146">
        <v>0</v>
      </c>
      <c r="AI3" s="146">
        <v>0</v>
      </c>
      <c r="AJ3" s="146">
        <v>0</v>
      </c>
      <c r="AK3" s="146">
        <v>0</v>
      </c>
      <c r="AL3" s="146">
        <v>0</v>
      </c>
      <c r="AM3" s="146">
        <v>0</v>
      </c>
      <c r="AN3" s="146">
        <v>0</v>
      </c>
      <c r="AO3" s="146">
        <v>0</v>
      </c>
      <c r="AP3" s="146">
        <v>0</v>
      </c>
    </row>
    <row r="4" spans="1:42" customFormat="1" x14ac:dyDescent="0.15">
      <c r="A4" s="182" t="s">
        <v>194</v>
      </c>
      <c r="B4" s="146">
        <v>0.06</v>
      </c>
      <c r="C4" s="146">
        <v>0</v>
      </c>
      <c r="D4" s="146">
        <v>0</v>
      </c>
      <c r="E4" s="146">
        <v>0</v>
      </c>
      <c r="F4" s="146">
        <v>0</v>
      </c>
      <c r="G4" s="146">
        <v>0</v>
      </c>
      <c r="H4" s="146">
        <v>0</v>
      </c>
      <c r="I4" s="146">
        <v>0</v>
      </c>
      <c r="J4" s="146">
        <v>0</v>
      </c>
      <c r="K4" s="146">
        <v>0</v>
      </c>
      <c r="L4" s="146">
        <v>2.2700001261695146E-2</v>
      </c>
      <c r="M4" s="146">
        <v>0</v>
      </c>
      <c r="N4" s="146">
        <v>0</v>
      </c>
      <c r="O4" s="146">
        <v>0</v>
      </c>
      <c r="P4" s="146">
        <v>0</v>
      </c>
      <c r="Q4" s="146">
        <v>0</v>
      </c>
      <c r="R4" s="146">
        <v>0</v>
      </c>
      <c r="S4" s="146">
        <v>0</v>
      </c>
      <c r="T4" s="146">
        <v>0</v>
      </c>
      <c r="U4" s="146">
        <v>0</v>
      </c>
      <c r="V4" s="146">
        <v>0</v>
      </c>
      <c r="W4" s="146">
        <v>0</v>
      </c>
      <c r="X4" s="146">
        <v>0</v>
      </c>
      <c r="Y4" s="146">
        <v>0</v>
      </c>
      <c r="Z4" s="146">
        <v>0</v>
      </c>
      <c r="AA4" s="146">
        <v>0</v>
      </c>
      <c r="AB4" s="146">
        <v>0</v>
      </c>
      <c r="AC4" s="146">
        <v>0</v>
      </c>
      <c r="AD4" s="146">
        <v>0</v>
      </c>
      <c r="AE4" s="146">
        <v>0</v>
      </c>
      <c r="AF4" s="146">
        <v>0</v>
      </c>
      <c r="AG4" s="146">
        <v>0</v>
      </c>
      <c r="AH4" s="146">
        <v>0</v>
      </c>
      <c r="AI4" s="146">
        <v>0</v>
      </c>
      <c r="AJ4" s="146">
        <v>0</v>
      </c>
      <c r="AK4" s="146">
        <v>0</v>
      </c>
      <c r="AL4" s="146">
        <v>0</v>
      </c>
      <c r="AM4" s="146">
        <v>0</v>
      </c>
      <c r="AN4" s="146">
        <v>0</v>
      </c>
      <c r="AO4" s="146">
        <v>0</v>
      </c>
      <c r="AP4" s="146">
        <v>0</v>
      </c>
    </row>
    <row r="5" spans="1:42" customFormat="1" x14ac:dyDescent="0.15">
      <c r="A5" s="182" t="s">
        <v>195</v>
      </c>
      <c r="B5" s="146">
        <v>0</v>
      </c>
      <c r="C5" s="146">
        <v>0</v>
      </c>
      <c r="D5" s="146">
        <v>0</v>
      </c>
      <c r="E5" s="146">
        <v>0</v>
      </c>
      <c r="F5" s="146">
        <v>0</v>
      </c>
      <c r="G5" s="146">
        <v>0</v>
      </c>
      <c r="H5" s="146">
        <v>0</v>
      </c>
      <c r="I5" s="146">
        <v>0</v>
      </c>
      <c r="J5" s="146">
        <v>0</v>
      </c>
      <c r="K5" s="146">
        <v>0</v>
      </c>
      <c r="L5" s="146">
        <v>0</v>
      </c>
      <c r="M5" s="146">
        <v>0</v>
      </c>
      <c r="N5" s="146">
        <v>0</v>
      </c>
      <c r="O5" s="146">
        <v>0</v>
      </c>
      <c r="P5" s="146">
        <v>0</v>
      </c>
      <c r="Q5" s="146">
        <v>0</v>
      </c>
      <c r="R5" s="146">
        <v>0</v>
      </c>
      <c r="S5" s="146">
        <v>0</v>
      </c>
      <c r="T5" s="146">
        <v>0</v>
      </c>
      <c r="U5" s="146">
        <v>0</v>
      </c>
      <c r="V5" s="146">
        <v>0</v>
      </c>
      <c r="W5" s="146">
        <v>0</v>
      </c>
      <c r="X5" s="146">
        <v>0</v>
      </c>
      <c r="Y5" s="146">
        <v>0</v>
      </c>
      <c r="Z5" s="146">
        <v>0</v>
      </c>
      <c r="AA5" s="146">
        <v>0</v>
      </c>
      <c r="AB5" s="146">
        <v>0</v>
      </c>
      <c r="AC5" s="146">
        <v>0</v>
      </c>
      <c r="AD5" s="146">
        <v>0</v>
      </c>
      <c r="AE5" s="146">
        <v>0</v>
      </c>
      <c r="AF5" s="146">
        <v>0</v>
      </c>
      <c r="AG5" s="146">
        <v>0</v>
      </c>
      <c r="AH5" s="146">
        <v>0</v>
      </c>
      <c r="AI5" s="146">
        <v>0</v>
      </c>
      <c r="AJ5" s="146">
        <v>0</v>
      </c>
      <c r="AK5" s="146">
        <v>0</v>
      </c>
      <c r="AL5" s="146">
        <v>0</v>
      </c>
      <c r="AM5" s="146">
        <v>0</v>
      </c>
      <c r="AN5" s="146">
        <v>0</v>
      </c>
      <c r="AO5" s="146">
        <v>0</v>
      </c>
      <c r="AP5" s="146">
        <v>0</v>
      </c>
    </row>
    <row r="6" spans="1:42" customFormat="1" x14ac:dyDescent="0.15">
      <c r="A6" s="182" t="s">
        <v>196</v>
      </c>
      <c r="B6" s="146">
        <v>4.0000000000000001E-3</v>
      </c>
      <c r="C6" s="146">
        <v>0</v>
      </c>
      <c r="D6" s="146">
        <v>0</v>
      </c>
      <c r="E6" s="146">
        <v>0</v>
      </c>
      <c r="F6" s="146">
        <v>0</v>
      </c>
      <c r="G6" s="146">
        <v>0</v>
      </c>
      <c r="H6" s="146">
        <v>0</v>
      </c>
      <c r="I6" s="146">
        <v>0</v>
      </c>
      <c r="J6" s="146">
        <v>0</v>
      </c>
      <c r="K6" s="146">
        <v>0</v>
      </c>
      <c r="L6" s="146">
        <v>1.0000001128500128E-3</v>
      </c>
      <c r="M6" s="146">
        <v>0</v>
      </c>
      <c r="N6" s="146">
        <v>0</v>
      </c>
      <c r="O6" s="146">
        <v>0</v>
      </c>
      <c r="P6" s="146">
        <v>0</v>
      </c>
      <c r="Q6" s="146">
        <v>0</v>
      </c>
      <c r="R6" s="146">
        <v>0</v>
      </c>
      <c r="S6" s="146">
        <v>0</v>
      </c>
      <c r="T6" s="146">
        <v>0</v>
      </c>
      <c r="U6" s="146">
        <v>0</v>
      </c>
      <c r="V6" s="146">
        <v>0</v>
      </c>
      <c r="W6" s="146">
        <v>0</v>
      </c>
      <c r="X6" s="146">
        <v>0</v>
      </c>
      <c r="Y6" s="146">
        <v>0</v>
      </c>
      <c r="Z6" s="146">
        <v>0</v>
      </c>
      <c r="AA6" s="146">
        <v>0</v>
      </c>
      <c r="AB6" s="146">
        <v>0</v>
      </c>
      <c r="AC6" s="146">
        <v>0</v>
      </c>
      <c r="AD6" s="146">
        <v>0</v>
      </c>
      <c r="AE6" s="146">
        <v>0</v>
      </c>
      <c r="AF6" s="146">
        <v>0</v>
      </c>
      <c r="AG6" s="146">
        <v>0</v>
      </c>
      <c r="AH6" s="146">
        <v>0</v>
      </c>
      <c r="AI6" s="146">
        <v>0</v>
      </c>
      <c r="AJ6" s="146">
        <v>0</v>
      </c>
      <c r="AK6" s="146">
        <v>0</v>
      </c>
      <c r="AL6" s="146">
        <v>0</v>
      </c>
      <c r="AM6" s="146">
        <v>0</v>
      </c>
      <c r="AN6" s="146">
        <v>0</v>
      </c>
      <c r="AO6" s="146">
        <v>0</v>
      </c>
      <c r="AP6" s="146">
        <v>0</v>
      </c>
    </row>
    <row r="7" spans="1:42" customFormat="1" x14ac:dyDescent="0.15">
      <c r="A7" s="182" t="s">
        <v>197</v>
      </c>
      <c r="B7" s="146">
        <v>2.5000000000000001E-2</v>
      </c>
      <c r="C7" s="146">
        <v>0</v>
      </c>
      <c r="D7" s="146">
        <v>0</v>
      </c>
      <c r="E7" s="146">
        <v>0</v>
      </c>
      <c r="F7" s="146">
        <v>0</v>
      </c>
      <c r="G7" s="146">
        <v>0</v>
      </c>
      <c r="H7" s="146">
        <v>0</v>
      </c>
      <c r="I7" s="146">
        <v>0</v>
      </c>
      <c r="J7" s="146">
        <v>0</v>
      </c>
      <c r="K7" s="146">
        <v>0</v>
      </c>
      <c r="L7" s="146">
        <v>1.0000000128500015E-3</v>
      </c>
      <c r="M7" s="146">
        <v>0</v>
      </c>
      <c r="N7" s="146">
        <v>0</v>
      </c>
      <c r="O7" s="146">
        <v>0</v>
      </c>
      <c r="P7" s="146">
        <v>0</v>
      </c>
      <c r="Q7" s="146">
        <v>0</v>
      </c>
      <c r="R7" s="146">
        <v>0</v>
      </c>
      <c r="S7" s="146">
        <v>0</v>
      </c>
      <c r="T7" s="146">
        <v>0</v>
      </c>
      <c r="U7" s="146">
        <v>0</v>
      </c>
      <c r="V7" s="146">
        <v>0</v>
      </c>
      <c r="W7" s="146">
        <v>0</v>
      </c>
      <c r="X7" s="146">
        <v>0</v>
      </c>
      <c r="Y7" s="146">
        <v>0</v>
      </c>
      <c r="Z7" s="146">
        <v>0</v>
      </c>
      <c r="AA7" s="146">
        <v>0</v>
      </c>
      <c r="AB7" s="146">
        <v>0</v>
      </c>
      <c r="AC7" s="146">
        <v>0</v>
      </c>
      <c r="AD7" s="146">
        <v>0</v>
      </c>
      <c r="AE7" s="146">
        <v>0</v>
      </c>
      <c r="AF7" s="146">
        <v>0</v>
      </c>
      <c r="AG7" s="146">
        <v>0</v>
      </c>
      <c r="AH7" s="146">
        <v>0</v>
      </c>
      <c r="AI7" s="146">
        <v>0</v>
      </c>
      <c r="AJ7" s="146">
        <v>0</v>
      </c>
      <c r="AK7" s="146">
        <v>0</v>
      </c>
      <c r="AL7" s="146">
        <v>0</v>
      </c>
      <c r="AM7" s="146">
        <v>0</v>
      </c>
      <c r="AN7" s="146">
        <v>0</v>
      </c>
      <c r="AO7" s="146">
        <v>0</v>
      </c>
      <c r="AP7" s="146">
        <v>0</v>
      </c>
    </row>
    <row r="8" spans="1:42" customFormat="1" x14ac:dyDescent="0.15">
      <c r="A8" s="182" t="s">
        <v>198</v>
      </c>
      <c r="B8" s="146">
        <v>0.13</v>
      </c>
      <c r="C8" s="146">
        <v>0</v>
      </c>
      <c r="D8" s="146">
        <v>0</v>
      </c>
      <c r="E8" s="146">
        <v>0</v>
      </c>
      <c r="F8" s="146">
        <v>0</v>
      </c>
      <c r="G8" s="146">
        <v>0</v>
      </c>
      <c r="H8" s="146">
        <v>0</v>
      </c>
      <c r="I8" s="146">
        <v>0</v>
      </c>
      <c r="J8" s="146">
        <v>0</v>
      </c>
      <c r="K8" s="146">
        <v>0</v>
      </c>
      <c r="L8" s="146">
        <v>0</v>
      </c>
      <c r="M8" s="146">
        <v>0</v>
      </c>
      <c r="N8" s="146">
        <v>0</v>
      </c>
      <c r="O8" s="146">
        <v>0</v>
      </c>
      <c r="P8" s="146">
        <v>0</v>
      </c>
      <c r="Q8" s="146">
        <v>0</v>
      </c>
      <c r="R8" s="146">
        <v>0</v>
      </c>
      <c r="S8" s="146">
        <v>0</v>
      </c>
      <c r="T8" s="146">
        <v>0</v>
      </c>
      <c r="U8" s="146">
        <v>0</v>
      </c>
      <c r="V8" s="146">
        <v>0</v>
      </c>
      <c r="W8" s="146">
        <v>0</v>
      </c>
      <c r="X8" s="146">
        <v>0</v>
      </c>
      <c r="Y8" s="146">
        <v>0</v>
      </c>
      <c r="Z8" s="146">
        <v>0</v>
      </c>
      <c r="AA8" s="146">
        <v>0</v>
      </c>
      <c r="AB8" s="146">
        <v>0</v>
      </c>
      <c r="AC8" s="146">
        <v>0</v>
      </c>
      <c r="AD8" s="146">
        <v>0</v>
      </c>
      <c r="AE8" s="146">
        <v>0</v>
      </c>
      <c r="AF8" s="146">
        <v>0</v>
      </c>
      <c r="AG8" s="146">
        <v>0</v>
      </c>
      <c r="AH8" s="146">
        <v>0</v>
      </c>
      <c r="AI8" s="146">
        <v>0</v>
      </c>
      <c r="AJ8" s="146">
        <v>0</v>
      </c>
      <c r="AK8" s="146">
        <v>0</v>
      </c>
      <c r="AL8" s="146">
        <v>0</v>
      </c>
      <c r="AM8" s="146">
        <v>0</v>
      </c>
      <c r="AN8" s="146">
        <v>0</v>
      </c>
      <c r="AO8" s="146">
        <v>0</v>
      </c>
      <c r="AP8" s="146">
        <v>0</v>
      </c>
    </row>
    <row r="9" spans="1:42" customFormat="1" x14ac:dyDescent="0.15">
      <c r="A9" s="182" t="s">
        <v>199</v>
      </c>
      <c r="B9" s="146">
        <v>0.751</v>
      </c>
      <c r="C9" s="146">
        <v>0</v>
      </c>
      <c r="D9" s="146">
        <v>0</v>
      </c>
      <c r="E9" s="146">
        <v>0</v>
      </c>
      <c r="F9" s="146">
        <v>0</v>
      </c>
      <c r="G9" s="146">
        <v>0</v>
      </c>
      <c r="H9" s="146">
        <v>0</v>
      </c>
      <c r="I9" s="146">
        <v>0</v>
      </c>
      <c r="J9" s="146">
        <v>0</v>
      </c>
      <c r="K9" s="146">
        <v>0</v>
      </c>
      <c r="L9" s="146">
        <v>8.4600003647110414E-2</v>
      </c>
      <c r="M9" s="146">
        <v>0</v>
      </c>
      <c r="N9" s="146">
        <v>0</v>
      </c>
      <c r="O9" s="146">
        <v>0</v>
      </c>
      <c r="P9" s="146">
        <v>0</v>
      </c>
      <c r="Q9" s="146">
        <v>0</v>
      </c>
      <c r="R9" s="146">
        <v>0</v>
      </c>
      <c r="S9" s="146">
        <v>0</v>
      </c>
      <c r="T9" s="146">
        <v>0</v>
      </c>
      <c r="U9" s="146">
        <v>0</v>
      </c>
      <c r="V9" s="146">
        <v>0</v>
      </c>
      <c r="W9" s="146">
        <v>0</v>
      </c>
      <c r="X9" s="146">
        <v>0</v>
      </c>
      <c r="Y9" s="146">
        <v>0</v>
      </c>
      <c r="Z9" s="146">
        <v>0</v>
      </c>
      <c r="AA9" s="146">
        <v>0</v>
      </c>
      <c r="AB9" s="146">
        <v>0</v>
      </c>
      <c r="AC9" s="146">
        <v>0</v>
      </c>
      <c r="AD9" s="146">
        <v>0</v>
      </c>
      <c r="AE9" s="146">
        <v>0</v>
      </c>
      <c r="AF9" s="146">
        <v>0</v>
      </c>
      <c r="AG9" s="146">
        <v>0</v>
      </c>
      <c r="AH9" s="146">
        <v>0</v>
      </c>
      <c r="AI9" s="146">
        <v>0</v>
      </c>
      <c r="AJ9" s="146">
        <v>0</v>
      </c>
      <c r="AK9" s="146">
        <v>0</v>
      </c>
      <c r="AL9" s="146">
        <v>0</v>
      </c>
      <c r="AM9" s="146">
        <v>0</v>
      </c>
      <c r="AN9" s="146">
        <v>0</v>
      </c>
      <c r="AO9" s="146">
        <v>0</v>
      </c>
      <c r="AP9" s="146">
        <v>0</v>
      </c>
    </row>
    <row r="10" spans="1:42" customFormat="1" x14ac:dyDescent="0.15">
      <c r="A10" s="182" t="s">
        <v>200</v>
      </c>
      <c r="B10" s="146">
        <v>0</v>
      </c>
      <c r="C10" s="146">
        <v>0</v>
      </c>
      <c r="D10" s="146">
        <v>0</v>
      </c>
      <c r="E10" s="146">
        <v>0</v>
      </c>
      <c r="F10" s="146">
        <v>0</v>
      </c>
      <c r="G10" s="146">
        <v>0</v>
      </c>
      <c r="H10" s="146">
        <v>0</v>
      </c>
      <c r="I10" s="146">
        <v>0</v>
      </c>
      <c r="J10" s="146">
        <v>0</v>
      </c>
      <c r="K10" s="146">
        <v>0</v>
      </c>
      <c r="L10" s="146">
        <v>0</v>
      </c>
      <c r="M10" s="146">
        <v>0</v>
      </c>
      <c r="N10" s="146">
        <v>0</v>
      </c>
      <c r="O10" s="146">
        <v>0</v>
      </c>
      <c r="P10" s="146">
        <v>0</v>
      </c>
      <c r="Q10" s="146">
        <v>0</v>
      </c>
      <c r="R10" s="146">
        <v>0</v>
      </c>
      <c r="S10" s="146">
        <v>0</v>
      </c>
      <c r="T10" s="146">
        <v>0</v>
      </c>
      <c r="U10" s="146">
        <v>0</v>
      </c>
      <c r="V10" s="146">
        <v>0</v>
      </c>
      <c r="W10" s="146">
        <v>0</v>
      </c>
      <c r="X10" s="146">
        <v>0</v>
      </c>
      <c r="Y10" s="146">
        <v>0</v>
      </c>
      <c r="Z10" s="146">
        <v>0</v>
      </c>
      <c r="AA10" s="146">
        <v>0</v>
      </c>
      <c r="AB10" s="146">
        <v>0</v>
      </c>
      <c r="AC10" s="146">
        <v>0</v>
      </c>
      <c r="AD10" s="146">
        <v>0</v>
      </c>
      <c r="AE10" s="146">
        <v>0</v>
      </c>
      <c r="AF10" s="146">
        <v>0</v>
      </c>
      <c r="AG10" s="146">
        <v>0</v>
      </c>
      <c r="AH10" s="146">
        <v>0</v>
      </c>
      <c r="AI10" s="146">
        <v>0</v>
      </c>
      <c r="AJ10" s="146">
        <v>0</v>
      </c>
      <c r="AK10" s="146">
        <v>0</v>
      </c>
      <c r="AL10" s="146">
        <v>0</v>
      </c>
      <c r="AM10" s="146">
        <v>0</v>
      </c>
      <c r="AN10" s="146">
        <v>0</v>
      </c>
      <c r="AO10" s="146">
        <v>0</v>
      </c>
      <c r="AP10" s="146">
        <v>0</v>
      </c>
    </row>
    <row r="11" spans="1:42" customFormat="1" x14ac:dyDescent="0.15">
      <c r="A11" s="182" t="s">
        <v>201</v>
      </c>
      <c r="B11" s="146">
        <v>0.01</v>
      </c>
      <c r="C11" s="146">
        <v>0</v>
      </c>
      <c r="D11" s="146">
        <v>0</v>
      </c>
      <c r="E11" s="146">
        <v>0</v>
      </c>
      <c r="F11" s="146">
        <v>0</v>
      </c>
      <c r="G11" s="146">
        <v>1.0000000547599945E-3</v>
      </c>
      <c r="H11" s="146">
        <v>1.4999999904565008E-3</v>
      </c>
      <c r="I11" s="146">
        <v>0</v>
      </c>
      <c r="J11" s="146">
        <v>0</v>
      </c>
      <c r="K11" s="146">
        <v>5.0000004773799499E-4</v>
      </c>
      <c r="L11" s="146">
        <v>3.599999876259986E-3</v>
      </c>
      <c r="M11" s="146">
        <v>0</v>
      </c>
      <c r="N11" s="146">
        <v>0</v>
      </c>
      <c r="O11" s="146">
        <v>0</v>
      </c>
      <c r="P11" s="146">
        <v>0</v>
      </c>
      <c r="Q11" s="146">
        <v>0</v>
      </c>
      <c r="R11" s="146">
        <v>0</v>
      </c>
      <c r="S11" s="146">
        <v>0</v>
      </c>
      <c r="T11" s="146">
        <v>0</v>
      </c>
      <c r="U11" s="146">
        <v>0</v>
      </c>
      <c r="V11" s="146">
        <v>0</v>
      </c>
      <c r="W11" s="146">
        <v>0</v>
      </c>
      <c r="X11" s="146">
        <v>0</v>
      </c>
      <c r="Y11" s="146">
        <v>0</v>
      </c>
      <c r="Z11" s="146">
        <v>0</v>
      </c>
      <c r="AA11" s="146">
        <v>0</v>
      </c>
      <c r="AB11" s="146">
        <v>0</v>
      </c>
      <c r="AC11" s="146">
        <v>0</v>
      </c>
      <c r="AD11" s="146">
        <v>0</v>
      </c>
      <c r="AE11" s="146">
        <v>0</v>
      </c>
      <c r="AF11" s="146">
        <v>0</v>
      </c>
      <c r="AG11" s="146">
        <v>0</v>
      </c>
      <c r="AH11" s="146">
        <v>0</v>
      </c>
      <c r="AI11" s="146">
        <v>0</v>
      </c>
      <c r="AJ11" s="146">
        <v>0</v>
      </c>
      <c r="AK11" s="146">
        <v>0</v>
      </c>
      <c r="AL11" s="146">
        <v>0</v>
      </c>
      <c r="AM11" s="146">
        <v>0</v>
      </c>
      <c r="AN11" s="146">
        <v>0</v>
      </c>
      <c r="AO11" s="146">
        <v>0</v>
      </c>
      <c r="AP11" s="146">
        <v>0</v>
      </c>
    </row>
    <row r="12" spans="1:42" customFormat="1" x14ac:dyDescent="0.15">
      <c r="A12" s="182" t="s">
        <v>202</v>
      </c>
      <c r="B12" s="146">
        <v>0</v>
      </c>
      <c r="C12" s="146">
        <v>0</v>
      </c>
      <c r="D12" s="146">
        <v>0</v>
      </c>
      <c r="E12" s="146">
        <v>0</v>
      </c>
      <c r="F12" s="146">
        <v>0</v>
      </c>
      <c r="G12" s="146">
        <v>0</v>
      </c>
      <c r="H12" s="146">
        <v>0</v>
      </c>
      <c r="I12" s="146">
        <v>0</v>
      </c>
      <c r="J12" s="146">
        <v>0</v>
      </c>
      <c r="K12" s="146">
        <v>0</v>
      </c>
      <c r="L12" s="146">
        <v>0</v>
      </c>
      <c r="M12" s="146">
        <v>3.0000001567749861E-4</v>
      </c>
      <c r="N12" s="146">
        <v>0</v>
      </c>
      <c r="O12" s="146">
        <v>0</v>
      </c>
      <c r="P12" s="146">
        <v>0</v>
      </c>
      <c r="Q12" s="146">
        <v>0</v>
      </c>
      <c r="R12" s="146">
        <v>0</v>
      </c>
      <c r="S12" s="146">
        <v>0</v>
      </c>
      <c r="T12" s="146">
        <v>0</v>
      </c>
      <c r="U12" s="146">
        <v>0</v>
      </c>
      <c r="V12" s="146">
        <v>0</v>
      </c>
      <c r="W12" s="146">
        <v>0</v>
      </c>
      <c r="X12" s="146">
        <v>0</v>
      </c>
      <c r="Y12" s="146">
        <v>0</v>
      </c>
      <c r="Z12" s="146">
        <v>0</v>
      </c>
      <c r="AA12" s="146">
        <v>0</v>
      </c>
      <c r="AB12" s="146">
        <v>0</v>
      </c>
      <c r="AC12" s="146">
        <v>0</v>
      </c>
      <c r="AD12" s="146">
        <v>0</v>
      </c>
      <c r="AE12" s="146">
        <v>0</v>
      </c>
      <c r="AF12" s="146">
        <v>0</v>
      </c>
      <c r="AG12" s="146">
        <v>0</v>
      </c>
      <c r="AH12" s="146">
        <v>0</v>
      </c>
      <c r="AI12" s="146">
        <v>0</v>
      </c>
      <c r="AJ12" s="146">
        <v>0</v>
      </c>
      <c r="AK12" s="146">
        <v>0</v>
      </c>
      <c r="AL12" s="146">
        <v>0</v>
      </c>
      <c r="AM12" s="146">
        <v>0</v>
      </c>
      <c r="AN12" s="146">
        <v>0</v>
      </c>
      <c r="AO12" s="146">
        <v>0</v>
      </c>
      <c r="AP12" s="146">
        <v>0</v>
      </c>
    </row>
    <row r="13" spans="1:42" customFormat="1" x14ac:dyDescent="0.15">
      <c r="A13" s="182" t="s">
        <v>203</v>
      </c>
      <c r="B13" s="146">
        <v>0</v>
      </c>
      <c r="C13" s="146">
        <v>6.4199999999999993E-2</v>
      </c>
      <c r="D13" s="146">
        <v>0</v>
      </c>
      <c r="E13" s="146">
        <v>0</v>
      </c>
      <c r="F13" s="146">
        <v>0</v>
      </c>
      <c r="G13" s="146">
        <v>3.000000174279982E-3</v>
      </c>
      <c r="H13" s="146">
        <v>4.9999998848550102E-3</v>
      </c>
      <c r="I13" s="146">
        <v>0</v>
      </c>
      <c r="J13" s="146">
        <v>0</v>
      </c>
      <c r="K13" s="146">
        <v>0</v>
      </c>
      <c r="L13" s="146">
        <v>0.15510000550303563</v>
      </c>
      <c r="M13" s="146">
        <v>1.499999923387507E-2</v>
      </c>
      <c r="N13" s="146">
        <v>0</v>
      </c>
      <c r="O13" s="146">
        <v>0</v>
      </c>
      <c r="P13" s="146">
        <v>0</v>
      </c>
      <c r="Q13" s="146">
        <v>0</v>
      </c>
      <c r="R13" s="146">
        <v>0</v>
      </c>
      <c r="S13" s="146">
        <v>0</v>
      </c>
      <c r="T13" s="146">
        <v>0</v>
      </c>
      <c r="U13" s="146">
        <v>0</v>
      </c>
      <c r="V13" s="146">
        <v>0</v>
      </c>
      <c r="W13" s="146">
        <v>0</v>
      </c>
      <c r="X13" s="146">
        <v>0</v>
      </c>
      <c r="Y13" s="146">
        <v>0</v>
      </c>
      <c r="Z13" s="146">
        <v>0</v>
      </c>
      <c r="AA13" s="146">
        <v>0</v>
      </c>
      <c r="AB13" s="146">
        <v>0</v>
      </c>
      <c r="AC13" s="146">
        <v>0</v>
      </c>
      <c r="AD13" s="146">
        <v>0</v>
      </c>
      <c r="AE13" s="146">
        <v>0</v>
      </c>
      <c r="AF13" s="146">
        <v>0</v>
      </c>
      <c r="AG13" s="146">
        <v>0</v>
      </c>
      <c r="AH13" s="146">
        <v>0</v>
      </c>
      <c r="AI13" s="146">
        <v>0</v>
      </c>
      <c r="AJ13" s="146">
        <v>0</v>
      </c>
      <c r="AK13" s="146">
        <v>0</v>
      </c>
      <c r="AL13" s="146">
        <v>0</v>
      </c>
      <c r="AM13" s="146">
        <v>0</v>
      </c>
      <c r="AN13" s="146">
        <v>0</v>
      </c>
      <c r="AO13" s="146">
        <v>0</v>
      </c>
      <c r="AP13" s="146">
        <v>0</v>
      </c>
    </row>
    <row r="14" spans="1:42" customFormat="1" x14ac:dyDescent="0.15">
      <c r="A14" s="182" t="s">
        <v>204</v>
      </c>
      <c r="B14" s="146">
        <v>0</v>
      </c>
      <c r="C14" s="146">
        <v>3.9100000000000003E-2</v>
      </c>
      <c r="D14" s="146">
        <v>9.000224611177527E-4</v>
      </c>
      <c r="E14" s="146">
        <v>0</v>
      </c>
      <c r="F14" s="146">
        <v>0</v>
      </c>
      <c r="G14" s="146">
        <v>0.22440000538414348</v>
      </c>
      <c r="H14" s="146">
        <v>0.20209999019884001</v>
      </c>
      <c r="I14" s="146">
        <v>9.9999290034296737E-2</v>
      </c>
      <c r="J14" s="146">
        <v>0</v>
      </c>
      <c r="K14" s="146">
        <v>0</v>
      </c>
      <c r="L14" s="146">
        <v>3.0400000230640024E-2</v>
      </c>
      <c r="M14" s="146">
        <v>5.8099998408542644E-2</v>
      </c>
      <c r="N14" s="146">
        <v>5.3055546095290888E-5</v>
      </c>
      <c r="O14" s="146">
        <v>1.6698329053814603E-2</v>
      </c>
      <c r="P14" s="146">
        <v>0</v>
      </c>
      <c r="Q14" s="146">
        <v>0</v>
      </c>
      <c r="R14" s="146">
        <v>0</v>
      </c>
      <c r="S14" s="146">
        <v>0</v>
      </c>
      <c r="T14" s="146">
        <v>0</v>
      </c>
      <c r="U14" s="146">
        <v>0</v>
      </c>
      <c r="V14" s="146">
        <v>0</v>
      </c>
      <c r="W14" s="146">
        <v>1.9999800001999978E-2</v>
      </c>
      <c r="X14" s="146">
        <v>0</v>
      </c>
      <c r="Y14" s="146">
        <v>0</v>
      </c>
      <c r="Z14" s="146">
        <v>1.7899999999999996E-2</v>
      </c>
      <c r="AA14" s="146">
        <v>0</v>
      </c>
      <c r="AB14" s="146">
        <v>6.8506846854850673E-2</v>
      </c>
      <c r="AC14" s="146">
        <v>0</v>
      </c>
      <c r="AD14" s="146">
        <v>0</v>
      </c>
      <c r="AE14" s="146">
        <v>1.7401740646891057E-2</v>
      </c>
      <c r="AF14" s="146">
        <v>0</v>
      </c>
      <c r="AG14" s="146">
        <v>0</v>
      </c>
      <c r="AH14" s="146">
        <v>0</v>
      </c>
      <c r="AI14" s="146">
        <v>0</v>
      </c>
      <c r="AJ14" s="146">
        <v>0</v>
      </c>
      <c r="AK14" s="146">
        <v>0</v>
      </c>
      <c r="AL14" s="146">
        <v>0</v>
      </c>
      <c r="AM14" s="146">
        <v>0</v>
      </c>
      <c r="AN14" s="146">
        <v>0</v>
      </c>
      <c r="AO14" s="146">
        <v>0</v>
      </c>
      <c r="AP14" s="146">
        <v>0</v>
      </c>
    </row>
    <row r="15" spans="1:42" customFormat="1" x14ac:dyDescent="0.15">
      <c r="A15" s="182" t="s">
        <v>205</v>
      </c>
      <c r="B15" s="146">
        <v>0</v>
      </c>
      <c r="C15" s="146">
        <v>4.4000000000000003E-3</v>
      </c>
      <c r="D15" s="146">
        <v>0</v>
      </c>
      <c r="E15" s="146">
        <v>0</v>
      </c>
      <c r="F15" s="146">
        <v>0</v>
      </c>
      <c r="G15" s="146">
        <v>1.0000000547599945E-3</v>
      </c>
      <c r="H15" s="146">
        <v>1.0000000669709937E-3</v>
      </c>
      <c r="I15" s="146">
        <v>9.9999290034296739E-4</v>
      </c>
      <c r="J15" s="146">
        <v>0</v>
      </c>
      <c r="K15" s="146">
        <v>0</v>
      </c>
      <c r="L15" s="146">
        <v>2.6399999079239896E-2</v>
      </c>
      <c r="M15" s="146">
        <v>8.0000002713999756E-3</v>
      </c>
      <c r="N15" s="146">
        <v>0</v>
      </c>
      <c r="O15" s="146">
        <v>2.9997000455954412E-3</v>
      </c>
      <c r="P15" s="146">
        <v>0</v>
      </c>
      <c r="Q15" s="146">
        <v>0</v>
      </c>
      <c r="R15" s="146">
        <v>0</v>
      </c>
      <c r="S15" s="146">
        <v>0</v>
      </c>
      <c r="T15" s="146">
        <v>0</v>
      </c>
      <c r="U15" s="146">
        <v>0</v>
      </c>
      <c r="V15" s="146">
        <v>0</v>
      </c>
      <c r="W15" s="146">
        <v>0</v>
      </c>
      <c r="X15" s="146">
        <v>0</v>
      </c>
      <c r="Y15" s="146">
        <v>0</v>
      </c>
      <c r="Z15" s="146">
        <v>0</v>
      </c>
      <c r="AA15" s="146">
        <v>0</v>
      </c>
      <c r="AB15" s="146">
        <v>1.000100114085404E-3</v>
      </c>
      <c r="AC15" s="146">
        <v>0</v>
      </c>
      <c r="AD15" s="146">
        <v>0</v>
      </c>
      <c r="AE15" s="146">
        <v>5.0005001386468585E-3</v>
      </c>
      <c r="AF15" s="146">
        <v>0</v>
      </c>
      <c r="AG15" s="146">
        <v>0</v>
      </c>
      <c r="AH15" s="146">
        <v>0</v>
      </c>
      <c r="AI15" s="146">
        <v>0</v>
      </c>
      <c r="AJ15" s="146">
        <v>0</v>
      </c>
      <c r="AK15" s="146">
        <v>0</v>
      </c>
      <c r="AL15" s="146">
        <v>0</v>
      </c>
      <c r="AM15" s="146">
        <v>0</v>
      </c>
      <c r="AN15" s="146">
        <v>0</v>
      </c>
      <c r="AO15" s="146">
        <v>0</v>
      </c>
      <c r="AP15" s="146">
        <v>0</v>
      </c>
    </row>
    <row r="16" spans="1:42" customFormat="1" x14ac:dyDescent="0.15">
      <c r="A16" s="182" t="s">
        <v>206</v>
      </c>
      <c r="B16" s="146">
        <v>0</v>
      </c>
      <c r="C16" s="146">
        <v>1.7500000000000002E-2</v>
      </c>
      <c r="D16" s="146">
        <v>2.1900547897531993E-2</v>
      </c>
      <c r="E16" s="146">
        <v>0</v>
      </c>
      <c r="F16" s="146">
        <v>0</v>
      </c>
      <c r="G16" s="146">
        <v>5.1999999327520079E-3</v>
      </c>
      <c r="H16" s="146">
        <v>4.9999999848550011E-2</v>
      </c>
      <c r="I16" s="146">
        <v>0.14999893205144721</v>
      </c>
      <c r="J16" s="146">
        <v>0</v>
      </c>
      <c r="K16" s="146">
        <v>0.27230000653811409</v>
      </c>
      <c r="L16" s="146">
        <v>2.0300001290855144E-2</v>
      </c>
      <c r="M16" s="146">
        <v>6.3000004262274603E-2</v>
      </c>
      <c r="N16" s="146">
        <v>1.8018865319155372E-3</v>
      </c>
      <c r="O16" s="146">
        <v>7.9992001215878419E-2</v>
      </c>
      <c r="P16" s="146">
        <v>9.1000000000000022E-3</v>
      </c>
      <c r="Q16" s="146">
        <v>0</v>
      </c>
      <c r="R16" s="146">
        <v>0</v>
      </c>
      <c r="S16" s="146">
        <v>2.2200000000000001E-2</v>
      </c>
      <c r="T16" s="146">
        <v>7.9684065349058225E-2</v>
      </c>
      <c r="U16" s="146">
        <v>0</v>
      </c>
      <c r="V16" s="146">
        <v>1.9E-2</v>
      </c>
      <c r="W16" s="146">
        <v>3.9099609003909963E-2</v>
      </c>
      <c r="X16" s="146">
        <v>3.7600000000000001E-2</v>
      </c>
      <c r="Y16" s="146">
        <v>0.17219999999999996</v>
      </c>
      <c r="Z16" s="146">
        <v>5.0099999999999985E-2</v>
      </c>
      <c r="AA16" s="146">
        <v>0.12629125839648297</v>
      </c>
      <c r="AB16" s="146">
        <v>5.3905391425203494E-2</v>
      </c>
      <c r="AC16" s="146">
        <v>1.6200000826464125E-2</v>
      </c>
      <c r="AD16" s="146">
        <v>1.6998911220377421E-3</v>
      </c>
      <c r="AE16" s="146">
        <v>4.0004001049174874E-4</v>
      </c>
      <c r="AF16" s="146">
        <v>6.9992995876782269E-4</v>
      </c>
      <c r="AG16" s="146">
        <v>0</v>
      </c>
      <c r="AH16" s="146">
        <v>0</v>
      </c>
      <c r="AI16" s="146">
        <v>0</v>
      </c>
      <c r="AJ16" s="146">
        <v>3.0002998898289876E-2</v>
      </c>
      <c r="AK16" s="146">
        <v>0</v>
      </c>
      <c r="AL16" s="146">
        <v>0</v>
      </c>
      <c r="AM16" s="146">
        <v>0</v>
      </c>
      <c r="AN16" s="146">
        <v>0</v>
      </c>
      <c r="AO16" s="146">
        <v>0</v>
      </c>
      <c r="AP16" s="146">
        <v>0</v>
      </c>
    </row>
    <row r="17" spans="1:42" customFormat="1" x14ac:dyDescent="0.15">
      <c r="A17" s="182" t="s">
        <v>207</v>
      </c>
      <c r="B17" s="146">
        <v>0</v>
      </c>
      <c r="C17" s="146">
        <v>0</v>
      </c>
      <c r="D17" s="146">
        <v>2.3900596615571434E-2</v>
      </c>
      <c r="E17" s="146">
        <v>0</v>
      </c>
      <c r="F17" s="146">
        <v>0</v>
      </c>
      <c r="G17" s="146">
        <v>0.1516000020456158</v>
      </c>
      <c r="H17" s="146">
        <v>0.15000000704564934</v>
      </c>
      <c r="I17" s="146">
        <v>0.21999842907545913</v>
      </c>
      <c r="J17" s="146">
        <v>0</v>
      </c>
      <c r="K17" s="146">
        <v>0.27239999352766309</v>
      </c>
      <c r="L17" s="146">
        <v>0</v>
      </c>
      <c r="M17" s="146">
        <v>1.0099999580142538E-2</v>
      </c>
      <c r="N17" s="146">
        <v>1.3013624808278885E-3</v>
      </c>
      <c r="O17" s="146">
        <v>4.7495250721927819E-2</v>
      </c>
      <c r="P17" s="146">
        <v>1.4200000000000003E-2</v>
      </c>
      <c r="Q17" s="146">
        <v>0</v>
      </c>
      <c r="R17" s="146">
        <v>0</v>
      </c>
      <c r="S17" s="146">
        <v>4.8999999999999998E-3</v>
      </c>
      <c r="T17" s="146">
        <v>9.9980001943611244E-3</v>
      </c>
      <c r="U17" s="146">
        <v>0</v>
      </c>
      <c r="V17" s="146">
        <v>9.6600000000000005E-2</v>
      </c>
      <c r="W17" s="146">
        <v>0.1077989220107799</v>
      </c>
      <c r="X17" s="146">
        <v>1.2200000000000001E-2</v>
      </c>
      <c r="Y17" s="146">
        <v>0.22999999999999995</v>
      </c>
      <c r="Z17" s="146">
        <v>7.5099999999999986E-2</v>
      </c>
      <c r="AA17" s="146">
        <v>0.1300040016791765</v>
      </c>
      <c r="AB17" s="146">
        <v>4.4604457952209346E-2</v>
      </c>
      <c r="AC17" s="146">
        <v>4.1000001170680899E-3</v>
      </c>
      <c r="AD17" s="146">
        <v>4.6996988673984668E-3</v>
      </c>
      <c r="AE17" s="146">
        <v>0</v>
      </c>
      <c r="AF17" s="146">
        <v>0</v>
      </c>
      <c r="AG17" s="146">
        <v>0</v>
      </c>
      <c r="AH17" s="146">
        <v>0</v>
      </c>
      <c r="AI17" s="146">
        <v>0</v>
      </c>
      <c r="AJ17" s="146">
        <v>8.0007997062106345E-3</v>
      </c>
      <c r="AK17" s="146">
        <v>0</v>
      </c>
      <c r="AL17" s="146">
        <v>0</v>
      </c>
      <c r="AM17" s="146">
        <v>0</v>
      </c>
      <c r="AN17" s="146">
        <v>0</v>
      </c>
      <c r="AO17" s="146">
        <v>0</v>
      </c>
      <c r="AP17" s="146">
        <v>0</v>
      </c>
    </row>
    <row r="18" spans="1:42" customFormat="1" x14ac:dyDescent="0.15">
      <c r="A18" s="182" t="s">
        <v>208</v>
      </c>
      <c r="B18" s="146">
        <v>0</v>
      </c>
      <c r="C18" s="146">
        <v>3.0000000000000001E-3</v>
      </c>
      <c r="D18" s="146">
        <v>4.0000997860789006E-2</v>
      </c>
      <c r="E18" s="146">
        <v>0</v>
      </c>
      <c r="F18" s="146">
        <v>0</v>
      </c>
      <c r="G18" s="146">
        <v>0.15999999416160063</v>
      </c>
      <c r="H18" s="146">
        <v>0.15000000704564934</v>
      </c>
      <c r="I18" s="146">
        <v>2.4999822508574184E-2</v>
      </c>
      <c r="J18" s="146">
        <v>0</v>
      </c>
      <c r="K18" s="146">
        <v>4.0000000619039929E-4</v>
      </c>
      <c r="L18" s="146">
        <v>8.5000004892250552E-3</v>
      </c>
      <c r="M18" s="146">
        <v>4.8300001101077399E-2</v>
      </c>
      <c r="N18" s="146">
        <v>2.0020961943505952E-3</v>
      </c>
      <c r="O18" s="146">
        <v>9.3290671418018223E-2</v>
      </c>
      <c r="P18" s="146">
        <v>0</v>
      </c>
      <c r="Q18" s="146">
        <v>0</v>
      </c>
      <c r="R18" s="146">
        <v>0</v>
      </c>
      <c r="S18" s="146">
        <v>0</v>
      </c>
      <c r="T18" s="146">
        <v>5.9988001166166752E-4</v>
      </c>
      <c r="U18" s="146">
        <v>0</v>
      </c>
      <c r="V18" s="146">
        <v>1.37E-2</v>
      </c>
      <c r="W18" s="146">
        <v>2.9999700002999966E-2</v>
      </c>
      <c r="X18" s="146">
        <v>0.01</v>
      </c>
      <c r="Y18" s="146">
        <v>1.9999999999999997E-2</v>
      </c>
      <c r="Z18" s="146">
        <v>1.9999999999999997E-2</v>
      </c>
      <c r="AA18" s="146">
        <v>3.0000923464425341E-2</v>
      </c>
      <c r="AB18" s="146">
        <v>3.0003000522562252E-2</v>
      </c>
      <c r="AC18" s="146">
        <v>4.9999998952050097E-3</v>
      </c>
      <c r="AD18" s="146">
        <v>3.1997949097181066E-3</v>
      </c>
      <c r="AE18" s="146">
        <v>0</v>
      </c>
      <c r="AF18" s="146">
        <v>0</v>
      </c>
      <c r="AG18" s="146">
        <v>0</v>
      </c>
      <c r="AH18" s="146">
        <v>0</v>
      </c>
      <c r="AI18" s="146">
        <v>0</v>
      </c>
      <c r="AJ18" s="146">
        <v>5.0004998163816457E-3</v>
      </c>
      <c r="AK18" s="146">
        <v>0</v>
      </c>
      <c r="AL18" s="146">
        <v>0</v>
      </c>
      <c r="AM18" s="146">
        <v>0</v>
      </c>
      <c r="AN18" s="146">
        <v>0</v>
      </c>
      <c r="AO18" s="146">
        <v>0</v>
      </c>
      <c r="AP18" s="146">
        <v>0</v>
      </c>
    </row>
    <row r="19" spans="1:42" customFormat="1" x14ac:dyDescent="0.15">
      <c r="A19" s="182" t="s">
        <v>209</v>
      </c>
      <c r="B19" s="146">
        <v>0</v>
      </c>
      <c r="C19" s="146">
        <v>0</v>
      </c>
      <c r="D19" s="146">
        <v>3.0000750270591767E-4</v>
      </c>
      <c r="E19" s="146">
        <v>0</v>
      </c>
      <c r="F19" s="146">
        <v>0</v>
      </c>
      <c r="G19" s="146">
        <v>1.0000000547599945E-3</v>
      </c>
      <c r="H19" s="146">
        <v>4.9999998848550102E-3</v>
      </c>
      <c r="I19" s="146">
        <v>9.9999290034296739E-4</v>
      </c>
      <c r="J19" s="146">
        <v>0</v>
      </c>
      <c r="K19" s="146">
        <v>5.0000004773799499E-4</v>
      </c>
      <c r="L19" s="146">
        <v>1.0000000128500015E-3</v>
      </c>
      <c r="M19" s="146">
        <v>1.9999999078500083E-4</v>
      </c>
      <c r="N19" s="146">
        <v>0</v>
      </c>
      <c r="O19" s="146">
        <v>2.9997000455954412E-3</v>
      </c>
      <c r="P19" s="146">
        <v>0</v>
      </c>
      <c r="Q19" s="146">
        <v>0</v>
      </c>
      <c r="R19" s="146">
        <v>0</v>
      </c>
      <c r="S19" s="146">
        <v>6.9999999999999999E-4</v>
      </c>
      <c r="T19" s="146">
        <v>9.9980001943611235E-4</v>
      </c>
      <c r="U19" s="146">
        <v>0</v>
      </c>
      <c r="V19" s="146">
        <v>5.0000000000000001E-4</v>
      </c>
      <c r="W19" s="146">
        <v>9.9999000009999887E-4</v>
      </c>
      <c r="X19" s="146">
        <v>1E-3</v>
      </c>
      <c r="Y19" s="146">
        <v>0</v>
      </c>
      <c r="Z19" s="146">
        <v>0</v>
      </c>
      <c r="AA19" s="146">
        <v>1.9998615581385933E-4</v>
      </c>
      <c r="AB19" s="146">
        <v>0</v>
      </c>
      <c r="AC19" s="146">
        <v>0</v>
      </c>
      <c r="AD19" s="146">
        <v>4.4997118730410794E-5</v>
      </c>
      <c r="AE19" s="146">
        <v>0</v>
      </c>
      <c r="AF19" s="146">
        <v>0</v>
      </c>
      <c r="AG19" s="146">
        <v>0</v>
      </c>
      <c r="AH19" s="146">
        <v>0</v>
      </c>
      <c r="AI19" s="146">
        <v>0</v>
      </c>
      <c r="AJ19" s="146">
        <v>3.0003000898289799E-4</v>
      </c>
      <c r="AK19" s="146">
        <v>0</v>
      </c>
      <c r="AL19" s="146">
        <v>0</v>
      </c>
      <c r="AM19" s="146">
        <v>0</v>
      </c>
      <c r="AN19" s="146">
        <v>0</v>
      </c>
      <c r="AO19" s="146">
        <v>0</v>
      </c>
      <c r="AP19" s="146">
        <v>0</v>
      </c>
    </row>
    <row r="20" spans="1:42" customFormat="1" x14ac:dyDescent="0.15">
      <c r="A20" s="182" t="s">
        <v>210</v>
      </c>
      <c r="B20" s="146">
        <v>0</v>
      </c>
      <c r="C20" s="146">
        <v>0</v>
      </c>
      <c r="D20" s="146">
        <v>8.0001995221577998E-4</v>
      </c>
      <c r="E20" s="146">
        <v>0</v>
      </c>
      <c r="F20" s="146">
        <v>0</v>
      </c>
      <c r="G20" s="146">
        <v>2.9999999942800011E-2</v>
      </c>
      <c r="H20" s="146">
        <v>3.9999999078840082E-2</v>
      </c>
      <c r="I20" s="146">
        <v>1.4999892305145351E-2</v>
      </c>
      <c r="J20" s="146">
        <v>0</v>
      </c>
      <c r="K20" s="146">
        <v>3.1000002259755758E-3</v>
      </c>
      <c r="L20" s="146">
        <v>2.0900000358565041E-2</v>
      </c>
      <c r="M20" s="146">
        <v>9.9999997892500185E-3</v>
      </c>
      <c r="N20" s="146">
        <v>0</v>
      </c>
      <c r="O20" s="146">
        <v>9.6990301474252603E-3</v>
      </c>
      <c r="P20" s="146">
        <v>0</v>
      </c>
      <c r="Q20" s="146">
        <v>0</v>
      </c>
      <c r="R20" s="146">
        <v>0</v>
      </c>
      <c r="S20" s="146">
        <v>0</v>
      </c>
      <c r="T20" s="146">
        <v>1.1397720221571681E-2</v>
      </c>
      <c r="U20" s="146">
        <v>0</v>
      </c>
      <c r="V20" s="146">
        <v>3.2000000000000002E-3</v>
      </c>
      <c r="W20" s="146">
        <v>0</v>
      </c>
      <c r="X20" s="146">
        <v>0</v>
      </c>
      <c r="Y20" s="146">
        <v>0</v>
      </c>
      <c r="Z20" s="146">
        <v>2.9999999999999992E-3</v>
      </c>
      <c r="AA20" s="146">
        <v>1.0000307821475115E-3</v>
      </c>
      <c r="AB20" s="146">
        <v>2.0002000981708137E-2</v>
      </c>
      <c r="AC20" s="146">
        <v>1.0000000690409939E-3</v>
      </c>
      <c r="AD20" s="146">
        <v>0</v>
      </c>
      <c r="AE20" s="146">
        <v>0</v>
      </c>
      <c r="AF20" s="146">
        <v>0</v>
      </c>
      <c r="AG20" s="146">
        <v>0</v>
      </c>
      <c r="AH20" s="146">
        <v>0</v>
      </c>
      <c r="AI20" s="146">
        <v>0</v>
      </c>
      <c r="AJ20" s="146">
        <v>0</v>
      </c>
      <c r="AK20" s="146">
        <v>0</v>
      </c>
      <c r="AL20" s="146">
        <v>0</v>
      </c>
      <c r="AM20" s="146">
        <v>0</v>
      </c>
      <c r="AN20" s="146">
        <v>0</v>
      </c>
      <c r="AO20" s="146">
        <v>0</v>
      </c>
      <c r="AP20" s="146">
        <v>0</v>
      </c>
    </row>
    <row r="21" spans="1:42" customFormat="1" x14ac:dyDescent="0.15">
      <c r="A21" s="182" t="s">
        <v>211</v>
      </c>
      <c r="B21" s="146">
        <v>0</v>
      </c>
      <c r="C21" s="146">
        <v>3.2800000000000003E-2</v>
      </c>
      <c r="D21" s="146">
        <v>3.0000750270591767E-4</v>
      </c>
      <c r="E21" s="146">
        <v>0</v>
      </c>
      <c r="F21" s="146">
        <v>0</v>
      </c>
      <c r="G21" s="146">
        <v>1.9999999295200077E-2</v>
      </c>
      <c r="H21" s="146">
        <v>1.9999999539420041E-2</v>
      </c>
      <c r="I21" s="146">
        <v>1.9999857006860047E-2</v>
      </c>
      <c r="J21" s="146">
        <v>0</v>
      </c>
      <c r="K21" s="146">
        <v>3.0000001164279879E-4</v>
      </c>
      <c r="L21" s="146">
        <v>2.2000000082700007E-3</v>
      </c>
      <c r="M21" s="146">
        <v>3.0000001567749861E-4</v>
      </c>
      <c r="N21" s="146">
        <v>0</v>
      </c>
      <c r="O21" s="146">
        <v>0</v>
      </c>
      <c r="P21" s="146">
        <v>0</v>
      </c>
      <c r="Q21" s="146">
        <v>0</v>
      </c>
      <c r="R21" s="146">
        <v>0</v>
      </c>
      <c r="S21" s="146">
        <v>0</v>
      </c>
      <c r="T21" s="146">
        <v>0</v>
      </c>
      <c r="U21" s="146">
        <v>0</v>
      </c>
      <c r="V21" s="146">
        <v>0</v>
      </c>
      <c r="W21" s="146">
        <v>0</v>
      </c>
      <c r="X21" s="146">
        <v>0</v>
      </c>
      <c r="Y21" s="146">
        <v>2.9999999999999992E-2</v>
      </c>
      <c r="Z21" s="146">
        <v>3.9999999999999994E-2</v>
      </c>
      <c r="AA21" s="146">
        <v>0.10000307821475114</v>
      </c>
      <c r="AB21" s="146">
        <v>2.0002000981708137E-2</v>
      </c>
      <c r="AC21" s="146">
        <v>0</v>
      </c>
      <c r="AD21" s="146">
        <v>0</v>
      </c>
      <c r="AE21" s="146">
        <v>2.9002901078151759E-3</v>
      </c>
      <c r="AF21" s="146">
        <v>0</v>
      </c>
      <c r="AG21" s="146">
        <v>0</v>
      </c>
      <c r="AH21" s="146">
        <v>0</v>
      </c>
      <c r="AI21" s="146">
        <v>0</v>
      </c>
      <c r="AJ21" s="146">
        <v>0</v>
      </c>
      <c r="AK21" s="146">
        <v>0</v>
      </c>
      <c r="AL21" s="146">
        <v>0</v>
      </c>
      <c r="AM21" s="146">
        <v>0</v>
      </c>
      <c r="AN21" s="146">
        <v>0</v>
      </c>
      <c r="AO21" s="146">
        <v>0</v>
      </c>
      <c r="AP21" s="146">
        <v>0</v>
      </c>
    </row>
    <row r="22" spans="1:42" customFormat="1" x14ac:dyDescent="0.15">
      <c r="A22" s="182" t="s">
        <v>212</v>
      </c>
      <c r="B22" s="146">
        <v>0</v>
      </c>
      <c r="C22" s="146">
        <v>6.5500000000000003E-2</v>
      </c>
      <c r="D22" s="146">
        <v>5.0001254250986319E-4</v>
      </c>
      <c r="E22" s="146">
        <v>0</v>
      </c>
      <c r="F22" s="146">
        <v>0</v>
      </c>
      <c r="G22" s="146">
        <v>2.9999999942800011E-2</v>
      </c>
      <c r="H22" s="146">
        <v>4.9999999848550011E-2</v>
      </c>
      <c r="I22" s="146">
        <v>5.6999593219550617E-3</v>
      </c>
      <c r="J22" s="146">
        <v>0</v>
      </c>
      <c r="K22" s="146">
        <v>9.0000000592839924E-4</v>
      </c>
      <c r="L22" s="146">
        <v>9.3000000495050052E-3</v>
      </c>
      <c r="M22" s="146">
        <v>6.8999997615825223E-3</v>
      </c>
      <c r="N22" s="146">
        <v>0</v>
      </c>
      <c r="O22" s="146">
        <v>0</v>
      </c>
      <c r="P22" s="146">
        <v>0</v>
      </c>
      <c r="Q22" s="146">
        <v>0</v>
      </c>
      <c r="R22" s="146">
        <v>0</v>
      </c>
      <c r="S22" s="146">
        <v>0</v>
      </c>
      <c r="T22" s="146">
        <v>5.9988001166166752E-4</v>
      </c>
      <c r="U22" s="146">
        <v>0</v>
      </c>
      <c r="V22" s="146">
        <v>0</v>
      </c>
      <c r="W22" s="146">
        <v>0</v>
      </c>
      <c r="X22" s="146">
        <v>0</v>
      </c>
      <c r="Y22" s="146">
        <v>1.6599999999999997E-2</v>
      </c>
      <c r="Z22" s="146">
        <v>1.9999999999999997E-2</v>
      </c>
      <c r="AA22" s="146">
        <v>1.0999238569762265E-2</v>
      </c>
      <c r="AB22" s="146">
        <v>0</v>
      </c>
      <c r="AC22" s="146">
        <v>0</v>
      </c>
      <c r="AD22" s="146">
        <v>3.999743677147632E-4</v>
      </c>
      <c r="AE22" s="146">
        <v>5.9005902890032847E-3</v>
      </c>
      <c r="AF22" s="146">
        <v>0</v>
      </c>
      <c r="AG22" s="146">
        <v>0</v>
      </c>
      <c r="AH22" s="146">
        <v>0</v>
      </c>
      <c r="AI22" s="146">
        <v>0</v>
      </c>
      <c r="AJ22" s="146">
        <v>0</v>
      </c>
      <c r="AK22" s="146">
        <v>0</v>
      </c>
      <c r="AL22" s="146">
        <v>0</v>
      </c>
      <c r="AM22" s="146">
        <v>0</v>
      </c>
      <c r="AN22" s="146">
        <v>0</v>
      </c>
      <c r="AO22" s="146">
        <v>0</v>
      </c>
      <c r="AP22" s="146">
        <v>0</v>
      </c>
    </row>
    <row r="23" spans="1:42" customFormat="1" x14ac:dyDescent="0.15">
      <c r="A23" s="182" t="s">
        <v>213</v>
      </c>
      <c r="B23" s="146">
        <v>0</v>
      </c>
      <c r="C23" s="146">
        <v>0.06</v>
      </c>
      <c r="D23" s="146">
        <v>5.0001254250986319E-4</v>
      </c>
      <c r="E23" s="146">
        <v>0</v>
      </c>
      <c r="F23" s="146">
        <v>0</v>
      </c>
      <c r="G23" s="146">
        <v>6.0000003685599622E-3</v>
      </c>
      <c r="H23" s="146">
        <v>2.9999998409130146E-2</v>
      </c>
      <c r="I23" s="146">
        <v>9.9999285234300093E-3</v>
      </c>
      <c r="J23" s="146">
        <v>0</v>
      </c>
      <c r="K23" s="146">
        <v>3.1000002259755758E-3</v>
      </c>
      <c r="L23" s="146">
        <v>9.3000000495050052E-3</v>
      </c>
      <c r="M23" s="146">
        <v>5.1000001855174837E-3</v>
      </c>
      <c r="N23" s="146">
        <v>0</v>
      </c>
      <c r="O23" s="146">
        <v>0</v>
      </c>
      <c r="P23" s="146">
        <v>0</v>
      </c>
      <c r="Q23" s="146">
        <v>0</v>
      </c>
      <c r="R23" s="146">
        <v>0</v>
      </c>
      <c r="S23" s="146">
        <v>0</v>
      </c>
      <c r="T23" s="146">
        <v>0</v>
      </c>
      <c r="U23" s="146">
        <v>0</v>
      </c>
      <c r="V23" s="146">
        <v>0</v>
      </c>
      <c r="W23" s="146">
        <v>2.5699743002569973E-2</v>
      </c>
      <c r="X23" s="146">
        <v>0</v>
      </c>
      <c r="Y23" s="146">
        <v>7.9999999999999982E-4</v>
      </c>
      <c r="Z23" s="146">
        <v>7.9999999999999984E-3</v>
      </c>
      <c r="AA23" s="146">
        <v>1.9998615581385934E-3</v>
      </c>
      <c r="AB23" s="146">
        <v>1.0001000440854071E-2</v>
      </c>
      <c r="AC23" s="146">
        <v>0</v>
      </c>
      <c r="AD23" s="146">
        <v>9.9993591778690819E-5</v>
      </c>
      <c r="AE23" s="146">
        <v>5.2005202753927244E-3</v>
      </c>
      <c r="AF23" s="146">
        <v>0</v>
      </c>
      <c r="AG23" s="146">
        <v>0</v>
      </c>
      <c r="AH23" s="146">
        <v>0</v>
      </c>
      <c r="AI23" s="146">
        <v>0</v>
      </c>
      <c r="AJ23" s="146">
        <v>0</v>
      </c>
      <c r="AK23" s="146">
        <v>0</v>
      </c>
      <c r="AL23" s="146">
        <v>0</v>
      </c>
      <c r="AM23" s="146">
        <v>0</v>
      </c>
      <c r="AN23" s="146">
        <v>0</v>
      </c>
      <c r="AO23" s="146">
        <v>0</v>
      </c>
      <c r="AP23" s="146">
        <v>0</v>
      </c>
    </row>
    <row r="24" spans="1:42" customFormat="1" x14ac:dyDescent="0.15">
      <c r="A24" s="182" t="s">
        <v>214</v>
      </c>
      <c r="B24" s="146">
        <v>0</v>
      </c>
      <c r="C24" s="146">
        <v>6.0000000000000001E-3</v>
      </c>
      <c r="D24" s="146">
        <v>0</v>
      </c>
      <c r="E24" s="146">
        <v>0</v>
      </c>
      <c r="F24" s="146">
        <v>0</v>
      </c>
      <c r="G24" s="146">
        <v>1.5000000921399905E-3</v>
      </c>
      <c r="H24" s="146">
        <v>2.0000001439419864E-3</v>
      </c>
      <c r="I24" s="146">
        <v>7.2999478925038584E-3</v>
      </c>
      <c r="J24" s="146">
        <v>0</v>
      </c>
      <c r="K24" s="146">
        <v>0</v>
      </c>
      <c r="L24" s="146">
        <v>7.0000000699500086E-3</v>
      </c>
      <c r="M24" s="146">
        <v>4.1099999056817584E-2</v>
      </c>
      <c r="N24" s="146">
        <v>0</v>
      </c>
      <c r="O24" s="146">
        <v>0</v>
      </c>
      <c r="P24" s="146">
        <v>0</v>
      </c>
      <c r="Q24" s="146">
        <v>0</v>
      </c>
      <c r="R24" s="146">
        <v>0</v>
      </c>
      <c r="S24" s="146">
        <v>0</v>
      </c>
      <c r="T24" s="146">
        <v>0</v>
      </c>
      <c r="U24" s="146">
        <v>0</v>
      </c>
      <c r="V24" s="146">
        <v>1.01E-2</v>
      </c>
      <c r="W24" s="146">
        <v>0</v>
      </c>
      <c r="X24" s="146">
        <v>0</v>
      </c>
      <c r="Y24" s="146">
        <v>0</v>
      </c>
      <c r="Z24" s="146">
        <v>2.9999999999999992E-3</v>
      </c>
      <c r="AA24" s="146">
        <v>0</v>
      </c>
      <c r="AB24" s="146">
        <v>5.2005203812441102E-3</v>
      </c>
      <c r="AC24" s="146">
        <v>0</v>
      </c>
      <c r="AD24" s="146">
        <v>0</v>
      </c>
      <c r="AE24" s="146">
        <v>2.9002901078151759E-3</v>
      </c>
      <c r="AF24" s="146">
        <v>0</v>
      </c>
      <c r="AG24" s="146">
        <v>0</v>
      </c>
      <c r="AH24" s="146">
        <v>0</v>
      </c>
      <c r="AI24" s="146">
        <v>0</v>
      </c>
      <c r="AJ24" s="146">
        <v>0</v>
      </c>
      <c r="AK24" s="146">
        <v>0</v>
      </c>
      <c r="AL24" s="146">
        <v>0</v>
      </c>
      <c r="AM24" s="146">
        <v>0</v>
      </c>
      <c r="AN24" s="146">
        <v>0</v>
      </c>
      <c r="AO24" s="146">
        <v>0</v>
      </c>
      <c r="AP24" s="146">
        <v>0</v>
      </c>
    </row>
    <row r="25" spans="1:42" customFormat="1" x14ac:dyDescent="0.15">
      <c r="A25" s="182" t="s">
        <v>215</v>
      </c>
      <c r="B25" s="146">
        <v>0</v>
      </c>
      <c r="C25" s="146">
        <v>6.0000000000000001E-3</v>
      </c>
      <c r="D25" s="146">
        <v>9.000224611177527E-4</v>
      </c>
      <c r="E25" s="146">
        <v>0</v>
      </c>
      <c r="F25" s="146">
        <v>0</v>
      </c>
      <c r="G25" s="146">
        <v>5.0000004737999509E-2</v>
      </c>
      <c r="H25" s="146">
        <v>4.1299998657902424E-2</v>
      </c>
      <c r="I25" s="146">
        <v>3.9999972013539588E-2</v>
      </c>
      <c r="J25" s="146">
        <v>0</v>
      </c>
      <c r="K25" s="146">
        <v>3.1000002259755758E-3</v>
      </c>
      <c r="L25" s="146">
        <v>7.5999998576599835E-3</v>
      </c>
      <c r="M25" s="146">
        <v>7.4999996169375352E-3</v>
      </c>
      <c r="N25" s="146">
        <v>0</v>
      </c>
      <c r="O25" s="146">
        <v>0</v>
      </c>
      <c r="P25" s="146">
        <v>0</v>
      </c>
      <c r="Q25" s="146">
        <v>0</v>
      </c>
      <c r="R25" s="146">
        <v>0</v>
      </c>
      <c r="S25" s="146">
        <v>0</v>
      </c>
      <c r="T25" s="146">
        <v>4.9990000971805617E-4</v>
      </c>
      <c r="U25" s="146">
        <v>0</v>
      </c>
      <c r="V25" s="146">
        <v>0</v>
      </c>
      <c r="W25" s="146">
        <v>0</v>
      </c>
      <c r="X25" s="146">
        <v>0</v>
      </c>
      <c r="Y25" s="146">
        <v>3.9999999999999992E-3</v>
      </c>
      <c r="Z25" s="146">
        <v>2.3999999999999994E-2</v>
      </c>
      <c r="AA25" s="146">
        <v>0</v>
      </c>
      <c r="AB25" s="146">
        <v>2.5002500752135198E-2</v>
      </c>
      <c r="AC25" s="146">
        <v>2.0000001480819868E-3</v>
      </c>
      <c r="AD25" s="146">
        <v>0</v>
      </c>
      <c r="AE25" s="146">
        <v>0</v>
      </c>
      <c r="AF25" s="146">
        <v>0</v>
      </c>
      <c r="AG25" s="146">
        <v>0</v>
      </c>
      <c r="AH25" s="146">
        <v>0</v>
      </c>
      <c r="AI25" s="146">
        <v>0</v>
      </c>
      <c r="AJ25" s="146">
        <v>0</v>
      </c>
      <c r="AK25" s="146">
        <v>0</v>
      </c>
      <c r="AL25" s="146">
        <v>0</v>
      </c>
      <c r="AM25" s="146">
        <v>0</v>
      </c>
      <c r="AN25" s="146">
        <v>0</v>
      </c>
      <c r="AO25" s="146">
        <v>0</v>
      </c>
      <c r="AP25" s="146">
        <v>0</v>
      </c>
    </row>
    <row r="26" spans="1:42" customFormat="1" x14ac:dyDescent="0.15">
      <c r="A26" s="182" t="s">
        <v>216</v>
      </c>
      <c r="B26" s="146">
        <v>0</v>
      </c>
      <c r="C26" s="146">
        <v>6.0000000000000001E-3</v>
      </c>
      <c r="D26" s="146">
        <v>0</v>
      </c>
      <c r="E26" s="146">
        <v>0</v>
      </c>
      <c r="F26" s="146">
        <v>0</v>
      </c>
      <c r="G26" s="146">
        <v>4.0000002390399754E-3</v>
      </c>
      <c r="H26" s="146">
        <v>1.2999999990622999E-3</v>
      </c>
      <c r="I26" s="146">
        <v>6.4999534522295685E-6</v>
      </c>
      <c r="J26" s="146">
        <v>0</v>
      </c>
      <c r="K26" s="146">
        <v>0</v>
      </c>
      <c r="L26" s="146">
        <v>1.5499999649174961E-2</v>
      </c>
      <c r="M26" s="146">
        <v>1.0400000052819996E-2</v>
      </c>
      <c r="N26" s="146">
        <v>0</v>
      </c>
      <c r="O26" s="146">
        <v>0</v>
      </c>
      <c r="P26" s="146">
        <v>0</v>
      </c>
      <c r="Q26" s="146">
        <v>0</v>
      </c>
      <c r="R26" s="146">
        <v>0</v>
      </c>
      <c r="S26" s="146">
        <v>0</v>
      </c>
      <c r="T26" s="146">
        <v>0</v>
      </c>
      <c r="U26" s="146">
        <v>0</v>
      </c>
      <c r="V26" s="146">
        <v>0</v>
      </c>
      <c r="W26" s="146">
        <v>0</v>
      </c>
      <c r="X26" s="146">
        <v>0</v>
      </c>
      <c r="Y26" s="146">
        <v>0</v>
      </c>
      <c r="Z26" s="146">
        <v>0</v>
      </c>
      <c r="AA26" s="146">
        <v>0</v>
      </c>
      <c r="AB26" s="146">
        <v>0</v>
      </c>
      <c r="AC26" s="146">
        <v>0</v>
      </c>
      <c r="AD26" s="146">
        <v>0</v>
      </c>
      <c r="AE26" s="146">
        <v>0</v>
      </c>
      <c r="AF26" s="146">
        <v>0</v>
      </c>
      <c r="AG26" s="146">
        <v>0</v>
      </c>
      <c r="AH26" s="146">
        <v>0</v>
      </c>
      <c r="AI26" s="146">
        <v>0</v>
      </c>
      <c r="AJ26" s="146">
        <v>0</v>
      </c>
      <c r="AK26" s="146">
        <v>0</v>
      </c>
      <c r="AL26" s="146">
        <v>0</v>
      </c>
      <c r="AM26" s="146">
        <v>0</v>
      </c>
      <c r="AN26" s="146">
        <v>0</v>
      </c>
      <c r="AO26" s="146">
        <v>0</v>
      </c>
      <c r="AP26" s="146">
        <v>0</v>
      </c>
    </row>
    <row r="27" spans="1:42" customFormat="1" x14ac:dyDescent="0.15">
      <c r="A27" s="182" t="s">
        <v>217</v>
      </c>
      <c r="B27" s="146">
        <v>0</v>
      </c>
      <c r="C27" s="146">
        <v>0</v>
      </c>
      <c r="D27" s="146">
        <v>0</v>
      </c>
      <c r="E27" s="146">
        <v>0</v>
      </c>
      <c r="F27" s="146">
        <v>0</v>
      </c>
      <c r="G27" s="146">
        <v>7.9999997280800303E-2</v>
      </c>
      <c r="H27" s="146">
        <v>6.3699999474052735E-2</v>
      </c>
      <c r="I27" s="146">
        <v>9.9999285234300093E-3</v>
      </c>
      <c r="J27" s="146">
        <v>0</v>
      </c>
      <c r="K27" s="146">
        <v>0</v>
      </c>
      <c r="L27" s="146">
        <v>0.15989999804471478</v>
      </c>
      <c r="M27" s="146">
        <v>3.8999997748075206E-3</v>
      </c>
      <c r="N27" s="146">
        <v>0</v>
      </c>
      <c r="O27" s="146">
        <v>0</v>
      </c>
      <c r="P27" s="146">
        <v>0</v>
      </c>
      <c r="Q27" s="146">
        <v>0</v>
      </c>
      <c r="R27" s="146">
        <v>0</v>
      </c>
      <c r="S27" s="146">
        <v>0</v>
      </c>
      <c r="T27" s="146">
        <v>5.9988001166166752E-4</v>
      </c>
      <c r="U27" s="146">
        <v>0.02</v>
      </c>
      <c r="V27" s="146">
        <v>0</v>
      </c>
      <c r="W27" s="146">
        <v>0</v>
      </c>
      <c r="X27" s="146">
        <v>1.8800000000000001E-2</v>
      </c>
      <c r="Y27" s="146">
        <v>8.9999999999999976E-3</v>
      </c>
      <c r="Z27" s="146">
        <v>2.4999999999999994E-2</v>
      </c>
      <c r="AA27" s="146">
        <v>0</v>
      </c>
      <c r="AB27" s="146">
        <v>6.0006004845124328E-3</v>
      </c>
      <c r="AC27" s="146">
        <v>4.1999999379722062E-3</v>
      </c>
      <c r="AD27" s="146">
        <v>0</v>
      </c>
      <c r="AE27" s="146">
        <v>7.0007001061056073E-4</v>
      </c>
      <c r="AF27" s="146">
        <v>0</v>
      </c>
      <c r="AG27" s="146">
        <v>0</v>
      </c>
      <c r="AH27" s="146">
        <v>0</v>
      </c>
      <c r="AI27" s="146">
        <v>0</v>
      </c>
      <c r="AJ27" s="146">
        <v>0</v>
      </c>
      <c r="AK27" s="146">
        <v>0</v>
      </c>
      <c r="AL27" s="146">
        <v>0</v>
      </c>
      <c r="AM27" s="146">
        <v>0</v>
      </c>
      <c r="AN27" s="146">
        <v>0</v>
      </c>
      <c r="AO27" s="146">
        <v>0</v>
      </c>
      <c r="AP27" s="146">
        <v>0</v>
      </c>
    </row>
    <row r="28" spans="1:42" customFormat="1" x14ac:dyDescent="0.15">
      <c r="A28" s="182" t="s">
        <v>218</v>
      </c>
      <c r="B28" s="146">
        <v>0</v>
      </c>
      <c r="C28" s="146">
        <v>1.72E-2</v>
      </c>
      <c r="D28" s="146">
        <v>0</v>
      </c>
      <c r="E28" s="146">
        <v>0</v>
      </c>
      <c r="F28" s="146">
        <v>0</v>
      </c>
      <c r="G28" s="146">
        <v>2.0300000663627936E-2</v>
      </c>
      <c r="H28" s="146">
        <v>1.5900001320838776E-2</v>
      </c>
      <c r="I28" s="146">
        <v>3.999971781371744E-3</v>
      </c>
      <c r="J28" s="146">
        <v>0</v>
      </c>
      <c r="K28" s="146">
        <v>0</v>
      </c>
      <c r="L28" s="146">
        <v>4.9299998163504798E-2</v>
      </c>
      <c r="M28" s="146">
        <v>4.6000001510549861E-3</v>
      </c>
      <c r="N28" s="146">
        <v>0</v>
      </c>
      <c r="O28" s="146">
        <v>0</v>
      </c>
      <c r="P28" s="146">
        <v>0</v>
      </c>
      <c r="Q28" s="146">
        <v>0</v>
      </c>
      <c r="R28" s="146">
        <v>0</v>
      </c>
      <c r="S28" s="146">
        <v>0</v>
      </c>
      <c r="T28" s="146">
        <v>0</v>
      </c>
      <c r="U28" s="146">
        <v>0</v>
      </c>
      <c r="V28" s="146">
        <v>2.3999999999999998E-3</v>
      </c>
      <c r="W28" s="146">
        <v>7.2999270007299919E-3</v>
      </c>
      <c r="X28" s="146">
        <v>0</v>
      </c>
      <c r="Y28" s="146">
        <v>3.3099999999999991E-2</v>
      </c>
      <c r="Z28" s="146">
        <v>1.1999999999999997E-2</v>
      </c>
      <c r="AA28" s="146">
        <v>6.2995639081365696E-3</v>
      </c>
      <c r="AB28" s="146">
        <v>2.3002302143964311E-3</v>
      </c>
      <c r="AC28" s="146">
        <v>3.9999998261640161E-4</v>
      </c>
      <c r="AD28" s="146">
        <v>0</v>
      </c>
      <c r="AE28" s="146">
        <v>8.000800469834958E-3</v>
      </c>
      <c r="AF28" s="146">
        <v>0</v>
      </c>
      <c r="AG28" s="146">
        <v>0</v>
      </c>
      <c r="AH28" s="146">
        <v>0</v>
      </c>
      <c r="AI28" s="146">
        <v>0</v>
      </c>
      <c r="AJ28" s="146">
        <v>0</v>
      </c>
      <c r="AK28" s="146">
        <v>0</v>
      </c>
      <c r="AL28" s="146">
        <v>0</v>
      </c>
      <c r="AM28" s="146">
        <v>0</v>
      </c>
      <c r="AN28" s="146">
        <v>0</v>
      </c>
      <c r="AO28" s="146">
        <v>0</v>
      </c>
      <c r="AP28" s="146">
        <v>0</v>
      </c>
    </row>
    <row r="29" spans="1:42" customFormat="1" x14ac:dyDescent="0.15">
      <c r="A29" s="182" t="s">
        <v>219</v>
      </c>
      <c r="B29" s="146">
        <v>0</v>
      </c>
      <c r="C29" s="146">
        <v>0</v>
      </c>
      <c r="D29" s="146">
        <v>0</v>
      </c>
      <c r="E29" s="146">
        <v>0</v>
      </c>
      <c r="F29" s="146">
        <v>0</v>
      </c>
      <c r="G29" s="146">
        <v>1.4999999921400012E-2</v>
      </c>
      <c r="H29" s="146">
        <v>2.209999954405914E-2</v>
      </c>
      <c r="I29" s="146">
        <v>0.1349990465462971</v>
      </c>
      <c r="J29" s="146">
        <v>0</v>
      </c>
      <c r="K29" s="146">
        <v>9.0000000592839924E-4</v>
      </c>
      <c r="L29" s="146">
        <v>2.1700000948845107E-2</v>
      </c>
      <c r="M29" s="146">
        <v>1.579999966101503E-2</v>
      </c>
      <c r="N29" s="146">
        <v>2.0020960743505998E-4</v>
      </c>
      <c r="O29" s="146">
        <v>7.5992401155084511E-3</v>
      </c>
      <c r="P29" s="146">
        <v>0</v>
      </c>
      <c r="Q29" s="146">
        <v>0</v>
      </c>
      <c r="R29" s="146">
        <v>0</v>
      </c>
      <c r="S29" s="146">
        <v>1.7299999999999999E-2</v>
      </c>
      <c r="T29" s="146">
        <v>6.7986404921655721E-3</v>
      </c>
      <c r="U29" s="146">
        <v>0</v>
      </c>
      <c r="V29" s="146">
        <v>2.9999999999999997E-4</v>
      </c>
      <c r="W29" s="146">
        <v>2.5599744002559974E-2</v>
      </c>
      <c r="X29" s="146">
        <v>3.7600000000000001E-2</v>
      </c>
      <c r="Y29" s="146">
        <v>0.16999999999999998</v>
      </c>
      <c r="Z29" s="146">
        <v>9.7999999999999976E-2</v>
      </c>
      <c r="AA29" s="146">
        <v>2.4998269476732417E-2</v>
      </c>
      <c r="AB29" s="146">
        <v>7.6507656487533507E-2</v>
      </c>
      <c r="AC29" s="146">
        <v>1.6400000408272365E-2</v>
      </c>
      <c r="AD29" s="146">
        <v>3.8997501899689386E-3</v>
      </c>
      <c r="AE29" s="146">
        <v>1.8001798807128801E-2</v>
      </c>
      <c r="AF29" s="146">
        <v>0</v>
      </c>
      <c r="AG29" s="146">
        <v>0</v>
      </c>
      <c r="AH29" s="146">
        <v>0</v>
      </c>
      <c r="AI29" s="146">
        <v>0</v>
      </c>
      <c r="AJ29" s="146">
        <v>0</v>
      </c>
      <c r="AK29" s="146">
        <v>0</v>
      </c>
      <c r="AL29" s="146">
        <v>0</v>
      </c>
      <c r="AM29" s="146">
        <v>0</v>
      </c>
      <c r="AN29" s="146">
        <v>0</v>
      </c>
      <c r="AO29" s="146">
        <v>0</v>
      </c>
      <c r="AP29" s="146">
        <v>0</v>
      </c>
    </row>
    <row r="30" spans="1:42" customFormat="1" x14ac:dyDescent="0.15">
      <c r="A30" s="182" t="s">
        <v>220</v>
      </c>
      <c r="B30" s="146">
        <v>0</v>
      </c>
      <c r="C30" s="146">
        <v>3.0000000000000001E-3</v>
      </c>
      <c r="D30" s="146">
        <v>1.4700367232589964E-2</v>
      </c>
      <c r="E30" s="146">
        <v>0</v>
      </c>
      <c r="F30" s="146">
        <v>0</v>
      </c>
      <c r="G30" s="146">
        <v>0.13249999405570065</v>
      </c>
      <c r="H30" s="146">
        <v>8.5000002092534804E-2</v>
      </c>
      <c r="I30" s="146">
        <v>0.11509917846947861</v>
      </c>
      <c r="J30" s="146">
        <v>0</v>
      </c>
      <c r="K30" s="146">
        <v>2.4000000991423894E-3</v>
      </c>
      <c r="L30" s="146">
        <v>1.5200000115320012E-2</v>
      </c>
      <c r="M30" s="146">
        <v>4.2399998638420124E-2</v>
      </c>
      <c r="N30" s="146">
        <v>1.8018865319155372E-3</v>
      </c>
      <c r="O30" s="146">
        <v>0</v>
      </c>
      <c r="P30" s="146">
        <v>1.9000000000000002E-3</v>
      </c>
      <c r="Q30" s="146">
        <v>0</v>
      </c>
      <c r="R30" s="146">
        <v>0</v>
      </c>
      <c r="S30" s="146">
        <v>2.7099999999999999E-2</v>
      </c>
      <c r="T30" s="146">
        <v>1.5896821709034215E-2</v>
      </c>
      <c r="U30" s="146">
        <v>0</v>
      </c>
      <c r="V30" s="146">
        <v>2.7099999999999999E-2</v>
      </c>
      <c r="W30" s="146">
        <v>0.10599894001059988</v>
      </c>
      <c r="X30" s="146">
        <v>8.1000000000000003E-2</v>
      </c>
      <c r="Y30" s="146">
        <v>0.16299999999999998</v>
      </c>
      <c r="Z30" s="146">
        <v>0.12369999999999998</v>
      </c>
      <c r="AA30" s="146">
        <v>0.27200837274412315</v>
      </c>
      <c r="AB30" s="146">
        <v>0.10151014733966916</v>
      </c>
      <c r="AC30" s="146">
        <v>6.9399998687445522E-2</v>
      </c>
      <c r="AD30" s="146">
        <v>7.6995070727591784E-3</v>
      </c>
      <c r="AE30" s="146">
        <v>2.6302630157082514E-2</v>
      </c>
      <c r="AF30" s="146">
        <v>0</v>
      </c>
      <c r="AG30" s="146">
        <v>0</v>
      </c>
      <c r="AH30" s="146">
        <v>0</v>
      </c>
      <c r="AI30" s="146">
        <v>0</v>
      </c>
      <c r="AJ30" s="146">
        <v>8.490848688216035E-2</v>
      </c>
      <c r="AK30" s="146">
        <v>0</v>
      </c>
      <c r="AL30" s="146">
        <v>0</v>
      </c>
      <c r="AM30" s="146">
        <v>0</v>
      </c>
      <c r="AN30" s="146">
        <v>0</v>
      </c>
      <c r="AO30" s="146">
        <v>0</v>
      </c>
      <c r="AP30" s="146">
        <v>0</v>
      </c>
    </row>
    <row r="31" spans="1:42" customFormat="1" x14ac:dyDescent="0.15">
      <c r="A31" s="182" t="s">
        <v>221</v>
      </c>
      <c r="B31" s="146">
        <v>0</v>
      </c>
      <c r="C31" s="146">
        <v>0.17180000000000001</v>
      </c>
      <c r="D31" s="146">
        <v>4.0000997660788999E-4</v>
      </c>
      <c r="E31" s="146">
        <v>0</v>
      </c>
      <c r="F31" s="146">
        <v>0</v>
      </c>
      <c r="G31" s="146">
        <v>1.0999999742360028E-2</v>
      </c>
      <c r="H31" s="146">
        <v>3.9999998178840167E-4</v>
      </c>
      <c r="I31" s="146">
        <v>2.6999807209260891E-3</v>
      </c>
      <c r="J31" s="146">
        <v>0</v>
      </c>
      <c r="K31" s="146">
        <v>0</v>
      </c>
      <c r="L31" s="146">
        <v>2.6399999079239896E-2</v>
      </c>
      <c r="M31" s="146">
        <v>2.4099999705092526E-2</v>
      </c>
      <c r="N31" s="146">
        <v>0</v>
      </c>
      <c r="O31" s="146">
        <v>0</v>
      </c>
      <c r="P31" s="146">
        <v>0</v>
      </c>
      <c r="Q31" s="146">
        <v>0</v>
      </c>
      <c r="R31" s="146">
        <v>0</v>
      </c>
      <c r="S31" s="146">
        <v>4.8999999999999998E-3</v>
      </c>
      <c r="T31" s="146">
        <v>4.9990000971805617E-4</v>
      </c>
      <c r="U31" s="146">
        <v>0</v>
      </c>
      <c r="V31" s="146">
        <v>2.3999999999999998E-3</v>
      </c>
      <c r="W31" s="146">
        <v>0</v>
      </c>
      <c r="X31" s="146">
        <v>0</v>
      </c>
      <c r="Y31" s="146">
        <v>0</v>
      </c>
      <c r="Z31" s="146">
        <v>0</v>
      </c>
      <c r="AA31" s="146">
        <v>1.0000307821475115E-2</v>
      </c>
      <c r="AB31" s="146">
        <v>2.4002402898049688E-3</v>
      </c>
      <c r="AC31" s="146">
        <v>1.7999999262738068E-3</v>
      </c>
      <c r="AD31" s="146">
        <v>0</v>
      </c>
      <c r="AE31" s="146">
        <v>9.3009293836832149E-3</v>
      </c>
      <c r="AF31" s="146">
        <v>0</v>
      </c>
      <c r="AG31" s="146">
        <v>0</v>
      </c>
      <c r="AH31" s="146">
        <v>0</v>
      </c>
      <c r="AI31" s="146">
        <v>0</v>
      </c>
      <c r="AJ31" s="146">
        <v>0</v>
      </c>
      <c r="AK31" s="146">
        <v>0</v>
      </c>
      <c r="AL31" s="146">
        <v>0</v>
      </c>
      <c r="AM31" s="146">
        <v>0</v>
      </c>
      <c r="AN31" s="146">
        <v>0</v>
      </c>
      <c r="AO31" s="146">
        <v>0</v>
      </c>
      <c r="AP31" s="146">
        <v>0</v>
      </c>
    </row>
    <row r="32" spans="1:42" customFormat="1" x14ac:dyDescent="0.15">
      <c r="A32" s="182" t="s">
        <v>222</v>
      </c>
      <c r="B32" s="146">
        <v>0</v>
      </c>
      <c r="C32" s="146">
        <v>0</v>
      </c>
      <c r="D32" s="146">
        <v>1.3000324617256428E-5</v>
      </c>
      <c r="E32" s="146">
        <v>0</v>
      </c>
      <c r="F32" s="146">
        <v>0</v>
      </c>
      <c r="G32" s="146">
        <v>3.5300001485027849E-2</v>
      </c>
      <c r="H32" s="146">
        <v>8.4000002185563791E-3</v>
      </c>
      <c r="I32" s="146">
        <v>5.659996039915851E-2</v>
      </c>
      <c r="J32" s="146">
        <v>0</v>
      </c>
      <c r="K32" s="146">
        <v>8.0000001638079812E-4</v>
      </c>
      <c r="L32" s="146">
        <v>1.6200001828170205E-2</v>
      </c>
      <c r="M32" s="146">
        <v>2.4599998859555106E-2</v>
      </c>
      <c r="N32" s="146">
        <v>0</v>
      </c>
      <c r="O32" s="146">
        <v>1.9398060294850521E-2</v>
      </c>
      <c r="P32" s="146">
        <v>0</v>
      </c>
      <c r="Q32" s="146">
        <v>0</v>
      </c>
      <c r="R32" s="146">
        <v>0</v>
      </c>
      <c r="S32" s="146">
        <v>1.7299999999999999E-2</v>
      </c>
      <c r="T32" s="146">
        <v>1.7996400349850022E-3</v>
      </c>
      <c r="U32" s="146">
        <v>0.01</v>
      </c>
      <c r="V32" s="146">
        <v>1.43E-2</v>
      </c>
      <c r="W32" s="146">
        <v>7.0999290007099929E-4</v>
      </c>
      <c r="X32" s="146">
        <v>5.7000000000000002E-2</v>
      </c>
      <c r="Y32" s="146">
        <v>0</v>
      </c>
      <c r="Z32" s="146">
        <v>0</v>
      </c>
      <c r="AA32" s="146">
        <v>0.14920459269640871</v>
      </c>
      <c r="AB32" s="146">
        <v>1.5301530497506738E-2</v>
      </c>
      <c r="AC32" s="146">
        <v>2.9299999734901327E-2</v>
      </c>
      <c r="AD32" s="146">
        <v>1.1999231861442874E-3</v>
      </c>
      <c r="AE32" s="146">
        <v>0.12641263662339303</v>
      </c>
      <c r="AF32" s="146">
        <v>6.9992995876782269E-4</v>
      </c>
      <c r="AG32" s="146">
        <v>0</v>
      </c>
      <c r="AH32" s="146">
        <v>0</v>
      </c>
      <c r="AI32" s="146">
        <v>0</v>
      </c>
      <c r="AJ32" s="146">
        <v>0.15331533037026104</v>
      </c>
      <c r="AK32" s="146">
        <v>0</v>
      </c>
      <c r="AL32" s="146">
        <v>0</v>
      </c>
      <c r="AM32" s="146">
        <v>0</v>
      </c>
      <c r="AN32" s="146">
        <v>0</v>
      </c>
      <c r="AO32" s="146">
        <v>0</v>
      </c>
      <c r="AP32" s="146">
        <v>0</v>
      </c>
    </row>
    <row r="33" spans="1:42" customFormat="1" x14ac:dyDescent="0.15">
      <c r="A33" s="182" t="s">
        <v>223</v>
      </c>
      <c r="B33" s="146">
        <v>0</v>
      </c>
      <c r="C33" s="146">
        <v>0</v>
      </c>
      <c r="D33" s="146">
        <v>9.000224611177527E-4</v>
      </c>
      <c r="E33" s="146">
        <v>0</v>
      </c>
      <c r="F33" s="146">
        <v>0</v>
      </c>
      <c r="G33" s="146">
        <v>0</v>
      </c>
      <c r="H33" s="146">
        <v>0</v>
      </c>
      <c r="I33" s="146">
        <v>8.9999353430872387E-4</v>
      </c>
      <c r="J33" s="146">
        <v>0</v>
      </c>
      <c r="K33" s="146">
        <v>0</v>
      </c>
      <c r="L33" s="146">
        <v>2.0000000857000101E-3</v>
      </c>
      <c r="M33" s="146">
        <v>7.100000353367468E-2</v>
      </c>
      <c r="N33" s="146">
        <v>0</v>
      </c>
      <c r="O33" s="146">
        <v>3.0696930466593348E-2</v>
      </c>
      <c r="P33" s="146">
        <v>9.2800000000000007E-2</v>
      </c>
      <c r="Q33" s="146">
        <v>0</v>
      </c>
      <c r="R33" s="146">
        <v>0</v>
      </c>
      <c r="S33" s="146">
        <v>0.1027</v>
      </c>
      <c r="T33" s="146">
        <v>0.33083382843140963</v>
      </c>
      <c r="U33" s="146">
        <v>7.0000000000000007E-2</v>
      </c>
      <c r="V33" s="146">
        <v>0.21890000000000001</v>
      </c>
      <c r="W33" s="146">
        <v>7.169928300716992E-2</v>
      </c>
      <c r="X33" s="146">
        <v>5.0799999999999998E-2</v>
      </c>
      <c r="Y33" s="146">
        <v>3.8999999999999993E-2</v>
      </c>
      <c r="Z33" s="146">
        <v>1.2199999999999997E-2</v>
      </c>
      <c r="AA33" s="146">
        <v>6.0895784445320171E-2</v>
      </c>
      <c r="AB33" s="146">
        <v>4.020402025423344E-2</v>
      </c>
      <c r="AC33" s="146">
        <v>9.759999672240191E-2</v>
      </c>
      <c r="AD33" s="146">
        <v>0.12169219656646685</v>
      </c>
      <c r="AE33" s="146">
        <v>8.6508648367590923E-2</v>
      </c>
      <c r="AF33" s="146">
        <v>0</v>
      </c>
      <c r="AG33" s="146">
        <v>0.02</v>
      </c>
      <c r="AH33" s="146">
        <v>0</v>
      </c>
      <c r="AI33" s="146">
        <v>9.9999999780000015E-2</v>
      </c>
      <c r="AJ33" s="146">
        <v>4.7404741959297871E-2</v>
      </c>
      <c r="AK33" s="146">
        <v>0</v>
      </c>
      <c r="AL33" s="146">
        <v>0</v>
      </c>
      <c r="AM33" s="146">
        <v>0</v>
      </c>
      <c r="AN33" s="146">
        <v>0</v>
      </c>
      <c r="AO33" s="146">
        <v>0</v>
      </c>
      <c r="AP33" s="146">
        <v>0</v>
      </c>
    </row>
    <row r="34" spans="1:42" customFormat="1" x14ac:dyDescent="0.15">
      <c r="A34" s="182" t="s">
        <v>224</v>
      </c>
      <c r="B34" s="146">
        <v>0</v>
      </c>
      <c r="C34" s="146">
        <v>0</v>
      </c>
      <c r="D34" s="146">
        <v>6.1701544156517081E-2</v>
      </c>
      <c r="E34" s="146">
        <v>0</v>
      </c>
      <c r="F34" s="146">
        <v>0</v>
      </c>
      <c r="G34" s="146">
        <v>2.4999999169000092E-3</v>
      </c>
      <c r="H34" s="146">
        <v>6.2999998839173106E-3</v>
      </c>
      <c r="I34" s="146">
        <v>0</v>
      </c>
      <c r="J34" s="146">
        <v>0.9</v>
      </c>
      <c r="K34" s="146">
        <v>0</v>
      </c>
      <c r="L34" s="146">
        <v>5.9999996770999636E-3</v>
      </c>
      <c r="M34" s="146">
        <v>0.16339999411834555</v>
      </c>
      <c r="N34" s="146">
        <v>0</v>
      </c>
      <c r="O34" s="146">
        <v>0.13418658303963607</v>
      </c>
      <c r="P34" s="146">
        <v>0.26290000000000008</v>
      </c>
      <c r="Q34" s="146">
        <v>6.3E-2</v>
      </c>
      <c r="R34" s="146">
        <v>1.01E-2</v>
      </c>
      <c r="S34" s="146">
        <v>0.13250000000000001</v>
      </c>
      <c r="T34" s="146">
        <v>0.12677464146449904</v>
      </c>
      <c r="U34" s="146">
        <v>0.11</v>
      </c>
      <c r="V34" s="146">
        <v>3.5700000000000003E-2</v>
      </c>
      <c r="W34" s="146">
        <v>0.11929880701192988</v>
      </c>
      <c r="X34" s="146">
        <v>0.14430000000000001</v>
      </c>
      <c r="Y34" s="146">
        <v>3.2999999999999995E-2</v>
      </c>
      <c r="Z34" s="146">
        <v>4.9999999999999989E-2</v>
      </c>
      <c r="AA34" s="146">
        <v>0</v>
      </c>
      <c r="AB34" s="146">
        <v>0.12911290807242642</v>
      </c>
      <c r="AC34" s="146">
        <v>0.63720000004092525</v>
      </c>
      <c r="AD34" s="146">
        <v>0.51616698543640016</v>
      </c>
      <c r="AE34" s="146">
        <v>0.28232822929180218</v>
      </c>
      <c r="AF34" s="146">
        <v>7.0492950782330768E-2</v>
      </c>
      <c r="AG34" s="146">
        <v>0.32</v>
      </c>
      <c r="AH34" s="146">
        <v>0</v>
      </c>
      <c r="AI34" s="146">
        <v>0.39999999912000006</v>
      </c>
      <c r="AJ34" s="146">
        <v>0.23652364931485156</v>
      </c>
      <c r="AK34" s="146">
        <v>0</v>
      </c>
      <c r="AL34" s="146">
        <v>0</v>
      </c>
      <c r="AM34" s="146">
        <v>0</v>
      </c>
      <c r="AN34" s="146">
        <v>0</v>
      </c>
      <c r="AO34" s="146">
        <v>0</v>
      </c>
      <c r="AP34" s="146">
        <v>0</v>
      </c>
    </row>
    <row r="35" spans="1:42" customFormat="1" x14ac:dyDescent="0.15">
      <c r="A35" s="182" t="s">
        <v>225</v>
      </c>
      <c r="B35" s="146">
        <v>0</v>
      </c>
      <c r="C35" s="146">
        <v>0</v>
      </c>
      <c r="D35" s="146">
        <v>9.000224611177527E-4</v>
      </c>
      <c r="E35" s="146">
        <v>0</v>
      </c>
      <c r="F35" s="146">
        <v>0</v>
      </c>
      <c r="G35" s="146">
        <v>0</v>
      </c>
      <c r="H35" s="146">
        <v>0</v>
      </c>
      <c r="I35" s="146">
        <v>0</v>
      </c>
      <c r="J35" s="146">
        <v>0.1</v>
      </c>
      <c r="K35" s="146">
        <v>0</v>
      </c>
      <c r="L35" s="146">
        <v>4.1000000126850018E-3</v>
      </c>
      <c r="M35" s="146">
        <v>3.7300002202902298E-2</v>
      </c>
      <c r="N35" s="146">
        <v>3.0031444065258889E-4</v>
      </c>
      <c r="O35" s="146">
        <v>0</v>
      </c>
      <c r="P35" s="146">
        <v>1.9900000000000004E-2</v>
      </c>
      <c r="Q35" s="146">
        <v>0</v>
      </c>
      <c r="R35" s="146">
        <v>0</v>
      </c>
      <c r="S35" s="146">
        <v>0</v>
      </c>
      <c r="T35" s="146">
        <v>0</v>
      </c>
      <c r="U35" s="146">
        <v>0</v>
      </c>
      <c r="V35" s="146">
        <v>2.3E-2</v>
      </c>
      <c r="W35" s="146">
        <v>0.12779872201277986</v>
      </c>
      <c r="X35" s="146">
        <v>6.0000000000000001E-3</v>
      </c>
      <c r="Y35" s="146">
        <v>7.9299999999999982E-2</v>
      </c>
      <c r="Z35" s="146">
        <v>0.36829999999999996</v>
      </c>
      <c r="AA35" s="146">
        <v>0</v>
      </c>
      <c r="AB35" s="146">
        <v>0.15131513105312236</v>
      </c>
      <c r="AC35" s="146">
        <v>6.3500004224103124E-2</v>
      </c>
      <c r="AD35" s="146">
        <v>8.3294667649849288E-2</v>
      </c>
      <c r="AE35" s="146">
        <v>0.11591159231923424</v>
      </c>
      <c r="AF35" s="146">
        <v>8.0091990888860917E-2</v>
      </c>
      <c r="AG35" s="146">
        <v>0</v>
      </c>
      <c r="AH35" s="146">
        <v>0</v>
      </c>
      <c r="AI35" s="146">
        <v>7.0000003545999667E-2</v>
      </c>
      <c r="AJ35" s="146">
        <v>0.18071807236403237</v>
      </c>
      <c r="AK35" s="146">
        <v>0</v>
      </c>
      <c r="AL35" s="146">
        <v>0</v>
      </c>
      <c r="AM35" s="146">
        <v>0</v>
      </c>
      <c r="AN35" s="146">
        <v>0</v>
      </c>
      <c r="AO35" s="146">
        <v>0</v>
      </c>
      <c r="AP35" s="146">
        <v>0</v>
      </c>
    </row>
    <row r="36" spans="1:42" customFormat="1" x14ac:dyDescent="0.15">
      <c r="A36" s="182" t="s">
        <v>226</v>
      </c>
      <c r="B36" s="146">
        <v>0</v>
      </c>
      <c r="C36" s="146">
        <v>0.50349999999999995</v>
      </c>
      <c r="D36" s="146">
        <v>6.2001550559222986E-5</v>
      </c>
      <c r="E36" s="146">
        <v>0</v>
      </c>
      <c r="F36" s="146">
        <v>0</v>
      </c>
      <c r="G36" s="146">
        <v>1.4700000452971955E-2</v>
      </c>
      <c r="H36" s="146">
        <v>4.8999997841579199E-2</v>
      </c>
      <c r="I36" s="146">
        <v>8.0699423537679935E-2</v>
      </c>
      <c r="J36" s="146">
        <v>0</v>
      </c>
      <c r="K36" s="146">
        <v>0.11680000579159619</v>
      </c>
      <c r="L36" s="146">
        <v>0.22419999130096901</v>
      </c>
      <c r="M36" s="146">
        <v>8.0600002659354755E-2</v>
      </c>
      <c r="N36" s="146">
        <v>2.0020961943505952E-3</v>
      </c>
      <c r="O36" s="146">
        <v>9.8990101504649555E-2</v>
      </c>
      <c r="P36" s="146">
        <v>1.6300000000000002E-2</v>
      </c>
      <c r="Q36" s="146">
        <v>0</v>
      </c>
      <c r="R36" s="146">
        <v>0</v>
      </c>
      <c r="S36" s="146">
        <v>0</v>
      </c>
      <c r="T36" s="146">
        <v>0</v>
      </c>
      <c r="U36" s="146">
        <v>0.02</v>
      </c>
      <c r="V36" s="146">
        <v>4.8000000000000001E-2</v>
      </c>
      <c r="W36" s="146">
        <v>5.3999460005399944E-3</v>
      </c>
      <c r="X36" s="146">
        <v>2.3099999999999999E-2</v>
      </c>
      <c r="Y36" s="146">
        <v>0</v>
      </c>
      <c r="Z36" s="146">
        <v>2.9099999999999994E-2</v>
      </c>
      <c r="AA36" s="146">
        <v>3.039789568370662E-2</v>
      </c>
      <c r="AB36" s="146">
        <v>6.70067004237224E-3</v>
      </c>
      <c r="AC36" s="146">
        <v>1.3500000072053495E-2</v>
      </c>
      <c r="AD36" s="146">
        <v>1.8998781763951273E-5</v>
      </c>
      <c r="AE36" s="146">
        <v>7.3907395102600359E-2</v>
      </c>
      <c r="AF36" s="146">
        <v>8.9991000998720135E-4</v>
      </c>
      <c r="AG36" s="146">
        <v>0</v>
      </c>
      <c r="AH36" s="146">
        <v>0</v>
      </c>
      <c r="AI36" s="146">
        <v>0</v>
      </c>
      <c r="AJ36" s="146">
        <v>1.0000999632763291E-2</v>
      </c>
      <c r="AK36" s="146">
        <v>0</v>
      </c>
      <c r="AL36" s="146">
        <v>0</v>
      </c>
      <c r="AM36" s="146">
        <v>0</v>
      </c>
      <c r="AN36" s="146">
        <v>0</v>
      </c>
      <c r="AO36" s="146">
        <v>0</v>
      </c>
      <c r="AP36" s="146">
        <v>0</v>
      </c>
    </row>
    <row r="37" spans="1:42" customFormat="1" x14ac:dyDescent="0.15">
      <c r="A37" s="182" t="s">
        <v>227</v>
      </c>
      <c r="B37" s="146">
        <v>0</v>
      </c>
      <c r="C37" s="146">
        <v>0</v>
      </c>
      <c r="D37" s="146">
        <v>0.72421810653208518</v>
      </c>
      <c r="E37" s="146">
        <v>0</v>
      </c>
      <c r="F37" s="146">
        <v>0</v>
      </c>
      <c r="G37" s="146">
        <v>0</v>
      </c>
      <c r="H37" s="146">
        <v>0</v>
      </c>
      <c r="I37" s="146">
        <v>0</v>
      </c>
      <c r="J37" s="146">
        <v>0</v>
      </c>
      <c r="K37" s="146">
        <v>0.2829999924197088</v>
      </c>
      <c r="L37" s="146">
        <v>0</v>
      </c>
      <c r="M37" s="146">
        <v>3.9799999575215045E-2</v>
      </c>
      <c r="N37" s="146">
        <v>5.3756283468813455E-2</v>
      </c>
      <c r="O37" s="146">
        <v>0.34916508730730939</v>
      </c>
      <c r="P37" s="146">
        <v>0.45230000000000004</v>
      </c>
      <c r="Q37" s="146">
        <v>0.21</v>
      </c>
      <c r="R37" s="146">
        <v>0.81720000000000004</v>
      </c>
      <c r="S37" s="146">
        <v>0.56989999999999996</v>
      </c>
      <c r="T37" s="146">
        <v>0.36522696110001213</v>
      </c>
      <c r="U37" s="146">
        <v>0.7</v>
      </c>
      <c r="V37" s="146">
        <v>0.36749999999999999</v>
      </c>
      <c r="W37" s="146">
        <v>0.19959800401995978</v>
      </c>
      <c r="X37" s="146">
        <v>0.22170000000000001</v>
      </c>
      <c r="Y37" s="146">
        <v>0</v>
      </c>
      <c r="Z37" s="146">
        <v>2.1999999999999997E-3</v>
      </c>
      <c r="AA37" s="146">
        <v>4.5696834403399139E-2</v>
      </c>
      <c r="AB37" s="146">
        <v>0.14071407253981694</v>
      </c>
      <c r="AC37" s="146">
        <v>2.2199999380710256E-2</v>
      </c>
      <c r="AD37" s="146">
        <v>9.4093977345147836E-2</v>
      </c>
      <c r="AE37" s="146">
        <v>0.19781978689166962</v>
      </c>
      <c r="AF37" s="146">
        <v>0.44945505798805224</v>
      </c>
      <c r="AG37" s="146">
        <v>0.16</v>
      </c>
      <c r="AH37" s="146">
        <v>0.1</v>
      </c>
      <c r="AI37" s="146">
        <v>0</v>
      </c>
      <c r="AJ37" s="146">
        <v>0.24382439104676831</v>
      </c>
      <c r="AK37" s="146">
        <v>0.06</v>
      </c>
      <c r="AL37" s="146">
        <v>0</v>
      </c>
      <c r="AM37" s="146">
        <v>0</v>
      </c>
      <c r="AN37" s="146">
        <v>0</v>
      </c>
      <c r="AO37" s="146">
        <v>0</v>
      </c>
      <c r="AP37" s="146">
        <v>0</v>
      </c>
    </row>
    <row r="38" spans="1:42" customFormat="1" x14ac:dyDescent="0.15">
      <c r="A38" s="182" t="s">
        <v>228</v>
      </c>
      <c r="B38" s="146">
        <v>0</v>
      </c>
      <c r="C38" s="146">
        <v>0</v>
      </c>
      <c r="D38" s="146">
        <v>0.1071026779660126</v>
      </c>
      <c r="E38" s="146">
        <v>0</v>
      </c>
      <c r="F38" s="146">
        <v>0</v>
      </c>
      <c r="G38" s="146">
        <v>0</v>
      </c>
      <c r="H38" s="146">
        <v>0</v>
      </c>
      <c r="I38" s="146">
        <v>0</v>
      </c>
      <c r="J38" s="146">
        <v>0</v>
      </c>
      <c r="K38" s="146">
        <v>3.8800000844468704E-2</v>
      </c>
      <c r="L38" s="146">
        <v>0</v>
      </c>
      <c r="M38" s="146">
        <v>0</v>
      </c>
      <c r="N38" s="146">
        <v>3.003144286525893E-3</v>
      </c>
      <c r="O38" s="146">
        <v>0.1067893146231976</v>
      </c>
      <c r="P38" s="146">
        <v>0.12350000000000001</v>
      </c>
      <c r="Q38" s="146">
        <v>0.72699999999999998</v>
      </c>
      <c r="R38" s="146">
        <v>0.17269999999999999</v>
      </c>
      <c r="S38" s="146">
        <v>0.10050000000000001</v>
      </c>
      <c r="T38" s="146">
        <v>4.779044092904617E-2</v>
      </c>
      <c r="U38" s="146">
        <v>7.0000000000000007E-2</v>
      </c>
      <c r="V38" s="146">
        <v>0.1115</v>
      </c>
      <c r="W38" s="146">
        <v>3.8199618003819956E-2</v>
      </c>
      <c r="X38" s="146">
        <v>2.9999999999999997E-4</v>
      </c>
      <c r="Y38" s="146">
        <v>0</v>
      </c>
      <c r="Z38" s="146">
        <v>0</v>
      </c>
      <c r="AA38" s="146">
        <v>0</v>
      </c>
      <c r="AB38" s="146">
        <v>1.2901290707701745E-2</v>
      </c>
      <c r="AC38" s="146">
        <v>7.4999996178075363E-3</v>
      </c>
      <c r="AD38" s="146">
        <v>0.14439075792602921</v>
      </c>
      <c r="AE38" s="146">
        <v>1.5101510999313473E-2</v>
      </c>
      <c r="AF38" s="146">
        <v>0.39766023041323328</v>
      </c>
      <c r="AG38" s="146">
        <v>0</v>
      </c>
      <c r="AH38" s="146">
        <v>0.1</v>
      </c>
      <c r="AI38" s="146">
        <v>2.9999998434000141E-2</v>
      </c>
      <c r="AJ38" s="146">
        <v>0</v>
      </c>
      <c r="AK38" s="146">
        <v>0.316</v>
      </c>
      <c r="AL38" s="146">
        <v>0</v>
      </c>
      <c r="AM38" s="146">
        <v>0</v>
      </c>
      <c r="AN38" s="146">
        <v>0</v>
      </c>
      <c r="AO38" s="146">
        <v>0</v>
      </c>
      <c r="AP38" s="146">
        <v>0</v>
      </c>
    </row>
    <row r="39" spans="1:42" x14ac:dyDescent="0.15">
      <c r="A39" s="182" t="s">
        <v>229</v>
      </c>
      <c r="B39" s="146">
        <v>0</v>
      </c>
      <c r="C39" s="146">
        <v>0</v>
      </c>
      <c r="D39" s="146">
        <v>0</v>
      </c>
      <c r="E39" s="146">
        <v>0</v>
      </c>
      <c r="F39" s="146">
        <v>0</v>
      </c>
      <c r="G39" s="146">
        <v>0</v>
      </c>
      <c r="H39" s="146">
        <v>0</v>
      </c>
      <c r="I39" s="146">
        <v>0</v>
      </c>
      <c r="J39" s="146">
        <v>0</v>
      </c>
      <c r="K39" s="146">
        <v>0</v>
      </c>
      <c r="L39" s="146">
        <v>0</v>
      </c>
      <c r="M39" s="146">
        <v>0</v>
      </c>
      <c r="N39" s="146">
        <v>0</v>
      </c>
      <c r="O39" s="146">
        <v>0</v>
      </c>
      <c r="P39" s="146">
        <v>0</v>
      </c>
      <c r="Q39" s="146">
        <v>0</v>
      </c>
      <c r="R39" s="146">
        <v>0</v>
      </c>
      <c r="S39" s="146">
        <v>0</v>
      </c>
      <c r="T39" s="146">
        <v>0</v>
      </c>
      <c r="U39" s="146">
        <v>0</v>
      </c>
      <c r="V39" s="146">
        <v>0</v>
      </c>
      <c r="W39" s="146">
        <v>0</v>
      </c>
      <c r="X39" s="146">
        <v>0</v>
      </c>
      <c r="Y39" s="146">
        <v>0</v>
      </c>
      <c r="Z39" s="146">
        <v>0</v>
      </c>
      <c r="AA39" s="146">
        <v>0</v>
      </c>
      <c r="AB39" s="146">
        <v>2.6502650883263302E-2</v>
      </c>
      <c r="AC39" s="146">
        <v>0</v>
      </c>
      <c r="AD39" s="146">
        <v>8.5994497573673844E-3</v>
      </c>
      <c r="AE39" s="146">
        <v>0</v>
      </c>
      <c r="AF39" s="146">
        <v>0</v>
      </c>
      <c r="AG39" s="146">
        <v>0</v>
      </c>
      <c r="AH39" s="146">
        <v>0.2</v>
      </c>
      <c r="AI39" s="146">
        <v>0</v>
      </c>
      <c r="AJ39" s="146">
        <v>0</v>
      </c>
      <c r="AK39" s="146">
        <v>0.41199999999999998</v>
      </c>
      <c r="AL39" s="146">
        <v>1</v>
      </c>
      <c r="AM39" s="146">
        <v>0</v>
      </c>
      <c r="AN39" s="146">
        <v>0</v>
      </c>
      <c r="AO39" s="146">
        <v>0</v>
      </c>
      <c r="AP39" s="146">
        <v>0</v>
      </c>
    </row>
    <row r="40" spans="1:42" x14ac:dyDescent="0.15">
      <c r="A40" s="182" t="s">
        <v>230</v>
      </c>
      <c r="B40" s="146">
        <v>0</v>
      </c>
      <c r="C40" s="146">
        <v>0</v>
      </c>
      <c r="D40" s="146">
        <v>0</v>
      </c>
      <c r="E40" s="146">
        <v>0</v>
      </c>
      <c r="F40" s="146">
        <v>0</v>
      </c>
      <c r="G40" s="146">
        <v>0</v>
      </c>
      <c r="H40" s="146">
        <v>0</v>
      </c>
      <c r="I40" s="146">
        <v>0</v>
      </c>
      <c r="J40" s="146">
        <v>0</v>
      </c>
      <c r="K40" s="146">
        <v>0</v>
      </c>
      <c r="L40" s="146">
        <v>0</v>
      </c>
      <c r="M40" s="146">
        <v>3.5000000212374979E-3</v>
      </c>
      <c r="N40" s="146">
        <v>0</v>
      </c>
      <c r="O40" s="146">
        <v>0</v>
      </c>
      <c r="P40" s="146">
        <v>0</v>
      </c>
      <c r="Q40" s="146">
        <v>0</v>
      </c>
      <c r="R40" s="146">
        <v>0</v>
      </c>
      <c r="S40" s="146">
        <v>0</v>
      </c>
      <c r="T40" s="146">
        <v>0</v>
      </c>
      <c r="U40" s="146">
        <v>0</v>
      </c>
      <c r="V40" s="146">
        <v>0</v>
      </c>
      <c r="W40" s="146">
        <v>4.7399526004739949E-2</v>
      </c>
      <c r="X40" s="146">
        <v>0</v>
      </c>
      <c r="Y40" s="146">
        <v>0</v>
      </c>
      <c r="Z40" s="146">
        <v>0</v>
      </c>
      <c r="AA40" s="146">
        <v>0</v>
      </c>
      <c r="AB40" s="146">
        <v>1.030103072707968E-2</v>
      </c>
      <c r="AC40" s="146">
        <v>0</v>
      </c>
      <c r="AD40" s="146">
        <v>7.899493777116573E-3</v>
      </c>
      <c r="AE40" s="146">
        <v>0</v>
      </c>
      <c r="AF40" s="146">
        <v>0</v>
      </c>
      <c r="AG40" s="146">
        <v>0</v>
      </c>
      <c r="AH40" s="146">
        <v>0.1</v>
      </c>
      <c r="AI40" s="146">
        <v>0.19999999956000003</v>
      </c>
      <c r="AJ40" s="146">
        <v>0</v>
      </c>
      <c r="AK40" s="146">
        <v>0</v>
      </c>
      <c r="AL40" s="146">
        <v>0</v>
      </c>
      <c r="AM40" s="146">
        <v>0</v>
      </c>
      <c r="AN40" s="146">
        <v>0</v>
      </c>
      <c r="AO40" s="146">
        <v>0</v>
      </c>
      <c r="AP40" s="146">
        <v>0</v>
      </c>
    </row>
    <row r="41" spans="1:42" x14ac:dyDescent="0.15">
      <c r="A41" s="182" t="s">
        <v>231</v>
      </c>
      <c r="B41" s="146">
        <v>0</v>
      </c>
      <c r="C41" s="146">
        <v>0</v>
      </c>
      <c r="D41" s="146">
        <v>0</v>
      </c>
      <c r="E41" s="146">
        <v>0</v>
      </c>
      <c r="F41" s="146">
        <v>0</v>
      </c>
      <c r="G41" s="146">
        <v>0</v>
      </c>
      <c r="H41" s="146">
        <v>0</v>
      </c>
      <c r="I41" s="146">
        <v>0</v>
      </c>
      <c r="J41" s="146">
        <v>0</v>
      </c>
      <c r="K41" s="146">
        <v>6.9999995983320411E-4</v>
      </c>
      <c r="L41" s="146">
        <v>4.1499999383274928E-2</v>
      </c>
      <c r="M41" s="146">
        <v>4.6999999719475032E-3</v>
      </c>
      <c r="N41" s="146">
        <v>0</v>
      </c>
      <c r="O41" s="146">
        <v>0</v>
      </c>
      <c r="P41" s="146">
        <v>0</v>
      </c>
      <c r="Q41" s="146">
        <v>0</v>
      </c>
      <c r="R41" s="146">
        <v>0</v>
      </c>
      <c r="S41" s="146">
        <v>0</v>
      </c>
      <c r="T41" s="146">
        <v>0</v>
      </c>
      <c r="U41" s="146">
        <v>0</v>
      </c>
      <c r="V41" s="146">
        <v>5.7999999999999996E-3</v>
      </c>
      <c r="W41" s="146">
        <v>2.7399726002739971E-2</v>
      </c>
      <c r="X41" s="146">
        <v>0.29859999999999998</v>
      </c>
      <c r="Y41" s="146">
        <v>0</v>
      </c>
      <c r="Z41" s="146">
        <v>1.8399999999999996E-2</v>
      </c>
      <c r="AA41" s="146">
        <v>0</v>
      </c>
      <c r="AB41" s="146">
        <v>0</v>
      </c>
      <c r="AC41" s="146">
        <v>8.7000002086566833E-3</v>
      </c>
      <c r="AD41" s="146">
        <v>8.9994233360821704E-4</v>
      </c>
      <c r="AE41" s="146">
        <v>0</v>
      </c>
      <c r="AF41" s="146">
        <v>0</v>
      </c>
      <c r="AG41" s="146">
        <v>0.5</v>
      </c>
      <c r="AH41" s="146">
        <v>0.5</v>
      </c>
      <c r="AI41" s="146">
        <v>0.19999999956000003</v>
      </c>
      <c r="AJ41" s="146">
        <v>0</v>
      </c>
      <c r="AK41" s="146">
        <v>0.21199999999999999</v>
      </c>
      <c r="AL41" s="146">
        <v>0</v>
      </c>
      <c r="AM41" s="146">
        <v>0</v>
      </c>
      <c r="AN41" s="146">
        <v>0</v>
      </c>
      <c r="AO41" s="146">
        <v>0</v>
      </c>
      <c r="AP41" s="146">
        <v>0</v>
      </c>
    </row>
    <row r="42" spans="1:42" x14ac:dyDescent="0.15">
      <c r="A42" s="182" t="s">
        <v>232</v>
      </c>
      <c r="B42" s="146">
        <v>0</v>
      </c>
      <c r="C42" s="146">
        <v>0</v>
      </c>
      <c r="D42" s="146">
        <v>0</v>
      </c>
      <c r="E42" s="146">
        <v>0</v>
      </c>
      <c r="F42" s="146">
        <v>0</v>
      </c>
      <c r="G42" s="146">
        <v>0</v>
      </c>
      <c r="H42" s="146">
        <v>0</v>
      </c>
      <c r="I42" s="146">
        <v>0</v>
      </c>
      <c r="J42" s="146">
        <v>0</v>
      </c>
      <c r="K42" s="146">
        <v>0</v>
      </c>
      <c r="L42" s="146">
        <v>0</v>
      </c>
      <c r="M42" s="146">
        <v>0</v>
      </c>
      <c r="N42" s="146">
        <v>0</v>
      </c>
      <c r="O42" s="146">
        <v>0</v>
      </c>
      <c r="P42" s="146">
        <v>0</v>
      </c>
      <c r="Q42" s="146">
        <v>0</v>
      </c>
      <c r="R42" s="146">
        <v>0</v>
      </c>
      <c r="S42" s="146">
        <v>0</v>
      </c>
      <c r="T42" s="146">
        <v>0</v>
      </c>
      <c r="U42" s="146">
        <v>0</v>
      </c>
      <c r="V42" s="146">
        <v>0</v>
      </c>
      <c r="W42" s="146">
        <v>0</v>
      </c>
      <c r="X42" s="146">
        <v>0</v>
      </c>
      <c r="Y42" s="146">
        <v>0</v>
      </c>
      <c r="Z42" s="146">
        <v>0</v>
      </c>
      <c r="AA42" s="146">
        <v>0</v>
      </c>
      <c r="AB42" s="146">
        <v>0</v>
      </c>
      <c r="AC42" s="146">
        <v>0</v>
      </c>
      <c r="AD42" s="146">
        <v>0</v>
      </c>
      <c r="AE42" s="146">
        <v>0</v>
      </c>
      <c r="AF42" s="146">
        <v>0</v>
      </c>
      <c r="AG42" s="146">
        <v>0</v>
      </c>
      <c r="AH42" s="146">
        <v>0</v>
      </c>
      <c r="AI42" s="146">
        <v>0</v>
      </c>
      <c r="AJ42" s="146">
        <v>0</v>
      </c>
      <c r="AK42" s="146">
        <v>0</v>
      </c>
      <c r="AL42" s="146">
        <v>0</v>
      </c>
      <c r="AM42" s="146">
        <v>0</v>
      </c>
      <c r="AN42" s="146">
        <v>0</v>
      </c>
      <c r="AO42" s="146">
        <v>0</v>
      </c>
      <c r="AP42" s="146">
        <v>0</v>
      </c>
    </row>
    <row r="43" spans="1:42" x14ac:dyDescent="0.15">
      <c r="A43" s="182" t="s">
        <v>234</v>
      </c>
      <c r="B43" s="146">
        <v>0.02</v>
      </c>
      <c r="C43" s="146">
        <v>0</v>
      </c>
      <c r="D43" s="146">
        <v>0</v>
      </c>
      <c r="E43" s="146">
        <v>1</v>
      </c>
      <c r="F43" s="146">
        <v>1</v>
      </c>
      <c r="G43" s="146">
        <v>0</v>
      </c>
      <c r="H43" s="146">
        <v>0</v>
      </c>
      <c r="I43" s="146">
        <v>0</v>
      </c>
      <c r="J43" s="146">
        <v>0</v>
      </c>
      <c r="K43" s="146">
        <v>0</v>
      </c>
      <c r="L43" s="146">
        <v>0</v>
      </c>
      <c r="M43" s="146">
        <v>0.19999999978500002</v>
      </c>
      <c r="N43" s="146">
        <v>0.93377766471711765</v>
      </c>
      <c r="O43" s="146">
        <v>0</v>
      </c>
      <c r="P43" s="146">
        <v>7.1000000000000013E-3</v>
      </c>
      <c r="Q43" s="146">
        <v>0</v>
      </c>
      <c r="R43" s="146">
        <v>0</v>
      </c>
      <c r="S43" s="146">
        <v>0</v>
      </c>
      <c r="T43" s="146">
        <v>0</v>
      </c>
      <c r="U43" s="146">
        <v>0</v>
      </c>
      <c r="V43" s="146">
        <v>0</v>
      </c>
      <c r="W43" s="146">
        <v>0</v>
      </c>
      <c r="X43" s="146">
        <v>0</v>
      </c>
      <c r="Y43" s="146">
        <v>0</v>
      </c>
      <c r="Z43" s="146">
        <v>0</v>
      </c>
      <c r="AA43" s="146">
        <v>0</v>
      </c>
      <c r="AB43" s="146">
        <v>0</v>
      </c>
      <c r="AC43" s="146">
        <v>0</v>
      </c>
      <c r="AD43" s="146">
        <v>0</v>
      </c>
      <c r="AE43" s="146">
        <v>0</v>
      </c>
      <c r="AF43" s="146">
        <v>0</v>
      </c>
      <c r="AG43" s="146">
        <v>0</v>
      </c>
      <c r="AH43" s="146">
        <v>0</v>
      </c>
      <c r="AI43" s="146">
        <v>0</v>
      </c>
      <c r="AJ43" s="146">
        <v>0</v>
      </c>
      <c r="AK43" s="146">
        <v>0</v>
      </c>
      <c r="AL43" s="146">
        <v>0</v>
      </c>
      <c r="AM43" s="146">
        <v>0</v>
      </c>
      <c r="AN43" s="146">
        <v>0</v>
      </c>
      <c r="AO43" s="146">
        <v>0</v>
      </c>
      <c r="AP43" s="146">
        <v>0</v>
      </c>
    </row>
    <row r="180" ht="15" customHeight="1" x14ac:dyDescent="0.15"/>
    <row r="181" ht="15" customHeight="1" x14ac:dyDescent="0.15"/>
    <row r="182" ht="15" customHeight="1" x14ac:dyDescent="0.15"/>
    <row r="183" ht="15" customHeight="1" x14ac:dyDescent="0.15"/>
    <row r="184" ht="15" customHeight="1" x14ac:dyDescent="0.15"/>
    <row r="185" ht="15" customHeight="1" x14ac:dyDescent="0.15"/>
    <row r="186" ht="15" customHeight="1" x14ac:dyDescent="0.15"/>
    <row r="187" ht="15" customHeight="1" x14ac:dyDescent="0.15"/>
    <row r="188" ht="15" customHeight="1" x14ac:dyDescent="0.15"/>
    <row r="189" ht="15" customHeight="1" x14ac:dyDescent="0.15"/>
    <row r="190" ht="15" customHeight="1" x14ac:dyDescent="0.15"/>
    <row r="191" ht="15" customHeight="1" x14ac:dyDescent="0.15"/>
    <row r="192" ht="15" customHeight="1" x14ac:dyDescent="0.15"/>
    <row r="193" ht="15" customHeight="1" x14ac:dyDescent="0.15"/>
    <row r="194" ht="15" customHeight="1" x14ac:dyDescent="0.15"/>
    <row r="195" ht="15" customHeight="1" x14ac:dyDescent="0.15"/>
    <row r="196" ht="15" customHeight="1" x14ac:dyDescent="0.15"/>
    <row r="197" ht="15" customHeight="1" x14ac:dyDescent="0.15"/>
    <row r="198" ht="15" customHeight="1" x14ac:dyDescent="0.15"/>
    <row r="199" ht="15" customHeight="1" x14ac:dyDescent="0.15"/>
    <row r="200" ht="15" customHeight="1" x14ac:dyDescent="0.15"/>
    <row r="201" ht="15" customHeight="1" x14ac:dyDescent="0.15"/>
    <row r="202" ht="15" customHeight="1" x14ac:dyDescent="0.15"/>
    <row r="203" ht="15" customHeight="1" x14ac:dyDescent="0.15"/>
    <row r="204" ht="15" customHeight="1" x14ac:dyDescent="0.15"/>
    <row r="205" ht="15" customHeight="1" x14ac:dyDescent="0.15"/>
    <row r="206" ht="15" customHeight="1" x14ac:dyDescent="0.15"/>
    <row r="207" ht="15" customHeight="1" x14ac:dyDescent="0.15"/>
    <row r="208" ht="15" customHeight="1" x14ac:dyDescent="0.15"/>
    <row r="209" ht="15" customHeight="1" x14ac:dyDescent="0.15"/>
    <row r="210" ht="15" customHeight="1" x14ac:dyDescent="0.15"/>
    <row r="211" ht="15" customHeight="1" x14ac:dyDescent="0.15"/>
    <row r="212" ht="15" customHeight="1" x14ac:dyDescent="0.15"/>
    <row r="213" ht="15" customHeight="1" x14ac:dyDescent="0.15"/>
    <row r="214" ht="15" customHeight="1" x14ac:dyDescent="0.15"/>
    <row r="215" ht="15" customHeight="1" x14ac:dyDescent="0.15"/>
    <row r="216" ht="15" customHeight="1" x14ac:dyDescent="0.15"/>
    <row r="217" ht="15" customHeight="1" x14ac:dyDescent="0.15"/>
    <row r="218" ht="15" customHeight="1" x14ac:dyDescent="0.15"/>
    <row r="219" ht="15" customHeight="1" x14ac:dyDescent="0.15"/>
    <row r="220" ht="15" customHeight="1" x14ac:dyDescent="0.15"/>
    <row r="221" ht="15" customHeight="1" x14ac:dyDescent="0.15"/>
    <row r="222" ht="15" customHeight="1" x14ac:dyDescent="0.15"/>
    <row r="223" ht="15" customHeight="1" x14ac:dyDescent="0.15"/>
    <row r="224" ht="15" customHeight="1" x14ac:dyDescent="0.15"/>
    <row r="225" ht="15" customHeight="1" x14ac:dyDescent="0.15"/>
    <row r="226" ht="15" customHeight="1" x14ac:dyDescent="0.15"/>
    <row r="227" ht="15" customHeight="1" x14ac:dyDescent="0.15"/>
    <row r="228" ht="15" customHeight="1" x14ac:dyDescent="0.15"/>
    <row r="229" ht="15" customHeight="1" x14ac:dyDescent="0.15"/>
    <row r="230" ht="15" customHeight="1" x14ac:dyDescent="0.15"/>
    <row r="231" ht="15" customHeight="1" x14ac:dyDescent="0.15"/>
    <row r="232" ht="15" customHeight="1" x14ac:dyDescent="0.15"/>
    <row r="233" ht="15" customHeight="1" x14ac:dyDescent="0.15"/>
    <row r="234" ht="15" customHeight="1" x14ac:dyDescent="0.15"/>
    <row r="235" ht="15" customHeight="1" x14ac:dyDescent="0.15"/>
    <row r="236" ht="15" customHeight="1" x14ac:dyDescent="0.15"/>
    <row r="237" ht="15" customHeight="1" x14ac:dyDescent="0.15"/>
    <row r="238" ht="15" customHeight="1" x14ac:dyDescent="0.15"/>
    <row r="239" ht="15" customHeight="1" x14ac:dyDescent="0.15"/>
    <row r="240" ht="15" customHeight="1" x14ac:dyDescent="0.15"/>
    <row r="241" ht="15" customHeight="1" x14ac:dyDescent="0.15"/>
    <row r="242" ht="15" customHeight="1" x14ac:dyDescent="0.15"/>
    <row r="243" ht="15" customHeight="1" x14ac:dyDescent="0.15"/>
    <row r="244" ht="15" customHeight="1" x14ac:dyDescent="0.15"/>
    <row r="245" ht="15" customHeight="1" x14ac:dyDescent="0.15"/>
    <row r="246" ht="15" customHeight="1" x14ac:dyDescent="0.15"/>
    <row r="247" ht="15" customHeight="1" x14ac:dyDescent="0.15"/>
    <row r="248" ht="15" customHeight="1" x14ac:dyDescent="0.15"/>
    <row r="249" ht="15" customHeight="1" x14ac:dyDescent="0.15"/>
    <row r="250" ht="15" customHeight="1" x14ac:dyDescent="0.15"/>
    <row r="251" ht="15" customHeight="1" x14ac:dyDescent="0.15"/>
    <row r="252" ht="15" customHeight="1" x14ac:dyDescent="0.15"/>
    <row r="253" ht="15" customHeight="1" x14ac:dyDescent="0.15"/>
    <row r="254" ht="15" customHeight="1" x14ac:dyDescent="0.15"/>
    <row r="255" ht="15" customHeight="1" x14ac:dyDescent="0.15"/>
    <row r="256" ht="15" customHeight="1" x14ac:dyDescent="0.15"/>
    <row r="257" ht="15" customHeight="1" x14ac:dyDescent="0.15"/>
    <row r="258" ht="15" customHeight="1" x14ac:dyDescent="0.15"/>
    <row r="259" ht="15" customHeight="1" x14ac:dyDescent="0.15"/>
    <row r="260" ht="15" customHeight="1" x14ac:dyDescent="0.15"/>
    <row r="261" ht="15" customHeight="1" x14ac:dyDescent="0.15"/>
    <row r="262" ht="15" customHeight="1" x14ac:dyDescent="0.15"/>
    <row r="263" ht="15" customHeight="1" x14ac:dyDescent="0.15"/>
    <row r="264" ht="15" customHeight="1" x14ac:dyDescent="0.15"/>
    <row r="265" ht="15" customHeight="1" x14ac:dyDescent="0.15"/>
    <row r="266" ht="15" customHeight="1" x14ac:dyDescent="0.15"/>
    <row r="267" ht="15" customHeight="1" x14ac:dyDescent="0.15"/>
    <row r="268" ht="15" customHeight="1" x14ac:dyDescent="0.15"/>
    <row r="269" ht="15" customHeight="1" x14ac:dyDescent="0.15"/>
    <row r="270" ht="15" customHeight="1" x14ac:dyDescent="0.15"/>
    <row r="271" ht="15" customHeight="1" x14ac:dyDescent="0.15"/>
    <row r="272" ht="15" customHeight="1" x14ac:dyDescent="0.15"/>
    <row r="273" ht="15" customHeight="1" x14ac:dyDescent="0.15"/>
    <row r="274" ht="15" customHeight="1" x14ac:dyDescent="0.15"/>
    <row r="275" ht="15" customHeight="1" x14ac:dyDescent="0.15"/>
    <row r="276" ht="15" customHeight="1" x14ac:dyDescent="0.15"/>
    <row r="277" ht="15" customHeight="1" x14ac:dyDescent="0.15"/>
    <row r="278" ht="15" customHeight="1" x14ac:dyDescent="0.15"/>
    <row r="279" ht="15" customHeight="1" x14ac:dyDescent="0.15"/>
    <row r="280" ht="15" customHeight="1" x14ac:dyDescent="0.15"/>
    <row r="281" ht="15" customHeight="1" x14ac:dyDescent="0.15"/>
    <row r="282" ht="15" customHeight="1" x14ac:dyDescent="0.15"/>
    <row r="283" ht="15" customHeight="1" x14ac:dyDescent="0.15"/>
    <row r="284" ht="15" customHeight="1" x14ac:dyDescent="0.15"/>
    <row r="285" ht="15" customHeight="1" x14ac:dyDescent="0.15"/>
    <row r="286" ht="15" customHeight="1" x14ac:dyDescent="0.15"/>
    <row r="287" ht="15" customHeight="1" x14ac:dyDescent="0.15"/>
    <row r="288" ht="15" customHeight="1" x14ac:dyDescent="0.15"/>
    <row r="289" ht="15" customHeight="1" x14ac:dyDescent="0.15"/>
    <row r="290" ht="15" customHeight="1" x14ac:dyDescent="0.15"/>
    <row r="291" ht="15" customHeight="1" x14ac:dyDescent="0.15"/>
    <row r="292" ht="15" customHeight="1" x14ac:dyDescent="0.15"/>
    <row r="293" ht="15" customHeight="1" x14ac:dyDescent="0.15"/>
    <row r="294" ht="15" customHeight="1" x14ac:dyDescent="0.15"/>
    <row r="295" ht="15" customHeight="1" x14ac:dyDescent="0.15"/>
    <row r="296" ht="15" customHeight="1" x14ac:dyDescent="0.15"/>
    <row r="297" ht="15" customHeight="1" x14ac:dyDescent="0.15"/>
    <row r="298" ht="15" customHeight="1" x14ac:dyDescent="0.15"/>
    <row r="299" ht="15" customHeight="1" x14ac:dyDescent="0.15"/>
    <row r="300" ht="15" customHeight="1" x14ac:dyDescent="0.15"/>
    <row r="301" ht="15" customHeight="1" x14ac:dyDescent="0.15"/>
    <row r="302" ht="15" customHeight="1" x14ac:dyDescent="0.15"/>
    <row r="303" ht="15" customHeight="1" x14ac:dyDescent="0.15"/>
    <row r="304" ht="15" customHeight="1" x14ac:dyDescent="0.15"/>
    <row r="305" ht="15" customHeight="1" x14ac:dyDescent="0.15"/>
    <row r="306" ht="15" customHeight="1" x14ac:dyDescent="0.15"/>
    <row r="307" ht="15" customHeight="1" x14ac:dyDescent="0.15"/>
    <row r="308" ht="15" customHeight="1" x14ac:dyDescent="0.15"/>
    <row r="309" ht="15" customHeight="1" x14ac:dyDescent="0.15"/>
    <row r="310" ht="15" customHeight="1" x14ac:dyDescent="0.15"/>
    <row r="311" ht="15" customHeight="1" x14ac:dyDescent="0.15"/>
    <row r="312" ht="15" customHeight="1" x14ac:dyDescent="0.15"/>
    <row r="313" ht="15" customHeight="1" x14ac:dyDescent="0.15"/>
    <row r="314" ht="15" customHeight="1" x14ac:dyDescent="0.15"/>
    <row r="315" ht="15" customHeight="1" x14ac:dyDescent="0.15"/>
    <row r="316" ht="15" customHeight="1" x14ac:dyDescent="0.15"/>
    <row r="317" ht="15" customHeight="1" x14ac:dyDescent="0.15"/>
    <row r="318" ht="15" customHeight="1" x14ac:dyDescent="0.15"/>
    <row r="319" ht="15" customHeight="1" x14ac:dyDescent="0.15"/>
    <row r="320" ht="15" customHeight="1" x14ac:dyDescent="0.15"/>
    <row r="321" ht="15" customHeight="1" x14ac:dyDescent="0.15"/>
    <row r="322" ht="15" customHeight="1" x14ac:dyDescent="0.15"/>
    <row r="323" ht="15" customHeight="1" x14ac:dyDescent="0.15"/>
    <row r="324" ht="15" customHeight="1" x14ac:dyDescent="0.15"/>
    <row r="325" ht="15" customHeight="1" x14ac:dyDescent="0.15"/>
    <row r="326" ht="15" customHeight="1" x14ac:dyDescent="0.15"/>
    <row r="327" ht="15" customHeight="1" x14ac:dyDescent="0.15"/>
    <row r="328" ht="15" customHeight="1" x14ac:dyDescent="0.15"/>
    <row r="329" ht="15" customHeight="1" x14ac:dyDescent="0.15"/>
    <row r="330" ht="15" customHeight="1" x14ac:dyDescent="0.15"/>
    <row r="331" ht="15" customHeight="1" x14ac:dyDescent="0.15"/>
    <row r="332" ht="15" customHeight="1" x14ac:dyDescent="0.15"/>
    <row r="333" ht="15" customHeight="1" x14ac:dyDescent="0.15"/>
    <row r="334" ht="15" customHeight="1" x14ac:dyDescent="0.15"/>
    <row r="335" ht="15" customHeight="1" x14ac:dyDescent="0.15"/>
    <row r="336" ht="15" customHeight="1" x14ac:dyDescent="0.15"/>
    <row r="337" ht="15" customHeight="1" x14ac:dyDescent="0.15"/>
    <row r="338" ht="15" customHeight="1" x14ac:dyDescent="0.15"/>
    <row r="339" ht="15" customHeight="1" x14ac:dyDescent="0.15"/>
    <row r="340" ht="15" customHeight="1" x14ac:dyDescent="0.15"/>
    <row r="341" ht="15" customHeight="1" x14ac:dyDescent="0.15"/>
    <row r="342" ht="15" customHeight="1" x14ac:dyDescent="0.15"/>
    <row r="343" ht="15" customHeight="1" x14ac:dyDescent="0.15"/>
    <row r="344" ht="15" customHeight="1" x14ac:dyDescent="0.15"/>
    <row r="345" ht="15" customHeight="1" x14ac:dyDescent="0.15"/>
    <row r="346" ht="15" customHeight="1" x14ac:dyDescent="0.15"/>
    <row r="347" ht="15" customHeight="1" x14ac:dyDescent="0.15"/>
    <row r="348" ht="15" customHeight="1" x14ac:dyDescent="0.15"/>
    <row r="349" ht="15" customHeight="1" x14ac:dyDescent="0.15"/>
    <row r="350" ht="15" customHeight="1" x14ac:dyDescent="0.15"/>
    <row r="351" ht="15" customHeight="1" x14ac:dyDescent="0.15"/>
    <row r="352" ht="15" customHeight="1" x14ac:dyDescent="0.15"/>
    <row r="353" ht="15" customHeight="1" x14ac:dyDescent="0.15"/>
    <row r="354" ht="15" customHeight="1" x14ac:dyDescent="0.15"/>
    <row r="355" ht="15" customHeight="1" x14ac:dyDescent="0.15"/>
    <row r="356" ht="15" customHeight="1" x14ac:dyDescent="0.15"/>
    <row r="357" ht="15" customHeight="1" x14ac:dyDescent="0.15"/>
    <row r="358" ht="15" customHeight="1" x14ac:dyDescent="0.15"/>
    <row r="359" ht="15" customHeight="1" x14ac:dyDescent="0.15"/>
    <row r="360" ht="15" customHeight="1" x14ac:dyDescent="0.15"/>
    <row r="361" ht="15" customHeight="1" x14ac:dyDescent="0.15"/>
    <row r="362" ht="15" customHeight="1" x14ac:dyDescent="0.15"/>
    <row r="363" ht="15" customHeight="1" x14ac:dyDescent="0.15"/>
    <row r="364" ht="15" customHeight="1" x14ac:dyDescent="0.15"/>
    <row r="365" ht="15" customHeight="1" x14ac:dyDescent="0.15"/>
    <row r="366" ht="15" customHeight="1" x14ac:dyDescent="0.15"/>
    <row r="367" ht="15" customHeight="1" x14ac:dyDescent="0.15"/>
    <row r="368" ht="15" customHeight="1" x14ac:dyDescent="0.15"/>
    <row r="369" ht="15" customHeight="1" x14ac:dyDescent="0.15"/>
    <row r="370" ht="15" customHeight="1" x14ac:dyDescent="0.15"/>
    <row r="371" ht="15" customHeight="1" x14ac:dyDescent="0.15"/>
    <row r="372" ht="15" customHeight="1" x14ac:dyDescent="0.15"/>
    <row r="373" ht="15" customHeight="1" x14ac:dyDescent="0.15"/>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indexed="45"/>
  </sheetPr>
  <dimension ref="A1:H185"/>
  <sheetViews>
    <sheetView workbookViewId="0">
      <pane xSplit="2" ySplit="1" topLeftCell="C2" activePane="bottomRight" state="frozen"/>
      <selection pane="topRight" activeCell="C1" sqref="C1"/>
      <selection pane="bottomLeft" activeCell="A2" sqref="A2"/>
      <selection pane="bottomRight" activeCell="A3" sqref="A3"/>
    </sheetView>
  </sheetViews>
  <sheetFormatPr baseColWidth="10" defaultColWidth="8.83203125" defaultRowHeight="13" x14ac:dyDescent="0.15"/>
  <cols>
    <col min="1" max="1" width="3.33203125" customWidth="1"/>
    <col min="2" max="2" width="21.6640625" customWidth="1"/>
    <col min="3" max="4" width="2.33203125" style="114" customWidth="1"/>
    <col min="5" max="6" width="2.33203125" style="113" bestFit="1" customWidth="1"/>
    <col min="7" max="8" width="8.83203125" style="114"/>
  </cols>
  <sheetData>
    <row r="1" spans="1:8" ht="70" x14ac:dyDescent="0.15">
      <c r="A1" s="5" t="s">
        <v>20</v>
      </c>
      <c r="B1" s="1" t="s">
        <v>0</v>
      </c>
      <c r="C1" s="185" t="s">
        <v>231</v>
      </c>
      <c r="D1" s="185" t="s">
        <v>232</v>
      </c>
      <c r="E1" s="185" t="s">
        <v>235</v>
      </c>
      <c r="F1" s="185" t="s">
        <v>236</v>
      </c>
      <c r="G1"/>
      <c r="H1"/>
    </row>
    <row r="2" spans="1:8" x14ac:dyDescent="0.15">
      <c r="A2">
        <v>1</v>
      </c>
      <c r="B2" s="184" t="s">
        <v>192</v>
      </c>
      <c r="C2" s="114">
        <v>1</v>
      </c>
      <c r="D2" s="114">
        <v>0</v>
      </c>
      <c r="E2" s="113">
        <v>0</v>
      </c>
      <c r="F2" s="113">
        <v>1</v>
      </c>
      <c r="G2"/>
      <c r="H2"/>
    </row>
    <row r="3" spans="1:8" x14ac:dyDescent="0.15">
      <c r="A3">
        <v>2</v>
      </c>
      <c r="B3" s="184" t="s">
        <v>193</v>
      </c>
      <c r="C3" s="114">
        <v>1</v>
      </c>
      <c r="D3" s="114">
        <v>0</v>
      </c>
      <c r="E3" s="113">
        <v>0</v>
      </c>
      <c r="F3" s="113">
        <v>1</v>
      </c>
      <c r="G3"/>
      <c r="H3"/>
    </row>
    <row r="4" spans="1:8" x14ac:dyDescent="0.15">
      <c r="A4">
        <v>3</v>
      </c>
      <c r="B4" s="184" t="s">
        <v>194</v>
      </c>
      <c r="C4" s="114">
        <v>1</v>
      </c>
      <c r="D4" s="114">
        <v>0</v>
      </c>
      <c r="E4" s="113">
        <v>0</v>
      </c>
      <c r="F4" s="113">
        <v>1</v>
      </c>
      <c r="G4"/>
      <c r="H4"/>
    </row>
    <row r="5" spans="1:8" x14ac:dyDescent="0.15">
      <c r="A5">
        <v>4</v>
      </c>
      <c r="B5" s="184" t="s">
        <v>195</v>
      </c>
      <c r="C5" s="114">
        <v>1</v>
      </c>
      <c r="D5" s="114">
        <v>0</v>
      </c>
      <c r="E5" s="113">
        <v>0</v>
      </c>
      <c r="F5" s="113">
        <v>1</v>
      </c>
      <c r="G5"/>
      <c r="H5"/>
    </row>
    <row r="6" spans="1:8" x14ac:dyDescent="0.15">
      <c r="A6">
        <v>5</v>
      </c>
      <c r="B6" s="184" t="s">
        <v>196</v>
      </c>
      <c r="C6" s="114">
        <v>1</v>
      </c>
      <c r="D6" s="114">
        <v>0</v>
      </c>
      <c r="E6" s="113">
        <v>0</v>
      </c>
      <c r="F6" s="113">
        <v>1</v>
      </c>
      <c r="G6"/>
      <c r="H6"/>
    </row>
    <row r="7" spans="1:8" x14ac:dyDescent="0.15">
      <c r="A7">
        <v>6</v>
      </c>
      <c r="B7" s="184" t="s">
        <v>197</v>
      </c>
      <c r="C7" s="114">
        <v>1</v>
      </c>
      <c r="D7" s="114">
        <v>0</v>
      </c>
      <c r="E7" s="113">
        <v>0</v>
      </c>
      <c r="F7" s="113">
        <v>1</v>
      </c>
      <c r="G7"/>
      <c r="H7"/>
    </row>
    <row r="8" spans="1:8" x14ac:dyDescent="0.15">
      <c r="A8">
        <v>7</v>
      </c>
      <c r="B8" s="184" t="s">
        <v>198</v>
      </c>
      <c r="C8" s="114">
        <v>1</v>
      </c>
      <c r="D8" s="114">
        <v>0</v>
      </c>
      <c r="E8" s="113">
        <v>0</v>
      </c>
      <c r="F8" s="113">
        <v>1</v>
      </c>
      <c r="G8"/>
      <c r="H8"/>
    </row>
    <row r="9" spans="1:8" x14ac:dyDescent="0.15">
      <c r="A9">
        <v>8</v>
      </c>
      <c r="B9" s="184" t="s">
        <v>199</v>
      </c>
      <c r="C9" s="114">
        <v>1</v>
      </c>
      <c r="D9" s="114">
        <v>0</v>
      </c>
      <c r="E9" s="113">
        <v>0</v>
      </c>
      <c r="F9" s="113">
        <v>1</v>
      </c>
      <c r="G9"/>
      <c r="H9"/>
    </row>
    <row r="10" spans="1:8" x14ac:dyDescent="0.15">
      <c r="A10">
        <v>9</v>
      </c>
      <c r="B10" s="184" t="s">
        <v>200</v>
      </c>
      <c r="C10" s="114">
        <v>1</v>
      </c>
      <c r="D10" s="114">
        <v>0</v>
      </c>
      <c r="E10" s="113">
        <v>0</v>
      </c>
      <c r="F10" s="113">
        <v>1</v>
      </c>
      <c r="G10"/>
      <c r="H10"/>
    </row>
    <row r="11" spans="1:8" x14ac:dyDescent="0.15">
      <c r="A11">
        <v>10</v>
      </c>
      <c r="B11" s="184" t="s">
        <v>201</v>
      </c>
      <c r="C11" s="114">
        <v>1</v>
      </c>
      <c r="D11" s="114">
        <v>0</v>
      </c>
      <c r="E11" s="113">
        <v>0</v>
      </c>
      <c r="F11" s="113">
        <v>1</v>
      </c>
      <c r="G11"/>
      <c r="H11"/>
    </row>
    <row r="12" spans="1:8" x14ac:dyDescent="0.15">
      <c r="A12">
        <v>11</v>
      </c>
      <c r="B12" s="184" t="s">
        <v>202</v>
      </c>
      <c r="C12" s="114">
        <v>1</v>
      </c>
      <c r="D12" s="114">
        <v>0</v>
      </c>
      <c r="E12" s="113">
        <v>0</v>
      </c>
      <c r="F12" s="113">
        <v>1</v>
      </c>
      <c r="G12"/>
      <c r="H12"/>
    </row>
    <row r="13" spans="1:8" x14ac:dyDescent="0.15">
      <c r="A13">
        <v>12</v>
      </c>
      <c r="B13" s="184" t="s">
        <v>203</v>
      </c>
      <c r="C13" s="114">
        <v>1</v>
      </c>
      <c r="D13" s="114">
        <v>0</v>
      </c>
      <c r="E13" s="113">
        <v>0</v>
      </c>
      <c r="F13" s="113">
        <v>1</v>
      </c>
      <c r="G13"/>
      <c r="H13"/>
    </row>
    <row r="14" spans="1:8" x14ac:dyDescent="0.15">
      <c r="A14">
        <v>13</v>
      </c>
      <c r="B14" s="184" t="s">
        <v>204</v>
      </c>
      <c r="C14" s="114">
        <v>1</v>
      </c>
      <c r="D14" s="114">
        <v>0</v>
      </c>
      <c r="E14" s="113">
        <v>0</v>
      </c>
      <c r="F14" s="113">
        <v>1</v>
      </c>
      <c r="G14"/>
      <c r="H14"/>
    </row>
    <row r="15" spans="1:8" x14ac:dyDescent="0.15">
      <c r="A15">
        <v>14</v>
      </c>
      <c r="B15" s="184" t="s">
        <v>205</v>
      </c>
      <c r="C15" s="114">
        <v>1</v>
      </c>
      <c r="D15" s="114">
        <v>0</v>
      </c>
      <c r="E15" s="113">
        <v>0</v>
      </c>
      <c r="F15" s="113">
        <v>1</v>
      </c>
      <c r="G15"/>
      <c r="H15"/>
    </row>
    <row r="16" spans="1:8" x14ac:dyDescent="0.15">
      <c r="A16">
        <v>15</v>
      </c>
      <c r="B16" s="184" t="s">
        <v>206</v>
      </c>
      <c r="C16" s="114">
        <v>1</v>
      </c>
      <c r="D16" s="114">
        <v>0</v>
      </c>
      <c r="E16" s="113">
        <v>0</v>
      </c>
      <c r="F16" s="113">
        <v>1</v>
      </c>
      <c r="G16"/>
      <c r="H16"/>
    </row>
    <row r="17" spans="1:8" ht="15" customHeight="1" x14ac:dyDescent="0.15">
      <c r="A17">
        <v>16</v>
      </c>
      <c r="B17" s="184" t="s">
        <v>207</v>
      </c>
      <c r="C17" s="114">
        <v>1</v>
      </c>
      <c r="D17" s="114">
        <v>0</v>
      </c>
      <c r="E17" s="113">
        <v>0</v>
      </c>
      <c r="F17" s="113">
        <v>1</v>
      </c>
      <c r="G17"/>
      <c r="H17"/>
    </row>
    <row r="18" spans="1:8" ht="15" customHeight="1" x14ac:dyDescent="0.15">
      <c r="A18">
        <v>17</v>
      </c>
      <c r="B18" s="184" t="s">
        <v>208</v>
      </c>
      <c r="C18" s="114">
        <v>1</v>
      </c>
      <c r="D18" s="114">
        <v>0</v>
      </c>
      <c r="E18" s="113">
        <v>0</v>
      </c>
      <c r="F18" s="113">
        <v>1</v>
      </c>
      <c r="G18"/>
      <c r="H18"/>
    </row>
    <row r="19" spans="1:8" ht="15" customHeight="1" x14ac:dyDescent="0.15">
      <c r="A19">
        <v>18</v>
      </c>
      <c r="B19" s="184" t="s">
        <v>209</v>
      </c>
      <c r="C19" s="114">
        <v>1</v>
      </c>
      <c r="D19" s="114">
        <v>0</v>
      </c>
      <c r="E19" s="113">
        <v>0</v>
      </c>
      <c r="F19" s="113">
        <v>1</v>
      </c>
      <c r="G19"/>
      <c r="H19"/>
    </row>
    <row r="20" spans="1:8" ht="15" customHeight="1" x14ac:dyDescent="0.15">
      <c r="A20">
        <v>19</v>
      </c>
      <c r="B20" s="184" t="s">
        <v>210</v>
      </c>
      <c r="C20" s="114">
        <v>1</v>
      </c>
      <c r="D20" s="114">
        <v>0</v>
      </c>
      <c r="E20" s="113">
        <v>0</v>
      </c>
      <c r="F20" s="113">
        <v>1</v>
      </c>
      <c r="G20"/>
      <c r="H20"/>
    </row>
    <row r="21" spans="1:8" ht="15" customHeight="1" x14ac:dyDescent="0.15">
      <c r="A21">
        <v>20</v>
      </c>
      <c r="B21" s="184" t="s">
        <v>211</v>
      </c>
      <c r="C21" s="114">
        <v>1</v>
      </c>
      <c r="D21" s="114">
        <v>0</v>
      </c>
      <c r="E21" s="113">
        <v>0</v>
      </c>
      <c r="F21" s="113">
        <v>1</v>
      </c>
      <c r="G21"/>
      <c r="H21"/>
    </row>
    <row r="22" spans="1:8" ht="15" customHeight="1" x14ac:dyDescent="0.15">
      <c r="A22">
        <v>21</v>
      </c>
      <c r="B22" s="184" t="s">
        <v>212</v>
      </c>
      <c r="C22" s="114">
        <v>1</v>
      </c>
      <c r="D22" s="114">
        <v>0</v>
      </c>
      <c r="E22" s="113">
        <v>0</v>
      </c>
      <c r="F22" s="113">
        <v>1</v>
      </c>
      <c r="G22"/>
      <c r="H22"/>
    </row>
    <row r="23" spans="1:8" ht="15" customHeight="1" x14ac:dyDescent="0.15">
      <c r="A23">
        <v>22</v>
      </c>
      <c r="B23" s="184" t="s">
        <v>213</v>
      </c>
      <c r="C23" s="114">
        <v>1</v>
      </c>
      <c r="D23" s="114">
        <v>0</v>
      </c>
      <c r="E23" s="113">
        <v>0</v>
      </c>
      <c r="F23" s="113">
        <v>1</v>
      </c>
      <c r="G23"/>
      <c r="H23"/>
    </row>
    <row r="24" spans="1:8" ht="15" customHeight="1" x14ac:dyDescent="0.15">
      <c r="A24">
        <v>23</v>
      </c>
      <c r="B24" s="184" t="s">
        <v>214</v>
      </c>
      <c r="C24" s="114">
        <v>1</v>
      </c>
      <c r="D24" s="114">
        <v>0</v>
      </c>
      <c r="E24" s="113">
        <v>0</v>
      </c>
      <c r="F24" s="113">
        <v>1</v>
      </c>
      <c r="G24"/>
      <c r="H24"/>
    </row>
    <row r="25" spans="1:8" ht="15" customHeight="1" x14ac:dyDescent="0.15">
      <c r="A25">
        <v>24</v>
      </c>
      <c r="B25" s="184" t="s">
        <v>215</v>
      </c>
      <c r="C25" s="114">
        <v>1</v>
      </c>
      <c r="D25" s="114">
        <v>0</v>
      </c>
      <c r="E25" s="113">
        <v>0</v>
      </c>
      <c r="F25" s="113">
        <v>1</v>
      </c>
      <c r="G25"/>
      <c r="H25"/>
    </row>
    <row r="26" spans="1:8" ht="15" customHeight="1" x14ac:dyDescent="0.15">
      <c r="A26">
        <v>25</v>
      </c>
      <c r="B26" s="184" t="s">
        <v>216</v>
      </c>
      <c r="C26" s="114">
        <v>1</v>
      </c>
      <c r="D26" s="114">
        <v>0</v>
      </c>
      <c r="E26" s="113">
        <v>0</v>
      </c>
      <c r="F26" s="113">
        <v>1</v>
      </c>
      <c r="G26"/>
      <c r="H26"/>
    </row>
    <row r="27" spans="1:8" ht="15" customHeight="1" x14ac:dyDescent="0.15">
      <c r="A27">
        <v>26</v>
      </c>
      <c r="B27" s="184" t="s">
        <v>217</v>
      </c>
      <c r="C27" s="114">
        <v>1</v>
      </c>
      <c r="D27" s="114">
        <v>0</v>
      </c>
      <c r="E27" s="113">
        <v>0</v>
      </c>
      <c r="F27" s="113">
        <v>1</v>
      </c>
      <c r="G27"/>
      <c r="H27"/>
    </row>
    <row r="28" spans="1:8" ht="15" customHeight="1" x14ac:dyDescent="0.15">
      <c r="A28">
        <v>27</v>
      </c>
      <c r="B28" s="184" t="s">
        <v>218</v>
      </c>
      <c r="C28" s="114">
        <v>1</v>
      </c>
      <c r="D28" s="114">
        <v>0</v>
      </c>
      <c r="E28" s="113">
        <v>0</v>
      </c>
      <c r="F28" s="113">
        <v>1</v>
      </c>
      <c r="G28"/>
      <c r="H28"/>
    </row>
    <row r="29" spans="1:8" ht="15" customHeight="1" x14ac:dyDescent="0.15">
      <c r="A29">
        <v>28</v>
      </c>
      <c r="B29" s="184" t="s">
        <v>219</v>
      </c>
      <c r="C29" s="114">
        <v>1</v>
      </c>
      <c r="D29" s="114">
        <v>0</v>
      </c>
      <c r="E29" s="113">
        <v>0</v>
      </c>
      <c r="F29" s="113">
        <v>1</v>
      </c>
      <c r="G29"/>
      <c r="H29"/>
    </row>
    <row r="30" spans="1:8" ht="15" customHeight="1" x14ac:dyDescent="0.15">
      <c r="A30">
        <v>29</v>
      </c>
      <c r="B30" s="184" t="s">
        <v>220</v>
      </c>
      <c r="C30" s="114">
        <v>1</v>
      </c>
      <c r="D30" s="114">
        <v>0</v>
      </c>
      <c r="E30" s="113">
        <v>0</v>
      </c>
      <c r="F30" s="113">
        <v>1</v>
      </c>
      <c r="G30"/>
      <c r="H30"/>
    </row>
    <row r="31" spans="1:8" ht="15" customHeight="1" x14ac:dyDescent="0.15">
      <c r="A31">
        <v>30</v>
      </c>
      <c r="B31" s="184" t="s">
        <v>221</v>
      </c>
      <c r="C31" s="114">
        <v>1</v>
      </c>
      <c r="D31" s="114">
        <v>0</v>
      </c>
      <c r="E31" s="113">
        <v>0</v>
      </c>
      <c r="F31" s="113">
        <v>1</v>
      </c>
      <c r="G31"/>
      <c r="H31"/>
    </row>
    <row r="32" spans="1:8" ht="15" customHeight="1" x14ac:dyDescent="0.15">
      <c r="A32">
        <v>31</v>
      </c>
      <c r="B32" s="184" t="s">
        <v>222</v>
      </c>
      <c r="C32" s="114">
        <v>1</v>
      </c>
      <c r="D32" s="114">
        <v>0</v>
      </c>
      <c r="E32" s="113">
        <v>0</v>
      </c>
      <c r="F32" s="113">
        <v>1</v>
      </c>
    </row>
    <row r="33" spans="1:8" ht="15" customHeight="1" x14ac:dyDescent="0.15">
      <c r="A33">
        <v>32</v>
      </c>
      <c r="B33" s="184" t="s">
        <v>223</v>
      </c>
      <c r="C33" s="114">
        <v>1</v>
      </c>
      <c r="D33" s="114">
        <v>0</v>
      </c>
      <c r="E33" s="113">
        <v>0</v>
      </c>
      <c r="F33" s="113">
        <v>1</v>
      </c>
    </row>
    <row r="34" spans="1:8" ht="15" customHeight="1" x14ac:dyDescent="0.15">
      <c r="A34">
        <v>33</v>
      </c>
      <c r="B34" s="184" t="s">
        <v>224</v>
      </c>
      <c r="C34" s="114">
        <v>1</v>
      </c>
      <c r="D34" s="114">
        <v>0</v>
      </c>
      <c r="E34" s="113">
        <v>0</v>
      </c>
      <c r="F34" s="113">
        <v>1</v>
      </c>
    </row>
    <row r="35" spans="1:8" ht="15" customHeight="1" x14ac:dyDescent="0.15">
      <c r="A35">
        <v>34</v>
      </c>
      <c r="B35" s="184" t="s">
        <v>225</v>
      </c>
      <c r="C35" s="114">
        <v>1</v>
      </c>
      <c r="D35" s="114">
        <v>0</v>
      </c>
      <c r="E35" s="113">
        <v>0</v>
      </c>
      <c r="F35" s="113">
        <v>1</v>
      </c>
    </row>
    <row r="36" spans="1:8" ht="15" customHeight="1" x14ac:dyDescent="0.15">
      <c r="A36">
        <v>35</v>
      </c>
      <c r="B36" s="184" t="s">
        <v>226</v>
      </c>
      <c r="C36" s="114">
        <v>1</v>
      </c>
      <c r="D36" s="114">
        <v>0</v>
      </c>
      <c r="E36" s="114">
        <v>0</v>
      </c>
      <c r="F36" s="114">
        <v>1</v>
      </c>
      <c r="G36"/>
      <c r="H36"/>
    </row>
    <row r="37" spans="1:8" ht="15" customHeight="1" x14ac:dyDescent="0.15">
      <c r="A37">
        <v>36</v>
      </c>
      <c r="B37" s="184" t="s">
        <v>227</v>
      </c>
      <c r="C37" s="114">
        <v>1</v>
      </c>
      <c r="D37" s="114">
        <v>0</v>
      </c>
      <c r="E37" s="114">
        <v>0</v>
      </c>
      <c r="F37" s="114">
        <v>1</v>
      </c>
      <c r="G37"/>
      <c r="H37"/>
    </row>
    <row r="38" spans="1:8" ht="15" customHeight="1" x14ac:dyDescent="0.15">
      <c r="A38">
        <v>37</v>
      </c>
      <c r="B38" s="184" t="s">
        <v>228</v>
      </c>
      <c r="C38" s="114">
        <v>1</v>
      </c>
      <c r="D38" s="114">
        <v>0</v>
      </c>
      <c r="E38" s="114">
        <v>0</v>
      </c>
      <c r="F38" s="114">
        <v>1</v>
      </c>
      <c r="G38"/>
      <c r="H38"/>
    </row>
    <row r="39" spans="1:8" ht="15" customHeight="1" x14ac:dyDescent="0.15">
      <c r="A39">
        <v>38</v>
      </c>
      <c r="B39" s="184" t="s">
        <v>229</v>
      </c>
      <c r="C39" s="114">
        <v>1</v>
      </c>
      <c r="D39" s="114">
        <v>0</v>
      </c>
      <c r="E39" s="114">
        <v>0</v>
      </c>
      <c r="F39" s="114">
        <v>1</v>
      </c>
      <c r="G39"/>
      <c r="H39"/>
    </row>
    <row r="40" spans="1:8" ht="15" customHeight="1" x14ac:dyDescent="0.15">
      <c r="A40">
        <v>39</v>
      </c>
      <c r="B40" s="184" t="s">
        <v>230</v>
      </c>
      <c r="C40" s="114">
        <v>1</v>
      </c>
      <c r="D40" s="114">
        <v>0</v>
      </c>
      <c r="E40" s="114">
        <v>0</v>
      </c>
      <c r="F40" s="114">
        <v>1</v>
      </c>
      <c r="G40"/>
      <c r="H40"/>
    </row>
    <row r="41" spans="1:8" ht="15" customHeight="1" x14ac:dyDescent="0.15">
      <c r="A41">
        <v>40</v>
      </c>
      <c r="B41" s="184" t="s">
        <v>231</v>
      </c>
      <c r="C41" s="114">
        <v>0</v>
      </c>
      <c r="D41" s="114">
        <v>1</v>
      </c>
      <c r="E41" s="114">
        <v>0</v>
      </c>
      <c r="F41" s="114">
        <v>1</v>
      </c>
      <c r="G41"/>
      <c r="H41"/>
    </row>
    <row r="42" spans="1:8" ht="15" customHeight="1" x14ac:dyDescent="0.15">
      <c r="A42">
        <v>41</v>
      </c>
      <c r="B42" s="184" t="s">
        <v>232</v>
      </c>
      <c r="C42" s="114">
        <v>0</v>
      </c>
      <c r="D42" s="114">
        <v>0</v>
      </c>
      <c r="E42" s="114">
        <v>1</v>
      </c>
      <c r="F42" s="114">
        <v>1</v>
      </c>
      <c r="G42"/>
      <c r="H42"/>
    </row>
    <row r="43" spans="1:8" ht="15" customHeight="1" x14ac:dyDescent="0.15">
      <c r="A43">
        <v>42</v>
      </c>
      <c r="B43" s="184" t="s">
        <v>233</v>
      </c>
      <c r="C43" s="114">
        <v>0</v>
      </c>
      <c r="D43" s="114">
        <v>1</v>
      </c>
      <c r="E43" s="114">
        <v>0</v>
      </c>
      <c r="F43" s="114">
        <v>1</v>
      </c>
      <c r="G43"/>
      <c r="H43"/>
    </row>
    <row r="44" spans="1:8" ht="15" customHeight="1" x14ac:dyDescent="0.15">
      <c r="C44"/>
      <c r="D44"/>
      <c r="G44"/>
      <c r="H44"/>
    </row>
    <row r="45" spans="1:8" ht="15" customHeight="1" x14ac:dyDescent="0.15">
      <c r="C45"/>
      <c r="D45"/>
      <c r="G45"/>
      <c r="H45"/>
    </row>
    <row r="46" spans="1:8" ht="15" customHeight="1" x14ac:dyDescent="0.15">
      <c r="C46"/>
      <c r="D46"/>
      <c r="E46" s="114"/>
      <c r="F46" s="114"/>
      <c r="G46"/>
      <c r="H46"/>
    </row>
    <row r="47" spans="1:8" ht="15" customHeight="1" x14ac:dyDescent="0.15">
      <c r="C47"/>
      <c r="D47"/>
      <c r="G47"/>
      <c r="H47"/>
    </row>
    <row r="48" spans="1:8" ht="15" customHeight="1" x14ac:dyDescent="0.15">
      <c r="C48"/>
      <c r="D48"/>
      <c r="G48"/>
      <c r="H48"/>
    </row>
    <row r="49" spans="3:8" ht="15" customHeight="1" x14ac:dyDescent="0.15">
      <c r="C49"/>
      <c r="D49"/>
      <c r="G49"/>
      <c r="H49"/>
    </row>
    <row r="50" spans="3:8" ht="15" customHeight="1" x14ac:dyDescent="0.15">
      <c r="C50"/>
      <c r="D50"/>
      <c r="G50"/>
      <c r="H50"/>
    </row>
    <row r="51" spans="3:8" ht="15" customHeight="1" x14ac:dyDescent="0.15">
      <c r="C51"/>
      <c r="D51"/>
      <c r="G51"/>
      <c r="H51"/>
    </row>
    <row r="52" spans="3:8" ht="15" customHeight="1" x14ac:dyDescent="0.15">
      <c r="C52"/>
      <c r="D52"/>
      <c r="E52"/>
      <c r="F52"/>
      <c r="G52"/>
      <c r="H52"/>
    </row>
    <row r="53" spans="3:8" ht="15" customHeight="1" x14ac:dyDescent="0.15">
      <c r="C53"/>
      <c r="D53"/>
      <c r="E53"/>
      <c r="F53"/>
      <c r="G53"/>
      <c r="H53"/>
    </row>
    <row r="54" spans="3:8" ht="15" customHeight="1" x14ac:dyDescent="0.15">
      <c r="C54"/>
      <c r="D54"/>
      <c r="E54"/>
      <c r="F54"/>
      <c r="G54"/>
      <c r="H54"/>
    </row>
    <row r="55" spans="3:8" ht="15" customHeight="1" x14ac:dyDescent="0.15">
      <c r="C55"/>
      <c r="D55"/>
      <c r="E55"/>
      <c r="F55"/>
      <c r="G55"/>
      <c r="H55"/>
    </row>
    <row r="56" spans="3:8" ht="15" customHeight="1" x14ac:dyDescent="0.15">
      <c r="C56"/>
      <c r="D56"/>
      <c r="E56"/>
      <c r="F56"/>
      <c r="G56"/>
      <c r="H56"/>
    </row>
    <row r="57" spans="3:8" ht="15" customHeight="1" x14ac:dyDescent="0.15">
      <c r="C57"/>
      <c r="D57"/>
      <c r="E57"/>
      <c r="F57"/>
      <c r="G57"/>
      <c r="H57"/>
    </row>
    <row r="58" spans="3:8" ht="15" customHeight="1" x14ac:dyDescent="0.15">
      <c r="C58"/>
      <c r="D58"/>
      <c r="E58"/>
      <c r="F58"/>
      <c r="G58"/>
      <c r="H58"/>
    </row>
    <row r="59" spans="3:8" ht="15" customHeight="1" x14ac:dyDescent="0.15">
      <c r="C59"/>
      <c r="D59"/>
      <c r="E59"/>
      <c r="F59"/>
      <c r="G59"/>
      <c r="H59"/>
    </row>
    <row r="60" spans="3:8" ht="15" customHeight="1" x14ac:dyDescent="0.15">
      <c r="C60"/>
      <c r="D60"/>
      <c r="E60"/>
      <c r="F60"/>
      <c r="G60"/>
      <c r="H60"/>
    </row>
    <row r="61" spans="3:8" ht="15" customHeight="1" x14ac:dyDescent="0.15">
      <c r="C61"/>
      <c r="D61"/>
      <c r="E61"/>
      <c r="F61"/>
      <c r="G61"/>
      <c r="H61"/>
    </row>
    <row r="62" spans="3:8" ht="15" customHeight="1" x14ac:dyDescent="0.15">
      <c r="C62"/>
      <c r="D62"/>
      <c r="E62"/>
      <c r="F62"/>
      <c r="G62"/>
      <c r="H62"/>
    </row>
    <row r="63" spans="3:8" ht="15" customHeight="1" x14ac:dyDescent="0.15">
      <c r="C63"/>
      <c r="D63"/>
      <c r="E63"/>
      <c r="F63"/>
      <c r="G63"/>
      <c r="H63"/>
    </row>
    <row r="64" spans="3:8" ht="15" customHeight="1" x14ac:dyDescent="0.15">
      <c r="C64"/>
      <c r="D64"/>
      <c r="E64"/>
      <c r="F64"/>
      <c r="G64"/>
      <c r="H64"/>
    </row>
    <row r="65" spans="3:8" ht="15" customHeight="1" x14ac:dyDescent="0.15">
      <c r="C65"/>
      <c r="D65"/>
      <c r="E65"/>
      <c r="F65"/>
      <c r="G65"/>
      <c r="H65"/>
    </row>
    <row r="66" spans="3:8" ht="15" customHeight="1" x14ac:dyDescent="0.15">
      <c r="C66"/>
      <c r="D66"/>
      <c r="E66"/>
      <c r="F66"/>
      <c r="G66"/>
      <c r="H66"/>
    </row>
    <row r="67" spans="3:8" ht="15" customHeight="1" x14ac:dyDescent="0.15">
      <c r="C67"/>
      <c r="D67"/>
      <c r="E67"/>
      <c r="F67"/>
      <c r="G67"/>
      <c r="H67"/>
    </row>
    <row r="68" spans="3:8" ht="15" customHeight="1" x14ac:dyDescent="0.15">
      <c r="C68"/>
      <c r="D68"/>
      <c r="E68"/>
      <c r="F68"/>
      <c r="G68"/>
      <c r="H68"/>
    </row>
    <row r="69" spans="3:8" ht="15" customHeight="1" x14ac:dyDescent="0.15">
      <c r="C69"/>
      <c r="D69"/>
      <c r="E69"/>
      <c r="F69"/>
      <c r="G69"/>
      <c r="H69"/>
    </row>
    <row r="70" spans="3:8" ht="15" customHeight="1" x14ac:dyDescent="0.15">
      <c r="C70"/>
      <c r="D70"/>
      <c r="E70"/>
      <c r="F70"/>
      <c r="G70"/>
      <c r="H70"/>
    </row>
    <row r="71" spans="3:8" ht="15" customHeight="1" x14ac:dyDescent="0.15">
      <c r="C71"/>
      <c r="D71"/>
      <c r="E71"/>
      <c r="F71"/>
      <c r="G71"/>
      <c r="H71"/>
    </row>
    <row r="72" spans="3:8" ht="15" customHeight="1" x14ac:dyDescent="0.15">
      <c r="C72"/>
      <c r="D72"/>
      <c r="E72"/>
      <c r="F72"/>
      <c r="G72"/>
      <c r="H72"/>
    </row>
    <row r="73" spans="3:8" ht="15" customHeight="1" x14ac:dyDescent="0.15">
      <c r="C73"/>
      <c r="D73"/>
      <c r="E73"/>
      <c r="F73"/>
      <c r="G73"/>
      <c r="H73"/>
    </row>
    <row r="74" spans="3:8" ht="15" customHeight="1" x14ac:dyDescent="0.15">
      <c r="C74"/>
      <c r="D74"/>
      <c r="E74"/>
      <c r="F74"/>
      <c r="G74"/>
      <c r="H74"/>
    </row>
    <row r="75" spans="3:8" ht="15" customHeight="1" x14ac:dyDescent="0.15">
      <c r="C75"/>
      <c r="D75"/>
      <c r="E75"/>
      <c r="F75"/>
      <c r="G75"/>
      <c r="H75"/>
    </row>
    <row r="76" spans="3:8" ht="15" customHeight="1" x14ac:dyDescent="0.15">
      <c r="C76"/>
      <c r="D76"/>
      <c r="E76"/>
      <c r="F76"/>
      <c r="G76"/>
      <c r="H76"/>
    </row>
    <row r="77" spans="3:8" ht="15" customHeight="1" x14ac:dyDescent="0.15">
      <c r="C77"/>
      <c r="D77"/>
      <c r="E77"/>
      <c r="F77"/>
      <c r="G77"/>
      <c r="H77"/>
    </row>
    <row r="78" spans="3:8" ht="15" customHeight="1" x14ac:dyDescent="0.15">
      <c r="C78"/>
      <c r="D78"/>
      <c r="E78"/>
      <c r="F78"/>
      <c r="G78"/>
      <c r="H78"/>
    </row>
    <row r="79" spans="3:8" ht="15" customHeight="1" x14ac:dyDescent="0.15">
      <c r="C79"/>
      <c r="D79"/>
      <c r="E79"/>
      <c r="F79"/>
      <c r="G79"/>
      <c r="H79"/>
    </row>
    <row r="80" spans="3:8" ht="15" customHeight="1" x14ac:dyDescent="0.15">
      <c r="C80"/>
      <c r="D80"/>
      <c r="E80"/>
      <c r="F80"/>
      <c r="G80"/>
      <c r="H80"/>
    </row>
    <row r="81" spans="3:8" ht="15" customHeight="1" x14ac:dyDescent="0.15">
      <c r="C81"/>
      <c r="D81"/>
      <c r="E81"/>
      <c r="F81"/>
      <c r="G81"/>
      <c r="H81"/>
    </row>
    <row r="82" spans="3:8" ht="15" customHeight="1" x14ac:dyDescent="0.15">
      <c r="C82"/>
      <c r="D82"/>
      <c r="E82"/>
      <c r="F82"/>
      <c r="G82"/>
      <c r="H82"/>
    </row>
    <row r="83" spans="3:8" ht="15" customHeight="1" x14ac:dyDescent="0.15">
      <c r="C83"/>
      <c r="D83"/>
      <c r="E83"/>
      <c r="F83"/>
      <c r="G83"/>
      <c r="H83"/>
    </row>
    <row r="84" spans="3:8" ht="15" customHeight="1" x14ac:dyDescent="0.15">
      <c r="C84"/>
      <c r="D84"/>
      <c r="E84"/>
      <c r="F84"/>
      <c r="G84"/>
      <c r="H84"/>
    </row>
    <row r="85" spans="3:8" ht="15" customHeight="1" x14ac:dyDescent="0.15">
      <c r="C85"/>
      <c r="D85"/>
      <c r="E85"/>
      <c r="F85"/>
      <c r="G85"/>
      <c r="H85"/>
    </row>
    <row r="86" spans="3:8" ht="15" customHeight="1" x14ac:dyDescent="0.15">
      <c r="C86"/>
      <c r="D86"/>
      <c r="E86"/>
      <c r="F86"/>
      <c r="G86"/>
      <c r="H86"/>
    </row>
    <row r="87" spans="3:8" ht="15" customHeight="1" x14ac:dyDescent="0.15">
      <c r="C87"/>
      <c r="D87"/>
      <c r="E87"/>
      <c r="F87"/>
      <c r="G87"/>
      <c r="H87"/>
    </row>
    <row r="88" spans="3:8" ht="15" customHeight="1" x14ac:dyDescent="0.15">
      <c r="C88"/>
      <c r="D88"/>
      <c r="E88"/>
      <c r="F88"/>
      <c r="G88"/>
      <c r="H88"/>
    </row>
    <row r="89" spans="3:8" ht="15" customHeight="1" x14ac:dyDescent="0.15">
      <c r="C89"/>
      <c r="D89"/>
      <c r="E89"/>
      <c r="F89"/>
      <c r="G89"/>
      <c r="H89"/>
    </row>
    <row r="90" spans="3:8" ht="15" customHeight="1" x14ac:dyDescent="0.15">
      <c r="C90"/>
      <c r="D90"/>
      <c r="E90"/>
      <c r="F90"/>
      <c r="G90"/>
      <c r="H90"/>
    </row>
    <row r="91" spans="3:8" ht="15" customHeight="1" x14ac:dyDescent="0.15">
      <c r="C91"/>
      <c r="D91"/>
      <c r="E91"/>
      <c r="F91"/>
      <c r="G91"/>
      <c r="H91"/>
    </row>
    <row r="92" spans="3:8" ht="15" customHeight="1" x14ac:dyDescent="0.15">
      <c r="C92"/>
      <c r="D92"/>
      <c r="E92"/>
      <c r="F92"/>
      <c r="G92"/>
      <c r="H92"/>
    </row>
    <row r="93" spans="3:8" ht="15" customHeight="1" x14ac:dyDescent="0.15">
      <c r="C93"/>
      <c r="D93"/>
      <c r="E93"/>
      <c r="F93"/>
      <c r="G93"/>
      <c r="H93"/>
    </row>
    <row r="94" spans="3:8" ht="15" customHeight="1" x14ac:dyDescent="0.15">
      <c r="C94"/>
      <c r="D94"/>
      <c r="E94"/>
      <c r="F94"/>
      <c r="G94"/>
      <c r="H94"/>
    </row>
    <row r="95" spans="3:8" ht="15" customHeight="1" x14ac:dyDescent="0.15">
      <c r="C95"/>
      <c r="D95"/>
      <c r="E95"/>
      <c r="F95"/>
      <c r="G95"/>
      <c r="H95"/>
    </row>
    <row r="96" spans="3:8" ht="15" customHeight="1" x14ac:dyDescent="0.15">
      <c r="C96"/>
      <c r="D96"/>
      <c r="E96"/>
      <c r="F96"/>
      <c r="G96"/>
      <c r="H96"/>
    </row>
    <row r="97" spans="3:8" ht="15" customHeight="1" x14ac:dyDescent="0.15">
      <c r="C97"/>
      <c r="D97"/>
      <c r="E97"/>
      <c r="F97"/>
      <c r="G97"/>
      <c r="H97"/>
    </row>
    <row r="98" spans="3:8" ht="15" customHeight="1" x14ac:dyDescent="0.15">
      <c r="C98"/>
      <c r="D98"/>
      <c r="E98"/>
      <c r="F98"/>
      <c r="G98"/>
      <c r="H98"/>
    </row>
    <row r="99" spans="3:8" ht="15" customHeight="1" x14ac:dyDescent="0.15">
      <c r="C99"/>
      <c r="D99"/>
      <c r="E99"/>
      <c r="F99"/>
      <c r="G99"/>
      <c r="H99"/>
    </row>
    <row r="100" spans="3:8" ht="15" customHeight="1" x14ac:dyDescent="0.15">
      <c r="C100"/>
      <c r="D100"/>
      <c r="E100"/>
      <c r="F100"/>
      <c r="G100"/>
      <c r="H100"/>
    </row>
    <row r="101" spans="3:8" ht="15" customHeight="1" x14ac:dyDescent="0.15">
      <c r="C101"/>
      <c r="D101"/>
      <c r="E101"/>
      <c r="F101"/>
      <c r="G101"/>
      <c r="H101"/>
    </row>
    <row r="102" spans="3:8" ht="15" customHeight="1" x14ac:dyDescent="0.15">
      <c r="C102"/>
      <c r="D102"/>
      <c r="E102"/>
      <c r="F102"/>
      <c r="G102"/>
      <c r="H102"/>
    </row>
    <row r="103" spans="3:8" ht="15" customHeight="1" x14ac:dyDescent="0.15">
      <c r="C103"/>
      <c r="D103"/>
      <c r="E103"/>
      <c r="F103"/>
      <c r="G103"/>
      <c r="H103"/>
    </row>
    <row r="104" spans="3:8" ht="15" customHeight="1" x14ac:dyDescent="0.15">
      <c r="C104"/>
      <c r="D104"/>
      <c r="E104"/>
      <c r="F104"/>
      <c r="G104"/>
      <c r="H104"/>
    </row>
    <row r="105" spans="3:8" ht="15" customHeight="1" x14ac:dyDescent="0.15"/>
    <row r="106" spans="3:8" ht="15" customHeight="1" x14ac:dyDescent="0.15"/>
    <row r="107" spans="3:8" ht="15" customHeight="1" x14ac:dyDescent="0.15"/>
    <row r="108" spans="3:8" ht="15" customHeight="1" x14ac:dyDescent="0.15"/>
    <row r="109" spans="3:8" ht="15" customHeight="1" x14ac:dyDescent="0.15"/>
    <row r="110" spans="3:8" ht="15" customHeight="1" x14ac:dyDescent="0.15"/>
    <row r="111" spans="3:8" ht="15" customHeight="1" x14ac:dyDescent="0.15"/>
    <row r="112" spans="3:8" ht="15" customHeight="1" x14ac:dyDescent="0.15"/>
    <row r="113" spans="3:8" ht="15" customHeight="1" x14ac:dyDescent="0.15"/>
    <row r="114" spans="3:8" ht="15" customHeight="1" x14ac:dyDescent="0.15"/>
    <row r="115" spans="3:8" ht="15" customHeight="1" x14ac:dyDescent="0.15"/>
    <row r="116" spans="3:8" ht="15" customHeight="1" x14ac:dyDescent="0.15">
      <c r="C116"/>
      <c r="D116"/>
      <c r="E116"/>
      <c r="F116"/>
      <c r="G116"/>
      <c r="H116"/>
    </row>
    <row r="117" spans="3:8" ht="15" customHeight="1" x14ac:dyDescent="0.15">
      <c r="C117"/>
      <c r="D117"/>
      <c r="E117"/>
      <c r="F117"/>
      <c r="G117"/>
      <c r="H117"/>
    </row>
    <row r="118" spans="3:8" ht="15" customHeight="1" x14ac:dyDescent="0.15">
      <c r="C118"/>
      <c r="D118"/>
      <c r="E118"/>
      <c r="F118"/>
      <c r="G118"/>
      <c r="H118"/>
    </row>
    <row r="119" spans="3:8" ht="15" customHeight="1" x14ac:dyDescent="0.15">
      <c r="C119"/>
      <c r="D119"/>
      <c r="E119"/>
      <c r="F119"/>
      <c r="G119"/>
      <c r="H119"/>
    </row>
    <row r="120" spans="3:8" ht="15" customHeight="1" x14ac:dyDescent="0.15">
      <c r="C120"/>
      <c r="D120"/>
      <c r="E120"/>
      <c r="F120"/>
      <c r="G120"/>
      <c r="H120"/>
    </row>
    <row r="121" spans="3:8" ht="15" customHeight="1" x14ac:dyDescent="0.15">
      <c r="C121"/>
      <c r="D121"/>
      <c r="E121"/>
      <c r="F121"/>
      <c r="G121"/>
      <c r="H121"/>
    </row>
    <row r="122" spans="3:8" ht="15" customHeight="1" x14ac:dyDescent="0.15">
      <c r="C122"/>
      <c r="D122"/>
      <c r="E122"/>
      <c r="F122"/>
      <c r="G122"/>
      <c r="H122"/>
    </row>
    <row r="123" spans="3:8" ht="15" customHeight="1" x14ac:dyDescent="0.15">
      <c r="C123"/>
      <c r="D123"/>
      <c r="E123"/>
      <c r="F123"/>
      <c r="G123"/>
      <c r="H123"/>
    </row>
    <row r="124" spans="3:8" ht="15" customHeight="1" x14ac:dyDescent="0.15">
      <c r="C124"/>
      <c r="D124"/>
      <c r="E124"/>
      <c r="F124"/>
      <c r="G124"/>
      <c r="H124"/>
    </row>
    <row r="125" spans="3:8" ht="15" customHeight="1" x14ac:dyDescent="0.15">
      <c r="C125"/>
      <c r="D125"/>
      <c r="E125"/>
      <c r="F125"/>
      <c r="G125"/>
      <c r="H125"/>
    </row>
    <row r="126" spans="3:8" ht="15" customHeight="1" x14ac:dyDescent="0.15">
      <c r="C126"/>
      <c r="D126"/>
      <c r="E126"/>
      <c r="F126"/>
      <c r="G126"/>
      <c r="H126"/>
    </row>
    <row r="127" spans="3:8" ht="15" customHeight="1" x14ac:dyDescent="0.15">
      <c r="C127"/>
      <c r="D127"/>
      <c r="E127"/>
      <c r="F127"/>
      <c r="G127"/>
      <c r="H127"/>
    </row>
    <row r="128" spans="3:8" ht="15" customHeight="1" x14ac:dyDescent="0.15">
      <c r="C128"/>
      <c r="D128"/>
      <c r="E128"/>
      <c r="F128"/>
      <c r="G128"/>
      <c r="H128"/>
    </row>
    <row r="129" spans="3:8" ht="15" customHeight="1" x14ac:dyDescent="0.15">
      <c r="C129"/>
      <c r="D129"/>
      <c r="E129"/>
      <c r="F129"/>
      <c r="G129"/>
      <c r="H129"/>
    </row>
    <row r="130" spans="3:8" ht="15" customHeight="1" x14ac:dyDescent="0.15">
      <c r="C130"/>
      <c r="D130"/>
      <c r="E130"/>
      <c r="F130"/>
      <c r="G130"/>
      <c r="H130"/>
    </row>
    <row r="131" spans="3:8" ht="15" customHeight="1" x14ac:dyDescent="0.15">
      <c r="C131"/>
      <c r="D131"/>
      <c r="E131"/>
      <c r="F131"/>
      <c r="G131"/>
      <c r="H131"/>
    </row>
    <row r="132" spans="3:8" ht="15" customHeight="1" x14ac:dyDescent="0.15">
      <c r="C132"/>
      <c r="D132"/>
      <c r="E132"/>
      <c r="F132"/>
      <c r="G132"/>
      <c r="H132"/>
    </row>
    <row r="133" spans="3:8" ht="15" customHeight="1" x14ac:dyDescent="0.15">
      <c r="C133"/>
      <c r="D133"/>
      <c r="E133"/>
      <c r="F133"/>
      <c r="G133"/>
      <c r="H133"/>
    </row>
    <row r="134" spans="3:8" ht="15" customHeight="1" x14ac:dyDescent="0.15">
      <c r="C134"/>
      <c r="D134"/>
      <c r="E134"/>
      <c r="F134"/>
      <c r="G134"/>
      <c r="H134"/>
    </row>
    <row r="135" spans="3:8" ht="15" customHeight="1" x14ac:dyDescent="0.15">
      <c r="C135"/>
      <c r="D135"/>
      <c r="E135"/>
      <c r="F135"/>
      <c r="G135"/>
      <c r="H135"/>
    </row>
    <row r="136" spans="3:8" ht="15" customHeight="1" x14ac:dyDescent="0.15">
      <c r="C136"/>
      <c r="D136"/>
      <c r="E136"/>
      <c r="F136"/>
      <c r="G136"/>
      <c r="H136"/>
    </row>
    <row r="137" spans="3:8" ht="15" customHeight="1" x14ac:dyDescent="0.15">
      <c r="C137"/>
      <c r="D137"/>
      <c r="E137"/>
      <c r="F137"/>
      <c r="G137"/>
      <c r="H137"/>
    </row>
    <row r="138" spans="3:8" ht="15" customHeight="1" x14ac:dyDescent="0.15">
      <c r="C138"/>
      <c r="D138"/>
      <c r="E138"/>
      <c r="F138"/>
      <c r="G138"/>
      <c r="H138"/>
    </row>
    <row r="139" spans="3:8" ht="15" customHeight="1" x14ac:dyDescent="0.15">
      <c r="C139"/>
      <c r="D139"/>
      <c r="E139"/>
      <c r="F139"/>
      <c r="G139"/>
      <c r="H139"/>
    </row>
    <row r="140" spans="3:8" ht="15" customHeight="1" x14ac:dyDescent="0.15">
      <c r="C140"/>
      <c r="D140"/>
      <c r="E140"/>
      <c r="F140"/>
      <c r="G140"/>
      <c r="H140"/>
    </row>
    <row r="141" spans="3:8" ht="15" customHeight="1" x14ac:dyDescent="0.15">
      <c r="C141"/>
      <c r="D141"/>
      <c r="E141"/>
      <c r="F141"/>
      <c r="G141"/>
      <c r="H141"/>
    </row>
    <row r="142" spans="3:8" ht="15" customHeight="1" x14ac:dyDescent="0.15">
      <c r="C142"/>
      <c r="D142"/>
      <c r="E142"/>
      <c r="F142"/>
      <c r="G142"/>
      <c r="H142"/>
    </row>
    <row r="143" spans="3:8" ht="15" customHeight="1" x14ac:dyDescent="0.15">
      <c r="C143"/>
      <c r="D143"/>
      <c r="E143"/>
      <c r="F143"/>
      <c r="G143"/>
      <c r="H143"/>
    </row>
    <row r="144" spans="3:8" ht="15" customHeight="1" x14ac:dyDescent="0.15">
      <c r="C144"/>
      <c r="D144"/>
      <c r="E144"/>
      <c r="F144"/>
      <c r="G144"/>
      <c r="H144"/>
    </row>
    <row r="145" spans="3:8" ht="15" customHeight="1" x14ac:dyDescent="0.15">
      <c r="C145"/>
      <c r="D145"/>
      <c r="E145"/>
      <c r="F145"/>
      <c r="G145"/>
      <c r="H145"/>
    </row>
    <row r="146" spans="3:8" ht="15" customHeight="1" x14ac:dyDescent="0.15">
      <c r="C146"/>
      <c r="D146"/>
      <c r="E146"/>
      <c r="F146"/>
      <c r="G146"/>
      <c r="H146"/>
    </row>
    <row r="147" spans="3:8" ht="15" customHeight="1" x14ac:dyDescent="0.15">
      <c r="C147"/>
      <c r="D147"/>
      <c r="E147"/>
      <c r="F147"/>
      <c r="G147"/>
      <c r="H147"/>
    </row>
    <row r="148" spans="3:8" ht="15" customHeight="1" x14ac:dyDescent="0.15">
      <c r="C148"/>
      <c r="D148"/>
      <c r="E148"/>
      <c r="F148"/>
      <c r="G148"/>
      <c r="H148"/>
    </row>
    <row r="149" spans="3:8" ht="15" customHeight="1" x14ac:dyDescent="0.15">
      <c r="C149"/>
      <c r="D149"/>
      <c r="E149"/>
      <c r="F149"/>
      <c r="G149"/>
      <c r="H149"/>
    </row>
    <row r="150" spans="3:8" ht="15" customHeight="1" x14ac:dyDescent="0.15">
      <c r="C150"/>
      <c r="D150"/>
      <c r="E150"/>
      <c r="F150"/>
      <c r="G150"/>
      <c r="H150"/>
    </row>
    <row r="151" spans="3:8" ht="15" customHeight="1" x14ac:dyDescent="0.15">
      <c r="C151"/>
      <c r="D151"/>
      <c r="E151"/>
      <c r="F151"/>
      <c r="G151"/>
      <c r="H151"/>
    </row>
    <row r="152" spans="3:8" ht="15" customHeight="1" x14ac:dyDescent="0.15">
      <c r="C152"/>
      <c r="D152"/>
      <c r="E152"/>
      <c r="F152"/>
      <c r="G152"/>
      <c r="H152"/>
    </row>
    <row r="153" spans="3:8" ht="15" customHeight="1" x14ac:dyDescent="0.15">
      <c r="C153"/>
      <c r="D153"/>
      <c r="E153"/>
      <c r="F153"/>
      <c r="G153"/>
      <c r="H153"/>
    </row>
    <row r="154" spans="3:8" ht="15" customHeight="1" x14ac:dyDescent="0.15">
      <c r="C154"/>
      <c r="D154"/>
      <c r="E154"/>
      <c r="F154"/>
      <c r="G154"/>
      <c r="H154"/>
    </row>
    <row r="155" spans="3:8" ht="15" customHeight="1" x14ac:dyDescent="0.15">
      <c r="C155"/>
      <c r="D155"/>
      <c r="E155"/>
      <c r="F155"/>
      <c r="G155"/>
      <c r="H155"/>
    </row>
    <row r="156" spans="3:8" ht="15" customHeight="1" x14ac:dyDescent="0.15">
      <c r="C156"/>
      <c r="D156"/>
      <c r="E156"/>
      <c r="F156"/>
      <c r="G156"/>
      <c r="H156"/>
    </row>
    <row r="157" spans="3:8" ht="15" customHeight="1" x14ac:dyDescent="0.15">
      <c r="C157"/>
      <c r="D157"/>
      <c r="E157"/>
      <c r="F157"/>
      <c r="G157"/>
      <c r="H157"/>
    </row>
    <row r="158" spans="3:8" ht="15" customHeight="1" x14ac:dyDescent="0.15">
      <c r="C158"/>
      <c r="D158"/>
      <c r="E158"/>
      <c r="F158"/>
      <c r="G158"/>
      <c r="H158"/>
    </row>
    <row r="159" spans="3:8" ht="15" customHeight="1" x14ac:dyDescent="0.15">
      <c r="C159"/>
      <c r="D159"/>
      <c r="E159"/>
      <c r="F159"/>
      <c r="G159"/>
      <c r="H159"/>
    </row>
    <row r="160" spans="3:8" ht="15" customHeight="1" x14ac:dyDescent="0.15">
      <c r="C160"/>
      <c r="D160"/>
      <c r="E160"/>
      <c r="F160"/>
      <c r="G160"/>
      <c r="H160"/>
    </row>
    <row r="161" spans="3:8" ht="15" customHeight="1" x14ac:dyDescent="0.15">
      <c r="C161"/>
      <c r="D161"/>
      <c r="E161"/>
      <c r="F161"/>
      <c r="G161"/>
      <c r="H161"/>
    </row>
    <row r="162" spans="3:8" ht="15" customHeight="1" x14ac:dyDescent="0.15">
      <c r="C162"/>
      <c r="D162"/>
      <c r="E162"/>
      <c r="F162"/>
      <c r="G162"/>
      <c r="H162"/>
    </row>
    <row r="163" spans="3:8" ht="15" customHeight="1" x14ac:dyDescent="0.15">
      <c r="C163"/>
      <c r="D163"/>
      <c r="E163"/>
      <c r="F163"/>
      <c r="G163"/>
      <c r="H163"/>
    </row>
    <row r="164" spans="3:8" ht="15" customHeight="1" x14ac:dyDescent="0.15">
      <c r="C164"/>
      <c r="D164"/>
      <c r="E164"/>
      <c r="F164"/>
      <c r="G164"/>
      <c r="H164"/>
    </row>
    <row r="165" spans="3:8" ht="15" customHeight="1" x14ac:dyDescent="0.15">
      <c r="C165"/>
      <c r="D165"/>
      <c r="E165"/>
      <c r="F165"/>
      <c r="G165"/>
      <c r="H165"/>
    </row>
    <row r="166" spans="3:8" ht="15" customHeight="1" x14ac:dyDescent="0.15">
      <c r="C166"/>
      <c r="D166"/>
      <c r="E166"/>
      <c r="F166"/>
      <c r="G166"/>
      <c r="H166"/>
    </row>
    <row r="167" spans="3:8" ht="15" customHeight="1" x14ac:dyDescent="0.15">
      <c r="C167"/>
      <c r="D167"/>
      <c r="E167"/>
      <c r="F167"/>
      <c r="G167"/>
      <c r="H167"/>
    </row>
    <row r="168" spans="3:8" ht="15" customHeight="1" x14ac:dyDescent="0.15">
      <c r="C168"/>
      <c r="D168"/>
      <c r="E168"/>
      <c r="F168"/>
      <c r="G168"/>
      <c r="H168"/>
    </row>
    <row r="169" spans="3:8" ht="15" customHeight="1" x14ac:dyDescent="0.15">
      <c r="C169"/>
      <c r="D169"/>
      <c r="E169"/>
      <c r="F169"/>
      <c r="G169"/>
      <c r="H169"/>
    </row>
    <row r="170" spans="3:8" ht="15" customHeight="1" x14ac:dyDescent="0.15">
      <c r="C170"/>
      <c r="D170"/>
      <c r="E170"/>
      <c r="F170"/>
      <c r="G170"/>
      <c r="H170"/>
    </row>
    <row r="171" spans="3:8" ht="15" customHeight="1" x14ac:dyDescent="0.15">
      <c r="C171"/>
      <c r="D171"/>
      <c r="E171"/>
      <c r="F171"/>
      <c r="G171"/>
      <c r="H171"/>
    </row>
    <row r="172" spans="3:8" ht="15" customHeight="1" x14ac:dyDescent="0.15">
      <c r="C172"/>
      <c r="D172"/>
      <c r="E172"/>
      <c r="F172"/>
      <c r="G172"/>
      <c r="H172"/>
    </row>
    <row r="173" spans="3:8" ht="15" customHeight="1" x14ac:dyDescent="0.15">
      <c r="C173"/>
      <c r="D173"/>
      <c r="E173"/>
      <c r="F173"/>
      <c r="G173"/>
      <c r="H173"/>
    </row>
    <row r="174" spans="3:8" ht="15" customHeight="1" x14ac:dyDescent="0.15">
      <c r="C174"/>
      <c r="D174"/>
      <c r="E174"/>
      <c r="F174"/>
      <c r="G174"/>
      <c r="H174"/>
    </row>
    <row r="175" spans="3:8" ht="15" customHeight="1" x14ac:dyDescent="0.15">
      <c r="C175"/>
      <c r="D175"/>
      <c r="E175"/>
      <c r="F175"/>
      <c r="G175"/>
      <c r="H175"/>
    </row>
    <row r="176" spans="3:8" ht="15" customHeight="1" x14ac:dyDescent="0.15">
      <c r="C176"/>
      <c r="D176"/>
      <c r="E176"/>
      <c r="F176"/>
      <c r="G176"/>
      <c r="H176"/>
    </row>
    <row r="177" spans="3:8" ht="15" customHeight="1" x14ac:dyDescent="0.15">
      <c r="C177"/>
      <c r="D177"/>
      <c r="E177"/>
      <c r="F177"/>
      <c r="G177"/>
      <c r="H177"/>
    </row>
    <row r="178" spans="3:8" ht="15" customHeight="1" x14ac:dyDescent="0.15">
      <c r="C178"/>
      <c r="D178"/>
      <c r="E178"/>
      <c r="F178"/>
      <c r="G178"/>
      <c r="H178"/>
    </row>
    <row r="179" spans="3:8" ht="15" customHeight="1" x14ac:dyDescent="0.15">
      <c r="C179"/>
      <c r="D179"/>
      <c r="E179"/>
      <c r="F179"/>
      <c r="G179"/>
      <c r="H179"/>
    </row>
    <row r="180" spans="3:8" ht="15" customHeight="1" x14ac:dyDescent="0.15">
      <c r="C180"/>
      <c r="D180"/>
      <c r="E180"/>
      <c r="F180"/>
      <c r="G180"/>
      <c r="H180"/>
    </row>
    <row r="181" spans="3:8" ht="15" customHeight="1" x14ac:dyDescent="0.15">
      <c r="C181"/>
      <c r="D181"/>
      <c r="E181"/>
      <c r="F181"/>
      <c r="G181"/>
      <c r="H181"/>
    </row>
    <row r="182" spans="3:8" ht="15" customHeight="1" x14ac:dyDescent="0.15">
      <c r="C182"/>
      <c r="D182"/>
      <c r="E182"/>
      <c r="F182"/>
      <c r="G182"/>
      <c r="H182"/>
    </row>
    <row r="183" spans="3:8" ht="15" customHeight="1" x14ac:dyDescent="0.15">
      <c r="C183"/>
      <c r="D183"/>
      <c r="E183"/>
      <c r="F183"/>
      <c r="G183"/>
      <c r="H183"/>
    </row>
    <row r="184" spans="3:8" ht="15" customHeight="1" x14ac:dyDescent="0.15">
      <c r="C184"/>
      <c r="D184"/>
      <c r="E184"/>
      <c r="F184"/>
      <c r="G184"/>
      <c r="H184"/>
    </row>
    <row r="185" spans="3:8" ht="15" customHeight="1" x14ac:dyDescent="0.15">
      <c r="C185"/>
      <c r="D185"/>
      <c r="E185"/>
      <c r="F185"/>
      <c r="G185"/>
      <c r="H185"/>
    </row>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indexed="45"/>
  </sheetPr>
  <dimension ref="A1:E174"/>
  <sheetViews>
    <sheetView workbookViewId="0">
      <pane xSplit="2" ySplit="1" topLeftCell="C2" activePane="bottomRight" state="frozen"/>
      <selection pane="topRight" activeCell="D1" sqref="D1"/>
      <selection pane="bottomLeft" activeCell="A2" sqref="A2"/>
      <selection pane="bottomRight" activeCell="A3" sqref="A3"/>
    </sheetView>
  </sheetViews>
  <sheetFormatPr baseColWidth="10" defaultColWidth="8.83203125" defaultRowHeight="13" x14ac:dyDescent="0.15"/>
  <cols>
    <col min="1" max="1" width="3.33203125" customWidth="1"/>
    <col min="2" max="2" width="19.83203125" bestFit="1" customWidth="1"/>
    <col min="3" max="4" width="12.83203125" bestFit="1" customWidth="1"/>
    <col min="5" max="5" width="12.1640625" bestFit="1" customWidth="1"/>
  </cols>
  <sheetData>
    <row r="1" spans="1:5" s="115" customFormat="1" ht="112" x14ac:dyDescent="0.15">
      <c r="A1" s="5" t="s">
        <v>21</v>
      </c>
      <c r="B1" s="3" t="s">
        <v>0</v>
      </c>
      <c r="C1" s="187" t="s">
        <v>233</v>
      </c>
      <c r="D1" s="187" t="s">
        <v>237</v>
      </c>
      <c r="E1"/>
    </row>
    <row r="2" spans="1:5" ht="15" customHeight="1" x14ac:dyDescent="0.15">
      <c r="A2">
        <v>1</v>
      </c>
      <c r="B2" s="186" t="s">
        <v>192</v>
      </c>
      <c r="C2">
        <v>0</v>
      </c>
      <c r="D2">
        <v>0</v>
      </c>
    </row>
    <row r="3" spans="1:5" ht="15" customHeight="1" x14ac:dyDescent="0.15">
      <c r="A3">
        <v>2</v>
      </c>
      <c r="B3" s="186" t="s">
        <v>193</v>
      </c>
      <c r="C3">
        <v>4.6045100000000001E-4</v>
      </c>
      <c r="D3">
        <v>4.6045100000000001E-4</v>
      </c>
    </row>
    <row r="4" spans="1:5" ht="15" customHeight="1" x14ac:dyDescent="0.15">
      <c r="A4">
        <v>3</v>
      </c>
      <c r="B4" s="186" t="s">
        <v>194</v>
      </c>
      <c r="C4">
        <v>1.4662480000000001E-3</v>
      </c>
      <c r="D4">
        <v>1.4662480000000001E-3</v>
      </c>
    </row>
    <row r="5" spans="1:5" ht="15" customHeight="1" x14ac:dyDescent="0.15">
      <c r="A5">
        <v>4</v>
      </c>
      <c r="B5" s="186" t="s">
        <v>195</v>
      </c>
      <c r="C5">
        <v>0</v>
      </c>
      <c r="D5">
        <v>0</v>
      </c>
    </row>
    <row r="6" spans="1:5" ht="15" customHeight="1" x14ac:dyDescent="0.15">
      <c r="A6">
        <v>5</v>
      </c>
      <c r="B6" s="186" t="s">
        <v>196</v>
      </c>
      <c r="C6">
        <v>0</v>
      </c>
      <c r="D6">
        <v>0</v>
      </c>
    </row>
    <row r="7" spans="1:5" ht="15" customHeight="1" x14ac:dyDescent="0.15">
      <c r="A7">
        <v>6</v>
      </c>
      <c r="B7" s="186" t="s">
        <v>197</v>
      </c>
      <c r="C7">
        <v>0</v>
      </c>
      <c r="D7">
        <v>0</v>
      </c>
    </row>
    <row r="8" spans="1:5" ht="15" customHeight="1" x14ac:dyDescent="0.15">
      <c r="A8">
        <v>7</v>
      </c>
      <c r="B8" s="186" t="s">
        <v>198</v>
      </c>
      <c r="C8">
        <v>0</v>
      </c>
      <c r="D8">
        <v>0</v>
      </c>
    </row>
    <row r="9" spans="1:5" ht="15" customHeight="1" x14ac:dyDescent="0.15">
      <c r="A9">
        <v>8</v>
      </c>
      <c r="B9" s="186" t="s">
        <v>199</v>
      </c>
      <c r="C9">
        <v>0</v>
      </c>
      <c r="D9">
        <v>0</v>
      </c>
    </row>
    <row r="10" spans="1:5" ht="15" customHeight="1" x14ac:dyDescent="0.15">
      <c r="A10">
        <v>9</v>
      </c>
      <c r="B10" s="186" t="s">
        <v>200</v>
      </c>
      <c r="C10">
        <v>0</v>
      </c>
      <c r="D10">
        <v>0</v>
      </c>
    </row>
    <row r="11" spans="1:5" ht="15" customHeight="1" x14ac:dyDescent="0.15">
      <c r="A11">
        <v>10</v>
      </c>
      <c r="B11" s="186" t="s">
        <v>201</v>
      </c>
      <c r="C11">
        <v>0</v>
      </c>
      <c r="D11">
        <v>0</v>
      </c>
    </row>
    <row r="12" spans="1:5" ht="15" customHeight="1" x14ac:dyDescent="0.15">
      <c r="A12">
        <v>11</v>
      </c>
      <c r="B12" s="186" t="s">
        <v>202</v>
      </c>
      <c r="C12">
        <v>0</v>
      </c>
      <c r="D12">
        <v>0</v>
      </c>
    </row>
    <row r="13" spans="1:5" ht="15" customHeight="1" x14ac:dyDescent="0.15">
      <c r="A13">
        <v>12</v>
      </c>
      <c r="B13" s="186" t="s">
        <v>203</v>
      </c>
      <c r="C13">
        <v>0</v>
      </c>
      <c r="D13">
        <v>0</v>
      </c>
    </row>
    <row r="14" spans="1:5" ht="15" customHeight="1" x14ac:dyDescent="0.15">
      <c r="A14">
        <v>13</v>
      </c>
      <c r="B14" s="186" t="s">
        <v>204</v>
      </c>
      <c r="C14">
        <v>0.54187689999999999</v>
      </c>
      <c r="D14">
        <v>0.54187689999999999</v>
      </c>
    </row>
    <row r="15" spans="1:5" ht="15" customHeight="1" x14ac:dyDescent="0.15">
      <c r="A15">
        <v>14</v>
      </c>
      <c r="B15" s="186" t="s">
        <v>205</v>
      </c>
      <c r="C15">
        <v>0</v>
      </c>
      <c r="D15">
        <v>0</v>
      </c>
    </row>
    <row r="16" spans="1:5" ht="15" customHeight="1" x14ac:dyDescent="0.15">
      <c r="A16">
        <v>15</v>
      </c>
      <c r="B16" s="186" t="s">
        <v>206</v>
      </c>
      <c r="C16">
        <v>0</v>
      </c>
      <c r="D16">
        <v>0</v>
      </c>
    </row>
    <row r="17" spans="1:4" ht="15" customHeight="1" x14ac:dyDescent="0.15">
      <c r="A17">
        <v>16</v>
      </c>
      <c r="B17" s="186" t="s">
        <v>207</v>
      </c>
      <c r="C17">
        <v>0</v>
      </c>
      <c r="D17">
        <v>0</v>
      </c>
    </row>
    <row r="18" spans="1:4" ht="15" customHeight="1" x14ac:dyDescent="0.15">
      <c r="A18">
        <v>17</v>
      </c>
      <c r="B18" s="186" t="s">
        <v>208</v>
      </c>
      <c r="C18">
        <v>0.18559999999999999</v>
      </c>
      <c r="D18">
        <v>0.18559999999999999</v>
      </c>
    </row>
    <row r="19" spans="1:4" ht="15" customHeight="1" x14ac:dyDescent="0.15">
      <c r="A19">
        <v>18</v>
      </c>
      <c r="B19" s="186" t="s">
        <v>209</v>
      </c>
      <c r="C19">
        <v>0</v>
      </c>
      <c r="D19">
        <v>0</v>
      </c>
    </row>
    <row r="20" spans="1:4" ht="15" customHeight="1" x14ac:dyDescent="0.15">
      <c r="A20">
        <v>19</v>
      </c>
      <c r="B20" s="186" t="s">
        <v>210</v>
      </c>
      <c r="C20">
        <v>0</v>
      </c>
      <c r="D20">
        <v>0</v>
      </c>
    </row>
    <row r="21" spans="1:4" ht="15" customHeight="1" x14ac:dyDescent="0.15">
      <c r="A21">
        <v>20</v>
      </c>
      <c r="B21" s="186" t="s">
        <v>211</v>
      </c>
      <c r="C21">
        <v>0</v>
      </c>
      <c r="D21">
        <v>0</v>
      </c>
    </row>
    <row r="22" spans="1:4" ht="15" customHeight="1" x14ac:dyDescent="0.15">
      <c r="A22">
        <v>21</v>
      </c>
      <c r="B22" s="186" t="s">
        <v>212</v>
      </c>
      <c r="C22">
        <v>0</v>
      </c>
      <c r="D22">
        <v>0</v>
      </c>
    </row>
    <row r="23" spans="1:4" ht="15" customHeight="1" x14ac:dyDescent="0.15">
      <c r="A23">
        <v>22</v>
      </c>
      <c r="B23" s="186" t="s">
        <v>213</v>
      </c>
      <c r="C23">
        <v>0</v>
      </c>
      <c r="D23">
        <v>0</v>
      </c>
    </row>
    <row r="24" spans="1:4" ht="15" customHeight="1" x14ac:dyDescent="0.15">
      <c r="A24">
        <v>23</v>
      </c>
      <c r="B24" s="186" t="s">
        <v>214</v>
      </c>
      <c r="C24">
        <v>1.17204739E-2</v>
      </c>
      <c r="D24">
        <v>1.17204739E-2</v>
      </c>
    </row>
    <row r="25" spans="1:4" ht="15" customHeight="1" x14ac:dyDescent="0.15">
      <c r="A25">
        <v>24</v>
      </c>
      <c r="B25" s="186" t="s">
        <v>215</v>
      </c>
      <c r="C25">
        <v>1.5325500000000001E-4</v>
      </c>
      <c r="D25">
        <v>1.5325500000000001E-4</v>
      </c>
    </row>
    <row r="26" spans="1:4" ht="15" customHeight="1" x14ac:dyDescent="0.15">
      <c r="A26">
        <v>25</v>
      </c>
      <c r="B26" s="186" t="s">
        <v>216</v>
      </c>
      <c r="C26">
        <v>8.6967340000000004E-2</v>
      </c>
      <c r="D26">
        <v>8.6967340000000004E-2</v>
      </c>
    </row>
    <row r="27" spans="1:4" ht="15" customHeight="1" x14ac:dyDescent="0.15">
      <c r="A27">
        <v>26</v>
      </c>
      <c r="B27" s="186" t="s">
        <v>217</v>
      </c>
      <c r="C27">
        <v>2.61933E-4</v>
      </c>
      <c r="D27">
        <v>2.61933E-4</v>
      </c>
    </row>
    <row r="28" spans="1:4" ht="15" customHeight="1" x14ac:dyDescent="0.15">
      <c r="A28">
        <v>27</v>
      </c>
      <c r="B28" s="186" t="s">
        <v>218</v>
      </c>
      <c r="C28">
        <v>0</v>
      </c>
      <c r="D28">
        <v>0</v>
      </c>
    </row>
    <row r="29" spans="1:4" ht="15" customHeight="1" x14ac:dyDescent="0.15">
      <c r="A29">
        <v>28</v>
      </c>
      <c r="B29" s="186" t="s">
        <v>219</v>
      </c>
      <c r="C29">
        <v>2.9999999999999997E-4</v>
      </c>
      <c r="D29">
        <v>2.9999999999999997E-4</v>
      </c>
    </row>
    <row r="30" spans="1:4" ht="15" customHeight="1" x14ac:dyDescent="0.15">
      <c r="A30">
        <v>29</v>
      </c>
      <c r="B30" s="186" t="s">
        <v>220</v>
      </c>
      <c r="C30">
        <v>0</v>
      </c>
      <c r="D30">
        <v>0</v>
      </c>
    </row>
    <row r="31" spans="1:4" ht="15" customHeight="1" x14ac:dyDescent="0.15">
      <c r="A31">
        <v>30</v>
      </c>
      <c r="B31" s="186" t="s">
        <v>221</v>
      </c>
      <c r="C31">
        <v>0</v>
      </c>
      <c r="D31">
        <v>0</v>
      </c>
    </row>
    <row r="32" spans="1:4" ht="15" customHeight="1" x14ac:dyDescent="0.15">
      <c r="A32">
        <v>31</v>
      </c>
      <c r="B32" s="186" t="s">
        <v>222</v>
      </c>
      <c r="C32">
        <v>0</v>
      </c>
      <c r="D32">
        <v>0</v>
      </c>
    </row>
    <row r="33" spans="1:4" ht="15" customHeight="1" x14ac:dyDescent="0.15">
      <c r="A33">
        <v>32</v>
      </c>
      <c r="B33" s="186" t="s">
        <v>223</v>
      </c>
      <c r="C33">
        <v>1.54440189E-2</v>
      </c>
      <c r="D33">
        <v>1.54440189E-2</v>
      </c>
    </row>
    <row r="34" spans="1:4" ht="15" customHeight="1" x14ac:dyDescent="0.15">
      <c r="A34">
        <v>33</v>
      </c>
      <c r="B34" s="186" t="s">
        <v>224</v>
      </c>
      <c r="C34">
        <v>0</v>
      </c>
      <c r="D34">
        <v>0</v>
      </c>
    </row>
    <row r="35" spans="1:4" ht="15" customHeight="1" x14ac:dyDescent="0.15">
      <c r="A35">
        <v>34</v>
      </c>
      <c r="B35" s="186" t="s">
        <v>225</v>
      </c>
      <c r="C35">
        <v>0.03</v>
      </c>
      <c r="D35">
        <v>0.03</v>
      </c>
    </row>
    <row r="36" spans="1:4" ht="15" customHeight="1" x14ac:dyDescent="0.15">
      <c r="A36">
        <v>35</v>
      </c>
      <c r="B36" s="186" t="s">
        <v>226</v>
      </c>
      <c r="C36">
        <v>0</v>
      </c>
      <c r="D36">
        <v>0</v>
      </c>
    </row>
    <row r="37" spans="1:4" ht="15" customHeight="1" x14ac:dyDescent="0.15">
      <c r="A37">
        <v>36</v>
      </c>
      <c r="B37" s="186" t="s">
        <v>227</v>
      </c>
      <c r="C37">
        <v>0</v>
      </c>
      <c r="D37">
        <v>0</v>
      </c>
    </row>
    <row r="38" spans="1:4" ht="15" customHeight="1" x14ac:dyDescent="0.15">
      <c r="A38">
        <v>37</v>
      </c>
      <c r="B38" s="186" t="s">
        <v>228</v>
      </c>
      <c r="C38">
        <v>0</v>
      </c>
      <c r="D38">
        <v>0</v>
      </c>
    </row>
    <row r="39" spans="1:4" ht="15" customHeight="1" x14ac:dyDescent="0.15">
      <c r="A39">
        <v>38</v>
      </c>
      <c r="B39" s="186" t="s">
        <v>229</v>
      </c>
      <c r="C39">
        <v>0</v>
      </c>
      <c r="D39">
        <v>0</v>
      </c>
    </row>
    <row r="40" spans="1:4" ht="15" customHeight="1" x14ac:dyDescent="0.15">
      <c r="A40">
        <v>39</v>
      </c>
      <c r="B40" s="186" t="s">
        <v>230</v>
      </c>
      <c r="C40">
        <v>0</v>
      </c>
      <c r="D40">
        <v>0</v>
      </c>
    </row>
    <row r="41" spans="1:4" ht="15" customHeight="1" x14ac:dyDescent="0.15">
      <c r="A41">
        <v>40</v>
      </c>
      <c r="B41" s="186" t="s">
        <v>231</v>
      </c>
      <c r="C41">
        <v>0</v>
      </c>
      <c r="D41">
        <v>0</v>
      </c>
    </row>
    <row r="42" spans="1:4" ht="15" customHeight="1" x14ac:dyDescent="0.15">
      <c r="A42">
        <v>41</v>
      </c>
      <c r="B42" s="186" t="s">
        <v>232</v>
      </c>
      <c r="C42">
        <v>0</v>
      </c>
      <c r="D42">
        <v>0</v>
      </c>
    </row>
    <row r="43" spans="1:4" ht="15" customHeight="1" x14ac:dyDescent="0.15"/>
    <row r="44" spans="1:4" ht="15" customHeight="1" x14ac:dyDescent="0.15"/>
    <row r="45" spans="1:4" ht="15" customHeight="1" x14ac:dyDescent="0.15"/>
    <row r="46" spans="1:4" ht="15" customHeight="1" x14ac:dyDescent="0.15"/>
    <row r="47" spans="1:4" ht="15" customHeight="1" x14ac:dyDescent="0.15"/>
    <row r="48" spans="1:4" ht="15" customHeight="1" x14ac:dyDescent="0.15"/>
    <row r="49" ht="15" customHeight="1" x14ac:dyDescent="0.15"/>
    <row r="82" ht="15" customHeight="1" x14ac:dyDescent="0.15"/>
    <row r="83" ht="15" customHeight="1" x14ac:dyDescent="0.15"/>
    <row r="84" ht="15" customHeight="1" x14ac:dyDescent="0.15"/>
    <row r="85" ht="15" customHeight="1" x14ac:dyDescent="0.15"/>
    <row r="86" ht="15" customHeight="1" x14ac:dyDescent="0.15"/>
    <row r="87" ht="15" customHeight="1" x14ac:dyDescent="0.15"/>
    <row r="88" ht="15" customHeight="1" x14ac:dyDescent="0.15"/>
    <row r="89" ht="15" customHeight="1" x14ac:dyDescent="0.15"/>
    <row r="90" ht="15" customHeight="1" x14ac:dyDescent="0.15"/>
    <row r="91" ht="15" customHeight="1" x14ac:dyDescent="0.15"/>
    <row r="92" ht="15" customHeight="1" x14ac:dyDescent="0.15"/>
    <row r="93" ht="15" customHeight="1" x14ac:dyDescent="0.15"/>
    <row r="94" ht="15" customHeight="1" x14ac:dyDescent="0.15"/>
    <row r="95" ht="15" customHeight="1" x14ac:dyDescent="0.15"/>
    <row r="96" ht="15" customHeight="1" x14ac:dyDescent="0.15"/>
    <row r="97" ht="15" customHeight="1" x14ac:dyDescent="0.15"/>
    <row r="98" ht="15" customHeight="1" x14ac:dyDescent="0.15"/>
    <row r="99" ht="15" customHeight="1" x14ac:dyDescent="0.15"/>
    <row r="100" ht="15" customHeight="1" x14ac:dyDescent="0.15"/>
    <row r="101" ht="15" customHeight="1" x14ac:dyDescent="0.15"/>
    <row r="102" ht="15" customHeight="1" x14ac:dyDescent="0.15"/>
    <row r="103" ht="15" customHeight="1" x14ac:dyDescent="0.15"/>
    <row r="104" ht="15" customHeight="1" x14ac:dyDescent="0.15"/>
    <row r="105" ht="15" customHeight="1" x14ac:dyDescent="0.15"/>
    <row r="106" ht="15" customHeight="1" x14ac:dyDescent="0.15"/>
    <row r="107" ht="15" customHeight="1" x14ac:dyDescent="0.15"/>
    <row r="108" ht="15" customHeight="1" x14ac:dyDescent="0.15"/>
    <row r="109" ht="15" customHeight="1" x14ac:dyDescent="0.15"/>
    <row r="110" ht="15" customHeight="1" x14ac:dyDescent="0.15"/>
    <row r="111" ht="15" customHeight="1" x14ac:dyDescent="0.15"/>
    <row r="112" ht="15" customHeight="1" x14ac:dyDescent="0.15"/>
    <row r="113" ht="15" customHeight="1" x14ac:dyDescent="0.15"/>
    <row r="114" ht="15" customHeight="1" x14ac:dyDescent="0.15"/>
    <row r="115" ht="15" customHeight="1" x14ac:dyDescent="0.15"/>
    <row r="116" ht="15" customHeight="1" x14ac:dyDescent="0.15"/>
    <row r="117" ht="15" customHeight="1" x14ac:dyDescent="0.15"/>
    <row r="118" ht="15" customHeight="1" x14ac:dyDescent="0.15"/>
    <row r="119" ht="15" customHeight="1" x14ac:dyDescent="0.15"/>
    <row r="120" ht="15" customHeight="1" x14ac:dyDescent="0.15"/>
    <row r="121" ht="15" customHeight="1" x14ac:dyDescent="0.15"/>
    <row r="122" ht="15" customHeight="1" x14ac:dyDescent="0.15"/>
    <row r="123" ht="15" customHeight="1" x14ac:dyDescent="0.15"/>
    <row r="124" ht="15" customHeight="1" x14ac:dyDescent="0.15"/>
    <row r="125" ht="15" customHeight="1" x14ac:dyDescent="0.15"/>
    <row r="126" ht="15" customHeight="1" x14ac:dyDescent="0.15"/>
    <row r="127" ht="15" customHeight="1" x14ac:dyDescent="0.15"/>
    <row r="128" ht="15" customHeight="1" x14ac:dyDescent="0.15"/>
    <row r="129" ht="15" customHeight="1" x14ac:dyDescent="0.15"/>
    <row r="130" ht="15" customHeight="1" x14ac:dyDescent="0.15"/>
    <row r="131" ht="15" customHeight="1" x14ac:dyDescent="0.15"/>
    <row r="132" ht="15" customHeight="1" x14ac:dyDescent="0.15"/>
    <row r="133" ht="15" customHeight="1" x14ac:dyDescent="0.15"/>
    <row r="134" ht="15" customHeight="1" x14ac:dyDescent="0.15"/>
    <row r="135" ht="15" customHeight="1" x14ac:dyDescent="0.15"/>
    <row r="136" ht="15" customHeight="1" x14ac:dyDescent="0.15"/>
    <row r="137" ht="15" customHeight="1" x14ac:dyDescent="0.15"/>
    <row r="138" ht="15" customHeight="1" x14ac:dyDescent="0.15"/>
    <row r="139" ht="15" customHeight="1" x14ac:dyDescent="0.15"/>
    <row r="140" ht="15" customHeight="1" x14ac:dyDescent="0.15"/>
    <row r="141" ht="15" customHeight="1" x14ac:dyDescent="0.15"/>
    <row r="142" ht="15" customHeight="1" x14ac:dyDescent="0.15"/>
    <row r="143" ht="15" customHeight="1" x14ac:dyDescent="0.15"/>
    <row r="144" ht="15" customHeight="1" x14ac:dyDescent="0.15"/>
    <row r="145" ht="15" customHeight="1" x14ac:dyDescent="0.15"/>
    <row r="146" ht="15" customHeight="1" x14ac:dyDescent="0.15"/>
    <row r="147" ht="15" customHeight="1" x14ac:dyDescent="0.15"/>
    <row r="148" ht="15" customHeight="1" x14ac:dyDescent="0.15"/>
    <row r="149" ht="15" customHeight="1" x14ac:dyDescent="0.15"/>
    <row r="150" ht="15" customHeight="1" x14ac:dyDescent="0.15"/>
    <row r="151" ht="15" customHeight="1" x14ac:dyDescent="0.15"/>
    <row r="152" ht="15" customHeight="1" x14ac:dyDescent="0.15"/>
    <row r="153" ht="15" customHeight="1" x14ac:dyDescent="0.15"/>
    <row r="154" ht="15" customHeight="1" x14ac:dyDescent="0.15"/>
    <row r="155" ht="15" customHeight="1" x14ac:dyDescent="0.15"/>
    <row r="156" ht="15" customHeight="1" x14ac:dyDescent="0.15"/>
    <row r="157" ht="15" customHeight="1" x14ac:dyDescent="0.15"/>
    <row r="158" ht="15" customHeight="1" x14ac:dyDescent="0.15"/>
    <row r="159" ht="15" customHeight="1" x14ac:dyDescent="0.15"/>
    <row r="160" ht="15" customHeight="1" x14ac:dyDescent="0.15"/>
    <row r="161" ht="15" customHeight="1" x14ac:dyDescent="0.15"/>
    <row r="162" ht="15" customHeight="1" x14ac:dyDescent="0.15"/>
    <row r="163" ht="15" customHeight="1" x14ac:dyDescent="0.15"/>
    <row r="164" ht="15" customHeight="1" x14ac:dyDescent="0.15"/>
    <row r="165" ht="15" customHeight="1" x14ac:dyDescent="0.15"/>
    <row r="166" ht="15" customHeight="1" x14ac:dyDescent="0.15"/>
    <row r="167" ht="15" customHeight="1" x14ac:dyDescent="0.15"/>
    <row r="168" ht="15" customHeight="1" x14ac:dyDescent="0.15"/>
    <row r="169" ht="15" customHeight="1" x14ac:dyDescent="0.15"/>
    <row r="170" ht="15" customHeight="1" x14ac:dyDescent="0.15"/>
    <row r="173" ht="15" customHeight="1" x14ac:dyDescent="0.15"/>
    <row r="174" ht="15" customHeight="1" x14ac:dyDescent="0.15"/>
  </sheetData>
  <phoneticPr fontId="2" type="noConversion"/>
  <pageMargins left="0.18" right="0.18" top="0.19" bottom="0.18" header="0.18" footer="0.17"/>
  <pageSetup scale="70" fitToWidth="2" fitToHeight="4" orientation="landscape"/>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indexed="45"/>
  </sheetPr>
  <dimension ref="A1:D42"/>
  <sheetViews>
    <sheetView workbookViewId="0">
      <pane xSplit="2" ySplit="1" topLeftCell="C2" activePane="bottomRight" state="frozen"/>
      <selection pane="topRight" activeCell="D1" sqref="D1"/>
      <selection pane="bottomLeft" activeCell="A2" sqref="A2"/>
      <selection pane="bottomRight" activeCell="A3" sqref="A3"/>
    </sheetView>
  </sheetViews>
  <sheetFormatPr baseColWidth="10" defaultColWidth="8.83203125" defaultRowHeight="13" x14ac:dyDescent="0.15"/>
  <cols>
    <col min="1" max="1" width="3.33203125" customWidth="1"/>
    <col min="2" max="2" width="19.83203125" bestFit="1" customWidth="1"/>
    <col min="3" max="4" width="11.83203125" bestFit="1" customWidth="1"/>
    <col min="5" max="5" width="12.1640625" bestFit="1" customWidth="1"/>
  </cols>
  <sheetData>
    <row r="1" spans="1:4" s="115" customFormat="1" ht="112" x14ac:dyDescent="0.15">
      <c r="A1" s="5" t="s">
        <v>22</v>
      </c>
      <c r="B1" s="3" t="s">
        <v>0</v>
      </c>
      <c r="C1" s="189" t="s">
        <v>233</v>
      </c>
      <c r="D1" s="189" t="s">
        <v>237</v>
      </c>
    </row>
    <row r="2" spans="1:4" x14ac:dyDescent="0.15">
      <c r="A2">
        <v>1</v>
      </c>
      <c r="B2" s="188" t="s">
        <v>192</v>
      </c>
      <c r="C2">
        <v>0</v>
      </c>
      <c r="D2">
        <v>0</v>
      </c>
    </row>
    <row r="3" spans="1:4" x14ac:dyDescent="0.15">
      <c r="A3">
        <v>2</v>
      </c>
      <c r="B3" s="188" t="s">
        <v>193</v>
      </c>
      <c r="C3">
        <v>0</v>
      </c>
      <c r="D3">
        <v>0</v>
      </c>
    </row>
    <row r="4" spans="1:4" x14ac:dyDescent="0.15">
      <c r="A4">
        <v>3</v>
      </c>
      <c r="B4" s="188" t="s">
        <v>194</v>
      </c>
      <c r="C4">
        <v>0</v>
      </c>
      <c r="D4">
        <v>0</v>
      </c>
    </row>
    <row r="5" spans="1:4" x14ac:dyDescent="0.15">
      <c r="A5">
        <v>4</v>
      </c>
      <c r="B5" s="188" t="s">
        <v>195</v>
      </c>
      <c r="C5">
        <v>0</v>
      </c>
      <c r="D5">
        <v>0</v>
      </c>
    </row>
    <row r="6" spans="1:4" x14ac:dyDescent="0.15">
      <c r="A6">
        <v>5</v>
      </c>
      <c r="B6" s="188" t="s">
        <v>196</v>
      </c>
      <c r="C6">
        <v>0</v>
      </c>
      <c r="D6">
        <v>0</v>
      </c>
    </row>
    <row r="7" spans="1:4" x14ac:dyDescent="0.15">
      <c r="A7">
        <v>6</v>
      </c>
      <c r="B7" s="188" t="s">
        <v>197</v>
      </c>
      <c r="C7">
        <v>0</v>
      </c>
      <c r="D7">
        <v>0</v>
      </c>
    </row>
    <row r="8" spans="1:4" x14ac:dyDescent="0.15">
      <c r="A8">
        <v>7</v>
      </c>
      <c r="B8" s="188" t="s">
        <v>198</v>
      </c>
      <c r="C8">
        <v>0</v>
      </c>
      <c r="D8">
        <v>0</v>
      </c>
    </row>
    <row r="9" spans="1:4" x14ac:dyDescent="0.15">
      <c r="A9">
        <v>8</v>
      </c>
      <c r="B9" s="188" t="s">
        <v>199</v>
      </c>
      <c r="C9">
        <v>0</v>
      </c>
      <c r="D9">
        <v>0</v>
      </c>
    </row>
    <row r="10" spans="1:4" x14ac:dyDescent="0.15">
      <c r="A10">
        <v>9</v>
      </c>
      <c r="B10" s="188" t="s">
        <v>200</v>
      </c>
      <c r="C10">
        <v>0</v>
      </c>
      <c r="D10">
        <v>0</v>
      </c>
    </row>
    <row r="11" spans="1:4" x14ac:dyDescent="0.15">
      <c r="A11">
        <v>10</v>
      </c>
      <c r="B11" s="188" t="s">
        <v>201</v>
      </c>
      <c r="C11">
        <v>0</v>
      </c>
      <c r="D11">
        <v>0</v>
      </c>
    </row>
    <row r="12" spans="1:4" x14ac:dyDescent="0.15">
      <c r="A12">
        <v>11</v>
      </c>
      <c r="B12" s="188" t="s">
        <v>202</v>
      </c>
      <c r="C12">
        <v>1.18261E-6</v>
      </c>
      <c r="D12">
        <v>1.18261E-6</v>
      </c>
    </row>
    <row r="13" spans="1:4" x14ac:dyDescent="0.15">
      <c r="A13">
        <v>12</v>
      </c>
      <c r="B13" s="188" t="s">
        <v>203</v>
      </c>
      <c r="C13">
        <v>5.6068999999999996E-6</v>
      </c>
      <c r="D13">
        <v>5.6068999999999996E-6</v>
      </c>
    </row>
    <row r="14" spans="1:4" x14ac:dyDescent="0.15">
      <c r="A14">
        <v>13</v>
      </c>
      <c r="B14" s="188" t="s">
        <v>204</v>
      </c>
      <c r="C14">
        <v>0</v>
      </c>
      <c r="D14">
        <v>0</v>
      </c>
    </row>
    <row r="15" spans="1:4" x14ac:dyDescent="0.15">
      <c r="A15">
        <v>14</v>
      </c>
      <c r="B15" s="188" t="s">
        <v>205</v>
      </c>
      <c r="C15">
        <v>0</v>
      </c>
      <c r="D15">
        <v>0</v>
      </c>
    </row>
    <row r="16" spans="1:4" x14ac:dyDescent="0.15">
      <c r="A16">
        <v>15</v>
      </c>
      <c r="B16" s="188" t="s">
        <v>206</v>
      </c>
      <c r="C16">
        <v>3.0505800000000001E-10</v>
      </c>
      <c r="D16">
        <v>3.0505800000000001E-10</v>
      </c>
    </row>
    <row r="17" spans="1:4" x14ac:dyDescent="0.15">
      <c r="A17">
        <v>16</v>
      </c>
      <c r="B17" s="188" t="s">
        <v>207</v>
      </c>
      <c r="C17">
        <v>0</v>
      </c>
      <c r="D17">
        <v>0</v>
      </c>
    </row>
    <row r="18" spans="1:4" x14ac:dyDescent="0.15">
      <c r="A18">
        <v>17</v>
      </c>
      <c r="B18" s="188" t="s">
        <v>208</v>
      </c>
      <c r="C18">
        <v>0</v>
      </c>
      <c r="D18">
        <v>0</v>
      </c>
    </row>
    <row r="19" spans="1:4" x14ac:dyDescent="0.15">
      <c r="A19">
        <v>18</v>
      </c>
      <c r="B19" s="188" t="s">
        <v>209</v>
      </c>
      <c r="C19">
        <v>0</v>
      </c>
      <c r="D19">
        <v>0</v>
      </c>
    </row>
    <row r="20" spans="1:4" x14ac:dyDescent="0.15">
      <c r="A20">
        <v>19</v>
      </c>
      <c r="B20" s="188" t="s">
        <v>210</v>
      </c>
      <c r="C20">
        <v>0</v>
      </c>
      <c r="D20">
        <v>0</v>
      </c>
    </row>
    <row r="21" spans="1:4" x14ac:dyDescent="0.15">
      <c r="A21">
        <v>20</v>
      </c>
      <c r="B21" s="188" t="s">
        <v>211</v>
      </c>
      <c r="C21">
        <v>0</v>
      </c>
      <c r="D21">
        <v>0</v>
      </c>
    </row>
    <row r="22" spans="1:4" x14ac:dyDescent="0.15">
      <c r="A22">
        <v>21</v>
      </c>
      <c r="B22" s="188" t="s">
        <v>212</v>
      </c>
      <c r="C22">
        <v>0</v>
      </c>
      <c r="D22">
        <v>0</v>
      </c>
    </row>
    <row r="23" spans="1:4" x14ac:dyDescent="0.15">
      <c r="A23">
        <v>22</v>
      </c>
      <c r="B23" s="188" t="s">
        <v>213</v>
      </c>
      <c r="C23">
        <v>0</v>
      </c>
      <c r="D23">
        <v>0</v>
      </c>
    </row>
    <row r="24" spans="1:4" x14ac:dyDescent="0.15">
      <c r="A24">
        <v>23</v>
      </c>
      <c r="B24" s="188" t="s">
        <v>214</v>
      </c>
      <c r="C24">
        <v>3.3E-4</v>
      </c>
      <c r="D24">
        <v>3.3E-4</v>
      </c>
    </row>
    <row r="25" spans="1:4" x14ac:dyDescent="0.15">
      <c r="A25">
        <v>24</v>
      </c>
      <c r="B25" s="188" t="s">
        <v>215</v>
      </c>
      <c r="C25">
        <v>0</v>
      </c>
      <c r="D25">
        <v>0</v>
      </c>
    </row>
    <row r="26" spans="1:4" x14ac:dyDescent="0.15">
      <c r="A26">
        <v>25</v>
      </c>
      <c r="B26" s="188" t="s">
        <v>216</v>
      </c>
      <c r="C26">
        <v>0</v>
      </c>
      <c r="D26">
        <v>0</v>
      </c>
    </row>
    <row r="27" spans="1:4" x14ac:dyDescent="0.15">
      <c r="A27">
        <v>26</v>
      </c>
      <c r="B27" s="188" t="s">
        <v>217</v>
      </c>
      <c r="C27">
        <v>0</v>
      </c>
      <c r="D27">
        <v>0</v>
      </c>
    </row>
    <row r="28" spans="1:4" x14ac:dyDescent="0.15">
      <c r="A28">
        <v>27</v>
      </c>
      <c r="B28" s="188" t="s">
        <v>218</v>
      </c>
      <c r="C28">
        <v>0</v>
      </c>
      <c r="D28">
        <v>0</v>
      </c>
    </row>
    <row r="29" spans="1:4" x14ac:dyDescent="0.15">
      <c r="A29">
        <v>28</v>
      </c>
      <c r="B29" s="188" t="s">
        <v>219</v>
      </c>
      <c r="C29">
        <v>1.03117E-4</v>
      </c>
      <c r="D29">
        <v>1.03117E-4</v>
      </c>
    </row>
    <row r="30" spans="1:4" x14ac:dyDescent="0.15">
      <c r="A30">
        <v>29</v>
      </c>
      <c r="B30" s="188" t="s">
        <v>220</v>
      </c>
      <c r="C30">
        <v>0</v>
      </c>
      <c r="D30">
        <v>0</v>
      </c>
    </row>
    <row r="31" spans="1:4" x14ac:dyDescent="0.15">
      <c r="A31">
        <v>30</v>
      </c>
      <c r="B31" s="188" t="s">
        <v>221</v>
      </c>
      <c r="C31">
        <v>1.4739600000000001E-7</v>
      </c>
      <c r="D31">
        <v>1.4739600000000001E-7</v>
      </c>
    </row>
    <row r="32" spans="1:4" x14ac:dyDescent="0.15">
      <c r="A32">
        <v>31</v>
      </c>
      <c r="B32" s="188" t="s">
        <v>222</v>
      </c>
      <c r="C32">
        <v>1.03117E-4</v>
      </c>
      <c r="D32">
        <v>1.03117E-4</v>
      </c>
    </row>
    <row r="33" spans="1:4" x14ac:dyDescent="0.15">
      <c r="A33">
        <v>32</v>
      </c>
      <c r="B33" s="188" t="s">
        <v>223</v>
      </c>
      <c r="C33">
        <v>0</v>
      </c>
      <c r="D33">
        <v>0</v>
      </c>
    </row>
    <row r="34" spans="1:4" x14ac:dyDescent="0.15">
      <c r="A34">
        <v>33</v>
      </c>
      <c r="B34" s="188" t="s">
        <v>224</v>
      </c>
      <c r="C34">
        <v>0</v>
      </c>
      <c r="D34">
        <v>0</v>
      </c>
    </row>
    <row r="35" spans="1:4" x14ac:dyDescent="0.15">
      <c r="A35">
        <v>34</v>
      </c>
      <c r="B35" s="188" t="s">
        <v>225</v>
      </c>
      <c r="C35">
        <v>1.156247E-3</v>
      </c>
      <c r="D35">
        <v>1.156247E-3</v>
      </c>
    </row>
    <row r="36" spans="1:4" x14ac:dyDescent="0.15">
      <c r="A36">
        <v>35</v>
      </c>
      <c r="B36" s="188" t="s">
        <v>226</v>
      </c>
      <c r="C36">
        <v>2.60004E-7</v>
      </c>
      <c r="D36">
        <v>2.60004E-7</v>
      </c>
    </row>
    <row r="37" spans="1:4" x14ac:dyDescent="0.15">
      <c r="A37">
        <v>36</v>
      </c>
      <c r="B37" s="188" t="s">
        <v>227</v>
      </c>
      <c r="C37">
        <v>0</v>
      </c>
      <c r="D37">
        <v>0</v>
      </c>
    </row>
    <row r="38" spans="1:4" x14ac:dyDescent="0.15">
      <c r="A38">
        <v>37</v>
      </c>
      <c r="B38" s="188" t="s">
        <v>228</v>
      </c>
      <c r="C38">
        <v>0</v>
      </c>
      <c r="D38">
        <v>0</v>
      </c>
    </row>
    <row r="39" spans="1:4" x14ac:dyDescent="0.15">
      <c r="A39">
        <v>38</v>
      </c>
      <c r="B39" s="188" t="s">
        <v>229</v>
      </c>
      <c r="C39">
        <v>0</v>
      </c>
      <c r="D39">
        <v>0</v>
      </c>
    </row>
    <row r="40" spans="1:4" x14ac:dyDescent="0.15">
      <c r="A40">
        <v>39</v>
      </c>
      <c r="B40" s="188" t="s">
        <v>230</v>
      </c>
      <c r="C40">
        <v>0</v>
      </c>
      <c r="D40">
        <v>0</v>
      </c>
    </row>
    <row r="41" spans="1:4" x14ac:dyDescent="0.15">
      <c r="A41">
        <v>40</v>
      </c>
      <c r="B41" s="188" t="s">
        <v>231</v>
      </c>
      <c r="C41">
        <v>0</v>
      </c>
      <c r="D41">
        <v>0</v>
      </c>
    </row>
    <row r="42" spans="1:4" x14ac:dyDescent="0.15">
      <c r="A42">
        <v>41</v>
      </c>
      <c r="B42" s="188" t="s">
        <v>232</v>
      </c>
      <c r="C42">
        <v>0</v>
      </c>
      <c r="D42">
        <v>0</v>
      </c>
    </row>
  </sheetData>
  <phoneticPr fontId="2" type="noConversion"/>
  <pageMargins left="0.75" right="0.75" top="1" bottom="1" header="0.5" footer="0.5"/>
  <pageSetup orientation="portrai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indexed="51"/>
  </sheetPr>
  <dimension ref="A1:AP185"/>
  <sheetViews>
    <sheetView workbookViewId="0">
      <selection activeCell="D2" sqref="D2"/>
    </sheetView>
  </sheetViews>
  <sheetFormatPr baseColWidth="10" defaultRowHeight="13" x14ac:dyDescent="0.15"/>
  <cols>
    <col min="1" max="1" width="17.33203125" bestFit="1" customWidth="1"/>
    <col min="4" max="4" width="3.33203125" customWidth="1"/>
    <col min="5" max="5" width="19.83203125" bestFit="1" customWidth="1"/>
    <col min="6" max="6" width="4.83203125" bestFit="1" customWidth="1"/>
    <col min="7" max="9" width="3.83203125" bestFit="1" customWidth="1"/>
    <col min="10" max="11" width="4.83203125" style="114" bestFit="1" customWidth="1"/>
    <col min="12" max="12" width="12.33203125" bestFit="1" customWidth="1"/>
    <col min="13" max="13" width="13.5" bestFit="1" customWidth="1"/>
    <col min="14" max="14" width="13.83203125" bestFit="1" customWidth="1"/>
    <col min="15" max="15" width="13.6640625" bestFit="1" customWidth="1"/>
    <col min="16" max="16" width="13.5" bestFit="1" customWidth="1"/>
    <col min="17" max="17" width="12.83203125" bestFit="1" customWidth="1"/>
    <col min="18" max="18" width="14" bestFit="1" customWidth="1"/>
    <col min="19" max="20" width="14.1640625" bestFit="1" customWidth="1"/>
    <col min="21" max="21" width="14" bestFit="1" customWidth="1"/>
    <col min="22" max="22" width="8.6640625" bestFit="1" customWidth="1"/>
    <col min="23" max="23" width="8.83203125" bestFit="1" customWidth="1"/>
    <col min="24" max="24" width="14" bestFit="1" customWidth="1"/>
    <col min="25" max="25" width="21.33203125" style="6" bestFit="1" customWidth="1"/>
    <col min="26" max="26" width="13.6640625" bestFit="1" customWidth="1"/>
    <col min="27" max="27" width="13.83203125" bestFit="1" customWidth="1"/>
    <col min="28" max="28" width="19" bestFit="1" customWidth="1"/>
    <col min="29" max="29" width="26.33203125" style="6" bestFit="1" customWidth="1"/>
    <col min="30" max="30" width="14.1640625" bestFit="1" customWidth="1"/>
    <col min="31" max="31" width="14.33203125" bestFit="1" customWidth="1"/>
    <col min="32" max="32" width="19.5" bestFit="1" customWidth="1"/>
    <col min="33" max="33" width="26.83203125" style="6" bestFit="1" customWidth="1"/>
    <col min="34" max="34" width="24" bestFit="1" customWidth="1"/>
    <col min="35" max="35" width="30" bestFit="1" customWidth="1"/>
    <col min="36" max="36" width="19.1640625" bestFit="1" customWidth="1"/>
    <col min="37" max="37" width="25.5" bestFit="1" customWidth="1"/>
    <col min="38" max="38" width="31.5" bestFit="1" customWidth="1"/>
    <col min="39" max="39" width="20.6640625" bestFit="1" customWidth="1"/>
    <col min="40" max="40" width="25" bestFit="1" customWidth="1"/>
    <col min="41" max="41" width="31" bestFit="1" customWidth="1"/>
    <col min="42" max="42" width="20.1640625" bestFit="1" customWidth="1"/>
  </cols>
  <sheetData>
    <row r="1" spans="1:42" s="116" customFormat="1" ht="14" thickBot="1" x14ac:dyDescent="0.2">
      <c r="D1" s="117" t="s">
        <v>8</v>
      </c>
      <c r="E1" s="117" t="s">
        <v>0</v>
      </c>
      <c r="F1" s="118" t="s">
        <v>99</v>
      </c>
      <c r="G1" s="119" t="s">
        <v>84</v>
      </c>
      <c r="H1" s="119" t="s">
        <v>85</v>
      </c>
      <c r="I1" s="119" t="s">
        <v>86</v>
      </c>
      <c r="J1" s="119" t="s">
        <v>87</v>
      </c>
      <c r="K1" s="119" t="s">
        <v>88</v>
      </c>
      <c r="L1" s="120" t="s">
        <v>89</v>
      </c>
      <c r="M1" s="120" t="s">
        <v>93</v>
      </c>
      <c r="N1" s="120" t="s">
        <v>92</v>
      </c>
      <c r="O1" s="120" t="s">
        <v>90</v>
      </c>
      <c r="P1" s="120" t="s">
        <v>91</v>
      </c>
      <c r="Q1" s="121" t="s">
        <v>94</v>
      </c>
      <c r="R1" s="121" t="s">
        <v>95</v>
      </c>
      <c r="S1" s="121" t="s">
        <v>96</v>
      </c>
      <c r="T1" s="121" t="s">
        <v>97</v>
      </c>
      <c r="U1" s="121" t="s">
        <v>98</v>
      </c>
      <c r="V1" s="119" t="s">
        <v>100</v>
      </c>
      <c r="W1" s="119" t="s">
        <v>101</v>
      </c>
      <c r="X1" s="119" t="s">
        <v>102</v>
      </c>
      <c r="Y1" s="119" t="s">
        <v>134</v>
      </c>
      <c r="Z1" s="120" t="s">
        <v>103</v>
      </c>
      <c r="AA1" s="120" t="s">
        <v>104</v>
      </c>
      <c r="AB1" s="120" t="s">
        <v>105</v>
      </c>
      <c r="AC1" s="122" t="s">
        <v>135</v>
      </c>
      <c r="AD1" s="121" t="s">
        <v>106</v>
      </c>
      <c r="AE1" s="121" t="s">
        <v>107</v>
      </c>
      <c r="AF1" s="121" t="s">
        <v>108</v>
      </c>
      <c r="AG1" s="121" t="s">
        <v>136</v>
      </c>
      <c r="AH1" s="119" t="s">
        <v>109</v>
      </c>
      <c r="AI1" s="119" t="s">
        <v>111</v>
      </c>
      <c r="AJ1" s="119" t="s">
        <v>110</v>
      </c>
      <c r="AK1" s="120" t="s">
        <v>115</v>
      </c>
      <c r="AL1" s="120" t="s">
        <v>116</v>
      </c>
      <c r="AM1" s="120" t="s">
        <v>117</v>
      </c>
      <c r="AN1" s="121" t="s">
        <v>112</v>
      </c>
      <c r="AO1" s="121" t="s">
        <v>113</v>
      </c>
      <c r="AP1" s="121" t="s">
        <v>114</v>
      </c>
    </row>
    <row r="2" spans="1:42" x14ac:dyDescent="0.15">
      <c r="A2" s="123" t="s">
        <v>74</v>
      </c>
      <c r="B2" s="124">
        <v>1</v>
      </c>
      <c r="D2">
        <v>1</v>
      </c>
      <c r="E2" s="190" t="s">
        <v>192</v>
      </c>
      <c r="F2">
        <v>0.98</v>
      </c>
      <c r="G2">
        <v>0.8</v>
      </c>
      <c r="H2">
        <v>0.8</v>
      </c>
      <c r="I2">
        <v>0.8</v>
      </c>
      <c r="J2" s="114">
        <v>0.25</v>
      </c>
      <c r="K2" s="114">
        <v>0.05</v>
      </c>
    </row>
    <row r="3" spans="1:42" x14ac:dyDescent="0.15">
      <c r="A3" s="123" t="s">
        <v>75</v>
      </c>
      <c r="B3" s="125">
        <v>1</v>
      </c>
      <c r="D3">
        <v>2</v>
      </c>
      <c r="E3" s="190" t="s">
        <v>193</v>
      </c>
      <c r="F3">
        <v>0.98</v>
      </c>
      <c r="G3">
        <v>0.8</v>
      </c>
      <c r="H3">
        <v>0.8</v>
      </c>
      <c r="I3">
        <v>0.8</v>
      </c>
      <c r="J3" s="114">
        <v>0.25</v>
      </c>
      <c r="K3" s="114">
        <v>0.05</v>
      </c>
    </row>
    <row r="4" spans="1:42" x14ac:dyDescent="0.15">
      <c r="A4" s="123" t="s">
        <v>76</v>
      </c>
      <c r="B4" s="125">
        <v>1</v>
      </c>
      <c r="D4">
        <v>3</v>
      </c>
      <c r="E4" s="190" t="s">
        <v>194</v>
      </c>
      <c r="F4">
        <v>0.98</v>
      </c>
      <c r="G4">
        <v>0.8</v>
      </c>
      <c r="H4">
        <v>0.8</v>
      </c>
      <c r="I4">
        <v>0.8</v>
      </c>
      <c r="J4" s="114">
        <v>0.25</v>
      </c>
      <c r="K4" s="114">
        <v>0.05</v>
      </c>
    </row>
    <row r="5" spans="1:42" x14ac:dyDescent="0.15">
      <c r="A5" s="123" t="s">
        <v>77</v>
      </c>
      <c r="B5" s="125">
        <v>1</v>
      </c>
      <c r="D5">
        <v>4</v>
      </c>
      <c r="E5" s="190" t="s">
        <v>195</v>
      </c>
      <c r="F5">
        <v>0.98</v>
      </c>
      <c r="G5">
        <v>0.8</v>
      </c>
      <c r="H5">
        <v>0.8</v>
      </c>
      <c r="I5">
        <v>0.8</v>
      </c>
      <c r="J5" s="114">
        <v>0.25</v>
      </c>
      <c r="K5" s="114">
        <v>0.05</v>
      </c>
    </row>
    <row r="6" spans="1:42" x14ac:dyDescent="0.15">
      <c r="A6" s="123" t="s">
        <v>78</v>
      </c>
      <c r="B6" s="125">
        <v>1</v>
      </c>
      <c r="D6">
        <v>5</v>
      </c>
      <c r="E6" s="190" t="s">
        <v>196</v>
      </c>
      <c r="F6">
        <v>0.98</v>
      </c>
      <c r="G6">
        <v>0.8</v>
      </c>
      <c r="H6">
        <v>0.8</v>
      </c>
      <c r="I6">
        <v>0.8</v>
      </c>
      <c r="J6" s="114">
        <v>0.25</v>
      </c>
      <c r="K6" s="114">
        <v>0.05</v>
      </c>
    </row>
    <row r="7" spans="1:42" x14ac:dyDescent="0.15">
      <c r="A7" s="123" t="s">
        <v>79</v>
      </c>
      <c r="B7" s="125">
        <v>1</v>
      </c>
      <c r="D7">
        <v>6</v>
      </c>
      <c r="E7" s="190" t="s">
        <v>197</v>
      </c>
      <c r="F7">
        <v>0.98</v>
      </c>
      <c r="G7">
        <v>0.8</v>
      </c>
      <c r="H7">
        <v>0.8</v>
      </c>
      <c r="I7">
        <v>0.8</v>
      </c>
      <c r="J7" s="114">
        <v>0.25</v>
      </c>
      <c r="K7" s="114">
        <v>0.05</v>
      </c>
    </row>
    <row r="8" spans="1:42" x14ac:dyDescent="0.15">
      <c r="A8" s="123" t="s">
        <v>80</v>
      </c>
      <c r="B8" s="125">
        <v>1</v>
      </c>
      <c r="D8">
        <v>7</v>
      </c>
      <c r="E8" s="190" t="s">
        <v>198</v>
      </c>
      <c r="F8">
        <v>0.98</v>
      </c>
      <c r="G8">
        <v>0.8</v>
      </c>
      <c r="H8">
        <v>0.8</v>
      </c>
      <c r="I8">
        <v>0.8</v>
      </c>
      <c r="J8" s="114">
        <v>0.25</v>
      </c>
      <c r="K8" s="114">
        <v>0.05</v>
      </c>
    </row>
    <row r="9" spans="1:42" x14ac:dyDescent="0.15">
      <c r="A9" s="123" t="s">
        <v>81</v>
      </c>
      <c r="B9" s="125">
        <v>0.1</v>
      </c>
      <c r="C9" s="61" t="s">
        <v>150</v>
      </c>
      <c r="D9">
        <v>8</v>
      </c>
      <c r="E9" s="190" t="s">
        <v>199</v>
      </c>
      <c r="F9">
        <v>0.98</v>
      </c>
      <c r="G9">
        <v>0.8</v>
      </c>
      <c r="H9">
        <v>0.8</v>
      </c>
      <c r="I9">
        <v>0.8</v>
      </c>
      <c r="J9" s="114">
        <v>0.25</v>
      </c>
      <c r="K9" s="114">
        <v>0.05</v>
      </c>
    </row>
    <row r="10" spans="1:42" ht="14" thickBot="1" x14ac:dyDescent="0.2">
      <c r="A10" s="123" t="s">
        <v>149</v>
      </c>
      <c r="B10" s="126">
        <f>1/3</f>
        <v>0.33333333333333331</v>
      </c>
      <c r="C10" s="61" t="s">
        <v>150</v>
      </c>
      <c r="D10">
        <v>9</v>
      </c>
      <c r="E10" s="190" t="s">
        <v>200</v>
      </c>
      <c r="F10">
        <v>0.98</v>
      </c>
      <c r="G10">
        <v>0.8</v>
      </c>
      <c r="H10">
        <v>0.8</v>
      </c>
      <c r="I10">
        <v>0.8</v>
      </c>
      <c r="J10" s="114">
        <v>0.25</v>
      </c>
      <c r="K10" s="114">
        <v>0.05</v>
      </c>
    </row>
    <row r="11" spans="1:42" x14ac:dyDescent="0.15">
      <c r="D11">
        <v>10</v>
      </c>
      <c r="E11" s="190" t="s">
        <v>201</v>
      </c>
      <c r="F11">
        <v>0.98</v>
      </c>
      <c r="G11">
        <v>0.8</v>
      </c>
      <c r="H11">
        <v>0.8</v>
      </c>
      <c r="I11">
        <v>0.8</v>
      </c>
      <c r="J11" s="114">
        <v>0.25</v>
      </c>
      <c r="K11" s="114">
        <v>0.05</v>
      </c>
    </row>
    <row r="12" spans="1:42" x14ac:dyDescent="0.15">
      <c r="D12">
        <v>11</v>
      </c>
      <c r="E12" s="190" t="s">
        <v>202</v>
      </c>
      <c r="F12">
        <v>0.98</v>
      </c>
      <c r="G12">
        <v>0.8</v>
      </c>
      <c r="H12">
        <v>0.8</v>
      </c>
      <c r="I12">
        <v>0.8</v>
      </c>
      <c r="J12" s="114">
        <v>0.25</v>
      </c>
      <c r="K12" s="114">
        <v>0.05</v>
      </c>
    </row>
    <row r="13" spans="1:42" x14ac:dyDescent="0.15">
      <c r="D13">
        <v>12</v>
      </c>
      <c r="E13" s="190" t="s">
        <v>203</v>
      </c>
      <c r="F13">
        <v>0.98</v>
      </c>
      <c r="G13">
        <v>0.8</v>
      </c>
      <c r="H13">
        <v>0.8</v>
      </c>
      <c r="I13">
        <v>0.8</v>
      </c>
      <c r="J13" s="114">
        <v>0.25</v>
      </c>
      <c r="K13" s="114">
        <v>0.05</v>
      </c>
    </row>
    <row r="14" spans="1:42" x14ac:dyDescent="0.15">
      <c r="D14">
        <v>13</v>
      </c>
      <c r="E14" s="190" t="s">
        <v>204</v>
      </c>
      <c r="F14">
        <v>0.98</v>
      </c>
      <c r="G14">
        <v>0.8</v>
      </c>
      <c r="H14">
        <v>0.8</v>
      </c>
      <c r="I14">
        <v>0.8</v>
      </c>
      <c r="J14" s="114">
        <v>0.25</v>
      </c>
      <c r="K14" s="114">
        <v>0.05</v>
      </c>
    </row>
    <row r="15" spans="1:42" x14ac:dyDescent="0.15">
      <c r="D15">
        <v>14</v>
      </c>
      <c r="E15" s="190" t="s">
        <v>205</v>
      </c>
      <c r="F15">
        <v>0.98</v>
      </c>
      <c r="G15">
        <v>0.8</v>
      </c>
      <c r="H15">
        <v>0.8</v>
      </c>
      <c r="I15">
        <v>0.8</v>
      </c>
      <c r="J15" s="114">
        <v>0.25</v>
      </c>
      <c r="K15" s="114">
        <v>0.05</v>
      </c>
    </row>
    <row r="16" spans="1:42" x14ac:dyDescent="0.15">
      <c r="D16">
        <v>15</v>
      </c>
      <c r="E16" s="190" t="s">
        <v>206</v>
      </c>
      <c r="F16">
        <v>0.98</v>
      </c>
      <c r="G16">
        <v>0.8</v>
      </c>
      <c r="H16">
        <v>0.8</v>
      </c>
      <c r="I16">
        <v>0.8</v>
      </c>
      <c r="J16" s="114">
        <v>0.25</v>
      </c>
      <c r="K16" s="114">
        <v>0.05</v>
      </c>
    </row>
    <row r="17" spans="4:33" ht="15" customHeight="1" x14ac:dyDescent="0.15">
      <c r="D17">
        <v>16</v>
      </c>
      <c r="E17" s="190" t="s">
        <v>207</v>
      </c>
      <c r="F17">
        <v>0.98</v>
      </c>
      <c r="G17">
        <v>0.8</v>
      </c>
      <c r="H17">
        <v>0.8</v>
      </c>
      <c r="I17">
        <v>0.8</v>
      </c>
      <c r="J17" s="114">
        <v>0.25</v>
      </c>
      <c r="K17" s="114">
        <v>0.05</v>
      </c>
    </row>
    <row r="18" spans="4:33" ht="15" customHeight="1" x14ac:dyDescent="0.15">
      <c r="D18">
        <v>17</v>
      </c>
      <c r="E18" s="190" t="s">
        <v>208</v>
      </c>
      <c r="F18">
        <v>0.98</v>
      </c>
      <c r="G18">
        <v>0.8</v>
      </c>
      <c r="H18">
        <v>0.8</v>
      </c>
      <c r="I18">
        <v>0.8</v>
      </c>
      <c r="J18" s="114">
        <v>0.25</v>
      </c>
      <c r="K18" s="114">
        <v>0.05</v>
      </c>
    </row>
    <row r="19" spans="4:33" ht="15" customHeight="1" x14ac:dyDescent="0.15">
      <c r="D19">
        <v>18</v>
      </c>
      <c r="E19" s="190" t="s">
        <v>209</v>
      </c>
      <c r="F19">
        <v>0.98</v>
      </c>
      <c r="G19">
        <v>0.8</v>
      </c>
      <c r="H19">
        <v>0.8</v>
      </c>
      <c r="I19">
        <v>0.8</v>
      </c>
      <c r="J19" s="114">
        <v>0.25</v>
      </c>
      <c r="K19" s="114">
        <v>0.05</v>
      </c>
    </row>
    <row r="20" spans="4:33" ht="15" customHeight="1" x14ac:dyDescent="0.15">
      <c r="D20">
        <v>19</v>
      </c>
      <c r="E20" s="190" t="s">
        <v>210</v>
      </c>
      <c r="F20">
        <v>0.98</v>
      </c>
      <c r="G20">
        <v>0.8</v>
      </c>
      <c r="H20">
        <v>0.8</v>
      </c>
      <c r="I20">
        <v>0.8</v>
      </c>
      <c r="J20" s="114">
        <v>0.25</v>
      </c>
      <c r="K20" s="114">
        <v>0.05</v>
      </c>
    </row>
    <row r="21" spans="4:33" ht="15" customHeight="1" x14ac:dyDescent="0.15">
      <c r="D21">
        <v>20</v>
      </c>
      <c r="E21" s="190" t="s">
        <v>211</v>
      </c>
      <c r="F21">
        <v>0.98</v>
      </c>
      <c r="G21">
        <v>0.8</v>
      </c>
      <c r="H21">
        <v>0.8</v>
      </c>
      <c r="I21">
        <v>0.8</v>
      </c>
      <c r="J21" s="114">
        <v>0.25</v>
      </c>
      <c r="K21" s="114">
        <v>0.05</v>
      </c>
    </row>
    <row r="22" spans="4:33" ht="15" customHeight="1" x14ac:dyDescent="0.15">
      <c r="D22">
        <v>21</v>
      </c>
      <c r="E22" s="190" t="s">
        <v>212</v>
      </c>
      <c r="F22">
        <v>0.98</v>
      </c>
      <c r="G22">
        <v>0.8</v>
      </c>
      <c r="H22">
        <v>0.8</v>
      </c>
      <c r="I22">
        <v>0.8</v>
      </c>
      <c r="J22" s="114">
        <v>0.25</v>
      </c>
      <c r="K22" s="114">
        <v>0.05</v>
      </c>
    </row>
    <row r="23" spans="4:33" ht="15" customHeight="1" x14ac:dyDescent="0.15">
      <c r="D23">
        <v>22</v>
      </c>
      <c r="E23" s="190" t="s">
        <v>213</v>
      </c>
      <c r="F23">
        <v>0.98</v>
      </c>
      <c r="G23">
        <v>0.8</v>
      </c>
      <c r="H23">
        <v>0.8</v>
      </c>
      <c r="I23">
        <v>0.8</v>
      </c>
      <c r="J23" s="114">
        <v>0.25</v>
      </c>
      <c r="K23" s="114">
        <v>0.05</v>
      </c>
    </row>
    <row r="24" spans="4:33" ht="15" customHeight="1" x14ac:dyDescent="0.15">
      <c r="D24">
        <v>23</v>
      </c>
      <c r="E24" s="190" t="s">
        <v>214</v>
      </c>
      <c r="F24">
        <v>0.98</v>
      </c>
      <c r="G24">
        <v>0.8</v>
      </c>
      <c r="H24">
        <v>0.8</v>
      </c>
      <c r="I24">
        <v>0.8</v>
      </c>
      <c r="J24" s="114">
        <v>0.25</v>
      </c>
      <c r="K24" s="114">
        <v>0.05</v>
      </c>
    </row>
    <row r="25" spans="4:33" ht="15" customHeight="1" x14ac:dyDescent="0.15">
      <c r="D25">
        <v>24</v>
      </c>
      <c r="E25" s="190" t="s">
        <v>215</v>
      </c>
      <c r="F25">
        <v>0.98</v>
      </c>
      <c r="G25">
        <v>0.8</v>
      </c>
      <c r="H25">
        <v>0.8</v>
      </c>
      <c r="I25">
        <v>0.8</v>
      </c>
      <c r="J25" s="114">
        <v>0.25</v>
      </c>
      <c r="K25" s="114">
        <v>0.05</v>
      </c>
    </row>
    <row r="26" spans="4:33" ht="15" customHeight="1" x14ac:dyDescent="0.15">
      <c r="D26">
        <v>25</v>
      </c>
      <c r="E26" s="190" t="s">
        <v>216</v>
      </c>
      <c r="F26">
        <v>0.98</v>
      </c>
      <c r="G26">
        <v>0.8</v>
      </c>
      <c r="H26">
        <v>0.8</v>
      </c>
      <c r="I26">
        <v>0.8</v>
      </c>
      <c r="J26" s="114">
        <v>0.25</v>
      </c>
      <c r="K26" s="114">
        <v>0.05</v>
      </c>
    </row>
    <row r="27" spans="4:33" ht="15" customHeight="1" x14ac:dyDescent="0.15">
      <c r="D27">
        <v>26</v>
      </c>
      <c r="E27" s="190" t="s">
        <v>217</v>
      </c>
      <c r="F27">
        <v>0.98</v>
      </c>
      <c r="G27">
        <v>0.8</v>
      </c>
      <c r="H27">
        <v>0.8</v>
      </c>
      <c r="I27">
        <v>0.8</v>
      </c>
      <c r="J27" s="114">
        <v>0.25</v>
      </c>
      <c r="K27" s="114">
        <v>0.05</v>
      </c>
    </row>
    <row r="28" spans="4:33" ht="15" customHeight="1" x14ac:dyDescent="0.15">
      <c r="D28">
        <v>27</v>
      </c>
      <c r="E28" s="190" t="s">
        <v>218</v>
      </c>
      <c r="F28">
        <v>0.98</v>
      </c>
      <c r="G28">
        <v>0.8</v>
      </c>
      <c r="H28">
        <v>0.8</v>
      </c>
      <c r="I28">
        <v>0.8</v>
      </c>
      <c r="J28" s="114">
        <v>0.25</v>
      </c>
      <c r="K28" s="114">
        <v>0.05</v>
      </c>
    </row>
    <row r="29" spans="4:33" ht="15" customHeight="1" x14ac:dyDescent="0.15">
      <c r="D29">
        <v>28</v>
      </c>
      <c r="E29" s="190" t="s">
        <v>219</v>
      </c>
      <c r="F29">
        <v>0.98</v>
      </c>
      <c r="G29">
        <v>0.8</v>
      </c>
      <c r="H29">
        <v>0.8</v>
      </c>
      <c r="I29">
        <v>0.8</v>
      </c>
      <c r="J29" s="114">
        <v>0.25</v>
      </c>
      <c r="K29" s="114">
        <v>0.05</v>
      </c>
      <c r="Y29"/>
      <c r="AC29"/>
      <c r="AG29"/>
    </row>
    <row r="30" spans="4:33" ht="15" customHeight="1" x14ac:dyDescent="0.15">
      <c r="D30">
        <v>29</v>
      </c>
      <c r="E30" s="190" t="s">
        <v>220</v>
      </c>
      <c r="F30">
        <v>0.98</v>
      </c>
      <c r="G30">
        <v>0.8</v>
      </c>
      <c r="H30">
        <v>0.8</v>
      </c>
      <c r="I30">
        <v>0.8</v>
      </c>
      <c r="J30" s="114">
        <v>0.25</v>
      </c>
      <c r="K30" s="114">
        <v>0.05</v>
      </c>
      <c r="Y30"/>
      <c r="AC30"/>
      <c r="AG30"/>
    </row>
    <row r="31" spans="4:33" ht="15" customHeight="1" x14ac:dyDescent="0.15">
      <c r="D31">
        <v>30</v>
      </c>
      <c r="E31" s="190" t="s">
        <v>221</v>
      </c>
      <c r="F31">
        <v>0.98</v>
      </c>
      <c r="G31">
        <v>0.8</v>
      </c>
      <c r="H31">
        <v>0.8</v>
      </c>
      <c r="I31">
        <v>0.8</v>
      </c>
      <c r="J31" s="114">
        <v>0.25</v>
      </c>
      <c r="K31" s="114">
        <v>0.05</v>
      </c>
      <c r="Y31"/>
      <c r="AC31"/>
      <c r="AG31"/>
    </row>
    <row r="32" spans="4:33" ht="15" customHeight="1" x14ac:dyDescent="0.15">
      <c r="D32">
        <v>31</v>
      </c>
      <c r="E32" s="190" t="s">
        <v>222</v>
      </c>
      <c r="F32">
        <v>0.98</v>
      </c>
      <c r="G32">
        <v>0.8</v>
      </c>
      <c r="H32">
        <v>0.8</v>
      </c>
      <c r="I32">
        <v>0.8</v>
      </c>
      <c r="J32" s="114">
        <v>0.25</v>
      </c>
      <c r="K32" s="114">
        <v>0.05</v>
      </c>
      <c r="Y32"/>
      <c r="AC32"/>
      <c r="AG32"/>
    </row>
    <row r="33" spans="4:33" ht="15" customHeight="1" x14ac:dyDescent="0.15">
      <c r="D33">
        <v>32</v>
      </c>
      <c r="E33" s="190" t="s">
        <v>223</v>
      </c>
      <c r="F33">
        <v>0.98</v>
      </c>
      <c r="G33">
        <v>0.8</v>
      </c>
      <c r="H33">
        <v>0.8</v>
      </c>
      <c r="I33">
        <v>0.8</v>
      </c>
      <c r="J33" s="114">
        <v>0.25</v>
      </c>
      <c r="K33" s="114">
        <v>0.05</v>
      </c>
      <c r="Y33"/>
      <c r="AC33"/>
      <c r="AG33"/>
    </row>
    <row r="34" spans="4:33" ht="15" customHeight="1" x14ac:dyDescent="0.15">
      <c r="D34">
        <v>33</v>
      </c>
      <c r="E34" s="190" t="s">
        <v>224</v>
      </c>
      <c r="F34">
        <v>0.98</v>
      </c>
      <c r="G34">
        <v>0.8</v>
      </c>
      <c r="H34">
        <v>0.8</v>
      </c>
      <c r="I34">
        <v>0.8</v>
      </c>
      <c r="J34" s="114">
        <v>0.25</v>
      </c>
      <c r="K34" s="114">
        <v>0.05</v>
      </c>
      <c r="Y34"/>
      <c r="AC34"/>
      <c r="AG34"/>
    </row>
    <row r="35" spans="4:33" ht="15" customHeight="1" x14ac:dyDescent="0.15">
      <c r="D35">
        <v>34</v>
      </c>
      <c r="E35" s="190" t="s">
        <v>225</v>
      </c>
      <c r="F35">
        <v>0.98</v>
      </c>
      <c r="G35">
        <v>0.8</v>
      </c>
      <c r="H35">
        <v>0.8</v>
      </c>
      <c r="I35">
        <v>0.8</v>
      </c>
      <c r="J35" s="114">
        <v>0.25</v>
      </c>
      <c r="K35" s="114">
        <v>0.05</v>
      </c>
      <c r="Y35"/>
      <c r="AC35"/>
      <c r="AG35"/>
    </row>
    <row r="36" spans="4:33" ht="15" customHeight="1" x14ac:dyDescent="0.15">
      <c r="D36">
        <v>35</v>
      </c>
      <c r="E36" s="190" t="s">
        <v>226</v>
      </c>
      <c r="F36">
        <v>0.98</v>
      </c>
      <c r="G36">
        <v>0.8</v>
      </c>
      <c r="H36">
        <v>0.8</v>
      </c>
      <c r="I36">
        <v>0.8</v>
      </c>
      <c r="J36" s="114">
        <v>0.25</v>
      </c>
      <c r="K36" s="114">
        <v>0.05</v>
      </c>
      <c r="Y36"/>
      <c r="AC36"/>
      <c r="AG36"/>
    </row>
    <row r="37" spans="4:33" ht="15" customHeight="1" x14ac:dyDescent="0.15">
      <c r="D37">
        <v>36</v>
      </c>
      <c r="E37" s="190" t="s">
        <v>227</v>
      </c>
      <c r="F37">
        <v>0.98</v>
      </c>
      <c r="G37">
        <v>0.8</v>
      </c>
      <c r="H37">
        <v>0.8</v>
      </c>
      <c r="I37">
        <v>0.8</v>
      </c>
      <c r="J37" s="114">
        <v>0.25</v>
      </c>
      <c r="K37" s="114">
        <v>0.05</v>
      </c>
      <c r="Y37"/>
      <c r="AC37"/>
      <c r="AG37"/>
    </row>
    <row r="38" spans="4:33" ht="15" customHeight="1" x14ac:dyDescent="0.15">
      <c r="D38">
        <v>37</v>
      </c>
      <c r="E38" s="190" t="s">
        <v>228</v>
      </c>
      <c r="F38">
        <v>0.98</v>
      </c>
      <c r="G38">
        <v>0.8</v>
      </c>
      <c r="H38">
        <v>0.8</v>
      </c>
      <c r="I38">
        <v>0.8</v>
      </c>
      <c r="J38" s="114">
        <v>0.25</v>
      </c>
      <c r="K38" s="114">
        <v>0.05</v>
      </c>
      <c r="Y38"/>
      <c r="AC38"/>
      <c r="AG38"/>
    </row>
    <row r="39" spans="4:33" ht="15" customHeight="1" x14ac:dyDescent="0.15">
      <c r="D39">
        <v>38</v>
      </c>
      <c r="E39" s="190" t="s">
        <v>229</v>
      </c>
      <c r="F39">
        <v>0.98</v>
      </c>
      <c r="G39">
        <v>0.8</v>
      </c>
      <c r="H39">
        <v>0.8</v>
      </c>
      <c r="I39">
        <v>0</v>
      </c>
      <c r="J39" s="114">
        <v>0</v>
      </c>
      <c r="K39" s="114">
        <v>0</v>
      </c>
    </row>
    <row r="40" spans="4:33" ht="15" customHeight="1" x14ac:dyDescent="0.15">
      <c r="D40">
        <v>39</v>
      </c>
      <c r="E40" s="190" t="s">
        <v>230</v>
      </c>
      <c r="F40">
        <v>0.98</v>
      </c>
      <c r="G40">
        <v>0.8</v>
      </c>
      <c r="H40">
        <v>0.8</v>
      </c>
      <c r="I40">
        <v>0</v>
      </c>
      <c r="J40" s="114">
        <v>0</v>
      </c>
      <c r="K40" s="114">
        <v>0</v>
      </c>
      <c r="Y40"/>
      <c r="AC40"/>
      <c r="AG40"/>
    </row>
    <row r="41" spans="4:33" ht="15" customHeight="1" x14ac:dyDescent="0.15">
      <c r="D41">
        <v>40</v>
      </c>
      <c r="E41" s="190" t="s">
        <v>231</v>
      </c>
      <c r="F41">
        <v>0.98</v>
      </c>
      <c r="G41">
        <v>0.8</v>
      </c>
      <c r="H41">
        <v>0</v>
      </c>
      <c r="I41">
        <v>0</v>
      </c>
      <c r="J41" s="114">
        <v>0</v>
      </c>
      <c r="K41" s="114">
        <v>0</v>
      </c>
      <c r="Y41"/>
      <c r="AC41"/>
      <c r="AG41"/>
    </row>
    <row r="42" spans="4:33" ht="15" customHeight="1" x14ac:dyDescent="0.15">
      <c r="D42">
        <v>41</v>
      </c>
      <c r="E42" s="190" t="s">
        <v>232</v>
      </c>
      <c r="F42">
        <v>0.98</v>
      </c>
      <c r="G42">
        <v>0.8</v>
      </c>
      <c r="H42">
        <v>0</v>
      </c>
      <c r="I42">
        <v>0</v>
      </c>
      <c r="J42" s="114">
        <v>0</v>
      </c>
      <c r="K42" s="114">
        <v>0</v>
      </c>
      <c r="Y42"/>
      <c r="AC42"/>
      <c r="AG42"/>
    </row>
    <row r="43" spans="4:33" ht="15" customHeight="1" x14ac:dyDescent="0.15">
      <c r="J43"/>
      <c r="K43"/>
      <c r="Y43"/>
      <c r="AC43"/>
      <c r="AG43"/>
    </row>
    <row r="44" spans="4:33" ht="15" customHeight="1" x14ac:dyDescent="0.15">
      <c r="J44"/>
      <c r="K44"/>
      <c r="Y44"/>
      <c r="AC44"/>
      <c r="AG44"/>
    </row>
    <row r="45" spans="4:33" ht="15" customHeight="1" x14ac:dyDescent="0.15">
      <c r="J45"/>
      <c r="K45"/>
      <c r="Y45"/>
      <c r="AC45"/>
      <c r="AG45"/>
    </row>
    <row r="46" spans="4:33" ht="15" customHeight="1" x14ac:dyDescent="0.15">
      <c r="J46"/>
      <c r="K46"/>
      <c r="Y46"/>
      <c r="AC46"/>
      <c r="AG46"/>
    </row>
    <row r="47" spans="4:33" ht="15" customHeight="1" x14ac:dyDescent="0.15">
      <c r="J47"/>
      <c r="K47"/>
      <c r="Y47"/>
      <c r="AC47"/>
      <c r="AG47"/>
    </row>
    <row r="48" spans="4:33" ht="15" customHeight="1" x14ac:dyDescent="0.15">
      <c r="J48"/>
      <c r="K48"/>
      <c r="Y48"/>
      <c r="AC48"/>
      <c r="AG48"/>
    </row>
    <row r="49" spans="10:33" ht="15" customHeight="1" x14ac:dyDescent="0.15">
      <c r="Y49"/>
      <c r="AC49"/>
      <c r="AG49"/>
    </row>
    <row r="50" spans="10:33" ht="15" customHeight="1" x14ac:dyDescent="0.15">
      <c r="Y50"/>
      <c r="AC50"/>
      <c r="AG50"/>
    </row>
    <row r="51" spans="10:33" ht="15" customHeight="1" x14ac:dyDescent="0.15">
      <c r="J51"/>
      <c r="K51"/>
      <c r="Y51"/>
      <c r="AC51"/>
      <c r="AG51"/>
    </row>
    <row r="52" spans="10:33" ht="15" customHeight="1" x14ac:dyDescent="0.15">
      <c r="J52"/>
      <c r="K52"/>
      <c r="Y52"/>
      <c r="AC52"/>
      <c r="AG52"/>
    </row>
    <row r="53" spans="10:33" ht="15" customHeight="1" x14ac:dyDescent="0.15">
      <c r="J53"/>
      <c r="K53"/>
      <c r="Y53"/>
      <c r="AC53"/>
      <c r="AG53"/>
    </row>
    <row r="54" spans="10:33" ht="15" customHeight="1" x14ac:dyDescent="0.15">
      <c r="J54"/>
      <c r="K54"/>
      <c r="Y54"/>
      <c r="AC54"/>
      <c r="AG54"/>
    </row>
    <row r="55" spans="10:33" ht="15" customHeight="1" x14ac:dyDescent="0.15">
      <c r="J55"/>
      <c r="K55"/>
      <c r="Y55"/>
      <c r="AC55"/>
      <c r="AG55"/>
    </row>
    <row r="56" spans="10:33" ht="15" customHeight="1" x14ac:dyDescent="0.15">
      <c r="J56"/>
      <c r="K56"/>
      <c r="Y56"/>
      <c r="AC56"/>
      <c r="AG56"/>
    </row>
    <row r="57" spans="10:33" ht="15" customHeight="1" x14ac:dyDescent="0.15">
      <c r="J57"/>
      <c r="K57"/>
      <c r="Y57"/>
      <c r="AC57"/>
      <c r="AG57"/>
    </row>
    <row r="58" spans="10:33" ht="15" customHeight="1" x14ac:dyDescent="0.15">
      <c r="J58"/>
      <c r="K58"/>
      <c r="Y58"/>
      <c r="AC58"/>
      <c r="AG58"/>
    </row>
    <row r="59" spans="10:33" ht="15" customHeight="1" x14ac:dyDescent="0.15">
      <c r="J59"/>
      <c r="K59"/>
      <c r="Y59"/>
      <c r="AC59"/>
      <c r="AG59"/>
    </row>
    <row r="60" spans="10:33" ht="15" customHeight="1" x14ac:dyDescent="0.15">
      <c r="J60"/>
      <c r="K60"/>
      <c r="Y60"/>
      <c r="AC60"/>
      <c r="AG60"/>
    </row>
    <row r="61" spans="10:33" ht="15" customHeight="1" x14ac:dyDescent="0.15">
      <c r="J61"/>
      <c r="K61"/>
      <c r="Y61"/>
      <c r="AC61"/>
      <c r="AG61"/>
    </row>
    <row r="62" spans="10:33" ht="15" customHeight="1" x14ac:dyDescent="0.15">
      <c r="J62"/>
      <c r="K62"/>
      <c r="Y62"/>
      <c r="AC62"/>
      <c r="AG62"/>
    </row>
    <row r="63" spans="10:33" ht="15" customHeight="1" x14ac:dyDescent="0.15">
      <c r="J63"/>
      <c r="K63"/>
      <c r="Y63"/>
      <c r="AC63"/>
      <c r="AG63"/>
    </row>
    <row r="64" spans="10:33" ht="15" customHeight="1" x14ac:dyDescent="0.15">
      <c r="J64"/>
      <c r="K64"/>
      <c r="Y64"/>
      <c r="AC64"/>
      <c r="AG64"/>
    </row>
    <row r="65" spans="10:33" ht="15" customHeight="1" x14ac:dyDescent="0.15">
      <c r="J65"/>
      <c r="K65"/>
      <c r="Y65"/>
      <c r="AC65"/>
      <c r="AG65"/>
    </row>
    <row r="66" spans="10:33" ht="15" customHeight="1" x14ac:dyDescent="0.15">
      <c r="J66"/>
      <c r="K66"/>
      <c r="Y66"/>
      <c r="AC66"/>
      <c r="AG66"/>
    </row>
    <row r="67" spans="10:33" ht="15" customHeight="1" x14ac:dyDescent="0.15">
      <c r="J67"/>
      <c r="K67"/>
      <c r="Y67"/>
      <c r="AC67"/>
      <c r="AG67"/>
    </row>
    <row r="68" spans="10:33" ht="15" customHeight="1" x14ac:dyDescent="0.15">
      <c r="J68"/>
      <c r="K68"/>
      <c r="Y68"/>
      <c r="AC68"/>
      <c r="AG68"/>
    </row>
    <row r="69" spans="10:33" ht="15" customHeight="1" x14ac:dyDescent="0.15">
      <c r="J69"/>
      <c r="K69"/>
      <c r="Y69"/>
      <c r="AC69"/>
      <c r="AG69"/>
    </row>
    <row r="70" spans="10:33" ht="15" customHeight="1" x14ac:dyDescent="0.15">
      <c r="J70"/>
      <c r="K70"/>
      <c r="Y70"/>
      <c r="AC70"/>
      <c r="AG70"/>
    </row>
    <row r="71" spans="10:33" ht="15" customHeight="1" x14ac:dyDescent="0.15">
      <c r="J71"/>
      <c r="K71"/>
      <c r="Y71"/>
      <c r="AC71"/>
      <c r="AG71"/>
    </row>
    <row r="72" spans="10:33" ht="15" customHeight="1" x14ac:dyDescent="0.15">
      <c r="J72"/>
      <c r="K72"/>
      <c r="Y72"/>
      <c r="AC72"/>
      <c r="AG72"/>
    </row>
    <row r="73" spans="10:33" ht="15" customHeight="1" x14ac:dyDescent="0.15">
      <c r="J73"/>
      <c r="K73"/>
      <c r="Y73"/>
      <c r="AC73"/>
      <c r="AG73"/>
    </row>
    <row r="74" spans="10:33" ht="15" customHeight="1" x14ac:dyDescent="0.15">
      <c r="J74"/>
      <c r="K74"/>
      <c r="Y74"/>
      <c r="AC74"/>
      <c r="AG74"/>
    </row>
    <row r="75" spans="10:33" ht="15" customHeight="1" x14ac:dyDescent="0.15">
      <c r="J75"/>
      <c r="K75"/>
      <c r="Y75"/>
      <c r="AC75"/>
      <c r="AG75"/>
    </row>
    <row r="76" spans="10:33" ht="15" customHeight="1" x14ac:dyDescent="0.15">
      <c r="J76"/>
      <c r="K76"/>
    </row>
    <row r="77" spans="10:33" ht="15" customHeight="1" x14ac:dyDescent="0.15">
      <c r="J77"/>
      <c r="K77"/>
    </row>
    <row r="78" spans="10:33" ht="15" customHeight="1" x14ac:dyDescent="0.15">
      <c r="J78"/>
      <c r="K78"/>
    </row>
    <row r="79" spans="10:33" ht="15" customHeight="1" x14ac:dyDescent="0.15">
      <c r="J79"/>
      <c r="K79"/>
    </row>
    <row r="80" spans="10:33" ht="15" customHeight="1" x14ac:dyDescent="0.15">
      <c r="J80"/>
      <c r="K80"/>
    </row>
    <row r="81" spans="10:33" ht="15" customHeight="1" x14ac:dyDescent="0.15">
      <c r="J81"/>
      <c r="K81"/>
    </row>
    <row r="82" spans="10:33" ht="15" customHeight="1" x14ac:dyDescent="0.15">
      <c r="J82"/>
      <c r="K82"/>
    </row>
    <row r="83" spans="10:33" ht="15" customHeight="1" x14ac:dyDescent="0.15">
      <c r="J83"/>
      <c r="K83"/>
      <c r="Y83"/>
      <c r="AC83"/>
      <c r="AG83"/>
    </row>
    <row r="84" spans="10:33" ht="15" customHeight="1" x14ac:dyDescent="0.15">
      <c r="J84"/>
      <c r="K84"/>
      <c r="Y84"/>
      <c r="AC84"/>
      <c r="AG84"/>
    </row>
    <row r="85" spans="10:33" ht="15" customHeight="1" x14ac:dyDescent="0.15">
      <c r="J85"/>
      <c r="K85"/>
      <c r="Y85"/>
      <c r="AC85"/>
      <c r="AG85"/>
    </row>
    <row r="86" spans="10:33" ht="15" customHeight="1" x14ac:dyDescent="0.15">
      <c r="J86"/>
      <c r="K86"/>
      <c r="Y86"/>
      <c r="AC86"/>
      <c r="AG86"/>
    </row>
    <row r="87" spans="10:33" ht="15" customHeight="1" x14ac:dyDescent="0.15">
      <c r="J87"/>
      <c r="K87"/>
      <c r="Y87"/>
      <c r="AC87"/>
      <c r="AG87"/>
    </row>
    <row r="88" spans="10:33" ht="15" customHeight="1" x14ac:dyDescent="0.15">
      <c r="J88"/>
      <c r="K88"/>
      <c r="Y88"/>
      <c r="AC88"/>
      <c r="AG88"/>
    </row>
    <row r="89" spans="10:33" ht="15" customHeight="1" x14ac:dyDescent="0.15">
      <c r="J89"/>
      <c r="K89"/>
      <c r="Y89"/>
      <c r="AC89"/>
      <c r="AG89"/>
    </row>
    <row r="90" spans="10:33" ht="15" customHeight="1" x14ac:dyDescent="0.15">
      <c r="J90"/>
      <c r="K90"/>
      <c r="Y90"/>
      <c r="AC90"/>
      <c r="AG90"/>
    </row>
    <row r="91" spans="10:33" ht="15" customHeight="1" x14ac:dyDescent="0.15">
      <c r="J91"/>
      <c r="K91"/>
      <c r="Y91"/>
      <c r="AC91"/>
      <c r="AG91"/>
    </row>
    <row r="92" spans="10:33" ht="15" customHeight="1" x14ac:dyDescent="0.15">
      <c r="J92"/>
      <c r="K92"/>
      <c r="Y92"/>
      <c r="AC92"/>
      <c r="AG92"/>
    </row>
    <row r="93" spans="10:33" ht="15" customHeight="1" x14ac:dyDescent="0.15">
      <c r="J93"/>
      <c r="K93"/>
      <c r="Y93"/>
      <c r="AC93"/>
      <c r="AG93"/>
    </row>
    <row r="94" spans="10:33" ht="15" customHeight="1" x14ac:dyDescent="0.15">
      <c r="J94"/>
      <c r="K94"/>
      <c r="Y94"/>
      <c r="AC94"/>
      <c r="AG94"/>
    </row>
    <row r="95" spans="10:33" ht="15" customHeight="1" x14ac:dyDescent="0.15">
      <c r="J95"/>
      <c r="K95"/>
      <c r="Y95"/>
      <c r="AC95"/>
      <c r="AG95"/>
    </row>
    <row r="96" spans="10:33" ht="15" customHeight="1" x14ac:dyDescent="0.15">
      <c r="J96"/>
      <c r="K96"/>
      <c r="Y96"/>
      <c r="AC96"/>
      <c r="AG96"/>
    </row>
    <row r="97" spans="10:33" ht="15" customHeight="1" x14ac:dyDescent="0.15">
      <c r="J97"/>
      <c r="K97"/>
      <c r="Y97"/>
      <c r="AC97"/>
      <c r="AG97"/>
    </row>
    <row r="98" spans="10:33" ht="15" customHeight="1" x14ac:dyDescent="0.15">
      <c r="J98"/>
      <c r="K98"/>
      <c r="Y98"/>
      <c r="AC98"/>
      <c r="AG98"/>
    </row>
    <row r="99" spans="10:33" ht="15" customHeight="1" x14ac:dyDescent="0.15">
      <c r="J99"/>
      <c r="K99"/>
      <c r="Y99"/>
      <c r="AC99"/>
      <c r="AG99"/>
    </row>
    <row r="100" spans="10:33" ht="15" customHeight="1" x14ac:dyDescent="0.15">
      <c r="J100"/>
      <c r="K100"/>
      <c r="Y100"/>
      <c r="AC100"/>
      <c r="AG100"/>
    </row>
    <row r="101" spans="10:33" ht="15" customHeight="1" x14ac:dyDescent="0.15">
      <c r="J101"/>
      <c r="K101"/>
      <c r="Y101"/>
      <c r="AC101"/>
      <c r="AG101"/>
    </row>
    <row r="102" spans="10:33" ht="15" customHeight="1" x14ac:dyDescent="0.15">
      <c r="J102"/>
      <c r="K102"/>
      <c r="Y102"/>
      <c r="AC102"/>
      <c r="AG102"/>
    </row>
    <row r="103" spans="10:33" ht="15" customHeight="1" x14ac:dyDescent="0.15">
      <c r="J103"/>
      <c r="K103"/>
      <c r="Y103"/>
      <c r="AC103"/>
      <c r="AG103"/>
    </row>
    <row r="104" spans="10:33" ht="15" customHeight="1" x14ac:dyDescent="0.15">
      <c r="J104"/>
      <c r="K104"/>
      <c r="Y104"/>
      <c r="AC104"/>
      <c r="AG104"/>
    </row>
    <row r="105" spans="10:33" ht="15" customHeight="1" x14ac:dyDescent="0.15">
      <c r="J105"/>
      <c r="K105"/>
      <c r="Y105"/>
      <c r="AC105"/>
      <c r="AG105"/>
    </row>
    <row r="106" spans="10:33" ht="15" customHeight="1" x14ac:dyDescent="0.15">
      <c r="J106"/>
      <c r="K106"/>
      <c r="Y106"/>
      <c r="AC106"/>
      <c r="AG106"/>
    </row>
    <row r="107" spans="10:33" ht="15" customHeight="1" x14ac:dyDescent="0.15">
      <c r="J107"/>
      <c r="K107"/>
      <c r="Y107"/>
      <c r="AC107"/>
      <c r="AG107"/>
    </row>
    <row r="108" spans="10:33" ht="15" customHeight="1" x14ac:dyDescent="0.15">
      <c r="J108"/>
      <c r="K108"/>
      <c r="Y108"/>
      <c r="AC108"/>
      <c r="AG108"/>
    </row>
    <row r="109" spans="10:33" ht="15" customHeight="1" x14ac:dyDescent="0.15">
      <c r="J109"/>
      <c r="K109"/>
      <c r="Y109"/>
      <c r="AC109"/>
      <c r="AG109"/>
    </row>
    <row r="110" spans="10:33" ht="15" customHeight="1" x14ac:dyDescent="0.15">
      <c r="J110"/>
      <c r="K110"/>
      <c r="Y110"/>
      <c r="AC110"/>
      <c r="AG110"/>
    </row>
    <row r="111" spans="10:33" ht="15" customHeight="1" x14ac:dyDescent="0.15">
      <c r="J111"/>
      <c r="K111"/>
      <c r="Y111"/>
      <c r="AC111"/>
      <c r="AG111"/>
    </row>
    <row r="112" spans="10:33" ht="15" customHeight="1" x14ac:dyDescent="0.15">
      <c r="J112"/>
      <c r="K112"/>
      <c r="Y112"/>
      <c r="AC112"/>
      <c r="AG112"/>
    </row>
    <row r="113" spans="10:33" ht="15" customHeight="1" x14ac:dyDescent="0.15">
      <c r="J113"/>
      <c r="K113"/>
      <c r="Y113"/>
      <c r="AC113"/>
      <c r="AG113"/>
    </row>
    <row r="114" spans="10:33" ht="15" customHeight="1" x14ac:dyDescent="0.15">
      <c r="J114"/>
      <c r="K114"/>
      <c r="Y114"/>
      <c r="AC114"/>
      <c r="AG114"/>
    </row>
    <row r="115" spans="10:33" ht="15" customHeight="1" x14ac:dyDescent="0.15">
      <c r="J115"/>
      <c r="K115"/>
      <c r="Y115"/>
      <c r="AC115"/>
      <c r="AG115"/>
    </row>
    <row r="116" spans="10:33" ht="15" customHeight="1" x14ac:dyDescent="0.15">
      <c r="J116"/>
      <c r="K116"/>
      <c r="Y116"/>
      <c r="AC116"/>
      <c r="AG116"/>
    </row>
    <row r="117" spans="10:33" ht="15" customHeight="1" x14ac:dyDescent="0.15">
      <c r="J117"/>
      <c r="K117"/>
      <c r="Y117"/>
      <c r="AC117"/>
      <c r="AG117"/>
    </row>
    <row r="118" spans="10:33" ht="15" customHeight="1" x14ac:dyDescent="0.15">
      <c r="J118"/>
      <c r="K118"/>
      <c r="Y118"/>
      <c r="AC118"/>
      <c r="AG118"/>
    </row>
    <row r="119" spans="10:33" ht="15" customHeight="1" x14ac:dyDescent="0.15">
      <c r="J119"/>
      <c r="K119"/>
      <c r="Y119"/>
      <c r="AC119"/>
      <c r="AG119"/>
    </row>
    <row r="120" spans="10:33" ht="15" customHeight="1" x14ac:dyDescent="0.15">
      <c r="J120"/>
      <c r="K120"/>
      <c r="Y120"/>
      <c r="AC120"/>
      <c r="AG120"/>
    </row>
    <row r="121" spans="10:33" ht="15" customHeight="1" x14ac:dyDescent="0.15">
      <c r="J121"/>
      <c r="K121"/>
      <c r="Y121"/>
      <c r="AC121"/>
      <c r="AG121"/>
    </row>
    <row r="122" spans="10:33" ht="15" customHeight="1" x14ac:dyDescent="0.15">
      <c r="J122"/>
      <c r="K122"/>
      <c r="Y122"/>
      <c r="AC122"/>
      <c r="AG122"/>
    </row>
    <row r="123" spans="10:33" ht="15" customHeight="1" x14ac:dyDescent="0.15">
      <c r="J123"/>
      <c r="K123"/>
      <c r="Y123"/>
      <c r="AC123"/>
      <c r="AG123"/>
    </row>
    <row r="124" spans="10:33" ht="15" customHeight="1" x14ac:dyDescent="0.15">
      <c r="J124"/>
      <c r="K124"/>
      <c r="Y124"/>
      <c r="AC124"/>
      <c r="AG124"/>
    </row>
    <row r="125" spans="10:33" ht="15" customHeight="1" x14ac:dyDescent="0.15">
      <c r="J125"/>
      <c r="K125"/>
      <c r="Y125"/>
      <c r="AC125"/>
      <c r="AG125"/>
    </row>
    <row r="126" spans="10:33" ht="15" customHeight="1" x14ac:dyDescent="0.15">
      <c r="J126"/>
      <c r="K126"/>
      <c r="Y126"/>
      <c r="AC126"/>
      <c r="AG126"/>
    </row>
    <row r="127" spans="10:33" ht="15" customHeight="1" x14ac:dyDescent="0.15">
      <c r="J127"/>
      <c r="K127"/>
      <c r="Y127"/>
      <c r="AC127"/>
      <c r="AG127"/>
    </row>
    <row r="128" spans="10:33" ht="15" customHeight="1" x14ac:dyDescent="0.15">
      <c r="J128"/>
      <c r="K128"/>
      <c r="Y128"/>
      <c r="AC128"/>
      <c r="AG128"/>
    </row>
    <row r="129" spans="10:33" ht="15" customHeight="1" x14ac:dyDescent="0.15">
      <c r="J129"/>
      <c r="K129"/>
      <c r="Y129"/>
      <c r="AC129"/>
      <c r="AG129"/>
    </row>
    <row r="130" spans="10:33" ht="15" customHeight="1" x14ac:dyDescent="0.15">
      <c r="J130"/>
      <c r="K130"/>
      <c r="Y130"/>
      <c r="AC130"/>
      <c r="AG130"/>
    </row>
    <row r="131" spans="10:33" ht="15" customHeight="1" x14ac:dyDescent="0.15">
      <c r="J131"/>
      <c r="K131"/>
      <c r="Y131"/>
      <c r="AC131"/>
      <c r="AG131"/>
    </row>
    <row r="132" spans="10:33" ht="15" customHeight="1" x14ac:dyDescent="0.15">
      <c r="J132"/>
      <c r="K132"/>
      <c r="Y132"/>
      <c r="AC132"/>
      <c r="AG132"/>
    </row>
    <row r="133" spans="10:33" ht="15" customHeight="1" x14ac:dyDescent="0.15">
      <c r="J133"/>
      <c r="K133"/>
      <c r="Y133"/>
      <c r="AC133"/>
      <c r="AG133"/>
    </row>
    <row r="134" spans="10:33" ht="15" customHeight="1" x14ac:dyDescent="0.15">
      <c r="J134"/>
      <c r="K134"/>
      <c r="Y134"/>
      <c r="AC134"/>
      <c r="AG134"/>
    </row>
    <row r="135" spans="10:33" ht="15" customHeight="1" x14ac:dyDescent="0.15">
      <c r="J135"/>
      <c r="K135"/>
      <c r="Y135"/>
      <c r="AC135"/>
      <c r="AG135"/>
    </row>
    <row r="136" spans="10:33" ht="15" customHeight="1" x14ac:dyDescent="0.15">
      <c r="J136"/>
      <c r="K136"/>
      <c r="Y136"/>
      <c r="AC136"/>
      <c r="AG136"/>
    </row>
    <row r="137" spans="10:33" ht="15" customHeight="1" x14ac:dyDescent="0.15">
      <c r="J137"/>
      <c r="K137"/>
      <c r="Y137"/>
      <c r="AC137"/>
      <c r="AG137"/>
    </row>
    <row r="138" spans="10:33" ht="15" customHeight="1" x14ac:dyDescent="0.15">
      <c r="J138"/>
      <c r="K138"/>
      <c r="Y138"/>
      <c r="AC138"/>
      <c r="AG138"/>
    </row>
    <row r="139" spans="10:33" ht="15" customHeight="1" x14ac:dyDescent="0.15">
      <c r="J139"/>
      <c r="K139"/>
      <c r="Y139"/>
      <c r="AC139"/>
      <c r="AG139"/>
    </row>
    <row r="140" spans="10:33" ht="15" customHeight="1" x14ac:dyDescent="0.15">
      <c r="J140"/>
      <c r="K140"/>
      <c r="Y140"/>
      <c r="AC140"/>
      <c r="AG140"/>
    </row>
    <row r="141" spans="10:33" ht="15" customHeight="1" x14ac:dyDescent="0.15">
      <c r="J141"/>
      <c r="K141"/>
      <c r="Y141"/>
      <c r="AC141"/>
      <c r="AG141"/>
    </row>
    <row r="142" spans="10:33" ht="15" customHeight="1" x14ac:dyDescent="0.15">
      <c r="J142"/>
      <c r="K142"/>
      <c r="Y142"/>
      <c r="AC142"/>
      <c r="AG142"/>
    </row>
    <row r="143" spans="10:33" ht="15" customHeight="1" x14ac:dyDescent="0.15">
      <c r="J143"/>
      <c r="K143"/>
      <c r="Y143"/>
      <c r="AC143"/>
      <c r="AG143"/>
    </row>
    <row r="144" spans="10:33" ht="15" customHeight="1" x14ac:dyDescent="0.15">
      <c r="J144"/>
      <c r="K144"/>
      <c r="Y144"/>
      <c r="AC144"/>
      <c r="AG144"/>
    </row>
    <row r="145" spans="10:33" ht="15" customHeight="1" x14ac:dyDescent="0.15">
      <c r="J145"/>
      <c r="K145"/>
      <c r="Y145"/>
      <c r="AC145"/>
      <c r="AG145"/>
    </row>
    <row r="146" spans="10:33" ht="15" customHeight="1" x14ac:dyDescent="0.15">
      <c r="J146"/>
      <c r="K146"/>
      <c r="Y146"/>
      <c r="AC146"/>
      <c r="AG146"/>
    </row>
    <row r="147" spans="10:33" ht="15" customHeight="1" x14ac:dyDescent="0.15">
      <c r="J147"/>
      <c r="K147"/>
      <c r="Y147"/>
      <c r="AC147"/>
      <c r="AG147"/>
    </row>
    <row r="148" spans="10:33" ht="15" customHeight="1" x14ac:dyDescent="0.15">
      <c r="J148"/>
      <c r="K148"/>
      <c r="Y148"/>
      <c r="AC148"/>
      <c r="AG148"/>
    </row>
    <row r="149" spans="10:33" ht="15" customHeight="1" x14ac:dyDescent="0.15">
      <c r="J149"/>
      <c r="K149"/>
      <c r="Y149"/>
      <c r="AC149"/>
      <c r="AG149"/>
    </row>
    <row r="150" spans="10:33" ht="15" customHeight="1" x14ac:dyDescent="0.15">
      <c r="J150"/>
      <c r="K150"/>
      <c r="Y150"/>
      <c r="AC150"/>
      <c r="AG150"/>
    </row>
    <row r="151" spans="10:33" ht="15" customHeight="1" x14ac:dyDescent="0.15">
      <c r="J151"/>
      <c r="K151"/>
      <c r="Y151"/>
      <c r="AC151"/>
      <c r="AG151"/>
    </row>
    <row r="152" spans="10:33" ht="15" customHeight="1" x14ac:dyDescent="0.15">
      <c r="J152"/>
      <c r="K152"/>
      <c r="Y152"/>
      <c r="AC152"/>
      <c r="AG152"/>
    </row>
    <row r="153" spans="10:33" ht="15" customHeight="1" x14ac:dyDescent="0.15">
      <c r="J153"/>
      <c r="K153"/>
      <c r="Y153"/>
      <c r="AC153"/>
      <c r="AG153"/>
    </row>
    <row r="154" spans="10:33" ht="15" customHeight="1" x14ac:dyDescent="0.15">
      <c r="J154"/>
      <c r="K154"/>
      <c r="Y154"/>
      <c r="AC154"/>
      <c r="AG154"/>
    </row>
    <row r="155" spans="10:33" ht="15" customHeight="1" x14ac:dyDescent="0.15">
      <c r="J155"/>
      <c r="K155"/>
      <c r="Y155"/>
      <c r="AC155"/>
      <c r="AG155"/>
    </row>
    <row r="156" spans="10:33" ht="15" customHeight="1" x14ac:dyDescent="0.15">
      <c r="J156"/>
      <c r="K156"/>
      <c r="Y156"/>
      <c r="AC156"/>
      <c r="AG156"/>
    </row>
    <row r="157" spans="10:33" ht="15" customHeight="1" x14ac:dyDescent="0.15">
      <c r="J157"/>
      <c r="K157"/>
      <c r="Y157"/>
      <c r="AC157"/>
      <c r="AG157"/>
    </row>
    <row r="158" spans="10:33" ht="15" customHeight="1" x14ac:dyDescent="0.15">
      <c r="J158"/>
      <c r="K158"/>
      <c r="Y158"/>
      <c r="AC158"/>
      <c r="AG158"/>
    </row>
    <row r="159" spans="10:33" ht="15" customHeight="1" x14ac:dyDescent="0.15">
      <c r="J159"/>
      <c r="K159"/>
      <c r="Y159"/>
      <c r="AC159"/>
      <c r="AG159"/>
    </row>
    <row r="160" spans="10:33" ht="15" customHeight="1" x14ac:dyDescent="0.15">
      <c r="J160"/>
      <c r="K160"/>
      <c r="Y160"/>
      <c r="AC160"/>
      <c r="AG160"/>
    </row>
    <row r="161" spans="10:33" ht="15" customHeight="1" x14ac:dyDescent="0.15">
      <c r="J161"/>
      <c r="K161"/>
      <c r="Y161"/>
      <c r="AC161"/>
      <c r="AG161"/>
    </row>
    <row r="162" spans="10:33" ht="15" customHeight="1" x14ac:dyDescent="0.15">
      <c r="J162"/>
      <c r="K162"/>
      <c r="Y162"/>
      <c r="AC162"/>
      <c r="AG162"/>
    </row>
    <row r="163" spans="10:33" ht="15" customHeight="1" x14ac:dyDescent="0.15">
      <c r="J163"/>
      <c r="K163"/>
      <c r="Y163"/>
      <c r="AC163"/>
      <c r="AG163"/>
    </row>
    <row r="164" spans="10:33" ht="15" customHeight="1" x14ac:dyDescent="0.15">
      <c r="J164"/>
      <c r="K164"/>
      <c r="Y164"/>
      <c r="AC164"/>
      <c r="AG164"/>
    </row>
    <row r="165" spans="10:33" ht="15" customHeight="1" x14ac:dyDescent="0.15">
      <c r="J165"/>
      <c r="K165"/>
      <c r="Y165"/>
      <c r="AC165"/>
      <c r="AG165"/>
    </row>
    <row r="166" spans="10:33" ht="15" customHeight="1" x14ac:dyDescent="0.15">
      <c r="J166"/>
      <c r="K166"/>
      <c r="Y166"/>
      <c r="AC166"/>
      <c r="AG166"/>
    </row>
    <row r="167" spans="10:33" ht="15" customHeight="1" x14ac:dyDescent="0.15">
      <c r="J167"/>
      <c r="K167"/>
      <c r="Y167"/>
      <c r="AC167"/>
      <c r="AG167"/>
    </row>
    <row r="168" spans="10:33" ht="15" customHeight="1" x14ac:dyDescent="0.15">
      <c r="J168"/>
      <c r="K168"/>
      <c r="Y168"/>
      <c r="AC168"/>
      <c r="AG168"/>
    </row>
    <row r="169" spans="10:33" ht="15" customHeight="1" x14ac:dyDescent="0.15">
      <c r="J169"/>
      <c r="K169"/>
      <c r="Y169"/>
      <c r="AC169"/>
      <c r="AG169"/>
    </row>
    <row r="170" spans="10:33" ht="15" customHeight="1" x14ac:dyDescent="0.15">
      <c r="J170"/>
      <c r="K170"/>
      <c r="Y170"/>
      <c r="AC170"/>
      <c r="AG170"/>
    </row>
    <row r="171" spans="10:33" ht="15" customHeight="1" x14ac:dyDescent="0.15">
      <c r="J171"/>
      <c r="K171"/>
      <c r="Y171"/>
      <c r="AC171"/>
      <c r="AG171"/>
    </row>
    <row r="172" spans="10:33" ht="15" customHeight="1" x14ac:dyDescent="0.15">
      <c r="J172"/>
      <c r="K172"/>
      <c r="Y172"/>
      <c r="AC172"/>
      <c r="AG172"/>
    </row>
    <row r="173" spans="10:33" ht="15" customHeight="1" x14ac:dyDescent="0.15">
      <c r="J173"/>
      <c r="K173"/>
      <c r="Y173"/>
      <c r="AC173"/>
      <c r="AG173"/>
    </row>
    <row r="174" spans="10:33" ht="15" customHeight="1" x14ac:dyDescent="0.15">
      <c r="J174"/>
      <c r="K174"/>
      <c r="Y174"/>
      <c r="AC174"/>
      <c r="AG174"/>
    </row>
    <row r="175" spans="10:33" ht="15" customHeight="1" x14ac:dyDescent="0.15">
      <c r="J175"/>
      <c r="K175"/>
      <c r="Y175"/>
      <c r="AC175"/>
      <c r="AG175"/>
    </row>
    <row r="176" spans="10:33" ht="15" customHeight="1" x14ac:dyDescent="0.15">
      <c r="J176"/>
      <c r="K176"/>
      <c r="Y176"/>
      <c r="AC176"/>
      <c r="AG176"/>
    </row>
    <row r="177" spans="10:33" ht="15" customHeight="1" x14ac:dyDescent="0.15">
      <c r="J177"/>
      <c r="K177"/>
      <c r="Y177"/>
      <c r="AC177"/>
      <c r="AG177"/>
    </row>
    <row r="178" spans="10:33" ht="15" customHeight="1" x14ac:dyDescent="0.15">
      <c r="J178"/>
      <c r="K178"/>
      <c r="Y178"/>
      <c r="AC178"/>
      <c r="AG178"/>
    </row>
    <row r="179" spans="10:33" ht="15" customHeight="1" x14ac:dyDescent="0.15">
      <c r="J179"/>
      <c r="K179"/>
      <c r="Y179"/>
      <c r="AC179"/>
      <c r="AG179"/>
    </row>
    <row r="180" spans="10:33" ht="15" customHeight="1" x14ac:dyDescent="0.15">
      <c r="J180"/>
      <c r="K180"/>
      <c r="Y180"/>
      <c r="AC180"/>
      <c r="AG180"/>
    </row>
    <row r="181" spans="10:33" ht="15" customHeight="1" x14ac:dyDescent="0.15">
      <c r="J181"/>
      <c r="K181"/>
      <c r="Y181"/>
      <c r="AC181"/>
      <c r="AG181"/>
    </row>
    <row r="182" spans="10:33" ht="15" customHeight="1" x14ac:dyDescent="0.15">
      <c r="J182"/>
      <c r="K182"/>
      <c r="Y182"/>
      <c r="AC182"/>
      <c r="AG182"/>
    </row>
    <row r="183" spans="10:33" ht="15" customHeight="1" x14ac:dyDescent="0.15">
      <c r="J183"/>
      <c r="K183"/>
      <c r="Y183"/>
      <c r="AC183"/>
      <c r="AG183"/>
    </row>
    <row r="184" spans="10:33" ht="15" customHeight="1" x14ac:dyDescent="0.15">
      <c r="J184"/>
      <c r="K184"/>
      <c r="Y184"/>
      <c r="AC184"/>
      <c r="AG184"/>
    </row>
    <row r="185" spans="10:33" ht="15" customHeight="1" x14ac:dyDescent="0.15">
      <c r="J185"/>
      <c r="K185"/>
      <c r="Y185"/>
      <c r="AC185"/>
      <c r="AG185"/>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indexed="51"/>
  </sheetPr>
  <dimension ref="A1:AP43"/>
  <sheetViews>
    <sheetView workbookViewId="0">
      <selection activeCell="A3" sqref="A3"/>
    </sheetView>
  </sheetViews>
  <sheetFormatPr baseColWidth="10" defaultRowHeight="13" x14ac:dyDescent="0.15"/>
  <cols>
    <col min="1" max="1" width="21.6640625" style="112" bestFit="1" customWidth="1"/>
    <col min="2" max="4" width="3.83203125" style="112" customWidth="1"/>
    <col min="5" max="6" width="2.33203125" style="112" customWidth="1"/>
    <col min="7" max="38" width="3.83203125" style="112" customWidth="1"/>
    <col min="39" max="42" width="2.33203125" style="112" customWidth="1"/>
    <col min="43" max="16384" width="10.83203125" style="112"/>
  </cols>
  <sheetData>
    <row r="1" spans="1:42" x14ac:dyDescent="0.15">
      <c r="A1" s="63" t="s">
        <v>118</v>
      </c>
      <c r="B1" s="192" t="s">
        <v>192</v>
      </c>
      <c r="C1" s="192" t="s">
        <v>193</v>
      </c>
      <c r="D1" s="192" t="s">
        <v>194</v>
      </c>
      <c r="E1" s="192" t="s">
        <v>195</v>
      </c>
      <c r="F1" s="192" t="s">
        <v>196</v>
      </c>
      <c r="G1" s="192" t="s">
        <v>197</v>
      </c>
      <c r="H1" s="192" t="s">
        <v>198</v>
      </c>
      <c r="I1" s="192" t="s">
        <v>199</v>
      </c>
      <c r="J1" s="192" t="s">
        <v>200</v>
      </c>
      <c r="K1" s="192" t="s">
        <v>201</v>
      </c>
      <c r="L1" s="192" t="s">
        <v>202</v>
      </c>
      <c r="M1" s="192" t="s">
        <v>203</v>
      </c>
      <c r="N1" s="192" t="s">
        <v>204</v>
      </c>
      <c r="O1" s="192" t="s">
        <v>205</v>
      </c>
      <c r="P1" s="192" t="s">
        <v>206</v>
      </c>
      <c r="Q1" s="192" t="s">
        <v>207</v>
      </c>
      <c r="R1" s="192" t="s">
        <v>208</v>
      </c>
      <c r="S1" s="192" t="s">
        <v>209</v>
      </c>
      <c r="T1" s="192" t="s">
        <v>210</v>
      </c>
      <c r="U1" s="192" t="s">
        <v>211</v>
      </c>
      <c r="V1" s="192" t="s">
        <v>212</v>
      </c>
      <c r="W1" s="192" t="s">
        <v>213</v>
      </c>
      <c r="X1" s="192" t="s">
        <v>214</v>
      </c>
      <c r="Y1" s="192" t="s">
        <v>215</v>
      </c>
      <c r="Z1" s="192" t="s">
        <v>216</v>
      </c>
      <c r="AA1" s="192" t="s">
        <v>217</v>
      </c>
      <c r="AB1" s="192" t="s">
        <v>218</v>
      </c>
      <c r="AC1" s="192" t="s">
        <v>219</v>
      </c>
      <c r="AD1" s="192" t="s">
        <v>220</v>
      </c>
      <c r="AE1" s="192" t="s">
        <v>221</v>
      </c>
      <c r="AF1" s="192" t="s">
        <v>222</v>
      </c>
      <c r="AG1" s="192" t="s">
        <v>223</v>
      </c>
      <c r="AH1" s="192" t="s">
        <v>224</v>
      </c>
      <c r="AI1" s="192" t="s">
        <v>225</v>
      </c>
      <c r="AJ1" s="192" t="s">
        <v>226</v>
      </c>
      <c r="AK1" s="192" t="s">
        <v>227</v>
      </c>
      <c r="AL1" s="192" t="s">
        <v>228</v>
      </c>
      <c r="AM1" s="192" t="s">
        <v>229</v>
      </c>
      <c r="AN1" s="192" t="s">
        <v>230</v>
      </c>
      <c r="AO1" s="192" t="s">
        <v>231</v>
      </c>
      <c r="AP1" s="192" t="s">
        <v>232</v>
      </c>
    </row>
    <row r="2" spans="1:42" customFormat="1" x14ac:dyDescent="0.15">
      <c r="A2" s="191" t="s">
        <v>192</v>
      </c>
      <c r="B2" s="112">
        <v>0</v>
      </c>
      <c r="C2" s="112">
        <v>0</v>
      </c>
      <c r="D2" s="112">
        <v>0</v>
      </c>
      <c r="E2" s="112">
        <v>0</v>
      </c>
      <c r="F2" s="112">
        <v>0</v>
      </c>
      <c r="G2" s="112">
        <v>0</v>
      </c>
      <c r="H2" s="112">
        <v>0</v>
      </c>
      <c r="I2" s="112">
        <v>0</v>
      </c>
      <c r="J2" s="112">
        <v>0</v>
      </c>
      <c r="K2" s="112">
        <v>0</v>
      </c>
      <c r="L2" s="112">
        <v>0</v>
      </c>
      <c r="M2" s="112">
        <v>0</v>
      </c>
      <c r="N2" s="112">
        <v>0</v>
      </c>
      <c r="O2" s="112">
        <v>0</v>
      </c>
      <c r="P2" s="112">
        <v>0</v>
      </c>
      <c r="Q2" s="112">
        <v>0</v>
      </c>
      <c r="R2" s="112">
        <v>0</v>
      </c>
      <c r="S2" s="112">
        <v>0</v>
      </c>
      <c r="T2" s="112">
        <v>0</v>
      </c>
      <c r="U2" s="112">
        <v>0</v>
      </c>
      <c r="V2" s="112">
        <v>0</v>
      </c>
      <c r="W2" s="112">
        <v>0</v>
      </c>
      <c r="X2" s="112">
        <v>0</v>
      </c>
      <c r="Y2" s="112">
        <v>0</v>
      </c>
      <c r="Z2" s="112">
        <v>0</v>
      </c>
      <c r="AA2" s="112">
        <v>0</v>
      </c>
      <c r="AB2" s="112">
        <v>0</v>
      </c>
      <c r="AC2" s="112">
        <v>0</v>
      </c>
      <c r="AD2" s="112">
        <v>0</v>
      </c>
      <c r="AE2" s="112">
        <v>0</v>
      </c>
      <c r="AF2" s="112">
        <v>0</v>
      </c>
      <c r="AG2" s="112">
        <v>0</v>
      </c>
      <c r="AH2" s="112">
        <v>0</v>
      </c>
      <c r="AI2" s="112">
        <v>0</v>
      </c>
      <c r="AJ2" s="112">
        <v>0</v>
      </c>
      <c r="AK2" s="112">
        <v>0</v>
      </c>
      <c r="AL2" s="112">
        <v>0</v>
      </c>
      <c r="AM2" s="112">
        <v>0</v>
      </c>
      <c r="AN2" s="112">
        <v>0</v>
      </c>
      <c r="AO2" s="112">
        <v>0</v>
      </c>
      <c r="AP2" s="112">
        <v>0</v>
      </c>
    </row>
    <row r="3" spans="1:42" customFormat="1" x14ac:dyDescent="0.15">
      <c r="A3" s="191" t="s">
        <v>193</v>
      </c>
      <c r="B3" s="112">
        <v>0</v>
      </c>
      <c r="C3" s="112">
        <v>0</v>
      </c>
      <c r="D3" s="112">
        <v>0</v>
      </c>
      <c r="E3" s="112">
        <v>0</v>
      </c>
      <c r="F3" s="112">
        <v>0</v>
      </c>
      <c r="G3" s="112">
        <v>0</v>
      </c>
      <c r="H3" s="112">
        <v>0</v>
      </c>
      <c r="I3" s="112">
        <v>0</v>
      </c>
      <c r="J3" s="112">
        <v>0</v>
      </c>
      <c r="K3" s="112">
        <v>0</v>
      </c>
      <c r="L3" s="112">
        <v>0.8</v>
      </c>
      <c r="M3" s="112">
        <v>0</v>
      </c>
      <c r="N3" s="112">
        <v>0</v>
      </c>
      <c r="O3" s="112">
        <v>0</v>
      </c>
      <c r="P3" s="112">
        <v>0</v>
      </c>
      <c r="Q3" s="112">
        <v>0</v>
      </c>
      <c r="R3" s="112">
        <v>0</v>
      </c>
      <c r="S3" s="112">
        <v>0</v>
      </c>
      <c r="T3" s="112">
        <v>0</v>
      </c>
      <c r="U3" s="112">
        <v>0</v>
      </c>
      <c r="V3" s="112">
        <v>0</v>
      </c>
      <c r="W3" s="112">
        <v>0</v>
      </c>
      <c r="X3" s="112">
        <v>0</v>
      </c>
      <c r="Y3" s="112">
        <v>0</v>
      </c>
      <c r="Z3" s="112">
        <v>0</v>
      </c>
      <c r="AA3" s="112">
        <v>0</v>
      </c>
      <c r="AB3" s="112">
        <v>0</v>
      </c>
      <c r="AC3" s="112">
        <v>0</v>
      </c>
      <c r="AD3" s="112">
        <v>0</v>
      </c>
      <c r="AE3" s="112">
        <v>0</v>
      </c>
      <c r="AF3" s="112">
        <v>0</v>
      </c>
      <c r="AG3" s="112">
        <v>0</v>
      </c>
      <c r="AH3" s="112">
        <v>0</v>
      </c>
      <c r="AI3" s="112">
        <v>0</v>
      </c>
      <c r="AJ3" s="112">
        <v>0</v>
      </c>
      <c r="AK3" s="112">
        <v>0</v>
      </c>
      <c r="AL3" s="112">
        <v>0</v>
      </c>
      <c r="AM3" s="112">
        <v>0</v>
      </c>
      <c r="AN3" s="112">
        <v>0</v>
      </c>
      <c r="AO3" s="112">
        <v>0</v>
      </c>
      <c r="AP3" s="112">
        <v>0</v>
      </c>
    </row>
    <row r="4" spans="1:42" customFormat="1" x14ac:dyDescent="0.15">
      <c r="A4" s="191" t="s">
        <v>194</v>
      </c>
      <c r="B4" s="112">
        <v>0.8</v>
      </c>
      <c r="C4" s="112">
        <v>0</v>
      </c>
      <c r="D4" s="112">
        <v>0</v>
      </c>
      <c r="E4" s="112">
        <v>0</v>
      </c>
      <c r="F4" s="112">
        <v>0</v>
      </c>
      <c r="G4" s="112">
        <v>0</v>
      </c>
      <c r="H4" s="112">
        <v>0</v>
      </c>
      <c r="I4" s="112">
        <v>0</v>
      </c>
      <c r="J4" s="112">
        <v>0</v>
      </c>
      <c r="K4" s="112">
        <v>0</v>
      </c>
      <c r="L4" s="112">
        <v>0.8</v>
      </c>
      <c r="M4" s="112">
        <v>0</v>
      </c>
      <c r="N4" s="112">
        <v>0</v>
      </c>
      <c r="O4" s="112">
        <v>0</v>
      </c>
      <c r="P4" s="112">
        <v>0</v>
      </c>
      <c r="Q4" s="112">
        <v>0</v>
      </c>
      <c r="R4" s="112">
        <v>0</v>
      </c>
      <c r="S4" s="112">
        <v>0</v>
      </c>
      <c r="T4" s="112">
        <v>0</v>
      </c>
      <c r="U4" s="112">
        <v>0</v>
      </c>
      <c r="V4" s="112">
        <v>0</v>
      </c>
      <c r="W4" s="112">
        <v>0</v>
      </c>
      <c r="X4" s="112">
        <v>0</v>
      </c>
      <c r="Y4" s="112">
        <v>0</v>
      </c>
      <c r="Z4" s="112">
        <v>0</v>
      </c>
      <c r="AA4" s="112">
        <v>0</v>
      </c>
      <c r="AB4" s="112">
        <v>0</v>
      </c>
      <c r="AC4" s="112">
        <v>0</v>
      </c>
      <c r="AD4" s="112">
        <v>0</v>
      </c>
      <c r="AE4" s="112">
        <v>0</v>
      </c>
      <c r="AF4" s="112">
        <v>0</v>
      </c>
      <c r="AG4" s="112">
        <v>0</v>
      </c>
      <c r="AH4" s="112">
        <v>0</v>
      </c>
      <c r="AI4" s="112">
        <v>0</v>
      </c>
      <c r="AJ4" s="112">
        <v>0</v>
      </c>
      <c r="AK4" s="112">
        <v>0</v>
      </c>
      <c r="AL4" s="112">
        <v>0</v>
      </c>
      <c r="AM4" s="112">
        <v>0</v>
      </c>
      <c r="AN4" s="112">
        <v>0</v>
      </c>
      <c r="AO4" s="112">
        <v>0</v>
      </c>
      <c r="AP4" s="112">
        <v>0</v>
      </c>
    </row>
    <row r="5" spans="1:42" customFormat="1" x14ac:dyDescent="0.15">
      <c r="A5" s="191" t="s">
        <v>195</v>
      </c>
      <c r="B5" s="112">
        <v>0</v>
      </c>
      <c r="C5" s="112">
        <v>0</v>
      </c>
      <c r="D5" s="112">
        <v>0</v>
      </c>
      <c r="E5" s="112">
        <v>0</v>
      </c>
      <c r="F5" s="112">
        <v>0</v>
      </c>
      <c r="G5" s="112">
        <v>0</v>
      </c>
      <c r="H5" s="112">
        <v>0</v>
      </c>
      <c r="I5" s="112">
        <v>0</v>
      </c>
      <c r="J5" s="112">
        <v>0</v>
      </c>
      <c r="K5" s="112">
        <v>0</v>
      </c>
      <c r="L5" s="112">
        <v>0</v>
      </c>
      <c r="M5" s="112">
        <v>0</v>
      </c>
      <c r="N5" s="112">
        <v>0</v>
      </c>
      <c r="O5" s="112">
        <v>0</v>
      </c>
      <c r="P5" s="112">
        <v>0</v>
      </c>
      <c r="Q5" s="112">
        <v>0</v>
      </c>
      <c r="R5" s="112">
        <v>0</v>
      </c>
      <c r="S5" s="112">
        <v>0</v>
      </c>
      <c r="T5" s="112">
        <v>0</v>
      </c>
      <c r="U5" s="112">
        <v>0</v>
      </c>
      <c r="V5" s="112">
        <v>0</v>
      </c>
      <c r="W5" s="112">
        <v>0</v>
      </c>
      <c r="X5" s="112">
        <v>0</v>
      </c>
      <c r="Y5" s="112">
        <v>0</v>
      </c>
      <c r="Z5" s="112">
        <v>0</v>
      </c>
      <c r="AA5" s="112">
        <v>0</v>
      </c>
      <c r="AB5" s="112">
        <v>0</v>
      </c>
      <c r="AC5" s="112">
        <v>0</v>
      </c>
      <c r="AD5" s="112">
        <v>0</v>
      </c>
      <c r="AE5" s="112">
        <v>0</v>
      </c>
      <c r="AF5" s="112">
        <v>0</v>
      </c>
      <c r="AG5" s="112">
        <v>0</v>
      </c>
      <c r="AH5" s="112">
        <v>0</v>
      </c>
      <c r="AI5" s="112">
        <v>0</v>
      </c>
      <c r="AJ5" s="112">
        <v>0</v>
      </c>
      <c r="AK5" s="112">
        <v>0</v>
      </c>
      <c r="AL5" s="112">
        <v>0</v>
      </c>
      <c r="AM5" s="112">
        <v>0</v>
      </c>
      <c r="AN5" s="112">
        <v>0</v>
      </c>
      <c r="AO5" s="112">
        <v>0</v>
      </c>
      <c r="AP5" s="112">
        <v>0</v>
      </c>
    </row>
    <row r="6" spans="1:42" customFormat="1" x14ac:dyDescent="0.15">
      <c r="A6" s="191" t="s">
        <v>196</v>
      </c>
      <c r="B6" s="112">
        <v>0.8</v>
      </c>
      <c r="C6" s="112">
        <v>0</v>
      </c>
      <c r="D6" s="112">
        <v>0</v>
      </c>
      <c r="E6" s="112">
        <v>0</v>
      </c>
      <c r="F6" s="112">
        <v>0</v>
      </c>
      <c r="G6" s="112">
        <v>0</v>
      </c>
      <c r="H6" s="112">
        <v>0</v>
      </c>
      <c r="I6" s="112">
        <v>0</v>
      </c>
      <c r="J6" s="112">
        <v>0</v>
      </c>
      <c r="K6" s="112">
        <v>0</v>
      </c>
      <c r="L6" s="112">
        <v>0.8</v>
      </c>
      <c r="M6" s="112">
        <v>0</v>
      </c>
      <c r="N6" s="112">
        <v>0</v>
      </c>
      <c r="O6" s="112">
        <v>0</v>
      </c>
      <c r="P6" s="112">
        <v>0</v>
      </c>
      <c r="Q6" s="112">
        <v>0</v>
      </c>
      <c r="R6" s="112">
        <v>0</v>
      </c>
      <c r="S6" s="112">
        <v>0</v>
      </c>
      <c r="T6" s="112">
        <v>0</v>
      </c>
      <c r="U6" s="112">
        <v>0</v>
      </c>
      <c r="V6" s="112">
        <v>0</v>
      </c>
      <c r="W6" s="112">
        <v>0</v>
      </c>
      <c r="X6" s="112">
        <v>0</v>
      </c>
      <c r="Y6" s="112">
        <v>0</v>
      </c>
      <c r="Z6" s="112">
        <v>0</v>
      </c>
      <c r="AA6" s="112">
        <v>0</v>
      </c>
      <c r="AB6" s="112">
        <v>0</v>
      </c>
      <c r="AC6" s="112">
        <v>0</v>
      </c>
      <c r="AD6" s="112">
        <v>0</v>
      </c>
      <c r="AE6" s="112">
        <v>0</v>
      </c>
      <c r="AF6" s="112">
        <v>0</v>
      </c>
      <c r="AG6" s="112">
        <v>0</v>
      </c>
      <c r="AH6" s="112">
        <v>0</v>
      </c>
      <c r="AI6" s="112">
        <v>0</v>
      </c>
      <c r="AJ6" s="112">
        <v>0</v>
      </c>
      <c r="AK6" s="112">
        <v>0</v>
      </c>
      <c r="AL6" s="112">
        <v>0</v>
      </c>
      <c r="AM6" s="112">
        <v>0</v>
      </c>
      <c r="AN6" s="112">
        <v>0</v>
      </c>
      <c r="AO6" s="112">
        <v>0</v>
      </c>
      <c r="AP6" s="112">
        <v>0</v>
      </c>
    </row>
    <row r="7" spans="1:42" customFormat="1" x14ac:dyDescent="0.15">
      <c r="A7" s="191" t="s">
        <v>197</v>
      </c>
      <c r="B7" s="112">
        <v>0.8</v>
      </c>
      <c r="C7" s="112">
        <v>0</v>
      </c>
      <c r="D7" s="112">
        <v>0</v>
      </c>
      <c r="E7" s="112">
        <v>0</v>
      </c>
      <c r="F7" s="112">
        <v>0</v>
      </c>
      <c r="G7" s="112">
        <v>0</v>
      </c>
      <c r="H7" s="112">
        <v>0</v>
      </c>
      <c r="I7" s="112">
        <v>0</v>
      </c>
      <c r="J7" s="112">
        <v>0</v>
      </c>
      <c r="K7" s="112">
        <v>0</v>
      </c>
      <c r="L7" s="112">
        <v>0.8</v>
      </c>
      <c r="M7" s="112">
        <v>0</v>
      </c>
      <c r="N7" s="112">
        <v>0</v>
      </c>
      <c r="O7" s="112">
        <v>0</v>
      </c>
      <c r="P7" s="112">
        <v>0</v>
      </c>
      <c r="Q7" s="112">
        <v>0</v>
      </c>
      <c r="R7" s="112">
        <v>0</v>
      </c>
      <c r="S7" s="112">
        <v>0</v>
      </c>
      <c r="T7" s="112">
        <v>0</v>
      </c>
      <c r="U7" s="112">
        <v>0</v>
      </c>
      <c r="V7" s="112">
        <v>0</v>
      </c>
      <c r="W7" s="112">
        <v>0</v>
      </c>
      <c r="X7" s="112">
        <v>0</v>
      </c>
      <c r="Y7" s="112">
        <v>0</v>
      </c>
      <c r="Z7" s="112">
        <v>0</v>
      </c>
      <c r="AA7" s="112">
        <v>0</v>
      </c>
      <c r="AB7" s="112">
        <v>0</v>
      </c>
      <c r="AC7" s="112">
        <v>0</v>
      </c>
      <c r="AD7" s="112">
        <v>0</v>
      </c>
      <c r="AE7" s="112">
        <v>0</v>
      </c>
      <c r="AF7" s="112">
        <v>0</v>
      </c>
      <c r="AG7" s="112">
        <v>0</v>
      </c>
      <c r="AH7" s="112">
        <v>0</v>
      </c>
      <c r="AI7" s="112">
        <v>0</v>
      </c>
      <c r="AJ7" s="112">
        <v>0</v>
      </c>
      <c r="AK7" s="112">
        <v>0</v>
      </c>
      <c r="AL7" s="112">
        <v>0</v>
      </c>
      <c r="AM7" s="112">
        <v>0</v>
      </c>
      <c r="AN7" s="112">
        <v>0</v>
      </c>
      <c r="AO7" s="112">
        <v>0</v>
      </c>
      <c r="AP7" s="112">
        <v>0</v>
      </c>
    </row>
    <row r="8" spans="1:42" customFormat="1" x14ac:dyDescent="0.15">
      <c r="A8" s="191" t="s">
        <v>198</v>
      </c>
      <c r="B8" s="112">
        <v>0.8</v>
      </c>
      <c r="C8" s="112">
        <v>0</v>
      </c>
      <c r="D8" s="112">
        <v>0</v>
      </c>
      <c r="E8" s="112">
        <v>0</v>
      </c>
      <c r="F8" s="112">
        <v>0</v>
      </c>
      <c r="G8" s="112">
        <v>0</v>
      </c>
      <c r="H8" s="112">
        <v>0</v>
      </c>
      <c r="I8" s="112">
        <v>0</v>
      </c>
      <c r="J8" s="112">
        <v>0</v>
      </c>
      <c r="K8" s="112">
        <v>0</v>
      </c>
      <c r="L8" s="112">
        <v>0</v>
      </c>
      <c r="M8" s="112">
        <v>0</v>
      </c>
      <c r="N8" s="112">
        <v>0</v>
      </c>
      <c r="O8" s="112">
        <v>0</v>
      </c>
      <c r="P8" s="112">
        <v>0</v>
      </c>
      <c r="Q8" s="112">
        <v>0</v>
      </c>
      <c r="R8" s="112">
        <v>0</v>
      </c>
      <c r="S8" s="112">
        <v>0</v>
      </c>
      <c r="T8" s="112">
        <v>0</v>
      </c>
      <c r="U8" s="112">
        <v>0</v>
      </c>
      <c r="V8" s="112">
        <v>0</v>
      </c>
      <c r="W8" s="112">
        <v>0</v>
      </c>
      <c r="X8" s="112">
        <v>0</v>
      </c>
      <c r="Y8" s="112">
        <v>0</v>
      </c>
      <c r="Z8" s="112">
        <v>0</v>
      </c>
      <c r="AA8" s="112">
        <v>0</v>
      </c>
      <c r="AB8" s="112">
        <v>0</v>
      </c>
      <c r="AC8" s="112">
        <v>0</v>
      </c>
      <c r="AD8" s="112">
        <v>0</v>
      </c>
      <c r="AE8" s="112">
        <v>0</v>
      </c>
      <c r="AF8" s="112">
        <v>0</v>
      </c>
      <c r="AG8" s="112">
        <v>0</v>
      </c>
      <c r="AH8" s="112">
        <v>0</v>
      </c>
      <c r="AI8" s="112">
        <v>0</v>
      </c>
      <c r="AJ8" s="112">
        <v>0</v>
      </c>
      <c r="AK8" s="112">
        <v>0</v>
      </c>
      <c r="AL8" s="112">
        <v>0</v>
      </c>
      <c r="AM8" s="112">
        <v>0</v>
      </c>
      <c r="AN8" s="112">
        <v>0</v>
      </c>
      <c r="AO8" s="112">
        <v>0</v>
      </c>
      <c r="AP8" s="112">
        <v>0</v>
      </c>
    </row>
    <row r="9" spans="1:42" customFormat="1" x14ac:dyDescent="0.15">
      <c r="A9" s="191" t="s">
        <v>199</v>
      </c>
      <c r="B9" s="112">
        <v>0.8</v>
      </c>
      <c r="C9" s="112">
        <v>0</v>
      </c>
      <c r="D9" s="112">
        <v>0</v>
      </c>
      <c r="E9" s="112">
        <v>0</v>
      </c>
      <c r="F9" s="112">
        <v>0</v>
      </c>
      <c r="G9" s="112">
        <v>0</v>
      </c>
      <c r="H9" s="112">
        <v>0</v>
      </c>
      <c r="I9" s="112">
        <v>0</v>
      </c>
      <c r="J9" s="112">
        <v>0</v>
      </c>
      <c r="K9" s="112">
        <v>0</v>
      </c>
      <c r="L9" s="112">
        <v>0.8</v>
      </c>
      <c r="M9" s="112">
        <v>0</v>
      </c>
      <c r="N9" s="112">
        <v>0</v>
      </c>
      <c r="O9" s="112">
        <v>0</v>
      </c>
      <c r="P9" s="112">
        <v>0</v>
      </c>
      <c r="Q9" s="112">
        <v>0</v>
      </c>
      <c r="R9" s="112">
        <v>0</v>
      </c>
      <c r="S9" s="112">
        <v>0</v>
      </c>
      <c r="T9" s="112">
        <v>0</v>
      </c>
      <c r="U9" s="112">
        <v>0</v>
      </c>
      <c r="V9" s="112">
        <v>0</v>
      </c>
      <c r="W9" s="112">
        <v>0</v>
      </c>
      <c r="X9" s="112">
        <v>0</v>
      </c>
      <c r="Y9" s="112">
        <v>0</v>
      </c>
      <c r="Z9" s="112">
        <v>0</v>
      </c>
      <c r="AA9" s="112">
        <v>0</v>
      </c>
      <c r="AB9" s="112">
        <v>0</v>
      </c>
      <c r="AC9" s="112">
        <v>0</v>
      </c>
      <c r="AD9" s="112">
        <v>0</v>
      </c>
      <c r="AE9" s="112">
        <v>0</v>
      </c>
      <c r="AF9" s="112">
        <v>0</v>
      </c>
      <c r="AG9" s="112">
        <v>0</v>
      </c>
      <c r="AH9" s="112">
        <v>0</v>
      </c>
      <c r="AI9" s="112">
        <v>0</v>
      </c>
      <c r="AJ9" s="112">
        <v>0</v>
      </c>
      <c r="AK9" s="112">
        <v>0</v>
      </c>
      <c r="AL9" s="112">
        <v>0</v>
      </c>
      <c r="AM9" s="112">
        <v>0</v>
      </c>
      <c r="AN9" s="112">
        <v>0</v>
      </c>
      <c r="AO9" s="112">
        <v>0</v>
      </c>
      <c r="AP9" s="112">
        <v>0</v>
      </c>
    </row>
    <row r="10" spans="1:42" customFormat="1" x14ac:dyDescent="0.15">
      <c r="A10" s="191" t="s">
        <v>200</v>
      </c>
      <c r="B10" s="112">
        <v>0</v>
      </c>
      <c r="C10" s="112">
        <v>0</v>
      </c>
      <c r="D10" s="112">
        <v>0</v>
      </c>
      <c r="E10" s="112">
        <v>0</v>
      </c>
      <c r="F10" s="112">
        <v>0</v>
      </c>
      <c r="G10" s="112">
        <v>0</v>
      </c>
      <c r="H10" s="112">
        <v>0</v>
      </c>
      <c r="I10" s="112">
        <v>0</v>
      </c>
      <c r="J10" s="112">
        <v>0</v>
      </c>
      <c r="K10" s="112">
        <v>0</v>
      </c>
      <c r="L10" s="112">
        <v>0</v>
      </c>
      <c r="M10" s="112">
        <v>0</v>
      </c>
      <c r="N10" s="112">
        <v>0</v>
      </c>
      <c r="O10" s="112">
        <v>0</v>
      </c>
      <c r="P10" s="112">
        <v>0</v>
      </c>
      <c r="Q10" s="112">
        <v>0</v>
      </c>
      <c r="R10" s="112">
        <v>0</v>
      </c>
      <c r="S10" s="112">
        <v>0</v>
      </c>
      <c r="T10" s="112">
        <v>0</v>
      </c>
      <c r="U10" s="112">
        <v>0</v>
      </c>
      <c r="V10" s="112">
        <v>0</v>
      </c>
      <c r="W10" s="112">
        <v>0</v>
      </c>
      <c r="X10" s="112">
        <v>0</v>
      </c>
      <c r="Y10" s="112">
        <v>0</v>
      </c>
      <c r="Z10" s="112">
        <v>0</v>
      </c>
      <c r="AA10" s="112">
        <v>0</v>
      </c>
      <c r="AB10" s="112">
        <v>0</v>
      </c>
      <c r="AC10" s="112">
        <v>0</v>
      </c>
      <c r="AD10" s="112">
        <v>0</v>
      </c>
      <c r="AE10" s="112">
        <v>0</v>
      </c>
      <c r="AF10" s="112">
        <v>0</v>
      </c>
      <c r="AG10" s="112">
        <v>0</v>
      </c>
      <c r="AH10" s="112">
        <v>0</v>
      </c>
      <c r="AI10" s="112">
        <v>0</v>
      </c>
      <c r="AJ10" s="112">
        <v>0</v>
      </c>
      <c r="AK10" s="112">
        <v>0</v>
      </c>
      <c r="AL10" s="112">
        <v>0</v>
      </c>
      <c r="AM10" s="112">
        <v>0</v>
      </c>
      <c r="AN10" s="112">
        <v>0</v>
      </c>
      <c r="AO10" s="112">
        <v>0</v>
      </c>
      <c r="AP10" s="112">
        <v>0</v>
      </c>
    </row>
    <row r="11" spans="1:42" customFormat="1" x14ac:dyDescent="0.15">
      <c r="A11" s="191" t="s">
        <v>201</v>
      </c>
      <c r="B11" s="112">
        <v>0.8</v>
      </c>
      <c r="C11" s="112">
        <v>0</v>
      </c>
      <c r="D11" s="112">
        <v>0</v>
      </c>
      <c r="E11" s="112">
        <v>0</v>
      </c>
      <c r="F11" s="112">
        <v>0</v>
      </c>
      <c r="G11" s="112">
        <v>0.8</v>
      </c>
      <c r="H11" s="112">
        <v>0.8</v>
      </c>
      <c r="I11" s="112">
        <v>0</v>
      </c>
      <c r="J11" s="112">
        <v>0</v>
      </c>
      <c r="K11" s="112">
        <v>0.8</v>
      </c>
      <c r="L11" s="112">
        <v>0.8</v>
      </c>
      <c r="M11" s="112">
        <v>0</v>
      </c>
      <c r="N11" s="112">
        <v>0</v>
      </c>
      <c r="O11" s="112">
        <v>0</v>
      </c>
      <c r="P11" s="112">
        <v>0</v>
      </c>
      <c r="Q11" s="112">
        <v>0</v>
      </c>
      <c r="R11" s="112">
        <v>0</v>
      </c>
      <c r="S11" s="112">
        <v>0</v>
      </c>
      <c r="T11" s="112">
        <v>0</v>
      </c>
      <c r="U11" s="112">
        <v>0</v>
      </c>
      <c r="V11" s="112">
        <v>0</v>
      </c>
      <c r="W11" s="112">
        <v>0</v>
      </c>
      <c r="X11" s="112">
        <v>0</v>
      </c>
      <c r="Y11" s="112">
        <v>0</v>
      </c>
      <c r="Z11" s="112">
        <v>0</v>
      </c>
      <c r="AA11" s="112">
        <v>0</v>
      </c>
      <c r="AB11" s="112">
        <v>0</v>
      </c>
      <c r="AC11" s="112">
        <v>0</v>
      </c>
      <c r="AD11" s="112">
        <v>0</v>
      </c>
      <c r="AE11" s="112">
        <v>0</v>
      </c>
      <c r="AF11" s="112">
        <v>0</v>
      </c>
      <c r="AG11" s="112">
        <v>0</v>
      </c>
      <c r="AH11" s="112">
        <v>0</v>
      </c>
      <c r="AI11" s="112">
        <v>0</v>
      </c>
      <c r="AJ11" s="112">
        <v>0</v>
      </c>
      <c r="AK11" s="112">
        <v>0</v>
      </c>
      <c r="AL11" s="112">
        <v>0</v>
      </c>
      <c r="AM11" s="112">
        <v>0</v>
      </c>
      <c r="AN11" s="112">
        <v>0</v>
      </c>
      <c r="AO11" s="112">
        <v>0</v>
      </c>
      <c r="AP11" s="112">
        <v>0</v>
      </c>
    </row>
    <row r="12" spans="1:42" customFormat="1" x14ac:dyDescent="0.15">
      <c r="A12" s="191" t="s">
        <v>202</v>
      </c>
      <c r="B12" s="112">
        <v>0</v>
      </c>
      <c r="C12" s="112">
        <v>0</v>
      </c>
      <c r="D12" s="112">
        <v>0</v>
      </c>
      <c r="E12" s="112">
        <v>0</v>
      </c>
      <c r="F12" s="112">
        <v>0</v>
      </c>
      <c r="G12" s="112">
        <v>0</v>
      </c>
      <c r="H12" s="112">
        <v>0</v>
      </c>
      <c r="I12" s="112">
        <v>0</v>
      </c>
      <c r="J12" s="112">
        <v>0</v>
      </c>
      <c r="K12" s="112">
        <v>0</v>
      </c>
      <c r="L12" s="112">
        <v>0</v>
      </c>
      <c r="M12" s="112">
        <v>0.8</v>
      </c>
      <c r="N12" s="112">
        <v>0</v>
      </c>
      <c r="O12" s="112">
        <v>0</v>
      </c>
      <c r="P12" s="112">
        <v>0</v>
      </c>
      <c r="Q12" s="112">
        <v>0</v>
      </c>
      <c r="R12" s="112">
        <v>0</v>
      </c>
      <c r="S12" s="112">
        <v>0</v>
      </c>
      <c r="T12" s="112">
        <v>0</v>
      </c>
      <c r="U12" s="112">
        <v>0</v>
      </c>
      <c r="V12" s="112">
        <v>0</v>
      </c>
      <c r="W12" s="112">
        <v>0</v>
      </c>
      <c r="X12" s="112">
        <v>0</v>
      </c>
      <c r="Y12" s="112">
        <v>0</v>
      </c>
      <c r="Z12" s="112">
        <v>0</v>
      </c>
      <c r="AA12" s="112">
        <v>0</v>
      </c>
      <c r="AB12" s="112">
        <v>0</v>
      </c>
      <c r="AC12" s="112">
        <v>0</v>
      </c>
      <c r="AD12" s="112">
        <v>0</v>
      </c>
      <c r="AE12" s="112">
        <v>0</v>
      </c>
      <c r="AF12" s="112">
        <v>0</v>
      </c>
      <c r="AG12" s="112">
        <v>0</v>
      </c>
      <c r="AH12" s="112">
        <v>0</v>
      </c>
      <c r="AI12" s="112">
        <v>0</v>
      </c>
      <c r="AJ12" s="112">
        <v>0</v>
      </c>
      <c r="AK12" s="112">
        <v>0</v>
      </c>
      <c r="AL12" s="112">
        <v>0</v>
      </c>
      <c r="AM12" s="112">
        <v>0</v>
      </c>
      <c r="AN12" s="112">
        <v>0</v>
      </c>
      <c r="AO12" s="112">
        <v>0</v>
      </c>
      <c r="AP12" s="112">
        <v>0</v>
      </c>
    </row>
    <row r="13" spans="1:42" customFormat="1" x14ac:dyDescent="0.15">
      <c r="A13" s="191" t="s">
        <v>203</v>
      </c>
      <c r="B13" s="112">
        <v>0</v>
      </c>
      <c r="C13" s="112">
        <v>0.8</v>
      </c>
      <c r="D13" s="112">
        <v>0</v>
      </c>
      <c r="E13" s="112">
        <v>0</v>
      </c>
      <c r="F13" s="112">
        <v>0</v>
      </c>
      <c r="G13" s="112">
        <v>0.8</v>
      </c>
      <c r="H13" s="112">
        <v>0.8</v>
      </c>
      <c r="I13" s="112">
        <v>0</v>
      </c>
      <c r="J13" s="112">
        <v>0</v>
      </c>
      <c r="K13" s="112">
        <v>0</v>
      </c>
      <c r="L13" s="112">
        <v>0.8</v>
      </c>
      <c r="M13" s="112">
        <v>0.8</v>
      </c>
      <c r="N13" s="112">
        <v>0</v>
      </c>
      <c r="O13" s="112">
        <v>0</v>
      </c>
      <c r="P13" s="112">
        <v>0</v>
      </c>
      <c r="Q13" s="112">
        <v>0</v>
      </c>
      <c r="R13" s="112">
        <v>0</v>
      </c>
      <c r="S13" s="112">
        <v>0</v>
      </c>
      <c r="T13" s="112">
        <v>0</v>
      </c>
      <c r="U13" s="112">
        <v>0</v>
      </c>
      <c r="V13" s="112">
        <v>0</v>
      </c>
      <c r="W13" s="112">
        <v>0</v>
      </c>
      <c r="X13" s="112">
        <v>0</v>
      </c>
      <c r="Y13" s="112">
        <v>0</v>
      </c>
      <c r="Z13" s="112">
        <v>0</v>
      </c>
      <c r="AA13" s="112">
        <v>0</v>
      </c>
      <c r="AB13" s="112">
        <v>0</v>
      </c>
      <c r="AC13" s="112">
        <v>0</v>
      </c>
      <c r="AD13" s="112">
        <v>0</v>
      </c>
      <c r="AE13" s="112">
        <v>0</v>
      </c>
      <c r="AF13" s="112">
        <v>0</v>
      </c>
      <c r="AG13" s="112">
        <v>0</v>
      </c>
      <c r="AH13" s="112">
        <v>0</v>
      </c>
      <c r="AI13" s="112">
        <v>0</v>
      </c>
      <c r="AJ13" s="112">
        <v>0</v>
      </c>
      <c r="AK13" s="112">
        <v>0</v>
      </c>
      <c r="AL13" s="112">
        <v>0</v>
      </c>
      <c r="AM13" s="112">
        <v>0</v>
      </c>
      <c r="AN13" s="112">
        <v>0</v>
      </c>
      <c r="AO13" s="112">
        <v>0</v>
      </c>
      <c r="AP13" s="112">
        <v>0</v>
      </c>
    </row>
    <row r="14" spans="1:42" customFormat="1" x14ac:dyDescent="0.15">
      <c r="A14" s="191" t="s">
        <v>204</v>
      </c>
      <c r="B14" s="112">
        <v>0</v>
      </c>
      <c r="C14" s="112">
        <v>0.8</v>
      </c>
      <c r="D14" s="112">
        <v>0.8</v>
      </c>
      <c r="E14" s="112">
        <v>0</v>
      </c>
      <c r="F14" s="112">
        <v>0</v>
      </c>
      <c r="G14" s="112">
        <v>0.8</v>
      </c>
      <c r="H14" s="112">
        <v>0.8</v>
      </c>
      <c r="I14" s="112">
        <v>0.8</v>
      </c>
      <c r="J14" s="112">
        <v>0</v>
      </c>
      <c r="K14" s="112">
        <v>0</v>
      </c>
      <c r="L14" s="112">
        <v>0.8</v>
      </c>
      <c r="M14" s="112">
        <v>0.8</v>
      </c>
      <c r="N14" s="112">
        <v>0.8</v>
      </c>
      <c r="O14" s="112">
        <v>0.8</v>
      </c>
      <c r="P14" s="112">
        <v>0</v>
      </c>
      <c r="Q14" s="112">
        <v>0</v>
      </c>
      <c r="R14" s="112">
        <v>0</v>
      </c>
      <c r="S14" s="112">
        <v>0</v>
      </c>
      <c r="T14" s="112">
        <v>0</v>
      </c>
      <c r="U14" s="112">
        <v>0</v>
      </c>
      <c r="V14" s="112">
        <v>0</v>
      </c>
      <c r="W14" s="112">
        <v>0.8</v>
      </c>
      <c r="X14" s="112">
        <v>0</v>
      </c>
      <c r="Y14" s="112">
        <v>0</v>
      </c>
      <c r="Z14" s="112">
        <v>0.8</v>
      </c>
      <c r="AA14" s="112">
        <v>0</v>
      </c>
      <c r="AB14" s="112">
        <v>0.8</v>
      </c>
      <c r="AC14" s="112">
        <v>0</v>
      </c>
      <c r="AD14" s="112">
        <v>0</v>
      </c>
      <c r="AE14" s="112">
        <v>0.8</v>
      </c>
      <c r="AF14" s="112">
        <v>0</v>
      </c>
      <c r="AG14" s="112">
        <v>0</v>
      </c>
      <c r="AH14" s="112">
        <v>0</v>
      </c>
      <c r="AI14" s="112">
        <v>0</v>
      </c>
      <c r="AJ14" s="112">
        <v>0</v>
      </c>
      <c r="AK14" s="112">
        <v>0</v>
      </c>
      <c r="AL14" s="112">
        <v>0</v>
      </c>
      <c r="AM14" s="112">
        <v>0</v>
      </c>
      <c r="AN14" s="112">
        <v>0</v>
      </c>
      <c r="AO14" s="112">
        <v>0</v>
      </c>
      <c r="AP14" s="112">
        <v>0</v>
      </c>
    </row>
    <row r="15" spans="1:42" customFormat="1" x14ac:dyDescent="0.15">
      <c r="A15" s="191" t="s">
        <v>205</v>
      </c>
      <c r="B15" s="112">
        <v>0</v>
      </c>
      <c r="C15" s="112">
        <v>0.8</v>
      </c>
      <c r="D15" s="112">
        <v>0</v>
      </c>
      <c r="E15" s="112">
        <v>0</v>
      </c>
      <c r="F15" s="112">
        <v>0</v>
      </c>
      <c r="G15" s="112">
        <v>0.8</v>
      </c>
      <c r="H15" s="112">
        <v>0.8</v>
      </c>
      <c r="I15" s="112">
        <v>0.8</v>
      </c>
      <c r="J15" s="112">
        <v>0</v>
      </c>
      <c r="K15" s="112">
        <v>0</v>
      </c>
      <c r="L15" s="112">
        <v>0.8</v>
      </c>
      <c r="M15" s="112">
        <v>0.8</v>
      </c>
      <c r="N15" s="112">
        <v>0</v>
      </c>
      <c r="O15" s="112">
        <v>0.8</v>
      </c>
      <c r="P15" s="112">
        <v>0</v>
      </c>
      <c r="Q15" s="112">
        <v>0</v>
      </c>
      <c r="R15" s="112">
        <v>0</v>
      </c>
      <c r="S15" s="112">
        <v>0</v>
      </c>
      <c r="T15" s="112">
        <v>0</v>
      </c>
      <c r="U15" s="112">
        <v>0</v>
      </c>
      <c r="V15" s="112">
        <v>0</v>
      </c>
      <c r="W15" s="112">
        <v>0</v>
      </c>
      <c r="X15" s="112">
        <v>0</v>
      </c>
      <c r="Y15" s="112">
        <v>0</v>
      </c>
      <c r="Z15" s="112">
        <v>0</v>
      </c>
      <c r="AA15" s="112">
        <v>0</v>
      </c>
      <c r="AB15" s="112">
        <v>0.8</v>
      </c>
      <c r="AC15" s="112">
        <v>0</v>
      </c>
      <c r="AD15" s="112">
        <v>0</v>
      </c>
      <c r="AE15" s="112">
        <v>0.8</v>
      </c>
      <c r="AF15" s="112">
        <v>0</v>
      </c>
      <c r="AG15" s="112">
        <v>0</v>
      </c>
      <c r="AH15" s="112">
        <v>0</v>
      </c>
      <c r="AI15" s="112">
        <v>0</v>
      </c>
      <c r="AJ15" s="112">
        <v>0</v>
      </c>
      <c r="AK15" s="112">
        <v>0</v>
      </c>
      <c r="AL15" s="112">
        <v>0</v>
      </c>
      <c r="AM15" s="112">
        <v>0</v>
      </c>
      <c r="AN15" s="112">
        <v>0</v>
      </c>
      <c r="AO15" s="112">
        <v>0</v>
      </c>
      <c r="AP15" s="112">
        <v>0</v>
      </c>
    </row>
    <row r="16" spans="1:42" customFormat="1" x14ac:dyDescent="0.15">
      <c r="A16" s="191" t="s">
        <v>206</v>
      </c>
      <c r="B16" s="112">
        <v>0</v>
      </c>
      <c r="C16" s="112">
        <v>0.8</v>
      </c>
      <c r="D16" s="112">
        <v>0.8</v>
      </c>
      <c r="E16" s="112">
        <v>0</v>
      </c>
      <c r="F16" s="112">
        <v>0</v>
      </c>
      <c r="G16" s="112">
        <v>0.8</v>
      </c>
      <c r="H16" s="112">
        <v>0.8</v>
      </c>
      <c r="I16" s="112">
        <v>0.8</v>
      </c>
      <c r="J16" s="112">
        <v>0</v>
      </c>
      <c r="K16" s="112">
        <v>0.8</v>
      </c>
      <c r="L16" s="112">
        <v>0.8</v>
      </c>
      <c r="M16" s="112">
        <v>0.8</v>
      </c>
      <c r="N16" s="112">
        <v>0.8</v>
      </c>
      <c r="O16" s="112">
        <v>0.8</v>
      </c>
      <c r="P16" s="112">
        <v>0.8</v>
      </c>
      <c r="Q16" s="112">
        <v>0</v>
      </c>
      <c r="R16" s="112">
        <v>0</v>
      </c>
      <c r="S16" s="112">
        <v>0.8</v>
      </c>
      <c r="T16" s="112">
        <v>0.8</v>
      </c>
      <c r="U16" s="112">
        <v>0</v>
      </c>
      <c r="V16" s="112">
        <v>0.8</v>
      </c>
      <c r="W16" s="112">
        <v>0.8</v>
      </c>
      <c r="X16" s="112">
        <v>0.8</v>
      </c>
      <c r="Y16" s="112">
        <v>0.8</v>
      </c>
      <c r="Z16" s="112">
        <v>0.8</v>
      </c>
      <c r="AA16" s="112">
        <v>0.8</v>
      </c>
      <c r="AB16" s="112">
        <v>0.8</v>
      </c>
      <c r="AC16" s="112">
        <v>0.8</v>
      </c>
      <c r="AD16" s="112">
        <v>0.8</v>
      </c>
      <c r="AE16" s="112">
        <v>0.8</v>
      </c>
      <c r="AF16" s="112">
        <v>0.8</v>
      </c>
      <c r="AG16" s="112">
        <v>0</v>
      </c>
      <c r="AH16" s="112">
        <v>0</v>
      </c>
      <c r="AI16" s="112">
        <v>0</v>
      </c>
      <c r="AJ16" s="112">
        <v>0.8</v>
      </c>
      <c r="AK16" s="112">
        <v>0</v>
      </c>
      <c r="AL16" s="112">
        <v>0</v>
      </c>
      <c r="AM16" s="112">
        <v>0</v>
      </c>
      <c r="AN16" s="112">
        <v>0</v>
      </c>
      <c r="AO16" s="112">
        <v>0</v>
      </c>
      <c r="AP16" s="112">
        <v>0</v>
      </c>
    </row>
    <row r="17" spans="1:42" customFormat="1" x14ac:dyDescent="0.15">
      <c r="A17" s="191" t="s">
        <v>207</v>
      </c>
      <c r="B17" s="112">
        <v>0</v>
      </c>
      <c r="C17" s="112">
        <v>0</v>
      </c>
      <c r="D17" s="112">
        <v>0.8</v>
      </c>
      <c r="E17" s="112">
        <v>0</v>
      </c>
      <c r="F17" s="112">
        <v>0</v>
      </c>
      <c r="G17" s="112">
        <v>0.8</v>
      </c>
      <c r="H17" s="112">
        <v>0.8</v>
      </c>
      <c r="I17" s="112">
        <v>0.8</v>
      </c>
      <c r="J17" s="112">
        <v>0</v>
      </c>
      <c r="K17" s="112">
        <v>0.8</v>
      </c>
      <c r="L17" s="112">
        <v>0</v>
      </c>
      <c r="M17" s="112">
        <v>0.8</v>
      </c>
      <c r="N17" s="112">
        <v>0.8</v>
      </c>
      <c r="O17" s="112">
        <v>0.8</v>
      </c>
      <c r="P17" s="112">
        <v>0.8</v>
      </c>
      <c r="Q17" s="112">
        <v>0</v>
      </c>
      <c r="R17" s="112">
        <v>0</v>
      </c>
      <c r="S17" s="112">
        <v>0.8</v>
      </c>
      <c r="T17" s="112">
        <v>0.8</v>
      </c>
      <c r="U17" s="112">
        <v>0</v>
      </c>
      <c r="V17" s="112">
        <v>0.8</v>
      </c>
      <c r="W17" s="112">
        <v>0.8</v>
      </c>
      <c r="X17" s="112">
        <v>0.8</v>
      </c>
      <c r="Y17" s="112">
        <v>0.8</v>
      </c>
      <c r="Z17" s="112">
        <v>0.8</v>
      </c>
      <c r="AA17" s="112">
        <v>0.8</v>
      </c>
      <c r="AB17" s="112">
        <v>0.8</v>
      </c>
      <c r="AC17" s="112">
        <v>0.8</v>
      </c>
      <c r="AD17" s="112">
        <v>0.8</v>
      </c>
      <c r="AE17" s="112">
        <v>0</v>
      </c>
      <c r="AF17" s="112">
        <v>0</v>
      </c>
      <c r="AG17" s="112">
        <v>0</v>
      </c>
      <c r="AH17" s="112">
        <v>0</v>
      </c>
      <c r="AI17" s="112">
        <v>0</v>
      </c>
      <c r="AJ17" s="112">
        <v>0.8</v>
      </c>
      <c r="AK17" s="112">
        <v>0</v>
      </c>
      <c r="AL17" s="112">
        <v>0</v>
      </c>
      <c r="AM17" s="112">
        <v>0</v>
      </c>
      <c r="AN17" s="112">
        <v>0</v>
      </c>
      <c r="AO17" s="112">
        <v>0</v>
      </c>
      <c r="AP17" s="112">
        <v>0</v>
      </c>
    </row>
    <row r="18" spans="1:42" customFormat="1" x14ac:dyDescent="0.15">
      <c r="A18" s="191" t="s">
        <v>208</v>
      </c>
      <c r="B18" s="112">
        <v>0</v>
      </c>
      <c r="C18" s="112">
        <v>0.8</v>
      </c>
      <c r="D18" s="112">
        <v>0.8</v>
      </c>
      <c r="E18" s="112">
        <v>0</v>
      </c>
      <c r="F18" s="112">
        <v>0</v>
      </c>
      <c r="G18" s="112">
        <v>0.8</v>
      </c>
      <c r="H18" s="112">
        <v>0.8</v>
      </c>
      <c r="I18" s="112">
        <v>0.8</v>
      </c>
      <c r="J18" s="112">
        <v>0</v>
      </c>
      <c r="K18" s="112">
        <v>0.8</v>
      </c>
      <c r="L18" s="112">
        <v>0.8</v>
      </c>
      <c r="M18" s="112">
        <v>0.8</v>
      </c>
      <c r="N18" s="112">
        <v>0.8</v>
      </c>
      <c r="O18" s="112">
        <v>0.8</v>
      </c>
      <c r="P18" s="112">
        <v>0</v>
      </c>
      <c r="Q18" s="112">
        <v>0</v>
      </c>
      <c r="R18" s="112">
        <v>0</v>
      </c>
      <c r="S18" s="112">
        <v>0</v>
      </c>
      <c r="T18" s="112">
        <v>0.8</v>
      </c>
      <c r="U18" s="112">
        <v>0</v>
      </c>
      <c r="V18" s="112">
        <v>0.8</v>
      </c>
      <c r="W18" s="112">
        <v>0.8</v>
      </c>
      <c r="X18" s="112">
        <v>0.8</v>
      </c>
      <c r="Y18" s="112">
        <v>0.8</v>
      </c>
      <c r="Z18" s="112">
        <v>0.8</v>
      </c>
      <c r="AA18" s="112">
        <v>0.8</v>
      </c>
      <c r="AB18" s="112">
        <v>0.8</v>
      </c>
      <c r="AC18" s="112">
        <v>0.8</v>
      </c>
      <c r="AD18" s="112">
        <v>0.8</v>
      </c>
      <c r="AE18" s="112">
        <v>0</v>
      </c>
      <c r="AF18" s="112">
        <v>0</v>
      </c>
      <c r="AG18" s="112">
        <v>0</v>
      </c>
      <c r="AH18" s="112">
        <v>0</v>
      </c>
      <c r="AI18" s="112">
        <v>0</v>
      </c>
      <c r="AJ18" s="112">
        <v>0.8</v>
      </c>
      <c r="AK18" s="112">
        <v>0</v>
      </c>
      <c r="AL18" s="112">
        <v>0</v>
      </c>
      <c r="AM18" s="112">
        <v>0</v>
      </c>
      <c r="AN18" s="112">
        <v>0</v>
      </c>
      <c r="AO18" s="112">
        <v>0</v>
      </c>
      <c r="AP18" s="112">
        <v>0</v>
      </c>
    </row>
    <row r="19" spans="1:42" customFormat="1" x14ac:dyDescent="0.15">
      <c r="A19" s="191" t="s">
        <v>209</v>
      </c>
      <c r="B19" s="112">
        <v>0</v>
      </c>
      <c r="C19" s="112">
        <v>0</v>
      </c>
      <c r="D19" s="112">
        <v>0.8</v>
      </c>
      <c r="E19" s="112">
        <v>0</v>
      </c>
      <c r="F19" s="112">
        <v>0</v>
      </c>
      <c r="G19" s="112">
        <v>0.8</v>
      </c>
      <c r="H19" s="112">
        <v>0.8</v>
      </c>
      <c r="I19" s="112">
        <v>0.8</v>
      </c>
      <c r="J19" s="112">
        <v>0</v>
      </c>
      <c r="K19" s="112">
        <v>0.8</v>
      </c>
      <c r="L19" s="112">
        <v>0.8</v>
      </c>
      <c r="M19" s="112">
        <v>0.8</v>
      </c>
      <c r="N19" s="112">
        <v>0</v>
      </c>
      <c r="O19" s="112">
        <v>0.8</v>
      </c>
      <c r="P19" s="112">
        <v>0</v>
      </c>
      <c r="Q19" s="112">
        <v>0</v>
      </c>
      <c r="R19" s="112">
        <v>0</v>
      </c>
      <c r="S19" s="112">
        <v>0.8</v>
      </c>
      <c r="T19" s="112">
        <v>0.8</v>
      </c>
      <c r="U19" s="112">
        <v>0</v>
      </c>
      <c r="V19" s="112">
        <v>0.8</v>
      </c>
      <c r="W19" s="112">
        <v>0.8</v>
      </c>
      <c r="X19" s="112">
        <v>0.8</v>
      </c>
      <c r="Y19" s="112">
        <v>0</v>
      </c>
      <c r="Z19" s="112">
        <v>0</v>
      </c>
      <c r="AA19" s="112">
        <v>0.8</v>
      </c>
      <c r="AB19" s="112">
        <v>0</v>
      </c>
      <c r="AC19" s="112">
        <v>0</v>
      </c>
      <c r="AD19" s="112">
        <v>0.8</v>
      </c>
      <c r="AE19" s="112">
        <v>0</v>
      </c>
      <c r="AF19" s="112">
        <v>0</v>
      </c>
      <c r="AG19" s="112">
        <v>0</v>
      </c>
      <c r="AH19" s="112">
        <v>0</v>
      </c>
      <c r="AI19" s="112">
        <v>0</v>
      </c>
      <c r="AJ19" s="112">
        <v>0.8</v>
      </c>
      <c r="AK19" s="112">
        <v>0</v>
      </c>
      <c r="AL19" s="112">
        <v>0</v>
      </c>
      <c r="AM19" s="112">
        <v>0</v>
      </c>
      <c r="AN19" s="112">
        <v>0</v>
      </c>
      <c r="AO19" s="112">
        <v>0</v>
      </c>
      <c r="AP19" s="112">
        <v>0</v>
      </c>
    </row>
    <row r="20" spans="1:42" customFormat="1" x14ac:dyDescent="0.15">
      <c r="A20" s="191" t="s">
        <v>210</v>
      </c>
      <c r="B20" s="112">
        <v>0</v>
      </c>
      <c r="C20" s="112">
        <v>0</v>
      </c>
      <c r="D20" s="112">
        <v>0.8</v>
      </c>
      <c r="E20" s="112">
        <v>0</v>
      </c>
      <c r="F20" s="112">
        <v>0</v>
      </c>
      <c r="G20" s="112">
        <v>0.8</v>
      </c>
      <c r="H20" s="112">
        <v>0.8</v>
      </c>
      <c r="I20" s="112">
        <v>0.8</v>
      </c>
      <c r="J20" s="112">
        <v>0</v>
      </c>
      <c r="K20" s="112">
        <v>0.8</v>
      </c>
      <c r="L20" s="112">
        <v>0.8</v>
      </c>
      <c r="M20" s="112">
        <v>0.8</v>
      </c>
      <c r="N20" s="112">
        <v>0</v>
      </c>
      <c r="O20" s="112">
        <v>0.8</v>
      </c>
      <c r="P20" s="112">
        <v>0</v>
      </c>
      <c r="Q20" s="112">
        <v>0</v>
      </c>
      <c r="R20" s="112">
        <v>0</v>
      </c>
      <c r="S20" s="112">
        <v>0</v>
      </c>
      <c r="T20" s="112">
        <v>0.8</v>
      </c>
      <c r="U20" s="112">
        <v>0</v>
      </c>
      <c r="V20" s="112">
        <v>0.8</v>
      </c>
      <c r="W20" s="112">
        <v>0</v>
      </c>
      <c r="X20" s="112">
        <v>0</v>
      </c>
      <c r="Y20" s="112">
        <v>0</v>
      </c>
      <c r="Z20" s="112">
        <v>0.8</v>
      </c>
      <c r="AA20" s="112">
        <v>0.8</v>
      </c>
      <c r="AB20" s="112">
        <v>0.8</v>
      </c>
      <c r="AC20" s="112">
        <v>0.8</v>
      </c>
      <c r="AD20" s="112">
        <v>0</v>
      </c>
      <c r="AE20" s="112">
        <v>0</v>
      </c>
      <c r="AF20" s="112">
        <v>0</v>
      </c>
      <c r="AG20" s="112">
        <v>0</v>
      </c>
      <c r="AH20" s="112">
        <v>0</v>
      </c>
      <c r="AI20" s="112">
        <v>0</v>
      </c>
      <c r="AJ20" s="112">
        <v>0</v>
      </c>
      <c r="AK20" s="112">
        <v>0</v>
      </c>
      <c r="AL20" s="112">
        <v>0</v>
      </c>
      <c r="AM20" s="112">
        <v>0</v>
      </c>
      <c r="AN20" s="112">
        <v>0</v>
      </c>
      <c r="AO20" s="112">
        <v>0</v>
      </c>
      <c r="AP20" s="112">
        <v>0</v>
      </c>
    </row>
    <row r="21" spans="1:42" customFormat="1" x14ac:dyDescent="0.15">
      <c r="A21" s="191" t="s">
        <v>211</v>
      </c>
      <c r="B21" s="112">
        <v>0</v>
      </c>
      <c r="C21" s="112">
        <v>0.8</v>
      </c>
      <c r="D21" s="112">
        <v>0.8</v>
      </c>
      <c r="E21" s="112">
        <v>0</v>
      </c>
      <c r="F21" s="112">
        <v>0</v>
      </c>
      <c r="G21" s="112">
        <v>0.8</v>
      </c>
      <c r="H21" s="112">
        <v>0.8</v>
      </c>
      <c r="I21" s="112">
        <v>0.8</v>
      </c>
      <c r="J21" s="112">
        <v>0</v>
      </c>
      <c r="K21" s="112">
        <v>0.8</v>
      </c>
      <c r="L21" s="112">
        <v>0.8</v>
      </c>
      <c r="M21" s="112">
        <v>0.8</v>
      </c>
      <c r="N21" s="112">
        <v>0</v>
      </c>
      <c r="O21" s="112">
        <v>0</v>
      </c>
      <c r="P21" s="112">
        <v>0</v>
      </c>
      <c r="Q21" s="112">
        <v>0</v>
      </c>
      <c r="R21" s="112">
        <v>0</v>
      </c>
      <c r="S21" s="112">
        <v>0</v>
      </c>
      <c r="T21" s="112">
        <v>0</v>
      </c>
      <c r="U21" s="112">
        <v>0</v>
      </c>
      <c r="V21" s="112">
        <v>0</v>
      </c>
      <c r="W21" s="112">
        <v>0</v>
      </c>
      <c r="X21" s="112">
        <v>0</v>
      </c>
      <c r="Y21" s="112">
        <v>0.8</v>
      </c>
      <c r="Z21" s="112">
        <v>0.8</v>
      </c>
      <c r="AA21" s="112">
        <v>0.8</v>
      </c>
      <c r="AB21" s="112">
        <v>0.8</v>
      </c>
      <c r="AC21" s="112">
        <v>0</v>
      </c>
      <c r="AD21" s="112">
        <v>0</v>
      </c>
      <c r="AE21" s="112">
        <v>0.8</v>
      </c>
      <c r="AF21" s="112">
        <v>0</v>
      </c>
      <c r="AG21" s="112">
        <v>0</v>
      </c>
      <c r="AH21" s="112">
        <v>0</v>
      </c>
      <c r="AI21" s="112">
        <v>0</v>
      </c>
      <c r="AJ21" s="112">
        <v>0</v>
      </c>
      <c r="AK21" s="112">
        <v>0</v>
      </c>
      <c r="AL21" s="112">
        <v>0</v>
      </c>
      <c r="AM21" s="112">
        <v>0</v>
      </c>
      <c r="AN21" s="112">
        <v>0</v>
      </c>
      <c r="AO21" s="112">
        <v>0</v>
      </c>
      <c r="AP21" s="112">
        <v>0</v>
      </c>
    </row>
    <row r="22" spans="1:42" customFormat="1" x14ac:dyDescent="0.15">
      <c r="A22" s="191" t="s">
        <v>212</v>
      </c>
      <c r="B22" s="112">
        <v>0</v>
      </c>
      <c r="C22" s="112">
        <v>0.8</v>
      </c>
      <c r="D22" s="112">
        <v>0.8</v>
      </c>
      <c r="E22" s="112">
        <v>0</v>
      </c>
      <c r="F22" s="112">
        <v>0</v>
      </c>
      <c r="G22" s="112">
        <v>0.8</v>
      </c>
      <c r="H22" s="112">
        <v>0.8</v>
      </c>
      <c r="I22" s="112">
        <v>0.8</v>
      </c>
      <c r="J22" s="112">
        <v>0</v>
      </c>
      <c r="K22" s="112">
        <v>0.8</v>
      </c>
      <c r="L22" s="112">
        <v>0.8</v>
      </c>
      <c r="M22" s="112">
        <v>0.8</v>
      </c>
      <c r="N22" s="112">
        <v>0</v>
      </c>
      <c r="O22" s="112">
        <v>0</v>
      </c>
      <c r="P22" s="112">
        <v>0</v>
      </c>
      <c r="Q22" s="112">
        <v>0</v>
      </c>
      <c r="R22" s="112">
        <v>0</v>
      </c>
      <c r="S22" s="112">
        <v>0</v>
      </c>
      <c r="T22" s="112">
        <v>0.8</v>
      </c>
      <c r="U22" s="112">
        <v>0</v>
      </c>
      <c r="V22" s="112">
        <v>0</v>
      </c>
      <c r="W22" s="112">
        <v>0</v>
      </c>
      <c r="X22" s="112">
        <v>0</v>
      </c>
      <c r="Y22" s="112">
        <v>0.8</v>
      </c>
      <c r="Z22" s="112">
        <v>0.8</v>
      </c>
      <c r="AA22" s="112">
        <v>0.8</v>
      </c>
      <c r="AB22" s="112">
        <v>0</v>
      </c>
      <c r="AC22" s="112">
        <v>0</v>
      </c>
      <c r="AD22" s="112">
        <v>0.8</v>
      </c>
      <c r="AE22" s="112">
        <v>0.8</v>
      </c>
      <c r="AF22" s="112">
        <v>0</v>
      </c>
      <c r="AG22" s="112">
        <v>0</v>
      </c>
      <c r="AH22" s="112">
        <v>0</v>
      </c>
      <c r="AI22" s="112">
        <v>0</v>
      </c>
      <c r="AJ22" s="112">
        <v>0</v>
      </c>
      <c r="AK22" s="112">
        <v>0</v>
      </c>
      <c r="AL22" s="112">
        <v>0</v>
      </c>
      <c r="AM22" s="112">
        <v>0</v>
      </c>
      <c r="AN22" s="112">
        <v>0</v>
      </c>
      <c r="AO22" s="112">
        <v>0</v>
      </c>
      <c r="AP22" s="112">
        <v>0</v>
      </c>
    </row>
    <row r="23" spans="1:42" customFormat="1" x14ac:dyDescent="0.15">
      <c r="A23" s="191" t="s">
        <v>213</v>
      </c>
      <c r="B23" s="112">
        <v>0</v>
      </c>
      <c r="C23" s="112">
        <v>0.8</v>
      </c>
      <c r="D23" s="112">
        <v>0.8</v>
      </c>
      <c r="E23" s="112">
        <v>0</v>
      </c>
      <c r="F23" s="112">
        <v>0</v>
      </c>
      <c r="G23" s="112">
        <v>0.8</v>
      </c>
      <c r="H23" s="112">
        <v>0.8</v>
      </c>
      <c r="I23" s="112">
        <v>0.8</v>
      </c>
      <c r="J23" s="112">
        <v>0</v>
      </c>
      <c r="K23" s="112">
        <v>0.8</v>
      </c>
      <c r="L23" s="112">
        <v>0.8</v>
      </c>
      <c r="M23" s="112">
        <v>0.8</v>
      </c>
      <c r="N23" s="112">
        <v>0</v>
      </c>
      <c r="O23" s="112">
        <v>0</v>
      </c>
      <c r="P23" s="112">
        <v>0</v>
      </c>
      <c r="Q23" s="112">
        <v>0</v>
      </c>
      <c r="R23" s="112">
        <v>0</v>
      </c>
      <c r="S23" s="112">
        <v>0</v>
      </c>
      <c r="T23" s="112">
        <v>0</v>
      </c>
      <c r="U23" s="112">
        <v>0</v>
      </c>
      <c r="V23" s="112">
        <v>0</v>
      </c>
      <c r="W23" s="112">
        <v>0.8</v>
      </c>
      <c r="X23" s="112">
        <v>0</v>
      </c>
      <c r="Y23" s="112">
        <v>0.8</v>
      </c>
      <c r="Z23" s="112">
        <v>0.8</v>
      </c>
      <c r="AA23" s="112">
        <v>0.8</v>
      </c>
      <c r="AB23" s="112">
        <v>0.8</v>
      </c>
      <c r="AC23" s="112">
        <v>0</v>
      </c>
      <c r="AD23" s="112">
        <v>0.8</v>
      </c>
      <c r="AE23" s="112">
        <v>0.8</v>
      </c>
      <c r="AF23" s="112">
        <v>0</v>
      </c>
      <c r="AG23" s="112">
        <v>0</v>
      </c>
      <c r="AH23" s="112">
        <v>0</v>
      </c>
      <c r="AI23" s="112">
        <v>0</v>
      </c>
      <c r="AJ23" s="112">
        <v>0</v>
      </c>
      <c r="AK23" s="112">
        <v>0</v>
      </c>
      <c r="AL23" s="112">
        <v>0</v>
      </c>
      <c r="AM23" s="112">
        <v>0</v>
      </c>
      <c r="AN23" s="112">
        <v>0</v>
      </c>
      <c r="AO23" s="112">
        <v>0</v>
      </c>
      <c r="AP23" s="112">
        <v>0</v>
      </c>
    </row>
    <row r="24" spans="1:42" customFormat="1" x14ac:dyDescent="0.15">
      <c r="A24" s="191" t="s">
        <v>214</v>
      </c>
      <c r="B24" s="112">
        <v>0</v>
      </c>
      <c r="C24" s="112">
        <v>0.8</v>
      </c>
      <c r="D24" s="112">
        <v>0</v>
      </c>
      <c r="E24" s="112">
        <v>0</v>
      </c>
      <c r="F24" s="112">
        <v>0</v>
      </c>
      <c r="G24" s="112">
        <v>0.8</v>
      </c>
      <c r="H24" s="112">
        <v>0.8</v>
      </c>
      <c r="I24" s="112">
        <v>0.8</v>
      </c>
      <c r="J24" s="112">
        <v>0</v>
      </c>
      <c r="K24" s="112">
        <v>0</v>
      </c>
      <c r="L24" s="112">
        <v>0.8</v>
      </c>
      <c r="M24" s="112">
        <v>0.8</v>
      </c>
      <c r="N24" s="112">
        <v>0</v>
      </c>
      <c r="O24" s="112">
        <v>0</v>
      </c>
      <c r="P24" s="112">
        <v>0</v>
      </c>
      <c r="Q24" s="112">
        <v>0</v>
      </c>
      <c r="R24" s="112">
        <v>0</v>
      </c>
      <c r="S24" s="112">
        <v>0</v>
      </c>
      <c r="T24" s="112">
        <v>0</v>
      </c>
      <c r="U24" s="112">
        <v>0</v>
      </c>
      <c r="V24" s="112">
        <v>0.8</v>
      </c>
      <c r="W24" s="112">
        <v>0</v>
      </c>
      <c r="X24" s="112">
        <v>0</v>
      </c>
      <c r="Y24" s="112">
        <v>0</v>
      </c>
      <c r="Z24" s="112">
        <v>0.8</v>
      </c>
      <c r="AA24" s="112">
        <v>0</v>
      </c>
      <c r="AB24" s="112">
        <v>0.8</v>
      </c>
      <c r="AC24" s="112">
        <v>0</v>
      </c>
      <c r="AD24" s="112">
        <v>0</v>
      </c>
      <c r="AE24" s="112">
        <v>0.8</v>
      </c>
      <c r="AF24" s="112">
        <v>0</v>
      </c>
      <c r="AG24" s="112">
        <v>0</v>
      </c>
      <c r="AH24" s="112">
        <v>0</v>
      </c>
      <c r="AI24" s="112">
        <v>0</v>
      </c>
      <c r="AJ24" s="112">
        <v>0</v>
      </c>
      <c r="AK24" s="112">
        <v>0</v>
      </c>
      <c r="AL24" s="112">
        <v>0</v>
      </c>
      <c r="AM24" s="112">
        <v>0</v>
      </c>
      <c r="AN24" s="112">
        <v>0</v>
      </c>
      <c r="AO24" s="112">
        <v>0</v>
      </c>
      <c r="AP24" s="112">
        <v>0</v>
      </c>
    </row>
    <row r="25" spans="1:42" customFormat="1" x14ac:dyDescent="0.15">
      <c r="A25" s="191" t="s">
        <v>215</v>
      </c>
      <c r="B25" s="112">
        <v>0</v>
      </c>
      <c r="C25" s="112">
        <v>0.8</v>
      </c>
      <c r="D25" s="112">
        <v>0.8</v>
      </c>
      <c r="E25" s="112">
        <v>0</v>
      </c>
      <c r="F25" s="112">
        <v>0</v>
      </c>
      <c r="G25" s="112">
        <v>0.8</v>
      </c>
      <c r="H25" s="112">
        <v>0.8</v>
      </c>
      <c r="I25" s="112">
        <v>0.8</v>
      </c>
      <c r="J25" s="112">
        <v>0</v>
      </c>
      <c r="K25" s="112">
        <v>0.8</v>
      </c>
      <c r="L25" s="112">
        <v>0.8</v>
      </c>
      <c r="M25" s="112">
        <v>0.8</v>
      </c>
      <c r="N25" s="112">
        <v>0</v>
      </c>
      <c r="O25" s="112">
        <v>0</v>
      </c>
      <c r="P25" s="112">
        <v>0</v>
      </c>
      <c r="Q25" s="112">
        <v>0</v>
      </c>
      <c r="R25" s="112">
        <v>0</v>
      </c>
      <c r="S25" s="112">
        <v>0</v>
      </c>
      <c r="T25" s="112">
        <v>0.8</v>
      </c>
      <c r="U25" s="112">
        <v>0</v>
      </c>
      <c r="V25" s="112">
        <v>0</v>
      </c>
      <c r="W25" s="112">
        <v>0</v>
      </c>
      <c r="X25" s="112">
        <v>0</v>
      </c>
      <c r="Y25" s="112">
        <v>0.8</v>
      </c>
      <c r="Z25" s="112">
        <v>0.8</v>
      </c>
      <c r="AA25" s="112">
        <v>0</v>
      </c>
      <c r="AB25" s="112">
        <v>0.8</v>
      </c>
      <c r="AC25" s="112">
        <v>0.8</v>
      </c>
      <c r="AD25" s="112">
        <v>0</v>
      </c>
      <c r="AE25" s="112">
        <v>0</v>
      </c>
      <c r="AF25" s="112">
        <v>0</v>
      </c>
      <c r="AG25" s="112">
        <v>0</v>
      </c>
      <c r="AH25" s="112">
        <v>0</v>
      </c>
      <c r="AI25" s="112">
        <v>0</v>
      </c>
      <c r="AJ25" s="112">
        <v>0</v>
      </c>
      <c r="AK25" s="112">
        <v>0</v>
      </c>
      <c r="AL25" s="112">
        <v>0</v>
      </c>
      <c r="AM25" s="112">
        <v>0</v>
      </c>
      <c r="AN25" s="112">
        <v>0</v>
      </c>
      <c r="AO25" s="112">
        <v>0</v>
      </c>
      <c r="AP25" s="112">
        <v>0</v>
      </c>
    </row>
    <row r="26" spans="1:42" customFormat="1" x14ac:dyDescent="0.15">
      <c r="A26" s="191" t="s">
        <v>216</v>
      </c>
      <c r="B26" s="112">
        <v>0</v>
      </c>
      <c r="C26" s="112">
        <v>0.8</v>
      </c>
      <c r="D26" s="112">
        <v>0</v>
      </c>
      <c r="E26" s="112">
        <v>0</v>
      </c>
      <c r="F26" s="112">
        <v>0</v>
      </c>
      <c r="G26" s="112">
        <v>0.8</v>
      </c>
      <c r="H26" s="112">
        <v>0.8</v>
      </c>
      <c r="I26" s="112">
        <v>0.8</v>
      </c>
      <c r="J26" s="112">
        <v>0</v>
      </c>
      <c r="K26" s="112">
        <v>0</v>
      </c>
      <c r="L26" s="112">
        <v>0.8</v>
      </c>
      <c r="M26" s="112">
        <v>0.8</v>
      </c>
      <c r="N26" s="112">
        <v>0</v>
      </c>
      <c r="O26" s="112">
        <v>0</v>
      </c>
      <c r="P26" s="112">
        <v>0</v>
      </c>
      <c r="Q26" s="112">
        <v>0</v>
      </c>
      <c r="R26" s="112">
        <v>0</v>
      </c>
      <c r="S26" s="112">
        <v>0</v>
      </c>
      <c r="T26" s="112">
        <v>0</v>
      </c>
      <c r="U26" s="112">
        <v>0</v>
      </c>
      <c r="V26" s="112">
        <v>0</v>
      </c>
      <c r="W26" s="112">
        <v>0</v>
      </c>
      <c r="X26" s="112">
        <v>0</v>
      </c>
      <c r="Y26" s="112">
        <v>0</v>
      </c>
      <c r="Z26" s="112">
        <v>0</v>
      </c>
      <c r="AA26" s="112">
        <v>0</v>
      </c>
      <c r="AB26" s="112">
        <v>0</v>
      </c>
      <c r="AC26" s="112">
        <v>0</v>
      </c>
      <c r="AD26" s="112">
        <v>0</v>
      </c>
      <c r="AE26" s="112">
        <v>0</v>
      </c>
      <c r="AF26" s="112">
        <v>0</v>
      </c>
      <c r="AG26" s="112">
        <v>0</v>
      </c>
      <c r="AH26" s="112">
        <v>0</v>
      </c>
      <c r="AI26" s="112">
        <v>0</v>
      </c>
      <c r="AJ26" s="112">
        <v>0</v>
      </c>
      <c r="AK26" s="112">
        <v>0</v>
      </c>
      <c r="AL26" s="112">
        <v>0</v>
      </c>
      <c r="AM26" s="112">
        <v>0</v>
      </c>
      <c r="AN26" s="112">
        <v>0</v>
      </c>
      <c r="AO26" s="112">
        <v>0</v>
      </c>
      <c r="AP26" s="112">
        <v>0</v>
      </c>
    </row>
    <row r="27" spans="1:42" customFormat="1" x14ac:dyDescent="0.15">
      <c r="A27" s="191" t="s">
        <v>217</v>
      </c>
      <c r="B27" s="112">
        <v>0</v>
      </c>
      <c r="C27" s="112">
        <v>0</v>
      </c>
      <c r="D27" s="112">
        <v>0</v>
      </c>
      <c r="E27" s="112">
        <v>0</v>
      </c>
      <c r="F27" s="112">
        <v>0</v>
      </c>
      <c r="G27" s="112">
        <v>0.8</v>
      </c>
      <c r="H27" s="112">
        <v>0.8</v>
      </c>
      <c r="I27" s="112">
        <v>0.8</v>
      </c>
      <c r="J27" s="112">
        <v>0</v>
      </c>
      <c r="K27" s="112">
        <v>0</v>
      </c>
      <c r="L27" s="112">
        <v>0.8</v>
      </c>
      <c r="M27" s="112">
        <v>0.8</v>
      </c>
      <c r="N27" s="112">
        <v>0</v>
      </c>
      <c r="O27" s="112">
        <v>0</v>
      </c>
      <c r="P27" s="112">
        <v>0</v>
      </c>
      <c r="Q27" s="112">
        <v>0</v>
      </c>
      <c r="R27" s="112">
        <v>0</v>
      </c>
      <c r="S27" s="112">
        <v>0</v>
      </c>
      <c r="T27" s="112">
        <v>0.8</v>
      </c>
      <c r="U27" s="112">
        <v>0.8</v>
      </c>
      <c r="V27" s="112">
        <v>0</v>
      </c>
      <c r="W27" s="112">
        <v>0</v>
      </c>
      <c r="X27" s="112">
        <v>0.8</v>
      </c>
      <c r="Y27" s="112">
        <v>0.8</v>
      </c>
      <c r="Z27" s="112">
        <v>0.8</v>
      </c>
      <c r="AA27" s="112">
        <v>0</v>
      </c>
      <c r="AB27" s="112">
        <v>0.8</v>
      </c>
      <c r="AC27" s="112">
        <v>0.8</v>
      </c>
      <c r="AD27" s="112">
        <v>0</v>
      </c>
      <c r="AE27" s="112">
        <v>0.8</v>
      </c>
      <c r="AF27" s="112">
        <v>0</v>
      </c>
      <c r="AG27" s="112">
        <v>0</v>
      </c>
      <c r="AH27" s="112">
        <v>0</v>
      </c>
      <c r="AI27" s="112">
        <v>0</v>
      </c>
      <c r="AJ27" s="112">
        <v>0</v>
      </c>
      <c r="AK27" s="112">
        <v>0</v>
      </c>
      <c r="AL27" s="112">
        <v>0</v>
      </c>
      <c r="AM27" s="112">
        <v>0</v>
      </c>
      <c r="AN27" s="112">
        <v>0</v>
      </c>
      <c r="AO27" s="112">
        <v>0</v>
      </c>
      <c r="AP27" s="112">
        <v>0</v>
      </c>
    </row>
    <row r="28" spans="1:42" customFormat="1" x14ac:dyDescent="0.15">
      <c r="A28" s="191" t="s">
        <v>218</v>
      </c>
      <c r="B28" s="112">
        <v>0</v>
      </c>
      <c r="C28" s="112">
        <v>0.8</v>
      </c>
      <c r="D28" s="112">
        <v>0</v>
      </c>
      <c r="E28" s="112">
        <v>0</v>
      </c>
      <c r="F28" s="112">
        <v>0</v>
      </c>
      <c r="G28" s="112">
        <v>0.8</v>
      </c>
      <c r="H28" s="112">
        <v>0.8</v>
      </c>
      <c r="I28" s="112">
        <v>0.8</v>
      </c>
      <c r="J28" s="112">
        <v>0</v>
      </c>
      <c r="K28" s="112">
        <v>0</v>
      </c>
      <c r="L28" s="112">
        <v>0.8</v>
      </c>
      <c r="M28" s="112">
        <v>0.8</v>
      </c>
      <c r="N28" s="112">
        <v>0</v>
      </c>
      <c r="O28" s="112">
        <v>0</v>
      </c>
      <c r="P28" s="112">
        <v>0</v>
      </c>
      <c r="Q28" s="112">
        <v>0</v>
      </c>
      <c r="R28" s="112">
        <v>0</v>
      </c>
      <c r="S28" s="112">
        <v>0</v>
      </c>
      <c r="T28" s="112">
        <v>0</v>
      </c>
      <c r="U28" s="112">
        <v>0</v>
      </c>
      <c r="V28" s="112">
        <v>0.8</v>
      </c>
      <c r="W28" s="112">
        <v>0.8</v>
      </c>
      <c r="X28" s="112">
        <v>0</v>
      </c>
      <c r="Y28" s="112">
        <v>0.8</v>
      </c>
      <c r="Z28" s="112">
        <v>0.8</v>
      </c>
      <c r="AA28" s="112">
        <v>0.8</v>
      </c>
      <c r="AB28" s="112">
        <v>0.8</v>
      </c>
      <c r="AC28" s="112">
        <v>0.8</v>
      </c>
      <c r="AD28" s="112">
        <v>0</v>
      </c>
      <c r="AE28" s="112">
        <v>0.8</v>
      </c>
      <c r="AF28" s="112">
        <v>0</v>
      </c>
      <c r="AG28" s="112">
        <v>0</v>
      </c>
      <c r="AH28" s="112">
        <v>0</v>
      </c>
      <c r="AI28" s="112">
        <v>0</v>
      </c>
      <c r="AJ28" s="112">
        <v>0</v>
      </c>
      <c r="AK28" s="112">
        <v>0</v>
      </c>
      <c r="AL28" s="112">
        <v>0</v>
      </c>
      <c r="AM28" s="112">
        <v>0</v>
      </c>
      <c r="AN28" s="112">
        <v>0</v>
      </c>
      <c r="AO28" s="112">
        <v>0</v>
      </c>
      <c r="AP28" s="112">
        <v>0</v>
      </c>
    </row>
    <row r="29" spans="1:42" customFormat="1" x14ac:dyDescent="0.15">
      <c r="A29" s="191" t="s">
        <v>219</v>
      </c>
      <c r="B29" s="112">
        <v>0</v>
      </c>
      <c r="C29" s="112">
        <v>0</v>
      </c>
      <c r="D29" s="112">
        <v>0</v>
      </c>
      <c r="E29" s="112">
        <v>0</v>
      </c>
      <c r="F29" s="112">
        <v>0</v>
      </c>
      <c r="G29" s="112">
        <v>0.8</v>
      </c>
      <c r="H29" s="112">
        <v>0.8</v>
      </c>
      <c r="I29" s="112">
        <v>0.8</v>
      </c>
      <c r="J29" s="112">
        <v>0</v>
      </c>
      <c r="K29" s="112">
        <v>0.8</v>
      </c>
      <c r="L29" s="112">
        <v>0.8</v>
      </c>
      <c r="M29" s="112">
        <v>0.8</v>
      </c>
      <c r="N29" s="112">
        <v>0.8</v>
      </c>
      <c r="O29" s="112">
        <v>0.8</v>
      </c>
      <c r="P29" s="112">
        <v>0</v>
      </c>
      <c r="Q29" s="112">
        <v>0</v>
      </c>
      <c r="R29" s="112">
        <v>0</v>
      </c>
      <c r="S29" s="112">
        <v>0.8</v>
      </c>
      <c r="T29" s="112">
        <v>0.8</v>
      </c>
      <c r="U29" s="112">
        <v>0</v>
      </c>
      <c r="V29" s="112">
        <v>0.8</v>
      </c>
      <c r="W29" s="112">
        <v>0.8</v>
      </c>
      <c r="X29" s="112">
        <v>0.8</v>
      </c>
      <c r="Y29" s="112">
        <v>0.8</v>
      </c>
      <c r="Z29" s="112">
        <v>0.8</v>
      </c>
      <c r="AA29" s="112">
        <v>0.8</v>
      </c>
      <c r="AB29" s="112">
        <v>0.8</v>
      </c>
      <c r="AC29" s="112">
        <v>0.8</v>
      </c>
      <c r="AD29" s="112">
        <v>0.8</v>
      </c>
      <c r="AE29" s="112">
        <v>0.8</v>
      </c>
      <c r="AF29" s="112">
        <v>0</v>
      </c>
      <c r="AG29" s="112">
        <v>0</v>
      </c>
      <c r="AH29" s="112">
        <v>0</v>
      </c>
      <c r="AI29" s="112">
        <v>0</v>
      </c>
      <c r="AJ29" s="112">
        <v>0</v>
      </c>
      <c r="AK29" s="112">
        <v>0</v>
      </c>
      <c r="AL29" s="112">
        <v>0</v>
      </c>
      <c r="AM29" s="112">
        <v>0</v>
      </c>
      <c r="AN29" s="112">
        <v>0</v>
      </c>
      <c r="AO29" s="112">
        <v>0</v>
      </c>
      <c r="AP29" s="112">
        <v>0</v>
      </c>
    </row>
    <row r="30" spans="1:42" customFormat="1" x14ac:dyDescent="0.15">
      <c r="A30" s="191" t="s">
        <v>220</v>
      </c>
      <c r="B30" s="112">
        <v>0</v>
      </c>
      <c r="C30" s="112">
        <v>0.8</v>
      </c>
      <c r="D30" s="112">
        <v>0.8</v>
      </c>
      <c r="E30" s="112">
        <v>0</v>
      </c>
      <c r="F30" s="112">
        <v>0</v>
      </c>
      <c r="G30" s="112">
        <v>0.8</v>
      </c>
      <c r="H30" s="112">
        <v>0.8</v>
      </c>
      <c r="I30" s="112">
        <v>0.8</v>
      </c>
      <c r="J30" s="112">
        <v>0</v>
      </c>
      <c r="K30" s="112">
        <v>0.8</v>
      </c>
      <c r="L30" s="112">
        <v>0.8</v>
      </c>
      <c r="M30" s="112">
        <v>0.8</v>
      </c>
      <c r="N30" s="112">
        <v>0.8</v>
      </c>
      <c r="O30" s="112">
        <v>0</v>
      </c>
      <c r="P30" s="112">
        <v>0.8</v>
      </c>
      <c r="Q30" s="112">
        <v>0</v>
      </c>
      <c r="R30" s="112">
        <v>0</v>
      </c>
      <c r="S30" s="112">
        <v>0.8</v>
      </c>
      <c r="T30" s="112">
        <v>0.8</v>
      </c>
      <c r="U30" s="112">
        <v>0</v>
      </c>
      <c r="V30" s="112">
        <v>0.8</v>
      </c>
      <c r="W30" s="112">
        <v>0.8</v>
      </c>
      <c r="X30" s="112">
        <v>0.8</v>
      </c>
      <c r="Y30" s="112">
        <v>0.8</v>
      </c>
      <c r="Z30" s="112">
        <v>0.8</v>
      </c>
      <c r="AA30" s="112">
        <v>0.8</v>
      </c>
      <c r="AB30" s="112">
        <v>0.8</v>
      </c>
      <c r="AC30" s="112">
        <v>0.8</v>
      </c>
      <c r="AD30" s="112">
        <v>0.8</v>
      </c>
      <c r="AE30" s="112">
        <v>0.8</v>
      </c>
      <c r="AF30" s="112">
        <v>0</v>
      </c>
      <c r="AG30" s="112">
        <v>0</v>
      </c>
      <c r="AH30" s="112">
        <v>0</v>
      </c>
      <c r="AI30" s="112">
        <v>0</v>
      </c>
      <c r="AJ30" s="112">
        <v>0.8</v>
      </c>
      <c r="AK30" s="112">
        <v>0</v>
      </c>
      <c r="AL30" s="112">
        <v>0</v>
      </c>
      <c r="AM30" s="112">
        <v>0</v>
      </c>
      <c r="AN30" s="112">
        <v>0</v>
      </c>
      <c r="AO30" s="112">
        <v>0</v>
      </c>
      <c r="AP30" s="112">
        <v>0</v>
      </c>
    </row>
    <row r="31" spans="1:42" customFormat="1" x14ac:dyDescent="0.15">
      <c r="A31" s="191" t="s">
        <v>221</v>
      </c>
      <c r="B31" s="112">
        <v>0</v>
      </c>
      <c r="C31" s="112">
        <v>0.8</v>
      </c>
      <c r="D31" s="112">
        <v>0.8</v>
      </c>
      <c r="E31" s="112">
        <v>0</v>
      </c>
      <c r="F31" s="112">
        <v>0</v>
      </c>
      <c r="G31" s="112">
        <v>0.8</v>
      </c>
      <c r="H31" s="112">
        <v>0.8</v>
      </c>
      <c r="I31" s="112">
        <v>0.8</v>
      </c>
      <c r="J31" s="112">
        <v>0</v>
      </c>
      <c r="K31" s="112">
        <v>0</v>
      </c>
      <c r="L31" s="112">
        <v>0.8</v>
      </c>
      <c r="M31" s="112">
        <v>0.8</v>
      </c>
      <c r="N31" s="112">
        <v>0</v>
      </c>
      <c r="O31" s="112">
        <v>0</v>
      </c>
      <c r="P31" s="112">
        <v>0</v>
      </c>
      <c r="Q31" s="112">
        <v>0</v>
      </c>
      <c r="R31" s="112">
        <v>0</v>
      </c>
      <c r="S31" s="112">
        <v>0.8</v>
      </c>
      <c r="T31" s="112">
        <v>0.8</v>
      </c>
      <c r="U31" s="112">
        <v>0</v>
      </c>
      <c r="V31" s="112">
        <v>0.8</v>
      </c>
      <c r="W31" s="112">
        <v>0</v>
      </c>
      <c r="X31" s="112">
        <v>0</v>
      </c>
      <c r="Y31" s="112">
        <v>0</v>
      </c>
      <c r="Z31" s="112">
        <v>0</v>
      </c>
      <c r="AA31" s="112">
        <v>0.8</v>
      </c>
      <c r="AB31" s="112">
        <v>0.8</v>
      </c>
      <c r="AC31" s="112">
        <v>0.8</v>
      </c>
      <c r="AD31" s="112">
        <v>0</v>
      </c>
      <c r="AE31" s="112">
        <v>0.8</v>
      </c>
      <c r="AF31" s="112">
        <v>0</v>
      </c>
      <c r="AG31" s="112">
        <v>0</v>
      </c>
      <c r="AH31" s="112">
        <v>0</v>
      </c>
      <c r="AI31" s="112">
        <v>0</v>
      </c>
      <c r="AJ31" s="112">
        <v>0</v>
      </c>
      <c r="AK31" s="112">
        <v>0</v>
      </c>
      <c r="AL31" s="112">
        <v>0</v>
      </c>
      <c r="AM31" s="112">
        <v>0</v>
      </c>
      <c r="AN31" s="112">
        <v>0</v>
      </c>
      <c r="AO31" s="112">
        <v>0</v>
      </c>
      <c r="AP31" s="112">
        <v>0</v>
      </c>
    </row>
    <row r="32" spans="1:42" customFormat="1" x14ac:dyDescent="0.15">
      <c r="A32" s="191" t="s">
        <v>222</v>
      </c>
      <c r="B32" s="112">
        <v>0</v>
      </c>
      <c r="C32" s="112">
        <v>0</v>
      </c>
      <c r="D32" s="112">
        <v>0.8</v>
      </c>
      <c r="E32" s="112">
        <v>0</v>
      </c>
      <c r="F32" s="112">
        <v>0</v>
      </c>
      <c r="G32" s="112">
        <v>0.8</v>
      </c>
      <c r="H32" s="112">
        <v>0.8</v>
      </c>
      <c r="I32" s="112">
        <v>0.8</v>
      </c>
      <c r="J32" s="112">
        <v>0</v>
      </c>
      <c r="K32" s="112">
        <v>0.8</v>
      </c>
      <c r="L32" s="112">
        <v>0.8</v>
      </c>
      <c r="M32" s="112">
        <v>0.8</v>
      </c>
      <c r="N32" s="112">
        <v>0</v>
      </c>
      <c r="O32" s="112">
        <v>0.8</v>
      </c>
      <c r="P32" s="112">
        <v>0</v>
      </c>
      <c r="Q32" s="112">
        <v>0</v>
      </c>
      <c r="R32" s="112">
        <v>0</v>
      </c>
      <c r="S32" s="112">
        <v>0.8</v>
      </c>
      <c r="T32" s="112">
        <v>0.8</v>
      </c>
      <c r="U32" s="112">
        <v>0.8</v>
      </c>
      <c r="V32" s="112">
        <v>0.8</v>
      </c>
      <c r="W32" s="112">
        <v>0.8</v>
      </c>
      <c r="X32" s="112">
        <v>0.8</v>
      </c>
      <c r="Y32" s="112">
        <v>0</v>
      </c>
      <c r="Z32" s="112">
        <v>0</v>
      </c>
      <c r="AA32" s="112">
        <v>0.8</v>
      </c>
      <c r="AB32" s="112">
        <v>0.8</v>
      </c>
      <c r="AC32" s="112">
        <v>0.8</v>
      </c>
      <c r="AD32" s="112">
        <v>0.8</v>
      </c>
      <c r="AE32" s="112">
        <v>0.8</v>
      </c>
      <c r="AF32" s="112">
        <v>0.8</v>
      </c>
      <c r="AG32" s="112">
        <v>0</v>
      </c>
      <c r="AH32" s="112">
        <v>0</v>
      </c>
      <c r="AI32" s="112">
        <v>0</v>
      </c>
      <c r="AJ32" s="112">
        <v>0.8</v>
      </c>
      <c r="AK32" s="112">
        <v>0</v>
      </c>
      <c r="AL32" s="112">
        <v>0</v>
      </c>
      <c r="AM32" s="112">
        <v>0</v>
      </c>
      <c r="AN32" s="112">
        <v>0</v>
      </c>
      <c r="AO32" s="112">
        <v>0</v>
      </c>
      <c r="AP32" s="112">
        <v>0</v>
      </c>
    </row>
    <row r="33" spans="1:42" x14ac:dyDescent="0.15">
      <c r="A33" s="191" t="s">
        <v>223</v>
      </c>
      <c r="B33" s="112">
        <v>0</v>
      </c>
      <c r="C33" s="112">
        <v>0</v>
      </c>
      <c r="D33" s="112">
        <v>0.8</v>
      </c>
      <c r="E33" s="112">
        <v>0</v>
      </c>
      <c r="F33" s="112">
        <v>0</v>
      </c>
      <c r="G33" s="112">
        <v>0</v>
      </c>
      <c r="H33" s="112">
        <v>0</v>
      </c>
      <c r="I33" s="112">
        <v>0.8</v>
      </c>
      <c r="J33" s="112">
        <v>0</v>
      </c>
      <c r="K33" s="112">
        <v>0</v>
      </c>
      <c r="L33" s="112">
        <v>0.8</v>
      </c>
      <c r="M33" s="112">
        <v>0.8</v>
      </c>
      <c r="N33" s="112">
        <v>0</v>
      </c>
      <c r="O33" s="112">
        <v>0.8</v>
      </c>
      <c r="P33" s="112">
        <v>0.8</v>
      </c>
      <c r="Q33" s="112">
        <v>0</v>
      </c>
      <c r="R33" s="112">
        <v>0</v>
      </c>
      <c r="S33" s="112">
        <v>0.8</v>
      </c>
      <c r="T33" s="112">
        <v>0.8</v>
      </c>
      <c r="U33" s="112">
        <v>0.8</v>
      </c>
      <c r="V33" s="112">
        <v>0.8</v>
      </c>
      <c r="W33" s="112">
        <v>0.8</v>
      </c>
      <c r="X33" s="112">
        <v>0.8</v>
      </c>
      <c r="Y33" s="112">
        <v>0.8</v>
      </c>
      <c r="Z33" s="112">
        <v>0.8</v>
      </c>
      <c r="AA33" s="112">
        <v>0.8</v>
      </c>
      <c r="AB33" s="112">
        <v>0.8</v>
      </c>
      <c r="AC33" s="112">
        <v>0.8</v>
      </c>
      <c r="AD33" s="112">
        <v>0.8</v>
      </c>
      <c r="AE33" s="112">
        <v>0.8</v>
      </c>
      <c r="AF33" s="112">
        <v>0</v>
      </c>
      <c r="AG33" s="112">
        <v>0.8</v>
      </c>
      <c r="AH33" s="112">
        <v>0</v>
      </c>
      <c r="AI33" s="112">
        <v>0.8</v>
      </c>
      <c r="AJ33" s="112">
        <v>0.8</v>
      </c>
      <c r="AK33" s="112">
        <v>0</v>
      </c>
      <c r="AL33" s="112">
        <v>0</v>
      </c>
      <c r="AM33" s="112">
        <v>0</v>
      </c>
      <c r="AN33" s="112">
        <v>0</v>
      </c>
      <c r="AO33" s="112">
        <v>0</v>
      </c>
      <c r="AP33" s="112">
        <v>0</v>
      </c>
    </row>
    <row r="34" spans="1:42" x14ac:dyDescent="0.15">
      <c r="A34" s="191" t="s">
        <v>224</v>
      </c>
      <c r="B34" s="112">
        <v>0</v>
      </c>
      <c r="C34" s="112">
        <v>0</v>
      </c>
      <c r="D34" s="112">
        <v>0.8</v>
      </c>
      <c r="E34" s="112">
        <v>0</v>
      </c>
      <c r="F34" s="112">
        <v>0</v>
      </c>
      <c r="G34" s="112">
        <v>0.8</v>
      </c>
      <c r="H34" s="112">
        <v>0.8</v>
      </c>
      <c r="I34" s="112">
        <v>0</v>
      </c>
      <c r="J34" s="112">
        <v>0.8</v>
      </c>
      <c r="K34" s="112">
        <v>0</v>
      </c>
      <c r="L34" s="112">
        <v>0.8</v>
      </c>
      <c r="M34" s="112">
        <v>0.8</v>
      </c>
      <c r="N34" s="112">
        <v>0</v>
      </c>
      <c r="O34" s="112">
        <v>0.8</v>
      </c>
      <c r="P34" s="112">
        <v>0.8</v>
      </c>
      <c r="Q34" s="112">
        <v>0.8</v>
      </c>
      <c r="R34" s="112">
        <v>0.8</v>
      </c>
      <c r="S34" s="112">
        <v>0.8</v>
      </c>
      <c r="T34" s="112">
        <v>0.8</v>
      </c>
      <c r="U34" s="112">
        <v>0.8</v>
      </c>
      <c r="V34" s="112">
        <v>0.8</v>
      </c>
      <c r="W34" s="112">
        <v>0.8</v>
      </c>
      <c r="X34" s="112">
        <v>0.8</v>
      </c>
      <c r="Y34" s="112">
        <v>0.8</v>
      </c>
      <c r="Z34" s="112">
        <v>0.8</v>
      </c>
      <c r="AA34" s="112">
        <v>0</v>
      </c>
      <c r="AB34" s="112">
        <v>0.8</v>
      </c>
      <c r="AC34" s="112">
        <v>0.8</v>
      </c>
      <c r="AD34" s="112">
        <v>0.8</v>
      </c>
      <c r="AE34" s="112">
        <v>0.8</v>
      </c>
      <c r="AF34" s="112">
        <v>0.8</v>
      </c>
      <c r="AG34" s="112">
        <v>0.8</v>
      </c>
      <c r="AH34" s="112">
        <v>0</v>
      </c>
      <c r="AI34" s="112">
        <v>0.8</v>
      </c>
      <c r="AJ34" s="112">
        <v>0.8</v>
      </c>
      <c r="AK34" s="112">
        <v>0</v>
      </c>
      <c r="AL34" s="112">
        <v>0</v>
      </c>
      <c r="AM34" s="112">
        <v>0</v>
      </c>
      <c r="AN34" s="112">
        <v>0</v>
      </c>
      <c r="AO34" s="112">
        <v>0</v>
      </c>
      <c r="AP34" s="112">
        <v>0</v>
      </c>
    </row>
    <row r="35" spans="1:42" x14ac:dyDescent="0.15">
      <c r="A35" s="191" t="s">
        <v>225</v>
      </c>
      <c r="B35" s="112">
        <v>0</v>
      </c>
      <c r="C35" s="112">
        <v>0</v>
      </c>
      <c r="D35" s="112">
        <v>0.8</v>
      </c>
      <c r="E35" s="112">
        <v>0</v>
      </c>
      <c r="F35" s="112">
        <v>0</v>
      </c>
      <c r="G35" s="112">
        <v>0</v>
      </c>
      <c r="H35" s="112">
        <v>0</v>
      </c>
      <c r="I35" s="112">
        <v>0</v>
      </c>
      <c r="J35" s="112">
        <v>0.8</v>
      </c>
      <c r="K35" s="112">
        <v>0</v>
      </c>
      <c r="L35" s="112">
        <v>0.8</v>
      </c>
      <c r="M35" s="112">
        <v>0.8</v>
      </c>
      <c r="N35" s="112">
        <v>0.8</v>
      </c>
      <c r="O35" s="112">
        <v>0</v>
      </c>
      <c r="P35" s="112">
        <v>0.8</v>
      </c>
      <c r="Q35" s="112">
        <v>0</v>
      </c>
      <c r="R35" s="112">
        <v>0</v>
      </c>
      <c r="S35" s="112">
        <v>0</v>
      </c>
      <c r="T35" s="112">
        <v>0</v>
      </c>
      <c r="U35" s="112">
        <v>0</v>
      </c>
      <c r="V35" s="112">
        <v>0.8</v>
      </c>
      <c r="W35" s="112">
        <v>0.8</v>
      </c>
      <c r="X35" s="112">
        <v>0.8</v>
      </c>
      <c r="Y35" s="112">
        <v>0.8</v>
      </c>
      <c r="Z35" s="112">
        <v>0.8</v>
      </c>
      <c r="AA35" s="112">
        <v>0</v>
      </c>
      <c r="AB35" s="112">
        <v>0.8</v>
      </c>
      <c r="AC35" s="112">
        <v>0.8</v>
      </c>
      <c r="AD35" s="112">
        <v>0.8</v>
      </c>
      <c r="AE35" s="112">
        <v>0.8</v>
      </c>
      <c r="AF35" s="112">
        <v>0.8</v>
      </c>
      <c r="AG35" s="112">
        <v>0</v>
      </c>
      <c r="AH35" s="112">
        <v>0</v>
      </c>
      <c r="AI35" s="112">
        <v>0.8</v>
      </c>
      <c r="AJ35" s="112">
        <v>0.8</v>
      </c>
      <c r="AK35" s="112">
        <v>0</v>
      </c>
      <c r="AL35" s="112">
        <v>0</v>
      </c>
      <c r="AM35" s="112">
        <v>0</v>
      </c>
      <c r="AN35" s="112">
        <v>0</v>
      </c>
      <c r="AO35" s="112">
        <v>0</v>
      </c>
      <c r="AP35" s="112">
        <v>0</v>
      </c>
    </row>
    <row r="36" spans="1:42" x14ac:dyDescent="0.15">
      <c r="A36" s="191" t="s">
        <v>226</v>
      </c>
      <c r="B36" s="112">
        <v>0</v>
      </c>
      <c r="C36" s="112">
        <v>0.8</v>
      </c>
      <c r="D36" s="112">
        <v>0.8</v>
      </c>
      <c r="E36" s="112">
        <v>0</v>
      </c>
      <c r="F36" s="112">
        <v>0</v>
      </c>
      <c r="G36" s="112">
        <v>0.8</v>
      </c>
      <c r="H36" s="112">
        <v>0.8</v>
      </c>
      <c r="I36" s="112">
        <v>0.8</v>
      </c>
      <c r="J36" s="112">
        <v>0</v>
      </c>
      <c r="K36" s="112">
        <v>0.8</v>
      </c>
      <c r="L36" s="112">
        <v>0.8</v>
      </c>
      <c r="M36" s="112">
        <v>0.8</v>
      </c>
      <c r="N36" s="112">
        <v>0.8</v>
      </c>
      <c r="O36" s="112">
        <v>0.8</v>
      </c>
      <c r="P36" s="112">
        <v>0.8</v>
      </c>
      <c r="Q36" s="112">
        <v>0</v>
      </c>
      <c r="R36" s="112">
        <v>0</v>
      </c>
      <c r="S36" s="112">
        <v>0</v>
      </c>
      <c r="T36" s="112">
        <v>0</v>
      </c>
      <c r="U36" s="112">
        <v>0.8</v>
      </c>
      <c r="V36" s="112">
        <v>0.8</v>
      </c>
      <c r="W36" s="112">
        <v>0.8</v>
      </c>
      <c r="X36" s="112">
        <v>0.8</v>
      </c>
      <c r="Y36" s="112">
        <v>0</v>
      </c>
      <c r="Z36" s="112">
        <v>0.8</v>
      </c>
      <c r="AA36" s="112">
        <v>0.8</v>
      </c>
      <c r="AB36" s="112">
        <v>0.8</v>
      </c>
      <c r="AC36" s="112">
        <v>0.8</v>
      </c>
      <c r="AD36" s="112">
        <v>0.8</v>
      </c>
      <c r="AE36" s="112">
        <v>0.8</v>
      </c>
      <c r="AF36" s="112">
        <v>0.8</v>
      </c>
      <c r="AG36" s="112">
        <v>0</v>
      </c>
      <c r="AH36" s="112">
        <v>0</v>
      </c>
      <c r="AI36" s="112">
        <v>0</v>
      </c>
      <c r="AJ36" s="112">
        <v>0.8</v>
      </c>
      <c r="AK36" s="112">
        <v>0</v>
      </c>
      <c r="AL36" s="112">
        <v>0</v>
      </c>
      <c r="AM36" s="112">
        <v>0</v>
      </c>
      <c r="AN36" s="112">
        <v>0</v>
      </c>
      <c r="AO36" s="112">
        <v>0</v>
      </c>
      <c r="AP36" s="112">
        <v>0</v>
      </c>
    </row>
    <row r="37" spans="1:42" x14ac:dyDescent="0.15">
      <c r="A37" s="191" t="s">
        <v>227</v>
      </c>
      <c r="B37" s="112">
        <v>0</v>
      </c>
      <c r="C37" s="112">
        <v>0</v>
      </c>
      <c r="D37" s="112">
        <v>0.8</v>
      </c>
      <c r="E37" s="112">
        <v>0</v>
      </c>
      <c r="F37" s="112">
        <v>0</v>
      </c>
      <c r="G37" s="112">
        <v>0</v>
      </c>
      <c r="H37" s="112">
        <v>0</v>
      </c>
      <c r="I37" s="112">
        <v>0</v>
      </c>
      <c r="J37" s="112">
        <v>0</v>
      </c>
      <c r="K37" s="112">
        <v>0.8</v>
      </c>
      <c r="L37" s="112">
        <v>0</v>
      </c>
      <c r="M37" s="112">
        <v>0.8</v>
      </c>
      <c r="N37" s="112">
        <v>0.8</v>
      </c>
      <c r="O37" s="112">
        <v>0.8</v>
      </c>
      <c r="P37" s="112">
        <v>0.8</v>
      </c>
      <c r="Q37" s="112">
        <v>0.8</v>
      </c>
      <c r="R37" s="112">
        <v>0.8</v>
      </c>
      <c r="S37" s="112">
        <v>0.8</v>
      </c>
      <c r="T37" s="112">
        <v>0.8</v>
      </c>
      <c r="U37" s="112">
        <v>0.8</v>
      </c>
      <c r="V37" s="112">
        <v>0.8</v>
      </c>
      <c r="W37" s="112">
        <v>0.8</v>
      </c>
      <c r="X37" s="112">
        <v>0.8</v>
      </c>
      <c r="Y37" s="112">
        <v>0</v>
      </c>
      <c r="Z37" s="112">
        <v>0.8</v>
      </c>
      <c r="AA37" s="112">
        <v>0.8</v>
      </c>
      <c r="AB37" s="112">
        <v>0.8</v>
      </c>
      <c r="AC37" s="112">
        <v>0.8</v>
      </c>
      <c r="AD37" s="112">
        <v>0.8</v>
      </c>
      <c r="AE37" s="112">
        <v>0.8</v>
      </c>
      <c r="AF37" s="112">
        <v>0.8</v>
      </c>
      <c r="AG37" s="112">
        <v>0.8</v>
      </c>
      <c r="AH37" s="112">
        <v>0.8</v>
      </c>
      <c r="AI37" s="112">
        <v>0</v>
      </c>
      <c r="AJ37" s="112">
        <v>0.8</v>
      </c>
      <c r="AK37" s="112">
        <v>0.8</v>
      </c>
      <c r="AL37" s="112">
        <v>0</v>
      </c>
      <c r="AM37" s="112">
        <v>0</v>
      </c>
      <c r="AN37" s="112">
        <v>0</v>
      </c>
      <c r="AO37" s="112">
        <v>0</v>
      </c>
      <c r="AP37" s="112">
        <v>0</v>
      </c>
    </row>
    <row r="38" spans="1:42" x14ac:dyDescent="0.15">
      <c r="A38" s="191" t="s">
        <v>228</v>
      </c>
      <c r="B38" s="112">
        <v>0</v>
      </c>
      <c r="C38" s="112">
        <v>0</v>
      </c>
      <c r="D38" s="112">
        <v>0.8</v>
      </c>
      <c r="E38" s="112">
        <v>0</v>
      </c>
      <c r="F38" s="112">
        <v>0</v>
      </c>
      <c r="G38" s="112">
        <v>0</v>
      </c>
      <c r="H38" s="112">
        <v>0</v>
      </c>
      <c r="I38" s="112">
        <v>0</v>
      </c>
      <c r="J38" s="112">
        <v>0</v>
      </c>
      <c r="K38" s="112">
        <v>0.8</v>
      </c>
      <c r="L38" s="112">
        <v>0</v>
      </c>
      <c r="M38" s="112">
        <v>0</v>
      </c>
      <c r="N38" s="112">
        <v>0.8</v>
      </c>
      <c r="O38" s="112">
        <v>0.8</v>
      </c>
      <c r="P38" s="112">
        <v>0.8</v>
      </c>
      <c r="Q38" s="112">
        <v>0.8</v>
      </c>
      <c r="R38" s="112">
        <v>0.8</v>
      </c>
      <c r="S38" s="112">
        <v>0.8</v>
      </c>
      <c r="T38" s="112">
        <v>0.8</v>
      </c>
      <c r="U38" s="112">
        <v>0.8</v>
      </c>
      <c r="V38" s="112">
        <v>0.8</v>
      </c>
      <c r="W38" s="112">
        <v>0.8</v>
      </c>
      <c r="X38" s="112">
        <v>0.8</v>
      </c>
      <c r="Y38" s="112">
        <v>0</v>
      </c>
      <c r="Z38" s="112">
        <v>0</v>
      </c>
      <c r="AA38" s="112">
        <v>0</v>
      </c>
      <c r="AB38" s="112">
        <v>0.8</v>
      </c>
      <c r="AC38" s="112">
        <v>0.8</v>
      </c>
      <c r="AD38" s="112">
        <v>0.8</v>
      </c>
      <c r="AE38" s="112">
        <v>0.8</v>
      </c>
      <c r="AF38" s="112">
        <v>0.8</v>
      </c>
      <c r="AG38" s="112">
        <v>0</v>
      </c>
      <c r="AH38" s="112">
        <v>0.8</v>
      </c>
      <c r="AI38" s="112">
        <v>0.8</v>
      </c>
      <c r="AJ38" s="112">
        <v>0</v>
      </c>
      <c r="AK38" s="112">
        <v>0.8</v>
      </c>
      <c r="AL38" s="112">
        <v>0</v>
      </c>
      <c r="AM38" s="112">
        <v>0</v>
      </c>
      <c r="AN38" s="112">
        <v>0</v>
      </c>
      <c r="AO38" s="112">
        <v>0</v>
      </c>
      <c r="AP38" s="112">
        <v>0</v>
      </c>
    </row>
    <row r="39" spans="1:42" x14ac:dyDescent="0.15">
      <c r="A39" s="191" t="s">
        <v>229</v>
      </c>
      <c r="B39" s="112">
        <v>0</v>
      </c>
      <c r="C39" s="112">
        <v>0</v>
      </c>
      <c r="D39" s="112">
        <v>0</v>
      </c>
      <c r="E39" s="112">
        <v>0</v>
      </c>
      <c r="F39" s="112">
        <v>0</v>
      </c>
      <c r="G39" s="112">
        <v>0</v>
      </c>
      <c r="H39" s="112">
        <v>0</v>
      </c>
      <c r="I39" s="112">
        <v>0</v>
      </c>
      <c r="J39" s="112">
        <v>0</v>
      </c>
      <c r="K39" s="112">
        <v>0</v>
      </c>
      <c r="L39" s="112">
        <v>0</v>
      </c>
      <c r="M39" s="112">
        <v>0</v>
      </c>
      <c r="N39" s="112">
        <v>0</v>
      </c>
      <c r="O39" s="112">
        <v>0</v>
      </c>
      <c r="P39" s="112">
        <v>0</v>
      </c>
      <c r="Q39" s="112">
        <v>0</v>
      </c>
      <c r="R39" s="112">
        <v>0</v>
      </c>
      <c r="S39" s="112">
        <v>0</v>
      </c>
      <c r="T39" s="112">
        <v>0</v>
      </c>
      <c r="U39" s="112">
        <v>0</v>
      </c>
      <c r="V39" s="112">
        <v>0</v>
      </c>
      <c r="W39" s="112">
        <v>0</v>
      </c>
      <c r="X39" s="112">
        <v>0</v>
      </c>
      <c r="Y39" s="112">
        <v>0</v>
      </c>
      <c r="Z39" s="112">
        <v>0</v>
      </c>
      <c r="AA39" s="112">
        <v>0</v>
      </c>
      <c r="AB39" s="112">
        <v>0.8</v>
      </c>
      <c r="AC39" s="112">
        <v>0</v>
      </c>
      <c r="AD39" s="112">
        <v>0.8</v>
      </c>
      <c r="AE39" s="112">
        <v>0</v>
      </c>
      <c r="AF39" s="112">
        <v>0</v>
      </c>
      <c r="AG39" s="112">
        <v>0</v>
      </c>
      <c r="AH39" s="112">
        <v>0.8</v>
      </c>
      <c r="AI39" s="112">
        <v>0</v>
      </c>
      <c r="AJ39" s="112">
        <v>0</v>
      </c>
      <c r="AK39" s="112">
        <v>0.8</v>
      </c>
      <c r="AL39" s="112">
        <v>0.8</v>
      </c>
      <c r="AM39" s="112">
        <v>0</v>
      </c>
      <c r="AN39" s="112">
        <v>0</v>
      </c>
      <c r="AO39" s="112">
        <v>0</v>
      </c>
      <c r="AP39" s="112">
        <v>0</v>
      </c>
    </row>
    <row r="40" spans="1:42" x14ac:dyDescent="0.15">
      <c r="A40" s="191" t="s">
        <v>230</v>
      </c>
      <c r="B40" s="112">
        <v>0</v>
      </c>
      <c r="C40" s="112">
        <v>0</v>
      </c>
      <c r="D40" s="112">
        <v>0</v>
      </c>
      <c r="E40" s="112">
        <v>0</v>
      </c>
      <c r="F40" s="112">
        <v>0</v>
      </c>
      <c r="G40" s="112">
        <v>0</v>
      </c>
      <c r="H40" s="112">
        <v>0</v>
      </c>
      <c r="I40" s="112">
        <v>0</v>
      </c>
      <c r="J40" s="112">
        <v>0</v>
      </c>
      <c r="K40" s="112">
        <v>0</v>
      </c>
      <c r="L40" s="112">
        <v>0</v>
      </c>
      <c r="M40" s="112">
        <v>0.8</v>
      </c>
      <c r="N40" s="112">
        <v>0</v>
      </c>
      <c r="O40" s="112">
        <v>0</v>
      </c>
      <c r="P40" s="112">
        <v>0</v>
      </c>
      <c r="Q40" s="112">
        <v>0</v>
      </c>
      <c r="R40" s="112">
        <v>0</v>
      </c>
      <c r="S40" s="112">
        <v>0</v>
      </c>
      <c r="T40" s="112">
        <v>0</v>
      </c>
      <c r="U40" s="112">
        <v>0</v>
      </c>
      <c r="V40" s="112">
        <v>0</v>
      </c>
      <c r="W40" s="112">
        <v>0.8</v>
      </c>
      <c r="X40" s="112">
        <v>0</v>
      </c>
      <c r="Y40" s="112">
        <v>0</v>
      </c>
      <c r="Z40" s="112">
        <v>0</v>
      </c>
      <c r="AA40" s="112">
        <v>0</v>
      </c>
      <c r="AB40" s="112">
        <v>0.8</v>
      </c>
      <c r="AC40" s="112">
        <v>0</v>
      </c>
      <c r="AD40" s="112">
        <v>0.8</v>
      </c>
      <c r="AE40" s="112">
        <v>0</v>
      </c>
      <c r="AF40" s="112">
        <v>0</v>
      </c>
      <c r="AG40" s="112">
        <v>0</v>
      </c>
      <c r="AH40" s="112">
        <v>0.8</v>
      </c>
      <c r="AI40" s="112">
        <v>0.8</v>
      </c>
      <c r="AJ40" s="112">
        <v>0</v>
      </c>
      <c r="AK40" s="112">
        <v>0</v>
      </c>
      <c r="AL40" s="112">
        <v>0</v>
      </c>
      <c r="AM40" s="112">
        <v>0</v>
      </c>
      <c r="AN40" s="112">
        <v>0</v>
      </c>
      <c r="AO40" s="112">
        <v>0</v>
      </c>
      <c r="AP40" s="112">
        <v>0</v>
      </c>
    </row>
    <row r="41" spans="1:42" x14ac:dyDescent="0.15">
      <c r="A41" s="191" t="s">
        <v>231</v>
      </c>
      <c r="B41" s="112">
        <v>0</v>
      </c>
      <c r="C41" s="112">
        <v>0</v>
      </c>
      <c r="D41" s="112">
        <v>0</v>
      </c>
      <c r="E41" s="112">
        <v>0</v>
      </c>
      <c r="F41" s="112">
        <v>0</v>
      </c>
      <c r="G41" s="112">
        <v>0</v>
      </c>
      <c r="H41" s="112">
        <v>0</v>
      </c>
      <c r="I41" s="112">
        <v>0</v>
      </c>
      <c r="J41" s="112">
        <v>0</v>
      </c>
      <c r="K41" s="112">
        <v>0.8</v>
      </c>
      <c r="L41" s="112">
        <v>0.8</v>
      </c>
      <c r="M41" s="112">
        <v>0.8</v>
      </c>
      <c r="N41" s="112">
        <v>0</v>
      </c>
      <c r="O41" s="112">
        <v>0</v>
      </c>
      <c r="P41" s="112">
        <v>0</v>
      </c>
      <c r="Q41" s="112">
        <v>0</v>
      </c>
      <c r="R41" s="112">
        <v>0</v>
      </c>
      <c r="S41" s="112">
        <v>0</v>
      </c>
      <c r="T41" s="112">
        <v>0</v>
      </c>
      <c r="U41" s="112">
        <v>0</v>
      </c>
      <c r="V41" s="112">
        <v>0.8</v>
      </c>
      <c r="W41" s="112">
        <v>0.8</v>
      </c>
      <c r="X41" s="112">
        <v>0.8</v>
      </c>
      <c r="Y41" s="112">
        <v>0</v>
      </c>
      <c r="Z41" s="112">
        <v>0.8</v>
      </c>
      <c r="AA41" s="112">
        <v>0</v>
      </c>
      <c r="AB41" s="112">
        <v>0</v>
      </c>
      <c r="AC41" s="112">
        <v>0.8</v>
      </c>
      <c r="AD41" s="112">
        <v>0.8</v>
      </c>
      <c r="AE41" s="112">
        <v>0</v>
      </c>
      <c r="AF41" s="112">
        <v>0</v>
      </c>
      <c r="AG41" s="112">
        <v>0.8</v>
      </c>
      <c r="AH41" s="112">
        <v>0.8</v>
      </c>
      <c r="AI41" s="112">
        <v>0.8</v>
      </c>
      <c r="AJ41" s="112">
        <v>0</v>
      </c>
      <c r="AK41" s="112">
        <v>0.8</v>
      </c>
      <c r="AL41" s="112">
        <v>0</v>
      </c>
      <c r="AM41" s="112">
        <v>0</v>
      </c>
      <c r="AN41" s="112">
        <v>0</v>
      </c>
      <c r="AO41" s="112">
        <v>0</v>
      </c>
      <c r="AP41" s="112">
        <v>0</v>
      </c>
    </row>
    <row r="42" spans="1:42" x14ac:dyDescent="0.15">
      <c r="A42" s="191" t="s">
        <v>232</v>
      </c>
      <c r="B42" s="112">
        <v>0</v>
      </c>
      <c r="C42" s="112">
        <v>0</v>
      </c>
      <c r="D42" s="112">
        <v>0</v>
      </c>
      <c r="E42" s="112">
        <v>0</v>
      </c>
      <c r="F42" s="112">
        <v>0</v>
      </c>
      <c r="G42" s="112">
        <v>0</v>
      </c>
      <c r="H42" s="112">
        <v>0</v>
      </c>
      <c r="I42" s="112">
        <v>0</v>
      </c>
      <c r="J42" s="112">
        <v>0</v>
      </c>
      <c r="K42" s="112">
        <v>0</v>
      </c>
      <c r="L42" s="112">
        <v>0</v>
      </c>
      <c r="M42" s="112">
        <v>0</v>
      </c>
      <c r="N42" s="112">
        <v>0</v>
      </c>
      <c r="O42" s="112">
        <v>0</v>
      </c>
      <c r="P42" s="112">
        <v>0</v>
      </c>
      <c r="Q42" s="112">
        <v>0</v>
      </c>
      <c r="R42" s="112">
        <v>0</v>
      </c>
      <c r="S42" s="112">
        <v>0</v>
      </c>
      <c r="T42" s="112">
        <v>0</v>
      </c>
      <c r="U42" s="112">
        <v>0</v>
      </c>
      <c r="V42" s="112">
        <v>0</v>
      </c>
      <c r="W42" s="112">
        <v>0</v>
      </c>
      <c r="X42" s="112">
        <v>0</v>
      </c>
      <c r="Y42" s="112">
        <v>0</v>
      </c>
      <c r="Z42" s="112">
        <v>0</v>
      </c>
      <c r="AA42" s="112">
        <v>0</v>
      </c>
      <c r="AB42" s="112">
        <v>0</v>
      </c>
      <c r="AC42" s="112">
        <v>0</v>
      </c>
      <c r="AD42" s="112">
        <v>0</v>
      </c>
      <c r="AE42" s="112">
        <v>0</v>
      </c>
      <c r="AF42" s="112">
        <v>0</v>
      </c>
      <c r="AG42" s="112">
        <v>0</v>
      </c>
      <c r="AH42" s="112">
        <v>0</v>
      </c>
      <c r="AI42" s="112">
        <v>0</v>
      </c>
      <c r="AJ42" s="112">
        <v>0</v>
      </c>
      <c r="AK42" s="112">
        <v>0</v>
      </c>
      <c r="AL42" s="112">
        <v>0</v>
      </c>
      <c r="AM42" s="112">
        <v>0</v>
      </c>
      <c r="AN42" s="112">
        <v>0</v>
      </c>
      <c r="AO42" s="112">
        <v>0</v>
      </c>
      <c r="AP42" s="112">
        <v>0</v>
      </c>
    </row>
    <row r="43" spans="1:42" x14ac:dyDescent="0.15">
      <c r="A43" s="191" t="s">
        <v>234</v>
      </c>
      <c r="B43" s="112">
        <v>0.8</v>
      </c>
      <c r="C43" s="112">
        <v>0</v>
      </c>
      <c r="D43" s="112">
        <v>0</v>
      </c>
      <c r="E43" s="112">
        <v>0.8</v>
      </c>
      <c r="F43" s="112">
        <v>0.8</v>
      </c>
      <c r="G43" s="112">
        <v>0</v>
      </c>
      <c r="H43" s="112">
        <v>0</v>
      </c>
      <c r="I43" s="112">
        <v>0</v>
      </c>
      <c r="J43" s="112">
        <v>0</v>
      </c>
      <c r="K43" s="112">
        <v>0</v>
      </c>
      <c r="L43" s="112">
        <v>0</v>
      </c>
      <c r="M43" s="112">
        <v>0.8</v>
      </c>
      <c r="N43" s="112">
        <v>0.8</v>
      </c>
      <c r="O43" s="112">
        <v>0</v>
      </c>
      <c r="P43" s="112">
        <v>0.8</v>
      </c>
      <c r="Q43" s="112">
        <v>0</v>
      </c>
      <c r="R43" s="112">
        <v>0</v>
      </c>
      <c r="S43" s="112">
        <v>0</v>
      </c>
      <c r="T43" s="112">
        <v>0</v>
      </c>
      <c r="U43" s="112">
        <v>0</v>
      </c>
      <c r="V43" s="112">
        <v>0</v>
      </c>
      <c r="W43" s="112">
        <v>0</v>
      </c>
      <c r="X43" s="112">
        <v>0</v>
      </c>
      <c r="Y43" s="112">
        <v>0</v>
      </c>
      <c r="Z43" s="112">
        <v>0</v>
      </c>
      <c r="AA43" s="112">
        <v>0</v>
      </c>
      <c r="AB43" s="112">
        <v>0</v>
      </c>
      <c r="AC43" s="112">
        <v>0</v>
      </c>
      <c r="AD43" s="112">
        <v>0</v>
      </c>
      <c r="AE43" s="112">
        <v>0</v>
      </c>
      <c r="AF43" s="112">
        <v>0</v>
      </c>
      <c r="AG43" s="112">
        <v>0</v>
      </c>
      <c r="AH43" s="112">
        <v>0</v>
      </c>
      <c r="AI43" s="112">
        <v>0</v>
      </c>
      <c r="AJ43" s="112">
        <v>0</v>
      </c>
      <c r="AK43" s="112">
        <v>0</v>
      </c>
      <c r="AL43" s="112">
        <v>0</v>
      </c>
      <c r="AM43" s="112">
        <v>0</v>
      </c>
      <c r="AN43" s="112">
        <v>0</v>
      </c>
      <c r="AO43" s="112">
        <v>0</v>
      </c>
      <c r="AP43" s="112">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indexed="51"/>
  </sheetPr>
  <dimension ref="A1:AP43"/>
  <sheetViews>
    <sheetView workbookViewId="0">
      <selection activeCell="A3" sqref="A3"/>
    </sheetView>
  </sheetViews>
  <sheetFormatPr baseColWidth="10" defaultRowHeight="13" x14ac:dyDescent="0.15"/>
  <cols>
    <col min="1" max="1" width="21.6640625" style="112" bestFit="1" customWidth="1"/>
    <col min="2" max="42" width="2.33203125" style="112" customWidth="1"/>
    <col min="43" max="16384" width="10.83203125" style="112"/>
  </cols>
  <sheetData>
    <row r="1" spans="1:42" x14ac:dyDescent="0.15">
      <c r="A1" s="63" t="s">
        <v>139</v>
      </c>
      <c r="B1" s="194" t="s">
        <v>192</v>
      </c>
      <c r="C1" s="194" t="s">
        <v>193</v>
      </c>
      <c r="D1" s="194" t="s">
        <v>194</v>
      </c>
      <c r="E1" s="194" t="s">
        <v>195</v>
      </c>
      <c r="F1" s="194" t="s">
        <v>196</v>
      </c>
      <c r="G1" s="194" t="s">
        <v>197</v>
      </c>
      <c r="H1" s="194" t="s">
        <v>198</v>
      </c>
      <c r="I1" s="194" t="s">
        <v>199</v>
      </c>
      <c r="J1" s="194" t="s">
        <v>200</v>
      </c>
      <c r="K1" s="194" t="s">
        <v>201</v>
      </c>
      <c r="L1" s="194" t="s">
        <v>202</v>
      </c>
      <c r="M1" s="194" t="s">
        <v>203</v>
      </c>
      <c r="N1" s="194" t="s">
        <v>204</v>
      </c>
      <c r="O1" s="194" t="s">
        <v>205</v>
      </c>
      <c r="P1" s="194" t="s">
        <v>206</v>
      </c>
      <c r="Q1" s="194" t="s">
        <v>207</v>
      </c>
      <c r="R1" s="194" t="s">
        <v>208</v>
      </c>
      <c r="S1" s="194" t="s">
        <v>209</v>
      </c>
      <c r="T1" s="194" t="s">
        <v>210</v>
      </c>
      <c r="U1" s="194" t="s">
        <v>211</v>
      </c>
      <c r="V1" s="194" t="s">
        <v>212</v>
      </c>
      <c r="W1" s="194" t="s">
        <v>213</v>
      </c>
      <c r="X1" s="194" t="s">
        <v>214</v>
      </c>
      <c r="Y1" s="194" t="s">
        <v>215</v>
      </c>
      <c r="Z1" s="194" t="s">
        <v>216</v>
      </c>
      <c r="AA1" s="194" t="s">
        <v>217</v>
      </c>
      <c r="AB1" s="194" t="s">
        <v>218</v>
      </c>
      <c r="AC1" s="194" t="s">
        <v>219</v>
      </c>
      <c r="AD1" s="194" t="s">
        <v>220</v>
      </c>
      <c r="AE1" s="194" t="s">
        <v>221</v>
      </c>
      <c r="AF1" s="194" t="s">
        <v>222</v>
      </c>
      <c r="AG1" s="194" t="s">
        <v>223</v>
      </c>
      <c r="AH1" s="194" t="s">
        <v>224</v>
      </c>
      <c r="AI1" s="194" t="s">
        <v>225</v>
      </c>
      <c r="AJ1" s="194" t="s">
        <v>226</v>
      </c>
      <c r="AK1" s="194" t="s">
        <v>227</v>
      </c>
      <c r="AL1" s="194" t="s">
        <v>228</v>
      </c>
      <c r="AM1" s="194" t="s">
        <v>229</v>
      </c>
      <c r="AN1" s="194" t="s">
        <v>230</v>
      </c>
      <c r="AO1" s="194" t="s">
        <v>231</v>
      </c>
      <c r="AP1" s="194" t="s">
        <v>232</v>
      </c>
    </row>
    <row r="2" spans="1:42" customFormat="1" x14ac:dyDescent="0.15">
      <c r="A2" s="193" t="s">
        <v>192</v>
      </c>
      <c r="B2" s="112">
        <v>0</v>
      </c>
      <c r="C2" s="112">
        <v>0</v>
      </c>
      <c r="D2" s="112">
        <v>0</v>
      </c>
      <c r="E2" s="112">
        <v>0</v>
      </c>
      <c r="F2" s="112">
        <v>0</v>
      </c>
      <c r="G2" s="112">
        <v>0</v>
      </c>
      <c r="H2" s="112">
        <v>0</v>
      </c>
      <c r="I2" s="112">
        <v>0</v>
      </c>
      <c r="J2" s="112">
        <v>0</v>
      </c>
      <c r="K2" s="112">
        <v>0</v>
      </c>
      <c r="L2" s="112">
        <v>0</v>
      </c>
      <c r="M2" s="112">
        <v>0</v>
      </c>
      <c r="N2" s="112">
        <v>0</v>
      </c>
      <c r="O2" s="112">
        <v>0</v>
      </c>
      <c r="P2" s="112">
        <v>0</v>
      </c>
      <c r="Q2" s="112">
        <v>0</v>
      </c>
      <c r="R2" s="112">
        <v>0</v>
      </c>
      <c r="S2" s="112">
        <v>0</v>
      </c>
      <c r="T2" s="112">
        <v>0</v>
      </c>
      <c r="U2" s="112">
        <v>0</v>
      </c>
      <c r="V2" s="112">
        <v>0</v>
      </c>
      <c r="W2" s="112">
        <v>0</v>
      </c>
      <c r="X2" s="112">
        <v>0</v>
      </c>
      <c r="Y2" s="112">
        <v>0</v>
      </c>
      <c r="Z2" s="112">
        <v>0</v>
      </c>
      <c r="AA2" s="112">
        <v>0</v>
      </c>
      <c r="AB2" s="112">
        <v>0</v>
      </c>
      <c r="AC2" s="112">
        <v>0</v>
      </c>
      <c r="AD2" s="112">
        <v>0</v>
      </c>
      <c r="AE2" s="112">
        <v>0</v>
      </c>
      <c r="AF2" s="112">
        <v>0</v>
      </c>
      <c r="AG2" s="112">
        <v>0</v>
      </c>
      <c r="AH2" s="112">
        <v>0</v>
      </c>
      <c r="AI2" s="112">
        <v>0</v>
      </c>
      <c r="AJ2" s="112">
        <v>0</v>
      </c>
      <c r="AK2" s="112">
        <v>0</v>
      </c>
      <c r="AL2" s="112">
        <v>0</v>
      </c>
      <c r="AM2" s="112">
        <v>0</v>
      </c>
      <c r="AN2" s="112">
        <v>0</v>
      </c>
      <c r="AO2" s="112">
        <v>0</v>
      </c>
      <c r="AP2" s="112">
        <v>0</v>
      </c>
    </row>
    <row r="3" spans="1:42" customFormat="1" x14ac:dyDescent="0.15">
      <c r="A3" s="193" t="s">
        <v>193</v>
      </c>
      <c r="B3" s="112">
        <v>0</v>
      </c>
      <c r="C3" s="112">
        <v>0</v>
      </c>
      <c r="D3" s="112">
        <v>0</v>
      </c>
      <c r="E3" s="112">
        <v>0</v>
      </c>
      <c r="F3" s="112">
        <v>0</v>
      </c>
      <c r="G3" s="112">
        <v>0</v>
      </c>
      <c r="H3" s="112">
        <v>0</v>
      </c>
      <c r="I3" s="112">
        <v>0</v>
      </c>
      <c r="J3" s="112">
        <v>0</v>
      </c>
      <c r="K3" s="112">
        <v>0</v>
      </c>
      <c r="L3" s="112">
        <v>1</v>
      </c>
      <c r="M3" s="112">
        <v>0</v>
      </c>
      <c r="N3" s="112">
        <v>0</v>
      </c>
      <c r="O3" s="112">
        <v>0</v>
      </c>
      <c r="P3" s="112">
        <v>0</v>
      </c>
      <c r="Q3" s="112">
        <v>0</v>
      </c>
      <c r="R3" s="112">
        <v>0</v>
      </c>
      <c r="S3" s="112">
        <v>0</v>
      </c>
      <c r="T3" s="112">
        <v>0</v>
      </c>
      <c r="U3" s="112">
        <v>0</v>
      </c>
      <c r="V3" s="112">
        <v>0</v>
      </c>
      <c r="W3" s="112">
        <v>0</v>
      </c>
      <c r="X3" s="112">
        <v>0</v>
      </c>
      <c r="Y3" s="112">
        <v>0</v>
      </c>
      <c r="Z3" s="112">
        <v>0</v>
      </c>
      <c r="AA3" s="112">
        <v>0</v>
      </c>
      <c r="AB3" s="112">
        <v>0</v>
      </c>
      <c r="AC3" s="112">
        <v>0</v>
      </c>
      <c r="AD3" s="112">
        <v>0</v>
      </c>
      <c r="AE3" s="112">
        <v>0</v>
      </c>
      <c r="AF3" s="112">
        <v>0</v>
      </c>
      <c r="AG3" s="112">
        <v>0</v>
      </c>
      <c r="AH3" s="112">
        <v>0</v>
      </c>
      <c r="AI3" s="112">
        <v>0</v>
      </c>
      <c r="AJ3" s="112">
        <v>0</v>
      </c>
      <c r="AK3" s="112">
        <v>0</v>
      </c>
      <c r="AL3" s="112">
        <v>0</v>
      </c>
      <c r="AM3" s="112">
        <v>0</v>
      </c>
      <c r="AN3" s="112">
        <v>0</v>
      </c>
      <c r="AO3" s="112">
        <v>0</v>
      </c>
      <c r="AP3" s="112">
        <v>0</v>
      </c>
    </row>
    <row r="4" spans="1:42" customFormat="1" x14ac:dyDescent="0.15">
      <c r="A4" s="193" t="s">
        <v>194</v>
      </c>
      <c r="B4" s="112">
        <v>1</v>
      </c>
      <c r="C4" s="112">
        <v>0</v>
      </c>
      <c r="D4" s="112">
        <v>0</v>
      </c>
      <c r="E4" s="112">
        <v>0</v>
      </c>
      <c r="F4" s="112">
        <v>0</v>
      </c>
      <c r="G4" s="112">
        <v>0</v>
      </c>
      <c r="H4" s="112">
        <v>0</v>
      </c>
      <c r="I4" s="112">
        <v>0</v>
      </c>
      <c r="J4" s="112">
        <v>0</v>
      </c>
      <c r="K4" s="112">
        <v>0</v>
      </c>
      <c r="L4" s="112">
        <v>1</v>
      </c>
      <c r="M4" s="112">
        <v>0</v>
      </c>
      <c r="N4" s="112">
        <v>0</v>
      </c>
      <c r="O4" s="112">
        <v>0</v>
      </c>
      <c r="P4" s="112">
        <v>0</v>
      </c>
      <c r="Q4" s="112">
        <v>0</v>
      </c>
      <c r="R4" s="112">
        <v>0</v>
      </c>
      <c r="S4" s="112">
        <v>0</v>
      </c>
      <c r="T4" s="112">
        <v>0</v>
      </c>
      <c r="U4" s="112">
        <v>0</v>
      </c>
      <c r="V4" s="112">
        <v>0</v>
      </c>
      <c r="W4" s="112">
        <v>0</v>
      </c>
      <c r="X4" s="112">
        <v>0</v>
      </c>
      <c r="Y4" s="112">
        <v>0</v>
      </c>
      <c r="Z4" s="112">
        <v>0</v>
      </c>
      <c r="AA4" s="112">
        <v>0</v>
      </c>
      <c r="AB4" s="112">
        <v>0</v>
      </c>
      <c r="AC4" s="112">
        <v>0</v>
      </c>
      <c r="AD4" s="112">
        <v>0</v>
      </c>
      <c r="AE4" s="112">
        <v>0</v>
      </c>
      <c r="AF4" s="112">
        <v>0</v>
      </c>
      <c r="AG4" s="112">
        <v>0</v>
      </c>
      <c r="AH4" s="112">
        <v>0</v>
      </c>
      <c r="AI4" s="112">
        <v>0</v>
      </c>
      <c r="AJ4" s="112">
        <v>0</v>
      </c>
      <c r="AK4" s="112">
        <v>0</v>
      </c>
      <c r="AL4" s="112">
        <v>0</v>
      </c>
      <c r="AM4" s="112">
        <v>0</v>
      </c>
      <c r="AN4" s="112">
        <v>0</v>
      </c>
      <c r="AO4" s="112">
        <v>0</v>
      </c>
      <c r="AP4" s="112">
        <v>0</v>
      </c>
    </row>
    <row r="5" spans="1:42" customFormat="1" x14ac:dyDescent="0.15">
      <c r="A5" s="193" t="s">
        <v>195</v>
      </c>
      <c r="B5" s="112">
        <v>0</v>
      </c>
      <c r="C5" s="112">
        <v>0</v>
      </c>
      <c r="D5" s="112">
        <v>0</v>
      </c>
      <c r="E5" s="112">
        <v>0</v>
      </c>
      <c r="F5" s="112">
        <v>0</v>
      </c>
      <c r="G5" s="112">
        <v>0</v>
      </c>
      <c r="H5" s="112">
        <v>0</v>
      </c>
      <c r="I5" s="112">
        <v>0</v>
      </c>
      <c r="J5" s="112">
        <v>0</v>
      </c>
      <c r="K5" s="112">
        <v>0</v>
      </c>
      <c r="L5" s="112">
        <v>0</v>
      </c>
      <c r="M5" s="112">
        <v>0</v>
      </c>
      <c r="N5" s="112">
        <v>0</v>
      </c>
      <c r="O5" s="112">
        <v>0</v>
      </c>
      <c r="P5" s="112">
        <v>0</v>
      </c>
      <c r="Q5" s="112">
        <v>0</v>
      </c>
      <c r="R5" s="112">
        <v>0</v>
      </c>
      <c r="S5" s="112">
        <v>0</v>
      </c>
      <c r="T5" s="112">
        <v>0</v>
      </c>
      <c r="U5" s="112">
        <v>0</v>
      </c>
      <c r="V5" s="112">
        <v>0</v>
      </c>
      <c r="W5" s="112">
        <v>0</v>
      </c>
      <c r="X5" s="112">
        <v>0</v>
      </c>
      <c r="Y5" s="112">
        <v>0</v>
      </c>
      <c r="Z5" s="112">
        <v>0</v>
      </c>
      <c r="AA5" s="112">
        <v>0</v>
      </c>
      <c r="AB5" s="112">
        <v>0</v>
      </c>
      <c r="AC5" s="112">
        <v>0</v>
      </c>
      <c r="AD5" s="112">
        <v>0</v>
      </c>
      <c r="AE5" s="112">
        <v>0</v>
      </c>
      <c r="AF5" s="112">
        <v>0</v>
      </c>
      <c r="AG5" s="112">
        <v>0</v>
      </c>
      <c r="AH5" s="112">
        <v>0</v>
      </c>
      <c r="AI5" s="112">
        <v>0</v>
      </c>
      <c r="AJ5" s="112">
        <v>0</v>
      </c>
      <c r="AK5" s="112">
        <v>0</v>
      </c>
      <c r="AL5" s="112">
        <v>0</v>
      </c>
      <c r="AM5" s="112">
        <v>0</v>
      </c>
      <c r="AN5" s="112">
        <v>0</v>
      </c>
      <c r="AO5" s="112">
        <v>0</v>
      </c>
      <c r="AP5" s="112">
        <v>0</v>
      </c>
    </row>
    <row r="6" spans="1:42" customFormat="1" x14ac:dyDescent="0.15">
      <c r="A6" s="193" t="s">
        <v>196</v>
      </c>
      <c r="B6" s="112">
        <v>1</v>
      </c>
      <c r="C6" s="112">
        <v>0</v>
      </c>
      <c r="D6" s="112">
        <v>0</v>
      </c>
      <c r="E6" s="112">
        <v>0</v>
      </c>
      <c r="F6" s="112">
        <v>0</v>
      </c>
      <c r="G6" s="112">
        <v>0</v>
      </c>
      <c r="H6" s="112">
        <v>0</v>
      </c>
      <c r="I6" s="112">
        <v>0</v>
      </c>
      <c r="J6" s="112">
        <v>0</v>
      </c>
      <c r="K6" s="112">
        <v>0</v>
      </c>
      <c r="L6" s="112">
        <v>1</v>
      </c>
      <c r="M6" s="112">
        <v>0</v>
      </c>
      <c r="N6" s="112">
        <v>0</v>
      </c>
      <c r="O6" s="112">
        <v>0</v>
      </c>
      <c r="P6" s="112">
        <v>0</v>
      </c>
      <c r="Q6" s="112">
        <v>0</v>
      </c>
      <c r="R6" s="112">
        <v>0</v>
      </c>
      <c r="S6" s="112">
        <v>0</v>
      </c>
      <c r="T6" s="112">
        <v>0</v>
      </c>
      <c r="U6" s="112">
        <v>0</v>
      </c>
      <c r="V6" s="112">
        <v>0</v>
      </c>
      <c r="W6" s="112">
        <v>0</v>
      </c>
      <c r="X6" s="112">
        <v>0</v>
      </c>
      <c r="Y6" s="112">
        <v>0</v>
      </c>
      <c r="Z6" s="112">
        <v>0</v>
      </c>
      <c r="AA6" s="112">
        <v>0</v>
      </c>
      <c r="AB6" s="112">
        <v>0</v>
      </c>
      <c r="AC6" s="112">
        <v>0</v>
      </c>
      <c r="AD6" s="112">
        <v>0</v>
      </c>
      <c r="AE6" s="112">
        <v>0</v>
      </c>
      <c r="AF6" s="112">
        <v>0</v>
      </c>
      <c r="AG6" s="112">
        <v>0</v>
      </c>
      <c r="AH6" s="112">
        <v>0</v>
      </c>
      <c r="AI6" s="112">
        <v>0</v>
      </c>
      <c r="AJ6" s="112">
        <v>0</v>
      </c>
      <c r="AK6" s="112">
        <v>0</v>
      </c>
      <c r="AL6" s="112">
        <v>0</v>
      </c>
      <c r="AM6" s="112">
        <v>0</v>
      </c>
      <c r="AN6" s="112">
        <v>0</v>
      </c>
      <c r="AO6" s="112">
        <v>0</v>
      </c>
      <c r="AP6" s="112">
        <v>0</v>
      </c>
    </row>
    <row r="7" spans="1:42" customFormat="1" x14ac:dyDescent="0.15">
      <c r="A7" s="193" t="s">
        <v>197</v>
      </c>
      <c r="B7" s="112">
        <v>1</v>
      </c>
      <c r="C7" s="112">
        <v>0</v>
      </c>
      <c r="D7" s="112">
        <v>0</v>
      </c>
      <c r="E7" s="112">
        <v>0</v>
      </c>
      <c r="F7" s="112">
        <v>0</v>
      </c>
      <c r="G7" s="112">
        <v>0</v>
      </c>
      <c r="H7" s="112">
        <v>0</v>
      </c>
      <c r="I7" s="112">
        <v>0</v>
      </c>
      <c r="J7" s="112">
        <v>0</v>
      </c>
      <c r="K7" s="112">
        <v>0</v>
      </c>
      <c r="L7" s="112">
        <v>1</v>
      </c>
      <c r="M7" s="112">
        <v>0</v>
      </c>
      <c r="N7" s="112">
        <v>0</v>
      </c>
      <c r="O7" s="112">
        <v>0</v>
      </c>
      <c r="P7" s="112">
        <v>0</v>
      </c>
      <c r="Q7" s="112">
        <v>0</v>
      </c>
      <c r="R7" s="112">
        <v>0</v>
      </c>
      <c r="S7" s="112">
        <v>0</v>
      </c>
      <c r="T7" s="112">
        <v>0</v>
      </c>
      <c r="U7" s="112">
        <v>0</v>
      </c>
      <c r="V7" s="112">
        <v>0</v>
      </c>
      <c r="W7" s="112">
        <v>0</v>
      </c>
      <c r="X7" s="112">
        <v>0</v>
      </c>
      <c r="Y7" s="112">
        <v>0</v>
      </c>
      <c r="Z7" s="112">
        <v>0</v>
      </c>
      <c r="AA7" s="112">
        <v>0</v>
      </c>
      <c r="AB7" s="112">
        <v>0</v>
      </c>
      <c r="AC7" s="112">
        <v>0</v>
      </c>
      <c r="AD7" s="112">
        <v>0</v>
      </c>
      <c r="AE7" s="112">
        <v>0</v>
      </c>
      <c r="AF7" s="112">
        <v>0</v>
      </c>
      <c r="AG7" s="112">
        <v>0</v>
      </c>
      <c r="AH7" s="112">
        <v>0</v>
      </c>
      <c r="AI7" s="112">
        <v>0</v>
      </c>
      <c r="AJ7" s="112">
        <v>0</v>
      </c>
      <c r="AK7" s="112">
        <v>0</v>
      </c>
      <c r="AL7" s="112">
        <v>0</v>
      </c>
      <c r="AM7" s="112">
        <v>0</v>
      </c>
      <c r="AN7" s="112">
        <v>0</v>
      </c>
      <c r="AO7" s="112">
        <v>0</v>
      </c>
      <c r="AP7" s="112">
        <v>0</v>
      </c>
    </row>
    <row r="8" spans="1:42" customFormat="1" x14ac:dyDescent="0.15">
      <c r="A8" s="193" t="s">
        <v>198</v>
      </c>
      <c r="B8" s="112">
        <v>1</v>
      </c>
      <c r="C8" s="112">
        <v>0</v>
      </c>
      <c r="D8" s="112">
        <v>0</v>
      </c>
      <c r="E8" s="112">
        <v>0</v>
      </c>
      <c r="F8" s="112">
        <v>0</v>
      </c>
      <c r="G8" s="112">
        <v>0</v>
      </c>
      <c r="H8" s="112">
        <v>0</v>
      </c>
      <c r="I8" s="112">
        <v>0</v>
      </c>
      <c r="J8" s="112">
        <v>0</v>
      </c>
      <c r="K8" s="112">
        <v>0</v>
      </c>
      <c r="L8" s="112">
        <v>0</v>
      </c>
      <c r="M8" s="112">
        <v>0</v>
      </c>
      <c r="N8" s="112">
        <v>0</v>
      </c>
      <c r="O8" s="112">
        <v>0</v>
      </c>
      <c r="P8" s="112">
        <v>0</v>
      </c>
      <c r="Q8" s="112">
        <v>0</v>
      </c>
      <c r="R8" s="112">
        <v>0</v>
      </c>
      <c r="S8" s="112">
        <v>0</v>
      </c>
      <c r="T8" s="112">
        <v>0</v>
      </c>
      <c r="U8" s="112">
        <v>0</v>
      </c>
      <c r="V8" s="112">
        <v>0</v>
      </c>
      <c r="W8" s="112">
        <v>0</v>
      </c>
      <c r="X8" s="112">
        <v>0</v>
      </c>
      <c r="Y8" s="112">
        <v>0</v>
      </c>
      <c r="Z8" s="112">
        <v>0</v>
      </c>
      <c r="AA8" s="112">
        <v>0</v>
      </c>
      <c r="AB8" s="112">
        <v>0</v>
      </c>
      <c r="AC8" s="112">
        <v>0</v>
      </c>
      <c r="AD8" s="112">
        <v>0</v>
      </c>
      <c r="AE8" s="112">
        <v>0</v>
      </c>
      <c r="AF8" s="112">
        <v>0</v>
      </c>
      <c r="AG8" s="112">
        <v>0</v>
      </c>
      <c r="AH8" s="112">
        <v>0</v>
      </c>
      <c r="AI8" s="112">
        <v>0</v>
      </c>
      <c r="AJ8" s="112">
        <v>0</v>
      </c>
      <c r="AK8" s="112">
        <v>0</v>
      </c>
      <c r="AL8" s="112">
        <v>0</v>
      </c>
      <c r="AM8" s="112">
        <v>0</v>
      </c>
      <c r="AN8" s="112">
        <v>0</v>
      </c>
      <c r="AO8" s="112">
        <v>0</v>
      </c>
      <c r="AP8" s="112">
        <v>0</v>
      </c>
    </row>
    <row r="9" spans="1:42" customFormat="1" x14ac:dyDescent="0.15">
      <c r="A9" s="193" t="s">
        <v>199</v>
      </c>
      <c r="B9" s="112">
        <v>1</v>
      </c>
      <c r="C9" s="112">
        <v>0</v>
      </c>
      <c r="D9" s="112">
        <v>0</v>
      </c>
      <c r="E9" s="112">
        <v>0</v>
      </c>
      <c r="F9" s="112">
        <v>0</v>
      </c>
      <c r="G9" s="112">
        <v>0</v>
      </c>
      <c r="H9" s="112">
        <v>0</v>
      </c>
      <c r="I9" s="112">
        <v>0</v>
      </c>
      <c r="J9" s="112">
        <v>0</v>
      </c>
      <c r="K9" s="112">
        <v>0</v>
      </c>
      <c r="L9" s="112">
        <v>1</v>
      </c>
      <c r="M9" s="112">
        <v>0</v>
      </c>
      <c r="N9" s="112">
        <v>0</v>
      </c>
      <c r="O9" s="112">
        <v>0</v>
      </c>
      <c r="P9" s="112">
        <v>0</v>
      </c>
      <c r="Q9" s="112">
        <v>0</v>
      </c>
      <c r="R9" s="112">
        <v>0</v>
      </c>
      <c r="S9" s="112">
        <v>0</v>
      </c>
      <c r="T9" s="112">
        <v>0</v>
      </c>
      <c r="U9" s="112">
        <v>0</v>
      </c>
      <c r="V9" s="112">
        <v>0</v>
      </c>
      <c r="W9" s="112">
        <v>0</v>
      </c>
      <c r="X9" s="112">
        <v>0</v>
      </c>
      <c r="Y9" s="112">
        <v>0</v>
      </c>
      <c r="Z9" s="112">
        <v>0</v>
      </c>
      <c r="AA9" s="112">
        <v>0</v>
      </c>
      <c r="AB9" s="112">
        <v>0</v>
      </c>
      <c r="AC9" s="112">
        <v>0</v>
      </c>
      <c r="AD9" s="112">
        <v>0</v>
      </c>
      <c r="AE9" s="112">
        <v>0</v>
      </c>
      <c r="AF9" s="112">
        <v>0</v>
      </c>
      <c r="AG9" s="112">
        <v>0</v>
      </c>
      <c r="AH9" s="112">
        <v>0</v>
      </c>
      <c r="AI9" s="112">
        <v>0</v>
      </c>
      <c r="AJ9" s="112">
        <v>0</v>
      </c>
      <c r="AK9" s="112">
        <v>0</v>
      </c>
      <c r="AL9" s="112">
        <v>0</v>
      </c>
      <c r="AM9" s="112">
        <v>0</v>
      </c>
      <c r="AN9" s="112">
        <v>0</v>
      </c>
      <c r="AO9" s="112">
        <v>0</v>
      </c>
      <c r="AP9" s="112">
        <v>0</v>
      </c>
    </row>
    <row r="10" spans="1:42" customFormat="1" x14ac:dyDescent="0.15">
      <c r="A10" s="193" t="s">
        <v>200</v>
      </c>
      <c r="B10" s="112">
        <v>0</v>
      </c>
      <c r="C10" s="112">
        <v>0</v>
      </c>
      <c r="D10" s="112">
        <v>0</v>
      </c>
      <c r="E10" s="112">
        <v>0</v>
      </c>
      <c r="F10" s="112">
        <v>0</v>
      </c>
      <c r="G10" s="112">
        <v>0</v>
      </c>
      <c r="H10" s="112">
        <v>0</v>
      </c>
      <c r="I10" s="112">
        <v>0</v>
      </c>
      <c r="J10" s="112">
        <v>0</v>
      </c>
      <c r="K10" s="112">
        <v>0</v>
      </c>
      <c r="L10" s="112">
        <v>0</v>
      </c>
      <c r="M10" s="112">
        <v>0</v>
      </c>
      <c r="N10" s="112">
        <v>0</v>
      </c>
      <c r="O10" s="112">
        <v>0</v>
      </c>
      <c r="P10" s="112">
        <v>0</v>
      </c>
      <c r="Q10" s="112">
        <v>0</v>
      </c>
      <c r="R10" s="112">
        <v>0</v>
      </c>
      <c r="S10" s="112">
        <v>0</v>
      </c>
      <c r="T10" s="112">
        <v>0</v>
      </c>
      <c r="U10" s="112">
        <v>0</v>
      </c>
      <c r="V10" s="112">
        <v>0</v>
      </c>
      <c r="W10" s="112">
        <v>0</v>
      </c>
      <c r="X10" s="112">
        <v>0</v>
      </c>
      <c r="Y10" s="112">
        <v>0</v>
      </c>
      <c r="Z10" s="112">
        <v>0</v>
      </c>
      <c r="AA10" s="112">
        <v>0</v>
      </c>
      <c r="AB10" s="112">
        <v>0</v>
      </c>
      <c r="AC10" s="112">
        <v>0</v>
      </c>
      <c r="AD10" s="112">
        <v>0</v>
      </c>
      <c r="AE10" s="112">
        <v>0</v>
      </c>
      <c r="AF10" s="112">
        <v>0</v>
      </c>
      <c r="AG10" s="112">
        <v>0</v>
      </c>
      <c r="AH10" s="112">
        <v>0</v>
      </c>
      <c r="AI10" s="112">
        <v>0</v>
      </c>
      <c r="AJ10" s="112">
        <v>0</v>
      </c>
      <c r="AK10" s="112">
        <v>0</v>
      </c>
      <c r="AL10" s="112">
        <v>0</v>
      </c>
      <c r="AM10" s="112">
        <v>0</v>
      </c>
      <c r="AN10" s="112">
        <v>0</v>
      </c>
      <c r="AO10" s="112">
        <v>0</v>
      </c>
      <c r="AP10" s="112">
        <v>0</v>
      </c>
    </row>
    <row r="11" spans="1:42" customFormat="1" x14ac:dyDescent="0.15">
      <c r="A11" s="193" t="s">
        <v>201</v>
      </c>
      <c r="B11" s="112">
        <v>1</v>
      </c>
      <c r="C11" s="112">
        <v>0</v>
      </c>
      <c r="D11" s="112">
        <v>0</v>
      </c>
      <c r="E11" s="112">
        <v>0</v>
      </c>
      <c r="F11" s="112">
        <v>0</v>
      </c>
      <c r="G11" s="112">
        <v>1</v>
      </c>
      <c r="H11" s="112">
        <v>1</v>
      </c>
      <c r="I11" s="112">
        <v>0</v>
      </c>
      <c r="J11" s="112">
        <v>0</v>
      </c>
      <c r="K11" s="112">
        <v>1</v>
      </c>
      <c r="L11" s="112">
        <v>1</v>
      </c>
      <c r="M11" s="112">
        <v>0</v>
      </c>
      <c r="N11" s="112">
        <v>0</v>
      </c>
      <c r="O11" s="112">
        <v>0</v>
      </c>
      <c r="P11" s="112">
        <v>0</v>
      </c>
      <c r="Q11" s="112">
        <v>0</v>
      </c>
      <c r="R11" s="112">
        <v>0</v>
      </c>
      <c r="S11" s="112">
        <v>0</v>
      </c>
      <c r="T11" s="112">
        <v>0</v>
      </c>
      <c r="U11" s="112">
        <v>0</v>
      </c>
      <c r="V11" s="112">
        <v>0</v>
      </c>
      <c r="W11" s="112">
        <v>0</v>
      </c>
      <c r="X11" s="112">
        <v>0</v>
      </c>
      <c r="Y11" s="112">
        <v>0</v>
      </c>
      <c r="Z11" s="112">
        <v>0</v>
      </c>
      <c r="AA11" s="112">
        <v>0</v>
      </c>
      <c r="AB11" s="112">
        <v>0</v>
      </c>
      <c r="AC11" s="112">
        <v>0</v>
      </c>
      <c r="AD11" s="112">
        <v>0</v>
      </c>
      <c r="AE11" s="112">
        <v>0</v>
      </c>
      <c r="AF11" s="112">
        <v>0</v>
      </c>
      <c r="AG11" s="112">
        <v>0</v>
      </c>
      <c r="AH11" s="112">
        <v>0</v>
      </c>
      <c r="AI11" s="112">
        <v>0</v>
      </c>
      <c r="AJ11" s="112">
        <v>0</v>
      </c>
      <c r="AK11" s="112">
        <v>0</v>
      </c>
      <c r="AL11" s="112">
        <v>0</v>
      </c>
      <c r="AM11" s="112">
        <v>0</v>
      </c>
      <c r="AN11" s="112">
        <v>0</v>
      </c>
      <c r="AO11" s="112">
        <v>0</v>
      </c>
      <c r="AP11" s="112">
        <v>0</v>
      </c>
    </row>
    <row r="12" spans="1:42" customFormat="1" x14ac:dyDescent="0.15">
      <c r="A12" s="193" t="s">
        <v>202</v>
      </c>
      <c r="B12" s="112">
        <v>0</v>
      </c>
      <c r="C12" s="112">
        <v>0</v>
      </c>
      <c r="D12" s="112">
        <v>0</v>
      </c>
      <c r="E12" s="112">
        <v>0</v>
      </c>
      <c r="F12" s="112">
        <v>0</v>
      </c>
      <c r="G12" s="112">
        <v>0</v>
      </c>
      <c r="H12" s="112">
        <v>0</v>
      </c>
      <c r="I12" s="112">
        <v>0</v>
      </c>
      <c r="J12" s="112">
        <v>0</v>
      </c>
      <c r="K12" s="112">
        <v>0</v>
      </c>
      <c r="L12" s="112">
        <v>0</v>
      </c>
      <c r="M12" s="112">
        <v>1</v>
      </c>
      <c r="N12" s="112">
        <v>0</v>
      </c>
      <c r="O12" s="112">
        <v>0</v>
      </c>
      <c r="P12" s="112">
        <v>0</v>
      </c>
      <c r="Q12" s="112">
        <v>0</v>
      </c>
      <c r="R12" s="112">
        <v>0</v>
      </c>
      <c r="S12" s="112">
        <v>0</v>
      </c>
      <c r="T12" s="112">
        <v>0</v>
      </c>
      <c r="U12" s="112">
        <v>0</v>
      </c>
      <c r="V12" s="112">
        <v>0</v>
      </c>
      <c r="W12" s="112">
        <v>0</v>
      </c>
      <c r="X12" s="112">
        <v>0</v>
      </c>
      <c r="Y12" s="112">
        <v>0</v>
      </c>
      <c r="Z12" s="112">
        <v>0</v>
      </c>
      <c r="AA12" s="112">
        <v>0</v>
      </c>
      <c r="AB12" s="112">
        <v>0</v>
      </c>
      <c r="AC12" s="112">
        <v>0</v>
      </c>
      <c r="AD12" s="112">
        <v>0</v>
      </c>
      <c r="AE12" s="112">
        <v>0</v>
      </c>
      <c r="AF12" s="112">
        <v>0</v>
      </c>
      <c r="AG12" s="112">
        <v>0</v>
      </c>
      <c r="AH12" s="112">
        <v>0</v>
      </c>
      <c r="AI12" s="112">
        <v>0</v>
      </c>
      <c r="AJ12" s="112">
        <v>0</v>
      </c>
      <c r="AK12" s="112">
        <v>0</v>
      </c>
      <c r="AL12" s="112">
        <v>0</v>
      </c>
      <c r="AM12" s="112">
        <v>0</v>
      </c>
      <c r="AN12" s="112">
        <v>0</v>
      </c>
      <c r="AO12" s="112">
        <v>0</v>
      </c>
      <c r="AP12" s="112">
        <v>0</v>
      </c>
    </row>
    <row r="13" spans="1:42" customFormat="1" x14ac:dyDescent="0.15">
      <c r="A13" s="193" t="s">
        <v>203</v>
      </c>
      <c r="B13" s="112">
        <v>0</v>
      </c>
      <c r="C13" s="112">
        <v>1</v>
      </c>
      <c r="D13" s="112">
        <v>0</v>
      </c>
      <c r="E13" s="112">
        <v>0</v>
      </c>
      <c r="F13" s="112">
        <v>0</v>
      </c>
      <c r="G13" s="112">
        <v>1</v>
      </c>
      <c r="H13" s="112">
        <v>1</v>
      </c>
      <c r="I13" s="112">
        <v>0</v>
      </c>
      <c r="J13" s="112">
        <v>0</v>
      </c>
      <c r="K13" s="112">
        <v>0</v>
      </c>
      <c r="L13" s="112">
        <v>1</v>
      </c>
      <c r="M13" s="112">
        <v>1</v>
      </c>
      <c r="N13" s="112">
        <v>0</v>
      </c>
      <c r="O13" s="112">
        <v>0</v>
      </c>
      <c r="P13" s="112">
        <v>0</v>
      </c>
      <c r="Q13" s="112">
        <v>0</v>
      </c>
      <c r="R13" s="112">
        <v>0</v>
      </c>
      <c r="S13" s="112">
        <v>0</v>
      </c>
      <c r="T13" s="112">
        <v>0</v>
      </c>
      <c r="U13" s="112">
        <v>0</v>
      </c>
      <c r="V13" s="112">
        <v>0</v>
      </c>
      <c r="W13" s="112">
        <v>0</v>
      </c>
      <c r="X13" s="112">
        <v>0</v>
      </c>
      <c r="Y13" s="112">
        <v>0</v>
      </c>
      <c r="Z13" s="112">
        <v>0</v>
      </c>
      <c r="AA13" s="112">
        <v>0</v>
      </c>
      <c r="AB13" s="112">
        <v>0</v>
      </c>
      <c r="AC13" s="112">
        <v>0</v>
      </c>
      <c r="AD13" s="112">
        <v>0</v>
      </c>
      <c r="AE13" s="112">
        <v>0</v>
      </c>
      <c r="AF13" s="112">
        <v>0</v>
      </c>
      <c r="AG13" s="112">
        <v>0</v>
      </c>
      <c r="AH13" s="112">
        <v>0</v>
      </c>
      <c r="AI13" s="112">
        <v>0</v>
      </c>
      <c r="AJ13" s="112">
        <v>0</v>
      </c>
      <c r="AK13" s="112">
        <v>0</v>
      </c>
      <c r="AL13" s="112">
        <v>0</v>
      </c>
      <c r="AM13" s="112">
        <v>0</v>
      </c>
      <c r="AN13" s="112">
        <v>0</v>
      </c>
      <c r="AO13" s="112">
        <v>0</v>
      </c>
      <c r="AP13" s="112">
        <v>0</v>
      </c>
    </row>
    <row r="14" spans="1:42" customFormat="1" x14ac:dyDescent="0.15">
      <c r="A14" s="193" t="s">
        <v>204</v>
      </c>
      <c r="B14" s="112">
        <v>0</v>
      </c>
      <c r="C14" s="112">
        <v>1</v>
      </c>
      <c r="D14" s="112">
        <v>1</v>
      </c>
      <c r="E14" s="112">
        <v>0</v>
      </c>
      <c r="F14" s="112">
        <v>0</v>
      </c>
      <c r="G14" s="112">
        <v>1</v>
      </c>
      <c r="H14" s="112">
        <v>1</v>
      </c>
      <c r="I14" s="112">
        <v>1</v>
      </c>
      <c r="J14" s="112">
        <v>0</v>
      </c>
      <c r="K14" s="112">
        <v>0</v>
      </c>
      <c r="L14" s="112">
        <v>1</v>
      </c>
      <c r="M14" s="112">
        <v>1</v>
      </c>
      <c r="N14" s="112">
        <v>1</v>
      </c>
      <c r="O14" s="112">
        <v>1</v>
      </c>
      <c r="P14" s="112">
        <v>0</v>
      </c>
      <c r="Q14" s="112">
        <v>0</v>
      </c>
      <c r="R14" s="112">
        <v>0</v>
      </c>
      <c r="S14" s="112">
        <v>0</v>
      </c>
      <c r="T14" s="112">
        <v>0</v>
      </c>
      <c r="U14" s="112">
        <v>0</v>
      </c>
      <c r="V14" s="112">
        <v>0</v>
      </c>
      <c r="W14" s="112">
        <v>1</v>
      </c>
      <c r="X14" s="112">
        <v>0</v>
      </c>
      <c r="Y14" s="112">
        <v>0</v>
      </c>
      <c r="Z14" s="112">
        <v>1</v>
      </c>
      <c r="AA14" s="112">
        <v>0</v>
      </c>
      <c r="AB14" s="112">
        <v>1</v>
      </c>
      <c r="AC14" s="112">
        <v>0</v>
      </c>
      <c r="AD14" s="112">
        <v>0</v>
      </c>
      <c r="AE14" s="112">
        <v>1</v>
      </c>
      <c r="AF14" s="112">
        <v>0</v>
      </c>
      <c r="AG14" s="112">
        <v>0</v>
      </c>
      <c r="AH14" s="112">
        <v>0</v>
      </c>
      <c r="AI14" s="112">
        <v>0</v>
      </c>
      <c r="AJ14" s="112">
        <v>0</v>
      </c>
      <c r="AK14" s="112">
        <v>0</v>
      </c>
      <c r="AL14" s="112">
        <v>0</v>
      </c>
      <c r="AM14" s="112">
        <v>0</v>
      </c>
      <c r="AN14" s="112">
        <v>0</v>
      </c>
      <c r="AO14" s="112">
        <v>0</v>
      </c>
      <c r="AP14" s="112">
        <v>0</v>
      </c>
    </row>
    <row r="15" spans="1:42" customFormat="1" x14ac:dyDescent="0.15">
      <c r="A15" s="193" t="s">
        <v>205</v>
      </c>
      <c r="B15" s="112">
        <v>0</v>
      </c>
      <c r="C15" s="112">
        <v>1</v>
      </c>
      <c r="D15" s="112">
        <v>0</v>
      </c>
      <c r="E15" s="112">
        <v>0</v>
      </c>
      <c r="F15" s="112">
        <v>0</v>
      </c>
      <c r="G15" s="112">
        <v>1</v>
      </c>
      <c r="H15" s="112">
        <v>1</v>
      </c>
      <c r="I15" s="112">
        <v>1</v>
      </c>
      <c r="J15" s="112">
        <v>0</v>
      </c>
      <c r="K15" s="112">
        <v>0</v>
      </c>
      <c r="L15" s="112">
        <v>1</v>
      </c>
      <c r="M15" s="112">
        <v>1</v>
      </c>
      <c r="N15" s="112">
        <v>0</v>
      </c>
      <c r="O15" s="112">
        <v>1</v>
      </c>
      <c r="P15" s="112">
        <v>0</v>
      </c>
      <c r="Q15" s="112">
        <v>0</v>
      </c>
      <c r="R15" s="112">
        <v>0</v>
      </c>
      <c r="S15" s="112">
        <v>0</v>
      </c>
      <c r="T15" s="112">
        <v>0</v>
      </c>
      <c r="U15" s="112">
        <v>0</v>
      </c>
      <c r="V15" s="112">
        <v>0</v>
      </c>
      <c r="W15" s="112">
        <v>0</v>
      </c>
      <c r="X15" s="112">
        <v>0</v>
      </c>
      <c r="Y15" s="112">
        <v>0</v>
      </c>
      <c r="Z15" s="112">
        <v>0</v>
      </c>
      <c r="AA15" s="112">
        <v>0</v>
      </c>
      <c r="AB15" s="112">
        <v>1</v>
      </c>
      <c r="AC15" s="112">
        <v>0</v>
      </c>
      <c r="AD15" s="112">
        <v>0</v>
      </c>
      <c r="AE15" s="112">
        <v>1</v>
      </c>
      <c r="AF15" s="112">
        <v>0</v>
      </c>
      <c r="AG15" s="112">
        <v>0</v>
      </c>
      <c r="AH15" s="112">
        <v>0</v>
      </c>
      <c r="AI15" s="112">
        <v>0</v>
      </c>
      <c r="AJ15" s="112">
        <v>0</v>
      </c>
      <c r="AK15" s="112">
        <v>0</v>
      </c>
      <c r="AL15" s="112">
        <v>0</v>
      </c>
      <c r="AM15" s="112">
        <v>0</v>
      </c>
      <c r="AN15" s="112">
        <v>0</v>
      </c>
      <c r="AO15" s="112">
        <v>0</v>
      </c>
      <c r="AP15" s="112">
        <v>0</v>
      </c>
    </row>
    <row r="16" spans="1:42" customFormat="1" x14ac:dyDescent="0.15">
      <c r="A16" s="193" t="s">
        <v>206</v>
      </c>
      <c r="B16" s="112">
        <v>0</v>
      </c>
      <c r="C16" s="112">
        <v>1</v>
      </c>
      <c r="D16" s="112">
        <v>1</v>
      </c>
      <c r="E16" s="112">
        <v>0</v>
      </c>
      <c r="F16" s="112">
        <v>0</v>
      </c>
      <c r="G16" s="112">
        <v>1</v>
      </c>
      <c r="H16" s="112">
        <v>1</v>
      </c>
      <c r="I16" s="112">
        <v>1</v>
      </c>
      <c r="J16" s="112">
        <v>0</v>
      </c>
      <c r="K16" s="112">
        <v>1</v>
      </c>
      <c r="L16" s="112">
        <v>1</v>
      </c>
      <c r="M16" s="112">
        <v>1</v>
      </c>
      <c r="N16" s="112">
        <v>1</v>
      </c>
      <c r="O16" s="112">
        <v>1</v>
      </c>
      <c r="P16" s="112">
        <v>1</v>
      </c>
      <c r="Q16" s="112">
        <v>0</v>
      </c>
      <c r="R16" s="112">
        <v>0</v>
      </c>
      <c r="S16" s="112">
        <v>1</v>
      </c>
      <c r="T16" s="112">
        <v>1</v>
      </c>
      <c r="U16" s="112">
        <v>0</v>
      </c>
      <c r="V16" s="112">
        <v>1</v>
      </c>
      <c r="W16" s="112">
        <v>1</v>
      </c>
      <c r="X16" s="112">
        <v>1</v>
      </c>
      <c r="Y16" s="112">
        <v>1</v>
      </c>
      <c r="Z16" s="112">
        <v>1</v>
      </c>
      <c r="AA16" s="112">
        <v>1</v>
      </c>
      <c r="AB16" s="112">
        <v>1</v>
      </c>
      <c r="AC16" s="112">
        <v>1</v>
      </c>
      <c r="AD16" s="112">
        <v>1</v>
      </c>
      <c r="AE16" s="112">
        <v>1</v>
      </c>
      <c r="AF16" s="112">
        <v>1</v>
      </c>
      <c r="AG16" s="112">
        <v>0</v>
      </c>
      <c r="AH16" s="112">
        <v>0</v>
      </c>
      <c r="AI16" s="112">
        <v>0</v>
      </c>
      <c r="AJ16" s="112">
        <v>1</v>
      </c>
      <c r="AK16" s="112">
        <v>0</v>
      </c>
      <c r="AL16" s="112">
        <v>0</v>
      </c>
      <c r="AM16" s="112">
        <v>0</v>
      </c>
      <c r="AN16" s="112">
        <v>0</v>
      </c>
      <c r="AO16" s="112">
        <v>0</v>
      </c>
      <c r="AP16" s="112">
        <v>0</v>
      </c>
    </row>
    <row r="17" spans="1:42" customFormat="1" x14ac:dyDescent="0.15">
      <c r="A17" s="193" t="s">
        <v>207</v>
      </c>
      <c r="B17" s="112">
        <v>0</v>
      </c>
      <c r="C17" s="112">
        <v>0</v>
      </c>
      <c r="D17" s="112">
        <v>1</v>
      </c>
      <c r="E17" s="112">
        <v>0</v>
      </c>
      <c r="F17" s="112">
        <v>0</v>
      </c>
      <c r="G17" s="112">
        <v>1</v>
      </c>
      <c r="H17" s="112">
        <v>1</v>
      </c>
      <c r="I17" s="112">
        <v>1</v>
      </c>
      <c r="J17" s="112">
        <v>0</v>
      </c>
      <c r="K17" s="112">
        <v>1</v>
      </c>
      <c r="L17" s="112">
        <v>0</v>
      </c>
      <c r="M17" s="112">
        <v>1</v>
      </c>
      <c r="N17" s="112">
        <v>1</v>
      </c>
      <c r="O17" s="112">
        <v>1</v>
      </c>
      <c r="P17" s="112">
        <v>1</v>
      </c>
      <c r="Q17" s="112">
        <v>0</v>
      </c>
      <c r="R17" s="112">
        <v>0</v>
      </c>
      <c r="S17" s="112">
        <v>1</v>
      </c>
      <c r="T17" s="112">
        <v>1</v>
      </c>
      <c r="U17" s="112">
        <v>0</v>
      </c>
      <c r="V17" s="112">
        <v>1</v>
      </c>
      <c r="W17" s="112">
        <v>1</v>
      </c>
      <c r="X17" s="112">
        <v>1</v>
      </c>
      <c r="Y17" s="112">
        <v>1</v>
      </c>
      <c r="Z17" s="112">
        <v>1</v>
      </c>
      <c r="AA17" s="112">
        <v>1</v>
      </c>
      <c r="AB17" s="112">
        <v>1</v>
      </c>
      <c r="AC17" s="112">
        <v>1</v>
      </c>
      <c r="AD17" s="112">
        <v>1</v>
      </c>
      <c r="AE17" s="112">
        <v>0</v>
      </c>
      <c r="AF17" s="112">
        <v>0</v>
      </c>
      <c r="AG17" s="112">
        <v>0</v>
      </c>
      <c r="AH17" s="112">
        <v>0</v>
      </c>
      <c r="AI17" s="112">
        <v>0</v>
      </c>
      <c r="AJ17" s="112">
        <v>1</v>
      </c>
      <c r="AK17" s="112">
        <v>0</v>
      </c>
      <c r="AL17" s="112">
        <v>0</v>
      </c>
      <c r="AM17" s="112">
        <v>0</v>
      </c>
      <c r="AN17" s="112">
        <v>0</v>
      </c>
      <c r="AO17" s="112">
        <v>0</v>
      </c>
      <c r="AP17" s="112">
        <v>0</v>
      </c>
    </row>
    <row r="18" spans="1:42" customFormat="1" x14ac:dyDescent="0.15">
      <c r="A18" s="193" t="s">
        <v>208</v>
      </c>
      <c r="B18" s="112">
        <v>0</v>
      </c>
      <c r="C18" s="112">
        <v>1</v>
      </c>
      <c r="D18" s="112">
        <v>1</v>
      </c>
      <c r="E18" s="112">
        <v>0</v>
      </c>
      <c r="F18" s="112">
        <v>0</v>
      </c>
      <c r="G18" s="112">
        <v>1</v>
      </c>
      <c r="H18" s="112">
        <v>1</v>
      </c>
      <c r="I18" s="112">
        <v>1</v>
      </c>
      <c r="J18" s="112">
        <v>0</v>
      </c>
      <c r="K18" s="112">
        <v>1</v>
      </c>
      <c r="L18" s="112">
        <v>1</v>
      </c>
      <c r="M18" s="112">
        <v>1</v>
      </c>
      <c r="N18" s="112">
        <v>1</v>
      </c>
      <c r="O18" s="112">
        <v>1</v>
      </c>
      <c r="P18" s="112">
        <v>0</v>
      </c>
      <c r="Q18" s="112">
        <v>0</v>
      </c>
      <c r="R18" s="112">
        <v>0</v>
      </c>
      <c r="S18" s="112">
        <v>0</v>
      </c>
      <c r="T18" s="112">
        <v>1</v>
      </c>
      <c r="U18" s="112">
        <v>0</v>
      </c>
      <c r="V18" s="112">
        <v>1</v>
      </c>
      <c r="W18" s="112">
        <v>1</v>
      </c>
      <c r="X18" s="112">
        <v>1</v>
      </c>
      <c r="Y18" s="112">
        <v>1</v>
      </c>
      <c r="Z18" s="112">
        <v>1</v>
      </c>
      <c r="AA18" s="112">
        <v>1</v>
      </c>
      <c r="AB18" s="112">
        <v>1</v>
      </c>
      <c r="AC18" s="112">
        <v>1</v>
      </c>
      <c r="AD18" s="112">
        <v>1</v>
      </c>
      <c r="AE18" s="112">
        <v>0</v>
      </c>
      <c r="AF18" s="112">
        <v>0</v>
      </c>
      <c r="AG18" s="112">
        <v>0</v>
      </c>
      <c r="AH18" s="112">
        <v>0</v>
      </c>
      <c r="AI18" s="112">
        <v>0</v>
      </c>
      <c r="AJ18" s="112">
        <v>1</v>
      </c>
      <c r="AK18" s="112">
        <v>0</v>
      </c>
      <c r="AL18" s="112">
        <v>0</v>
      </c>
      <c r="AM18" s="112">
        <v>0</v>
      </c>
      <c r="AN18" s="112">
        <v>0</v>
      </c>
      <c r="AO18" s="112">
        <v>0</v>
      </c>
      <c r="AP18" s="112">
        <v>0</v>
      </c>
    </row>
    <row r="19" spans="1:42" customFormat="1" x14ac:dyDescent="0.15">
      <c r="A19" s="193" t="s">
        <v>209</v>
      </c>
      <c r="B19" s="112">
        <v>0</v>
      </c>
      <c r="C19" s="112">
        <v>0</v>
      </c>
      <c r="D19" s="112">
        <v>1</v>
      </c>
      <c r="E19" s="112">
        <v>0</v>
      </c>
      <c r="F19" s="112">
        <v>0</v>
      </c>
      <c r="G19" s="112">
        <v>1</v>
      </c>
      <c r="H19" s="112">
        <v>1</v>
      </c>
      <c r="I19" s="112">
        <v>1</v>
      </c>
      <c r="J19" s="112">
        <v>0</v>
      </c>
      <c r="K19" s="112">
        <v>1</v>
      </c>
      <c r="L19" s="112">
        <v>1</v>
      </c>
      <c r="M19" s="112">
        <v>1</v>
      </c>
      <c r="N19" s="112">
        <v>0</v>
      </c>
      <c r="O19" s="112">
        <v>1</v>
      </c>
      <c r="P19" s="112">
        <v>0</v>
      </c>
      <c r="Q19" s="112">
        <v>0</v>
      </c>
      <c r="R19" s="112">
        <v>0</v>
      </c>
      <c r="S19" s="112">
        <v>1</v>
      </c>
      <c r="T19" s="112">
        <v>1</v>
      </c>
      <c r="U19" s="112">
        <v>0</v>
      </c>
      <c r="V19" s="112">
        <v>1</v>
      </c>
      <c r="W19" s="112">
        <v>1</v>
      </c>
      <c r="X19" s="112">
        <v>1</v>
      </c>
      <c r="Y19" s="112">
        <v>0</v>
      </c>
      <c r="Z19" s="112">
        <v>0</v>
      </c>
      <c r="AA19" s="112">
        <v>1</v>
      </c>
      <c r="AB19" s="112">
        <v>0</v>
      </c>
      <c r="AC19" s="112">
        <v>0</v>
      </c>
      <c r="AD19" s="112">
        <v>1</v>
      </c>
      <c r="AE19" s="112">
        <v>0</v>
      </c>
      <c r="AF19" s="112">
        <v>0</v>
      </c>
      <c r="AG19" s="112">
        <v>0</v>
      </c>
      <c r="AH19" s="112">
        <v>0</v>
      </c>
      <c r="AI19" s="112">
        <v>0</v>
      </c>
      <c r="AJ19" s="112">
        <v>1</v>
      </c>
      <c r="AK19" s="112">
        <v>0</v>
      </c>
      <c r="AL19" s="112">
        <v>0</v>
      </c>
      <c r="AM19" s="112">
        <v>0</v>
      </c>
      <c r="AN19" s="112">
        <v>0</v>
      </c>
      <c r="AO19" s="112">
        <v>0</v>
      </c>
      <c r="AP19" s="112">
        <v>0</v>
      </c>
    </row>
    <row r="20" spans="1:42" customFormat="1" x14ac:dyDescent="0.15">
      <c r="A20" s="193" t="s">
        <v>210</v>
      </c>
      <c r="B20" s="112">
        <v>0</v>
      </c>
      <c r="C20" s="112">
        <v>0</v>
      </c>
      <c r="D20" s="112">
        <v>1</v>
      </c>
      <c r="E20" s="112">
        <v>0</v>
      </c>
      <c r="F20" s="112">
        <v>0</v>
      </c>
      <c r="G20" s="112">
        <v>1</v>
      </c>
      <c r="H20" s="112">
        <v>1</v>
      </c>
      <c r="I20" s="112">
        <v>1</v>
      </c>
      <c r="J20" s="112">
        <v>0</v>
      </c>
      <c r="K20" s="112">
        <v>1</v>
      </c>
      <c r="L20" s="112">
        <v>1</v>
      </c>
      <c r="M20" s="112">
        <v>1</v>
      </c>
      <c r="N20" s="112">
        <v>0</v>
      </c>
      <c r="O20" s="112">
        <v>1</v>
      </c>
      <c r="P20" s="112">
        <v>0</v>
      </c>
      <c r="Q20" s="112">
        <v>0</v>
      </c>
      <c r="R20" s="112">
        <v>0</v>
      </c>
      <c r="S20" s="112">
        <v>0</v>
      </c>
      <c r="T20" s="112">
        <v>1</v>
      </c>
      <c r="U20" s="112">
        <v>0</v>
      </c>
      <c r="V20" s="112">
        <v>1</v>
      </c>
      <c r="W20" s="112">
        <v>0</v>
      </c>
      <c r="X20" s="112">
        <v>0</v>
      </c>
      <c r="Y20" s="112">
        <v>0</v>
      </c>
      <c r="Z20" s="112">
        <v>1</v>
      </c>
      <c r="AA20" s="112">
        <v>1</v>
      </c>
      <c r="AB20" s="112">
        <v>1</v>
      </c>
      <c r="AC20" s="112">
        <v>1</v>
      </c>
      <c r="AD20" s="112">
        <v>0</v>
      </c>
      <c r="AE20" s="112">
        <v>0</v>
      </c>
      <c r="AF20" s="112">
        <v>0</v>
      </c>
      <c r="AG20" s="112">
        <v>0</v>
      </c>
      <c r="AH20" s="112">
        <v>0</v>
      </c>
      <c r="AI20" s="112">
        <v>0</v>
      </c>
      <c r="AJ20" s="112">
        <v>0</v>
      </c>
      <c r="AK20" s="112">
        <v>0</v>
      </c>
      <c r="AL20" s="112">
        <v>0</v>
      </c>
      <c r="AM20" s="112">
        <v>0</v>
      </c>
      <c r="AN20" s="112">
        <v>0</v>
      </c>
      <c r="AO20" s="112">
        <v>0</v>
      </c>
      <c r="AP20" s="112">
        <v>0</v>
      </c>
    </row>
    <row r="21" spans="1:42" customFormat="1" x14ac:dyDescent="0.15">
      <c r="A21" s="193" t="s">
        <v>211</v>
      </c>
      <c r="B21" s="112">
        <v>0</v>
      </c>
      <c r="C21" s="112">
        <v>1</v>
      </c>
      <c r="D21" s="112">
        <v>1</v>
      </c>
      <c r="E21" s="112">
        <v>0</v>
      </c>
      <c r="F21" s="112">
        <v>0</v>
      </c>
      <c r="G21" s="112">
        <v>1</v>
      </c>
      <c r="H21" s="112">
        <v>1</v>
      </c>
      <c r="I21" s="112">
        <v>1</v>
      </c>
      <c r="J21" s="112">
        <v>0</v>
      </c>
      <c r="K21" s="112">
        <v>1</v>
      </c>
      <c r="L21" s="112">
        <v>1</v>
      </c>
      <c r="M21" s="112">
        <v>1</v>
      </c>
      <c r="N21" s="112">
        <v>0</v>
      </c>
      <c r="O21" s="112">
        <v>0</v>
      </c>
      <c r="P21" s="112">
        <v>0</v>
      </c>
      <c r="Q21" s="112">
        <v>0</v>
      </c>
      <c r="R21" s="112">
        <v>0</v>
      </c>
      <c r="S21" s="112">
        <v>0</v>
      </c>
      <c r="T21" s="112">
        <v>0</v>
      </c>
      <c r="U21" s="112">
        <v>0</v>
      </c>
      <c r="V21" s="112">
        <v>0</v>
      </c>
      <c r="W21" s="112">
        <v>0</v>
      </c>
      <c r="X21" s="112">
        <v>0</v>
      </c>
      <c r="Y21" s="112">
        <v>1</v>
      </c>
      <c r="Z21" s="112">
        <v>1</v>
      </c>
      <c r="AA21" s="112">
        <v>1</v>
      </c>
      <c r="AB21" s="112">
        <v>1</v>
      </c>
      <c r="AC21" s="112">
        <v>0</v>
      </c>
      <c r="AD21" s="112">
        <v>0</v>
      </c>
      <c r="AE21" s="112">
        <v>1</v>
      </c>
      <c r="AF21" s="112">
        <v>0</v>
      </c>
      <c r="AG21" s="112">
        <v>0</v>
      </c>
      <c r="AH21" s="112">
        <v>0</v>
      </c>
      <c r="AI21" s="112">
        <v>0</v>
      </c>
      <c r="AJ21" s="112">
        <v>0</v>
      </c>
      <c r="AK21" s="112">
        <v>0</v>
      </c>
      <c r="AL21" s="112">
        <v>0</v>
      </c>
      <c r="AM21" s="112">
        <v>0</v>
      </c>
      <c r="AN21" s="112">
        <v>0</v>
      </c>
      <c r="AO21" s="112">
        <v>0</v>
      </c>
      <c r="AP21" s="112">
        <v>0</v>
      </c>
    </row>
    <row r="22" spans="1:42" customFormat="1" x14ac:dyDescent="0.15">
      <c r="A22" s="193" t="s">
        <v>212</v>
      </c>
      <c r="B22" s="112">
        <v>0</v>
      </c>
      <c r="C22" s="112">
        <v>1</v>
      </c>
      <c r="D22" s="112">
        <v>1</v>
      </c>
      <c r="E22" s="112">
        <v>0</v>
      </c>
      <c r="F22" s="112">
        <v>0</v>
      </c>
      <c r="G22" s="112">
        <v>1</v>
      </c>
      <c r="H22" s="112">
        <v>1</v>
      </c>
      <c r="I22" s="112">
        <v>1</v>
      </c>
      <c r="J22" s="112">
        <v>0</v>
      </c>
      <c r="K22" s="112">
        <v>1</v>
      </c>
      <c r="L22" s="112">
        <v>1</v>
      </c>
      <c r="M22" s="112">
        <v>1</v>
      </c>
      <c r="N22" s="112">
        <v>0</v>
      </c>
      <c r="O22" s="112">
        <v>0</v>
      </c>
      <c r="P22" s="112">
        <v>0</v>
      </c>
      <c r="Q22" s="112">
        <v>0</v>
      </c>
      <c r="R22" s="112">
        <v>0</v>
      </c>
      <c r="S22" s="112">
        <v>0</v>
      </c>
      <c r="T22" s="112">
        <v>1</v>
      </c>
      <c r="U22" s="112">
        <v>0</v>
      </c>
      <c r="V22" s="112">
        <v>0</v>
      </c>
      <c r="W22" s="112">
        <v>0</v>
      </c>
      <c r="X22" s="112">
        <v>0</v>
      </c>
      <c r="Y22" s="112">
        <v>1</v>
      </c>
      <c r="Z22" s="112">
        <v>1</v>
      </c>
      <c r="AA22" s="112">
        <v>1</v>
      </c>
      <c r="AB22" s="112">
        <v>0</v>
      </c>
      <c r="AC22" s="112">
        <v>0</v>
      </c>
      <c r="AD22" s="112">
        <v>1</v>
      </c>
      <c r="AE22" s="112">
        <v>1</v>
      </c>
      <c r="AF22" s="112">
        <v>0</v>
      </c>
      <c r="AG22" s="112">
        <v>0</v>
      </c>
      <c r="AH22" s="112">
        <v>0</v>
      </c>
      <c r="AI22" s="112">
        <v>0</v>
      </c>
      <c r="AJ22" s="112">
        <v>0</v>
      </c>
      <c r="AK22" s="112">
        <v>0</v>
      </c>
      <c r="AL22" s="112">
        <v>0</v>
      </c>
      <c r="AM22" s="112">
        <v>0</v>
      </c>
      <c r="AN22" s="112">
        <v>0</v>
      </c>
      <c r="AO22" s="112">
        <v>0</v>
      </c>
      <c r="AP22" s="112">
        <v>0</v>
      </c>
    </row>
    <row r="23" spans="1:42" customFormat="1" x14ac:dyDescent="0.15">
      <c r="A23" s="193" t="s">
        <v>213</v>
      </c>
      <c r="B23" s="112">
        <v>0</v>
      </c>
      <c r="C23" s="112">
        <v>1</v>
      </c>
      <c r="D23" s="112">
        <v>1</v>
      </c>
      <c r="E23" s="112">
        <v>0</v>
      </c>
      <c r="F23" s="112">
        <v>0</v>
      </c>
      <c r="G23" s="112">
        <v>1</v>
      </c>
      <c r="H23" s="112">
        <v>1</v>
      </c>
      <c r="I23" s="112">
        <v>1</v>
      </c>
      <c r="J23" s="112">
        <v>0</v>
      </c>
      <c r="K23" s="112">
        <v>1</v>
      </c>
      <c r="L23" s="112">
        <v>1</v>
      </c>
      <c r="M23" s="112">
        <v>1</v>
      </c>
      <c r="N23" s="112">
        <v>0</v>
      </c>
      <c r="O23" s="112">
        <v>0</v>
      </c>
      <c r="P23" s="112">
        <v>0</v>
      </c>
      <c r="Q23" s="112">
        <v>0</v>
      </c>
      <c r="R23" s="112">
        <v>0</v>
      </c>
      <c r="S23" s="112">
        <v>0</v>
      </c>
      <c r="T23" s="112">
        <v>0</v>
      </c>
      <c r="U23" s="112">
        <v>0</v>
      </c>
      <c r="V23" s="112">
        <v>0</v>
      </c>
      <c r="W23" s="112">
        <v>1</v>
      </c>
      <c r="X23" s="112">
        <v>0</v>
      </c>
      <c r="Y23" s="112">
        <v>1</v>
      </c>
      <c r="Z23" s="112">
        <v>1</v>
      </c>
      <c r="AA23" s="112">
        <v>1</v>
      </c>
      <c r="AB23" s="112">
        <v>1</v>
      </c>
      <c r="AC23" s="112">
        <v>0</v>
      </c>
      <c r="AD23" s="112">
        <v>1</v>
      </c>
      <c r="AE23" s="112">
        <v>1</v>
      </c>
      <c r="AF23" s="112">
        <v>0</v>
      </c>
      <c r="AG23" s="112">
        <v>0</v>
      </c>
      <c r="AH23" s="112">
        <v>0</v>
      </c>
      <c r="AI23" s="112">
        <v>0</v>
      </c>
      <c r="AJ23" s="112">
        <v>0</v>
      </c>
      <c r="AK23" s="112">
        <v>0</v>
      </c>
      <c r="AL23" s="112">
        <v>0</v>
      </c>
      <c r="AM23" s="112">
        <v>0</v>
      </c>
      <c r="AN23" s="112">
        <v>0</v>
      </c>
      <c r="AO23" s="112">
        <v>0</v>
      </c>
      <c r="AP23" s="112">
        <v>0</v>
      </c>
    </row>
    <row r="24" spans="1:42" customFormat="1" x14ac:dyDescent="0.15">
      <c r="A24" s="193" t="s">
        <v>214</v>
      </c>
      <c r="B24" s="112">
        <v>0</v>
      </c>
      <c r="C24" s="112">
        <v>1</v>
      </c>
      <c r="D24" s="112">
        <v>0</v>
      </c>
      <c r="E24" s="112">
        <v>0</v>
      </c>
      <c r="F24" s="112">
        <v>0</v>
      </c>
      <c r="G24" s="112">
        <v>1</v>
      </c>
      <c r="H24" s="112">
        <v>1</v>
      </c>
      <c r="I24" s="112">
        <v>1</v>
      </c>
      <c r="J24" s="112">
        <v>0</v>
      </c>
      <c r="K24" s="112">
        <v>0</v>
      </c>
      <c r="L24" s="112">
        <v>1</v>
      </c>
      <c r="M24" s="112">
        <v>1</v>
      </c>
      <c r="N24" s="112">
        <v>0</v>
      </c>
      <c r="O24" s="112">
        <v>0</v>
      </c>
      <c r="P24" s="112">
        <v>0</v>
      </c>
      <c r="Q24" s="112">
        <v>0</v>
      </c>
      <c r="R24" s="112">
        <v>0</v>
      </c>
      <c r="S24" s="112">
        <v>0</v>
      </c>
      <c r="T24" s="112">
        <v>0</v>
      </c>
      <c r="U24" s="112">
        <v>0</v>
      </c>
      <c r="V24" s="112">
        <v>1</v>
      </c>
      <c r="W24" s="112">
        <v>0</v>
      </c>
      <c r="X24" s="112">
        <v>0</v>
      </c>
      <c r="Y24" s="112">
        <v>0</v>
      </c>
      <c r="Z24" s="112">
        <v>1</v>
      </c>
      <c r="AA24" s="112">
        <v>0</v>
      </c>
      <c r="AB24" s="112">
        <v>1</v>
      </c>
      <c r="AC24" s="112">
        <v>0</v>
      </c>
      <c r="AD24" s="112">
        <v>0</v>
      </c>
      <c r="AE24" s="112">
        <v>1</v>
      </c>
      <c r="AF24" s="112">
        <v>0</v>
      </c>
      <c r="AG24" s="112">
        <v>0</v>
      </c>
      <c r="AH24" s="112">
        <v>0</v>
      </c>
      <c r="AI24" s="112">
        <v>0</v>
      </c>
      <c r="AJ24" s="112">
        <v>0</v>
      </c>
      <c r="AK24" s="112">
        <v>0</v>
      </c>
      <c r="AL24" s="112">
        <v>0</v>
      </c>
      <c r="AM24" s="112">
        <v>0</v>
      </c>
      <c r="AN24" s="112">
        <v>0</v>
      </c>
      <c r="AO24" s="112">
        <v>0</v>
      </c>
      <c r="AP24" s="112">
        <v>0</v>
      </c>
    </row>
    <row r="25" spans="1:42" customFormat="1" x14ac:dyDescent="0.15">
      <c r="A25" s="193" t="s">
        <v>215</v>
      </c>
      <c r="B25" s="112">
        <v>0</v>
      </c>
      <c r="C25" s="112">
        <v>1</v>
      </c>
      <c r="D25" s="112">
        <v>1</v>
      </c>
      <c r="E25" s="112">
        <v>0</v>
      </c>
      <c r="F25" s="112">
        <v>0</v>
      </c>
      <c r="G25" s="112">
        <v>1</v>
      </c>
      <c r="H25" s="112">
        <v>1</v>
      </c>
      <c r="I25" s="112">
        <v>1</v>
      </c>
      <c r="J25" s="112">
        <v>0</v>
      </c>
      <c r="K25" s="112">
        <v>1</v>
      </c>
      <c r="L25" s="112">
        <v>1</v>
      </c>
      <c r="M25" s="112">
        <v>1</v>
      </c>
      <c r="N25" s="112">
        <v>0</v>
      </c>
      <c r="O25" s="112">
        <v>0</v>
      </c>
      <c r="P25" s="112">
        <v>0</v>
      </c>
      <c r="Q25" s="112">
        <v>0</v>
      </c>
      <c r="R25" s="112">
        <v>0</v>
      </c>
      <c r="S25" s="112">
        <v>0</v>
      </c>
      <c r="T25" s="112">
        <v>1</v>
      </c>
      <c r="U25" s="112">
        <v>0</v>
      </c>
      <c r="V25" s="112">
        <v>0</v>
      </c>
      <c r="W25" s="112">
        <v>0</v>
      </c>
      <c r="X25" s="112">
        <v>0</v>
      </c>
      <c r="Y25" s="112">
        <v>1</v>
      </c>
      <c r="Z25" s="112">
        <v>1</v>
      </c>
      <c r="AA25" s="112">
        <v>0</v>
      </c>
      <c r="AB25" s="112">
        <v>1</v>
      </c>
      <c r="AC25" s="112">
        <v>1</v>
      </c>
      <c r="AD25" s="112">
        <v>0</v>
      </c>
      <c r="AE25" s="112">
        <v>0</v>
      </c>
      <c r="AF25" s="112">
        <v>0</v>
      </c>
      <c r="AG25" s="112">
        <v>0</v>
      </c>
      <c r="AH25" s="112">
        <v>0</v>
      </c>
      <c r="AI25" s="112">
        <v>0</v>
      </c>
      <c r="AJ25" s="112">
        <v>0</v>
      </c>
      <c r="AK25" s="112">
        <v>0</v>
      </c>
      <c r="AL25" s="112">
        <v>0</v>
      </c>
      <c r="AM25" s="112">
        <v>0</v>
      </c>
      <c r="AN25" s="112">
        <v>0</v>
      </c>
      <c r="AO25" s="112">
        <v>0</v>
      </c>
      <c r="AP25" s="112">
        <v>0</v>
      </c>
    </row>
    <row r="26" spans="1:42" customFormat="1" x14ac:dyDescent="0.15">
      <c r="A26" s="193" t="s">
        <v>216</v>
      </c>
      <c r="B26" s="112">
        <v>0</v>
      </c>
      <c r="C26" s="112">
        <v>1</v>
      </c>
      <c r="D26" s="112">
        <v>0</v>
      </c>
      <c r="E26" s="112">
        <v>0</v>
      </c>
      <c r="F26" s="112">
        <v>0</v>
      </c>
      <c r="G26" s="112">
        <v>1</v>
      </c>
      <c r="H26" s="112">
        <v>1</v>
      </c>
      <c r="I26" s="112">
        <v>1</v>
      </c>
      <c r="J26" s="112">
        <v>0</v>
      </c>
      <c r="K26" s="112">
        <v>0</v>
      </c>
      <c r="L26" s="112">
        <v>1</v>
      </c>
      <c r="M26" s="112">
        <v>1</v>
      </c>
      <c r="N26" s="112">
        <v>0</v>
      </c>
      <c r="O26" s="112">
        <v>0</v>
      </c>
      <c r="P26" s="112">
        <v>0</v>
      </c>
      <c r="Q26" s="112">
        <v>0</v>
      </c>
      <c r="R26" s="112">
        <v>0</v>
      </c>
      <c r="S26" s="112">
        <v>0</v>
      </c>
      <c r="T26" s="112">
        <v>0</v>
      </c>
      <c r="U26" s="112">
        <v>0</v>
      </c>
      <c r="V26" s="112">
        <v>0</v>
      </c>
      <c r="W26" s="112">
        <v>0</v>
      </c>
      <c r="X26" s="112">
        <v>0</v>
      </c>
      <c r="Y26" s="112">
        <v>0</v>
      </c>
      <c r="Z26" s="112">
        <v>0</v>
      </c>
      <c r="AA26" s="112">
        <v>0</v>
      </c>
      <c r="AB26" s="112">
        <v>0</v>
      </c>
      <c r="AC26" s="112">
        <v>0</v>
      </c>
      <c r="AD26" s="112">
        <v>0</v>
      </c>
      <c r="AE26" s="112">
        <v>0</v>
      </c>
      <c r="AF26" s="112">
        <v>0</v>
      </c>
      <c r="AG26" s="112">
        <v>0</v>
      </c>
      <c r="AH26" s="112">
        <v>0</v>
      </c>
      <c r="AI26" s="112">
        <v>0</v>
      </c>
      <c r="AJ26" s="112">
        <v>0</v>
      </c>
      <c r="AK26" s="112">
        <v>0</v>
      </c>
      <c r="AL26" s="112">
        <v>0</v>
      </c>
      <c r="AM26" s="112">
        <v>0</v>
      </c>
      <c r="AN26" s="112">
        <v>0</v>
      </c>
      <c r="AO26" s="112">
        <v>0</v>
      </c>
      <c r="AP26" s="112">
        <v>0</v>
      </c>
    </row>
    <row r="27" spans="1:42" customFormat="1" x14ac:dyDescent="0.15">
      <c r="A27" s="193" t="s">
        <v>217</v>
      </c>
      <c r="B27" s="112">
        <v>0</v>
      </c>
      <c r="C27" s="112">
        <v>0</v>
      </c>
      <c r="D27" s="112">
        <v>0</v>
      </c>
      <c r="E27" s="112">
        <v>0</v>
      </c>
      <c r="F27" s="112">
        <v>0</v>
      </c>
      <c r="G27" s="112">
        <v>1</v>
      </c>
      <c r="H27" s="112">
        <v>1</v>
      </c>
      <c r="I27" s="112">
        <v>1</v>
      </c>
      <c r="J27" s="112">
        <v>0</v>
      </c>
      <c r="K27" s="112">
        <v>0</v>
      </c>
      <c r="L27" s="112">
        <v>1</v>
      </c>
      <c r="M27" s="112">
        <v>1</v>
      </c>
      <c r="N27" s="112">
        <v>0</v>
      </c>
      <c r="O27" s="112">
        <v>0</v>
      </c>
      <c r="P27" s="112">
        <v>0</v>
      </c>
      <c r="Q27" s="112">
        <v>0</v>
      </c>
      <c r="R27" s="112">
        <v>0</v>
      </c>
      <c r="S27" s="112">
        <v>0</v>
      </c>
      <c r="T27" s="112">
        <v>1</v>
      </c>
      <c r="U27" s="112">
        <v>1</v>
      </c>
      <c r="V27" s="112">
        <v>0</v>
      </c>
      <c r="W27" s="112">
        <v>0</v>
      </c>
      <c r="X27" s="112">
        <v>1</v>
      </c>
      <c r="Y27" s="112">
        <v>1</v>
      </c>
      <c r="Z27" s="112">
        <v>1</v>
      </c>
      <c r="AA27" s="112">
        <v>0</v>
      </c>
      <c r="AB27" s="112">
        <v>1</v>
      </c>
      <c r="AC27" s="112">
        <v>1</v>
      </c>
      <c r="AD27" s="112">
        <v>0</v>
      </c>
      <c r="AE27" s="112">
        <v>1</v>
      </c>
      <c r="AF27" s="112">
        <v>0</v>
      </c>
      <c r="AG27" s="112">
        <v>0</v>
      </c>
      <c r="AH27" s="112">
        <v>0</v>
      </c>
      <c r="AI27" s="112">
        <v>0</v>
      </c>
      <c r="AJ27" s="112">
        <v>0</v>
      </c>
      <c r="AK27" s="112">
        <v>0</v>
      </c>
      <c r="AL27" s="112">
        <v>0</v>
      </c>
      <c r="AM27" s="112">
        <v>0</v>
      </c>
      <c r="AN27" s="112">
        <v>0</v>
      </c>
      <c r="AO27" s="112">
        <v>0</v>
      </c>
      <c r="AP27" s="112">
        <v>0</v>
      </c>
    </row>
    <row r="28" spans="1:42" customFormat="1" x14ac:dyDescent="0.15">
      <c r="A28" s="193" t="s">
        <v>218</v>
      </c>
      <c r="B28" s="112">
        <v>0</v>
      </c>
      <c r="C28" s="112">
        <v>1</v>
      </c>
      <c r="D28" s="112">
        <v>0</v>
      </c>
      <c r="E28" s="112">
        <v>0</v>
      </c>
      <c r="F28" s="112">
        <v>0</v>
      </c>
      <c r="G28" s="112">
        <v>1</v>
      </c>
      <c r="H28" s="112">
        <v>1</v>
      </c>
      <c r="I28" s="112">
        <v>1</v>
      </c>
      <c r="J28" s="112">
        <v>0</v>
      </c>
      <c r="K28" s="112">
        <v>0</v>
      </c>
      <c r="L28" s="112">
        <v>1</v>
      </c>
      <c r="M28" s="112">
        <v>1</v>
      </c>
      <c r="N28" s="112">
        <v>0</v>
      </c>
      <c r="O28" s="112">
        <v>0</v>
      </c>
      <c r="P28" s="112">
        <v>0</v>
      </c>
      <c r="Q28" s="112">
        <v>0</v>
      </c>
      <c r="R28" s="112">
        <v>0</v>
      </c>
      <c r="S28" s="112">
        <v>0</v>
      </c>
      <c r="T28" s="112">
        <v>0</v>
      </c>
      <c r="U28" s="112">
        <v>0</v>
      </c>
      <c r="V28" s="112">
        <v>1</v>
      </c>
      <c r="W28" s="112">
        <v>1</v>
      </c>
      <c r="X28" s="112">
        <v>0</v>
      </c>
      <c r="Y28" s="112">
        <v>1</v>
      </c>
      <c r="Z28" s="112">
        <v>1</v>
      </c>
      <c r="AA28" s="112">
        <v>1</v>
      </c>
      <c r="AB28" s="112">
        <v>1</v>
      </c>
      <c r="AC28" s="112">
        <v>1</v>
      </c>
      <c r="AD28" s="112">
        <v>0</v>
      </c>
      <c r="AE28" s="112">
        <v>1</v>
      </c>
      <c r="AF28" s="112">
        <v>0</v>
      </c>
      <c r="AG28" s="112">
        <v>0</v>
      </c>
      <c r="AH28" s="112">
        <v>0</v>
      </c>
      <c r="AI28" s="112">
        <v>0</v>
      </c>
      <c r="AJ28" s="112">
        <v>0</v>
      </c>
      <c r="AK28" s="112">
        <v>0</v>
      </c>
      <c r="AL28" s="112">
        <v>0</v>
      </c>
      <c r="AM28" s="112">
        <v>0</v>
      </c>
      <c r="AN28" s="112">
        <v>0</v>
      </c>
      <c r="AO28" s="112">
        <v>0</v>
      </c>
      <c r="AP28" s="112">
        <v>0</v>
      </c>
    </row>
    <row r="29" spans="1:42" customFormat="1" x14ac:dyDescent="0.15">
      <c r="A29" s="193" t="s">
        <v>219</v>
      </c>
      <c r="B29" s="112">
        <v>0</v>
      </c>
      <c r="C29" s="112">
        <v>0</v>
      </c>
      <c r="D29" s="112">
        <v>0</v>
      </c>
      <c r="E29" s="112">
        <v>0</v>
      </c>
      <c r="F29" s="112">
        <v>0</v>
      </c>
      <c r="G29" s="112">
        <v>1</v>
      </c>
      <c r="H29" s="112">
        <v>1</v>
      </c>
      <c r="I29" s="112">
        <v>1</v>
      </c>
      <c r="J29" s="112">
        <v>0</v>
      </c>
      <c r="K29" s="112">
        <v>1</v>
      </c>
      <c r="L29" s="112">
        <v>1</v>
      </c>
      <c r="M29" s="112">
        <v>1</v>
      </c>
      <c r="N29" s="112">
        <v>1</v>
      </c>
      <c r="O29" s="112">
        <v>1</v>
      </c>
      <c r="P29" s="112">
        <v>0</v>
      </c>
      <c r="Q29" s="112">
        <v>0</v>
      </c>
      <c r="R29" s="112">
        <v>0</v>
      </c>
      <c r="S29" s="112">
        <v>1</v>
      </c>
      <c r="T29" s="112">
        <v>1</v>
      </c>
      <c r="U29" s="112">
        <v>0</v>
      </c>
      <c r="V29" s="112">
        <v>1</v>
      </c>
      <c r="W29" s="112">
        <v>1</v>
      </c>
      <c r="X29" s="112">
        <v>1</v>
      </c>
      <c r="Y29" s="112">
        <v>1</v>
      </c>
      <c r="Z29" s="112">
        <v>1</v>
      </c>
      <c r="AA29" s="112">
        <v>1</v>
      </c>
      <c r="AB29" s="112">
        <v>1</v>
      </c>
      <c r="AC29" s="112">
        <v>1</v>
      </c>
      <c r="AD29" s="112">
        <v>1</v>
      </c>
      <c r="AE29" s="112">
        <v>1</v>
      </c>
      <c r="AF29" s="112">
        <v>0</v>
      </c>
      <c r="AG29" s="112">
        <v>0</v>
      </c>
      <c r="AH29" s="112">
        <v>0</v>
      </c>
      <c r="AI29" s="112">
        <v>0</v>
      </c>
      <c r="AJ29" s="112">
        <v>0</v>
      </c>
      <c r="AK29" s="112">
        <v>0</v>
      </c>
      <c r="AL29" s="112">
        <v>0</v>
      </c>
      <c r="AM29" s="112">
        <v>0</v>
      </c>
      <c r="AN29" s="112">
        <v>0</v>
      </c>
      <c r="AO29" s="112">
        <v>0</v>
      </c>
      <c r="AP29" s="112">
        <v>0</v>
      </c>
    </row>
    <row r="30" spans="1:42" customFormat="1" x14ac:dyDescent="0.15">
      <c r="A30" s="193" t="s">
        <v>220</v>
      </c>
      <c r="B30" s="112">
        <v>0</v>
      </c>
      <c r="C30" s="112">
        <v>1</v>
      </c>
      <c r="D30" s="112">
        <v>1</v>
      </c>
      <c r="E30" s="112">
        <v>0</v>
      </c>
      <c r="F30" s="112">
        <v>0</v>
      </c>
      <c r="G30" s="112">
        <v>1</v>
      </c>
      <c r="H30" s="112">
        <v>1</v>
      </c>
      <c r="I30" s="112">
        <v>1</v>
      </c>
      <c r="J30" s="112">
        <v>0</v>
      </c>
      <c r="K30" s="112">
        <v>1</v>
      </c>
      <c r="L30" s="112">
        <v>1</v>
      </c>
      <c r="M30" s="112">
        <v>1</v>
      </c>
      <c r="N30" s="112">
        <v>1</v>
      </c>
      <c r="O30" s="112">
        <v>0</v>
      </c>
      <c r="P30" s="112">
        <v>1</v>
      </c>
      <c r="Q30" s="112">
        <v>0</v>
      </c>
      <c r="R30" s="112">
        <v>0</v>
      </c>
      <c r="S30" s="112">
        <v>1</v>
      </c>
      <c r="T30" s="112">
        <v>1</v>
      </c>
      <c r="U30" s="112">
        <v>0</v>
      </c>
      <c r="V30" s="112">
        <v>1</v>
      </c>
      <c r="W30" s="112">
        <v>1</v>
      </c>
      <c r="X30" s="112">
        <v>1</v>
      </c>
      <c r="Y30" s="112">
        <v>1</v>
      </c>
      <c r="Z30" s="112">
        <v>1</v>
      </c>
      <c r="AA30" s="112">
        <v>1</v>
      </c>
      <c r="AB30" s="112">
        <v>1</v>
      </c>
      <c r="AC30" s="112">
        <v>1</v>
      </c>
      <c r="AD30" s="112">
        <v>1</v>
      </c>
      <c r="AE30" s="112">
        <v>1</v>
      </c>
      <c r="AF30" s="112">
        <v>0</v>
      </c>
      <c r="AG30" s="112">
        <v>0</v>
      </c>
      <c r="AH30" s="112">
        <v>0</v>
      </c>
      <c r="AI30" s="112">
        <v>0</v>
      </c>
      <c r="AJ30" s="112">
        <v>1</v>
      </c>
      <c r="AK30" s="112">
        <v>0</v>
      </c>
      <c r="AL30" s="112">
        <v>0</v>
      </c>
      <c r="AM30" s="112">
        <v>0</v>
      </c>
      <c r="AN30" s="112">
        <v>0</v>
      </c>
      <c r="AO30" s="112">
        <v>0</v>
      </c>
      <c r="AP30" s="112">
        <v>0</v>
      </c>
    </row>
    <row r="31" spans="1:42" customFormat="1" x14ac:dyDescent="0.15">
      <c r="A31" s="193" t="s">
        <v>221</v>
      </c>
      <c r="B31" s="112">
        <v>0</v>
      </c>
      <c r="C31" s="112">
        <v>1</v>
      </c>
      <c r="D31" s="112">
        <v>1</v>
      </c>
      <c r="E31" s="112">
        <v>0</v>
      </c>
      <c r="F31" s="112">
        <v>0</v>
      </c>
      <c r="G31" s="112">
        <v>1</v>
      </c>
      <c r="H31" s="112">
        <v>1</v>
      </c>
      <c r="I31" s="112">
        <v>1</v>
      </c>
      <c r="J31" s="112">
        <v>0</v>
      </c>
      <c r="K31" s="112">
        <v>0</v>
      </c>
      <c r="L31" s="112">
        <v>1</v>
      </c>
      <c r="M31" s="112">
        <v>1</v>
      </c>
      <c r="N31" s="112">
        <v>0</v>
      </c>
      <c r="O31" s="112">
        <v>0</v>
      </c>
      <c r="P31" s="112">
        <v>0</v>
      </c>
      <c r="Q31" s="112">
        <v>0</v>
      </c>
      <c r="R31" s="112">
        <v>0</v>
      </c>
      <c r="S31" s="112">
        <v>1</v>
      </c>
      <c r="T31" s="112">
        <v>1</v>
      </c>
      <c r="U31" s="112">
        <v>0</v>
      </c>
      <c r="V31" s="112">
        <v>1</v>
      </c>
      <c r="W31" s="112">
        <v>0</v>
      </c>
      <c r="X31" s="112">
        <v>0</v>
      </c>
      <c r="Y31" s="112">
        <v>0</v>
      </c>
      <c r="Z31" s="112">
        <v>0</v>
      </c>
      <c r="AA31" s="112">
        <v>1</v>
      </c>
      <c r="AB31" s="112">
        <v>1</v>
      </c>
      <c r="AC31" s="112">
        <v>1</v>
      </c>
      <c r="AD31" s="112">
        <v>0</v>
      </c>
      <c r="AE31" s="112">
        <v>1</v>
      </c>
      <c r="AF31" s="112">
        <v>0</v>
      </c>
      <c r="AG31" s="112">
        <v>0</v>
      </c>
      <c r="AH31" s="112">
        <v>0</v>
      </c>
      <c r="AI31" s="112">
        <v>0</v>
      </c>
      <c r="AJ31" s="112">
        <v>0</v>
      </c>
      <c r="AK31" s="112">
        <v>0</v>
      </c>
      <c r="AL31" s="112">
        <v>0</v>
      </c>
      <c r="AM31" s="112">
        <v>0</v>
      </c>
      <c r="AN31" s="112">
        <v>0</v>
      </c>
      <c r="AO31" s="112">
        <v>0</v>
      </c>
      <c r="AP31" s="112">
        <v>0</v>
      </c>
    </row>
    <row r="32" spans="1:42" x14ac:dyDescent="0.15">
      <c r="A32" s="193" t="s">
        <v>222</v>
      </c>
      <c r="B32" s="112">
        <v>0</v>
      </c>
      <c r="C32" s="112">
        <v>0</v>
      </c>
      <c r="D32" s="112">
        <v>1</v>
      </c>
      <c r="E32" s="112">
        <v>0</v>
      </c>
      <c r="F32" s="112">
        <v>0</v>
      </c>
      <c r="G32" s="112">
        <v>1</v>
      </c>
      <c r="H32" s="112">
        <v>1</v>
      </c>
      <c r="I32" s="112">
        <v>1</v>
      </c>
      <c r="J32" s="112">
        <v>0</v>
      </c>
      <c r="K32" s="112">
        <v>1</v>
      </c>
      <c r="L32" s="112">
        <v>1</v>
      </c>
      <c r="M32" s="112">
        <v>1</v>
      </c>
      <c r="N32" s="112">
        <v>0</v>
      </c>
      <c r="O32" s="112">
        <v>1</v>
      </c>
      <c r="P32" s="112">
        <v>0</v>
      </c>
      <c r="Q32" s="112">
        <v>0</v>
      </c>
      <c r="R32" s="112">
        <v>0</v>
      </c>
      <c r="S32" s="112">
        <v>1</v>
      </c>
      <c r="T32" s="112">
        <v>1</v>
      </c>
      <c r="U32" s="112">
        <v>1</v>
      </c>
      <c r="V32" s="112">
        <v>1</v>
      </c>
      <c r="W32" s="112">
        <v>1</v>
      </c>
      <c r="X32" s="112">
        <v>1</v>
      </c>
      <c r="Y32" s="112">
        <v>0</v>
      </c>
      <c r="Z32" s="112">
        <v>0</v>
      </c>
      <c r="AA32" s="112">
        <v>1</v>
      </c>
      <c r="AB32" s="112">
        <v>1</v>
      </c>
      <c r="AC32" s="112">
        <v>1</v>
      </c>
      <c r="AD32" s="112">
        <v>1</v>
      </c>
      <c r="AE32" s="112">
        <v>1</v>
      </c>
      <c r="AF32" s="112">
        <v>1</v>
      </c>
      <c r="AG32" s="112">
        <v>0</v>
      </c>
      <c r="AH32" s="112">
        <v>0</v>
      </c>
      <c r="AI32" s="112">
        <v>0</v>
      </c>
      <c r="AJ32" s="112">
        <v>1</v>
      </c>
      <c r="AK32" s="112">
        <v>0</v>
      </c>
      <c r="AL32" s="112">
        <v>0</v>
      </c>
      <c r="AM32" s="112">
        <v>0</v>
      </c>
      <c r="AN32" s="112">
        <v>0</v>
      </c>
      <c r="AO32" s="112">
        <v>0</v>
      </c>
      <c r="AP32" s="112">
        <v>0</v>
      </c>
    </row>
    <row r="33" spans="1:42" x14ac:dyDescent="0.15">
      <c r="A33" s="193" t="s">
        <v>223</v>
      </c>
      <c r="B33" s="112">
        <v>0</v>
      </c>
      <c r="C33" s="112">
        <v>0</v>
      </c>
      <c r="D33" s="112">
        <v>1</v>
      </c>
      <c r="E33" s="112">
        <v>0</v>
      </c>
      <c r="F33" s="112">
        <v>0</v>
      </c>
      <c r="G33" s="112">
        <v>0</v>
      </c>
      <c r="H33" s="112">
        <v>0</v>
      </c>
      <c r="I33" s="112">
        <v>1</v>
      </c>
      <c r="J33" s="112">
        <v>0</v>
      </c>
      <c r="K33" s="112">
        <v>0</v>
      </c>
      <c r="L33" s="112">
        <v>1</v>
      </c>
      <c r="M33" s="112">
        <v>1</v>
      </c>
      <c r="N33" s="112">
        <v>0</v>
      </c>
      <c r="O33" s="112">
        <v>1</v>
      </c>
      <c r="P33" s="112">
        <v>1</v>
      </c>
      <c r="Q33" s="112">
        <v>0</v>
      </c>
      <c r="R33" s="112">
        <v>0</v>
      </c>
      <c r="S33" s="112">
        <v>1</v>
      </c>
      <c r="T33" s="112">
        <v>1</v>
      </c>
      <c r="U33" s="112">
        <v>1</v>
      </c>
      <c r="V33" s="112">
        <v>1</v>
      </c>
      <c r="W33" s="112">
        <v>1</v>
      </c>
      <c r="X33" s="112">
        <v>1</v>
      </c>
      <c r="Y33" s="112">
        <v>1</v>
      </c>
      <c r="Z33" s="112">
        <v>1</v>
      </c>
      <c r="AA33" s="112">
        <v>1</v>
      </c>
      <c r="AB33" s="112">
        <v>1</v>
      </c>
      <c r="AC33" s="112">
        <v>1</v>
      </c>
      <c r="AD33" s="112">
        <v>1</v>
      </c>
      <c r="AE33" s="112">
        <v>1</v>
      </c>
      <c r="AF33" s="112">
        <v>0</v>
      </c>
      <c r="AG33" s="112">
        <v>1</v>
      </c>
      <c r="AH33" s="112">
        <v>0</v>
      </c>
      <c r="AI33" s="112">
        <v>1</v>
      </c>
      <c r="AJ33" s="112">
        <v>1</v>
      </c>
      <c r="AK33" s="112">
        <v>0</v>
      </c>
      <c r="AL33" s="112">
        <v>0</v>
      </c>
      <c r="AM33" s="112">
        <v>0</v>
      </c>
      <c r="AN33" s="112">
        <v>0</v>
      </c>
      <c r="AO33" s="112">
        <v>0</v>
      </c>
      <c r="AP33" s="112">
        <v>0</v>
      </c>
    </row>
    <row r="34" spans="1:42" x14ac:dyDescent="0.15">
      <c r="A34" s="193" t="s">
        <v>224</v>
      </c>
      <c r="B34" s="112">
        <v>0</v>
      </c>
      <c r="C34" s="112">
        <v>0</v>
      </c>
      <c r="D34" s="112">
        <v>1</v>
      </c>
      <c r="E34" s="112">
        <v>0</v>
      </c>
      <c r="F34" s="112">
        <v>0</v>
      </c>
      <c r="G34" s="112">
        <v>1</v>
      </c>
      <c r="H34" s="112">
        <v>1</v>
      </c>
      <c r="I34" s="112">
        <v>0</v>
      </c>
      <c r="J34" s="112">
        <v>1</v>
      </c>
      <c r="K34" s="112">
        <v>0</v>
      </c>
      <c r="L34" s="112">
        <v>1</v>
      </c>
      <c r="M34" s="112">
        <v>1</v>
      </c>
      <c r="N34" s="112">
        <v>0</v>
      </c>
      <c r="O34" s="112">
        <v>1</v>
      </c>
      <c r="P34" s="112">
        <v>1</v>
      </c>
      <c r="Q34" s="112">
        <v>1</v>
      </c>
      <c r="R34" s="112">
        <v>1</v>
      </c>
      <c r="S34" s="112">
        <v>1</v>
      </c>
      <c r="T34" s="112">
        <v>1</v>
      </c>
      <c r="U34" s="112">
        <v>1</v>
      </c>
      <c r="V34" s="112">
        <v>1</v>
      </c>
      <c r="W34" s="112">
        <v>1</v>
      </c>
      <c r="X34" s="112">
        <v>1</v>
      </c>
      <c r="Y34" s="112">
        <v>1</v>
      </c>
      <c r="Z34" s="112">
        <v>1</v>
      </c>
      <c r="AA34" s="112">
        <v>0</v>
      </c>
      <c r="AB34" s="112">
        <v>1</v>
      </c>
      <c r="AC34" s="112">
        <v>1</v>
      </c>
      <c r="AD34" s="112">
        <v>1</v>
      </c>
      <c r="AE34" s="112">
        <v>1</v>
      </c>
      <c r="AF34" s="112">
        <v>1</v>
      </c>
      <c r="AG34" s="112">
        <v>1</v>
      </c>
      <c r="AH34" s="112">
        <v>0</v>
      </c>
      <c r="AI34" s="112">
        <v>1</v>
      </c>
      <c r="AJ34" s="112">
        <v>1</v>
      </c>
      <c r="AK34" s="112">
        <v>0</v>
      </c>
      <c r="AL34" s="112">
        <v>0</v>
      </c>
      <c r="AM34" s="112">
        <v>0</v>
      </c>
      <c r="AN34" s="112">
        <v>0</v>
      </c>
      <c r="AO34" s="112">
        <v>0</v>
      </c>
      <c r="AP34" s="112">
        <v>0</v>
      </c>
    </row>
    <row r="35" spans="1:42" x14ac:dyDescent="0.15">
      <c r="A35" s="193" t="s">
        <v>225</v>
      </c>
      <c r="B35" s="112">
        <v>0</v>
      </c>
      <c r="C35" s="112">
        <v>0</v>
      </c>
      <c r="D35" s="112">
        <v>1</v>
      </c>
      <c r="E35" s="112">
        <v>0</v>
      </c>
      <c r="F35" s="112">
        <v>0</v>
      </c>
      <c r="G35" s="112">
        <v>0</v>
      </c>
      <c r="H35" s="112">
        <v>0</v>
      </c>
      <c r="I35" s="112">
        <v>0</v>
      </c>
      <c r="J35" s="112">
        <v>1</v>
      </c>
      <c r="K35" s="112">
        <v>0</v>
      </c>
      <c r="L35" s="112">
        <v>1</v>
      </c>
      <c r="M35" s="112">
        <v>1</v>
      </c>
      <c r="N35" s="112">
        <v>1</v>
      </c>
      <c r="O35" s="112">
        <v>0</v>
      </c>
      <c r="P35" s="112">
        <v>1</v>
      </c>
      <c r="Q35" s="112">
        <v>0</v>
      </c>
      <c r="R35" s="112">
        <v>0</v>
      </c>
      <c r="S35" s="112">
        <v>0</v>
      </c>
      <c r="T35" s="112">
        <v>0</v>
      </c>
      <c r="U35" s="112">
        <v>0</v>
      </c>
      <c r="V35" s="112">
        <v>1</v>
      </c>
      <c r="W35" s="112">
        <v>1</v>
      </c>
      <c r="X35" s="112">
        <v>1</v>
      </c>
      <c r="Y35" s="112">
        <v>1</v>
      </c>
      <c r="Z35" s="112">
        <v>1</v>
      </c>
      <c r="AA35" s="112">
        <v>0</v>
      </c>
      <c r="AB35" s="112">
        <v>1</v>
      </c>
      <c r="AC35" s="112">
        <v>1</v>
      </c>
      <c r="AD35" s="112">
        <v>1</v>
      </c>
      <c r="AE35" s="112">
        <v>1</v>
      </c>
      <c r="AF35" s="112">
        <v>1</v>
      </c>
      <c r="AG35" s="112">
        <v>0</v>
      </c>
      <c r="AH35" s="112">
        <v>0</v>
      </c>
      <c r="AI35" s="112">
        <v>1</v>
      </c>
      <c r="AJ35" s="112">
        <v>1</v>
      </c>
      <c r="AK35" s="112">
        <v>0</v>
      </c>
      <c r="AL35" s="112">
        <v>0</v>
      </c>
      <c r="AM35" s="112">
        <v>0</v>
      </c>
      <c r="AN35" s="112">
        <v>0</v>
      </c>
      <c r="AO35" s="112">
        <v>0</v>
      </c>
      <c r="AP35" s="112">
        <v>0</v>
      </c>
    </row>
    <row r="36" spans="1:42" x14ac:dyDescent="0.15">
      <c r="A36" s="193" t="s">
        <v>226</v>
      </c>
      <c r="B36" s="112">
        <v>0</v>
      </c>
      <c r="C36" s="112">
        <v>1</v>
      </c>
      <c r="D36" s="112">
        <v>1</v>
      </c>
      <c r="E36" s="112">
        <v>0</v>
      </c>
      <c r="F36" s="112">
        <v>0</v>
      </c>
      <c r="G36" s="112">
        <v>1</v>
      </c>
      <c r="H36" s="112">
        <v>1</v>
      </c>
      <c r="I36" s="112">
        <v>1</v>
      </c>
      <c r="J36" s="112">
        <v>0</v>
      </c>
      <c r="K36" s="112">
        <v>1</v>
      </c>
      <c r="L36" s="112">
        <v>1</v>
      </c>
      <c r="M36" s="112">
        <v>1</v>
      </c>
      <c r="N36" s="112">
        <v>1</v>
      </c>
      <c r="O36" s="112">
        <v>1</v>
      </c>
      <c r="P36" s="112">
        <v>1</v>
      </c>
      <c r="Q36" s="112">
        <v>0</v>
      </c>
      <c r="R36" s="112">
        <v>0</v>
      </c>
      <c r="S36" s="112">
        <v>0</v>
      </c>
      <c r="T36" s="112">
        <v>0</v>
      </c>
      <c r="U36" s="112">
        <v>1</v>
      </c>
      <c r="V36" s="112">
        <v>1</v>
      </c>
      <c r="W36" s="112">
        <v>1</v>
      </c>
      <c r="X36" s="112">
        <v>1</v>
      </c>
      <c r="Y36" s="112">
        <v>0</v>
      </c>
      <c r="Z36" s="112">
        <v>1</v>
      </c>
      <c r="AA36" s="112">
        <v>1</v>
      </c>
      <c r="AB36" s="112">
        <v>1</v>
      </c>
      <c r="AC36" s="112">
        <v>1</v>
      </c>
      <c r="AD36" s="112">
        <v>1</v>
      </c>
      <c r="AE36" s="112">
        <v>1</v>
      </c>
      <c r="AF36" s="112">
        <v>1</v>
      </c>
      <c r="AG36" s="112">
        <v>0</v>
      </c>
      <c r="AH36" s="112">
        <v>0</v>
      </c>
      <c r="AI36" s="112">
        <v>0</v>
      </c>
      <c r="AJ36" s="112">
        <v>1</v>
      </c>
      <c r="AK36" s="112">
        <v>0</v>
      </c>
      <c r="AL36" s="112">
        <v>0</v>
      </c>
      <c r="AM36" s="112">
        <v>0</v>
      </c>
      <c r="AN36" s="112">
        <v>0</v>
      </c>
      <c r="AO36" s="112">
        <v>0</v>
      </c>
      <c r="AP36" s="112">
        <v>0</v>
      </c>
    </row>
    <row r="37" spans="1:42" x14ac:dyDescent="0.15">
      <c r="A37" s="193" t="s">
        <v>227</v>
      </c>
      <c r="B37" s="112">
        <v>0</v>
      </c>
      <c r="C37" s="112">
        <v>0</v>
      </c>
      <c r="D37" s="112">
        <v>1</v>
      </c>
      <c r="E37" s="112">
        <v>0</v>
      </c>
      <c r="F37" s="112">
        <v>0</v>
      </c>
      <c r="G37" s="112">
        <v>0</v>
      </c>
      <c r="H37" s="112">
        <v>0</v>
      </c>
      <c r="I37" s="112">
        <v>0</v>
      </c>
      <c r="J37" s="112">
        <v>0</v>
      </c>
      <c r="K37" s="112">
        <v>1</v>
      </c>
      <c r="L37" s="112">
        <v>0</v>
      </c>
      <c r="M37" s="112">
        <v>1</v>
      </c>
      <c r="N37" s="112">
        <v>1</v>
      </c>
      <c r="O37" s="112">
        <v>1</v>
      </c>
      <c r="P37" s="112">
        <v>1</v>
      </c>
      <c r="Q37" s="112">
        <v>1</v>
      </c>
      <c r="R37" s="112">
        <v>1</v>
      </c>
      <c r="S37" s="112">
        <v>1</v>
      </c>
      <c r="T37" s="112">
        <v>1</v>
      </c>
      <c r="U37" s="112">
        <v>1</v>
      </c>
      <c r="V37" s="112">
        <v>1</v>
      </c>
      <c r="W37" s="112">
        <v>1</v>
      </c>
      <c r="X37" s="112">
        <v>1</v>
      </c>
      <c r="Y37" s="112">
        <v>0</v>
      </c>
      <c r="Z37" s="112">
        <v>1</v>
      </c>
      <c r="AA37" s="112">
        <v>1</v>
      </c>
      <c r="AB37" s="112">
        <v>1</v>
      </c>
      <c r="AC37" s="112">
        <v>1</v>
      </c>
      <c r="AD37" s="112">
        <v>1</v>
      </c>
      <c r="AE37" s="112">
        <v>1</v>
      </c>
      <c r="AF37" s="112">
        <v>1</v>
      </c>
      <c r="AG37" s="112">
        <v>1</v>
      </c>
      <c r="AH37" s="112">
        <v>1</v>
      </c>
      <c r="AI37" s="112">
        <v>0</v>
      </c>
      <c r="AJ37" s="112">
        <v>1</v>
      </c>
      <c r="AK37" s="112">
        <v>1</v>
      </c>
      <c r="AL37" s="112">
        <v>0</v>
      </c>
      <c r="AM37" s="112">
        <v>0</v>
      </c>
      <c r="AN37" s="112">
        <v>0</v>
      </c>
      <c r="AO37" s="112">
        <v>0</v>
      </c>
      <c r="AP37" s="112">
        <v>0</v>
      </c>
    </row>
    <row r="38" spans="1:42" x14ac:dyDescent="0.15">
      <c r="A38" s="193" t="s">
        <v>228</v>
      </c>
      <c r="B38" s="112">
        <v>0</v>
      </c>
      <c r="C38" s="112">
        <v>0</v>
      </c>
      <c r="D38" s="112">
        <v>1</v>
      </c>
      <c r="E38" s="112">
        <v>0</v>
      </c>
      <c r="F38" s="112">
        <v>0</v>
      </c>
      <c r="G38" s="112">
        <v>0</v>
      </c>
      <c r="H38" s="112">
        <v>0</v>
      </c>
      <c r="I38" s="112">
        <v>0</v>
      </c>
      <c r="J38" s="112">
        <v>0</v>
      </c>
      <c r="K38" s="112">
        <v>1</v>
      </c>
      <c r="L38" s="112">
        <v>0</v>
      </c>
      <c r="M38" s="112">
        <v>0</v>
      </c>
      <c r="N38" s="112">
        <v>1</v>
      </c>
      <c r="O38" s="112">
        <v>1</v>
      </c>
      <c r="P38" s="112">
        <v>1</v>
      </c>
      <c r="Q38" s="112">
        <v>1</v>
      </c>
      <c r="R38" s="112">
        <v>1</v>
      </c>
      <c r="S38" s="112">
        <v>1</v>
      </c>
      <c r="T38" s="112">
        <v>1</v>
      </c>
      <c r="U38" s="112">
        <v>1</v>
      </c>
      <c r="V38" s="112">
        <v>1</v>
      </c>
      <c r="W38" s="112">
        <v>1</v>
      </c>
      <c r="X38" s="112">
        <v>1</v>
      </c>
      <c r="Y38" s="112">
        <v>0</v>
      </c>
      <c r="Z38" s="112">
        <v>0</v>
      </c>
      <c r="AA38" s="112">
        <v>0</v>
      </c>
      <c r="AB38" s="112">
        <v>1</v>
      </c>
      <c r="AC38" s="112">
        <v>1</v>
      </c>
      <c r="AD38" s="112">
        <v>1</v>
      </c>
      <c r="AE38" s="112">
        <v>1</v>
      </c>
      <c r="AF38" s="112">
        <v>1</v>
      </c>
      <c r="AG38" s="112">
        <v>0</v>
      </c>
      <c r="AH38" s="112">
        <v>1</v>
      </c>
      <c r="AI38" s="112">
        <v>1</v>
      </c>
      <c r="AJ38" s="112">
        <v>0</v>
      </c>
      <c r="AK38" s="112">
        <v>1</v>
      </c>
      <c r="AL38" s="112">
        <v>0</v>
      </c>
      <c r="AM38" s="112">
        <v>0</v>
      </c>
      <c r="AN38" s="112">
        <v>0</v>
      </c>
      <c r="AO38" s="112">
        <v>0</v>
      </c>
      <c r="AP38" s="112">
        <v>0</v>
      </c>
    </row>
    <row r="39" spans="1:42" x14ac:dyDescent="0.15">
      <c r="A39" s="193" t="s">
        <v>229</v>
      </c>
      <c r="B39" s="112">
        <v>0</v>
      </c>
      <c r="C39" s="112">
        <v>0</v>
      </c>
      <c r="D39" s="112">
        <v>0</v>
      </c>
      <c r="E39" s="112">
        <v>0</v>
      </c>
      <c r="F39" s="112">
        <v>0</v>
      </c>
      <c r="G39" s="112">
        <v>0</v>
      </c>
      <c r="H39" s="112">
        <v>0</v>
      </c>
      <c r="I39" s="112">
        <v>0</v>
      </c>
      <c r="J39" s="112">
        <v>0</v>
      </c>
      <c r="K39" s="112">
        <v>0</v>
      </c>
      <c r="L39" s="112">
        <v>0</v>
      </c>
      <c r="M39" s="112">
        <v>0</v>
      </c>
      <c r="N39" s="112">
        <v>0</v>
      </c>
      <c r="O39" s="112">
        <v>0</v>
      </c>
      <c r="P39" s="112">
        <v>0</v>
      </c>
      <c r="Q39" s="112">
        <v>0</v>
      </c>
      <c r="R39" s="112">
        <v>0</v>
      </c>
      <c r="S39" s="112">
        <v>0</v>
      </c>
      <c r="T39" s="112">
        <v>0</v>
      </c>
      <c r="U39" s="112">
        <v>0</v>
      </c>
      <c r="V39" s="112">
        <v>0</v>
      </c>
      <c r="W39" s="112">
        <v>0</v>
      </c>
      <c r="X39" s="112">
        <v>0</v>
      </c>
      <c r="Y39" s="112">
        <v>0</v>
      </c>
      <c r="Z39" s="112">
        <v>0</v>
      </c>
      <c r="AA39" s="112">
        <v>0</v>
      </c>
      <c r="AB39" s="112">
        <v>1</v>
      </c>
      <c r="AC39" s="112">
        <v>0</v>
      </c>
      <c r="AD39" s="112">
        <v>1</v>
      </c>
      <c r="AE39" s="112">
        <v>0</v>
      </c>
      <c r="AF39" s="112">
        <v>0</v>
      </c>
      <c r="AG39" s="112">
        <v>0</v>
      </c>
      <c r="AH39" s="112">
        <v>1</v>
      </c>
      <c r="AI39" s="112">
        <v>0</v>
      </c>
      <c r="AJ39" s="112">
        <v>0</v>
      </c>
      <c r="AK39" s="112">
        <v>1</v>
      </c>
      <c r="AL39" s="112">
        <v>1</v>
      </c>
      <c r="AM39" s="112">
        <v>0</v>
      </c>
      <c r="AN39" s="112">
        <v>0</v>
      </c>
      <c r="AO39" s="112">
        <v>0</v>
      </c>
      <c r="AP39" s="112">
        <v>0</v>
      </c>
    </row>
    <row r="40" spans="1:42" x14ac:dyDescent="0.15">
      <c r="A40" s="193" t="s">
        <v>230</v>
      </c>
      <c r="B40" s="112">
        <v>0</v>
      </c>
      <c r="C40" s="112">
        <v>0</v>
      </c>
      <c r="D40" s="112">
        <v>0</v>
      </c>
      <c r="E40" s="112">
        <v>0</v>
      </c>
      <c r="F40" s="112">
        <v>0</v>
      </c>
      <c r="G40" s="112">
        <v>0</v>
      </c>
      <c r="H40" s="112">
        <v>0</v>
      </c>
      <c r="I40" s="112">
        <v>0</v>
      </c>
      <c r="J40" s="112">
        <v>0</v>
      </c>
      <c r="K40" s="112">
        <v>0</v>
      </c>
      <c r="L40" s="112">
        <v>0</v>
      </c>
      <c r="M40" s="112">
        <v>1</v>
      </c>
      <c r="N40" s="112">
        <v>0</v>
      </c>
      <c r="O40" s="112">
        <v>0</v>
      </c>
      <c r="P40" s="112">
        <v>0</v>
      </c>
      <c r="Q40" s="112">
        <v>0</v>
      </c>
      <c r="R40" s="112">
        <v>0</v>
      </c>
      <c r="S40" s="112">
        <v>0</v>
      </c>
      <c r="T40" s="112">
        <v>0</v>
      </c>
      <c r="U40" s="112">
        <v>0</v>
      </c>
      <c r="V40" s="112">
        <v>0</v>
      </c>
      <c r="W40" s="112">
        <v>1</v>
      </c>
      <c r="X40" s="112">
        <v>0</v>
      </c>
      <c r="Y40" s="112">
        <v>0</v>
      </c>
      <c r="Z40" s="112">
        <v>0</v>
      </c>
      <c r="AA40" s="112">
        <v>0</v>
      </c>
      <c r="AB40" s="112">
        <v>1</v>
      </c>
      <c r="AC40" s="112">
        <v>0</v>
      </c>
      <c r="AD40" s="112">
        <v>1</v>
      </c>
      <c r="AE40" s="112">
        <v>0</v>
      </c>
      <c r="AF40" s="112">
        <v>0</v>
      </c>
      <c r="AG40" s="112">
        <v>0</v>
      </c>
      <c r="AH40" s="112">
        <v>1</v>
      </c>
      <c r="AI40" s="112">
        <v>1</v>
      </c>
      <c r="AJ40" s="112">
        <v>0</v>
      </c>
      <c r="AK40" s="112">
        <v>0</v>
      </c>
      <c r="AL40" s="112">
        <v>0</v>
      </c>
      <c r="AM40" s="112">
        <v>0</v>
      </c>
      <c r="AN40" s="112">
        <v>0</v>
      </c>
      <c r="AO40" s="112">
        <v>0</v>
      </c>
      <c r="AP40" s="112">
        <v>0</v>
      </c>
    </row>
    <row r="41" spans="1:42" x14ac:dyDescent="0.15">
      <c r="A41" s="193" t="s">
        <v>231</v>
      </c>
      <c r="B41" s="112">
        <v>0</v>
      </c>
      <c r="C41" s="112">
        <v>0</v>
      </c>
      <c r="D41" s="112">
        <v>0</v>
      </c>
      <c r="E41" s="112">
        <v>0</v>
      </c>
      <c r="F41" s="112">
        <v>0</v>
      </c>
      <c r="G41" s="112">
        <v>0</v>
      </c>
      <c r="H41" s="112">
        <v>0</v>
      </c>
      <c r="I41" s="112">
        <v>0</v>
      </c>
      <c r="J41" s="112">
        <v>0</v>
      </c>
      <c r="K41" s="112">
        <v>1</v>
      </c>
      <c r="L41" s="112">
        <v>1</v>
      </c>
      <c r="M41" s="112">
        <v>1</v>
      </c>
      <c r="N41" s="112">
        <v>0</v>
      </c>
      <c r="O41" s="112">
        <v>0</v>
      </c>
      <c r="P41" s="112">
        <v>0</v>
      </c>
      <c r="Q41" s="112">
        <v>0</v>
      </c>
      <c r="R41" s="112">
        <v>0</v>
      </c>
      <c r="S41" s="112">
        <v>0</v>
      </c>
      <c r="T41" s="112">
        <v>0</v>
      </c>
      <c r="U41" s="112">
        <v>0</v>
      </c>
      <c r="V41" s="112">
        <v>1</v>
      </c>
      <c r="W41" s="112">
        <v>1</v>
      </c>
      <c r="X41" s="112">
        <v>1</v>
      </c>
      <c r="Y41" s="112">
        <v>0</v>
      </c>
      <c r="Z41" s="112">
        <v>1</v>
      </c>
      <c r="AA41" s="112">
        <v>0</v>
      </c>
      <c r="AB41" s="112">
        <v>0</v>
      </c>
      <c r="AC41" s="112">
        <v>1</v>
      </c>
      <c r="AD41" s="112">
        <v>1</v>
      </c>
      <c r="AE41" s="112">
        <v>0</v>
      </c>
      <c r="AF41" s="112">
        <v>0</v>
      </c>
      <c r="AG41" s="112">
        <v>1</v>
      </c>
      <c r="AH41" s="112">
        <v>1</v>
      </c>
      <c r="AI41" s="112">
        <v>1</v>
      </c>
      <c r="AJ41" s="112">
        <v>0</v>
      </c>
      <c r="AK41" s="112">
        <v>1</v>
      </c>
      <c r="AL41" s="112">
        <v>0</v>
      </c>
      <c r="AM41" s="112">
        <v>0</v>
      </c>
      <c r="AN41" s="112">
        <v>0</v>
      </c>
      <c r="AO41" s="112">
        <v>0</v>
      </c>
      <c r="AP41" s="112">
        <v>0</v>
      </c>
    </row>
    <row r="42" spans="1:42" x14ac:dyDescent="0.15">
      <c r="A42" s="193" t="s">
        <v>232</v>
      </c>
      <c r="B42" s="112">
        <v>0</v>
      </c>
      <c r="C42" s="112">
        <v>0</v>
      </c>
      <c r="D42" s="112">
        <v>0</v>
      </c>
      <c r="E42" s="112">
        <v>0</v>
      </c>
      <c r="F42" s="112">
        <v>0</v>
      </c>
      <c r="G42" s="112">
        <v>0</v>
      </c>
      <c r="H42" s="112">
        <v>0</v>
      </c>
      <c r="I42" s="112">
        <v>0</v>
      </c>
      <c r="J42" s="112">
        <v>0</v>
      </c>
      <c r="K42" s="112">
        <v>0</v>
      </c>
      <c r="L42" s="112">
        <v>0</v>
      </c>
      <c r="M42" s="112">
        <v>0</v>
      </c>
      <c r="N42" s="112">
        <v>0</v>
      </c>
      <c r="O42" s="112">
        <v>0</v>
      </c>
      <c r="P42" s="112">
        <v>0</v>
      </c>
      <c r="Q42" s="112">
        <v>0</v>
      </c>
      <c r="R42" s="112">
        <v>0</v>
      </c>
      <c r="S42" s="112">
        <v>0</v>
      </c>
      <c r="T42" s="112">
        <v>0</v>
      </c>
      <c r="U42" s="112">
        <v>0</v>
      </c>
      <c r="V42" s="112">
        <v>0</v>
      </c>
      <c r="W42" s="112">
        <v>0</v>
      </c>
      <c r="X42" s="112">
        <v>0</v>
      </c>
      <c r="Y42" s="112">
        <v>0</v>
      </c>
      <c r="Z42" s="112">
        <v>0</v>
      </c>
      <c r="AA42" s="112">
        <v>0</v>
      </c>
      <c r="AB42" s="112">
        <v>0</v>
      </c>
      <c r="AC42" s="112">
        <v>0</v>
      </c>
      <c r="AD42" s="112">
        <v>0</v>
      </c>
      <c r="AE42" s="112">
        <v>0</v>
      </c>
      <c r="AF42" s="112">
        <v>0</v>
      </c>
      <c r="AG42" s="112">
        <v>0</v>
      </c>
      <c r="AH42" s="112">
        <v>0</v>
      </c>
      <c r="AI42" s="112">
        <v>0</v>
      </c>
      <c r="AJ42" s="112">
        <v>0</v>
      </c>
      <c r="AK42" s="112">
        <v>0</v>
      </c>
      <c r="AL42" s="112">
        <v>0</v>
      </c>
      <c r="AM42" s="112">
        <v>0</v>
      </c>
      <c r="AN42" s="112">
        <v>0</v>
      </c>
      <c r="AO42" s="112">
        <v>0</v>
      </c>
      <c r="AP42" s="112">
        <v>0</v>
      </c>
    </row>
    <row r="43" spans="1:42" x14ac:dyDescent="0.15">
      <c r="A43" s="193" t="s">
        <v>234</v>
      </c>
      <c r="B43" s="112">
        <v>1</v>
      </c>
      <c r="C43" s="112">
        <v>0</v>
      </c>
      <c r="D43" s="112">
        <v>0</v>
      </c>
      <c r="E43" s="112">
        <v>1</v>
      </c>
      <c r="F43" s="112">
        <v>1</v>
      </c>
      <c r="G43" s="112">
        <v>0</v>
      </c>
      <c r="H43" s="112">
        <v>0</v>
      </c>
      <c r="I43" s="112">
        <v>0</v>
      </c>
      <c r="J43" s="112">
        <v>0</v>
      </c>
      <c r="K43" s="112">
        <v>0</v>
      </c>
      <c r="L43" s="112">
        <v>0</v>
      </c>
      <c r="M43" s="112">
        <v>1</v>
      </c>
      <c r="N43" s="112">
        <v>1</v>
      </c>
      <c r="O43" s="112">
        <v>0</v>
      </c>
      <c r="P43" s="112">
        <v>1</v>
      </c>
      <c r="Q43" s="112">
        <v>0</v>
      </c>
      <c r="R43" s="112">
        <v>0</v>
      </c>
      <c r="S43" s="112">
        <v>0</v>
      </c>
      <c r="T43" s="112">
        <v>0</v>
      </c>
      <c r="U43" s="112">
        <v>0</v>
      </c>
      <c r="V43" s="112">
        <v>0</v>
      </c>
      <c r="W43" s="112">
        <v>0</v>
      </c>
      <c r="X43" s="112">
        <v>0</v>
      </c>
      <c r="Y43" s="112">
        <v>0</v>
      </c>
      <c r="Z43" s="112">
        <v>0</v>
      </c>
      <c r="AA43" s="112">
        <v>0</v>
      </c>
      <c r="AB43" s="112">
        <v>0</v>
      </c>
      <c r="AC43" s="112">
        <v>0</v>
      </c>
      <c r="AD43" s="112">
        <v>0</v>
      </c>
      <c r="AE43" s="112">
        <v>0</v>
      </c>
      <c r="AF43" s="112">
        <v>0</v>
      </c>
      <c r="AG43" s="112">
        <v>0</v>
      </c>
      <c r="AH43" s="112">
        <v>0</v>
      </c>
      <c r="AI43" s="112">
        <v>0</v>
      </c>
      <c r="AJ43" s="112">
        <v>0</v>
      </c>
      <c r="AK43" s="112">
        <v>0</v>
      </c>
      <c r="AL43" s="112">
        <v>0</v>
      </c>
      <c r="AM43" s="112">
        <v>0</v>
      </c>
      <c r="AN43" s="112">
        <v>0</v>
      </c>
      <c r="AO43" s="112">
        <v>0</v>
      </c>
      <c r="AP43" s="112">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indexed="51"/>
  </sheetPr>
  <dimension ref="A1:C185"/>
  <sheetViews>
    <sheetView workbookViewId="0">
      <selection activeCell="A3" sqref="A3"/>
    </sheetView>
  </sheetViews>
  <sheetFormatPr baseColWidth="10" defaultRowHeight="13" x14ac:dyDescent="0.15"/>
  <cols>
    <col min="1" max="1" width="3.33203125" customWidth="1"/>
    <col min="2" max="2" width="19.83203125" bestFit="1" customWidth="1"/>
    <col min="3" max="3" width="3.83203125" bestFit="1" customWidth="1"/>
    <col min="4" max="4" width="16.33203125" bestFit="1" customWidth="1"/>
  </cols>
  <sheetData>
    <row r="1" spans="1:3" ht="112" x14ac:dyDescent="0.15">
      <c r="A1" s="5" t="s">
        <v>83</v>
      </c>
      <c r="B1" s="3" t="s">
        <v>0</v>
      </c>
      <c r="C1" s="196" t="s">
        <v>233</v>
      </c>
    </row>
    <row r="2" spans="1:3" x14ac:dyDescent="0.15">
      <c r="A2">
        <v>1</v>
      </c>
      <c r="B2" s="195" t="s">
        <v>192</v>
      </c>
      <c r="C2">
        <v>0</v>
      </c>
    </row>
    <row r="3" spans="1:3" x14ac:dyDescent="0.15">
      <c r="A3">
        <v>2</v>
      </c>
      <c r="B3" s="195" t="s">
        <v>193</v>
      </c>
      <c r="C3">
        <v>0.8</v>
      </c>
    </row>
    <row r="4" spans="1:3" x14ac:dyDescent="0.15">
      <c r="A4">
        <v>3</v>
      </c>
      <c r="B4" s="195" t="s">
        <v>194</v>
      </c>
      <c r="C4">
        <v>0.8</v>
      </c>
    </row>
    <row r="5" spans="1:3" x14ac:dyDescent="0.15">
      <c r="A5">
        <v>4</v>
      </c>
      <c r="B5" s="195" t="s">
        <v>195</v>
      </c>
      <c r="C5">
        <v>0</v>
      </c>
    </row>
    <row r="6" spans="1:3" x14ac:dyDescent="0.15">
      <c r="A6">
        <v>5</v>
      </c>
      <c r="B6" s="195" t="s">
        <v>196</v>
      </c>
      <c r="C6">
        <v>0</v>
      </c>
    </row>
    <row r="7" spans="1:3" x14ac:dyDescent="0.15">
      <c r="A7">
        <v>6</v>
      </c>
      <c r="B7" s="195" t="s">
        <v>197</v>
      </c>
      <c r="C7">
        <v>0</v>
      </c>
    </row>
    <row r="8" spans="1:3" x14ac:dyDescent="0.15">
      <c r="A8">
        <v>7</v>
      </c>
      <c r="B8" s="195" t="s">
        <v>198</v>
      </c>
      <c r="C8">
        <v>0</v>
      </c>
    </row>
    <row r="9" spans="1:3" x14ac:dyDescent="0.15">
      <c r="A9">
        <v>8</v>
      </c>
      <c r="B9" s="195" t="s">
        <v>199</v>
      </c>
      <c r="C9">
        <v>0</v>
      </c>
    </row>
    <row r="10" spans="1:3" x14ac:dyDescent="0.15">
      <c r="A10">
        <v>9</v>
      </c>
      <c r="B10" s="195" t="s">
        <v>200</v>
      </c>
      <c r="C10">
        <v>0</v>
      </c>
    </row>
    <row r="11" spans="1:3" x14ac:dyDescent="0.15">
      <c r="A11">
        <v>10</v>
      </c>
      <c r="B11" s="195" t="s">
        <v>201</v>
      </c>
      <c r="C11">
        <v>0</v>
      </c>
    </row>
    <row r="12" spans="1:3" x14ac:dyDescent="0.15">
      <c r="A12">
        <v>11</v>
      </c>
      <c r="B12" s="195" t="s">
        <v>202</v>
      </c>
      <c r="C12">
        <v>0.8</v>
      </c>
    </row>
    <row r="13" spans="1:3" x14ac:dyDescent="0.15">
      <c r="A13">
        <v>12</v>
      </c>
      <c r="B13" s="195" t="s">
        <v>203</v>
      </c>
      <c r="C13">
        <v>0.8</v>
      </c>
    </row>
    <row r="14" spans="1:3" x14ac:dyDescent="0.15">
      <c r="A14">
        <v>13</v>
      </c>
      <c r="B14" s="195" t="s">
        <v>204</v>
      </c>
      <c r="C14">
        <v>0.8</v>
      </c>
    </row>
    <row r="15" spans="1:3" x14ac:dyDescent="0.15">
      <c r="A15">
        <v>14</v>
      </c>
      <c r="B15" s="195" t="s">
        <v>205</v>
      </c>
      <c r="C15">
        <v>0</v>
      </c>
    </row>
    <row r="16" spans="1:3" x14ac:dyDescent="0.15">
      <c r="A16">
        <v>15</v>
      </c>
      <c r="B16" s="195" t="s">
        <v>206</v>
      </c>
      <c r="C16">
        <v>0.8</v>
      </c>
    </row>
    <row r="17" spans="1:3" x14ac:dyDescent="0.15">
      <c r="A17">
        <v>16</v>
      </c>
      <c r="B17" s="195" t="s">
        <v>207</v>
      </c>
      <c r="C17">
        <v>0</v>
      </c>
    </row>
    <row r="18" spans="1:3" x14ac:dyDescent="0.15">
      <c r="A18">
        <v>17</v>
      </c>
      <c r="B18" s="195" t="s">
        <v>208</v>
      </c>
      <c r="C18">
        <v>0.8</v>
      </c>
    </row>
    <row r="19" spans="1:3" x14ac:dyDescent="0.15">
      <c r="A19">
        <v>18</v>
      </c>
      <c r="B19" s="195" t="s">
        <v>209</v>
      </c>
      <c r="C19">
        <v>0</v>
      </c>
    </row>
    <row r="20" spans="1:3" x14ac:dyDescent="0.15">
      <c r="A20">
        <v>19</v>
      </c>
      <c r="B20" s="195" t="s">
        <v>210</v>
      </c>
      <c r="C20">
        <v>0</v>
      </c>
    </row>
    <row r="21" spans="1:3" x14ac:dyDescent="0.15">
      <c r="A21">
        <v>20</v>
      </c>
      <c r="B21" s="195" t="s">
        <v>211</v>
      </c>
      <c r="C21">
        <v>0</v>
      </c>
    </row>
    <row r="22" spans="1:3" x14ac:dyDescent="0.15">
      <c r="A22">
        <v>21</v>
      </c>
      <c r="B22" s="195" t="s">
        <v>212</v>
      </c>
      <c r="C22">
        <v>0</v>
      </c>
    </row>
    <row r="23" spans="1:3" x14ac:dyDescent="0.15">
      <c r="A23">
        <v>22</v>
      </c>
      <c r="B23" s="195" t="s">
        <v>213</v>
      </c>
      <c r="C23">
        <v>0</v>
      </c>
    </row>
    <row r="24" spans="1:3" x14ac:dyDescent="0.15">
      <c r="A24">
        <v>23</v>
      </c>
      <c r="B24" s="195" t="s">
        <v>214</v>
      </c>
      <c r="C24">
        <v>0.8</v>
      </c>
    </row>
    <row r="25" spans="1:3" x14ac:dyDescent="0.15">
      <c r="A25">
        <v>24</v>
      </c>
      <c r="B25" s="195" t="s">
        <v>215</v>
      </c>
      <c r="C25">
        <v>0.8</v>
      </c>
    </row>
    <row r="26" spans="1:3" x14ac:dyDescent="0.15">
      <c r="A26">
        <v>25</v>
      </c>
      <c r="B26" s="195" t="s">
        <v>216</v>
      </c>
      <c r="C26">
        <v>0.8</v>
      </c>
    </row>
    <row r="27" spans="1:3" x14ac:dyDescent="0.15">
      <c r="A27">
        <v>26</v>
      </c>
      <c r="B27" s="195" t="s">
        <v>217</v>
      </c>
      <c r="C27">
        <v>0.8</v>
      </c>
    </row>
    <row r="28" spans="1:3" x14ac:dyDescent="0.15">
      <c r="A28">
        <v>27</v>
      </c>
      <c r="B28" s="195" t="s">
        <v>218</v>
      </c>
      <c r="C28">
        <v>0</v>
      </c>
    </row>
    <row r="29" spans="1:3" x14ac:dyDescent="0.15">
      <c r="A29">
        <v>28</v>
      </c>
      <c r="B29" s="195" t="s">
        <v>219</v>
      </c>
      <c r="C29">
        <v>0.8</v>
      </c>
    </row>
    <row r="30" spans="1:3" x14ac:dyDescent="0.15">
      <c r="A30">
        <v>29</v>
      </c>
      <c r="B30" s="195" t="s">
        <v>220</v>
      </c>
      <c r="C30">
        <v>0</v>
      </c>
    </row>
    <row r="31" spans="1:3" x14ac:dyDescent="0.15">
      <c r="A31">
        <v>30</v>
      </c>
      <c r="B31" s="195" t="s">
        <v>221</v>
      </c>
      <c r="C31">
        <v>0.8</v>
      </c>
    </row>
    <row r="32" spans="1:3" x14ac:dyDescent="0.15">
      <c r="A32">
        <v>31</v>
      </c>
      <c r="B32" s="195" t="s">
        <v>222</v>
      </c>
      <c r="C32">
        <v>0.8</v>
      </c>
    </row>
    <row r="33" spans="1:3" x14ac:dyDescent="0.15">
      <c r="A33">
        <v>32</v>
      </c>
      <c r="B33" s="195" t="s">
        <v>223</v>
      </c>
      <c r="C33">
        <v>0.8</v>
      </c>
    </row>
    <row r="34" spans="1:3" x14ac:dyDescent="0.15">
      <c r="A34">
        <v>33</v>
      </c>
      <c r="B34" s="195" t="s">
        <v>224</v>
      </c>
      <c r="C34">
        <v>0</v>
      </c>
    </row>
    <row r="35" spans="1:3" x14ac:dyDescent="0.15">
      <c r="A35">
        <v>34</v>
      </c>
      <c r="B35" s="195" t="s">
        <v>225</v>
      </c>
      <c r="C35">
        <v>0.8</v>
      </c>
    </row>
    <row r="36" spans="1:3" x14ac:dyDescent="0.15">
      <c r="A36">
        <v>35</v>
      </c>
      <c r="B36" s="195" t="s">
        <v>226</v>
      </c>
      <c r="C36">
        <v>0.8</v>
      </c>
    </row>
    <row r="37" spans="1:3" x14ac:dyDescent="0.15">
      <c r="A37">
        <v>36</v>
      </c>
      <c r="B37" s="195" t="s">
        <v>227</v>
      </c>
      <c r="C37">
        <v>0</v>
      </c>
    </row>
    <row r="38" spans="1:3" x14ac:dyDescent="0.15">
      <c r="A38">
        <v>37</v>
      </c>
      <c r="B38" s="195" t="s">
        <v>228</v>
      </c>
      <c r="C38">
        <v>0</v>
      </c>
    </row>
    <row r="39" spans="1:3" x14ac:dyDescent="0.15">
      <c r="A39">
        <v>38</v>
      </c>
      <c r="B39" s="195" t="s">
        <v>229</v>
      </c>
      <c r="C39">
        <v>0</v>
      </c>
    </row>
    <row r="40" spans="1:3" x14ac:dyDescent="0.15">
      <c r="A40">
        <v>39</v>
      </c>
      <c r="B40" s="195" t="s">
        <v>230</v>
      </c>
      <c r="C40">
        <v>0</v>
      </c>
    </row>
    <row r="41" spans="1:3" x14ac:dyDescent="0.15">
      <c r="A41">
        <v>40</v>
      </c>
      <c r="B41" s="195" t="s">
        <v>231</v>
      </c>
      <c r="C41">
        <v>0</v>
      </c>
    </row>
    <row r="42" spans="1:3" x14ac:dyDescent="0.15">
      <c r="A42">
        <v>41</v>
      </c>
      <c r="B42" s="195" t="s">
        <v>232</v>
      </c>
      <c r="C42">
        <v>0</v>
      </c>
    </row>
    <row r="179" ht="15" customHeight="1" x14ac:dyDescent="0.15"/>
    <row r="180" ht="15" customHeight="1" x14ac:dyDescent="0.15"/>
    <row r="181" ht="15" customHeight="1" x14ac:dyDescent="0.15"/>
    <row r="182" ht="15" customHeight="1" x14ac:dyDescent="0.15"/>
    <row r="183" ht="15" customHeight="1" x14ac:dyDescent="0.15"/>
    <row r="184" ht="15" customHeight="1" x14ac:dyDescent="0.15"/>
    <row r="185" ht="15" customHeight="1" x14ac:dyDescent="0.15"/>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indexed="51"/>
  </sheetPr>
  <dimension ref="A1:C42"/>
  <sheetViews>
    <sheetView workbookViewId="0">
      <selection activeCell="A3" sqref="A3"/>
    </sheetView>
  </sheetViews>
  <sheetFormatPr baseColWidth="10" defaultRowHeight="13" x14ac:dyDescent="0.15"/>
  <cols>
    <col min="1" max="1" width="3.33203125" customWidth="1"/>
    <col min="2" max="2" width="19.83203125" bestFit="1" customWidth="1"/>
    <col min="3" max="3" width="3.83203125" bestFit="1" customWidth="1"/>
    <col min="4" max="4" width="16.33203125" bestFit="1" customWidth="1"/>
  </cols>
  <sheetData>
    <row r="1" spans="1:3" ht="112" x14ac:dyDescent="0.15">
      <c r="A1" s="5" t="s">
        <v>82</v>
      </c>
      <c r="B1" s="3" t="s">
        <v>0</v>
      </c>
      <c r="C1" s="198" t="s">
        <v>233</v>
      </c>
    </row>
    <row r="2" spans="1:3" x14ac:dyDescent="0.15">
      <c r="A2">
        <v>1</v>
      </c>
      <c r="B2" s="197" t="s">
        <v>192</v>
      </c>
      <c r="C2">
        <v>0</v>
      </c>
    </row>
    <row r="3" spans="1:3" x14ac:dyDescent="0.15">
      <c r="A3">
        <v>2</v>
      </c>
      <c r="B3" s="197" t="s">
        <v>193</v>
      </c>
      <c r="C3">
        <v>0.8</v>
      </c>
    </row>
    <row r="4" spans="1:3" x14ac:dyDescent="0.15">
      <c r="A4">
        <v>3</v>
      </c>
      <c r="B4" s="197" t="s">
        <v>194</v>
      </c>
      <c r="C4">
        <v>0.8</v>
      </c>
    </row>
    <row r="5" spans="1:3" x14ac:dyDescent="0.15">
      <c r="A5">
        <v>4</v>
      </c>
      <c r="B5" s="197" t="s">
        <v>195</v>
      </c>
      <c r="C5">
        <v>0</v>
      </c>
    </row>
    <row r="6" spans="1:3" x14ac:dyDescent="0.15">
      <c r="A6">
        <v>5</v>
      </c>
      <c r="B6" s="197" t="s">
        <v>196</v>
      </c>
      <c r="C6">
        <v>0</v>
      </c>
    </row>
    <row r="7" spans="1:3" x14ac:dyDescent="0.15">
      <c r="A7">
        <v>6</v>
      </c>
      <c r="B7" s="197" t="s">
        <v>197</v>
      </c>
      <c r="C7">
        <v>0</v>
      </c>
    </row>
    <row r="8" spans="1:3" x14ac:dyDescent="0.15">
      <c r="A8">
        <v>7</v>
      </c>
      <c r="B8" s="197" t="s">
        <v>198</v>
      </c>
      <c r="C8">
        <v>0</v>
      </c>
    </row>
    <row r="9" spans="1:3" x14ac:dyDescent="0.15">
      <c r="A9">
        <v>8</v>
      </c>
      <c r="B9" s="197" t="s">
        <v>199</v>
      </c>
      <c r="C9">
        <v>0</v>
      </c>
    </row>
    <row r="10" spans="1:3" x14ac:dyDescent="0.15">
      <c r="A10">
        <v>9</v>
      </c>
      <c r="B10" s="197" t="s">
        <v>200</v>
      </c>
      <c r="C10">
        <v>0</v>
      </c>
    </row>
    <row r="11" spans="1:3" x14ac:dyDescent="0.15">
      <c r="A11">
        <v>10</v>
      </c>
      <c r="B11" s="197" t="s">
        <v>201</v>
      </c>
      <c r="C11">
        <v>0</v>
      </c>
    </row>
    <row r="12" spans="1:3" x14ac:dyDescent="0.15">
      <c r="A12">
        <v>11</v>
      </c>
      <c r="B12" s="197" t="s">
        <v>202</v>
      </c>
      <c r="C12">
        <v>0.8</v>
      </c>
    </row>
    <row r="13" spans="1:3" x14ac:dyDescent="0.15">
      <c r="A13">
        <v>12</v>
      </c>
      <c r="B13" s="197" t="s">
        <v>203</v>
      </c>
      <c r="C13">
        <v>0.8</v>
      </c>
    </row>
    <row r="14" spans="1:3" x14ac:dyDescent="0.15">
      <c r="A14">
        <v>13</v>
      </c>
      <c r="B14" s="197" t="s">
        <v>204</v>
      </c>
      <c r="C14">
        <v>0.8</v>
      </c>
    </row>
    <row r="15" spans="1:3" x14ac:dyDescent="0.15">
      <c r="A15">
        <v>14</v>
      </c>
      <c r="B15" s="197" t="s">
        <v>205</v>
      </c>
      <c r="C15">
        <v>0</v>
      </c>
    </row>
    <row r="16" spans="1:3" x14ac:dyDescent="0.15">
      <c r="A16">
        <v>15</v>
      </c>
      <c r="B16" s="197" t="s">
        <v>206</v>
      </c>
      <c r="C16">
        <v>0.8</v>
      </c>
    </row>
    <row r="17" spans="1:3" x14ac:dyDescent="0.15">
      <c r="A17">
        <v>16</v>
      </c>
      <c r="B17" s="197" t="s">
        <v>207</v>
      </c>
      <c r="C17">
        <v>0</v>
      </c>
    </row>
    <row r="18" spans="1:3" x14ac:dyDescent="0.15">
      <c r="A18">
        <v>17</v>
      </c>
      <c r="B18" s="197" t="s">
        <v>208</v>
      </c>
      <c r="C18">
        <v>0.8</v>
      </c>
    </row>
    <row r="19" spans="1:3" x14ac:dyDescent="0.15">
      <c r="A19">
        <v>18</v>
      </c>
      <c r="B19" s="197" t="s">
        <v>209</v>
      </c>
      <c r="C19">
        <v>0</v>
      </c>
    </row>
    <row r="20" spans="1:3" x14ac:dyDescent="0.15">
      <c r="A20">
        <v>19</v>
      </c>
      <c r="B20" s="197" t="s">
        <v>210</v>
      </c>
      <c r="C20">
        <v>0</v>
      </c>
    </row>
    <row r="21" spans="1:3" x14ac:dyDescent="0.15">
      <c r="A21">
        <v>20</v>
      </c>
      <c r="B21" s="197" t="s">
        <v>211</v>
      </c>
      <c r="C21">
        <v>0</v>
      </c>
    </row>
    <row r="22" spans="1:3" x14ac:dyDescent="0.15">
      <c r="A22">
        <v>21</v>
      </c>
      <c r="B22" s="197" t="s">
        <v>212</v>
      </c>
      <c r="C22">
        <v>0</v>
      </c>
    </row>
    <row r="23" spans="1:3" x14ac:dyDescent="0.15">
      <c r="A23">
        <v>22</v>
      </c>
      <c r="B23" s="197" t="s">
        <v>213</v>
      </c>
      <c r="C23">
        <v>0</v>
      </c>
    </row>
    <row r="24" spans="1:3" x14ac:dyDescent="0.15">
      <c r="A24">
        <v>23</v>
      </c>
      <c r="B24" s="197" t="s">
        <v>214</v>
      </c>
      <c r="C24">
        <v>0.8</v>
      </c>
    </row>
    <row r="25" spans="1:3" x14ac:dyDescent="0.15">
      <c r="A25">
        <v>24</v>
      </c>
      <c r="B25" s="197" t="s">
        <v>215</v>
      </c>
      <c r="C25">
        <v>0.8</v>
      </c>
    </row>
    <row r="26" spans="1:3" x14ac:dyDescent="0.15">
      <c r="A26">
        <v>25</v>
      </c>
      <c r="B26" s="197" t="s">
        <v>216</v>
      </c>
      <c r="C26">
        <v>0.8</v>
      </c>
    </row>
    <row r="27" spans="1:3" x14ac:dyDescent="0.15">
      <c r="A27">
        <v>26</v>
      </c>
      <c r="B27" s="197" t="s">
        <v>217</v>
      </c>
      <c r="C27">
        <v>0.8</v>
      </c>
    </row>
    <row r="28" spans="1:3" x14ac:dyDescent="0.15">
      <c r="A28">
        <v>27</v>
      </c>
      <c r="B28" s="197" t="s">
        <v>218</v>
      </c>
      <c r="C28">
        <v>0</v>
      </c>
    </row>
    <row r="29" spans="1:3" x14ac:dyDescent="0.15">
      <c r="A29">
        <v>28</v>
      </c>
      <c r="B29" s="197" t="s">
        <v>219</v>
      </c>
      <c r="C29">
        <v>0.8</v>
      </c>
    </row>
    <row r="30" spans="1:3" x14ac:dyDescent="0.15">
      <c r="A30">
        <v>29</v>
      </c>
      <c r="B30" s="197" t="s">
        <v>220</v>
      </c>
      <c r="C30">
        <v>0</v>
      </c>
    </row>
    <row r="31" spans="1:3" x14ac:dyDescent="0.15">
      <c r="A31">
        <v>30</v>
      </c>
      <c r="B31" s="197" t="s">
        <v>221</v>
      </c>
      <c r="C31">
        <v>0.8</v>
      </c>
    </row>
    <row r="32" spans="1:3" x14ac:dyDescent="0.15">
      <c r="A32">
        <v>31</v>
      </c>
      <c r="B32" s="197" t="s">
        <v>222</v>
      </c>
      <c r="C32">
        <v>0.8</v>
      </c>
    </row>
    <row r="33" spans="1:3" x14ac:dyDescent="0.15">
      <c r="A33">
        <v>32</v>
      </c>
      <c r="B33" s="197" t="s">
        <v>223</v>
      </c>
      <c r="C33">
        <v>0.8</v>
      </c>
    </row>
    <row r="34" spans="1:3" x14ac:dyDescent="0.15">
      <c r="A34">
        <v>33</v>
      </c>
      <c r="B34" s="197" t="s">
        <v>224</v>
      </c>
      <c r="C34">
        <v>0</v>
      </c>
    </row>
    <row r="35" spans="1:3" x14ac:dyDescent="0.15">
      <c r="A35">
        <v>34</v>
      </c>
      <c r="B35" s="197" t="s">
        <v>225</v>
      </c>
      <c r="C35">
        <v>0.8</v>
      </c>
    </row>
    <row r="36" spans="1:3" x14ac:dyDescent="0.15">
      <c r="A36">
        <v>35</v>
      </c>
      <c r="B36" s="197" t="s">
        <v>226</v>
      </c>
      <c r="C36">
        <v>0.8</v>
      </c>
    </row>
    <row r="37" spans="1:3" x14ac:dyDescent="0.15">
      <c r="A37">
        <v>36</v>
      </c>
      <c r="B37" s="197" t="s">
        <v>227</v>
      </c>
      <c r="C37">
        <v>0</v>
      </c>
    </row>
    <row r="38" spans="1:3" x14ac:dyDescent="0.15">
      <c r="A38">
        <v>37</v>
      </c>
      <c r="B38" s="197" t="s">
        <v>228</v>
      </c>
      <c r="C38">
        <v>0</v>
      </c>
    </row>
    <row r="39" spans="1:3" x14ac:dyDescent="0.15">
      <c r="A39">
        <v>38</v>
      </c>
      <c r="B39" s="197" t="s">
        <v>229</v>
      </c>
      <c r="C39">
        <v>0</v>
      </c>
    </row>
    <row r="40" spans="1:3" x14ac:dyDescent="0.15">
      <c r="A40">
        <v>39</v>
      </c>
      <c r="B40" s="197" t="s">
        <v>230</v>
      </c>
      <c r="C40">
        <v>0</v>
      </c>
    </row>
    <row r="41" spans="1:3" x14ac:dyDescent="0.15">
      <c r="A41">
        <v>40</v>
      </c>
      <c r="B41" s="197" t="s">
        <v>231</v>
      </c>
      <c r="C41">
        <v>0</v>
      </c>
    </row>
    <row r="42" spans="1:3" x14ac:dyDescent="0.15">
      <c r="A42">
        <v>41</v>
      </c>
      <c r="B42" s="197" t="s">
        <v>232</v>
      </c>
      <c r="C42">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tabColor indexed="15"/>
  </sheetPr>
  <dimension ref="A1:N500"/>
  <sheetViews>
    <sheetView tabSelected="1" workbookViewId="0">
      <pane xSplit="2" ySplit="1" topLeftCell="C2" activePane="bottomRight" state="frozen"/>
      <selection pane="topRight" activeCell="C1" sqref="C1"/>
      <selection pane="bottomLeft" activeCell="A3" sqref="A3"/>
      <selection pane="bottomRight" activeCell="K6" sqref="K6"/>
    </sheetView>
  </sheetViews>
  <sheetFormatPr baseColWidth="10" defaultColWidth="8.83203125" defaultRowHeight="15" customHeight="1" x14ac:dyDescent="0.15"/>
  <cols>
    <col min="1" max="1" width="8.83203125" style="82"/>
    <col min="2" max="2" width="41.83203125" style="82" bestFit="1" customWidth="1"/>
    <col min="3" max="3" width="9.33203125" style="82" bestFit="1" customWidth="1"/>
    <col min="4" max="4" width="13" style="82" bestFit="1" customWidth="1"/>
    <col min="5" max="6" width="9.33203125" style="82" bestFit="1" customWidth="1"/>
    <col min="7" max="7" width="9.33203125" style="98" bestFit="1" customWidth="1"/>
    <col min="8" max="8" width="9.33203125" style="82" bestFit="1" customWidth="1"/>
    <col min="9" max="9" width="11" style="82" customWidth="1"/>
    <col min="10" max="10" width="8.83203125" style="82"/>
    <col min="15" max="16384" width="8.83203125" style="82"/>
  </cols>
  <sheetData>
    <row r="1" spans="1:10" ht="15" customHeight="1" x14ac:dyDescent="0.15">
      <c r="A1" s="4" t="s">
        <v>25</v>
      </c>
      <c r="B1" s="1" t="s">
        <v>0</v>
      </c>
      <c r="C1" s="1" t="s">
        <v>12</v>
      </c>
      <c r="D1" s="1" t="s">
        <v>13</v>
      </c>
      <c r="E1" s="1" t="s">
        <v>1</v>
      </c>
      <c r="F1" s="1" t="s">
        <v>2</v>
      </c>
      <c r="G1" s="35" t="s">
        <v>14</v>
      </c>
      <c r="H1" s="1" t="s">
        <v>26</v>
      </c>
      <c r="I1" s="1" t="s">
        <v>24</v>
      </c>
    </row>
    <row r="2" spans="1:10" ht="15" customHeight="1" x14ac:dyDescent="0.15">
      <c r="A2" s="150">
        <v>1</v>
      </c>
      <c r="B2" s="150" t="s">
        <v>192</v>
      </c>
      <c r="C2" s="8">
        <v>5.350987434387207</v>
      </c>
      <c r="D2" s="9">
        <v>6.99999975040555E-4</v>
      </c>
      <c r="E2" s="9">
        <v>1.9999999552965164E-2</v>
      </c>
      <c r="F2" s="9">
        <v>11</v>
      </c>
      <c r="G2" s="7">
        <v>0</v>
      </c>
      <c r="H2" s="9">
        <v>1.818181830458343E-3</v>
      </c>
      <c r="I2">
        <v>0</v>
      </c>
      <c r="J2"/>
    </row>
    <row r="3" spans="1:10" ht="15" customHeight="1" x14ac:dyDescent="0.15">
      <c r="A3" s="151">
        <v>2</v>
      </c>
      <c r="B3" s="151" t="s">
        <v>193</v>
      </c>
      <c r="C3" s="8">
        <v>4.7142906188964844</v>
      </c>
      <c r="D3" s="9">
        <v>1.7451893538236618E-2</v>
      </c>
      <c r="E3" s="9">
        <v>3.4000001847743988E-2</v>
      </c>
      <c r="F3" s="9">
        <v>11.5</v>
      </c>
      <c r="G3" s="9">
        <v>0.93155395984649658</v>
      </c>
      <c r="H3" s="9">
        <v>2.9565219301730394E-3</v>
      </c>
      <c r="I3">
        <v>4.6045100316405296E-4</v>
      </c>
      <c r="J3"/>
    </row>
    <row r="4" spans="1:10" ht="15" customHeight="1" x14ac:dyDescent="0.15">
      <c r="A4" s="152">
        <v>3</v>
      </c>
      <c r="B4" s="152" t="s">
        <v>194</v>
      </c>
      <c r="C4" s="8">
        <v>3.442957878112793</v>
      </c>
      <c r="D4" s="9">
        <v>3.6100000143051147E-2</v>
      </c>
      <c r="E4" s="9">
        <v>9.6299998462200165E-2</v>
      </c>
      <c r="F4" s="9">
        <v>10.920000076293945</v>
      </c>
      <c r="G4" s="9">
        <v>0.63954919576644897</v>
      </c>
      <c r="H4" s="9">
        <v>8.8186813518404961E-3</v>
      </c>
      <c r="I4">
        <v>1.4662479516118765E-3</v>
      </c>
      <c r="J4"/>
    </row>
    <row r="5" spans="1:10" ht="15" customHeight="1" x14ac:dyDescent="0.15">
      <c r="A5" s="153">
        <v>4</v>
      </c>
      <c r="B5" s="153" t="s">
        <v>195</v>
      </c>
      <c r="C5" s="8">
        <v>1</v>
      </c>
      <c r="D5" s="9">
        <v>2.3926334051793674E-6</v>
      </c>
      <c r="E5" s="9">
        <v>2.0199999213218689E-2</v>
      </c>
      <c r="F5" s="9">
        <v>227.859375</v>
      </c>
      <c r="G5" s="7">
        <v>0</v>
      </c>
      <c r="H5" s="9">
        <v>8.8651162513997406E-5</v>
      </c>
      <c r="I5">
        <v>0</v>
      </c>
      <c r="J5"/>
    </row>
    <row r="6" spans="1:10" ht="15" customHeight="1" x14ac:dyDescent="0.15">
      <c r="A6" s="154">
        <v>5</v>
      </c>
      <c r="B6" s="154" t="s">
        <v>196</v>
      </c>
      <c r="C6" s="8">
        <v>1</v>
      </c>
      <c r="D6" s="9">
        <v>9.0790650574490428E-5</v>
      </c>
      <c r="E6" s="9">
        <v>0.5899999737739563</v>
      </c>
      <c r="F6" s="9">
        <v>86.455711364746094</v>
      </c>
      <c r="G6" s="9">
        <v>0.81767565011978149</v>
      </c>
      <c r="H6" s="9">
        <v>6.8243029527366161E-3</v>
      </c>
      <c r="I6">
        <v>0</v>
      </c>
      <c r="J6"/>
    </row>
    <row r="7" spans="1:10" ht="15" customHeight="1" x14ac:dyDescent="0.15">
      <c r="A7" s="155">
        <v>6</v>
      </c>
      <c r="B7" s="155" t="s">
        <v>197</v>
      </c>
      <c r="C7" s="8">
        <v>4.5025358200073242</v>
      </c>
      <c r="D7" s="9">
        <v>1.4426874695345759E-3</v>
      </c>
      <c r="E7" s="9">
        <v>0.18999999761581421</v>
      </c>
      <c r="F7" s="9">
        <v>40.537342071533203</v>
      </c>
      <c r="G7" s="9">
        <v>0.74969738721847534</v>
      </c>
      <c r="H7" s="9">
        <v>4.6870363876223564E-3</v>
      </c>
      <c r="I7">
        <v>0</v>
      </c>
      <c r="J7"/>
    </row>
    <row r="8" spans="1:10" ht="15" customHeight="1" x14ac:dyDescent="0.15">
      <c r="A8" s="156">
        <v>7</v>
      </c>
      <c r="B8" s="156" t="s">
        <v>198</v>
      </c>
      <c r="C8" s="8">
        <v>4.5002074241638184</v>
      </c>
      <c r="D8" s="9">
        <v>1.3000000268220901E-2</v>
      </c>
      <c r="E8" s="9">
        <v>0.10999999940395355</v>
      </c>
      <c r="F8" s="9">
        <v>25.5</v>
      </c>
      <c r="G8" s="9">
        <v>0.70000004768371582</v>
      </c>
      <c r="H8" s="9">
        <v>4.3137255124747753E-3</v>
      </c>
      <c r="I8">
        <v>0</v>
      </c>
      <c r="J8"/>
    </row>
    <row r="9" spans="1:10" ht="15" customHeight="1" x14ac:dyDescent="0.15">
      <c r="A9" s="157">
        <v>8</v>
      </c>
      <c r="B9" s="157" t="s">
        <v>199</v>
      </c>
      <c r="C9" s="8">
        <v>4.4149770736694336</v>
      </c>
      <c r="D9" s="9">
        <v>4.1000001132488251E-2</v>
      </c>
      <c r="E9" s="9">
        <v>0.20999999344348907</v>
      </c>
      <c r="F9" s="9">
        <v>28.850000381469727</v>
      </c>
      <c r="G9" s="9">
        <v>0.79936122894287109</v>
      </c>
      <c r="H9" s="9">
        <v>7.2790291160345078E-3</v>
      </c>
      <c r="I9">
        <v>0</v>
      </c>
      <c r="J9"/>
    </row>
    <row r="10" spans="1:10" ht="15" customHeight="1" x14ac:dyDescent="0.15">
      <c r="A10" s="158">
        <v>9</v>
      </c>
      <c r="B10" s="158" t="s">
        <v>200</v>
      </c>
      <c r="C10" s="8">
        <v>3.2978699207305908</v>
      </c>
      <c r="D10" s="9">
        <v>2.9999999242136255E-5</v>
      </c>
      <c r="E10" s="9">
        <v>0.20999999344348907</v>
      </c>
      <c r="F10" s="9">
        <v>85</v>
      </c>
      <c r="G10" s="7">
        <v>0</v>
      </c>
      <c r="H10" s="9">
        <v>2.4705880787223577E-3</v>
      </c>
      <c r="I10">
        <v>0</v>
      </c>
      <c r="J10"/>
    </row>
    <row r="11" spans="1:10" ht="15" customHeight="1" x14ac:dyDescent="0.15">
      <c r="A11" s="159">
        <v>10</v>
      </c>
      <c r="B11" s="159" t="s">
        <v>201</v>
      </c>
      <c r="C11" s="8">
        <v>4.0151901245117188</v>
      </c>
      <c r="D11" s="9">
        <v>5.9540001675486565E-3</v>
      </c>
      <c r="E11" s="9">
        <v>0.37999999523162842</v>
      </c>
      <c r="F11" s="9">
        <v>68</v>
      </c>
      <c r="G11" s="9">
        <v>0.3898169994354248</v>
      </c>
      <c r="H11" s="9">
        <v>5.5882353335618973E-3</v>
      </c>
      <c r="I11">
        <v>0</v>
      </c>
      <c r="J11"/>
    </row>
    <row r="12" spans="1:10" ht="15" customHeight="1" x14ac:dyDescent="0.15">
      <c r="A12" s="160">
        <v>11</v>
      </c>
      <c r="B12" s="160" t="s">
        <v>202</v>
      </c>
      <c r="C12" s="8">
        <v>4.763972282409668</v>
      </c>
      <c r="D12" s="9">
        <v>9.9999997764825821E-3</v>
      </c>
      <c r="E12" s="9">
        <v>0.12999999523162842</v>
      </c>
      <c r="F12" s="9">
        <v>1.2999999523162842</v>
      </c>
      <c r="G12" s="9">
        <v>7.0417396724224091E-2</v>
      </c>
      <c r="H12" s="9">
        <v>0.10000000149011612</v>
      </c>
      <c r="I12">
        <v>1.1826100489997771E-6</v>
      </c>
      <c r="J12"/>
    </row>
    <row r="13" spans="1:10" ht="15" customHeight="1" x14ac:dyDescent="0.15">
      <c r="A13" s="161">
        <v>12</v>
      </c>
      <c r="B13" s="161" t="s">
        <v>203</v>
      </c>
      <c r="C13" s="8">
        <v>4.0541510581970215</v>
      </c>
      <c r="D13" s="9">
        <v>0.25099998712539673</v>
      </c>
      <c r="E13" s="9">
        <v>0.11999999731779099</v>
      </c>
      <c r="F13" s="9">
        <v>1.1999999284744263</v>
      </c>
      <c r="G13" s="9">
        <v>0.70576322078704834</v>
      </c>
      <c r="H13" s="9">
        <v>0.10000000149011612</v>
      </c>
      <c r="I13">
        <v>5.6068997764668893E-6</v>
      </c>
      <c r="J13"/>
    </row>
    <row r="14" spans="1:10" ht="15" customHeight="1" x14ac:dyDescent="0.15">
      <c r="A14" s="162">
        <v>13</v>
      </c>
      <c r="B14" s="162" t="s">
        <v>204</v>
      </c>
      <c r="C14" s="8">
        <v>3.5187187194824219</v>
      </c>
      <c r="D14" s="9">
        <v>1.1100000143051147</v>
      </c>
      <c r="E14" s="9">
        <v>2.0999999046325684</v>
      </c>
      <c r="F14" s="9">
        <v>10.499999046325684</v>
      </c>
      <c r="G14" s="9">
        <v>0.34556546807289124</v>
      </c>
      <c r="H14" s="9">
        <v>0.20000000298023224</v>
      </c>
      <c r="I14">
        <v>0.54187691211700439</v>
      </c>
      <c r="J14"/>
    </row>
    <row r="15" spans="1:10" ht="15" customHeight="1" x14ac:dyDescent="0.15">
      <c r="A15" s="163">
        <v>14</v>
      </c>
      <c r="B15" s="163" t="s">
        <v>205</v>
      </c>
      <c r="C15" s="8">
        <v>3.7345049381256104</v>
      </c>
      <c r="D15" s="9">
        <v>3.4435387700796127E-2</v>
      </c>
      <c r="E15" s="9">
        <v>0.2199999988079071</v>
      </c>
      <c r="F15" s="9">
        <v>1.1000000238418579</v>
      </c>
      <c r="G15" s="9">
        <v>0.94999980926513672</v>
      </c>
      <c r="H15" s="9">
        <v>0.19999998807907104</v>
      </c>
      <c r="I15">
        <v>0</v>
      </c>
      <c r="J15"/>
    </row>
    <row r="16" spans="1:10" ht="15" customHeight="1" x14ac:dyDescent="0.15">
      <c r="A16" s="164">
        <v>15</v>
      </c>
      <c r="B16" s="164" t="s">
        <v>206</v>
      </c>
      <c r="C16" s="8">
        <v>3.3821184635162354</v>
      </c>
      <c r="D16" s="9">
        <v>0.92398130893707275</v>
      </c>
      <c r="E16" s="9">
        <v>0.88999998569488525</v>
      </c>
      <c r="F16" s="9">
        <v>4.4499998092651367</v>
      </c>
      <c r="G16" s="9">
        <v>0.95000267028808594</v>
      </c>
      <c r="H16" s="9">
        <v>0.20000000298023224</v>
      </c>
      <c r="I16">
        <v>3.050580066332742E-10</v>
      </c>
      <c r="J16"/>
    </row>
    <row r="17" spans="1:10" ht="15" customHeight="1" x14ac:dyDescent="0.15">
      <c r="A17" s="165">
        <v>16</v>
      </c>
      <c r="B17" s="165" t="s">
        <v>207</v>
      </c>
      <c r="C17" s="8">
        <v>3.0991201400756836</v>
      </c>
      <c r="D17" s="9">
        <v>1.2999999523162842</v>
      </c>
      <c r="E17" s="9">
        <v>1.1499999761581421</v>
      </c>
      <c r="F17" s="9">
        <v>5.75</v>
      </c>
      <c r="G17" s="9">
        <v>0.59245610237121582</v>
      </c>
      <c r="H17" s="9">
        <v>0.20000000298023224</v>
      </c>
      <c r="I17">
        <v>0</v>
      </c>
      <c r="J17"/>
    </row>
    <row r="18" spans="1:10" ht="15" customHeight="1" x14ac:dyDescent="0.15">
      <c r="A18" s="166">
        <v>17</v>
      </c>
      <c r="B18" s="166" t="s">
        <v>208</v>
      </c>
      <c r="C18" s="8">
        <v>3.3293042182922363</v>
      </c>
      <c r="D18" s="9">
        <v>0.3449999988079071</v>
      </c>
      <c r="E18" s="9">
        <v>1.2699999809265137</v>
      </c>
      <c r="F18" s="9">
        <v>6.3499999046325684</v>
      </c>
      <c r="G18" s="9">
        <v>0.99154525995254517</v>
      </c>
      <c r="H18" s="9">
        <v>0.20000000298023224</v>
      </c>
      <c r="I18">
        <v>0.18559999763965607</v>
      </c>
      <c r="J18"/>
    </row>
    <row r="19" spans="1:10" ht="15" customHeight="1" x14ac:dyDescent="0.15">
      <c r="A19" s="167">
        <v>18</v>
      </c>
      <c r="B19" s="167" t="s">
        <v>209</v>
      </c>
      <c r="C19" s="8">
        <v>3.4561831951141357</v>
      </c>
      <c r="D19" s="9">
        <v>5.405716598033905E-3</v>
      </c>
      <c r="E19" s="9">
        <v>1.2000000476837158</v>
      </c>
      <c r="F19" s="9">
        <v>5.8908205032348633</v>
      </c>
      <c r="G19" s="9">
        <v>0.89000988006591797</v>
      </c>
      <c r="H19" s="9">
        <v>0.2037067711353302</v>
      </c>
      <c r="I19">
        <v>0</v>
      </c>
      <c r="J19"/>
    </row>
    <row r="20" spans="1:10" ht="15" customHeight="1" x14ac:dyDescent="0.15">
      <c r="A20" s="168">
        <v>19</v>
      </c>
      <c r="B20" s="168" t="s">
        <v>210</v>
      </c>
      <c r="C20" s="8">
        <v>3.5719363689422607</v>
      </c>
      <c r="D20" s="9">
        <v>0.20000000298023224</v>
      </c>
      <c r="E20" s="9">
        <v>0.30000001192092896</v>
      </c>
      <c r="F20" s="9">
        <v>1.5</v>
      </c>
      <c r="G20" s="9">
        <v>0.86951273679733276</v>
      </c>
      <c r="H20" s="9">
        <v>0.20000000298023224</v>
      </c>
      <c r="I20">
        <v>0</v>
      </c>
      <c r="J20"/>
    </row>
    <row r="21" spans="1:10" ht="15" customHeight="1" x14ac:dyDescent="0.15">
      <c r="A21" s="169">
        <v>20</v>
      </c>
      <c r="B21" s="169" t="s">
        <v>211</v>
      </c>
      <c r="C21" s="8">
        <v>3.4441173076629639</v>
      </c>
      <c r="D21" s="9">
        <v>2.380000114440918</v>
      </c>
      <c r="E21" s="9">
        <v>7.0000000298023224E-2</v>
      </c>
      <c r="F21" s="9">
        <v>0.34999999403953552</v>
      </c>
      <c r="G21" s="9">
        <v>0.83366560935974121</v>
      </c>
      <c r="H21" s="9">
        <v>0.20000000298023224</v>
      </c>
      <c r="I21">
        <v>0</v>
      </c>
      <c r="J21"/>
    </row>
    <row r="22" spans="1:10" ht="15" customHeight="1" x14ac:dyDescent="0.15">
      <c r="A22" s="170">
        <v>21</v>
      </c>
      <c r="B22" s="170" t="s">
        <v>212</v>
      </c>
      <c r="C22" s="8">
        <v>3.6262867450714111</v>
      </c>
      <c r="D22" s="9">
        <v>0.68242418766021729</v>
      </c>
      <c r="E22" s="9">
        <v>0.10700000077486038</v>
      </c>
      <c r="F22" s="9">
        <v>0.53499996662139893</v>
      </c>
      <c r="G22" s="9">
        <v>0.95000278949737549</v>
      </c>
      <c r="H22" s="9">
        <v>0.20000001788139343</v>
      </c>
      <c r="I22">
        <v>0</v>
      </c>
      <c r="J22"/>
    </row>
    <row r="23" spans="1:10" ht="15" customHeight="1" x14ac:dyDescent="0.15">
      <c r="A23" s="171">
        <v>22</v>
      </c>
      <c r="B23" s="171" t="s">
        <v>213</v>
      </c>
      <c r="C23" s="8">
        <v>3.6750750541687012</v>
      </c>
      <c r="D23" s="9">
        <v>2.6223456859588623</v>
      </c>
      <c r="E23" s="9">
        <v>2.199999988079071E-2</v>
      </c>
      <c r="F23" s="9">
        <v>0.10999999940395355</v>
      </c>
      <c r="G23" s="9">
        <v>0.94999921321868896</v>
      </c>
      <c r="H23" s="9">
        <v>0.20000000298023224</v>
      </c>
      <c r="I23">
        <v>0</v>
      </c>
      <c r="J23"/>
    </row>
    <row r="24" spans="1:10" ht="15" customHeight="1" x14ac:dyDescent="0.15">
      <c r="A24" s="172">
        <v>23</v>
      </c>
      <c r="B24" s="172" t="s">
        <v>214</v>
      </c>
      <c r="C24" s="8">
        <v>3.2604444026947021</v>
      </c>
      <c r="D24" s="9">
        <v>0.88999998569488525</v>
      </c>
      <c r="E24" s="9">
        <v>0.12999999523162842</v>
      </c>
      <c r="F24" s="9">
        <v>0.64999997615814209</v>
      </c>
      <c r="G24" s="9">
        <v>0.36743646860122681</v>
      </c>
      <c r="H24" s="9">
        <v>0.20000000298023224</v>
      </c>
      <c r="I24">
        <v>1.2050474062561989E-2</v>
      </c>
      <c r="J24"/>
    </row>
    <row r="25" spans="1:10" ht="15" customHeight="1" x14ac:dyDescent="0.15">
      <c r="A25" s="173">
        <v>24</v>
      </c>
      <c r="B25" s="173" t="s">
        <v>215</v>
      </c>
      <c r="C25" s="8">
        <v>4.2501506805419922</v>
      </c>
      <c r="D25" s="9">
        <v>0.2800000011920929</v>
      </c>
      <c r="E25" s="9">
        <v>0.37000000476837158</v>
      </c>
      <c r="F25" s="9">
        <v>1.8500000238418579</v>
      </c>
      <c r="G25" s="9">
        <v>0.9067351222038269</v>
      </c>
      <c r="H25" s="9">
        <v>0.20000000298023224</v>
      </c>
      <c r="I25">
        <v>1.5325499407481402E-4</v>
      </c>
      <c r="J25"/>
    </row>
    <row r="26" spans="1:10" ht="15" customHeight="1" x14ac:dyDescent="0.15">
      <c r="A26" s="174">
        <v>25</v>
      </c>
      <c r="B26" s="174" t="s">
        <v>216</v>
      </c>
      <c r="C26" s="8">
        <v>4.1152029037475586</v>
      </c>
      <c r="D26" s="9">
        <v>0.25999999046325684</v>
      </c>
      <c r="E26" s="9">
        <v>0.36000001430511475</v>
      </c>
      <c r="F26" s="9">
        <v>1.8000000715255737</v>
      </c>
      <c r="G26" s="9">
        <v>0.98480844497680664</v>
      </c>
      <c r="H26" s="9">
        <v>0.20000000298023224</v>
      </c>
      <c r="I26">
        <v>8.6967341601848602E-2</v>
      </c>
      <c r="J26"/>
    </row>
    <row r="27" spans="1:10" ht="15" customHeight="1" x14ac:dyDescent="0.15">
      <c r="A27" s="175">
        <v>26</v>
      </c>
      <c r="B27" s="175" t="s">
        <v>217</v>
      </c>
      <c r="C27" s="8">
        <v>4.250422477722168</v>
      </c>
      <c r="D27" s="9">
        <v>0.60000002384185791</v>
      </c>
      <c r="E27" s="9">
        <v>0.20000000298023224</v>
      </c>
      <c r="F27" s="9">
        <v>1</v>
      </c>
      <c r="G27" s="9">
        <v>0.8059428334236145</v>
      </c>
      <c r="H27" s="9">
        <v>0.20000000298023224</v>
      </c>
      <c r="I27">
        <v>2.6193298981525004E-4</v>
      </c>
      <c r="J27"/>
    </row>
    <row r="28" spans="1:10" ht="15" customHeight="1" x14ac:dyDescent="0.15">
      <c r="A28" s="176">
        <v>27</v>
      </c>
      <c r="B28" s="176" t="s">
        <v>218</v>
      </c>
      <c r="C28" s="8">
        <v>3.9115035533905029</v>
      </c>
      <c r="D28" s="9">
        <v>0.19829763472080231</v>
      </c>
      <c r="E28" s="9">
        <v>0.2669999897480011</v>
      </c>
      <c r="F28" s="9">
        <v>1.3349999189376831</v>
      </c>
      <c r="G28" s="9">
        <v>0.95000165700912476</v>
      </c>
      <c r="H28" s="9">
        <v>0.20000000298023224</v>
      </c>
      <c r="I28">
        <v>0</v>
      </c>
      <c r="J28"/>
    </row>
    <row r="29" spans="1:10" ht="15" customHeight="1" x14ac:dyDescent="0.15">
      <c r="A29" s="177">
        <v>28</v>
      </c>
      <c r="B29" s="177" t="s">
        <v>219</v>
      </c>
      <c r="C29" s="8">
        <v>3.4984323978424072</v>
      </c>
      <c r="D29" s="9">
        <v>1.7531365156173706</v>
      </c>
      <c r="E29" s="9">
        <v>0.2630000114440918</v>
      </c>
      <c r="F29" s="9">
        <v>1.315000057220459</v>
      </c>
      <c r="G29" s="9">
        <v>0.9500003457069397</v>
      </c>
      <c r="H29" s="9">
        <v>0.20000000298023224</v>
      </c>
      <c r="I29">
        <v>4.0311701013706625E-4</v>
      </c>
      <c r="J29"/>
    </row>
    <row r="30" spans="1:10" ht="15" customHeight="1" x14ac:dyDescent="0.15">
      <c r="A30" s="178">
        <v>29</v>
      </c>
      <c r="B30" s="178" t="s">
        <v>220</v>
      </c>
      <c r="C30" s="8">
        <v>3.3221096992492676</v>
      </c>
      <c r="D30" s="9">
        <v>1.0237852334976196</v>
      </c>
      <c r="E30" s="9">
        <v>1.0700000524520874</v>
      </c>
      <c r="F30" s="9">
        <v>4.2800002098083496</v>
      </c>
      <c r="G30" s="9">
        <v>0.95000416040420532</v>
      </c>
      <c r="H30" s="9">
        <v>0.25</v>
      </c>
      <c r="I30">
        <v>0</v>
      </c>
      <c r="J30"/>
    </row>
    <row r="31" spans="1:10" ht="15" customHeight="1" x14ac:dyDescent="0.15">
      <c r="A31" s="179">
        <v>30</v>
      </c>
      <c r="B31" s="179" t="s">
        <v>221</v>
      </c>
      <c r="C31" s="8">
        <v>3.741649866104126</v>
      </c>
      <c r="D31" s="9">
        <v>0.1430901437997818</v>
      </c>
      <c r="E31" s="9">
        <v>0.44999998807907104</v>
      </c>
      <c r="F31" s="9">
        <v>2.25</v>
      </c>
      <c r="G31" s="9">
        <v>0.95000272989273071</v>
      </c>
      <c r="H31" s="9">
        <v>0.19999998807907104</v>
      </c>
      <c r="I31">
        <v>1.4739599407675996E-7</v>
      </c>
      <c r="J31"/>
    </row>
    <row r="32" spans="1:10" ht="15" customHeight="1" x14ac:dyDescent="0.15">
      <c r="A32" s="207">
        <v>31</v>
      </c>
      <c r="B32" s="207" t="s">
        <v>222</v>
      </c>
      <c r="C32" s="8">
        <v>3.265667200088501</v>
      </c>
      <c r="D32" s="9">
        <v>1.3716431856155396</v>
      </c>
      <c r="E32" s="9">
        <v>1</v>
      </c>
      <c r="F32" s="9">
        <v>4</v>
      </c>
      <c r="G32" s="9">
        <v>0.50000202655792236</v>
      </c>
      <c r="H32" s="9">
        <v>0.25</v>
      </c>
      <c r="I32">
        <v>1.0311700316378847E-4</v>
      </c>
      <c r="J32"/>
    </row>
    <row r="33" spans="1:10" ht="15" customHeight="1" x14ac:dyDescent="0.15">
      <c r="A33" s="208">
        <v>32</v>
      </c>
      <c r="B33" s="208" t="s">
        <v>223</v>
      </c>
      <c r="C33" s="8">
        <v>2.6538774967193604</v>
      </c>
      <c r="D33" s="9">
        <v>2.5599780082702637</v>
      </c>
      <c r="E33" s="9">
        <v>2</v>
      </c>
      <c r="F33" s="9">
        <v>13</v>
      </c>
      <c r="G33" s="9">
        <v>0.95000004768371582</v>
      </c>
      <c r="H33" s="9">
        <v>0.15384615957736969</v>
      </c>
      <c r="I33">
        <v>1.5444018878042698E-2</v>
      </c>
      <c r="J33"/>
    </row>
    <row r="34" spans="1:10" ht="15" customHeight="1" x14ac:dyDescent="0.15">
      <c r="A34" s="209">
        <v>33</v>
      </c>
      <c r="B34" s="209" t="s">
        <v>224</v>
      </c>
      <c r="C34" s="8">
        <v>2.2400002479553223</v>
      </c>
      <c r="D34" s="9">
        <v>50</v>
      </c>
      <c r="E34" s="9">
        <v>2</v>
      </c>
      <c r="F34" s="9">
        <v>17</v>
      </c>
      <c r="G34" s="9">
        <v>0.27470073103904724</v>
      </c>
      <c r="H34" s="9">
        <v>0.11764705926179886</v>
      </c>
      <c r="I34">
        <v>0</v>
      </c>
      <c r="J34"/>
    </row>
    <row r="35" spans="1:10" ht="15" customHeight="1" x14ac:dyDescent="0.15">
      <c r="A35" s="210">
        <v>34</v>
      </c>
      <c r="B35" s="210" t="s">
        <v>225</v>
      </c>
      <c r="C35" s="8">
        <v>2.8186967372894287</v>
      </c>
      <c r="D35" s="9">
        <v>2.9079501628875732</v>
      </c>
      <c r="E35" s="9">
        <v>1.2999999523162842</v>
      </c>
      <c r="F35" s="9">
        <v>8.6666660308837891</v>
      </c>
      <c r="G35" s="9">
        <v>0.94999980926513672</v>
      </c>
      <c r="H35" s="9">
        <v>0.15000000596046448</v>
      </c>
      <c r="I35">
        <v>3.1156245619058609E-2</v>
      </c>
      <c r="J35"/>
    </row>
    <row r="36" spans="1:10" ht="15" customHeight="1" x14ac:dyDescent="0.15">
      <c r="A36" s="211">
        <v>35</v>
      </c>
      <c r="B36" s="211" t="s">
        <v>226</v>
      </c>
      <c r="C36" s="8">
        <v>3.7140378952026367</v>
      </c>
      <c r="D36" s="9">
        <v>0.22600483894348145</v>
      </c>
      <c r="E36" s="9">
        <v>2.5499999523162842</v>
      </c>
      <c r="F36" s="9">
        <v>10</v>
      </c>
      <c r="G36" s="9">
        <v>0.9500008225440979</v>
      </c>
      <c r="H36" s="9">
        <v>0.25499999523162842</v>
      </c>
      <c r="I36">
        <v>2.60003986340962E-7</v>
      </c>
      <c r="J36"/>
    </row>
    <row r="37" spans="1:10" ht="15" customHeight="1" x14ac:dyDescent="0.15">
      <c r="A37" s="212">
        <v>36</v>
      </c>
      <c r="B37" s="212" t="s">
        <v>227</v>
      </c>
      <c r="C37" s="8">
        <v>2.4000000953674316</v>
      </c>
      <c r="D37" s="9">
        <v>40</v>
      </c>
      <c r="E37" s="9">
        <v>4.3000001907348633</v>
      </c>
      <c r="F37" s="9">
        <v>16.899999618530273</v>
      </c>
      <c r="G37" s="9">
        <v>0.8244013786315918</v>
      </c>
      <c r="H37" s="9">
        <v>0.2544378936290741</v>
      </c>
      <c r="I37">
        <v>0</v>
      </c>
      <c r="J37"/>
    </row>
    <row r="38" spans="1:10" ht="15" customHeight="1" x14ac:dyDescent="0.15">
      <c r="A38" s="213">
        <v>37</v>
      </c>
      <c r="B38" s="213" t="s">
        <v>228</v>
      </c>
      <c r="C38" s="8">
        <v>2</v>
      </c>
      <c r="D38" s="9">
        <v>17.153182983398438</v>
      </c>
      <c r="E38" s="9">
        <v>20</v>
      </c>
      <c r="F38" s="9">
        <v>112</v>
      </c>
      <c r="G38" s="9">
        <v>0.90000009536743164</v>
      </c>
      <c r="H38" s="9">
        <v>0.1785714328289032</v>
      </c>
      <c r="I38">
        <v>0</v>
      </c>
      <c r="J38"/>
    </row>
    <row r="39" spans="1:10" ht="15" customHeight="1" x14ac:dyDescent="0.15">
      <c r="A39" s="214">
        <v>38</v>
      </c>
      <c r="B39" s="214" t="s">
        <v>229</v>
      </c>
      <c r="C39" s="8">
        <v>1</v>
      </c>
      <c r="D39" s="9">
        <v>31.804496765136719</v>
      </c>
      <c r="E39" s="9">
        <v>100</v>
      </c>
      <c r="F39" s="10"/>
      <c r="G39" s="9">
        <v>0.74508744478225708</v>
      </c>
      <c r="H39" s="10"/>
      <c r="I39">
        <v>0</v>
      </c>
      <c r="J39"/>
    </row>
    <row r="40" spans="1:10" ht="15" customHeight="1" x14ac:dyDescent="0.15">
      <c r="A40" s="215">
        <v>39</v>
      </c>
      <c r="B40" s="215" t="s">
        <v>230</v>
      </c>
      <c r="C40" s="8">
        <v>1</v>
      </c>
      <c r="D40" s="9">
        <v>23.228000640869141</v>
      </c>
      <c r="E40" s="9">
        <v>4.4000000953674316</v>
      </c>
      <c r="F40" s="10"/>
      <c r="G40" s="9">
        <v>0.88150382041931152</v>
      </c>
      <c r="H40" s="10"/>
      <c r="I40">
        <v>0</v>
      </c>
      <c r="J40"/>
    </row>
    <row r="41" spans="1:10" ht="15" customHeight="1" x14ac:dyDescent="0.15">
      <c r="A41" s="216">
        <v>40</v>
      </c>
      <c r="B41" s="216" t="s">
        <v>231</v>
      </c>
      <c r="C41" s="8">
        <v>1</v>
      </c>
      <c r="D41" s="9">
        <v>13.949999809265137</v>
      </c>
      <c r="E41" s="10"/>
      <c r="F41" s="10"/>
      <c r="G41" s="9">
        <v>0.35255804657936096</v>
      </c>
      <c r="H41" s="10"/>
      <c r="I41">
        <v>0</v>
      </c>
      <c r="J41"/>
    </row>
    <row r="42" spans="1:10" ht="15" customHeight="1" x14ac:dyDescent="0.15">
      <c r="A42" s="217">
        <v>41</v>
      </c>
      <c r="B42" s="217" t="s">
        <v>232</v>
      </c>
      <c r="C42" s="8">
        <v>1</v>
      </c>
      <c r="D42" s="9">
        <v>5</v>
      </c>
      <c r="E42" s="10"/>
      <c r="F42" s="10"/>
      <c r="G42" s="7">
        <v>0</v>
      </c>
      <c r="H42" s="10"/>
      <c r="I42">
        <v>0</v>
      </c>
      <c r="J42"/>
    </row>
    <row r="43" spans="1:10" ht="15" customHeight="1" x14ac:dyDescent="0.15">
      <c r="A43" s="218">
        <v>42</v>
      </c>
      <c r="B43" s="218" t="s">
        <v>233</v>
      </c>
      <c r="C43" s="8">
        <v>4.4949207305908203</v>
      </c>
      <c r="D43" s="10"/>
      <c r="E43" s="10"/>
      <c r="F43" s="10"/>
      <c r="G43" s="10"/>
      <c r="H43" s="10"/>
      <c r="I43">
        <v>0.87595027685165405</v>
      </c>
      <c r="J43"/>
    </row>
    <row r="44" spans="1:10" ht="15" customHeight="1" x14ac:dyDescent="0.15">
      <c r="A44"/>
      <c r="B44"/>
      <c r="C44"/>
      <c r="D44"/>
      <c r="E44"/>
      <c r="F44"/>
      <c r="G44"/>
      <c r="H44"/>
      <c r="I44"/>
      <c r="J44"/>
    </row>
    <row r="45" spans="1:10" ht="15" customHeight="1" x14ac:dyDescent="0.15">
      <c r="A45"/>
      <c r="B45"/>
      <c r="C45"/>
      <c r="D45"/>
      <c r="E45"/>
      <c r="F45"/>
      <c r="G45"/>
      <c r="H45"/>
      <c r="I45"/>
      <c r="J45"/>
    </row>
    <row r="46" spans="1:10" ht="15" customHeight="1" x14ac:dyDescent="0.15">
      <c r="A46"/>
      <c r="B46"/>
      <c r="C46"/>
      <c r="D46"/>
      <c r="E46"/>
      <c r="F46"/>
      <c r="G46"/>
      <c r="H46"/>
      <c r="I46"/>
      <c r="J46"/>
    </row>
    <row r="47" spans="1:10" ht="15" customHeight="1" x14ac:dyDescent="0.15">
      <c r="A47"/>
      <c r="B47"/>
      <c r="C47"/>
      <c r="D47"/>
      <c r="E47"/>
      <c r="F47"/>
      <c r="G47"/>
      <c r="H47"/>
      <c r="I47"/>
      <c r="J47"/>
    </row>
    <row r="48" spans="1:10" ht="15" customHeight="1" x14ac:dyDescent="0.15">
      <c r="A48"/>
      <c r="B48"/>
      <c r="C48"/>
      <c r="D48"/>
      <c r="E48"/>
      <c r="F48"/>
      <c r="G48"/>
      <c r="H48"/>
      <c r="I48"/>
      <c r="J48"/>
    </row>
    <row r="49" spans="1:10" ht="15" customHeight="1" x14ac:dyDescent="0.15">
      <c r="A49"/>
      <c r="B49"/>
      <c r="C49"/>
      <c r="D49"/>
      <c r="E49"/>
      <c r="F49"/>
      <c r="G49"/>
      <c r="H49"/>
      <c r="I49"/>
      <c r="J49"/>
    </row>
    <row r="50" spans="1:10" ht="15" customHeight="1" x14ac:dyDescent="0.15">
      <c r="A50"/>
      <c r="B50"/>
      <c r="C50"/>
      <c r="D50"/>
      <c r="E50"/>
      <c r="F50"/>
      <c r="G50"/>
      <c r="H50"/>
      <c r="I50"/>
      <c r="J50"/>
    </row>
    <row r="51" spans="1:10" ht="15" customHeight="1" x14ac:dyDescent="0.15">
      <c r="A51"/>
      <c r="B51"/>
      <c r="C51"/>
      <c r="D51"/>
      <c r="E51"/>
      <c r="F51"/>
      <c r="G51"/>
      <c r="H51"/>
      <c r="I51"/>
      <c r="J51"/>
    </row>
    <row r="52" spans="1:10" ht="15" customHeight="1" x14ac:dyDescent="0.15">
      <c r="A52"/>
      <c r="B52"/>
      <c r="C52"/>
      <c r="D52"/>
      <c r="E52"/>
      <c r="F52"/>
      <c r="G52"/>
      <c r="H52"/>
      <c r="I52"/>
      <c r="J52"/>
    </row>
    <row r="53" spans="1:10" ht="15" customHeight="1" x14ac:dyDescent="0.15">
      <c r="A53"/>
      <c r="B53"/>
      <c r="C53"/>
      <c r="D53"/>
      <c r="E53"/>
      <c r="F53"/>
      <c r="G53"/>
      <c r="H53"/>
      <c r="I53"/>
      <c r="J53"/>
    </row>
    <row r="54" spans="1:10" ht="15" customHeight="1" x14ac:dyDescent="0.15">
      <c r="A54"/>
      <c r="B54"/>
      <c r="C54"/>
      <c r="D54"/>
      <c r="E54"/>
      <c r="F54"/>
      <c r="G54"/>
      <c r="H54"/>
      <c r="I54"/>
      <c r="J54"/>
    </row>
    <row r="55" spans="1:10" ht="15" customHeight="1" x14ac:dyDescent="0.15">
      <c r="A55"/>
      <c r="B55"/>
      <c r="C55"/>
      <c r="D55"/>
      <c r="E55"/>
      <c r="F55"/>
      <c r="G55"/>
      <c r="H55"/>
      <c r="I55"/>
      <c r="J55"/>
    </row>
    <row r="56" spans="1:10" ht="15" customHeight="1" x14ac:dyDescent="0.15">
      <c r="A56"/>
      <c r="B56"/>
      <c r="C56"/>
      <c r="D56"/>
      <c r="E56"/>
      <c r="F56"/>
      <c r="G56"/>
      <c r="H56"/>
      <c r="I56"/>
      <c r="J56"/>
    </row>
    <row r="57" spans="1:10" ht="15" customHeight="1" x14ac:dyDescent="0.15">
      <c r="A57"/>
      <c r="B57"/>
      <c r="C57"/>
      <c r="D57"/>
      <c r="E57"/>
      <c r="F57"/>
      <c r="G57"/>
      <c r="H57"/>
      <c r="I57"/>
      <c r="J57"/>
    </row>
    <row r="58" spans="1:10" ht="15" customHeight="1" x14ac:dyDescent="0.15">
      <c r="A58"/>
      <c r="B58"/>
      <c r="C58"/>
      <c r="D58"/>
      <c r="E58"/>
      <c r="F58"/>
      <c r="G58"/>
      <c r="H58"/>
      <c r="I58"/>
      <c r="J58"/>
    </row>
    <row r="59" spans="1:10" ht="15" customHeight="1" x14ac:dyDescent="0.15">
      <c r="A59"/>
      <c r="B59"/>
      <c r="C59"/>
      <c r="D59"/>
      <c r="E59"/>
      <c r="F59"/>
      <c r="G59"/>
      <c r="H59"/>
      <c r="I59"/>
      <c r="J59"/>
    </row>
    <row r="60" spans="1:10" ht="15" customHeight="1" x14ac:dyDescent="0.15">
      <c r="A60"/>
      <c r="B60"/>
      <c r="C60"/>
      <c r="D60"/>
      <c r="E60"/>
      <c r="F60"/>
      <c r="G60"/>
      <c r="H60"/>
      <c r="I60"/>
      <c r="J60"/>
    </row>
    <row r="61" spans="1:10" ht="15" customHeight="1" x14ac:dyDescent="0.15">
      <c r="A61"/>
      <c r="B61"/>
      <c r="C61"/>
      <c r="D61"/>
      <c r="E61"/>
      <c r="F61"/>
      <c r="G61"/>
      <c r="H61"/>
      <c r="I61"/>
      <c r="J61"/>
    </row>
    <row r="62" spans="1:10" ht="15" customHeight="1" x14ac:dyDescent="0.15">
      <c r="A62"/>
      <c r="B62"/>
      <c r="C62"/>
      <c r="D62"/>
      <c r="E62"/>
      <c r="F62"/>
      <c r="G62"/>
      <c r="H62"/>
      <c r="I62"/>
      <c r="J62"/>
    </row>
    <row r="63" spans="1:10" ht="15" customHeight="1" x14ac:dyDescent="0.15">
      <c r="A63"/>
      <c r="B63"/>
      <c r="C63"/>
      <c r="D63"/>
      <c r="E63"/>
      <c r="F63"/>
      <c r="G63"/>
      <c r="H63"/>
      <c r="I63"/>
      <c r="J63"/>
    </row>
    <row r="64" spans="1:10" ht="15" customHeight="1" x14ac:dyDescent="0.15">
      <c r="A64"/>
      <c r="B64"/>
      <c r="C64"/>
      <c r="D64"/>
      <c r="E64"/>
      <c r="F64"/>
      <c r="G64"/>
      <c r="H64"/>
      <c r="I64"/>
      <c r="J64"/>
    </row>
    <row r="65" spans="1:10" ht="15" customHeight="1" x14ac:dyDescent="0.15">
      <c r="A65"/>
      <c r="B65"/>
      <c r="C65"/>
      <c r="D65"/>
      <c r="E65"/>
      <c r="F65"/>
      <c r="G65"/>
      <c r="H65"/>
      <c r="I65"/>
      <c r="J65"/>
    </row>
    <row r="66" spans="1:10" ht="15" customHeight="1" x14ac:dyDescent="0.15">
      <c r="A66"/>
      <c r="B66"/>
      <c r="C66"/>
      <c r="D66"/>
      <c r="E66"/>
      <c r="F66"/>
      <c r="G66"/>
      <c r="H66"/>
      <c r="I66"/>
      <c r="J66"/>
    </row>
    <row r="67" spans="1:10" ht="15" customHeight="1" x14ac:dyDescent="0.15">
      <c r="A67"/>
      <c r="B67"/>
      <c r="C67"/>
      <c r="D67"/>
      <c r="E67"/>
      <c r="F67"/>
      <c r="G67"/>
      <c r="H67"/>
      <c r="I67"/>
      <c r="J67"/>
    </row>
    <row r="68" spans="1:10" ht="15" customHeight="1" x14ac:dyDescent="0.15">
      <c r="A68"/>
      <c r="B68"/>
      <c r="C68"/>
      <c r="D68"/>
      <c r="E68"/>
      <c r="F68"/>
      <c r="G68"/>
      <c r="H68"/>
      <c r="I68"/>
      <c r="J68"/>
    </row>
    <row r="69" spans="1:10" ht="15" customHeight="1" x14ac:dyDescent="0.15">
      <c r="A69"/>
      <c r="B69"/>
      <c r="C69"/>
      <c r="D69"/>
      <c r="E69"/>
      <c r="F69"/>
      <c r="G69"/>
      <c r="H69"/>
      <c r="I69"/>
      <c r="J69"/>
    </row>
    <row r="70" spans="1:10" ht="15" customHeight="1" x14ac:dyDescent="0.15">
      <c r="A70"/>
      <c r="B70"/>
      <c r="C70"/>
      <c r="D70"/>
      <c r="E70"/>
      <c r="F70"/>
      <c r="G70"/>
      <c r="H70"/>
      <c r="I70"/>
      <c r="J70"/>
    </row>
    <row r="71" spans="1:10" ht="15" customHeight="1" x14ac:dyDescent="0.15">
      <c r="A71"/>
      <c r="B71"/>
      <c r="C71"/>
      <c r="D71"/>
      <c r="E71"/>
      <c r="F71"/>
      <c r="G71"/>
      <c r="H71"/>
      <c r="I71"/>
      <c r="J71"/>
    </row>
    <row r="72" spans="1:10" ht="15" customHeight="1" x14ac:dyDescent="0.15">
      <c r="A72"/>
      <c r="B72"/>
      <c r="C72"/>
      <c r="D72"/>
      <c r="E72"/>
      <c r="F72"/>
      <c r="G72"/>
      <c r="H72"/>
      <c r="I72"/>
      <c r="J72"/>
    </row>
    <row r="73" spans="1:10" ht="15" customHeight="1" x14ac:dyDescent="0.15">
      <c r="A73"/>
      <c r="B73"/>
      <c r="C73"/>
      <c r="D73"/>
      <c r="E73"/>
      <c r="F73"/>
      <c r="G73"/>
      <c r="H73"/>
      <c r="I73"/>
      <c r="J73"/>
    </row>
    <row r="74" spans="1:10" ht="15" customHeight="1" x14ac:dyDescent="0.15">
      <c r="A74"/>
      <c r="B74"/>
      <c r="C74"/>
      <c r="D74"/>
      <c r="E74"/>
      <c r="F74"/>
      <c r="G74"/>
      <c r="H74"/>
      <c r="I74"/>
      <c r="J74"/>
    </row>
    <row r="75" spans="1:10" ht="15" customHeight="1" x14ac:dyDescent="0.15">
      <c r="A75"/>
      <c r="B75"/>
      <c r="C75"/>
      <c r="D75"/>
      <c r="E75"/>
      <c r="F75"/>
      <c r="G75"/>
      <c r="H75"/>
      <c r="I75"/>
      <c r="J75"/>
    </row>
    <row r="76" spans="1:10" ht="15" customHeight="1" x14ac:dyDescent="0.15">
      <c r="A76"/>
      <c r="B76"/>
      <c r="C76"/>
      <c r="D76"/>
      <c r="E76"/>
      <c r="F76"/>
      <c r="G76"/>
      <c r="H76"/>
      <c r="I76"/>
      <c r="J76"/>
    </row>
    <row r="77" spans="1:10" ht="15" customHeight="1" x14ac:dyDescent="0.15">
      <c r="A77"/>
      <c r="B77"/>
      <c r="C77"/>
      <c r="D77"/>
      <c r="E77"/>
      <c r="F77"/>
      <c r="G77"/>
      <c r="H77"/>
      <c r="I77"/>
      <c r="J77"/>
    </row>
    <row r="78" spans="1:10" ht="15" customHeight="1" x14ac:dyDescent="0.15">
      <c r="A78"/>
      <c r="B78"/>
      <c r="C78"/>
      <c r="D78"/>
      <c r="E78"/>
      <c r="F78"/>
      <c r="G78"/>
      <c r="H78"/>
      <c r="I78"/>
      <c r="J78"/>
    </row>
    <row r="79" spans="1:10" ht="15" customHeight="1" x14ac:dyDescent="0.15">
      <c r="A79"/>
      <c r="B79"/>
      <c r="C79"/>
      <c r="D79"/>
      <c r="E79"/>
      <c r="F79"/>
      <c r="G79"/>
      <c r="H79"/>
      <c r="I79"/>
      <c r="J79"/>
    </row>
    <row r="80" spans="1:10" ht="15" customHeight="1" x14ac:dyDescent="0.15">
      <c r="A80"/>
      <c r="B80"/>
      <c r="C80"/>
      <c r="D80"/>
      <c r="E80"/>
      <c r="F80"/>
      <c r="G80"/>
      <c r="H80"/>
      <c r="I80"/>
      <c r="J80"/>
    </row>
    <row r="81" spans="1:10" ht="15" customHeight="1" x14ac:dyDescent="0.15">
      <c r="A81"/>
      <c r="B81"/>
      <c r="C81"/>
      <c r="D81"/>
      <c r="E81"/>
      <c r="F81"/>
      <c r="G81"/>
      <c r="H81"/>
      <c r="I81"/>
      <c r="J81"/>
    </row>
    <row r="82" spans="1:10" ht="15" customHeight="1" x14ac:dyDescent="0.15">
      <c r="A82"/>
      <c r="B82"/>
      <c r="C82"/>
      <c r="D82"/>
      <c r="E82"/>
      <c r="F82"/>
      <c r="G82"/>
      <c r="H82"/>
      <c r="I82"/>
      <c r="J82"/>
    </row>
    <row r="83" spans="1:10" ht="15" customHeight="1" x14ac:dyDescent="0.15">
      <c r="A83"/>
      <c r="B83"/>
      <c r="C83"/>
      <c r="D83"/>
      <c r="E83"/>
      <c r="F83"/>
      <c r="G83"/>
      <c r="H83"/>
      <c r="I83"/>
      <c r="J83"/>
    </row>
    <row r="84" spans="1:10" ht="15" customHeight="1" x14ac:dyDescent="0.15">
      <c r="A84"/>
      <c r="B84"/>
      <c r="C84"/>
      <c r="D84"/>
      <c r="E84"/>
      <c r="F84"/>
      <c r="G84"/>
      <c r="H84"/>
      <c r="I84"/>
      <c r="J84"/>
    </row>
    <row r="85" spans="1:10" ht="15" customHeight="1" x14ac:dyDescent="0.15">
      <c r="A85"/>
      <c r="B85"/>
      <c r="C85"/>
      <c r="D85"/>
      <c r="E85"/>
      <c r="F85"/>
      <c r="G85"/>
      <c r="H85"/>
      <c r="I85"/>
      <c r="J85"/>
    </row>
    <row r="86" spans="1:10" ht="15" customHeight="1" x14ac:dyDescent="0.15">
      <c r="A86"/>
      <c r="B86"/>
      <c r="C86"/>
      <c r="D86"/>
      <c r="E86"/>
      <c r="F86"/>
      <c r="G86"/>
      <c r="H86"/>
      <c r="I86"/>
      <c r="J86"/>
    </row>
    <row r="87" spans="1:10" ht="15" customHeight="1" x14ac:dyDescent="0.15">
      <c r="A87"/>
      <c r="B87"/>
      <c r="C87"/>
      <c r="D87"/>
      <c r="E87"/>
      <c r="F87"/>
      <c r="G87"/>
      <c r="H87"/>
      <c r="I87"/>
      <c r="J87"/>
    </row>
    <row r="88" spans="1:10" ht="15" customHeight="1" x14ac:dyDescent="0.15">
      <c r="A88"/>
      <c r="B88"/>
      <c r="C88"/>
      <c r="D88"/>
      <c r="E88"/>
      <c r="F88"/>
      <c r="G88"/>
      <c r="H88"/>
      <c r="I88"/>
      <c r="J88"/>
    </row>
    <row r="89" spans="1:10" ht="15" customHeight="1" x14ac:dyDescent="0.15">
      <c r="A89"/>
      <c r="B89"/>
      <c r="C89"/>
      <c r="D89"/>
      <c r="E89"/>
      <c r="F89"/>
      <c r="G89"/>
      <c r="H89"/>
      <c r="I89"/>
      <c r="J89"/>
    </row>
    <row r="90" spans="1:10" ht="15" customHeight="1" x14ac:dyDescent="0.15">
      <c r="A90"/>
      <c r="B90"/>
      <c r="C90"/>
      <c r="D90"/>
      <c r="E90"/>
      <c r="F90"/>
      <c r="G90"/>
      <c r="H90"/>
      <c r="I90"/>
      <c r="J90"/>
    </row>
    <row r="91" spans="1:10" ht="15" customHeight="1" x14ac:dyDescent="0.15">
      <c r="A91"/>
      <c r="B91"/>
      <c r="C91"/>
      <c r="D91"/>
      <c r="E91"/>
      <c r="F91"/>
      <c r="G91"/>
      <c r="H91"/>
      <c r="I91"/>
      <c r="J91"/>
    </row>
    <row r="92" spans="1:10" ht="15" customHeight="1" x14ac:dyDescent="0.15">
      <c r="A92"/>
      <c r="B92"/>
      <c r="C92"/>
      <c r="D92"/>
      <c r="E92"/>
      <c r="F92"/>
      <c r="G92"/>
      <c r="H92"/>
      <c r="I92"/>
      <c r="J92"/>
    </row>
    <row r="93" spans="1:10" ht="15" customHeight="1" x14ac:dyDescent="0.15">
      <c r="A93"/>
      <c r="B93"/>
      <c r="C93"/>
      <c r="D93"/>
      <c r="E93"/>
      <c r="F93"/>
      <c r="G93"/>
      <c r="H93"/>
      <c r="I93"/>
      <c r="J93"/>
    </row>
    <row r="94" spans="1:10" ht="15" customHeight="1" x14ac:dyDescent="0.15">
      <c r="A94"/>
      <c r="B94"/>
      <c r="C94"/>
      <c r="D94"/>
      <c r="E94"/>
      <c r="F94"/>
      <c r="G94"/>
      <c r="H94"/>
      <c r="I94"/>
      <c r="J94"/>
    </row>
    <row r="95" spans="1:10" ht="15" customHeight="1" x14ac:dyDescent="0.15">
      <c r="A95"/>
      <c r="B95"/>
      <c r="C95"/>
      <c r="D95"/>
      <c r="E95"/>
      <c r="F95"/>
      <c r="G95"/>
      <c r="H95"/>
      <c r="I95"/>
      <c r="J95"/>
    </row>
    <row r="96" spans="1:10" ht="15" customHeight="1" x14ac:dyDescent="0.15">
      <c r="A96"/>
      <c r="B96"/>
      <c r="C96"/>
      <c r="D96"/>
      <c r="E96"/>
      <c r="F96"/>
      <c r="G96"/>
      <c r="H96"/>
      <c r="I96"/>
      <c r="J96"/>
    </row>
    <row r="97" spans="1:10" ht="15" customHeight="1" x14ac:dyDescent="0.15">
      <c r="A97"/>
      <c r="B97"/>
      <c r="C97"/>
      <c r="D97"/>
      <c r="E97"/>
      <c r="F97"/>
      <c r="G97"/>
      <c r="H97"/>
      <c r="I97"/>
      <c r="J97"/>
    </row>
    <row r="98" spans="1:10" ht="15" customHeight="1" x14ac:dyDescent="0.15">
      <c r="A98"/>
      <c r="B98"/>
      <c r="C98"/>
      <c r="D98"/>
      <c r="E98"/>
      <c r="F98"/>
      <c r="G98"/>
      <c r="H98"/>
      <c r="I98"/>
      <c r="J98"/>
    </row>
    <row r="99" spans="1:10" ht="15" customHeight="1" x14ac:dyDescent="0.15">
      <c r="A99"/>
      <c r="B99"/>
      <c r="C99"/>
      <c r="D99"/>
      <c r="E99"/>
      <c r="F99"/>
      <c r="G99"/>
      <c r="H99"/>
      <c r="I99"/>
      <c r="J99"/>
    </row>
    <row r="100" spans="1:10" ht="15" customHeight="1" x14ac:dyDescent="0.15">
      <c r="A100"/>
      <c r="B100"/>
      <c r="C100"/>
      <c r="D100"/>
      <c r="E100"/>
      <c r="F100"/>
      <c r="G100"/>
      <c r="H100"/>
      <c r="I100"/>
      <c r="J100"/>
    </row>
    <row r="101" spans="1:10" ht="15" customHeight="1" x14ac:dyDescent="0.15">
      <c r="A101"/>
      <c r="B101"/>
      <c r="C101"/>
      <c r="D101"/>
      <c r="E101"/>
      <c r="F101"/>
      <c r="G101"/>
      <c r="H101"/>
      <c r="I101"/>
      <c r="J101"/>
    </row>
    <row r="102" spans="1:10" ht="15" customHeight="1" x14ac:dyDescent="0.15">
      <c r="A102"/>
      <c r="B102"/>
      <c r="C102"/>
      <c r="D102"/>
      <c r="E102"/>
      <c r="F102"/>
      <c r="G102"/>
      <c r="H102"/>
      <c r="I102"/>
      <c r="J102"/>
    </row>
    <row r="103" spans="1:10" ht="15" customHeight="1" x14ac:dyDescent="0.15">
      <c r="A103"/>
      <c r="B103"/>
      <c r="C103"/>
      <c r="D103"/>
      <c r="E103"/>
      <c r="F103"/>
      <c r="G103"/>
      <c r="H103"/>
      <c r="I103"/>
      <c r="J103"/>
    </row>
    <row r="104" spans="1:10" ht="15" customHeight="1" x14ac:dyDescent="0.15">
      <c r="A104"/>
      <c r="B104"/>
      <c r="C104"/>
      <c r="D104"/>
      <c r="E104"/>
      <c r="F104"/>
      <c r="G104"/>
      <c r="H104"/>
      <c r="I104"/>
      <c r="J104"/>
    </row>
    <row r="105" spans="1:10" ht="15" customHeight="1" x14ac:dyDescent="0.15">
      <c r="A105"/>
      <c r="B105"/>
      <c r="C105"/>
      <c r="D105"/>
      <c r="E105"/>
      <c r="F105"/>
      <c r="G105"/>
      <c r="H105"/>
      <c r="I105"/>
      <c r="J105"/>
    </row>
    <row r="106" spans="1:10" ht="15" customHeight="1" x14ac:dyDescent="0.15">
      <c r="A106"/>
      <c r="B106"/>
      <c r="C106"/>
      <c r="D106"/>
      <c r="E106"/>
      <c r="F106"/>
      <c r="G106"/>
      <c r="H106"/>
      <c r="I106"/>
      <c r="J106"/>
    </row>
    <row r="107" spans="1:10" ht="15" customHeight="1" x14ac:dyDescent="0.15">
      <c r="A107"/>
      <c r="B107"/>
      <c r="C107"/>
      <c r="D107"/>
      <c r="E107"/>
      <c r="F107"/>
      <c r="G107"/>
      <c r="H107"/>
      <c r="I107"/>
      <c r="J107"/>
    </row>
    <row r="108" spans="1:10" ht="15" customHeight="1" x14ac:dyDescent="0.15">
      <c r="A108"/>
      <c r="B108"/>
      <c r="C108"/>
      <c r="D108"/>
      <c r="E108"/>
      <c r="F108"/>
      <c r="G108"/>
      <c r="H108"/>
      <c r="I108"/>
      <c r="J108"/>
    </row>
    <row r="109" spans="1:10" ht="15" customHeight="1" x14ac:dyDescent="0.15">
      <c r="A109"/>
      <c r="B109"/>
      <c r="C109"/>
      <c r="D109"/>
      <c r="E109"/>
      <c r="F109"/>
      <c r="G109"/>
      <c r="H109"/>
      <c r="I109"/>
      <c r="J109"/>
    </row>
    <row r="110" spans="1:10" ht="15" customHeight="1" x14ac:dyDescent="0.15">
      <c r="A110"/>
      <c r="B110"/>
      <c r="C110"/>
      <c r="D110"/>
      <c r="E110"/>
      <c r="F110"/>
      <c r="G110"/>
      <c r="H110"/>
      <c r="I110"/>
      <c r="J110"/>
    </row>
    <row r="111" spans="1:10" ht="15" customHeight="1" x14ac:dyDescent="0.15">
      <c r="A111"/>
      <c r="B111"/>
      <c r="C111"/>
      <c r="D111"/>
      <c r="E111"/>
      <c r="F111"/>
      <c r="G111"/>
      <c r="H111"/>
      <c r="I111"/>
      <c r="J111"/>
    </row>
    <row r="112" spans="1:10" ht="15" customHeight="1" x14ac:dyDescent="0.15">
      <c r="A112"/>
      <c r="B112"/>
      <c r="C112"/>
      <c r="D112"/>
      <c r="E112"/>
      <c r="F112"/>
      <c r="G112"/>
      <c r="H112"/>
      <c r="I112"/>
      <c r="J112"/>
    </row>
    <row r="113" spans="1:10" ht="15" customHeight="1" x14ac:dyDescent="0.15">
      <c r="A113"/>
      <c r="B113"/>
      <c r="C113"/>
      <c r="D113"/>
      <c r="E113"/>
      <c r="F113"/>
      <c r="G113"/>
      <c r="H113"/>
      <c r="I113"/>
      <c r="J113"/>
    </row>
    <row r="114" spans="1:10" ht="15" customHeight="1" x14ac:dyDescent="0.15">
      <c r="A114"/>
      <c r="B114"/>
      <c r="C114"/>
      <c r="D114"/>
      <c r="E114"/>
      <c r="F114"/>
      <c r="G114"/>
      <c r="H114"/>
      <c r="I114"/>
      <c r="J114"/>
    </row>
    <row r="115" spans="1:10" ht="15" customHeight="1" x14ac:dyDescent="0.15">
      <c r="A115"/>
      <c r="B115"/>
      <c r="C115"/>
      <c r="D115"/>
      <c r="E115"/>
      <c r="F115"/>
      <c r="G115"/>
      <c r="H115"/>
      <c r="I115"/>
      <c r="J115"/>
    </row>
    <row r="116" spans="1:10" ht="15" customHeight="1" x14ac:dyDescent="0.15">
      <c r="A116"/>
      <c r="B116"/>
      <c r="C116"/>
      <c r="D116"/>
      <c r="E116"/>
      <c r="F116"/>
      <c r="G116"/>
      <c r="H116"/>
      <c r="I116"/>
      <c r="J116"/>
    </row>
    <row r="117" spans="1:10" ht="15" customHeight="1" x14ac:dyDescent="0.15">
      <c r="A117"/>
      <c r="B117"/>
      <c r="C117"/>
      <c r="D117"/>
      <c r="E117"/>
      <c r="F117"/>
      <c r="G117"/>
      <c r="H117"/>
      <c r="I117"/>
      <c r="J117"/>
    </row>
    <row r="118" spans="1:10" ht="15" customHeight="1" x14ac:dyDescent="0.15">
      <c r="A118"/>
      <c r="B118"/>
      <c r="C118"/>
      <c r="D118"/>
      <c r="E118"/>
      <c r="F118"/>
      <c r="G118"/>
      <c r="H118"/>
      <c r="I118"/>
      <c r="J118"/>
    </row>
    <row r="119" spans="1:10" ht="15" customHeight="1" x14ac:dyDescent="0.15">
      <c r="A119"/>
      <c r="B119"/>
      <c r="C119"/>
      <c r="D119"/>
      <c r="E119"/>
      <c r="F119"/>
      <c r="G119"/>
      <c r="H119"/>
      <c r="I119"/>
      <c r="J119"/>
    </row>
    <row r="120" spans="1:10" ht="15" customHeight="1" x14ac:dyDescent="0.15">
      <c r="A120"/>
      <c r="B120"/>
      <c r="C120"/>
      <c r="D120"/>
      <c r="E120"/>
      <c r="F120"/>
      <c r="G120"/>
      <c r="H120"/>
      <c r="I120"/>
      <c r="J120"/>
    </row>
    <row r="121" spans="1:10" ht="15" customHeight="1" x14ac:dyDescent="0.15">
      <c r="A121"/>
      <c r="B121"/>
      <c r="C121"/>
      <c r="D121"/>
      <c r="E121"/>
      <c r="F121"/>
      <c r="G121"/>
      <c r="H121"/>
      <c r="I121"/>
      <c r="J121"/>
    </row>
    <row r="122" spans="1:10" ht="15" customHeight="1" x14ac:dyDescent="0.15">
      <c r="A122"/>
      <c r="B122"/>
      <c r="C122"/>
      <c r="D122"/>
      <c r="E122"/>
      <c r="F122"/>
      <c r="G122"/>
      <c r="H122"/>
      <c r="I122"/>
      <c r="J122"/>
    </row>
    <row r="123" spans="1:10" ht="15" customHeight="1" x14ac:dyDescent="0.15">
      <c r="A123"/>
      <c r="B123"/>
      <c r="C123"/>
      <c r="D123"/>
      <c r="E123"/>
      <c r="F123"/>
      <c r="G123"/>
      <c r="H123"/>
      <c r="I123"/>
      <c r="J123"/>
    </row>
    <row r="124" spans="1:10" ht="15" customHeight="1" x14ac:dyDescent="0.15">
      <c r="A124"/>
      <c r="B124"/>
      <c r="C124"/>
      <c r="D124"/>
      <c r="E124"/>
      <c r="F124"/>
      <c r="G124"/>
      <c r="H124"/>
      <c r="I124"/>
      <c r="J124"/>
    </row>
    <row r="125" spans="1:10" ht="15" customHeight="1" x14ac:dyDescent="0.15">
      <c r="A125"/>
      <c r="B125"/>
      <c r="C125"/>
      <c r="D125"/>
      <c r="E125"/>
      <c r="F125"/>
      <c r="G125"/>
      <c r="H125"/>
      <c r="I125"/>
      <c r="J125"/>
    </row>
    <row r="126" spans="1:10" ht="15" customHeight="1" x14ac:dyDescent="0.15">
      <c r="A126"/>
      <c r="B126"/>
      <c r="C126"/>
      <c r="D126"/>
      <c r="E126"/>
      <c r="F126"/>
      <c r="G126"/>
      <c r="H126"/>
      <c r="I126"/>
      <c r="J126"/>
    </row>
    <row r="127" spans="1:10" ht="15" customHeight="1" x14ac:dyDescent="0.15">
      <c r="A127"/>
      <c r="B127"/>
      <c r="C127"/>
      <c r="D127"/>
      <c r="E127"/>
      <c r="F127"/>
      <c r="G127"/>
      <c r="H127"/>
      <c r="I127"/>
      <c r="J127"/>
    </row>
    <row r="128" spans="1:10" ht="15" customHeight="1" x14ac:dyDescent="0.15">
      <c r="A128"/>
      <c r="B128"/>
      <c r="C128"/>
      <c r="D128"/>
      <c r="E128"/>
      <c r="F128"/>
      <c r="G128"/>
      <c r="H128"/>
      <c r="I128"/>
      <c r="J128"/>
    </row>
    <row r="129" spans="1:10" ht="15" customHeight="1" x14ac:dyDescent="0.15">
      <c r="A129"/>
      <c r="B129"/>
      <c r="C129"/>
      <c r="D129"/>
      <c r="E129"/>
      <c r="F129"/>
      <c r="G129"/>
      <c r="H129"/>
      <c r="I129"/>
      <c r="J129"/>
    </row>
    <row r="130" spans="1:10" ht="15" customHeight="1" x14ac:dyDescent="0.15">
      <c r="A130"/>
      <c r="B130"/>
      <c r="C130"/>
      <c r="D130"/>
      <c r="E130"/>
      <c r="F130"/>
      <c r="G130"/>
      <c r="H130"/>
      <c r="I130"/>
      <c r="J130"/>
    </row>
    <row r="131" spans="1:10" ht="15" customHeight="1" x14ac:dyDescent="0.15">
      <c r="A131"/>
      <c r="B131"/>
      <c r="C131"/>
      <c r="D131"/>
      <c r="E131"/>
      <c r="F131"/>
      <c r="G131"/>
      <c r="H131"/>
      <c r="I131"/>
      <c r="J131"/>
    </row>
    <row r="132" spans="1:10" ht="15" customHeight="1" x14ac:dyDescent="0.15">
      <c r="A132"/>
      <c r="B132"/>
      <c r="C132"/>
      <c r="D132"/>
      <c r="E132"/>
      <c r="F132"/>
      <c r="G132"/>
      <c r="H132"/>
      <c r="I132"/>
      <c r="J132"/>
    </row>
    <row r="133" spans="1:10" ht="15" customHeight="1" x14ac:dyDescent="0.15">
      <c r="A133"/>
      <c r="B133"/>
      <c r="C133"/>
      <c r="D133"/>
      <c r="E133"/>
      <c r="F133"/>
      <c r="G133"/>
      <c r="H133"/>
      <c r="I133"/>
      <c r="J133"/>
    </row>
    <row r="134" spans="1:10" ht="15" customHeight="1" x14ac:dyDescent="0.15">
      <c r="A134"/>
      <c r="B134"/>
      <c r="C134"/>
      <c r="D134"/>
      <c r="E134"/>
      <c r="F134"/>
      <c r="G134"/>
      <c r="H134"/>
      <c r="I134"/>
      <c r="J134"/>
    </row>
    <row r="135" spans="1:10" ht="15" customHeight="1" x14ac:dyDescent="0.15">
      <c r="A135"/>
      <c r="B135"/>
      <c r="C135"/>
      <c r="D135"/>
      <c r="E135"/>
      <c r="F135"/>
      <c r="G135"/>
      <c r="H135"/>
      <c r="I135"/>
      <c r="J135"/>
    </row>
    <row r="136" spans="1:10" ht="15" customHeight="1" x14ac:dyDescent="0.15">
      <c r="A136"/>
      <c r="B136"/>
      <c r="C136"/>
      <c r="D136"/>
      <c r="E136"/>
      <c r="F136"/>
      <c r="G136"/>
      <c r="H136"/>
      <c r="I136"/>
      <c r="J136"/>
    </row>
    <row r="137" spans="1:10" ht="15" customHeight="1" x14ac:dyDescent="0.15">
      <c r="A137"/>
      <c r="B137"/>
      <c r="C137"/>
      <c r="D137"/>
      <c r="E137"/>
      <c r="F137"/>
      <c r="G137"/>
      <c r="H137"/>
      <c r="I137"/>
      <c r="J137"/>
    </row>
    <row r="138" spans="1:10" ht="15" customHeight="1" x14ac:dyDescent="0.15">
      <c r="A138"/>
      <c r="B138"/>
      <c r="C138"/>
      <c r="D138"/>
      <c r="E138"/>
      <c r="F138"/>
      <c r="G138"/>
      <c r="H138"/>
      <c r="I138"/>
      <c r="J138"/>
    </row>
    <row r="139" spans="1:10" ht="15" customHeight="1" x14ac:dyDescent="0.15">
      <c r="A139"/>
      <c r="B139"/>
      <c r="C139"/>
      <c r="D139"/>
      <c r="E139"/>
      <c r="F139"/>
      <c r="G139"/>
      <c r="H139"/>
      <c r="I139"/>
      <c r="J139"/>
    </row>
    <row r="140" spans="1:10" ht="15" customHeight="1" x14ac:dyDescent="0.15">
      <c r="A140"/>
      <c r="B140"/>
      <c r="C140"/>
      <c r="D140"/>
      <c r="E140"/>
      <c r="F140"/>
      <c r="G140"/>
      <c r="H140"/>
      <c r="I140"/>
      <c r="J140"/>
    </row>
    <row r="141" spans="1:10" ht="15" customHeight="1" x14ac:dyDescent="0.15">
      <c r="A141"/>
      <c r="B141"/>
      <c r="C141"/>
      <c r="D141"/>
      <c r="E141"/>
      <c r="F141"/>
      <c r="G141"/>
      <c r="H141"/>
      <c r="I141"/>
      <c r="J141"/>
    </row>
    <row r="142" spans="1:10" ht="15" customHeight="1" x14ac:dyDescent="0.15">
      <c r="A142"/>
      <c r="B142"/>
      <c r="C142"/>
      <c r="D142"/>
      <c r="E142"/>
      <c r="F142"/>
      <c r="G142"/>
      <c r="H142"/>
      <c r="I142"/>
      <c r="J142"/>
    </row>
    <row r="143" spans="1:10" ht="15" customHeight="1" x14ac:dyDescent="0.15">
      <c r="A143"/>
      <c r="B143"/>
      <c r="C143"/>
      <c r="D143"/>
      <c r="E143"/>
      <c r="F143"/>
      <c r="G143"/>
      <c r="H143"/>
      <c r="I143"/>
      <c r="J143"/>
    </row>
    <row r="144" spans="1:10" ht="15" customHeight="1" x14ac:dyDescent="0.15">
      <c r="A144"/>
      <c r="B144"/>
      <c r="C144"/>
      <c r="D144"/>
      <c r="E144"/>
      <c r="F144"/>
      <c r="G144"/>
      <c r="H144"/>
      <c r="I144"/>
      <c r="J144"/>
    </row>
    <row r="145" spans="1:10" ht="15" customHeight="1" x14ac:dyDescent="0.15">
      <c r="A145"/>
      <c r="B145"/>
      <c r="C145"/>
      <c r="D145"/>
      <c r="E145"/>
      <c r="F145"/>
      <c r="G145"/>
      <c r="H145"/>
      <c r="I145"/>
      <c r="J145"/>
    </row>
    <row r="146" spans="1:10" ht="15" customHeight="1" x14ac:dyDescent="0.15">
      <c r="A146"/>
      <c r="B146"/>
      <c r="C146"/>
      <c r="D146"/>
      <c r="E146"/>
      <c r="F146"/>
      <c r="G146"/>
      <c r="H146"/>
      <c r="I146"/>
      <c r="J146"/>
    </row>
    <row r="147" spans="1:10" ht="15" customHeight="1" x14ac:dyDescent="0.15">
      <c r="A147"/>
      <c r="B147"/>
      <c r="C147"/>
      <c r="D147"/>
      <c r="E147"/>
      <c r="F147"/>
      <c r="G147"/>
      <c r="H147"/>
      <c r="I147"/>
      <c r="J147"/>
    </row>
    <row r="148" spans="1:10" ht="15" customHeight="1" x14ac:dyDescent="0.15">
      <c r="A148"/>
      <c r="B148"/>
      <c r="C148"/>
      <c r="D148"/>
      <c r="E148"/>
      <c r="F148"/>
      <c r="G148"/>
      <c r="H148"/>
      <c r="I148"/>
      <c r="J148"/>
    </row>
    <row r="149" spans="1:10" ht="15" customHeight="1" x14ac:dyDescent="0.15">
      <c r="A149"/>
      <c r="B149"/>
      <c r="C149"/>
      <c r="D149"/>
      <c r="E149"/>
      <c r="F149"/>
      <c r="G149"/>
      <c r="H149"/>
      <c r="I149"/>
      <c r="J149"/>
    </row>
    <row r="150" spans="1:10" ht="15" customHeight="1" x14ac:dyDescent="0.15">
      <c r="A150"/>
      <c r="B150"/>
      <c r="C150"/>
      <c r="D150"/>
      <c r="E150"/>
      <c r="F150"/>
      <c r="G150"/>
      <c r="H150"/>
      <c r="I150"/>
      <c r="J150"/>
    </row>
    <row r="151" spans="1:10" ht="15" customHeight="1" x14ac:dyDescent="0.15">
      <c r="A151"/>
      <c r="B151"/>
      <c r="C151"/>
      <c r="D151"/>
      <c r="E151"/>
      <c r="F151"/>
      <c r="G151"/>
      <c r="H151"/>
      <c r="I151"/>
      <c r="J151"/>
    </row>
    <row r="152" spans="1:10" ht="15" customHeight="1" x14ac:dyDescent="0.15">
      <c r="A152"/>
      <c r="B152"/>
      <c r="C152"/>
      <c r="D152"/>
      <c r="E152"/>
      <c r="F152"/>
      <c r="G152"/>
      <c r="H152"/>
      <c r="I152"/>
      <c r="J152"/>
    </row>
    <row r="153" spans="1:10" ht="15" customHeight="1" x14ac:dyDescent="0.15">
      <c r="A153"/>
      <c r="B153"/>
      <c r="C153"/>
      <c r="D153"/>
      <c r="E153"/>
      <c r="F153"/>
      <c r="G153"/>
      <c r="H153"/>
      <c r="I153"/>
      <c r="J153"/>
    </row>
    <row r="154" spans="1:10" ht="15" customHeight="1" x14ac:dyDescent="0.15">
      <c r="A154"/>
      <c r="B154"/>
      <c r="C154"/>
      <c r="D154"/>
      <c r="E154"/>
      <c r="F154"/>
      <c r="G154"/>
      <c r="H154"/>
      <c r="I154"/>
      <c r="J154"/>
    </row>
    <row r="155" spans="1:10" ht="15" customHeight="1" x14ac:dyDescent="0.15">
      <c r="A155"/>
      <c r="B155"/>
      <c r="C155"/>
      <c r="D155"/>
      <c r="E155"/>
      <c r="F155"/>
      <c r="G155"/>
      <c r="H155"/>
      <c r="I155"/>
      <c r="J155"/>
    </row>
    <row r="156" spans="1:10" ht="15" customHeight="1" x14ac:dyDescent="0.15">
      <c r="A156"/>
      <c r="B156"/>
      <c r="C156"/>
      <c r="D156"/>
      <c r="E156"/>
      <c r="F156"/>
      <c r="G156"/>
      <c r="H156"/>
      <c r="I156"/>
      <c r="J156"/>
    </row>
    <row r="157" spans="1:10" ht="15" customHeight="1" x14ac:dyDescent="0.15">
      <c r="A157"/>
      <c r="B157"/>
      <c r="C157"/>
      <c r="D157"/>
      <c r="E157"/>
      <c r="F157"/>
      <c r="G157"/>
      <c r="H157"/>
      <c r="I157"/>
      <c r="J157"/>
    </row>
    <row r="158" spans="1:10" ht="15" customHeight="1" x14ac:dyDescent="0.15">
      <c r="A158"/>
      <c r="B158"/>
      <c r="C158"/>
      <c r="D158"/>
      <c r="E158"/>
      <c r="F158"/>
      <c r="G158"/>
      <c r="H158"/>
      <c r="I158"/>
      <c r="J158"/>
    </row>
    <row r="159" spans="1:10" ht="15" customHeight="1" x14ac:dyDescent="0.15">
      <c r="A159"/>
      <c r="B159"/>
      <c r="C159"/>
      <c r="D159"/>
      <c r="E159"/>
      <c r="F159"/>
      <c r="G159"/>
      <c r="H159"/>
      <c r="I159"/>
      <c r="J159"/>
    </row>
    <row r="160" spans="1:10" ht="15" customHeight="1" x14ac:dyDescent="0.15">
      <c r="A160"/>
      <c r="B160"/>
      <c r="C160"/>
      <c r="D160"/>
      <c r="E160"/>
      <c r="F160"/>
      <c r="G160"/>
      <c r="H160"/>
      <c r="I160"/>
      <c r="J160"/>
    </row>
    <row r="161" spans="1:10" ht="15" customHeight="1" x14ac:dyDescent="0.15">
      <c r="A161"/>
      <c r="B161"/>
      <c r="C161"/>
      <c r="D161"/>
      <c r="E161"/>
      <c r="F161"/>
      <c r="G161"/>
      <c r="H161"/>
      <c r="I161"/>
      <c r="J161"/>
    </row>
    <row r="162" spans="1:10" ht="15" customHeight="1" x14ac:dyDescent="0.15">
      <c r="A162"/>
      <c r="B162"/>
      <c r="C162"/>
      <c r="D162"/>
      <c r="E162"/>
      <c r="F162"/>
      <c r="G162"/>
      <c r="H162"/>
      <c r="I162"/>
      <c r="J162"/>
    </row>
    <row r="163" spans="1:10" ht="15" customHeight="1" x14ac:dyDescent="0.15">
      <c r="A163"/>
      <c r="B163"/>
      <c r="C163"/>
      <c r="D163"/>
      <c r="E163"/>
      <c r="F163"/>
      <c r="G163"/>
      <c r="H163"/>
      <c r="I163"/>
      <c r="J163"/>
    </row>
    <row r="164" spans="1:10" ht="15" customHeight="1" x14ac:dyDescent="0.15">
      <c r="A164"/>
      <c r="B164"/>
      <c r="C164"/>
      <c r="D164"/>
      <c r="E164"/>
      <c r="F164"/>
      <c r="G164"/>
      <c r="H164"/>
      <c r="I164"/>
      <c r="J164"/>
    </row>
    <row r="165" spans="1:10" ht="15" customHeight="1" x14ac:dyDescent="0.15">
      <c r="A165"/>
      <c r="B165"/>
      <c r="C165"/>
      <c r="D165"/>
      <c r="E165"/>
      <c r="F165"/>
      <c r="G165"/>
      <c r="H165"/>
      <c r="I165"/>
      <c r="J165"/>
    </row>
    <row r="166" spans="1:10" ht="15" customHeight="1" x14ac:dyDescent="0.15">
      <c r="A166"/>
      <c r="B166"/>
      <c r="C166"/>
      <c r="D166"/>
      <c r="E166"/>
      <c r="F166"/>
      <c r="G166"/>
      <c r="H166"/>
      <c r="I166"/>
      <c r="J166"/>
    </row>
    <row r="167" spans="1:10" ht="15" customHeight="1" x14ac:dyDescent="0.15">
      <c r="A167"/>
      <c r="B167"/>
      <c r="C167"/>
      <c r="D167"/>
      <c r="E167"/>
      <c r="F167"/>
      <c r="G167"/>
      <c r="H167"/>
      <c r="I167"/>
      <c r="J167"/>
    </row>
    <row r="168" spans="1:10" ht="15" customHeight="1" x14ac:dyDescent="0.15">
      <c r="A168"/>
      <c r="B168"/>
      <c r="C168"/>
      <c r="D168"/>
      <c r="E168"/>
      <c r="F168"/>
      <c r="G168"/>
      <c r="H168"/>
      <c r="I168"/>
      <c r="J168"/>
    </row>
    <row r="169" spans="1:10" ht="15" customHeight="1" x14ac:dyDescent="0.15">
      <c r="A169"/>
      <c r="B169"/>
      <c r="C169"/>
      <c r="D169"/>
      <c r="E169"/>
      <c r="F169"/>
      <c r="G169"/>
      <c r="H169"/>
      <c r="I169"/>
      <c r="J169"/>
    </row>
    <row r="170" spans="1:10" ht="15" customHeight="1" x14ac:dyDescent="0.15">
      <c r="A170"/>
      <c r="B170"/>
      <c r="C170"/>
      <c r="D170"/>
      <c r="E170"/>
      <c r="F170"/>
      <c r="G170"/>
      <c r="H170"/>
      <c r="I170"/>
      <c r="J170"/>
    </row>
    <row r="171" spans="1:10" ht="15" customHeight="1" x14ac:dyDescent="0.15">
      <c r="A171"/>
      <c r="B171"/>
      <c r="C171"/>
      <c r="D171"/>
      <c r="E171"/>
      <c r="F171"/>
      <c r="G171"/>
      <c r="H171"/>
      <c r="I171"/>
      <c r="J171"/>
    </row>
    <row r="172" spans="1:10" ht="15" customHeight="1" x14ac:dyDescent="0.15">
      <c r="A172"/>
      <c r="B172"/>
      <c r="C172"/>
      <c r="D172"/>
      <c r="E172"/>
      <c r="F172"/>
      <c r="G172"/>
      <c r="H172"/>
      <c r="I172"/>
      <c r="J172"/>
    </row>
    <row r="173" spans="1:10" ht="15" customHeight="1" x14ac:dyDescent="0.15">
      <c r="A173"/>
      <c r="B173"/>
      <c r="C173"/>
      <c r="D173"/>
      <c r="E173"/>
      <c r="F173"/>
      <c r="G173"/>
      <c r="H173"/>
      <c r="I173"/>
      <c r="J173"/>
    </row>
    <row r="174" spans="1:10" ht="15" customHeight="1" x14ac:dyDescent="0.15">
      <c r="A174"/>
      <c r="B174"/>
      <c r="C174"/>
      <c r="D174"/>
      <c r="E174"/>
      <c r="F174"/>
      <c r="G174"/>
      <c r="H174"/>
      <c r="I174"/>
      <c r="J174"/>
    </row>
    <row r="175" spans="1:10" ht="15" customHeight="1" x14ac:dyDescent="0.15">
      <c r="A175"/>
      <c r="B175"/>
      <c r="C175"/>
      <c r="D175"/>
      <c r="E175"/>
      <c r="F175"/>
      <c r="G175"/>
      <c r="H175"/>
      <c r="I175"/>
      <c r="J175"/>
    </row>
    <row r="176" spans="1:10" ht="15" customHeight="1" x14ac:dyDescent="0.15">
      <c r="A176"/>
      <c r="B176"/>
      <c r="C176"/>
      <c r="D176"/>
      <c r="E176"/>
      <c r="F176"/>
      <c r="G176"/>
      <c r="H176"/>
      <c r="I176"/>
      <c r="J176"/>
    </row>
    <row r="177" spans="1:10" ht="15" customHeight="1" x14ac:dyDescent="0.15">
      <c r="A177"/>
      <c r="B177"/>
      <c r="C177"/>
      <c r="D177"/>
      <c r="E177"/>
      <c r="F177"/>
      <c r="G177"/>
      <c r="H177"/>
      <c r="I177"/>
      <c r="J177"/>
    </row>
    <row r="178" spans="1:10" ht="15" customHeight="1" x14ac:dyDescent="0.15">
      <c r="A178"/>
      <c r="B178"/>
      <c r="C178"/>
      <c r="D178"/>
      <c r="E178"/>
      <c r="F178"/>
      <c r="G178"/>
      <c r="H178"/>
      <c r="I178"/>
      <c r="J178"/>
    </row>
    <row r="179" spans="1:10" ht="15" customHeight="1" x14ac:dyDescent="0.15">
      <c r="A179"/>
      <c r="B179"/>
      <c r="C179"/>
      <c r="D179"/>
      <c r="E179"/>
      <c r="F179"/>
      <c r="G179"/>
      <c r="H179"/>
      <c r="I179"/>
      <c r="J179"/>
    </row>
    <row r="180" spans="1:10" ht="15" customHeight="1" x14ac:dyDescent="0.15">
      <c r="A180"/>
      <c r="B180"/>
      <c r="C180"/>
      <c r="D180"/>
      <c r="E180"/>
      <c r="F180"/>
      <c r="G180"/>
      <c r="H180"/>
      <c r="I180"/>
      <c r="J180"/>
    </row>
    <row r="181" spans="1:10" ht="15" customHeight="1" x14ac:dyDescent="0.15">
      <c r="A181"/>
      <c r="B181"/>
      <c r="C181"/>
      <c r="D181"/>
      <c r="E181"/>
      <c r="F181"/>
      <c r="G181"/>
      <c r="H181"/>
      <c r="I181"/>
      <c r="J181"/>
    </row>
    <row r="182" spans="1:10" ht="15" customHeight="1" x14ac:dyDescent="0.15">
      <c r="A182"/>
      <c r="B182"/>
      <c r="C182"/>
      <c r="D182"/>
      <c r="E182"/>
      <c r="F182"/>
      <c r="G182"/>
      <c r="H182"/>
      <c r="I182"/>
      <c r="J182"/>
    </row>
    <row r="183" spans="1:10" ht="15" customHeight="1" x14ac:dyDescent="0.15">
      <c r="A183"/>
      <c r="B183"/>
      <c r="C183"/>
      <c r="D183"/>
      <c r="E183"/>
      <c r="F183"/>
      <c r="G183"/>
      <c r="H183"/>
      <c r="I183"/>
      <c r="J183"/>
    </row>
    <row r="184" spans="1:10" ht="15" customHeight="1" x14ac:dyDescent="0.15">
      <c r="A184"/>
      <c r="B184"/>
      <c r="C184"/>
      <c r="D184"/>
      <c r="E184"/>
      <c r="F184"/>
      <c r="G184"/>
      <c r="H184"/>
      <c r="I184"/>
      <c r="J184"/>
    </row>
    <row r="185" spans="1:10" ht="15" customHeight="1" x14ac:dyDescent="0.15">
      <c r="A185"/>
      <c r="B185"/>
      <c r="C185"/>
      <c r="D185"/>
      <c r="E185"/>
      <c r="F185"/>
      <c r="G185"/>
      <c r="H185"/>
      <c r="I185"/>
      <c r="J185"/>
    </row>
    <row r="186" spans="1:10" ht="15" customHeight="1" x14ac:dyDescent="0.15">
      <c r="A186"/>
      <c r="B186"/>
      <c r="C186"/>
      <c r="D186"/>
      <c r="E186"/>
      <c r="F186"/>
      <c r="G186"/>
      <c r="H186"/>
      <c r="I186"/>
      <c r="J186"/>
    </row>
    <row r="187" spans="1:10" ht="15" customHeight="1" x14ac:dyDescent="0.15">
      <c r="A187"/>
      <c r="B187"/>
      <c r="C187"/>
      <c r="D187"/>
      <c r="E187"/>
      <c r="F187"/>
      <c r="G187"/>
      <c r="H187"/>
      <c r="I187"/>
      <c r="J187"/>
    </row>
    <row r="188" spans="1:10" ht="15" customHeight="1" x14ac:dyDescent="0.15">
      <c r="A188"/>
      <c r="B188"/>
      <c r="C188"/>
      <c r="D188"/>
      <c r="E188"/>
      <c r="F188"/>
      <c r="G188"/>
      <c r="H188"/>
      <c r="I188"/>
      <c r="J188"/>
    </row>
    <row r="189" spans="1:10" ht="15" customHeight="1" x14ac:dyDescent="0.15">
      <c r="A189"/>
      <c r="B189"/>
      <c r="C189"/>
      <c r="D189"/>
      <c r="E189"/>
      <c r="F189"/>
      <c r="G189"/>
      <c r="H189"/>
      <c r="I189"/>
      <c r="J189"/>
    </row>
    <row r="190" spans="1:10" ht="15" customHeight="1" x14ac:dyDescent="0.15">
      <c r="A190"/>
      <c r="B190"/>
      <c r="C190"/>
      <c r="D190"/>
      <c r="E190"/>
      <c r="F190"/>
      <c r="G190"/>
      <c r="H190"/>
      <c r="I190"/>
      <c r="J190"/>
    </row>
    <row r="191" spans="1:10" ht="15" customHeight="1" x14ac:dyDescent="0.15">
      <c r="A191"/>
      <c r="B191"/>
      <c r="C191"/>
      <c r="D191"/>
      <c r="E191"/>
      <c r="F191"/>
      <c r="G191"/>
      <c r="H191"/>
      <c r="I191"/>
      <c r="J191"/>
    </row>
    <row r="192" spans="1:10" ht="15" customHeight="1" x14ac:dyDescent="0.15">
      <c r="A192"/>
      <c r="B192"/>
      <c r="C192"/>
      <c r="D192"/>
      <c r="E192"/>
      <c r="F192"/>
      <c r="G192"/>
      <c r="H192"/>
      <c r="I192"/>
      <c r="J192"/>
    </row>
    <row r="193" spans="1:10" ht="15" customHeight="1" x14ac:dyDescent="0.15">
      <c r="A193"/>
      <c r="B193"/>
      <c r="C193"/>
      <c r="D193"/>
      <c r="E193"/>
      <c r="F193"/>
      <c r="G193"/>
      <c r="H193"/>
      <c r="I193"/>
      <c r="J193"/>
    </row>
    <row r="194" spans="1:10" ht="15" customHeight="1" x14ac:dyDescent="0.15">
      <c r="A194"/>
      <c r="B194"/>
      <c r="C194"/>
      <c r="D194"/>
      <c r="E194"/>
      <c r="F194"/>
      <c r="G194"/>
      <c r="H194"/>
      <c r="I194"/>
      <c r="J194"/>
    </row>
    <row r="195" spans="1:10" ht="15" customHeight="1" x14ac:dyDescent="0.15">
      <c r="A195"/>
      <c r="B195"/>
      <c r="C195"/>
      <c r="D195"/>
      <c r="E195"/>
      <c r="F195"/>
      <c r="G195"/>
      <c r="H195"/>
      <c r="I195"/>
      <c r="J195"/>
    </row>
    <row r="196" spans="1:10" ht="15" customHeight="1" x14ac:dyDescent="0.15">
      <c r="A196"/>
      <c r="B196"/>
      <c r="C196"/>
      <c r="D196"/>
      <c r="E196"/>
      <c r="F196"/>
      <c r="G196"/>
      <c r="H196"/>
      <c r="I196"/>
      <c r="J196"/>
    </row>
    <row r="197" spans="1:10" ht="15" customHeight="1" x14ac:dyDescent="0.15">
      <c r="A197"/>
      <c r="B197"/>
      <c r="C197"/>
      <c r="D197"/>
      <c r="E197"/>
      <c r="F197"/>
      <c r="G197"/>
      <c r="H197"/>
      <c r="I197"/>
      <c r="J197"/>
    </row>
    <row r="198" spans="1:10" ht="15" customHeight="1" x14ac:dyDescent="0.15">
      <c r="A198"/>
      <c r="B198"/>
      <c r="C198"/>
      <c r="D198"/>
      <c r="E198"/>
      <c r="F198"/>
      <c r="G198"/>
      <c r="H198"/>
      <c r="I198"/>
      <c r="J198"/>
    </row>
    <row r="199" spans="1:10" ht="15" customHeight="1" x14ac:dyDescent="0.15">
      <c r="A199"/>
      <c r="B199"/>
      <c r="C199"/>
      <c r="D199"/>
      <c r="E199"/>
      <c r="F199"/>
      <c r="G199"/>
      <c r="H199"/>
      <c r="I199"/>
      <c r="J199"/>
    </row>
    <row r="200" spans="1:10" ht="15" customHeight="1" x14ac:dyDescent="0.15">
      <c r="A200"/>
      <c r="B200"/>
      <c r="C200"/>
      <c r="D200"/>
      <c r="E200"/>
      <c r="F200"/>
      <c r="G200"/>
      <c r="H200"/>
      <c r="I200"/>
      <c r="J200"/>
    </row>
    <row r="201" spans="1:10" ht="15" customHeight="1" x14ac:dyDescent="0.15">
      <c r="A201"/>
      <c r="B201"/>
      <c r="C201"/>
      <c r="D201"/>
      <c r="E201"/>
      <c r="F201"/>
      <c r="G201"/>
      <c r="H201"/>
      <c r="I201"/>
      <c r="J201"/>
    </row>
    <row r="202" spans="1:10" ht="15" customHeight="1" x14ac:dyDescent="0.15">
      <c r="A202"/>
      <c r="B202"/>
      <c r="C202"/>
      <c r="D202"/>
      <c r="E202"/>
      <c r="F202"/>
      <c r="G202"/>
      <c r="H202"/>
      <c r="I202"/>
      <c r="J202"/>
    </row>
    <row r="203" spans="1:10" ht="15" customHeight="1" x14ac:dyDescent="0.15">
      <c r="A203"/>
      <c r="B203"/>
      <c r="C203"/>
      <c r="D203"/>
      <c r="E203"/>
      <c r="F203"/>
      <c r="G203"/>
      <c r="H203"/>
      <c r="I203"/>
      <c r="J203"/>
    </row>
    <row r="204" spans="1:10" ht="15" customHeight="1" x14ac:dyDescent="0.15">
      <c r="A204"/>
      <c r="B204"/>
      <c r="C204"/>
      <c r="D204"/>
      <c r="E204"/>
      <c r="F204"/>
      <c r="G204"/>
      <c r="H204"/>
      <c r="I204"/>
      <c r="J204"/>
    </row>
    <row r="205" spans="1:10" ht="15" customHeight="1" x14ac:dyDescent="0.15">
      <c r="A205"/>
      <c r="B205"/>
      <c r="C205"/>
      <c r="D205"/>
      <c r="E205"/>
      <c r="F205"/>
      <c r="G205"/>
      <c r="H205"/>
      <c r="I205"/>
      <c r="J205"/>
    </row>
    <row r="206" spans="1:10" ht="15" customHeight="1" x14ac:dyDescent="0.15">
      <c r="A206"/>
      <c r="B206"/>
      <c r="C206"/>
      <c r="D206"/>
      <c r="E206"/>
      <c r="F206"/>
      <c r="G206"/>
      <c r="H206"/>
      <c r="I206"/>
      <c r="J206"/>
    </row>
    <row r="207" spans="1:10" ht="15" customHeight="1" x14ac:dyDescent="0.15">
      <c r="A207"/>
      <c r="B207"/>
      <c r="C207"/>
      <c r="D207"/>
      <c r="E207"/>
      <c r="F207"/>
      <c r="G207"/>
      <c r="H207"/>
      <c r="I207"/>
      <c r="J207"/>
    </row>
    <row r="208" spans="1:10" ht="15" customHeight="1" x14ac:dyDescent="0.15">
      <c r="A208"/>
      <c r="B208"/>
      <c r="C208"/>
      <c r="D208"/>
      <c r="E208"/>
      <c r="F208"/>
      <c r="G208"/>
      <c r="H208"/>
      <c r="I208"/>
      <c r="J208"/>
    </row>
    <row r="209" spans="1:10" ht="15" customHeight="1" x14ac:dyDescent="0.15">
      <c r="A209"/>
      <c r="B209"/>
      <c r="C209"/>
      <c r="D209"/>
      <c r="E209"/>
      <c r="F209"/>
      <c r="G209"/>
      <c r="H209"/>
      <c r="I209"/>
      <c r="J209"/>
    </row>
    <row r="210" spans="1:10" ht="15" customHeight="1" x14ac:dyDescent="0.15">
      <c r="A210"/>
      <c r="B210"/>
      <c r="C210"/>
      <c r="D210"/>
      <c r="E210"/>
      <c r="F210"/>
      <c r="G210"/>
      <c r="H210"/>
      <c r="I210"/>
      <c r="J210"/>
    </row>
    <row r="211" spans="1:10" ht="15" customHeight="1" x14ac:dyDescent="0.15">
      <c r="A211"/>
      <c r="B211"/>
      <c r="C211"/>
      <c r="D211"/>
      <c r="E211"/>
      <c r="F211"/>
      <c r="G211"/>
      <c r="H211"/>
      <c r="I211"/>
      <c r="J211"/>
    </row>
    <row r="212" spans="1:10" ht="15" customHeight="1" x14ac:dyDescent="0.15">
      <c r="A212"/>
      <c r="B212"/>
      <c r="C212"/>
      <c r="D212"/>
      <c r="E212"/>
      <c r="F212"/>
      <c r="G212"/>
      <c r="H212"/>
      <c r="I212"/>
      <c r="J212"/>
    </row>
    <row r="213" spans="1:10" ht="15" customHeight="1" x14ac:dyDescent="0.15">
      <c r="A213"/>
      <c r="B213"/>
      <c r="C213"/>
      <c r="D213"/>
      <c r="E213"/>
      <c r="F213"/>
      <c r="G213"/>
      <c r="H213"/>
      <c r="I213"/>
      <c r="J213"/>
    </row>
    <row r="214" spans="1:10" ht="15" customHeight="1" x14ac:dyDescent="0.15">
      <c r="A214"/>
      <c r="B214"/>
      <c r="C214"/>
      <c r="D214"/>
      <c r="E214"/>
      <c r="F214"/>
      <c r="G214"/>
      <c r="H214"/>
      <c r="I214"/>
      <c r="J214"/>
    </row>
    <row r="215" spans="1:10" ht="15" customHeight="1" x14ac:dyDescent="0.15">
      <c r="A215"/>
      <c r="B215"/>
      <c r="C215"/>
      <c r="D215"/>
      <c r="E215"/>
      <c r="F215"/>
      <c r="G215"/>
      <c r="H215"/>
      <c r="I215"/>
      <c r="J215"/>
    </row>
    <row r="216" spans="1:10" ht="15" customHeight="1" x14ac:dyDescent="0.15">
      <c r="A216"/>
      <c r="B216"/>
      <c r="C216"/>
      <c r="D216"/>
      <c r="E216"/>
      <c r="F216"/>
      <c r="G216"/>
      <c r="H216"/>
      <c r="I216"/>
      <c r="J216"/>
    </row>
    <row r="217" spans="1:10" ht="15" customHeight="1" x14ac:dyDescent="0.15">
      <c r="A217"/>
      <c r="B217"/>
      <c r="C217"/>
      <c r="D217"/>
      <c r="E217"/>
      <c r="F217"/>
      <c r="G217"/>
      <c r="H217"/>
      <c r="I217"/>
      <c r="J217"/>
    </row>
    <row r="218" spans="1:10" ht="15" customHeight="1" x14ac:dyDescent="0.15">
      <c r="A218"/>
      <c r="B218"/>
      <c r="C218"/>
      <c r="D218"/>
      <c r="E218"/>
      <c r="F218"/>
      <c r="G218"/>
      <c r="H218"/>
      <c r="I218"/>
      <c r="J218"/>
    </row>
    <row r="219" spans="1:10" ht="15" customHeight="1" x14ac:dyDescent="0.15">
      <c r="A219"/>
      <c r="B219"/>
      <c r="C219"/>
      <c r="D219"/>
      <c r="E219"/>
      <c r="F219"/>
      <c r="G219"/>
      <c r="H219"/>
      <c r="I219"/>
      <c r="J219"/>
    </row>
    <row r="220" spans="1:10" ht="15" customHeight="1" x14ac:dyDescent="0.15">
      <c r="A220"/>
      <c r="B220"/>
      <c r="C220"/>
      <c r="D220"/>
      <c r="E220"/>
      <c r="F220"/>
      <c r="G220"/>
      <c r="H220"/>
      <c r="I220"/>
      <c r="J220"/>
    </row>
    <row r="221" spans="1:10" ht="15" customHeight="1" x14ac:dyDescent="0.15">
      <c r="A221"/>
      <c r="B221"/>
      <c r="C221"/>
      <c r="D221"/>
      <c r="E221"/>
      <c r="F221"/>
      <c r="G221"/>
      <c r="H221"/>
      <c r="I221"/>
      <c r="J221"/>
    </row>
    <row r="222" spans="1:10" ht="15" customHeight="1" x14ac:dyDescent="0.15">
      <c r="A222"/>
      <c r="B222"/>
      <c r="C222"/>
      <c r="D222"/>
      <c r="E222"/>
      <c r="F222"/>
      <c r="G222"/>
      <c r="H222"/>
      <c r="I222"/>
      <c r="J222"/>
    </row>
    <row r="223" spans="1:10" ht="15" customHeight="1" x14ac:dyDescent="0.15">
      <c r="A223"/>
      <c r="B223"/>
      <c r="C223"/>
      <c r="D223"/>
      <c r="E223"/>
      <c r="F223"/>
      <c r="G223"/>
      <c r="H223"/>
      <c r="I223"/>
      <c r="J223"/>
    </row>
    <row r="224" spans="1:10" ht="15" customHeight="1" x14ac:dyDescent="0.15">
      <c r="A224"/>
      <c r="B224"/>
      <c r="C224"/>
      <c r="D224"/>
      <c r="E224"/>
      <c r="F224"/>
      <c r="G224"/>
      <c r="H224"/>
      <c r="I224"/>
      <c r="J224"/>
    </row>
    <row r="225" spans="1:10" ht="15" customHeight="1" x14ac:dyDescent="0.15">
      <c r="A225"/>
      <c r="B225"/>
      <c r="C225"/>
      <c r="D225"/>
      <c r="E225"/>
      <c r="F225"/>
      <c r="G225"/>
      <c r="H225"/>
      <c r="I225"/>
      <c r="J225"/>
    </row>
    <row r="226" spans="1:10" ht="15" customHeight="1" x14ac:dyDescent="0.15">
      <c r="A226"/>
      <c r="B226"/>
      <c r="C226"/>
      <c r="D226"/>
      <c r="E226"/>
      <c r="F226"/>
      <c r="G226"/>
      <c r="H226"/>
      <c r="I226"/>
      <c r="J226"/>
    </row>
    <row r="227" spans="1:10" ht="15" customHeight="1" x14ac:dyDescent="0.15">
      <c r="A227"/>
      <c r="B227"/>
      <c r="C227"/>
      <c r="D227"/>
      <c r="E227"/>
      <c r="F227"/>
      <c r="G227"/>
      <c r="H227"/>
      <c r="I227"/>
      <c r="J227"/>
    </row>
    <row r="228" spans="1:10" ht="15" customHeight="1" x14ac:dyDescent="0.15">
      <c r="A228"/>
      <c r="B228"/>
      <c r="C228"/>
      <c r="D228"/>
      <c r="E228"/>
      <c r="F228"/>
      <c r="G228"/>
      <c r="H228"/>
      <c r="I228"/>
      <c r="J228"/>
    </row>
    <row r="229" spans="1:10" ht="15" customHeight="1" x14ac:dyDescent="0.15">
      <c r="A229"/>
      <c r="B229"/>
      <c r="C229"/>
      <c r="D229"/>
      <c r="E229"/>
      <c r="F229"/>
      <c r="G229"/>
      <c r="H229"/>
      <c r="I229"/>
      <c r="J229"/>
    </row>
    <row r="230" spans="1:10" ht="15" customHeight="1" x14ac:dyDescent="0.15">
      <c r="A230"/>
      <c r="B230"/>
      <c r="C230"/>
      <c r="D230"/>
      <c r="E230"/>
      <c r="F230"/>
      <c r="G230"/>
      <c r="H230"/>
      <c r="I230"/>
      <c r="J230"/>
    </row>
    <row r="231" spans="1:10" ht="15" customHeight="1" x14ac:dyDescent="0.15">
      <c r="A231"/>
      <c r="B231"/>
      <c r="C231"/>
      <c r="D231"/>
      <c r="E231"/>
      <c r="F231"/>
      <c r="G231"/>
      <c r="H231"/>
      <c r="I231"/>
      <c r="J231"/>
    </row>
    <row r="232" spans="1:10" ht="15" customHeight="1" x14ac:dyDescent="0.15">
      <c r="A232"/>
      <c r="B232"/>
      <c r="C232"/>
      <c r="D232"/>
      <c r="E232"/>
      <c r="F232"/>
      <c r="G232"/>
      <c r="H232"/>
      <c r="I232"/>
      <c r="J232"/>
    </row>
    <row r="233" spans="1:10" ht="15" customHeight="1" x14ac:dyDescent="0.15">
      <c r="A233"/>
      <c r="B233"/>
      <c r="C233"/>
      <c r="D233"/>
      <c r="E233"/>
      <c r="F233"/>
      <c r="G233"/>
      <c r="H233"/>
      <c r="I233"/>
      <c r="J233"/>
    </row>
    <row r="234" spans="1:10" ht="15" customHeight="1" x14ac:dyDescent="0.15">
      <c r="A234"/>
      <c r="B234"/>
      <c r="C234"/>
      <c r="D234"/>
      <c r="E234"/>
      <c r="F234"/>
      <c r="G234"/>
      <c r="H234"/>
      <c r="I234"/>
      <c r="J234"/>
    </row>
    <row r="235" spans="1:10" ht="15" customHeight="1" x14ac:dyDescent="0.15">
      <c r="A235"/>
      <c r="B235"/>
      <c r="C235"/>
      <c r="D235"/>
      <c r="E235"/>
      <c r="F235"/>
      <c r="G235"/>
      <c r="H235"/>
      <c r="I235"/>
      <c r="J235"/>
    </row>
    <row r="236" spans="1:10" ht="15" customHeight="1" x14ac:dyDescent="0.15">
      <c r="A236"/>
      <c r="B236"/>
      <c r="C236"/>
      <c r="D236"/>
      <c r="E236"/>
      <c r="F236"/>
      <c r="G236"/>
      <c r="H236"/>
      <c r="I236"/>
      <c r="J236"/>
    </row>
    <row r="237" spans="1:10" ht="15" customHeight="1" x14ac:dyDescent="0.15">
      <c r="A237"/>
      <c r="B237"/>
      <c r="C237"/>
      <c r="D237"/>
      <c r="E237"/>
      <c r="F237"/>
      <c r="G237"/>
      <c r="H237"/>
      <c r="I237"/>
      <c r="J237"/>
    </row>
    <row r="238" spans="1:10" ht="15" customHeight="1" x14ac:dyDescent="0.15">
      <c r="A238"/>
      <c r="B238"/>
      <c r="C238"/>
      <c r="D238"/>
      <c r="E238"/>
      <c r="F238"/>
      <c r="G238"/>
      <c r="H238"/>
      <c r="I238"/>
      <c r="J238"/>
    </row>
    <row r="239" spans="1:10" ht="15" customHeight="1" x14ac:dyDescent="0.15">
      <c r="A239"/>
      <c r="B239"/>
      <c r="C239"/>
      <c r="D239"/>
      <c r="E239"/>
      <c r="F239"/>
      <c r="G239"/>
      <c r="H239"/>
      <c r="I239"/>
      <c r="J239"/>
    </row>
    <row r="240" spans="1:10" ht="15" customHeight="1" x14ac:dyDescent="0.15">
      <c r="A240"/>
      <c r="B240"/>
      <c r="C240"/>
      <c r="D240"/>
      <c r="E240"/>
      <c r="F240"/>
      <c r="G240"/>
      <c r="H240"/>
      <c r="I240"/>
      <c r="J240"/>
    </row>
    <row r="241" spans="1:10" ht="15" customHeight="1" x14ac:dyDescent="0.15">
      <c r="A241"/>
      <c r="B241"/>
      <c r="C241"/>
      <c r="D241"/>
      <c r="E241"/>
      <c r="F241"/>
      <c r="G241"/>
      <c r="H241"/>
      <c r="I241"/>
      <c r="J241"/>
    </row>
    <row r="242" spans="1:10" ht="15" customHeight="1" x14ac:dyDescent="0.15">
      <c r="A242"/>
      <c r="B242"/>
      <c r="C242"/>
      <c r="D242"/>
      <c r="E242"/>
      <c r="F242"/>
      <c r="G242"/>
      <c r="H242"/>
      <c r="I242"/>
      <c r="J242"/>
    </row>
    <row r="243" spans="1:10" ht="15" customHeight="1" x14ac:dyDescent="0.15">
      <c r="A243"/>
      <c r="B243"/>
      <c r="C243"/>
      <c r="D243"/>
      <c r="E243"/>
      <c r="F243"/>
      <c r="G243"/>
      <c r="H243"/>
      <c r="I243"/>
      <c r="J243"/>
    </row>
    <row r="244" spans="1:10" ht="15" customHeight="1" x14ac:dyDescent="0.15">
      <c r="A244"/>
      <c r="B244"/>
      <c r="C244"/>
      <c r="D244"/>
      <c r="E244"/>
      <c r="F244"/>
      <c r="G244"/>
      <c r="H244"/>
      <c r="I244"/>
      <c r="J244"/>
    </row>
    <row r="245" spans="1:10" ht="15" customHeight="1" x14ac:dyDescent="0.15">
      <c r="A245"/>
      <c r="B245"/>
      <c r="C245"/>
      <c r="D245"/>
      <c r="E245"/>
      <c r="F245"/>
      <c r="G245"/>
      <c r="H245"/>
      <c r="I245"/>
      <c r="J245"/>
    </row>
    <row r="246" spans="1:10" ht="15" customHeight="1" x14ac:dyDescent="0.15">
      <c r="A246"/>
      <c r="B246"/>
      <c r="C246"/>
      <c r="D246"/>
      <c r="E246"/>
      <c r="F246"/>
      <c r="G246"/>
      <c r="H246"/>
      <c r="I246"/>
      <c r="J246"/>
    </row>
    <row r="247" spans="1:10" ht="15" customHeight="1" x14ac:dyDescent="0.15">
      <c r="A247"/>
      <c r="B247"/>
      <c r="C247"/>
      <c r="D247"/>
      <c r="E247"/>
      <c r="F247"/>
      <c r="G247"/>
      <c r="H247"/>
      <c r="I247"/>
      <c r="J247"/>
    </row>
    <row r="248" spans="1:10" ht="15" customHeight="1" x14ac:dyDescent="0.15">
      <c r="A248"/>
      <c r="B248"/>
      <c r="C248"/>
      <c r="D248"/>
      <c r="E248"/>
      <c r="F248"/>
      <c r="G248"/>
      <c r="H248"/>
      <c r="I248"/>
      <c r="J248"/>
    </row>
    <row r="249" spans="1:10" ht="15" customHeight="1" x14ac:dyDescent="0.15">
      <c r="A249"/>
      <c r="B249"/>
      <c r="C249"/>
      <c r="D249"/>
      <c r="E249"/>
      <c r="F249"/>
      <c r="G249"/>
      <c r="H249"/>
      <c r="I249"/>
      <c r="J249"/>
    </row>
    <row r="250" spans="1:10" ht="15" customHeight="1" x14ac:dyDescent="0.15">
      <c r="A250"/>
      <c r="B250"/>
      <c r="C250"/>
      <c r="D250"/>
      <c r="E250"/>
      <c r="F250"/>
      <c r="G250"/>
      <c r="H250"/>
      <c r="I250"/>
      <c r="J250"/>
    </row>
    <row r="251" spans="1:10" ht="15" customHeight="1" x14ac:dyDescent="0.15">
      <c r="A251"/>
      <c r="B251"/>
      <c r="C251"/>
      <c r="D251"/>
      <c r="E251"/>
      <c r="F251"/>
      <c r="G251"/>
      <c r="H251"/>
      <c r="I251"/>
      <c r="J251"/>
    </row>
    <row r="252" spans="1:10" ht="15" customHeight="1" x14ac:dyDescent="0.15">
      <c r="A252"/>
      <c r="B252"/>
      <c r="C252"/>
      <c r="D252"/>
      <c r="E252"/>
      <c r="F252"/>
      <c r="G252"/>
      <c r="H252"/>
      <c r="I252"/>
      <c r="J252"/>
    </row>
    <row r="253" spans="1:10" ht="15" customHeight="1" x14ac:dyDescent="0.15">
      <c r="A253"/>
      <c r="B253"/>
      <c r="C253"/>
      <c r="D253"/>
      <c r="E253"/>
      <c r="F253"/>
      <c r="G253"/>
      <c r="H253"/>
      <c r="I253"/>
      <c r="J253"/>
    </row>
    <row r="254" spans="1:10" ht="15" customHeight="1" x14ac:dyDescent="0.15">
      <c r="A254"/>
      <c r="B254"/>
      <c r="C254"/>
      <c r="D254"/>
      <c r="E254"/>
      <c r="F254"/>
      <c r="G254"/>
      <c r="H254"/>
      <c r="I254"/>
      <c r="J254"/>
    </row>
    <row r="255" spans="1:10" ht="15" customHeight="1" x14ac:dyDescent="0.15">
      <c r="A255"/>
      <c r="B255"/>
      <c r="C255"/>
      <c r="D255"/>
      <c r="E255"/>
      <c r="F255"/>
      <c r="G255"/>
      <c r="H255"/>
      <c r="I255"/>
      <c r="J255"/>
    </row>
    <row r="256" spans="1:10" ht="15" customHeight="1" x14ac:dyDescent="0.15">
      <c r="A256"/>
      <c r="B256"/>
      <c r="C256"/>
      <c r="D256"/>
      <c r="E256"/>
      <c r="F256"/>
      <c r="G256"/>
      <c r="H256"/>
      <c r="I256"/>
      <c r="J256"/>
    </row>
    <row r="257" spans="1:10" ht="15" customHeight="1" x14ac:dyDescent="0.15">
      <c r="A257"/>
      <c r="B257"/>
      <c r="C257"/>
      <c r="D257"/>
      <c r="E257"/>
      <c r="F257"/>
      <c r="G257"/>
      <c r="H257"/>
      <c r="I257"/>
      <c r="J257"/>
    </row>
    <row r="258" spans="1:10" ht="15" customHeight="1" x14ac:dyDescent="0.15">
      <c r="A258"/>
      <c r="B258"/>
      <c r="C258"/>
      <c r="D258"/>
      <c r="E258"/>
      <c r="F258"/>
      <c r="G258"/>
      <c r="H258"/>
      <c r="I258"/>
      <c r="J258"/>
    </row>
    <row r="259" spans="1:10" ht="15" customHeight="1" x14ac:dyDescent="0.15">
      <c r="A259"/>
      <c r="B259"/>
      <c r="C259"/>
      <c r="D259"/>
      <c r="E259"/>
      <c r="F259"/>
      <c r="G259"/>
      <c r="H259"/>
      <c r="I259"/>
      <c r="J259"/>
    </row>
    <row r="260" spans="1:10" ht="15" customHeight="1" x14ac:dyDescent="0.15">
      <c r="A260"/>
      <c r="B260"/>
      <c r="C260"/>
      <c r="D260"/>
      <c r="E260"/>
      <c r="F260"/>
      <c r="G260"/>
      <c r="H260"/>
      <c r="I260"/>
      <c r="J260"/>
    </row>
    <row r="261" spans="1:10" ht="15" customHeight="1" x14ac:dyDescent="0.15">
      <c r="A261"/>
      <c r="B261"/>
      <c r="C261"/>
      <c r="D261"/>
      <c r="E261"/>
      <c r="F261"/>
      <c r="G261"/>
      <c r="H261"/>
      <c r="I261"/>
      <c r="J261"/>
    </row>
    <row r="262" spans="1:10" ht="15" customHeight="1" x14ac:dyDescent="0.15">
      <c r="A262"/>
      <c r="B262"/>
      <c r="C262"/>
      <c r="D262"/>
      <c r="E262"/>
      <c r="F262"/>
      <c r="G262"/>
      <c r="H262"/>
      <c r="I262"/>
      <c r="J262"/>
    </row>
    <row r="263" spans="1:10" ht="15" customHeight="1" x14ac:dyDescent="0.15">
      <c r="A263"/>
      <c r="B263"/>
      <c r="C263"/>
      <c r="D263"/>
      <c r="E263"/>
      <c r="F263"/>
      <c r="G263"/>
      <c r="H263"/>
      <c r="I263"/>
      <c r="J263"/>
    </row>
    <row r="264" spans="1:10" ht="15" customHeight="1" x14ac:dyDescent="0.15">
      <c r="A264"/>
      <c r="B264"/>
      <c r="C264"/>
      <c r="D264"/>
      <c r="E264"/>
      <c r="F264"/>
      <c r="G264"/>
      <c r="H264"/>
      <c r="I264"/>
      <c r="J264"/>
    </row>
    <row r="265" spans="1:10" ht="15" customHeight="1" x14ac:dyDescent="0.15">
      <c r="A265"/>
      <c r="B265"/>
      <c r="C265"/>
      <c r="D265"/>
      <c r="E265"/>
      <c r="F265"/>
      <c r="G265"/>
      <c r="H265"/>
      <c r="I265"/>
      <c r="J265"/>
    </row>
    <row r="266" spans="1:10" ht="15" customHeight="1" x14ac:dyDescent="0.15">
      <c r="A266"/>
      <c r="B266"/>
      <c r="C266"/>
      <c r="D266"/>
      <c r="E266"/>
      <c r="F266"/>
      <c r="G266"/>
      <c r="H266"/>
      <c r="I266"/>
      <c r="J266"/>
    </row>
    <row r="267" spans="1:10" ht="15" customHeight="1" x14ac:dyDescent="0.15">
      <c r="A267"/>
      <c r="B267"/>
      <c r="C267"/>
      <c r="D267"/>
      <c r="E267"/>
      <c r="F267"/>
      <c r="G267"/>
      <c r="H267"/>
      <c r="I267"/>
      <c r="J267"/>
    </row>
    <row r="268" spans="1:10" ht="15" customHeight="1" x14ac:dyDescent="0.15">
      <c r="A268"/>
      <c r="B268"/>
      <c r="C268"/>
      <c r="D268"/>
      <c r="E268"/>
      <c r="F268"/>
      <c r="G268"/>
      <c r="H268"/>
      <c r="I268"/>
      <c r="J268"/>
    </row>
    <row r="269" spans="1:10" ht="15" customHeight="1" x14ac:dyDescent="0.15">
      <c r="A269"/>
      <c r="B269"/>
      <c r="C269"/>
      <c r="D269"/>
      <c r="E269"/>
      <c r="F269"/>
      <c r="G269"/>
      <c r="H269"/>
      <c r="I269"/>
      <c r="J269"/>
    </row>
    <row r="270" spans="1:10" ht="15" customHeight="1" x14ac:dyDescent="0.15">
      <c r="A270"/>
      <c r="B270"/>
      <c r="C270"/>
      <c r="D270"/>
      <c r="E270"/>
      <c r="F270"/>
      <c r="G270"/>
      <c r="H270"/>
      <c r="I270"/>
      <c r="J270"/>
    </row>
    <row r="271" spans="1:10" ht="15" customHeight="1" x14ac:dyDescent="0.15">
      <c r="A271"/>
      <c r="B271"/>
      <c r="C271"/>
      <c r="D271"/>
      <c r="E271"/>
      <c r="F271"/>
      <c r="G271"/>
      <c r="H271"/>
      <c r="I271"/>
      <c r="J271"/>
    </row>
    <row r="272" spans="1:10" ht="15" customHeight="1" x14ac:dyDescent="0.15">
      <c r="A272"/>
      <c r="B272"/>
      <c r="C272"/>
      <c r="D272"/>
      <c r="E272"/>
      <c r="F272"/>
      <c r="G272"/>
      <c r="H272"/>
      <c r="I272"/>
      <c r="J272"/>
    </row>
    <row r="273" spans="1:10" ht="15" customHeight="1" x14ac:dyDescent="0.15">
      <c r="A273"/>
      <c r="B273"/>
      <c r="C273"/>
      <c r="D273"/>
      <c r="E273"/>
      <c r="F273"/>
      <c r="G273"/>
      <c r="H273"/>
      <c r="I273"/>
      <c r="J273"/>
    </row>
    <row r="274" spans="1:10" ht="15" customHeight="1" x14ac:dyDescent="0.15">
      <c r="A274"/>
      <c r="B274"/>
      <c r="C274"/>
      <c r="D274"/>
      <c r="E274"/>
      <c r="F274"/>
      <c r="G274"/>
      <c r="H274"/>
      <c r="I274"/>
      <c r="J274"/>
    </row>
    <row r="275" spans="1:10" ht="15" customHeight="1" x14ac:dyDescent="0.15">
      <c r="A275"/>
      <c r="B275"/>
      <c r="C275"/>
      <c r="D275"/>
      <c r="E275"/>
      <c r="F275"/>
      <c r="G275"/>
      <c r="H275"/>
      <c r="I275"/>
      <c r="J275"/>
    </row>
    <row r="276" spans="1:10" ht="15" customHeight="1" x14ac:dyDescent="0.15">
      <c r="A276"/>
      <c r="B276"/>
      <c r="C276"/>
      <c r="D276"/>
      <c r="E276"/>
      <c r="F276"/>
      <c r="G276"/>
      <c r="H276"/>
      <c r="I276"/>
      <c r="J276"/>
    </row>
    <row r="277" spans="1:10" ht="15" customHeight="1" x14ac:dyDescent="0.15">
      <c r="A277"/>
      <c r="B277"/>
      <c r="C277"/>
      <c r="D277"/>
      <c r="E277"/>
      <c r="F277"/>
      <c r="G277"/>
      <c r="H277"/>
      <c r="I277"/>
      <c r="J277"/>
    </row>
    <row r="278" spans="1:10" ht="15" customHeight="1" x14ac:dyDescent="0.15">
      <c r="A278"/>
      <c r="B278"/>
      <c r="C278"/>
      <c r="D278"/>
      <c r="E278"/>
      <c r="F278"/>
      <c r="G278"/>
      <c r="H278"/>
      <c r="I278"/>
      <c r="J278"/>
    </row>
    <row r="279" spans="1:10" ht="15" customHeight="1" x14ac:dyDescent="0.15">
      <c r="A279"/>
      <c r="B279"/>
      <c r="C279"/>
      <c r="D279"/>
      <c r="E279"/>
      <c r="F279"/>
      <c r="G279"/>
      <c r="H279"/>
      <c r="I279"/>
      <c r="J279"/>
    </row>
    <row r="280" spans="1:10" ht="15" customHeight="1" x14ac:dyDescent="0.15">
      <c r="A280"/>
      <c r="B280"/>
      <c r="C280"/>
      <c r="D280"/>
      <c r="E280"/>
      <c r="F280"/>
      <c r="G280"/>
      <c r="H280"/>
      <c r="I280"/>
      <c r="J280"/>
    </row>
    <row r="281" spans="1:10" ht="15" customHeight="1" x14ac:dyDescent="0.15">
      <c r="A281"/>
      <c r="B281"/>
      <c r="C281"/>
      <c r="D281"/>
      <c r="E281"/>
      <c r="F281"/>
      <c r="G281"/>
      <c r="H281"/>
      <c r="I281"/>
      <c r="J281"/>
    </row>
    <row r="282" spans="1:10" ht="15" customHeight="1" x14ac:dyDescent="0.15">
      <c r="A282"/>
      <c r="B282"/>
      <c r="C282"/>
      <c r="D282"/>
      <c r="E282"/>
      <c r="F282"/>
      <c r="G282"/>
      <c r="H282"/>
      <c r="I282"/>
      <c r="J282"/>
    </row>
    <row r="283" spans="1:10" ht="15" customHeight="1" x14ac:dyDescent="0.15">
      <c r="A283"/>
      <c r="B283"/>
      <c r="C283"/>
      <c r="D283"/>
      <c r="E283"/>
      <c r="F283"/>
      <c r="G283"/>
      <c r="H283"/>
      <c r="I283"/>
      <c r="J283"/>
    </row>
    <row r="284" spans="1:10" ht="15" customHeight="1" x14ac:dyDescent="0.15">
      <c r="A284"/>
      <c r="B284"/>
      <c r="C284"/>
      <c r="D284"/>
      <c r="E284"/>
      <c r="F284"/>
      <c r="G284"/>
      <c r="H284"/>
      <c r="I284"/>
      <c r="J284"/>
    </row>
    <row r="285" spans="1:10" ht="15" customHeight="1" x14ac:dyDescent="0.15">
      <c r="A285"/>
      <c r="B285"/>
      <c r="C285"/>
      <c r="D285"/>
      <c r="E285"/>
      <c r="F285"/>
      <c r="G285"/>
      <c r="H285"/>
      <c r="I285"/>
      <c r="J285"/>
    </row>
    <row r="286" spans="1:10" ht="15" customHeight="1" x14ac:dyDescent="0.15">
      <c r="A286"/>
      <c r="B286"/>
      <c r="C286"/>
      <c r="D286"/>
      <c r="E286"/>
      <c r="F286"/>
      <c r="G286"/>
      <c r="H286"/>
      <c r="I286"/>
      <c r="J286"/>
    </row>
    <row r="287" spans="1:10" ht="15" customHeight="1" x14ac:dyDescent="0.15">
      <c r="A287"/>
      <c r="B287"/>
      <c r="C287"/>
      <c r="D287"/>
      <c r="E287"/>
      <c r="F287"/>
      <c r="G287"/>
      <c r="H287"/>
      <c r="I287"/>
      <c r="J287"/>
    </row>
    <row r="288" spans="1:10" ht="15" customHeight="1" x14ac:dyDescent="0.15">
      <c r="A288"/>
      <c r="B288"/>
      <c r="C288"/>
      <c r="D288"/>
      <c r="E288"/>
      <c r="F288"/>
      <c r="G288"/>
      <c r="H288"/>
      <c r="I288"/>
      <c r="J288"/>
    </row>
    <row r="289" spans="1:10" ht="15" customHeight="1" x14ac:dyDescent="0.15">
      <c r="A289"/>
      <c r="B289"/>
      <c r="C289"/>
      <c r="D289"/>
      <c r="E289"/>
      <c r="F289"/>
      <c r="G289"/>
      <c r="H289"/>
      <c r="I289"/>
      <c r="J289"/>
    </row>
    <row r="290" spans="1:10" ht="15" customHeight="1" x14ac:dyDescent="0.15">
      <c r="A290"/>
      <c r="B290"/>
      <c r="C290"/>
      <c r="D290"/>
      <c r="E290"/>
      <c r="F290"/>
      <c r="G290"/>
      <c r="H290"/>
      <c r="I290"/>
      <c r="J290"/>
    </row>
    <row r="291" spans="1:10" ht="15" customHeight="1" x14ac:dyDescent="0.15">
      <c r="A291"/>
      <c r="B291"/>
      <c r="C291"/>
      <c r="D291"/>
      <c r="E291"/>
      <c r="F291"/>
      <c r="G291"/>
      <c r="H291"/>
      <c r="I291"/>
      <c r="J291"/>
    </row>
    <row r="292" spans="1:10" ht="15" customHeight="1" x14ac:dyDescent="0.15">
      <c r="A292"/>
      <c r="B292"/>
      <c r="C292"/>
      <c r="D292"/>
      <c r="E292"/>
      <c r="F292"/>
      <c r="G292"/>
      <c r="H292"/>
      <c r="I292"/>
      <c r="J292"/>
    </row>
    <row r="293" spans="1:10" ht="15" customHeight="1" x14ac:dyDescent="0.15">
      <c r="A293"/>
      <c r="B293"/>
      <c r="C293"/>
      <c r="D293"/>
      <c r="E293"/>
      <c r="F293"/>
      <c r="G293"/>
      <c r="H293"/>
      <c r="I293"/>
      <c r="J293"/>
    </row>
    <row r="294" spans="1:10" ht="15" customHeight="1" x14ac:dyDescent="0.15">
      <c r="A294"/>
      <c r="B294"/>
      <c r="C294"/>
      <c r="D294"/>
      <c r="E294"/>
      <c r="F294"/>
      <c r="G294"/>
      <c r="H294"/>
      <c r="I294"/>
      <c r="J294"/>
    </row>
    <row r="295" spans="1:10" ht="15" customHeight="1" x14ac:dyDescent="0.15">
      <c r="A295"/>
      <c r="B295"/>
      <c r="C295"/>
      <c r="D295"/>
      <c r="E295"/>
      <c r="F295"/>
      <c r="G295"/>
      <c r="H295"/>
      <c r="I295"/>
      <c r="J295"/>
    </row>
    <row r="296" spans="1:10" ht="15" customHeight="1" x14ac:dyDescent="0.15">
      <c r="A296"/>
      <c r="B296"/>
      <c r="C296"/>
      <c r="D296"/>
      <c r="E296"/>
      <c r="F296"/>
      <c r="G296"/>
      <c r="H296"/>
      <c r="I296"/>
      <c r="J296"/>
    </row>
    <row r="297" spans="1:10" ht="15" customHeight="1" x14ac:dyDescent="0.15">
      <c r="A297"/>
      <c r="B297"/>
      <c r="C297"/>
      <c r="D297"/>
      <c r="E297"/>
      <c r="F297"/>
      <c r="G297"/>
      <c r="H297"/>
      <c r="I297"/>
      <c r="J297"/>
    </row>
    <row r="298" spans="1:10" ht="15" customHeight="1" x14ac:dyDescent="0.15">
      <c r="A298"/>
      <c r="B298"/>
      <c r="C298"/>
      <c r="D298"/>
      <c r="E298"/>
      <c r="F298"/>
      <c r="G298"/>
      <c r="H298"/>
      <c r="I298"/>
      <c r="J298"/>
    </row>
    <row r="299" spans="1:10" ht="15" customHeight="1" x14ac:dyDescent="0.15">
      <c r="A299"/>
      <c r="B299"/>
      <c r="C299"/>
      <c r="D299"/>
      <c r="E299"/>
      <c r="F299"/>
      <c r="G299"/>
      <c r="H299"/>
      <c r="I299"/>
      <c r="J299"/>
    </row>
    <row r="300" spans="1:10" ht="15" customHeight="1" x14ac:dyDescent="0.15">
      <c r="A300"/>
      <c r="B300"/>
      <c r="C300"/>
      <c r="D300"/>
      <c r="E300"/>
      <c r="F300"/>
      <c r="G300"/>
      <c r="H300"/>
      <c r="I300"/>
      <c r="J300"/>
    </row>
    <row r="301" spans="1:10" ht="15" customHeight="1" x14ac:dyDescent="0.15">
      <c r="A301"/>
      <c r="B301"/>
      <c r="C301"/>
      <c r="D301"/>
      <c r="E301"/>
      <c r="F301"/>
      <c r="G301"/>
      <c r="H301"/>
      <c r="I301"/>
      <c r="J301"/>
    </row>
    <row r="302" spans="1:10" ht="15" customHeight="1" x14ac:dyDescent="0.15">
      <c r="A302"/>
      <c r="B302"/>
      <c r="C302"/>
      <c r="D302"/>
      <c r="E302"/>
      <c r="F302"/>
      <c r="G302"/>
      <c r="H302"/>
      <c r="I302"/>
      <c r="J302"/>
    </row>
    <row r="303" spans="1:10" ht="15" customHeight="1" x14ac:dyDescent="0.15">
      <c r="A303"/>
      <c r="B303"/>
      <c r="C303"/>
      <c r="D303"/>
      <c r="E303"/>
      <c r="F303"/>
      <c r="G303"/>
      <c r="H303"/>
      <c r="I303"/>
      <c r="J303"/>
    </row>
    <row r="304" spans="1:10" ht="15" customHeight="1" x14ac:dyDescent="0.15">
      <c r="A304"/>
      <c r="B304"/>
      <c r="C304"/>
      <c r="D304"/>
      <c r="E304"/>
      <c r="F304"/>
      <c r="G304"/>
      <c r="H304"/>
      <c r="I304"/>
      <c r="J304"/>
    </row>
    <row r="305" spans="1:10" ht="15" customHeight="1" x14ac:dyDescent="0.15">
      <c r="A305"/>
      <c r="B305"/>
      <c r="C305"/>
      <c r="D305"/>
      <c r="E305"/>
      <c r="F305"/>
      <c r="G305"/>
      <c r="H305"/>
      <c r="I305"/>
      <c r="J305"/>
    </row>
    <row r="306" spans="1:10" ht="15" customHeight="1" x14ac:dyDescent="0.15">
      <c r="A306"/>
      <c r="B306"/>
      <c r="C306"/>
      <c r="D306"/>
      <c r="E306"/>
      <c r="F306"/>
      <c r="G306"/>
      <c r="H306"/>
      <c r="I306"/>
      <c r="J306"/>
    </row>
    <row r="307" spans="1:10" ht="15" customHeight="1" x14ac:dyDescent="0.15">
      <c r="A307"/>
      <c r="B307"/>
      <c r="C307"/>
      <c r="D307"/>
      <c r="E307"/>
      <c r="F307"/>
      <c r="G307"/>
      <c r="H307"/>
      <c r="I307"/>
      <c r="J307"/>
    </row>
    <row r="308" spans="1:10" ht="15" customHeight="1" x14ac:dyDescent="0.15">
      <c r="A308"/>
      <c r="B308"/>
      <c r="C308"/>
      <c r="D308"/>
      <c r="E308"/>
      <c r="F308"/>
      <c r="G308"/>
      <c r="H308"/>
      <c r="I308"/>
      <c r="J308"/>
    </row>
    <row r="309" spans="1:10" ht="15" customHeight="1" x14ac:dyDescent="0.15">
      <c r="A309"/>
      <c r="B309"/>
      <c r="C309"/>
      <c r="D309"/>
      <c r="E309"/>
      <c r="F309"/>
      <c r="G309"/>
      <c r="H309"/>
      <c r="I309"/>
      <c r="J309"/>
    </row>
    <row r="310" spans="1:10" ht="15" customHeight="1" x14ac:dyDescent="0.15">
      <c r="A310"/>
      <c r="B310"/>
      <c r="C310"/>
      <c r="D310"/>
      <c r="E310"/>
      <c r="F310"/>
      <c r="G310"/>
      <c r="H310"/>
      <c r="I310"/>
      <c r="J310"/>
    </row>
    <row r="311" spans="1:10" ht="15" customHeight="1" x14ac:dyDescent="0.15">
      <c r="A311"/>
      <c r="B311"/>
      <c r="C311"/>
      <c r="D311"/>
      <c r="E311"/>
      <c r="F311"/>
      <c r="G311"/>
      <c r="H311"/>
      <c r="I311"/>
      <c r="J311"/>
    </row>
    <row r="312" spans="1:10" ht="15" customHeight="1" x14ac:dyDescent="0.15">
      <c r="A312"/>
      <c r="B312"/>
      <c r="C312"/>
      <c r="D312"/>
      <c r="E312"/>
      <c r="F312"/>
      <c r="G312"/>
      <c r="H312"/>
      <c r="I312"/>
      <c r="J312"/>
    </row>
    <row r="313" spans="1:10" ht="15" customHeight="1" x14ac:dyDescent="0.15">
      <c r="A313"/>
      <c r="B313"/>
      <c r="C313"/>
      <c r="D313"/>
      <c r="E313"/>
      <c r="F313"/>
      <c r="G313"/>
      <c r="H313"/>
      <c r="I313"/>
      <c r="J313"/>
    </row>
    <row r="314" spans="1:10" ht="15" customHeight="1" x14ac:dyDescent="0.15">
      <c r="A314"/>
      <c r="B314"/>
      <c r="C314"/>
      <c r="D314"/>
      <c r="E314"/>
      <c r="F314"/>
      <c r="G314"/>
      <c r="H314"/>
      <c r="I314"/>
      <c r="J314"/>
    </row>
    <row r="315" spans="1:10" ht="15" customHeight="1" x14ac:dyDescent="0.15">
      <c r="A315"/>
      <c r="B315"/>
      <c r="C315"/>
      <c r="D315"/>
      <c r="E315"/>
      <c r="F315"/>
      <c r="G315"/>
      <c r="H315"/>
      <c r="I315"/>
      <c r="J315"/>
    </row>
    <row r="316" spans="1:10" ht="15" customHeight="1" x14ac:dyDescent="0.15">
      <c r="A316"/>
      <c r="B316"/>
      <c r="C316"/>
      <c r="D316"/>
      <c r="E316"/>
      <c r="F316"/>
      <c r="G316"/>
      <c r="H316"/>
      <c r="I316"/>
      <c r="J316"/>
    </row>
    <row r="317" spans="1:10" ht="15" customHeight="1" x14ac:dyDescent="0.15">
      <c r="A317"/>
      <c r="B317"/>
      <c r="C317"/>
      <c r="D317"/>
      <c r="E317"/>
      <c r="F317"/>
      <c r="G317"/>
      <c r="H317"/>
      <c r="I317"/>
      <c r="J317"/>
    </row>
    <row r="318" spans="1:10" ht="15" customHeight="1" x14ac:dyDescent="0.15">
      <c r="A318"/>
      <c r="B318"/>
      <c r="C318"/>
      <c r="D318"/>
      <c r="E318"/>
      <c r="F318"/>
      <c r="G318"/>
      <c r="H318"/>
      <c r="I318"/>
      <c r="J318"/>
    </row>
    <row r="319" spans="1:10" ht="15" customHeight="1" x14ac:dyDescent="0.15">
      <c r="A319"/>
      <c r="B319"/>
      <c r="C319"/>
      <c r="D319"/>
      <c r="E319"/>
      <c r="F319"/>
      <c r="G319"/>
      <c r="H319"/>
      <c r="I319"/>
      <c r="J319"/>
    </row>
    <row r="320" spans="1:10" ht="15" customHeight="1" x14ac:dyDescent="0.15">
      <c r="A320"/>
      <c r="B320"/>
      <c r="C320"/>
      <c r="D320"/>
      <c r="E320"/>
      <c r="F320"/>
      <c r="G320"/>
      <c r="H320"/>
      <c r="I320"/>
      <c r="J320"/>
    </row>
    <row r="321" spans="1:10" ht="15" customHeight="1" x14ac:dyDescent="0.15">
      <c r="A321"/>
      <c r="B321"/>
      <c r="C321"/>
      <c r="D321"/>
      <c r="E321"/>
      <c r="F321"/>
      <c r="G321"/>
      <c r="H321"/>
      <c r="I321"/>
      <c r="J321"/>
    </row>
    <row r="322" spans="1:10" ht="15" customHeight="1" x14ac:dyDescent="0.15">
      <c r="A322"/>
      <c r="B322"/>
      <c r="C322"/>
      <c r="D322"/>
      <c r="E322"/>
      <c r="F322"/>
      <c r="G322"/>
      <c r="H322"/>
      <c r="I322"/>
      <c r="J322"/>
    </row>
    <row r="323" spans="1:10" ht="15" customHeight="1" x14ac:dyDescent="0.15">
      <c r="A323"/>
      <c r="B323"/>
      <c r="C323"/>
      <c r="D323"/>
      <c r="E323"/>
      <c r="F323"/>
      <c r="G323"/>
      <c r="H323"/>
      <c r="I323"/>
      <c r="J323"/>
    </row>
    <row r="324" spans="1:10" ht="15" customHeight="1" x14ac:dyDescent="0.15">
      <c r="A324"/>
      <c r="B324"/>
      <c r="C324"/>
      <c r="D324"/>
      <c r="E324"/>
      <c r="F324"/>
      <c r="G324"/>
      <c r="H324"/>
      <c r="I324"/>
      <c r="J324"/>
    </row>
    <row r="325" spans="1:10" ht="15" customHeight="1" x14ac:dyDescent="0.15">
      <c r="A325"/>
      <c r="B325"/>
      <c r="C325"/>
      <c r="D325"/>
      <c r="E325"/>
      <c r="F325"/>
      <c r="G325"/>
      <c r="H325"/>
      <c r="I325"/>
      <c r="J325"/>
    </row>
    <row r="326" spans="1:10" ht="15" customHeight="1" x14ac:dyDescent="0.15">
      <c r="A326"/>
      <c r="B326"/>
      <c r="C326"/>
      <c r="D326"/>
      <c r="E326"/>
      <c r="F326"/>
      <c r="G326"/>
      <c r="H326"/>
      <c r="I326"/>
      <c r="J326"/>
    </row>
    <row r="327" spans="1:10" ht="15" customHeight="1" x14ac:dyDescent="0.15">
      <c r="A327"/>
      <c r="B327"/>
      <c r="C327"/>
      <c r="D327"/>
      <c r="E327"/>
      <c r="F327"/>
      <c r="G327"/>
      <c r="H327"/>
      <c r="I327"/>
      <c r="J327"/>
    </row>
    <row r="328" spans="1:10" ht="15" customHeight="1" x14ac:dyDescent="0.15">
      <c r="A328"/>
      <c r="B328"/>
      <c r="C328"/>
      <c r="D328"/>
      <c r="E328"/>
      <c r="F328"/>
      <c r="G328"/>
      <c r="H328"/>
      <c r="I328"/>
      <c r="J328"/>
    </row>
    <row r="329" spans="1:10" ht="15" customHeight="1" x14ac:dyDescent="0.15">
      <c r="A329"/>
      <c r="B329"/>
      <c r="C329"/>
      <c r="D329"/>
      <c r="E329"/>
      <c r="F329"/>
      <c r="G329"/>
      <c r="H329"/>
      <c r="I329"/>
      <c r="J329"/>
    </row>
    <row r="330" spans="1:10" ht="15" customHeight="1" x14ac:dyDescent="0.15">
      <c r="A330"/>
      <c r="B330"/>
      <c r="C330"/>
      <c r="D330"/>
      <c r="E330"/>
      <c r="F330"/>
      <c r="G330"/>
      <c r="H330"/>
      <c r="I330"/>
      <c r="J330"/>
    </row>
    <row r="331" spans="1:10" ht="15" customHeight="1" x14ac:dyDescent="0.15">
      <c r="A331"/>
      <c r="B331"/>
      <c r="C331"/>
      <c r="D331"/>
      <c r="E331"/>
      <c r="F331"/>
      <c r="G331"/>
      <c r="H331"/>
      <c r="I331"/>
      <c r="J331"/>
    </row>
    <row r="332" spans="1:10" ht="15" customHeight="1" x14ac:dyDescent="0.15">
      <c r="A332"/>
      <c r="B332"/>
      <c r="C332"/>
      <c r="D332"/>
      <c r="E332"/>
      <c r="F332"/>
      <c r="G332"/>
      <c r="H332"/>
      <c r="I332"/>
      <c r="J332"/>
    </row>
    <row r="333" spans="1:10" ht="15" customHeight="1" x14ac:dyDescent="0.15">
      <c r="A333"/>
      <c r="B333"/>
      <c r="C333"/>
      <c r="D333"/>
      <c r="E333"/>
      <c r="F333"/>
      <c r="G333"/>
      <c r="H333"/>
      <c r="I333"/>
      <c r="J333"/>
    </row>
    <row r="334" spans="1:10" ht="15" customHeight="1" x14ac:dyDescent="0.15">
      <c r="A334"/>
      <c r="B334"/>
      <c r="C334"/>
      <c r="D334"/>
      <c r="E334"/>
      <c r="F334"/>
      <c r="G334"/>
      <c r="H334"/>
      <c r="I334"/>
      <c r="J334"/>
    </row>
    <row r="335" spans="1:10" ht="15" customHeight="1" x14ac:dyDescent="0.15">
      <c r="A335"/>
      <c r="B335"/>
      <c r="C335"/>
      <c r="D335"/>
      <c r="E335"/>
      <c r="F335"/>
      <c r="G335"/>
      <c r="H335"/>
      <c r="I335"/>
      <c r="J335"/>
    </row>
    <row r="336" spans="1:10" ht="15" customHeight="1" x14ac:dyDescent="0.15">
      <c r="A336"/>
      <c r="B336"/>
      <c r="C336"/>
      <c r="D336"/>
      <c r="E336"/>
      <c r="F336"/>
      <c r="G336"/>
      <c r="H336"/>
      <c r="I336"/>
      <c r="J336"/>
    </row>
    <row r="337" spans="1:10" ht="15" customHeight="1" x14ac:dyDescent="0.15">
      <c r="A337"/>
      <c r="B337"/>
      <c r="C337"/>
      <c r="D337"/>
      <c r="E337"/>
      <c r="F337"/>
      <c r="G337"/>
      <c r="H337"/>
      <c r="I337"/>
      <c r="J337"/>
    </row>
    <row r="338" spans="1:10" ht="15" customHeight="1" x14ac:dyDescent="0.15">
      <c r="A338"/>
      <c r="B338"/>
      <c r="C338"/>
      <c r="D338"/>
      <c r="E338"/>
      <c r="F338"/>
      <c r="G338"/>
      <c r="H338"/>
      <c r="I338"/>
      <c r="J338"/>
    </row>
    <row r="339" spans="1:10" ht="15" customHeight="1" x14ac:dyDescent="0.15">
      <c r="A339"/>
      <c r="B339"/>
      <c r="C339"/>
      <c r="D339"/>
      <c r="E339"/>
      <c r="F339"/>
      <c r="G339"/>
      <c r="H339"/>
      <c r="I339"/>
      <c r="J339"/>
    </row>
    <row r="340" spans="1:10" ht="15" customHeight="1" x14ac:dyDescent="0.15">
      <c r="A340"/>
      <c r="B340"/>
      <c r="C340"/>
      <c r="D340"/>
      <c r="E340"/>
      <c r="F340"/>
      <c r="G340"/>
      <c r="H340"/>
      <c r="I340"/>
      <c r="J340"/>
    </row>
    <row r="341" spans="1:10" ht="15" customHeight="1" x14ac:dyDescent="0.15">
      <c r="A341"/>
      <c r="B341"/>
      <c r="C341"/>
      <c r="D341"/>
      <c r="E341"/>
      <c r="F341"/>
      <c r="G341"/>
      <c r="H341"/>
      <c r="I341"/>
      <c r="J341"/>
    </row>
    <row r="342" spans="1:10" ht="15" customHeight="1" x14ac:dyDescent="0.15">
      <c r="A342"/>
      <c r="B342"/>
      <c r="C342"/>
      <c r="D342"/>
      <c r="E342"/>
      <c r="F342"/>
      <c r="G342"/>
      <c r="H342"/>
      <c r="I342"/>
      <c r="J342"/>
    </row>
    <row r="343" spans="1:10" ht="15" customHeight="1" x14ac:dyDescent="0.15">
      <c r="A343"/>
      <c r="B343"/>
      <c r="C343"/>
      <c r="D343"/>
      <c r="E343"/>
      <c r="F343"/>
      <c r="G343"/>
      <c r="H343"/>
      <c r="I343"/>
      <c r="J343"/>
    </row>
    <row r="344" spans="1:10" ht="15" customHeight="1" x14ac:dyDescent="0.15">
      <c r="A344"/>
      <c r="B344"/>
      <c r="C344"/>
      <c r="D344"/>
      <c r="E344"/>
      <c r="F344"/>
      <c r="G344"/>
      <c r="H344"/>
      <c r="I344"/>
      <c r="J344"/>
    </row>
    <row r="345" spans="1:10" ht="15" customHeight="1" x14ac:dyDescent="0.15">
      <c r="A345"/>
      <c r="B345"/>
      <c r="C345"/>
      <c r="D345"/>
      <c r="E345"/>
      <c r="F345"/>
      <c r="G345"/>
      <c r="H345"/>
      <c r="I345"/>
      <c r="J345"/>
    </row>
    <row r="346" spans="1:10" ht="15" customHeight="1" x14ac:dyDescent="0.15">
      <c r="A346"/>
      <c r="B346"/>
      <c r="C346"/>
      <c r="D346"/>
      <c r="E346"/>
      <c r="F346"/>
      <c r="G346"/>
      <c r="H346"/>
      <c r="I346"/>
      <c r="J346"/>
    </row>
    <row r="347" spans="1:10" ht="15" customHeight="1" x14ac:dyDescent="0.15">
      <c r="A347"/>
      <c r="B347"/>
      <c r="C347"/>
      <c r="D347"/>
      <c r="E347"/>
      <c r="F347"/>
      <c r="G347"/>
      <c r="H347"/>
      <c r="I347"/>
      <c r="J347"/>
    </row>
    <row r="348" spans="1:10" ht="15" customHeight="1" x14ac:dyDescent="0.15">
      <c r="A348"/>
      <c r="B348"/>
      <c r="C348"/>
      <c r="D348"/>
      <c r="E348"/>
      <c r="F348"/>
      <c r="G348"/>
      <c r="H348"/>
      <c r="I348"/>
      <c r="J348"/>
    </row>
    <row r="349" spans="1:10" ht="15" customHeight="1" x14ac:dyDescent="0.15">
      <c r="A349"/>
      <c r="B349"/>
      <c r="C349"/>
      <c r="D349"/>
      <c r="E349"/>
      <c r="F349"/>
      <c r="G349"/>
      <c r="H349"/>
      <c r="I349"/>
      <c r="J349"/>
    </row>
    <row r="350" spans="1:10" ht="15" customHeight="1" x14ac:dyDescent="0.15">
      <c r="A350"/>
      <c r="B350"/>
      <c r="C350"/>
      <c r="D350"/>
      <c r="E350"/>
      <c r="F350"/>
      <c r="G350"/>
      <c r="H350"/>
      <c r="I350"/>
      <c r="J350"/>
    </row>
    <row r="351" spans="1:10" ht="15" customHeight="1" x14ac:dyDescent="0.15">
      <c r="A351"/>
      <c r="B351"/>
      <c r="C351"/>
      <c r="D351"/>
      <c r="E351"/>
      <c r="F351"/>
      <c r="G351"/>
      <c r="H351"/>
      <c r="I351"/>
      <c r="J351"/>
    </row>
    <row r="352" spans="1:10" ht="15" customHeight="1" x14ac:dyDescent="0.15">
      <c r="A352"/>
      <c r="B352"/>
      <c r="C352"/>
      <c r="D352"/>
      <c r="E352"/>
      <c r="F352"/>
      <c r="G352"/>
      <c r="H352"/>
      <c r="I352"/>
      <c r="J352"/>
    </row>
    <row r="353" spans="1:10" ht="15" customHeight="1" x14ac:dyDescent="0.15">
      <c r="A353"/>
      <c r="B353"/>
      <c r="C353"/>
      <c r="D353"/>
      <c r="E353"/>
      <c r="F353"/>
      <c r="G353"/>
      <c r="H353"/>
      <c r="I353"/>
      <c r="J353"/>
    </row>
    <row r="354" spans="1:10" ht="15" customHeight="1" x14ac:dyDescent="0.15">
      <c r="A354"/>
      <c r="B354"/>
      <c r="C354"/>
      <c r="D354"/>
      <c r="E354"/>
      <c r="F354"/>
      <c r="G354"/>
      <c r="H354"/>
      <c r="I354"/>
      <c r="J354"/>
    </row>
    <row r="355" spans="1:10" ht="15" customHeight="1" x14ac:dyDescent="0.15">
      <c r="A355"/>
      <c r="B355"/>
      <c r="C355"/>
      <c r="D355"/>
      <c r="E355"/>
      <c r="F355"/>
      <c r="G355"/>
      <c r="H355"/>
      <c r="I355"/>
      <c r="J355"/>
    </row>
    <row r="356" spans="1:10" ht="15" customHeight="1" x14ac:dyDescent="0.15">
      <c r="A356"/>
      <c r="B356"/>
      <c r="C356"/>
      <c r="D356"/>
      <c r="E356"/>
      <c r="F356"/>
      <c r="G356"/>
      <c r="H356"/>
      <c r="I356"/>
      <c r="J356"/>
    </row>
    <row r="357" spans="1:10" ht="15" customHeight="1" x14ac:dyDescent="0.15">
      <c r="A357"/>
      <c r="B357"/>
      <c r="C357"/>
      <c r="D357"/>
      <c r="E357"/>
      <c r="F357"/>
      <c r="G357"/>
      <c r="H357"/>
      <c r="I357"/>
      <c r="J357"/>
    </row>
    <row r="358" spans="1:10" ht="15" customHeight="1" x14ac:dyDescent="0.15">
      <c r="A358"/>
      <c r="B358"/>
      <c r="C358"/>
      <c r="D358"/>
      <c r="E358"/>
      <c r="F358"/>
      <c r="G358"/>
      <c r="H358"/>
      <c r="I358"/>
      <c r="J358"/>
    </row>
    <row r="359" spans="1:10" ht="15" customHeight="1" x14ac:dyDescent="0.15">
      <c r="A359"/>
      <c r="B359"/>
      <c r="C359"/>
      <c r="D359"/>
      <c r="E359"/>
      <c r="F359"/>
      <c r="G359"/>
      <c r="H359"/>
      <c r="I359"/>
      <c r="J359"/>
    </row>
    <row r="360" spans="1:10" ht="15" customHeight="1" x14ac:dyDescent="0.15">
      <c r="A360"/>
      <c r="B360"/>
      <c r="C360"/>
      <c r="D360"/>
      <c r="E360"/>
      <c r="F360"/>
      <c r="G360"/>
      <c r="H360"/>
      <c r="I360"/>
      <c r="J360"/>
    </row>
    <row r="361" spans="1:10" ht="15" customHeight="1" x14ac:dyDescent="0.15">
      <c r="A361"/>
      <c r="B361"/>
      <c r="C361"/>
      <c r="D361"/>
      <c r="E361"/>
      <c r="F361"/>
      <c r="G361"/>
      <c r="H361"/>
      <c r="I361"/>
      <c r="J361"/>
    </row>
    <row r="362" spans="1:10" ht="15" customHeight="1" x14ac:dyDescent="0.15">
      <c r="A362"/>
      <c r="B362"/>
      <c r="C362"/>
      <c r="D362"/>
      <c r="E362"/>
      <c r="F362"/>
      <c r="G362"/>
      <c r="H362"/>
      <c r="I362"/>
      <c r="J362"/>
    </row>
    <row r="363" spans="1:10" ht="15" customHeight="1" x14ac:dyDescent="0.15">
      <c r="A363"/>
      <c r="B363"/>
      <c r="C363"/>
      <c r="D363"/>
      <c r="E363"/>
      <c r="F363"/>
      <c r="G363"/>
      <c r="H363"/>
      <c r="I363"/>
      <c r="J363"/>
    </row>
    <row r="364" spans="1:10" ht="15" customHeight="1" x14ac:dyDescent="0.15">
      <c r="A364"/>
      <c r="B364"/>
      <c r="C364"/>
      <c r="D364"/>
      <c r="E364"/>
      <c r="F364"/>
      <c r="G364"/>
      <c r="H364"/>
      <c r="I364"/>
      <c r="J364"/>
    </row>
    <row r="365" spans="1:10" ht="15" customHeight="1" x14ac:dyDescent="0.15">
      <c r="A365"/>
      <c r="B365"/>
      <c r="C365"/>
      <c r="D365"/>
      <c r="E365"/>
      <c r="F365"/>
      <c r="G365"/>
      <c r="H365"/>
      <c r="I365"/>
      <c r="J365"/>
    </row>
    <row r="366" spans="1:10" ht="15" customHeight="1" x14ac:dyDescent="0.15">
      <c r="A366"/>
      <c r="B366"/>
      <c r="C366"/>
      <c r="D366"/>
      <c r="E366"/>
      <c r="F366"/>
      <c r="G366"/>
      <c r="H366"/>
      <c r="I366"/>
      <c r="J366"/>
    </row>
    <row r="367" spans="1:10" ht="15" customHeight="1" x14ac:dyDescent="0.15">
      <c r="A367"/>
      <c r="B367"/>
      <c r="C367"/>
      <c r="D367"/>
      <c r="E367"/>
      <c r="F367"/>
      <c r="G367"/>
      <c r="H367"/>
      <c r="I367"/>
      <c r="J367"/>
    </row>
    <row r="368" spans="1:10" ht="15" customHeight="1" x14ac:dyDescent="0.15">
      <c r="A368"/>
      <c r="B368"/>
      <c r="C368"/>
      <c r="D368"/>
      <c r="E368"/>
      <c r="F368"/>
      <c r="G368"/>
      <c r="H368"/>
      <c r="I368"/>
      <c r="J368"/>
    </row>
    <row r="369" spans="1:10" ht="15" customHeight="1" x14ac:dyDescent="0.15">
      <c r="A369"/>
      <c r="B369"/>
      <c r="C369"/>
      <c r="D369"/>
      <c r="E369"/>
      <c r="F369"/>
      <c r="G369"/>
      <c r="H369"/>
      <c r="I369"/>
      <c r="J369"/>
    </row>
    <row r="370" spans="1:10" ht="15" customHeight="1" x14ac:dyDescent="0.15">
      <c r="A370"/>
      <c r="B370"/>
      <c r="C370"/>
      <c r="D370"/>
      <c r="E370"/>
      <c r="F370"/>
      <c r="G370"/>
      <c r="H370"/>
      <c r="I370"/>
      <c r="J370"/>
    </row>
    <row r="371" spans="1:10" ht="15" customHeight="1" x14ac:dyDescent="0.15">
      <c r="A371"/>
      <c r="B371"/>
      <c r="C371"/>
      <c r="D371"/>
      <c r="E371"/>
      <c r="F371"/>
      <c r="G371"/>
      <c r="H371"/>
      <c r="I371"/>
      <c r="J371"/>
    </row>
    <row r="372" spans="1:10" ht="15" customHeight="1" x14ac:dyDescent="0.15">
      <c r="A372"/>
      <c r="B372"/>
      <c r="C372"/>
      <c r="D372"/>
      <c r="E372"/>
      <c r="F372"/>
      <c r="G372"/>
      <c r="H372"/>
      <c r="I372"/>
      <c r="J372"/>
    </row>
    <row r="373" spans="1:10" ht="15" customHeight="1" x14ac:dyDescent="0.15">
      <c r="A373"/>
      <c r="B373"/>
      <c r="C373"/>
      <c r="D373"/>
      <c r="E373"/>
      <c r="F373"/>
      <c r="G373"/>
      <c r="H373"/>
      <c r="I373"/>
      <c r="J373"/>
    </row>
    <row r="374" spans="1:10" ht="15" customHeight="1" x14ac:dyDescent="0.15">
      <c r="A374"/>
      <c r="B374"/>
      <c r="C374"/>
      <c r="D374"/>
      <c r="E374"/>
      <c r="F374"/>
      <c r="G374"/>
      <c r="H374"/>
      <c r="I374"/>
      <c r="J374"/>
    </row>
    <row r="375" spans="1:10" ht="15" customHeight="1" x14ac:dyDescent="0.15">
      <c r="A375"/>
      <c r="B375"/>
      <c r="C375"/>
      <c r="D375"/>
      <c r="E375"/>
      <c r="F375"/>
      <c r="G375"/>
      <c r="H375"/>
      <c r="I375"/>
      <c r="J375"/>
    </row>
    <row r="376" spans="1:10" ht="15" customHeight="1" x14ac:dyDescent="0.15">
      <c r="A376"/>
      <c r="B376"/>
      <c r="C376"/>
      <c r="D376"/>
      <c r="E376"/>
      <c r="F376"/>
      <c r="G376"/>
      <c r="H376"/>
      <c r="I376"/>
      <c r="J376"/>
    </row>
    <row r="377" spans="1:10" ht="15" customHeight="1" x14ac:dyDescent="0.15">
      <c r="A377"/>
      <c r="B377"/>
      <c r="C377"/>
      <c r="D377"/>
      <c r="E377"/>
      <c r="F377"/>
      <c r="G377"/>
      <c r="H377"/>
      <c r="I377"/>
      <c r="J377"/>
    </row>
    <row r="378" spans="1:10" ht="15" customHeight="1" x14ac:dyDescent="0.15">
      <c r="A378"/>
      <c r="B378"/>
      <c r="C378"/>
      <c r="D378"/>
      <c r="E378"/>
      <c r="F378"/>
      <c r="G378"/>
      <c r="H378"/>
      <c r="I378"/>
      <c r="J378"/>
    </row>
    <row r="379" spans="1:10" ht="15" customHeight="1" x14ac:dyDescent="0.15">
      <c r="A379"/>
      <c r="B379"/>
      <c r="C379"/>
      <c r="D379"/>
      <c r="E379"/>
      <c r="F379"/>
      <c r="G379"/>
      <c r="H379"/>
      <c r="I379"/>
      <c r="J379"/>
    </row>
    <row r="380" spans="1:10" ht="15" customHeight="1" x14ac:dyDescent="0.15">
      <c r="A380"/>
      <c r="B380"/>
      <c r="C380"/>
      <c r="D380"/>
      <c r="E380"/>
      <c r="F380"/>
      <c r="G380"/>
      <c r="H380"/>
      <c r="I380"/>
      <c r="J380"/>
    </row>
    <row r="381" spans="1:10" ht="15" customHeight="1" x14ac:dyDescent="0.15">
      <c r="A381"/>
      <c r="B381"/>
      <c r="C381"/>
      <c r="D381"/>
      <c r="E381"/>
      <c r="F381"/>
      <c r="G381"/>
      <c r="H381"/>
      <c r="I381"/>
      <c r="J381"/>
    </row>
    <row r="382" spans="1:10" ht="15" customHeight="1" x14ac:dyDescent="0.15">
      <c r="A382"/>
      <c r="B382"/>
      <c r="C382"/>
      <c r="D382"/>
      <c r="E382"/>
      <c r="F382"/>
      <c r="G382"/>
      <c r="H382"/>
      <c r="I382"/>
      <c r="J382"/>
    </row>
    <row r="383" spans="1:10" ht="15" customHeight="1" x14ac:dyDescent="0.15">
      <c r="A383"/>
      <c r="B383"/>
      <c r="C383"/>
      <c r="D383"/>
      <c r="E383"/>
      <c r="F383"/>
      <c r="G383"/>
      <c r="H383"/>
      <c r="I383"/>
      <c r="J383"/>
    </row>
    <row r="384" spans="1:10" ht="15" customHeight="1" x14ac:dyDescent="0.15">
      <c r="A384"/>
      <c r="B384"/>
      <c r="C384"/>
      <c r="D384"/>
      <c r="E384"/>
      <c r="F384"/>
      <c r="G384"/>
      <c r="H384"/>
      <c r="I384"/>
      <c r="J384"/>
    </row>
    <row r="385" spans="1:10" ht="15" customHeight="1" x14ac:dyDescent="0.15">
      <c r="A385"/>
      <c r="B385"/>
      <c r="C385"/>
      <c r="D385"/>
      <c r="E385"/>
      <c r="F385"/>
      <c r="G385"/>
      <c r="H385"/>
      <c r="I385"/>
      <c r="J385"/>
    </row>
    <row r="386" spans="1:10" ht="15" customHeight="1" x14ac:dyDescent="0.15">
      <c r="A386"/>
      <c r="B386"/>
      <c r="C386"/>
      <c r="D386"/>
      <c r="E386"/>
      <c r="F386"/>
      <c r="G386"/>
      <c r="H386"/>
      <c r="I386"/>
      <c r="J386"/>
    </row>
    <row r="387" spans="1:10" ht="15" customHeight="1" x14ac:dyDescent="0.15">
      <c r="A387"/>
      <c r="B387"/>
      <c r="C387"/>
      <c r="D387"/>
      <c r="E387"/>
      <c r="F387"/>
      <c r="G387"/>
      <c r="H387"/>
      <c r="I387"/>
      <c r="J387"/>
    </row>
    <row r="388" spans="1:10" ht="15" customHeight="1" x14ac:dyDescent="0.15">
      <c r="A388"/>
      <c r="B388"/>
      <c r="C388"/>
      <c r="D388"/>
      <c r="E388"/>
      <c r="F388"/>
      <c r="G388"/>
      <c r="H388"/>
      <c r="I388"/>
      <c r="J388"/>
    </row>
    <row r="389" spans="1:10" ht="15" customHeight="1" x14ac:dyDescent="0.15">
      <c r="A389"/>
      <c r="B389"/>
      <c r="C389"/>
      <c r="D389"/>
      <c r="E389"/>
      <c r="F389"/>
      <c r="G389"/>
      <c r="H389"/>
      <c r="I389"/>
      <c r="J389"/>
    </row>
    <row r="390" spans="1:10" ht="15" customHeight="1" x14ac:dyDescent="0.15">
      <c r="A390"/>
      <c r="B390"/>
      <c r="C390"/>
      <c r="D390"/>
      <c r="E390"/>
      <c r="F390"/>
      <c r="G390"/>
      <c r="H390"/>
      <c r="I390"/>
      <c r="J390"/>
    </row>
    <row r="391" spans="1:10" ht="15" customHeight="1" x14ac:dyDescent="0.15">
      <c r="A391"/>
      <c r="B391"/>
      <c r="C391"/>
      <c r="D391"/>
      <c r="E391"/>
      <c r="F391"/>
      <c r="G391"/>
      <c r="H391"/>
      <c r="I391"/>
      <c r="J391"/>
    </row>
    <row r="392" spans="1:10" ht="15" customHeight="1" x14ac:dyDescent="0.15">
      <c r="A392"/>
      <c r="B392"/>
      <c r="C392"/>
      <c r="D392"/>
      <c r="E392"/>
      <c r="F392"/>
      <c r="G392"/>
      <c r="H392"/>
      <c r="I392"/>
      <c r="J392"/>
    </row>
    <row r="393" spans="1:10" ht="15" customHeight="1" x14ac:dyDescent="0.15">
      <c r="A393"/>
      <c r="B393"/>
      <c r="C393"/>
      <c r="D393"/>
      <c r="E393"/>
      <c r="F393"/>
      <c r="G393"/>
      <c r="H393"/>
      <c r="I393"/>
      <c r="J393"/>
    </row>
    <row r="394" spans="1:10" ht="15" customHeight="1" x14ac:dyDescent="0.15">
      <c r="A394"/>
      <c r="B394"/>
      <c r="C394"/>
      <c r="D394"/>
      <c r="E394"/>
      <c r="F394"/>
      <c r="G394"/>
      <c r="H394"/>
      <c r="I394"/>
      <c r="J394"/>
    </row>
    <row r="395" spans="1:10" ht="15" customHeight="1" x14ac:dyDescent="0.15">
      <c r="A395"/>
      <c r="B395"/>
      <c r="C395"/>
      <c r="D395"/>
      <c r="E395"/>
      <c r="F395"/>
      <c r="G395"/>
      <c r="H395"/>
      <c r="I395"/>
      <c r="J395"/>
    </row>
    <row r="396" spans="1:10" ht="15" customHeight="1" x14ac:dyDescent="0.15">
      <c r="A396"/>
      <c r="B396"/>
      <c r="C396"/>
      <c r="D396"/>
      <c r="E396"/>
      <c r="F396"/>
      <c r="G396"/>
      <c r="H396"/>
      <c r="I396"/>
      <c r="J396"/>
    </row>
    <row r="397" spans="1:10" ht="15" customHeight="1" x14ac:dyDescent="0.15">
      <c r="A397"/>
      <c r="B397"/>
      <c r="C397"/>
      <c r="D397"/>
      <c r="E397"/>
      <c r="F397"/>
      <c r="G397"/>
      <c r="H397"/>
      <c r="I397"/>
      <c r="J397"/>
    </row>
    <row r="398" spans="1:10" ht="15" customHeight="1" x14ac:dyDescent="0.15">
      <c r="A398"/>
      <c r="B398"/>
      <c r="C398"/>
      <c r="D398"/>
      <c r="E398"/>
      <c r="F398"/>
      <c r="G398"/>
      <c r="H398"/>
      <c r="I398"/>
      <c r="J398"/>
    </row>
    <row r="399" spans="1:10" ht="15" customHeight="1" x14ac:dyDescent="0.15">
      <c r="A399"/>
      <c r="B399"/>
      <c r="C399"/>
      <c r="D399"/>
      <c r="E399"/>
      <c r="F399"/>
      <c r="G399"/>
      <c r="H399"/>
      <c r="I399"/>
      <c r="J399"/>
    </row>
    <row r="400" spans="1:10" ht="15" customHeight="1" x14ac:dyDescent="0.15">
      <c r="A400"/>
      <c r="B400"/>
      <c r="C400"/>
      <c r="D400"/>
      <c r="E400"/>
      <c r="F400"/>
      <c r="G400"/>
      <c r="H400"/>
      <c r="I400"/>
      <c r="J400"/>
    </row>
    <row r="401" spans="1:10" ht="15" customHeight="1" x14ac:dyDescent="0.15">
      <c r="A401"/>
      <c r="B401"/>
      <c r="C401"/>
      <c r="D401"/>
      <c r="E401"/>
      <c r="F401"/>
      <c r="G401"/>
      <c r="H401"/>
      <c r="I401"/>
      <c r="J401"/>
    </row>
    <row r="402" spans="1:10" ht="15" customHeight="1" x14ac:dyDescent="0.15">
      <c r="A402"/>
      <c r="B402"/>
      <c r="C402"/>
      <c r="D402"/>
      <c r="E402"/>
      <c r="F402"/>
      <c r="G402"/>
      <c r="H402"/>
      <c r="I402"/>
      <c r="J402"/>
    </row>
    <row r="403" spans="1:10" ht="15" customHeight="1" x14ac:dyDescent="0.15">
      <c r="A403"/>
      <c r="B403"/>
      <c r="C403"/>
      <c r="D403"/>
      <c r="E403"/>
      <c r="F403"/>
      <c r="G403"/>
      <c r="H403"/>
      <c r="I403"/>
      <c r="J403"/>
    </row>
    <row r="404" spans="1:10" ht="15" customHeight="1" x14ac:dyDescent="0.15">
      <c r="A404"/>
      <c r="B404"/>
      <c r="C404"/>
      <c r="D404"/>
      <c r="E404"/>
      <c r="F404"/>
      <c r="G404"/>
      <c r="H404"/>
      <c r="I404"/>
      <c r="J404"/>
    </row>
    <row r="405" spans="1:10" ht="15" customHeight="1" x14ac:dyDescent="0.15">
      <c r="A405"/>
      <c r="B405"/>
      <c r="C405"/>
      <c r="D405"/>
      <c r="E405"/>
      <c r="F405"/>
      <c r="G405"/>
      <c r="H405"/>
      <c r="I405"/>
      <c r="J405"/>
    </row>
    <row r="406" spans="1:10" ht="15" customHeight="1" x14ac:dyDescent="0.15">
      <c r="A406"/>
      <c r="B406"/>
      <c r="C406"/>
      <c r="D406"/>
      <c r="E406"/>
      <c r="F406"/>
      <c r="G406"/>
      <c r="H406"/>
      <c r="I406"/>
      <c r="J406"/>
    </row>
    <row r="407" spans="1:10" ht="15" customHeight="1" x14ac:dyDescent="0.15">
      <c r="A407"/>
      <c r="B407"/>
      <c r="C407"/>
      <c r="D407"/>
      <c r="E407"/>
      <c r="F407"/>
      <c r="G407"/>
      <c r="H407"/>
      <c r="I407"/>
      <c r="J407"/>
    </row>
    <row r="408" spans="1:10" ht="15" customHeight="1" x14ac:dyDescent="0.15">
      <c r="A408"/>
      <c r="B408"/>
      <c r="C408"/>
      <c r="D408"/>
      <c r="E408"/>
      <c r="F408"/>
      <c r="G408"/>
      <c r="H408"/>
      <c r="I408"/>
      <c r="J408"/>
    </row>
    <row r="409" spans="1:10" ht="15" customHeight="1" x14ac:dyDescent="0.15">
      <c r="A409"/>
      <c r="B409"/>
      <c r="C409"/>
      <c r="D409"/>
      <c r="E409"/>
      <c r="F409"/>
      <c r="G409"/>
      <c r="H409"/>
      <c r="I409"/>
      <c r="J409"/>
    </row>
    <row r="410" spans="1:10" ht="15" customHeight="1" x14ac:dyDescent="0.15">
      <c r="A410"/>
      <c r="B410"/>
      <c r="C410"/>
      <c r="D410"/>
      <c r="E410"/>
      <c r="F410"/>
      <c r="G410"/>
      <c r="H410"/>
      <c r="I410"/>
      <c r="J410"/>
    </row>
    <row r="411" spans="1:10" ht="15" customHeight="1" x14ac:dyDescent="0.15">
      <c r="A411"/>
      <c r="B411"/>
      <c r="C411"/>
      <c r="D411"/>
      <c r="E411"/>
      <c r="F411"/>
      <c r="G411"/>
      <c r="H411"/>
      <c r="I411"/>
      <c r="J411"/>
    </row>
    <row r="412" spans="1:10" ht="15" customHeight="1" x14ac:dyDescent="0.15">
      <c r="A412"/>
      <c r="B412"/>
      <c r="C412"/>
      <c r="D412"/>
      <c r="E412"/>
      <c r="F412"/>
      <c r="G412"/>
      <c r="H412"/>
      <c r="I412"/>
      <c r="J412"/>
    </row>
    <row r="413" spans="1:10" ht="15" customHeight="1" x14ac:dyDescent="0.15">
      <c r="A413"/>
      <c r="B413"/>
      <c r="C413"/>
      <c r="D413"/>
      <c r="E413"/>
      <c r="F413"/>
      <c r="G413"/>
      <c r="H413"/>
      <c r="I413"/>
      <c r="J413"/>
    </row>
    <row r="414" spans="1:10" ht="15" customHeight="1" x14ac:dyDescent="0.15">
      <c r="A414"/>
      <c r="B414"/>
      <c r="C414"/>
      <c r="D414"/>
      <c r="E414"/>
      <c r="F414"/>
      <c r="G414"/>
      <c r="H414"/>
      <c r="I414"/>
      <c r="J414"/>
    </row>
    <row r="415" spans="1:10" ht="15" customHeight="1" x14ac:dyDescent="0.15">
      <c r="A415"/>
      <c r="B415"/>
      <c r="C415"/>
      <c r="D415"/>
      <c r="E415"/>
      <c r="F415"/>
      <c r="G415"/>
      <c r="H415"/>
      <c r="I415"/>
      <c r="J415"/>
    </row>
    <row r="416" spans="1:10" ht="15" customHeight="1" x14ac:dyDescent="0.15">
      <c r="A416"/>
      <c r="B416"/>
      <c r="C416"/>
      <c r="D416"/>
      <c r="E416"/>
      <c r="F416"/>
      <c r="G416"/>
      <c r="H416"/>
      <c r="I416"/>
      <c r="J416"/>
    </row>
    <row r="417" spans="1:10" ht="15" customHeight="1" x14ac:dyDescent="0.15">
      <c r="A417"/>
      <c r="B417"/>
      <c r="C417"/>
      <c r="D417"/>
      <c r="E417"/>
      <c r="F417"/>
      <c r="G417"/>
      <c r="H417"/>
      <c r="I417"/>
      <c r="J417"/>
    </row>
    <row r="418" spans="1:10" ht="15" customHeight="1" x14ac:dyDescent="0.15">
      <c r="A418"/>
      <c r="B418"/>
      <c r="C418"/>
      <c r="D418"/>
      <c r="E418"/>
      <c r="F418"/>
      <c r="G418"/>
      <c r="H418"/>
      <c r="I418"/>
      <c r="J418"/>
    </row>
    <row r="419" spans="1:10" ht="15" customHeight="1" x14ac:dyDescent="0.15">
      <c r="A419"/>
      <c r="B419"/>
      <c r="C419"/>
      <c r="D419"/>
      <c r="E419"/>
      <c r="F419"/>
      <c r="G419"/>
      <c r="H419"/>
      <c r="I419"/>
      <c r="J419"/>
    </row>
    <row r="420" spans="1:10" ht="15" customHeight="1" x14ac:dyDescent="0.15">
      <c r="A420"/>
      <c r="B420"/>
      <c r="C420"/>
      <c r="D420"/>
      <c r="E420"/>
      <c r="F420"/>
      <c r="G420"/>
      <c r="H420"/>
      <c r="I420"/>
      <c r="J420"/>
    </row>
    <row r="421" spans="1:10" ht="15" customHeight="1" x14ac:dyDescent="0.15">
      <c r="A421"/>
      <c r="B421"/>
      <c r="C421"/>
      <c r="D421"/>
      <c r="E421"/>
      <c r="F421"/>
      <c r="G421"/>
      <c r="H421"/>
      <c r="I421"/>
      <c r="J421"/>
    </row>
    <row r="422" spans="1:10" ht="15" customHeight="1" x14ac:dyDescent="0.15">
      <c r="A422"/>
      <c r="B422"/>
      <c r="C422"/>
      <c r="D422"/>
      <c r="E422"/>
      <c r="F422"/>
      <c r="G422"/>
      <c r="H422"/>
      <c r="I422"/>
      <c r="J422"/>
    </row>
    <row r="423" spans="1:10" ht="15" customHeight="1" x14ac:dyDescent="0.15">
      <c r="A423"/>
      <c r="B423"/>
      <c r="C423"/>
      <c r="D423"/>
      <c r="E423"/>
      <c r="F423"/>
      <c r="G423"/>
      <c r="H423"/>
      <c r="I423"/>
      <c r="J423"/>
    </row>
    <row r="424" spans="1:10" ht="15" customHeight="1" x14ac:dyDescent="0.15">
      <c r="A424"/>
      <c r="B424"/>
      <c r="C424"/>
      <c r="D424"/>
      <c r="E424"/>
      <c r="F424"/>
      <c r="G424"/>
      <c r="H424"/>
      <c r="I424"/>
      <c r="J424"/>
    </row>
    <row r="425" spans="1:10" ht="15" customHeight="1" x14ac:dyDescent="0.15">
      <c r="A425"/>
      <c r="B425"/>
      <c r="C425"/>
      <c r="D425"/>
      <c r="E425"/>
      <c r="F425"/>
      <c r="G425"/>
      <c r="H425"/>
      <c r="I425"/>
      <c r="J425"/>
    </row>
    <row r="426" spans="1:10" ht="15" customHeight="1" x14ac:dyDescent="0.15">
      <c r="A426"/>
      <c r="B426"/>
      <c r="C426"/>
      <c r="D426"/>
      <c r="E426"/>
      <c r="F426"/>
      <c r="G426"/>
      <c r="H426"/>
      <c r="I426"/>
      <c r="J426"/>
    </row>
    <row r="427" spans="1:10" ht="15" customHeight="1" x14ac:dyDescent="0.15">
      <c r="A427"/>
      <c r="B427"/>
      <c r="C427"/>
      <c r="D427"/>
      <c r="E427"/>
      <c r="F427"/>
      <c r="G427"/>
      <c r="H427"/>
      <c r="I427"/>
      <c r="J427"/>
    </row>
    <row r="428" spans="1:10" ht="15" customHeight="1" x14ac:dyDescent="0.15">
      <c r="A428"/>
      <c r="B428"/>
      <c r="C428"/>
      <c r="D428"/>
      <c r="E428"/>
      <c r="F428"/>
      <c r="G428"/>
      <c r="H428"/>
      <c r="I428"/>
      <c r="J428"/>
    </row>
    <row r="429" spans="1:10" ht="15" customHeight="1" x14ac:dyDescent="0.15">
      <c r="A429"/>
      <c r="B429"/>
      <c r="C429"/>
      <c r="D429"/>
      <c r="E429"/>
      <c r="F429"/>
      <c r="G429"/>
      <c r="H429"/>
      <c r="I429"/>
      <c r="J429"/>
    </row>
    <row r="430" spans="1:10" ht="15" customHeight="1" x14ac:dyDescent="0.15">
      <c r="A430"/>
      <c r="B430"/>
      <c r="C430"/>
      <c r="D430"/>
      <c r="E430"/>
      <c r="F430"/>
      <c r="G430"/>
      <c r="H430"/>
      <c r="I430"/>
      <c r="J430"/>
    </row>
    <row r="431" spans="1:10" ht="15" customHeight="1" x14ac:dyDescent="0.15">
      <c r="A431"/>
      <c r="B431"/>
      <c r="C431"/>
      <c r="D431"/>
      <c r="E431"/>
      <c r="F431"/>
      <c r="G431"/>
      <c r="H431"/>
      <c r="I431"/>
      <c r="J431"/>
    </row>
    <row r="432" spans="1:10" ht="15" customHeight="1" x14ac:dyDescent="0.15">
      <c r="A432"/>
      <c r="B432"/>
      <c r="C432"/>
      <c r="D432"/>
      <c r="E432"/>
      <c r="F432"/>
      <c r="G432"/>
      <c r="H432"/>
      <c r="I432"/>
      <c r="J432"/>
    </row>
    <row r="433" spans="1:10" ht="15" customHeight="1" x14ac:dyDescent="0.15">
      <c r="A433"/>
      <c r="B433"/>
      <c r="C433"/>
      <c r="D433"/>
      <c r="E433"/>
      <c r="F433"/>
      <c r="G433"/>
      <c r="H433"/>
      <c r="I433"/>
      <c r="J433"/>
    </row>
    <row r="434" spans="1:10" ht="15" customHeight="1" x14ac:dyDescent="0.15">
      <c r="A434"/>
      <c r="B434"/>
      <c r="C434"/>
      <c r="D434"/>
      <c r="E434"/>
      <c r="F434"/>
      <c r="G434"/>
      <c r="H434"/>
      <c r="I434"/>
      <c r="J434"/>
    </row>
    <row r="435" spans="1:10" ht="15" customHeight="1" x14ac:dyDescent="0.15">
      <c r="A435"/>
      <c r="B435"/>
      <c r="C435"/>
      <c r="D435"/>
      <c r="E435"/>
      <c r="F435"/>
      <c r="G435"/>
      <c r="H435"/>
      <c r="I435"/>
      <c r="J435"/>
    </row>
    <row r="436" spans="1:10" ht="15" customHeight="1" x14ac:dyDescent="0.15">
      <c r="A436"/>
      <c r="B436"/>
      <c r="C436"/>
      <c r="D436"/>
      <c r="E436"/>
      <c r="F436"/>
      <c r="G436"/>
      <c r="H436"/>
      <c r="I436"/>
      <c r="J436"/>
    </row>
    <row r="437" spans="1:10" ht="15" customHeight="1" x14ac:dyDescent="0.15">
      <c r="A437"/>
      <c r="B437"/>
      <c r="C437"/>
      <c r="D437"/>
      <c r="E437"/>
      <c r="F437"/>
      <c r="G437"/>
      <c r="H437"/>
      <c r="I437"/>
      <c r="J437"/>
    </row>
    <row r="438" spans="1:10" ht="15" customHeight="1" x14ac:dyDescent="0.15">
      <c r="A438"/>
      <c r="B438"/>
      <c r="C438"/>
      <c r="D438"/>
      <c r="E438"/>
      <c r="F438"/>
      <c r="G438"/>
      <c r="H438"/>
      <c r="I438"/>
      <c r="J438"/>
    </row>
    <row r="439" spans="1:10" ht="15" customHeight="1" x14ac:dyDescent="0.15">
      <c r="A439"/>
      <c r="B439"/>
      <c r="C439"/>
      <c r="D439"/>
      <c r="E439"/>
      <c r="F439"/>
      <c r="G439"/>
      <c r="H439"/>
      <c r="I439"/>
      <c r="J439"/>
    </row>
    <row r="440" spans="1:10" ht="15" customHeight="1" x14ac:dyDescent="0.15">
      <c r="A440"/>
      <c r="B440"/>
      <c r="C440"/>
      <c r="D440"/>
      <c r="E440"/>
      <c r="F440"/>
      <c r="G440"/>
      <c r="H440"/>
      <c r="I440"/>
      <c r="J440"/>
    </row>
    <row r="441" spans="1:10" ht="15" customHeight="1" x14ac:dyDescent="0.15">
      <c r="A441"/>
      <c r="B441"/>
      <c r="C441"/>
      <c r="D441"/>
      <c r="E441"/>
      <c r="F441"/>
      <c r="G441"/>
      <c r="H441"/>
      <c r="I441"/>
      <c r="J441"/>
    </row>
    <row r="442" spans="1:10" ht="15" customHeight="1" x14ac:dyDescent="0.15">
      <c r="A442"/>
      <c r="B442"/>
      <c r="C442"/>
      <c r="D442"/>
      <c r="E442"/>
      <c r="F442"/>
      <c r="G442"/>
      <c r="H442"/>
      <c r="I442"/>
      <c r="J442"/>
    </row>
    <row r="443" spans="1:10" ht="15" customHeight="1" x14ac:dyDescent="0.15">
      <c r="A443"/>
      <c r="B443"/>
      <c r="C443"/>
      <c r="D443"/>
      <c r="E443"/>
      <c r="F443"/>
      <c r="G443"/>
      <c r="H443"/>
      <c r="I443"/>
      <c r="J443"/>
    </row>
    <row r="444" spans="1:10" ht="15" customHeight="1" x14ac:dyDescent="0.15">
      <c r="A444"/>
      <c r="B444"/>
      <c r="C444"/>
      <c r="D444"/>
      <c r="E444"/>
      <c r="F444"/>
      <c r="G444"/>
      <c r="H444"/>
      <c r="I444"/>
      <c r="J444"/>
    </row>
    <row r="445" spans="1:10" ht="15" customHeight="1" x14ac:dyDescent="0.15">
      <c r="A445"/>
      <c r="B445"/>
      <c r="C445"/>
      <c r="D445"/>
      <c r="E445"/>
      <c r="F445"/>
      <c r="G445"/>
      <c r="H445"/>
      <c r="I445"/>
      <c r="J445"/>
    </row>
    <row r="446" spans="1:10" ht="15" customHeight="1" x14ac:dyDescent="0.15">
      <c r="A446"/>
      <c r="B446"/>
      <c r="C446"/>
      <c r="D446"/>
      <c r="E446"/>
      <c r="F446"/>
      <c r="G446"/>
      <c r="H446"/>
      <c r="I446"/>
      <c r="J446"/>
    </row>
    <row r="447" spans="1:10" ht="15" customHeight="1" x14ac:dyDescent="0.15">
      <c r="A447"/>
      <c r="B447"/>
      <c r="C447"/>
      <c r="D447"/>
      <c r="E447"/>
      <c r="F447"/>
      <c r="G447"/>
      <c r="H447"/>
      <c r="I447"/>
      <c r="J447"/>
    </row>
    <row r="448" spans="1:10" ht="15" customHeight="1" x14ac:dyDescent="0.15">
      <c r="A448"/>
      <c r="B448"/>
      <c r="C448"/>
      <c r="D448"/>
      <c r="E448"/>
      <c r="F448"/>
      <c r="G448"/>
      <c r="H448"/>
      <c r="I448"/>
      <c r="J448"/>
    </row>
    <row r="449" spans="1:10" ht="15" customHeight="1" x14ac:dyDescent="0.15">
      <c r="A449"/>
      <c r="B449"/>
      <c r="C449"/>
      <c r="D449"/>
      <c r="E449"/>
      <c r="F449"/>
      <c r="G449"/>
      <c r="H449"/>
      <c r="I449"/>
      <c r="J449"/>
    </row>
    <row r="450" spans="1:10" ht="15" customHeight="1" x14ac:dyDescent="0.15">
      <c r="A450"/>
      <c r="B450"/>
      <c r="C450"/>
      <c r="D450"/>
      <c r="E450"/>
      <c r="F450"/>
      <c r="G450"/>
      <c r="H450"/>
      <c r="I450"/>
      <c r="J450"/>
    </row>
    <row r="451" spans="1:10" ht="15" customHeight="1" x14ac:dyDescent="0.15">
      <c r="A451"/>
      <c r="B451"/>
      <c r="C451"/>
      <c r="D451"/>
      <c r="E451"/>
      <c r="F451"/>
      <c r="G451"/>
      <c r="H451"/>
      <c r="I451"/>
      <c r="J451"/>
    </row>
    <row r="452" spans="1:10" ht="15" customHeight="1" x14ac:dyDescent="0.15">
      <c r="A452"/>
      <c r="B452"/>
      <c r="C452"/>
      <c r="D452"/>
      <c r="E452"/>
      <c r="F452"/>
      <c r="G452"/>
      <c r="H452"/>
      <c r="I452"/>
      <c r="J452"/>
    </row>
    <row r="453" spans="1:10" ht="15" customHeight="1" x14ac:dyDescent="0.15">
      <c r="A453"/>
      <c r="B453"/>
      <c r="C453"/>
      <c r="D453"/>
      <c r="E453"/>
      <c r="F453"/>
      <c r="G453"/>
      <c r="H453"/>
      <c r="I453"/>
      <c r="J453"/>
    </row>
    <row r="454" spans="1:10" ht="15" customHeight="1" x14ac:dyDescent="0.15">
      <c r="A454"/>
      <c r="B454"/>
      <c r="C454"/>
      <c r="D454"/>
      <c r="E454"/>
      <c r="F454"/>
      <c r="G454"/>
      <c r="H454"/>
      <c r="I454"/>
      <c r="J454"/>
    </row>
    <row r="455" spans="1:10" ht="15" customHeight="1" x14ac:dyDescent="0.15">
      <c r="A455"/>
      <c r="B455"/>
      <c r="C455"/>
      <c r="D455"/>
      <c r="E455"/>
      <c r="F455"/>
      <c r="G455"/>
      <c r="H455"/>
      <c r="I455"/>
      <c r="J455"/>
    </row>
    <row r="456" spans="1:10" ht="15" customHeight="1" x14ac:dyDescent="0.15">
      <c r="A456"/>
      <c r="B456"/>
      <c r="C456"/>
      <c r="D456"/>
      <c r="E456"/>
      <c r="F456"/>
      <c r="G456"/>
      <c r="H456"/>
      <c r="I456"/>
      <c r="J456"/>
    </row>
    <row r="457" spans="1:10" ht="15" customHeight="1" x14ac:dyDescent="0.15">
      <c r="A457"/>
      <c r="B457"/>
      <c r="C457"/>
      <c r="D457"/>
      <c r="E457"/>
      <c r="F457"/>
      <c r="G457"/>
      <c r="H457"/>
      <c r="I457"/>
      <c r="J457"/>
    </row>
    <row r="458" spans="1:10" ht="15" customHeight="1" x14ac:dyDescent="0.15">
      <c r="A458"/>
      <c r="B458"/>
      <c r="C458"/>
      <c r="D458"/>
      <c r="E458"/>
      <c r="F458"/>
      <c r="G458"/>
      <c r="H458"/>
      <c r="I458"/>
      <c r="J458"/>
    </row>
    <row r="459" spans="1:10" ht="15" customHeight="1" x14ac:dyDescent="0.15">
      <c r="A459"/>
      <c r="B459"/>
      <c r="C459"/>
      <c r="D459"/>
      <c r="E459"/>
      <c r="F459"/>
      <c r="G459"/>
      <c r="H459"/>
      <c r="I459"/>
      <c r="J459"/>
    </row>
    <row r="460" spans="1:10" ht="15" customHeight="1" x14ac:dyDescent="0.15">
      <c r="A460"/>
      <c r="B460"/>
      <c r="C460"/>
      <c r="D460"/>
      <c r="E460"/>
      <c r="F460"/>
      <c r="G460"/>
      <c r="H460"/>
      <c r="I460"/>
      <c r="J460"/>
    </row>
    <row r="461" spans="1:10" ht="15" customHeight="1" x14ac:dyDescent="0.15">
      <c r="A461"/>
      <c r="B461"/>
      <c r="C461"/>
      <c r="D461"/>
      <c r="E461"/>
      <c r="F461"/>
      <c r="G461"/>
      <c r="H461"/>
      <c r="I461"/>
      <c r="J461"/>
    </row>
    <row r="462" spans="1:10" ht="15" customHeight="1" x14ac:dyDescent="0.15">
      <c r="A462"/>
      <c r="B462"/>
      <c r="C462"/>
      <c r="D462"/>
      <c r="E462"/>
      <c r="F462"/>
      <c r="G462"/>
      <c r="H462"/>
      <c r="I462"/>
      <c r="J462"/>
    </row>
    <row r="463" spans="1:10" ht="15" customHeight="1" x14ac:dyDescent="0.15">
      <c r="A463"/>
      <c r="B463"/>
      <c r="C463"/>
      <c r="D463"/>
      <c r="E463"/>
      <c r="F463"/>
      <c r="G463"/>
      <c r="H463"/>
      <c r="I463"/>
      <c r="J463"/>
    </row>
    <row r="464" spans="1:10" ht="15" customHeight="1" x14ac:dyDescent="0.15">
      <c r="A464"/>
      <c r="B464"/>
      <c r="C464"/>
      <c r="D464"/>
      <c r="E464"/>
      <c r="F464"/>
      <c r="G464"/>
      <c r="H464"/>
      <c r="I464"/>
      <c r="J464"/>
    </row>
    <row r="465" spans="1:10" ht="15" customHeight="1" x14ac:dyDescent="0.15">
      <c r="A465"/>
      <c r="B465"/>
      <c r="C465"/>
      <c r="D465"/>
      <c r="E465"/>
      <c r="F465"/>
      <c r="G465"/>
      <c r="H465"/>
      <c r="I465"/>
      <c r="J465"/>
    </row>
    <row r="466" spans="1:10" ht="15" customHeight="1" x14ac:dyDescent="0.15">
      <c r="A466"/>
      <c r="B466"/>
      <c r="C466"/>
      <c r="D466"/>
      <c r="E466"/>
      <c r="F466"/>
      <c r="G466"/>
      <c r="H466"/>
      <c r="I466"/>
      <c r="J466"/>
    </row>
    <row r="467" spans="1:10" ht="15" customHeight="1" x14ac:dyDescent="0.15">
      <c r="A467"/>
      <c r="B467"/>
      <c r="C467"/>
      <c r="D467"/>
      <c r="E467"/>
      <c r="F467"/>
      <c r="G467"/>
      <c r="H467"/>
      <c r="I467"/>
      <c r="J467"/>
    </row>
    <row r="468" spans="1:10" ht="15" customHeight="1" x14ac:dyDescent="0.15">
      <c r="A468"/>
      <c r="B468"/>
      <c r="C468"/>
      <c r="D468"/>
      <c r="E468"/>
      <c r="F468"/>
      <c r="G468"/>
      <c r="H468"/>
      <c r="I468"/>
      <c r="J468"/>
    </row>
    <row r="469" spans="1:10" ht="15" customHeight="1" x14ac:dyDescent="0.15">
      <c r="A469"/>
      <c r="B469"/>
      <c r="C469"/>
      <c r="D469"/>
      <c r="E469"/>
      <c r="F469"/>
      <c r="G469"/>
      <c r="H469"/>
      <c r="I469"/>
      <c r="J469"/>
    </row>
    <row r="470" spans="1:10" ht="15" customHeight="1" x14ac:dyDescent="0.15">
      <c r="A470"/>
      <c r="B470"/>
      <c r="C470"/>
      <c r="D470"/>
      <c r="E470"/>
      <c r="F470"/>
      <c r="G470"/>
      <c r="H470"/>
      <c r="I470"/>
      <c r="J470"/>
    </row>
    <row r="471" spans="1:10" ht="15" customHeight="1" x14ac:dyDescent="0.15">
      <c r="A471"/>
      <c r="B471"/>
      <c r="C471"/>
      <c r="D471"/>
      <c r="E471"/>
      <c r="F471"/>
      <c r="G471"/>
      <c r="H471"/>
      <c r="I471"/>
      <c r="J471"/>
    </row>
    <row r="472" spans="1:10" ht="15" customHeight="1" x14ac:dyDescent="0.15">
      <c r="A472"/>
      <c r="B472"/>
      <c r="C472"/>
      <c r="D472"/>
      <c r="E472"/>
      <c r="F472"/>
      <c r="G472"/>
      <c r="H472"/>
      <c r="I472"/>
      <c r="J472"/>
    </row>
    <row r="473" spans="1:10" ht="15" customHeight="1" x14ac:dyDescent="0.15">
      <c r="A473"/>
      <c r="B473"/>
      <c r="C473"/>
      <c r="D473"/>
      <c r="E473"/>
      <c r="F473"/>
      <c r="G473"/>
      <c r="H473"/>
      <c r="I473"/>
      <c r="J473"/>
    </row>
    <row r="474" spans="1:10" ht="15" customHeight="1" x14ac:dyDescent="0.15">
      <c r="A474"/>
      <c r="B474"/>
      <c r="C474"/>
      <c r="D474"/>
      <c r="E474"/>
      <c r="F474"/>
      <c r="G474"/>
      <c r="H474"/>
      <c r="I474"/>
      <c r="J474"/>
    </row>
    <row r="475" spans="1:10" ht="15" customHeight="1" x14ac:dyDescent="0.15">
      <c r="A475"/>
      <c r="B475"/>
      <c r="C475"/>
      <c r="D475"/>
      <c r="E475"/>
      <c r="F475"/>
      <c r="G475"/>
      <c r="H475"/>
      <c r="I475"/>
      <c r="J475"/>
    </row>
    <row r="476" spans="1:10" ht="15" customHeight="1" x14ac:dyDescent="0.15">
      <c r="A476"/>
      <c r="B476"/>
      <c r="C476"/>
      <c r="D476"/>
      <c r="E476"/>
      <c r="F476"/>
      <c r="G476"/>
      <c r="H476"/>
      <c r="I476"/>
      <c r="J476"/>
    </row>
    <row r="477" spans="1:10" ht="15" customHeight="1" x14ac:dyDescent="0.15">
      <c r="A477"/>
      <c r="B477"/>
      <c r="C477"/>
      <c r="D477"/>
      <c r="E477"/>
      <c r="F477"/>
      <c r="G477"/>
      <c r="H477"/>
      <c r="I477"/>
      <c r="J477"/>
    </row>
    <row r="478" spans="1:10" ht="15" customHeight="1" x14ac:dyDescent="0.15">
      <c r="A478"/>
      <c r="B478"/>
      <c r="C478"/>
      <c r="D478"/>
      <c r="E478"/>
      <c r="F478"/>
      <c r="G478"/>
      <c r="H478"/>
      <c r="I478"/>
      <c r="J478"/>
    </row>
    <row r="479" spans="1:10" ht="15" customHeight="1" x14ac:dyDescent="0.15">
      <c r="A479"/>
      <c r="B479"/>
      <c r="C479"/>
      <c r="D479"/>
      <c r="E479"/>
      <c r="F479"/>
      <c r="G479"/>
      <c r="H479"/>
      <c r="I479"/>
      <c r="J479"/>
    </row>
    <row r="480" spans="1:10" ht="15" customHeight="1" x14ac:dyDescent="0.15">
      <c r="A480"/>
      <c r="B480"/>
      <c r="C480"/>
      <c r="D480"/>
      <c r="E480"/>
      <c r="F480"/>
      <c r="G480"/>
      <c r="H480"/>
      <c r="I480"/>
      <c r="J480"/>
    </row>
    <row r="481" spans="1:10" ht="15" customHeight="1" x14ac:dyDescent="0.15">
      <c r="A481"/>
      <c r="B481"/>
      <c r="C481"/>
      <c r="D481"/>
      <c r="E481"/>
      <c r="F481"/>
      <c r="G481"/>
      <c r="H481"/>
      <c r="I481"/>
      <c r="J481"/>
    </row>
    <row r="482" spans="1:10" ht="15" customHeight="1" x14ac:dyDescent="0.15">
      <c r="A482"/>
      <c r="B482"/>
      <c r="C482"/>
      <c r="D482"/>
      <c r="E482"/>
      <c r="F482"/>
      <c r="G482"/>
      <c r="H482"/>
      <c r="I482"/>
      <c r="J482"/>
    </row>
    <row r="483" spans="1:10" ht="15" customHeight="1" x14ac:dyDescent="0.15">
      <c r="A483"/>
      <c r="B483"/>
      <c r="C483"/>
      <c r="D483"/>
      <c r="E483"/>
      <c r="F483"/>
      <c r="G483"/>
      <c r="H483"/>
      <c r="I483"/>
      <c r="J483"/>
    </row>
    <row r="484" spans="1:10" ht="15" customHeight="1" x14ac:dyDescent="0.15">
      <c r="A484"/>
      <c r="B484"/>
      <c r="C484"/>
      <c r="D484"/>
      <c r="E484"/>
      <c r="F484"/>
      <c r="G484"/>
      <c r="H484"/>
      <c r="I484"/>
      <c r="J484"/>
    </row>
    <row r="485" spans="1:10" ht="15" customHeight="1" x14ac:dyDescent="0.15">
      <c r="A485"/>
      <c r="B485"/>
      <c r="C485"/>
      <c r="D485"/>
      <c r="E485"/>
      <c r="F485"/>
      <c r="G485"/>
      <c r="H485"/>
      <c r="I485"/>
      <c r="J485"/>
    </row>
    <row r="486" spans="1:10" ht="15" customHeight="1" x14ac:dyDescent="0.15">
      <c r="A486"/>
      <c r="B486"/>
      <c r="C486"/>
      <c r="D486"/>
      <c r="E486"/>
      <c r="F486"/>
      <c r="G486"/>
      <c r="H486"/>
      <c r="I486"/>
      <c r="J486"/>
    </row>
    <row r="487" spans="1:10" ht="15" customHeight="1" x14ac:dyDescent="0.15">
      <c r="A487"/>
      <c r="B487"/>
      <c r="C487"/>
      <c r="D487"/>
      <c r="E487"/>
      <c r="F487"/>
      <c r="G487"/>
      <c r="H487"/>
      <c r="I487"/>
      <c r="J487"/>
    </row>
    <row r="488" spans="1:10" ht="15" customHeight="1" x14ac:dyDescent="0.15">
      <c r="A488"/>
      <c r="B488"/>
      <c r="C488"/>
      <c r="D488"/>
      <c r="E488"/>
      <c r="F488"/>
      <c r="G488"/>
      <c r="H488"/>
      <c r="I488"/>
      <c r="J488"/>
    </row>
    <row r="489" spans="1:10" ht="15" customHeight="1" x14ac:dyDescent="0.15">
      <c r="A489"/>
      <c r="B489"/>
      <c r="C489"/>
      <c r="D489"/>
      <c r="E489"/>
      <c r="F489"/>
      <c r="G489"/>
      <c r="H489"/>
      <c r="I489"/>
      <c r="J489"/>
    </row>
    <row r="490" spans="1:10" ht="15" customHeight="1" x14ac:dyDescent="0.15">
      <c r="A490"/>
      <c r="B490"/>
      <c r="C490"/>
      <c r="D490"/>
      <c r="E490"/>
      <c r="F490"/>
      <c r="G490"/>
      <c r="H490"/>
      <c r="I490"/>
      <c r="J490"/>
    </row>
    <row r="491" spans="1:10" ht="15" customHeight="1" x14ac:dyDescent="0.15">
      <c r="A491"/>
      <c r="B491"/>
      <c r="C491"/>
      <c r="D491"/>
      <c r="E491"/>
      <c r="F491"/>
      <c r="G491"/>
      <c r="H491"/>
      <c r="I491"/>
      <c r="J491"/>
    </row>
    <row r="492" spans="1:10" ht="15" customHeight="1" x14ac:dyDescent="0.15">
      <c r="A492"/>
      <c r="B492"/>
      <c r="C492"/>
      <c r="D492"/>
      <c r="E492"/>
      <c r="F492"/>
      <c r="G492"/>
      <c r="H492"/>
      <c r="I492"/>
      <c r="J492"/>
    </row>
    <row r="493" spans="1:10" ht="15" customHeight="1" x14ac:dyDescent="0.15">
      <c r="A493"/>
      <c r="B493"/>
      <c r="C493"/>
      <c r="D493"/>
      <c r="E493"/>
      <c r="F493"/>
      <c r="G493"/>
      <c r="H493"/>
      <c r="I493"/>
      <c r="J493"/>
    </row>
    <row r="494" spans="1:10" ht="15" customHeight="1" x14ac:dyDescent="0.15">
      <c r="A494"/>
      <c r="B494"/>
      <c r="C494"/>
      <c r="D494"/>
      <c r="E494"/>
      <c r="F494"/>
      <c r="G494"/>
      <c r="H494"/>
      <c r="I494"/>
      <c r="J494"/>
    </row>
    <row r="495" spans="1:10" ht="15" customHeight="1" x14ac:dyDescent="0.15">
      <c r="A495"/>
      <c r="B495"/>
      <c r="C495"/>
      <c r="D495"/>
      <c r="E495"/>
      <c r="F495"/>
      <c r="G495"/>
      <c r="H495"/>
      <c r="I495"/>
      <c r="J495"/>
    </row>
    <row r="496" spans="1:10" ht="15" customHeight="1" x14ac:dyDescent="0.15">
      <c r="A496"/>
      <c r="B496"/>
      <c r="C496"/>
      <c r="D496"/>
      <c r="E496"/>
      <c r="F496"/>
      <c r="G496"/>
      <c r="H496"/>
      <c r="I496"/>
      <c r="J496"/>
    </row>
    <row r="497" spans="1:10" ht="15" customHeight="1" x14ac:dyDescent="0.15">
      <c r="A497"/>
      <c r="B497"/>
      <c r="C497"/>
      <c r="D497"/>
      <c r="E497"/>
      <c r="F497"/>
      <c r="G497"/>
      <c r="H497"/>
      <c r="I497"/>
      <c r="J497"/>
    </row>
    <row r="498" spans="1:10" ht="15" customHeight="1" x14ac:dyDescent="0.15">
      <c r="A498"/>
      <c r="B498"/>
      <c r="C498"/>
      <c r="D498"/>
      <c r="E498"/>
      <c r="F498"/>
      <c r="G498"/>
      <c r="H498"/>
      <c r="I498"/>
      <c r="J498"/>
    </row>
    <row r="499" spans="1:10" ht="15" customHeight="1" x14ac:dyDescent="0.15">
      <c r="A499"/>
      <c r="B499"/>
      <c r="C499"/>
      <c r="D499"/>
      <c r="E499"/>
      <c r="F499"/>
      <c r="G499"/>
      <c r="H499"/>
      <c r="I499"/>
      <c r="J499"/>
    </row>
    <row r="500" spans="1:10" ht="15" customHeight="1" x14ac:dyDescent="0.15">
      <c r="A500"/>
      <c r="B500"/>
      <c r="C500"/>
      <c r="D500"/>
      <c r="E500"/>
      <c r="F500"/>
      <c r="G500"/>
      <c r="H500"/>
      <c r="I500"/>
      <c r="J500"/>
    </row>
  </sheetData>
  <dataConsolidate/>
  <phoneticPr fontId="2" type="noConversion"/>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indexed="15"/>
  </sheetPr>
  <dimension ref="A1:HA500"/>
  <sheetViews>
    <sheetView zoomScale="125" zoomScaleNormal="125" zoomScalePageLayoutView="125" workbookViewId="0">
      <pane xSplit="3" ySplit="1" topLeftCell="D2" activePane="bottomRight" state="frozen"/>
      <selection pane="topRight" activeCell="D1" sqref="D1"/>
      <selection pane="bottomLeft" activeCell="A2" sqref="A2"/>
      <selection pane="bottomRight" activeCell="AX21" sqref="AX21"/>
    </sheetView>
  </sheetViews>
  <sheetFormatPr baseColWidth="10" defaultColWidth="8.83203125" defaultRowHeight="15" customHeight="1" x14ac:dyDescent="0.15"/>
  <cols>
    <col min="1" max="1" width="40.33203125" style="82" bestFit="1" customWidth="1"/>
    <col min="2" max="4" width="9.5" style="82" bestFit="1" customWidth="1"/>
    <col min="5" max="7" width="9" style="82" bestFit="1" customWidth="1"/>
    <col min="8" max="16" width="12.6640625" style="82" bestFit="1" customWidth="1"/>
    <col min="17" max="17" width="12.33203125" style="82" bestFit="1" customWidth="1"/>
    <col min="18" max="18" width="8.83203125" style="82"/>
    <col min="19" max="21" width="9.33203125" style="82" bestFit="1" customWidth="1"/>
    <col min="22" max="23" width="8.83203125" style="82"/>
    <col min="24" max="24" width="9.33203125" style="82" bestFit="1" customWidth="1"/>
    <col min="25" max="27" width="8.83203125" style="82"/>
    <col min="28" max="58" width="9" style="82" bestFit="1" customWidth="1"/>
    <col min="59" max="59" width="12.33203125" style="82" bestFit="1" customWidth="1"/>
    <col min="60" max="60" width="9" style="82" bestFit="1" customWidth="1"/>
    <col min="61" max="61" width="11.33203125" style="82" bestFit="1" customWidth="1"/>
    <col min="62" max="77" width="9" style="82" bestFit="1" customWidth="1"/>
    <col min="78" max="78" width="12.33203125" style="82" bestFit="1" customWidth="1"/>
    <col min="79" max="79" width="9" style="82" bestFit="1" customWidth="1"/>
    <col min="80" max="80" width="12.33203125" style="82" bestFit="1" customWidth="1"/>
    <col min="81" max="107" width="9" style="82" bestFit="1" customWidth="1"/>
    <col min="108" max="108" width="11.33203125" style="82" bestFit="1" customWidth="1"/>
    <col min="109" max="124" width="9" style="82" bestFit="1" customWidth="1"/>
    <col min="125" max="125" width="10.33203125" style="82" bestFit="1" customWidth="1"/>
    <col min="126" max="129" width="9.33203125" style="82" bestFit="1" customWidth="1"/>
    <col min="130" max="130" width="9" style="82" bestFit="1" customWidth="1"/>
    <col min="131" max="134" width="9.33203125" style="82" bestFit="1" customWidth="1"/>
    <col min="135" max="165" width="9" style="82" bestFit="1" customWidth="1"/>
    <col min="166" max="166" width="12.33203125" style="82" bestFit="1" customWidth="1"/>
    <col min="167" max="170" width="9" style="82" bestFit="1" customWidth="1"/>
    <col min="171" max="176" width="8.83203125" style="82"/>
    <col min="177" max="177" width="13.83203125" style="82" bestFit="1" customWidth="1"/>
    <col min="178" max="16384" width="8.83203125" style="82"/>
  </cols>
  <sheetData>
    <row r="1" spans="1:209" ht="15" customHeight="1" x14ac:dyDescent="0.15">
      <c r="A1" t="s">
        <v>15</v>
      </c>
      <c r="B1" t="s">
        <v>1</v>
      </c>
      <c r="C1" t="s">
        <v>16</v>
      </c>
      <c r="D1" t="s">
        <v>238</v>
      </c>
      <c r="E1" t="s">
        <v>192</v>
      </c>
      <c r="F1" t="s">
        <v>193</v>
      </c>
      <c r="G1" t="s">
        <v>194</v>
      </c>
      <c r="H1" t="s">
        <v>195</v>
      </c>
      <c r="I1" t="s">
        <v>196</v>
      </c>
      <c r="J1" t="s">
        <v>197</v>
      </c>
      <c r="K1" t="s">
        <v>198</v>
      </c>
      <c r="L1" t="s">
        <v>199</v>
      </c>
      <c r="M1" t="s">
        <v>200</v>
      </c>
      <c r="N1" t="s">
        <v>201</v>
      </c>
      <c r="O1" t="s">
        <v>202</v>
      </c>
      <c r="P1" t="s">
        <v>203</v>
      </c>
      <c r="Q1" t="s">
        <v>204</v>
      </c>
      <c r="R1" t="s">
        <v>205</v>
      </c>
      <c r="S1" t="s">
        <v>206</v>
      </c>
      <c r="T1" t="s">
        <v>207</v>
      </c>
      <c r="U1" t="s">
        <v>208</v>
      </c>
      <c r="V1" t="s">
        <v>209</v>
      </c>
      <c r="W1" t="s">
        <v>210</v>
      </c>
      <c r="X1" t="s">
        <v>211</v>
      </c>
      <c r="Y1" t="s">
        <v>212</v>
      </c>
      <c r="Z1" t="s">
        <v>213</v>
      </c>
      <c r="AA1" t="s">
        <v>214</v>
      </c>
      <c r="AB1" t="s">
        <v>215</v>
      </c>
      <c r="AC1" t="s">
        <v>216</v>
      </c>
      <c r="AD1" t="s">
        <v>217</v>
      </c>
      <c r="AE1" t="s">
        <v>218</v>
      </c>
      <c r="AF1" t="s">
        <v>219</v>
      </c>
      <c r="AG1" t="s">
        <v>220</v>
      </c>
      <c r="AH1" t="s">
        <v>221</v>
      </c>
      <c r="AI1" t="s">
        <v>222</v>
      </c>
      <c r="AJ1" t="s">
        <v>223</v>
      </c>
      <c r="AK1" t="s">
        <v>224</v>
      </c>
      <c r="AL1" t="s">
        <v>225</v>
      </c>
      <c r="AM1" t="s">
        <v>226</v>
      </c>
      <c r="AN1" t="s">
        <v>227</v>
      </c>
      <c r="AO1" t="s">
        <v>228</v>
      </c>
      <c r="AP1" t="s">
        <v>229</v>
      </c>
      <c r="AQ1" t="s">
        <v>230</v>
      </c>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row>
    <row r="2" spans="1:209" ht="15" customHeight="1" x14ac:dyDescent="0.15">
      <c r="A2" t="s">
        <v>192</v>
      </c>
      <c r="B2">
        <v>1.9999999552965164E-2</v>
      </c>
      <c r="C2">
        <v>1.9999999552965164E-2</v>
      </c>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row>
    <row r="3" spans="1:209" ht="15" customHeight="1" x14ac:dyDescent="0.15">
      <c r="A3" t="s">
        <v>193</v>
      </c>
      <c r="B3">
        <v>3.4000001847743988E-2</v>
      </c>
      <c r="C3">
        <v>2.3271655663847923E-3</v>
      </c>
      <c r="D3" s="219">
        <v>2.6384014636278152E-2</v>
      </c>
      <c r="E3"/>
      <c r="F3"/>
      <c r="G3"/>
      <c r="H3"/>
      <c r="I3"/>
      <c r="J3"/>
      <c r="K3"/>
      <c r="L3"/>
      <c r="M3"/>
      <c r="N3"/>
      <c r="O3" s="229">
        <v>5.2888235077261925E-3</v>
      </c>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row>
    <row r="4" spans="1:209" ht="15" customHeight="1" x14ac:dyDescent="0.15">
      <c r="A4" t="s">
        <v>194</v>
      </c>
      <c r="B4">
        <v>9.6299998462200165E-2</v>
      </c>
      <c r="C4">
        <v>3.4711413085460663E-2</v>
      </c>
      <c r="D4" s="220">
        <v>4.0616285055875778E-2</v>
      </c>
      <c r="E4" s="234">
        <v>1.2797784060239792E-2</v>
      </c>
      <c r="F4"/>
      <c r="G4"/>
      <c r="H4"/>
      <c r="I4"/>
      <c r="J4"/>
      <c r="K4"/>
      <c r="L4"/>
      <c r="M4"/>
      <c r="N4"/>
      <c r="O4" s="233">
        <v>8.1745143979787827E-3</v>
      </c>
      <c r="P4"/>
      <c r="Q4"/>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row>
    <row r="5" spans="1:209" ht="15" customHeight="1" x14ac:dyDescent="0.15">
      <c r="A5" t="s">
        <v>195</v>
      </c>
      <c r="B5">
        <v>2.0199999213218689E-2</v>
      </c>
      <c r="C5">
        <v>2.0199999213218689E-2</v>
      </c>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row>
    <row r="6" spans="1:209" ht="15" customHeight="1" x14ac:dyDescent="0.15">
      <c r="A6" t="s">
        <v>196</v>
      </c>
      <c r="B6">
        <v>0.5899999737739563</v>
      </c>
      <c r="C6">
        <v>0.10757136344909668</v>
      </c>
      <c r="D6"/>
      <c r="E6" s="226">
        <v>0.33924204111099243</v>
      </c>
      <c r="F6"/>
      <c r="G6"/>
      <c r="H6"/>
      <c r="I6"/>
      <c r="J6"/>
      <c r="K6"/>
      <c r="L6"/>
      <c r="M6"/>
      <c r="N6"/>
      <c r="O6" s="225">
        <v>0.14318656921386719</v>
      </c>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row>
    <row r="7" spans="1:209" ht="15" customHeight="1" x14ac:dyDescent="0.15">
      <c r="A7" t="s">
        <v>197</v>
      </c>
      <c r="B7">
        <v>0.18999999761581421</v>
      </c>
      <c r="C7">
        <v>4.7557495534420013E-2</v>
      </c>
      <c r="D7"/>
      <c r="E7" s="230">
        <v>0.13343153893947601</v>
      </c>
      <c r="F7"/>
      <c r="G7"/>
      <c r="H7"/>
      <c r="I7"/>
      <c r="J7"/>
      <c r="K7"/>
      <c r="L7"/>
      <c r="M7"/>
      <c r="N7"/>
      <c r="O7" s="29">
        <v>9.0109603479504585E-3</v>
      </c>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row>
    <row r="8" spans="1:209" ht="15" customHeight="1" x14ac:dyDescent="0.15">
      <c r="A8" t="s">
        <v>198</v>
      </c>
      <c r="B8">
        <v>0.10999999940395355</v>
      </c>
      <c r="C8">
        <v>3.2999996095895767E-2</v>
      </c>
      <c r="D8"/>
      <c r="E8" s="238">
        <v>7.6999999582767487E-2</v>
      </c>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row>
    <row r="9" spans="1:209" ht="15" customHeight="1" x14ac:dyDescent="0.15">
      <c r="A9" t="s">
        <v>199</v>
      </c>
      <c r="B9">
        <v>0.20999999344348907</v>
      </c>
      <c r="C9">
        <v>4.2134139686822891E-2</v>
      </c>
      <c r="D9"/>
      <c r="E9" s="248">
        <v>0.14104145765304565</v>
      </c>
      <c r="F9"/>
      <c r="G9"/>
      <c r="H9"/>
      <c r="I9"/>
      <c r="J9"/>
      <c r="K9"/>
      <c r="L9"/>
      <c r="M9"/>
      <c r="N9"/>
      <c r="O9" s="239">
        <v>2.6824388653039932E-2</v>
      </c>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row>
    <row r="10" spans="1:209" ht="15" customHeight="1" x14ac:dyDescent="0.15">
      <c r="A10" t="s">
        <v>200</v>
      </c>
      <c r="B10">
        <v>0.20999999344348907</v>
      </c>
      <c r="C10">
        <v>0.20999999344348907</v>
      </c>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row>
    <row r="11" spans="1:209" ht="15" customHeight="1" x14ac:dyDescent="0.15">
      <c r="A11" t="s">
        <v>201</v>
      </c>
      <c r="B11">
        <v>0.37999999523162842</v>
      </c>
      <c r="C11">
        <v>0.23186953365802765</v>
      </c>
      <c r="D11"/>
      <c r="E11" s="227">
        <v>1.2932483106851578E-2</v>
      </c>
      <c r="F11"/>
      <c r="G11"/>
      <c r="H11"/>
      <c r="I11"/>
      <c r="J11" s="26">
        <v>9.8224245011806488E-3</v>
      </c>
      <c r="K11" s="235">
        <v>8.3515278995037079E-2</v>
      </c>
      <c r="L11"/>
      <c r="M11"/>
      <c r="N11" s="231">
        <v>3.4000005573034286E-2</v>
      </c>
      <c r="O11" s="65">
        <v>7.860260084271431E-3</v>
      </c>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row>
    <row r="12" spans="1:209" ht="15" customHeight="1" x14ac:dyDescent="0.15">
      <c r="A12" t="s">
        <v>202</v>
      </c>
      <c r="B12">
        <v>0.12999999523162842</v>
      </c>
      <c r="C12">
        <v>0.1208457350730896</v>
      </c>
      <c r="D12" s="11">
        <v>1.1826100671896711E-4</v>
      </c>
      <c r="E12"/>
      <c r="F12"/>
      <c r="G12"/>
      <c r="H12"/>
      <c r="I12"/>
      <c r="J12"/>
      <c r="K12"/>
      <c r="L12"/>
      <c r="M12"/>
      <c r="N12"/>
      <c r="O12"/>
      <c r="P12" s="228">
        <v>9.0359998866915703E-3</v>
      </c>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row>
    <row r="13" spans="1:209" ht="15" customHeight="1" x14ac:dyDescent="0.15">
      <c r="A13" t="s">
        <v>203</v>
      </c>
      <c r="B13">
        <v>0.11999999731779099</v>
      </c>
      <c r="C13">
        <v>3.5308413207530975E-2</v>
      </c>
      <c r="D13" s="11">
        <v>2.2338246708386578E-5</v>
      </c>
      <c r="E13"/>
      <c r="F13" s="257">
        <v>5.1333598792552948E-2</v>
      </c>
      <c r="G13"/>
      <c r="H13"/>
      <c r="I13"/>
      <c r="J13" s="23">
        <v>6.9899670779705048E-4</v>
      </c>
      <c r="K13" s="64">
        <v>6.60358602181077E-3</v>
      </c>
      <c r="L13"/>
      <c r="M13"/>
      <c r="N13"/>
      <c r="O13" s="108">
        <v>8.0330679193139076E-3</v>
      </c>
      <c r="P13" s="246">
        <v>1.7999999225139618E-2</v>
      </c>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row>
    <row r="14" spans="1:209" ht="15" customHeight="1" x14ac:dyDescent="0.15">
      <c r="A14" t="s">
        <v>204</v>
      </c>
      <c r="B14">
        <v>2.0999999046325684</v>
      </c>
      <c r="C14">
        <v>1.3743124008178711</v>
      </c>
      <c r="D14" s="221">
        <v>0.48817738890647888</v>
      </c>
      <c r="E14"/>
      <c r="F14" s="12">
        <v>7.0695891045033932E-3</v>
      </c>
      <c r="G14" s="11">
        <v>3.1963930814526975E-4</v>
      </c>
      <c r="H14"/>
      <c r="I14"/>
      <c r="J14" s="23">
        <v>1.1822992004454136E-2</v>
      </c>
      <c r="K14" s="147">
        <v>6.0356885194778442E-2</v>
      </c>
      <c r="L14" s="68">
        <v>0.10656230896711349</v>
      </c>
      <c r="M14"/>
      <c r="N14"/>
      <c r="O14" s="11">
        <v>3.5603597643785179E-4</v>
      </c>
      <c r="P14" s="22">
        <v>1.5765512362122536E-2</v>
      </c>
      <c r="Q14" s="11">
        <v>5.5708317086100578E-4</v>
      </c>
      <c r="R14" s="11">
        <v>5.6983309332281351E-4</v>
      </c>
      <c r="S14"/>
      <c r="T14"/>
      <c r="U14"/>
      <c r="V14"/>
      <c r="W14"/>
      <c r="X14"/>
      <c r="Y14"/>
      <c r="Z14" s="14">
        <v>5.1973899826407433E-3</v>
      </c>
      <c r="AA14"/>
      <c r="AB14"/>
      <c r="AC14" s="12">
        <v>7.5470269657671452E-3</v>
      </c>
      <c r="AD14"/>
      <c r="AE14" s="22">
        <v>1.6338406130671501E-2</v>
      </c>
      <c r="AF14"/>
      <c r="AG14"/>
      <c r="AH14" s="14">
        <v>5.0473329611122608E-3</v>
      </c>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row>
    <row r="15" spans="1:209" ht="15" customHeight="1" x14ac:dyDescent="0.15">
      <c r="A15" t="s">
        <v>205</v>
      </c>
      <c r="B15">
        <v>0.2199999988079071</v>
      </c>
      <c r="C15">
        <v>1.1000041849911213E-2</v>
      </c>
      <c r="D15"/>
      <c r="E15"/>
      <c r="F15" s="237">
        <v>2.5644136592745781E-2</v>
      </c>
      <c r="G15"/>
      <c r="H15"/>
      <c r="I15"/>
      <c r="J15" s="22">
        <v>1.6983319073915482E-3</v>
      </c>
      <c r="K15" s="20">
        <v>9.6267256885766983E-3</v>
      </c>
      <c r="L15" s="107">
        <v>3.4349597990512848E-2</v>
      </c>
      <c r="M15"/>
      <c r="N15"/>
      <c r="O15" s="232">
        <v>9.9664907902479172E-3</v>
      </c>
      <c r="P15" s="243">
        <v>6.9974534213542938E-2</v>
      </c>
      <c r="Q15"/>
      <c r="R15" s="16">
        <v>3.299670061096549E-3</v>
      </c>
      <c r="S15"/>
      <c r="T15"/>
      <c r="U15"/>
      <c r="V15"/>
      <c r="W15"/>
      <c r="X15"/>
      <c r="Y15"/>
      <c r="Z15"/>
      <c r="AA15"/>
      <c r="AB15"/>
      <c r="AC15"/>
      <c r="AD15"/>
      <c r="AE15" s="28">
        <v>7.6884226873517036E-3</v>
      </c>
      <c r="AF15"/>
      <c r="AG15"/>
      <c r="AH15" s="241">
        <v>4.6752054244279861E-2</v>
      </c>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row>
    <row r="16" spans="1:209" ht="15" customHeight="1" x14ac:dyDescent="0.15">
      <c r="A16" t="s">
        <v>206</v>
      </c>
      <c r="B16">
        <v>0.88999998569488525</v>
      </c>
      <c r="C16">
        <v>4.4497624039649963E-2</v>
      </c>
      <c r="D16" s="9">
        <v>3.3015604139485788E-10</v>
      </c>
      <c r="E16"/>
      <c r="F16" s="12">
        <v>3.8011523429304361E-3</v>
      </c>
      <c r="G16" s="15">
        <v>9.3437591567635536E-3</v>
      </c>
      <c r="H16"/>
      <c r="I16"/>
      <c r="J16" s="11">
        <v>3.2913015456870198E-4</v>
      </c>
      <c r="K16" s="21">
        <v>1.7938673496246338E-2</v>
      </c>
      <c r="L16" s="142">
        <v>0.1920236349105835</v>
      </c>
      <c r="M16"/>
      <c r="N16" s="234">
        <v>0.11931698769330978</v>
      </c>
      <c r="O16" s="11">
        <v>2.8561183717101812E-4</v>
      </c>
      <c r="P16" s="240">
        <v>2.053678035736084E-2</v>
      </c>
      <c r="Q16" s="26">
        <v>2.2728798910975456E-2</v>
      </c>
      <c r="R16" s="12">
        <v>3.2792992424219847E-3</v>
      </c>
      <c r="S16" s="232">
        <v>4.0494997054338455E-2</v>
      </c>
      <c r="T16"/>
      <c r="U16"/>
      <c r="V16" s="11">
        <v>7.6510111102834344E-4</v>
      </c>
      <c r="W16" s="147">
        <v>2.5871973484754562E-2</v>
      </c>
      <c r="X16"/>
      <c r="Y16" s="22">
        <v>7.5075556524097919E-3</v>
      </c>
      <c r="Z16" s="17">
        <v>1.2206519022583961E-2</v>
      </c>
      <c r="AA16" s="26">
        <v>2.3541167378425598E-2</v>
      </c>
      <c r="AB16" s="253">
        <v>9.653831273317337E-2</v>
      </c>
      <c r="AC16" s="147">
        <v>2.5375837460160255E-2</v>
      </c>
      <c r="AD16" s="67">
        <v>8.2008972764015198E-2</v>
      </c>
      <c r="AE16" s="19">
        <v>1.5444281511008739E-2</v>
      </c>
      <c r="AF16" s="232">
        <v>4.0419731289148331E-2</v>
      </c>
      <c r="AG16" s="15">
        <v>8.0614015460014343E-3</v>
      </c>
      <c r="AH16" s="11">
        <v>1.3939027849119157E-4</v>
      </c>
      <c r="AI16" s="12">
        <v>4.1561624966561794E-3</v>
      </c>
      <c r="AJ16"/>
      <c r="AK16"/>
      <c r="AL16"/>
      <c r="AM16" s="266">
        <v>7.3387011885643005E-2</v>
      </c>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row>
    <row r="17" spans="1:209" ht="15" customHeight="1" x14ac:dyDescent="0.15">
      <c r="A17" t="s">
        <v>207</v>
      </c>
      <c r="B17">
        <v>1.1499999761581421</v>
      </c>
      <c r="C17">
        <v>0.46867546439170837</v>
      </c>
      <c r="D17"/>
      <c r="E17"/>
      <c r="F17"/>
      <c r="G17" s="23">
        <v>7.2476170025765896E-3</v>
      </c>
      <c r="H17"/>
      <c r="I17"/>
      <c r="J17" s="23">
        <v>6.8199844099581242E-3</v>
      </c>
      <c r="K17" s="227">
        <v>3.8250003010034561E-2</v>
      </c>
      <c r="L17" s="271">
        <v>0.20017319917678833</v>
      </c>
      <c r="M17"/>
      <c r="N17" s="251">
        <v>8.4836266934871674E-2</v>
      </c>
      <c r="O17"/>
      <c r="P17" s="14">
        <v>2.3400923237204552E-3</v>
      </c>
      <c r="Q17" s="15">
        <v>1.1667215265333652E-2</v>
      </c>
      <c r="R17" s="14">
        <v>1.3838992454111576E-3</v>
      </c>
      <c r="S17" s="242">
        <v>4.491259902715683E-2</v>
      </c>
      <c r="T17"/>
      <c r="U17"/>
      <c r="V17" s="11">
        <v>1.200277911266312E-4</v>
      </c>
      <c r="W17" s="14">
        <v>2.3072308395057917E-3</v>
      </c>
      <c r="X17"/>
      <c r="Y17" s="240">
        <v>2.7129510417580605E-2</v>
      </c>
      <c r="Z17" s="65">
        <v>2.3919587954878807E-2</v>
      </c>
      <c r="AA17" s="12">
        <v>5.428999662399292E-3</v>
      </c>
      <c r="AB17" s="252">
        <v>9.1646164655685425E-2</v>
      </c>
      <c r="AC17" s="240">
        <v>2.7036000043153763E-2</v>
      </c>
      <c r="AD17" s="264">
        <v>6.0001853853464127E-2</v>
      </c>
      <c r="AE17" s="22">
        <v>9.0830912813544273E-3</v>
      </c>
      <c r="AF17" s="23">
        <v>7.2707985527813435E-3</v>
      </c>
      <c r="AG17" s="17">
        <v>1.5840880572795868E-2</v>
      </c>
      <c r="AH17"/>
      <c r="AI17"/>
      <c r="AJ17"/>
      <c r="AK17"/>
      <c r="AL17"/>
      <c r="AM17" s="18">
        <v>1.3909380882978439E-2</v>
      </c>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row>
    <row r="18" spans="1:209" ht="15" customHeight="1" x14ac:dyDescent="0.15">
      <c r="A18" t="s">
        <v>208</v>
      </c>
      <c r="B18">
        <v>1.2699999809265137</v>
      </c>
      <c r="C18">
        <v>1.0737519711256027E-2</v>
      </c>
      <c r="D18" s="222">
        <v>0.53797101974487305</v>
      </c>
      <c r="E18"/>
      <c r="F18" s="14">
        <v>1.7451893072575331E-3</v>
      </c>
      <c r="G18" s="28">
        <v>4.5706875622272491E-2</v>
      </c>
      <c r="H18"/>
      <c r="I18"/>
      <c r="J18" s="65">
        <v>2.7122419327497482E-2</v>
      </c>
      <c r="K18" s="267">
        <v>0.14413043856620789</v>
      </c>
      <c r="L18" s="108">
        <v>8.5713163018226624E-2</v>
      </c>
      <c r="M18"/>
      <c r="N18" s="11">
        <v>4.6941690379753709E-4</v>
      </c>
      <c r="O18" s="11">
        <v>3.2028983696363866E-4</v>
      </c>
      <c r="P18" s="227">
        <v>4.2167998850345612E-2</v>
      </c>
      <c r="Q18" s="264">
        <v>6.7636027932167053E-2</v>
      </c>
      <c r="R18" s="22">
        <v>1.0242755524814129E-2</v>
      </c>
      <c r="S18"/>
      <c r="T18"/>
      <c r="U18"/>
      <c r="V18"/>
      <c r="W18" s="11">
        <v>5.2163476357236505E-4</v>
      </c>
      <c r="X18"/>
      <c r="Y18" s="18">
        <v>1.4498051255941391E-2</v>
      </c>
      <c r="Z18" s="21">
        <v>2.5083053857088089E-2</v>
      </c>
      <c r="AA18" s="17">
        <v>1.6768114641308784E-2</v>
      </c>
      <c r="AB18" s="240">
        <v>3.0028983950614929E-2</v>
      </c>
      <c r="AC18" s="65">
        <v>2.7130434289574623E-2</v>
      </c>
      <c r="AD18" s="66">
        <v>5.2175518125295639E-2</v>
      </c>
      <c r="AE18" s="19">
        <v>2.3022066801786423E-2</v>
      </c>
      <c r="AF18" s="26">
        <v>3.3411230891942978E-2</v>
      </c>
      <c r="AG18" s="25">
        <v>4.0640182793140411E-2</v>
      </c>
      <c r="AH18"/>
      <c r="AI18"/>
      <c r="AJ18"/>
      <c r="AK18"/>
      <c r="AL18"/>
      <c r="AM18" s="26">
        <v>3.2757598906755447E-2</v>
      </c>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row>
    <row r="19" spans="1:209" ht="15" customHeight="1" x14ac:dyDescent="0.15">
      <c r="A19" t="s">
        <v>209</v>
      </c>
      <c r="B19">
        <v>1.2000000476837158</v>
      </c>
      <c r="C19">
        <v>0.13198815286159515</v>
      </c>
      <c r="D19"/>
      <c r="E19"/>
      <c r="F19"/>
      <c r="G19" s="19">
        <v>2.1878054365515709E-2</v>
      </c>
      <c r="H19"/>
      <c r="I19"/>
      <c r="J19" s="15">
        <v>1.0818679817020893E-2</v>
      </c>
      <c r="K19" s="149">
        <v>0.30661985278129578</v>
      </c>
      <c r="L19" s="111">
        <v>0.21881312131881714</v>
      </c>
      <c r="M19"/>
      <c r="N19" s="25">
        <v>3.7448510527610779E-2</v>
      </c>
      <c r="O19" s="14">
        <v>2.4048616178333759E-3</v>
      </c>
      <c r="P19" s="15">
        <v>1.1143757961690426E-2</v>
      </c>
      <c r="Q19"/>
      <c r="R19" s="19">
        <v>2.1019492298364639E-2</v>
      </c>
      <c r="S19"/>
      <c r="T19"/>
      <c r="U19"/>
      <c r="V19" s="12">
        <v>4.1235741227865219E-3</v>
      </c>
      <c r="W19" s="29">
        <v>5.5485710501670837E-2</v>
      </c>
      <c r="X19"/>
      <c r="Y19" s="24">
        <v>3.3769521862268448E-2</v>
      </c>
      <c r="Z19" s="232">
        <v>5.3361129015684128E-2</v>
      </c>
      <c r="AA19" s="236">
        <v>0.10701633244752884</v>
      </c>
      <c r="AB19"/>
      <c r="AC19"/>
      <c r="AD19" s="19">
        <v>2.2197185084223747E-2</v>
      </c>
      <c r="AE19"/>
      <c r="AF19"/>
      <c r="AG19" s="25">
        <v>3.6474060267210007E-2</v>
      </c>
      <c r="AH19"/>
      <c r="AI19"/>
      <c r="AJ19"/>
      <c r="AK19"/>
      <c r="AL19"/>
      <c r="AM19" s="223">
        <v>0.12543801963329315</v>
      </c>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row>
    <row r="20" spans="1:209" ht="15" customHeight="1" x14ac:dyDescent="0.15">
      <c r="A20" t="s">
        <v>210</v>
      </c>
      <c r="B20">
        <v>0.30000001192092896</v>
      </c>
      <c r="C20">
        <v>3.914618119597435E-2</v>
      </c>
      <c r="D20"/>
      <c r="E20"/>
      <c r="F20"/>
      <c r="G20" s="23">
        <v>1.5768873272463679E-3</v>
      </c>
      <c r="H20"/>
      <c r="I20"/>
      <c r="J20" s="147">
        <v>8.7724067270755768E-3</v>
      </c>
      <c r="K20" s="77">
        <v>6.6299997270107269E-2</v>
      </c>
      <c r="L20" s="110">
        <v>8.8713124394416809E-2</v>
      </c>
      <c r="M20"/>
      <c r="N20" s="65">
        <v>6.275517400354147E-3</v>
      </c>
      <c r="O20" s="12">
        <v>1.3584998669102788E-3</v>
      </c>
      <c r="P20" s="68">
        <v>1.5059999190270901E-2</v>
      </c>
      <c r="Q20"/>
      <c r="R20" s="23">
        <v>1.8369442550465465E-3</v>
      </c>
      <c r="S20"/>
      <c r="T20"/>
      <c r="U20"/>
      <c r="V20"/>
      <c r="W20" s="245">
        <v>1.7096580937504768E-2</v>
      </c>
      <c r="X20"/>
      <c r="Y20" s="21">
        <v>5.8415504172444344E-3</v>
      </c>
      <c r="Z20"/>
      <c r="AA20"/>
      <c r="AB20"/>
      <c r="AC20" s="240">
        <v>7.0199999026954174E-3</v>
      </c>
      <c r="AD20" s="15">
        <v>3.0000924598425627E-3</v>
      </c>
      <c r="AE20" s="236">
        <v>2.647537924349308E-2</v>
      </c>
      <c r="AF20" s="242">
        <v>1.1526874266564846E-2</v>
      </c>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row>
    <row r="21" spans="1:209" ht="15" customHeight="1" x14ac:dyDescent="0.15">
      <c r="A21" t="s">
        <v>211</v>
      </c>
      <c r="B21">
        <v>7.0000000298023224E-2</v>
      </c>
      <c r="C21">
        <v>1.1643406935036182E-2</v>
      </c>
      <c r="D21"/>
      <c r="E21"/>
      <c r="F21" s="242">
        <v>2.7659051120281219E-3</v>
      </c>
      <c r="G21" s="11">
        <v>4.9691829190123826E-5</v>
      </c>
      <c r="H21"/>
      <c r="I21"/>
      <c r="J21" s="22">
        <v>4.9145135562866926E-4</v>
      </c>
      <c r="K21" s="242">
        <v>2.7857143431901932E-3</v>
      </c>
      <c r="L21" s="76">
        <v>9.9398437887430191E-3</v>
      </c>
      <c r="M21"/>
      <c r="N21" s="11">
        <v>5.1034290663665161E-5</v>
      </c>
      <c r="O21" s="11">
        <v>1.2016805158054922E-5</v>
      </c>
      <c r="P21" s="11">
        <v>3.7966387026244774E-5</v>
      </c>
      <c r="Q21"/>
      <c r="R21"/>
      <c r="S21"/>
      <c r="T21"/>
      <c r="U21"/>
      <c r="V21"/>
      <c r="W21"/>
      <c r="X21"/>
      <c r="Y21"/>
      <c r="Z21"/>
      <c r="AA21"/>
      <c r="AB21" s="73">
        <v>6.5294113010168076E-3</v>
      </c>
      <c r="AC21" s="249">
        <v>7.8655453398823738E-3</v>
      </c>
      <c r="AD21" s="268">
        <v>2.521086111664772E-2</v>
      </c>
      <c r="AE21" s="25">
        <v>2.2248218301683664E-3</v>
      </c>
      <c r="AF21"/>
      <c r="AG21"/>
      <c r="AH21" s="23">
        <v>3.9233468123711646E-4</v>
      </c>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row>
    <row r="22" spans="1:209" ht="15" customHeight="1" x14ac:dyDescent="0.15">
      <c r="A22" t="s">
        <v>212</v>
      </c>
      <c r="B22">
        <v>0.10700000077486038</v>
      </c>
      <c r="C22">
        <v>5.3497017361223698E-3</v>
      </c>
      <c r="D22"/>
      <c r="E22"/>
      <c r="F22" s="258">
        <v>1.9263148307800293E-2</v>
      </c>
      <c r="G22" s="14">
        <v>2.8883933555334806E-4</v>
      </c>
      <c r="H22"/>
      <c r="I22"/>
      <c r="J22" s="240">
        <v>2.5709543842822313E-3</v>
      </c>
      <c r="K22" s="260">
        <v>2.4288410320878029E-2</v>
      </c>
      <c r="L22" s="67">
        <v>9.8797744140028954E-3</v>
      </c>
      <c r="M22"/>
      <c r="N22" s="23">
        <v>5.3395651048049331E-4</v>
      </c>
      <c r="O22" s="14">
        <v>1.7716252477839589E-4</v>
      </c>
      <c r="P22" s="147">
        <v>3.0454369261860847E-3</v>
      </c>
      <c r="Q22"/>
      <c r="R22"/>
      <c r="S22"/>
      <c r="T22"/>
      <c r="U22"/>
      <c r="V22"/>
      <c r="W22" s="14">
        <v>2.6371280546300113E-4</v>
      </c>
      <c r="X22"/>
      <c r="Y22"/>
      <c r="Z22"/>
      <c r="AA22"/>
      <c r="AB22" s="250">
        <v>1.2600373476743698E-2</v>
      </c>
      <c r="AC22" s="239">
        <v>1.3715808279812336E-2</v>
      </c>
      <c r="AD22" s="231">
        <v>9.6707344055175781E-3</v>
      </c>
      <c r="AE22"/>
      <c r="AF22"/>
      <c r="AG22" s="240">
        <v>2.5682090781629086E-3</v>
      </c>
      <c r="AH22" s="26">
        <v>2.7837695088237524E-3</v>
      </c>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row>
    <row r="23" spans="1:209" ht="15" customHeight="1" x14ac:dyDescent="0.15">
      <c r="A23" t="s">
        <v>213</v>
      </c>
      <c r="B23">
        <v>2.199999988079071E-2</v>
      </c>
      <c r="C23">
        <v>1.1000173399224877E-3</v>
      </c>
      <c r="D23"/>
      <c r="E23"/>
      <c r="F23" s="256">
        <v>4.591998178511858E-3</v>
      </c>
      <c r="G23" s="12">
        <v>7.5165888119954616E-5</v>
      </c>
      <c r="H23"/>
      <c r="I23"/>
      <c r="J23" s="23">
        <v>1.3381009921431541E-4</v>
      </c>
      <c r="K23" s="109">
        <v>3.7924060598015785E-3</v>
      </c>
      <c r="L23" s="255">
        <v>4.5106238685548306E-3</v>
      </c>
      <c r="M23"/>
      <c r="N23" s="65">
        <v>4.7861863276921213E-4</v>
      </c>
      <c r="O23" s="14">
        <v>4.6103759814286605E-5</v>
      </c>
      <c r="P23" s="24">
        <v>5.8578094467520714E-4</v>
      </c>
      <c r="Q23"/>
      <c r="R23"/>
      <c r="S23"/>
      <c r="T23"/>
      <c r="U23"/>
      <c r="V23"/>
      <c r="W23"/>
      <c r="X23"/>
      <c r="Y23"/>
      <c r="Z23" s="141">
        <v>2.8269717004150152E-3</v>
      </c>
      <c r="AA23"/>
      <c r="AB23" s="22">
        <v>1.5802645066287369E-4</v>
      </c>
      <c r="AC23" s="75">
        <v>1.4277293812483549E-3</v>
      </c>
      <c r="AD23" s="65">
        <v>4.5757388579659164E-4</v>
      </c>
      <c r="AE23" s="232">
        <v>1.00960663985461E-3</v>
      </c>
      <c r="AF23"/>
      <c r="AG23" s="22">
        <v>1.6708399925846606E-4</v>
      </c>
      <c r="AH23" s="147">
        <v>6.3848262652754784E-4</v>
      </c>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row>
    <row r="24" spans="1:209" ht="15" customHeight="1" x14ac:dyDescent="0.15">
      <c r="A24" t="s">
        <v>214</v>
      </c>
      <c r="B24">
        <v>0.12999999523162842</v>
      </c>
      <c r="C24">
        <v>8.2233257591724396E-2</v>
      </c>
      <c r="D24" s="223">
        <v>1.3539858162403107E-2</v>
      </c>
      <c r="E24"/>
      <c r="F24" s="15">
        <v>1.3530119322240353E-3</v>
      </c>
      <c r="G24"/>
      <c r="H24"/>
      <c r="I24"/>
      <c r="J24" s="11">
        <v>9.8566386441234499E-5</v>
      </c>
      <c r="K24" s="23">
        <v>7.4494385626167059E-4</v>
      </c>
      <c r="L24" s="251">
        <v>9.7019597887992859E-3</v>
      </c>
      <c r="M24"/>
      <c r="N24"/>
      <c r="O24" s="11">
        <v>1.0224718425888568E-4</v>
      </c>
      <c r="P24" s="253">
        <v>1.3909348286688328E-2</v>
      </c>
      <c r="Q24"/>
      <c r="R24"/>
      <c r="S24"/>
      <c r="T24"/>
      <c r="U24"/>
      <c r="V24"/>
      <c r="W24"/>
      <c r="X24"/>
      <c r="Y24" s="25">
        <v>4.143234807997942E-3</v>
      </c>
      <c r="Z24"/>
      <c r="AA24"/>
      <c r="AB24"/>
      <c r="AC24" s="18">
        <v>1.5775280771777034E-3</v>
      </c>
      <c r="AD24"/>
      <c r="AE24" s="18">
        <v>1.5468760393559933E-3</v>
      </c>
      <c r="AF24"/>
      <c r="AG24"/>
      <c r="AH24" s="22">
        <v>1.0491646826267242E-3</v>
      </c>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row>
    <row r="25" spans="1:209" ht="15" customHeight="1" x14ac:dyDescent="0.15">
      <c r="A25" t="s">
        <v>215</v>
      </c>
      <c r="B25">
        <v>0.37000000476837158</v>
      </c>
      <c r="C25">
        <v>3.4508004784584045E-2</v>
      </c>
      <c r="D25" s="14">
        <v>5.4733926663175225E-4</v>
      </c>
      <c r="E25"/>
      <c r="F25" s="18">
        <v>4.3006450869143009E-3</v>
      </c>
      <c r="G25" s="12">
        <v>1.2671415461227298E-3</v>
      </c>
      <c r="H25"/>
      <c r="I25"/>
      <c r="J25" s="24">
        <v>1.0443342849612236E-2</v>
      </c>
      <c r="K25" s="259">
        <v>4.8896249383687973E-2</v>
      </c>
      <c r="L25" s="143">
        <v>0.16897846758365631</v>
      </c>
      <c r="M25"/>
      <c r="N25" s="18">
        <v>4.4825123623013496E-3</v>
      </c>
      <c r="O25" s="11">
        <v>3.5285708145238459E-4</v>
      </c>
      <c r="P25" s="65">
        <v>8.0678565427660942E-3</v>
      </c>
      <c r="Q25"/>
      <c r="R25"/>
      <c r="S25"/>
      <c r="T25"/>
      <c r="U25"/>
      <c r="V25"/>
      <c r="W25" s="14">
        <v>5.3560722153633833E-4</v>
      </c>
      <c r="X25"/>
      <c r="Y25"/>
      <c r="Z25"/>
      <c r="AA25"/>
      <c r="AB25" s="21">
        <v>7.4000004678964615E-3</v>
      </c>
      <c r="AC25" s="253">
        <v>4.0114283561706543E-2</v>
      </c>
      <c r="AD25"/>
      <c r="AE25" s="75">
        <v>2.3638727143406868E-2</v>
      </c>
      <c r="AF25" s="232">
        <v>1.6466964036226273E-2</v>
      </c>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row>
    <row r="26" spans="1:209" ht="15" customHeight="1" x14ac:dyDescent="0.15">
      <c r="A26" t="s">
        <v>216</v>
      </c>
      <c r="B26">
        <v>0.36000001430511475</v>
      </c>
      <c r="C26">
        <v>5.4689599201083183E-3</v>
      </c>
      <c r="D26" s="224">
        <v>0.33448979258537292</v>
      </c>
      <c r="E26"/>
      <c r="F26" s="17">
        <v>4.6314643695950508E-3</v>
      </c>
      <c r="G26"/>
      <c r="H26"/>
      <c r="I26"/>
      <c r="J26" s="14">
        <v>8.9973415015265346E-4</v>
      </c>
      <c r="K26" s="12">
        <v>1.6575001645833254E-3</v>
      </c>
      <c r="L26" s="11">
        <v>2.9571043342002667E-5</v>
      </c>
      <c r="M26"/>
      <c r="N26"/>
      <c r="O26" s="14">
        <v>7.7499996405094862E-4</v>
      </c>
      <c r="P26" s="227">
        <v>1.204800046980381E-2</v>
      </c>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row>
    <row r="27" spans="1:209" ht="15" customHeight="1" x14ac:dyDescent="0.15">
      <c r="A27" t="s">
        <v>217</v>
      </c>
      <c r="B27">
        <v>0.20000000298023224</v>
      </c>
      <c r="C27">
        <v>3.8811434060335159E-2</v>
      </c>
      <c r="D27" s="14">
        <v>4.3655495392158628E-4</v>
      </c>
      <c r="E27"/>
      <c r="F27"/>
      <c r="G27"/>
      <c r="H27"/>
      <c r="I27"/>
      <c r="J27" s="242">
        <v>7.797695230692625E-3</v>
      </c>
      <c r="K27" s="263">
        <v>3.5194247961044312E-2</v>
      </c>
      <c r="L27" s="254">
        <v>1.9714023917913437E-2</v>
      </c>
      <c r="M27"/>
      <c r="N27"/>
      <c r="O27" s="19">
        <v>3.4644997213035822E-3</v>
      </c>
      <c r="P27" s="15">
        <v>1.9577995408326387E-3</v>
      </c>
      <c r="Q27"/>
      <c r="R27"/>
      <c r="S27"/>
      <c r="T27"/>
      <c r="U27"/>
      <c r="V27"/>
      <c r="W27" s="14">
        <v>2.9994000215083361E-4</v>
      </c>
      <c r="X27" s="261">
        <v>2.7766663581132889E-2</v>
      </c>
      <c r="Y27"/>
      <c r="Z27"/>
      <c r="AA27" s="231">
        <v>1.8126331269741058E-2</v>
      </c>
      <c r="AB27" s="242">
        <v>7.7700000256299973E-3</v>
      </c>
      <c r="AC27" s="254">
        <v>1.9500000402331352E-2</v>
      </c>
      <c r="AD27"/>
      <c r="AE27" s="17">
        <v>2.6475375052541494E-3</v>
      </c>
      <c r="AF27" s="252">
        <v>1.613762229681015E-2</v>
      </c>
      <c r="AG27"/>
      <c r="AH27" s="14">
        <v>3.7564916419796646E-4</v>
      </c>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row>
    <row r="28" spans="1:209" ht="15" customHeight="1" x14ac:dyDescent="0.15">
      <c r="A28" t="s">
        <v>218</v>
      </c>
      <c r="B28">
        <v>0.2669999897480011</v>
      </c>
      <c r="C28">
        <v>1.3349557295441628E-2</v>
      </c>
      <c r="D28"/>
      <c r="E28"/>
      <c r="F28" s="75">
        <v>1.7408097162842751E-2</v>
      </c>
      <c r="G28"/>
      <c r="H28"/>
      <c r="I28"/>
      <c r="J28" s="65">
        <v>5.9869554825127125E-3</v>
      </c>
      <c r="K28" s="144">
        <v>2.6580501347780228E-2</v>
      </c>
      <c r="L28" s="231">
        <v>2.385992556810379E-2</v>
      </c>
      <c r="M28"/>
      <c r="N28"/>
      <c r="O28" s="18">
        <v>3.2320097088813782E-3</v>
      </c>
      <c r="P28" s="26">
        <v>6.9870725274085999E-3</v>
      </c>
      <c r="Q28"/>
      <c r="R28"/>
      <c r="S28"/>
      <c r="T28"/>
      <c r="U28"/>
      <c r="V28"/>
      <c r="W28"/>
      <c r="X28"/>
      <c r="Y28" s="16">
        <v>4.4187749736011028E-3</v>
      </c>
      <c r="Z28" s="242">
        <v>1.0618999600410461E-2</v>
      </c>
      <c r="AA28"/>
      <c r="AB28" s="262">
        <v>8.6464978754520416E-2</v>
      </c>
      <c r="AC28" s="247">
        <v>2.832106314599514E-2</v>
      </c>
      <c r="AD28" s="70">
        <v>1.9060935825109482E-2</v>
      </c>
      <c r="AE28" s="18">
        <v>3.0708068516105413E-3</v>
      </c>
      <c r="AF28" s="19">
        <v>4.6503320336341858E-3</v>
      </c>
      <c r="AG28"/>
      <c r="AH28" s="244">
        <v>1.2989969924092293E-2</v>
      </c>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row>
    <row r="29" spans="1:209" ht="15" customHeight="1" x14ac:dyDescent="0.15">
      <c r="A29" t="s">
        <v>219</v>
      </c>
      <c r="B29">
        <v>0.2630000114440918</v>
      </c>
      <c r="C29">
        <v>1.3149909675121307E-2</v>
      </c>
      <c r="D29" s="11">
        <v>2.2994045866653323E-4</v>
      </c>
      <c r="E29"/>
      <c r="F29"/>
      <c r="G29"/>
      <c r="H29"/>
      <c r="I29"/>
      <c r="J29" s="14">
        <v>5.0038355402648449E-4</v>
      </c>
      <c r="K29" s="16">
        <v>4.1788816452026367E-3</v>
      </c>
      <c r="L29" s="272">
        <v>9.1084539890289307E-2</v>
      </c>
      <c r="M29"/>
      <c r="N29" s="11">
        <v>2.078473917208612E-4</v>
      </c>
      <c r="O29" s="11">
        <v>1.6091160068754107E-4</v>
      </c>
      <c r="P29" s="15">
        <v>2.7145403437316418E-3</v>
      </c>
      <c r="Q29" s="23">
        <v>1.3310102513059974E-3</v>
      </c>
      <c r="R29" s="11">
        <v>1.6419203893747181E-4</v>
      </c>
      <c r="S29"/>
      <c r="T29"/>
      <c r="U29"/>
      <c r="V29" s="14">
        <v>3.1423851032741368E-4</v>
      </c>
      <c r="W29" s="12">
        <v>1.1633961694315076E-3</v>
      </c>
      <c r="X29"/>
      <c r="Y29" s="11">
        <v>6.2476072343997657E-5</v>
      </c>
      <c r="Z29" s="16">
        <v>4.2121373116970062E-3</v>
      </c>
      <c r="AA29" s="29">
        <v>1.240724790841341E-2</v>
      </c>
      <c r="AB29" s="269">
        <v>5.0229974091053009E-2</v>
      </c>
      <c r="AC29" s="144">
        <v>2.6161110028624535E-2</v>
      </c>
      <c r="AD29" s="227">
        <v>8.5555016994476318E-3</v>
      </c>
      <c r="AE29" s="20">
        <v>1.1552817188203335E-2</v>
      </c>
      <c r="AF29" s="266">
        <v>2.1566005423665047E-2</v>
      </c>
      <c r="AG29" s="13">
        <v>9.7470609471201897E-3</v>
      </c>
      <c r="AH29" s="18">
        <v>3.3059203997254372E-3</v>
      </c>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row>
    <row r="30" spans="1:209" ht="15" customHeight="1" x14ac:dyDescent="0.15">
      <c r="A30" t="s">
        <v>220</v>
      </c>
      <c r="B30">
        <v>1.0700000524520874</v>
      </c>
      <c r="C30">
        <v>5.3495552390813828E-2</v>
      </c>
      <c r="D30"/>
      <c r="E30"/>
      <c r="F30" s="11">
        <v>5.8810214977711439E-4</v>
      </c>
      <c r="G30" s="23">
        <v>5.6604263372719288E-3</v>
      </c>
      <c r="H30"/>
      <c r="I30"/>
      <c r="J30" s="22">
        <v>7.5689307413995266E-3</v>
      </c>
      <c r="K30" s="26">
        <v>2.7522863820195198E-2</v>
      </c>
      <c r="L30" s="106">
        <v>0.13298206031322479</v>
      </c>
      <c r="M30"/>
      <c r="N30" s="11">
        <v>9.4911799533292651E-4</v>
      </c>
      <c r="O30" s="11">
        <v>1.9300921121612191E-4</v>
      </c>
      <c r="P30" s="18">
        <v>1.2474177405238152E-2</v>
      </c>
      <c r="Q30" s="21">
        <v>2.0513076335191727E-2</v>
      </c>
      <c r="R30"/>
      <c r="S30" s="22">
        <v>7.6307621784508228E-3</v>
      </c>
      <c r="T30"/>
      <c r="U30"/>
      <c r="V30" s="11">
        <v>8.4292609244585037E-4</v>
      </c>
      <c r="W30" s="12">
        <v>4.6582487411797047E-3</v>
      </c>
      <c r="X30"/>
      <c r="Y30" s="15">
        <v>9.6642607823014259E-3</v>
      </c>
      <c r="Z30" s="24">
        <v>2.9865879565477371E-2</v>
      </c>
      <c r="AA30" s="20">
        <v>4.576985165476799E-2</v>
      </c>
      <c r="AB30" s="27">
        <v>8.2472376525402069E-2</v>
      </c>
      <c r="AC30" s="264">
        <v>5.6546624749898911E-2</v>
      </c>
      <c r="AD30" s="246">
        <v>0.15941333770751953</v>
      </c>
      <c r="AE30" s="26">
        <v>2.6248184964060783E-2</v>
      </c>
      <c r="AF30" s="273">
        <v>0.15627594292163849</v>
      </c>
      <c r="AG30" s="25">
        <v>3.2953891903162003E-2</v>
      </c>
      <c r="AH30" s="22">
        <v>8.2714669406414032E-3</v>
      </c>
      <c r="AI30"/>
      <c r="AJ30"/>
      <c r="AK30"/>
      <c r="AL30"/>
      <c r="AM30" s="271">
        <v>0.18743900954723358</v>
      </c>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row>
    <row r="31" spans="1:209" ht="15" customHeight="1" x14ac:dyDescent="0.15">
      <c r="A31" t="s">
        <v>221</v>
      </c>
      <c r="B31">
        <v>0.44999998807907104</v>
      </c>
      <c r="C31">
        <v>2.2498771548271179E-2</v>
      </c>
      <c r="D31" s="11">
        <v>1.030091880238615E-6</v>
      </c>
      <c r="E31"/>
      <c r="F31" s="265">
        <v>0.24096493422985077</v>
      </c>
      <c r="G31" s="14">
        <v>1.102023757994175E-3</v>
      </c>
      <c r="H31"/>
      <c r="I31"/>
      <c r="J31" s="15">
        <v>4.495836328715086E-3</v>
      </c>
      <c r="K31" s="14">
        <v>9.2668848810717463E-4</v>
      </c>
      <c r="L31" s="244">
        <v>2.2319303825497627E-2</v>
      </c>
      <c r="M31"/>
      <c r="N31"/>
      <c r="O31" s="23">
        <v>2.3984878789633512E-3</v>
      </c>
      <c r="P31" s="249">
        <v>5.0729699432849884E-2</v>
      </c>
      <c r="Q31"/>
      <c r="R31"/>
      <c r="S31"/>
      <c r="T31"/>
      <c r="U31"/>
      <c r="V31" s="14">
        <v>1.0904743103310466E-3</v>
      </c>
      <c r="W31" s="14">
        <v>1.0480807395651937E-3</v>
      </c>
      <c r="X31"/>
      <c r="Y31" s="17">
        <v>6.1236405745148659E-3</v>
      </c>
      <c r="Z31"/>
      <c r="AA31"/>
      <c r="AB31"/>
      <c r="AC31"/>
      <c r="AD31" s="73">
        <v>4.1932903230190277E-2</v>
      </c>
      <c r="AE31" s="15">
        <v>4.4406214728951454E-3</v>
      </c>
      <c r="AF31" s="75">
        <v>2.9000421985983849E-2</v>
      </c>
      <c r="AG31"/>
      <c r="AH31" s="29">
        <v>2.0927092060446739E-2</v>
      </c>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row>
    <row r="32" spans="1:209" ht="15" customHeight="1" x14ac:dyDescent="0.15">
      <c r="A32" t="s">
        <v>222</v>
      </c>
      <c r="B32">
        <v>1</v>
      </c>
      <c r="C32">
        <v>0.49999797344207764</v>
      </c>
      <c r="D32" s="11">
        <v>7.5177718827035278E-5</v>
      </c>
      <c r="E32"/>
      <c r="F32"/>
      <c r="G32" s="11">
        <v>3.7363099636422703E-6</v>
      </c>
      <c r="H32"/>
      <c r="I32"/>
      <c r="J32" s="14">
        <v>1.5050852671265602E-3</v>
      </c>
      <c r="K32" s="14">
        <v>2.0301199983805418E-3</v>
      </c>
      <c r="L32" s="244">
        <v>4.8809532076120377E-2</v>
      </c>
      <c r="M32"/>
      <c r="N32" s="11">
        <v>2.3613842495251447E-4</v>
      </c>
      <c r="O32" s="11">
        <v>1.5353847993537784E-4</v>
      </c>
      <c r="P32" s="23">
        <v>5.4019293747842312E-3</v>
      </c>
      <c r="Q32"/>
      <c r="R32" s="11">
        <v>5.3569156443700194E-4</v>
      </c>
      <c r="S32"/>
      <c r="T32"/>
      <c r="U32"/>
      <c r="V32" s="11">
        <v>4.0163728408515453E-4</v>
      </c>
      <c r="W32" s="11">
        <v>3.9360966184176505E-4</v>
      </c>
      <c r="X32" s="23">
        <v>6.0730078257620335E-3</v>
      </c>
      <c r="Y32" s="12">
        <v>3.8063002284616232E-3</v>
      </c>
      <c r="Z32" s="11">
        <v>1.4931225450709462E-4</v>
      </c>
      <c r="AA32" s="240">
        <v>2.4040142074227333E-2</v>
      </c>
      <c r="AB32"/>
      <c r="AC32"/>
      <c r="AD32" s="75">
        <v>6.5266802906990051E-2</v>
      </c>
      <c r="AE32" s="12">
        <v>2.9531971085816622E-3</v>
      </c>
      <c r="AF32" s="244">
        <v>4.9245666712522507E-2</v>
      </c>
      <c r="AG32" s="12">
        <v>3.8332308176904917E-3</v>
      </c>
      <c r="AH32" s="147">
        <v>2.9671641066670418E-2</v>
      </c>
      <c r="AI32" s="14">
        <v>2.7997198048979044E-3</v>
      </c>
      <c r="AJ32"/>
      <c r="AK32"/>
      <c r="AL32"/>
      <c r="AM32" s="148">
        <v>0.2526167631149292</v>
      </c>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row>
    <row r="33" spans="1:209" ht="15" customHeight="1" x14ac:dyDescent="0.15">
      <c r="A33" t="s">
        <v>223</v>
      </c>
      <c r="B33">
        <v>2</v>
      </c>
      <c r="C33">
        <v>9.9999904632568359E-2</v>
      </c>
      <c r="D33" s="12">
        <v>6.0328715480864048E-3</v>
      </c>
      <c r="E33"/>
      <c r="F33"/>
      <c r="G33" s="11">
        <v>1.3859479804523289E-4</v>
      </c>
      <c r="H33"/>
      <c r="I33"/>
      <c r="J33"/>
      <c r="K33"/>
      <c r="L33" s="11">
        <v>4.1584629798308015E-4</v>
      </c>
      <c r="M33"/>
      <c r="N33"/>
      <c r="O33" s="11">
        <v>1.0156337339140009E-5</v>
      </c>
      <c r="P33" s="12">
        <v>8.3536654710769653E-3</v>
      </c>
      <c r="Q33"/>
      <c r="R33" s="11">
        <v>4.5420965761877596E-4</v>
      </c>
      <c r="S33" s="251">
        <v>0.1490510106086731</v>
      </c>
      <c r="T33"/>
      <c r="U33"/>
      <c r="V33" s="11">
        <v>1.2775069335475564E-3</v>
      </c>
      <c r="W33" s="21">
        <v>3.87699194252491E-2</v>
      </c>
      <c r="X33" s="18">
        <v>2.2777540609240532E-2</v>
      </c>
      <c r="Y33" s="16">
        <v>3.1218905001878738E-2</v>
      </c>
      <c r="Z33" s="12">
        <v>8.0790668725967407E-3</v>
      </c>
      <c r="AA33" s="23">
        <v>1.1479707434773445E-2</v>
      </c>
      <c r="AB33" s="12">
        <v>7.8914742916822433E-3</v>
      </c>
      <c r="AC33" s="14">
        <v>2.2303315345197916E-3</v>
      </c>
      <c r="AD33" s="22">
        <v>1.4272572472691536E-2</v>
      </c>
      <c r="AE33" s="14">
        <v>4.1574975475668907E-3</v>
      </c>
      <c r="AF33" s="20">
        <v>8.7893165647983551E-2</v>
      </c>
      <c r="AG33" s="223">
        <v>0.20829513669013977</v>
      </c>
      <c r="AH33" s="23">
        <v>1.0879664681851864E-2</v>
      </c>
      <c r="AI33"/>
      <c r="AJ33" s="141">
        <v>0.25999999046325684</v>
      </c>
      <c r="AK33"/>
      <c r="AL33" s="276">
        <v>0.98447060585021973</v>
      </c>
      <c r="AM33" s="65">
        <v>4.1850756853818893E-2</v>
      </c>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row>
    <row r="34" spans="1:209" ht="15" customHeight="1" x14ac:dyDescent="0.15">
      <c r="A34" t="s">
        <v>224</v>
      </c>
      <c r="B34">
        <v>2</v>
      </c>
      <c r="C34">
        <v>1.4505984783172607</v>
      </c>
      <c r="D34"/>
      <c r="E34"/>
      <c r="F34"/>
      <c r="G34" s="11">
        <v>4.8646979848854244E-4</v>
      </c>
      <c r="H34"/>
      <c r="I34"/>
      <c r="J34" s="11">
        <v>2.9241357424325543E-6</v>
      </c>
      <c r="K34" s="11">
        <v>4.1768998926272616E-5</v>
      </c>
      <c r="L34"/>
      <c r="M34" s="11">
        <v>4.5899996621301398E-5</v>
      </c>
      <c r="N34"/>
      <c r="O34" s="11">
        <v>1.5599996459059184E-6</v>
      </c>
      <c r="P34" s="11">
        <v>9.8432158119976521E-4</v>
      </c>
      <c r="Q34"/>
      <c r="R34" s="11">
        <v>1.0165687854168937E-4</v>
      </c>
      <c r="S34" s="18">
        <v>2.1619405597448349E-2</v>
      </c>
      <c r="T34" s="12">
        <v>9.418499656021595E-3</v>
      </c>
      <c r="U34" s="11">
        <v>4.4253148371353745E-4</v>
      </c>
      <c r="V34" s="11">
        <v>8.4386876551434398E-5</v>
      </c>
      <c r="W34" s="11">
        <v>7.606478757224977E-4</v>
      </c>
      <c r="X34" s="11">
        <v>1.8326001008972526E-3</v>
      </c>
      <c r="Y34" s="11">
        <v>2.6067919679917395E-4</v>
      </c>
      <c r="Z34" s="11">
        <v>6.8825396010652184E-4</v>
      </c>
      <c r="AA34" s="11">
        <v>1.6695507802069187E-3</v>
      </c>
      <c r="AB34" s="11">
        <v>3.4187998971901834E-4</v>
      </c>
      <c r="AC34" s="11">
        <v>4.6800001291558146E-4</v>
      </c>
      <c r="AD34"/>
      <c r="AE34" s="11">
        <v>6.8359426222741604E-4</v>
      </c>
      <c r="AF34" s="17">
        <v>2.9379697516560555E-2</v>
      </c>
      <c r="AG34" s="240">
        <v>4.5234818011522293E-2</v>
      </c>
      <c r="AH34" s="11">
        <v>1.8179273465648293E-3</v>
      </c>
      <c r="AI34" s="12">
        <v>7.7352942898869514E-3</v>
      </c>
      <c r="AJ34" s="247">
        <v>0.2129901647567749</v>
      </c>
      <c r="AK34"/>
      <c r="AL34" s="144">
        <v>0.20161785185337067</v>
      </c>
      <c r="AM34" s="23">
        <v>1.0691097937524319E-2</v>
      </c>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row>
    <row r="35" spans="1:209" ht="15" customHeight="1" x14ac:dyDescent="0.15">
      <c r="A35" t="s">
        <v>225</v>
      </c>
      <c r="B35">
        <v>1.2999999523162842</v>
      </c>
      <c r="C35">
        <v>6.5000243484973907E-2</v>
      </c>
      <c r="D35" s="22">
        <v>1.0714161209762096E-2</v>
      </c>
      <c r="E35"/>
      <c r="F35"/>
      <c r="G35" s="11">
        <v>1.2201022036606446E-4</v>
      </c>
      <c r="H35"/>
      <c r="I35"/>
      <c r="J35"/>
      <c r="K35"/>
      <c r="L35"/>
      <c r="M35" s="11">
        <v>8.7690634245518595E-5</v>
      </c>
      <c r="N35"/>
      <c r="O35" s="11">
        <v>1.8329061276745051E-5</v>
      </c>
      <c r="P35" s="12">
        <v>3.8634638767689466E-3</v>
      </c>
      <c r="Q35" s="11">
        <v>1.2036536354571581E-3</v>
      </c>
      <c r="R35"/>
      <c r="S35" s="65">
        <v>2.8137745335698128E-2</v>
      </c>
      <c r="T35"/>
      <c r="U35"/>
      <c r="V35"/>
      <c r="W35"/>
      <c r="X35"/>
      <c r="Y35" s="14">
        <v>2.8876797296106815E-3</v>
      </c>
      <c r="Z35" s="15">
        <v>1.2677166610956192E-2</v>
      </c>
      <c r="AA35" s="11">
        <v>1.193624222651124E-3</v>
      </c>
      <c r="AB35" s="18">
        <v>1.412589568644762E-2</v>
      </c>
      <c r="AC35" s="232">
        <v>5.9273503720760345E-2</v>
      </c>
      <c r="AD35"/>
      <c r="AE35" s="15">
        <v>1.3775081373751163E-2</v>
      </c>
      <c r="AF35" s="242">
        <v>5.0341755151748657E-2</v>
      </c>
      <c r="AG35" s="274">
        <v>0.12551131844520569</v>
      </c>
      <c r="AH35" s="15">
        <v>1.2833117507398129E-2</v>
      </c>
      <c r="AI35" s="237">
        <v>0.15111351013183594</v>
      </c>
      <c r="AJ35"/>
      <c r="AK35"/>
      <c r="AL35" s="275">
        <v>0.60666662454605103</v>
      </c>
      <c r="AM35" s="253">
        <v>0.14045342803001404</v>
      </c>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row>
    <row r="36" spans="1:209" ht="15" customHeight="1" x14ac:dyDescent="0.15">
      <c r="A36" t="s">
        <v>226</v>
      </c>
      <c r="B36">
        <v>2.5499999523162842</v>
      </c>
      <c r="C36">
        <v>0.12749789655208588</v>
      </c>
      <c r="D36" s="11">
        <v>1.1504355370561825E-6</v>
      </c>
      <c r="E36"/>
      <c r="F36" s="271">
        <v>0.44711795449256897</v>
      </c>
      <c r="G36" s="11">
        <v>1.081470400094986E-4</v>
      </c>
      <c r="H36"/>
      <c r="I36"/>
      <c r="J36" s="14">
        <v>3.8038829807192087E-3</v>
      </c>
      <c r="K36" s="24">
        <v>7.1872346103191376E-2</v>
      </c>
      <c r="L36" s="270">
        <v>0.42235958576202393</v>
      </c>
      <c r="M36"/>
      <c r="N36" s="266">
        <v>0.20923914015293121</v>
      </c>
      <c r="O36" s="23">
        <v>1.2896182015538216E-2</v>
      </c>
      <c r="P36" s="66">
        <v>0.10741681605577469</v>
      </c>
      <c r="Q36" s="66">
        <v>0.10324747860431671</v>
      </c>
      <c r="R36" s="23">
        <v>1.6590967774391174E-2</v>
      </c>
      <c r="S36" s="237">
        <v>0.29654666781425476</v>
      </c>
      <c r="T36"/>
      <c r="U36"/>
      <c r="V36"/>
      <c r="W36"/>
      <c r="X36" s="147">
        <v>7.3715232312679291E-2</v>
      </c>
      <c r="Y36" s="25">
        <v>7.7541045844554901E-2</v>
      </c>
      <c r="Z36" s="14">
        <v>6.8921437487006187E-3</v>
      </c>
      <c r="AA36" s="240">
        <v>5.9128597378730774E-2</v>
      </c>
      <c r="AB36"/>
      <c r="AC36" s="240">
        <v>6.0258891433477402E-2</v>
      </c>
      <c r="AD36" s="25">
        <v>8.0700650811195374E-2</v>
      </c>
      <c r="AE36" s="12">
        <v>7.8487265855073929E-3</v>
      </c>
      <c r="AF36" s="64">
        <v>0.13770748674869537</v>
      </c>
      <c r="AG36" s="11">
        <v>3.6834998172707856E-4</v>
      </c>
      <c r="AH36" s="66">
        <v>0.10528401285409927</v>
      </c>
      <c r="AI36" s="22">
        <v>2.1846530959010124E-2</v>
      </c>
      <c r="AJ36"/>
      <c r="AK36"/>
      <c r="AL36"/>
      <c r="AM36" s="242">
        <v>0.10001000016927719</v>
      </c>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row>
    <row r="37" spans="1:209" ht="15" customHeight="1" x14ac:dyDescent="0.15">
      <c r="A37" t="s">
        <v>227</v>
      </c>
      <c r="B37">
        <v>4.3000001907348633</v>
      </c>
      <c r="C37">
        <v>0.75507408380508423</v>
      </c>
      <c r="D37"/>
      <c r="E37"/>
      <c r="F37"/>
      <c r="G37" s="14">
        <v>7.1373870596289635E-3</v>
      </c>
      <c r="H37"/>
      <c r="I37"/>
      <c r="J37"/>
      <c r="K37"/>
      <c r="L37"/>
      <c r="M37"/>
      <c r="N37" s="11">
        <v>2.8644697740674019E-3</v>
      </c>
      <c r="O37"/>
      <c r="P37" s="11">
        <v>2.9969398747198284E-4</v>
      </c>
      <c r="Q37" s="12">
        <v>1.5663234516978264E-2</v>
      </c>
      <c r="R37" s="11">
        <v>3.3064995659515262E-4</v>
      </c>
      <c r="S37" s="18">
        <v>4.649323970079422E-2</v>
      </c>
      <c r="T37" s="15">
        <v>3.9243750274181366E-2</v>
      </c>
      <c r="U37" s="15">
        <v>4.4757019728422165E-2</v>
      </c>
      <c r="V37" s="11">
        <v>4.5369885629042983E-4</v>
      </c>
      <c r="W37" s="11">
        <v>2.7392022311687469E-3</v>
      </c>
      <c r="X37" s="12">
        <v>1.4577500522136688E-2</v>
      </c>
      <c r="Y37" s="11">
        <v>3.3543282188475132E-3</v>
      </c>
      <c r="Z37" s="11">
        <v>1.4393910532817245E-3</v>
      </c>
      <c r="AA37" s="11">
        <v>3.2063361722975969E-3</v>
      </c>
      <c r="AB37"/>
      <c r="AC37" s="11">
        <v>2.5740000637597404E-5</v>
      </c>
      <c r="AD37" s="11">
        <v>6.854526000097394E-4</v>
      </c>
      <c r="AE37" s="11">
        <v>9.3127146828919649E-4</v>
      </c>
      <c r="AF37" s="11">
        <v>1.2794829672202468E-3</v>
      </c>
      <c r="AG37" s="14">
        <v>1.0307526215910912E-2</v>
      </c>
      <c r="AH37" s="11">
        <v>1.5922158490866423E-3</v>
      </c>
      <c r="AI37" s="17">
        <v>6.1649195849895477E-2</v>
      </c>
      <c r="AJ37" s="25">
        <v>0.13311885297298431</v>
      </c>
      <c r="AK37" s="279">
        <v>2.125</v>
      </c>
      <c r="AL37"/>
      <c r="AM37" s="12">
        <v>1.377637404948473E-2</v>
      </c>
      <c r="AN37" s="277">
        <v>1.0139999389648438</v>
      </c>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row>
    <row r="38" spans="1:209" ht="15" customHeight="1" x14ac:dyDescent="0.15">
      <c r="A38" t="s">
        <v>228</v>
      </c>
      <c r="B38">
        <v>20</v>
      </c>
      <c r="C38">
        <v>1.9999980926513672</v>
      </c>
      <c r="D38"/>
      <c r="E38"/>
      <c r="F38"/>
      <c r="G38" s="11">
        <v>2.4614185094833374E-3</v>
      </c>
      <c r="H38"/>
      <c r="I38"/>
      <c r="J38"/>
      <c r="K38"/>
      <c r="L38"/>
      <c r="M38"/>
      <c r="N38" s="11">
        <v>9.1580877779051661E-4</v>
      </c>
      <c r="O38"/>
      <c r="P38"/>
      <c r="Q38" s="11">
        <v>2.0405333489179611E-3</v>
      </c>
      <c r="R38" s="11">
        <v>2.3582005815114826E-4</v>
      </c>
      <c r="S38" s="14">
        <v>2.9603660106658936E-2</v>
      </c>
      <c r="T38" s="16">
        <v>0.31681144237518311</v>
      </c>
      <c r="U38" s="14">
        <v>2.2056693211197853E-2</v>
      </c>
      <c r="V38" s="11">
        <v>1.8657368491403759E-4</v>
      </c>
      <c r="W38" s="11">
        <v>8.358292980119586E-4</v>
      </c>
      <c r="X38" s="11">
        <v>3.3993693068623543E-3</v>
      </c>
      <c r="Y38" s="11">
        <v>2.3732217960059643E-3</v>
      </c>
      <c r="Z38" s="11">
        <v>6.4238731283694506E-4</v>
      </c>
      <c r="AA38" s="11">
        <v>1.0117655619978905E-5</v>
      </c>
      <c r="AB38"/>
      <c r="AC38"/>
      <c r="AD38"/>
      <c r="AE38" s="11">
        <v>1.9910727860406041E-4</v>
      </c>
      <c r="AF38" s="11">
        <v>1.0079942876473069E-3</v>
      </c>
      <c r="AG38" s="14">
        <v>3.6884792149066925E-2</v>
      </c>
      <c r="AH38" s="11">
        <v>2.8344441670924425E-4</v>
      </c>
      <c r="AI38" s="23">
        <v>0.12719456851482391</v>
      </c>
      <c r="AJ38"/>
      <c r="AK38" s="278">
        <v>4.9553484916687012</v>
      </c>
      <c r="AL38" s="14">
        <v>4.4077355414628983E-2</v>
      </c>
      <c r="AM38"/>
      <c r="AN38" s="281">
        <v>12.453433036804199</v>
      </c>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row>
    <row r="39" spans="1:209" ht="15" customHeight="1" x14ac:dyDescent="0.15">
      <c r="A39" t="s">
        <v>229</v>
      </c>
      <c r="B39">
        <v>100</v>
      </c>
      <c r="C39">
        <v>25.491254806518555</v>
      </c>
      <c r="D39"/>
      <c r="E39"/>
      <c r="F39"/>
      <c r="G39"/>
      <c r="H39"/>
      <c r="I39"/>
      <c r="J39"/>
      <c r="K39"/>
      <c r="L39"/>
      <c r="M39"/>
      <c r="N39"/>
      <c r="O39"/>
      <c r="P39"/>
      <c r="Q39"/>
      <c r="R39"/>
      <c r="S39"/>
      <c r="T39"/>
      <c r="U39"/>
      <c r="V39"/>
      <c r="W39"/>
      <c r="X39"/>
      <c r="Y39"/>
      <c r="Z39"/>
      <c r="AA39"/>
      <c r="AB39"/>
      <c r="AC39"/>
      <c r="AD39"/>
      <c r="AE39" s="11">
        <v>2.2059693583287299E-4</v>
      </c>
      <c r="AF39"/>
      <c r="AG39" s="11">
        <v>1.1847720015794039E-3</v>
      </c>
      <c r="AH39"/>
      <c r="AI39"/>
      <c r="AJ39"/>
      <c r="AK39" s="264">
        <v>5.345156192779541</v>
      </c>
      <c r="AL39"/>
      <c r="AM39"/>
      <c r="AN39" s="236">
        <v>8.7570009231567383</v>
      </c>
      <c r="AO39" s="282">
        <v>60.405185699462891</v>
      </c>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row>
    <row r="40" spans="1:209" ht="15" customHeight="1" x14ac:dyDescent="0.15">
      <c r="A40" t="s">
        <v>230</v>
      </c>
      <c r="B40">
        <v>4.4000000953674316</v>
      </c>
      <c r="C40">
        <v>0.52138322591781616</v>
      </c>
      <c r="D40"/>
      <c r="E40"/>
      <c r="F40"/>
      <c r="G40"/>
      <c r="H40"/>
      <c r="I40"/>
      <c r="J40"/>
      <c r="K40"/>
      <c r="L40"/>
      <c r="M40"/>
      <c r="N40"/>
      <c r="O40"/>
      <c r="P40" s="11">
        <v>4.5384877012111247E-5</v>
      </c>
      <c r="Q40"/>
      <c r="R40"/>
      <c r="S40"/>
      <c r="T40"/>
      <c r="U40"/>
      <c r="V40"/>
      <c r="W40"/>
      <c r="X40"/>
      <c r="Y40"/>
      <c r="Z40" s="11">
        <v>5.8863323647528887E-4</v>
      </c>
      <c r="AA40"/>
      <c r="AB40"/>
      <c r="AC40"/>
      <c r="AD40"/>
      <c r="AE40" s="11">
        <v>1.1739986803149804E-4</v>
      </c>
      <c r="AF40"/>
      <c r="AG40" s="11">
        <v>1.4901846880093217E-3</v>
      </c>
      <c r="AH40"/>
      <c r="AI40"/>
      <c r="AJ40"/>
      <c r="AK40" s="280">
        <v>3.6593766212463379</v>
      </c>
      <c r="AL40" s="244">
        <v>0.21699871122837067</v>
      </c>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row>
    <row r="41" spans="1:209" ht="15" customHeight="1" x14ac:dyDescent="0.15">
      <c r="A41" t="s">
        <v>231</v>
      </c>
      <c r="B41"/>
      <c r="C41">
        <v>0.35255804657936096</v>
      </c>
      <c r="D41"/>
      <c r="E41"/>
      <c r="F41"/>
      <c r="G41"/>
      <c r="H41"/>
      <c r="I41"/>
      <c r="J41"/>
      <c r="K41"/>
      <c r="L41"/>
      <c r="M41"/>
      <c r="N41" s="9">
        <v>2.8341042343527079E-4</v>
      </c>
      <c r="O41" s="9">
        <v>5.3949997527524829E-4</v>
      </c>
      <c r="P41" s="9">
        <v>1.4156399993225932E-3</v>
      </c>
      <c r="Q41"/>
      <c r="R41"/>
      <c r="S41"/>
      <c r="T41"/>
      <c r="U41"/>
      <c r="V41"/>
      <c r="W41"/>
      <c r="X41"/>
      <c r="Y41" s="9">
        <v>2.1175621077418327E-3</v>
      </c>
      <c r="Z41" s="9">
        <v>7.9036708921194077E-3</v>
      </c>
      <c r="AA41" s="9">
        <v>0.17274008691310883</v>
      </c>
      <c r="AB41"/>
      <c r="AC41" s="9">
        <v>8.6112003773450851E-3</v>
      </c>
      <c r="AD41"/>
      <c r="AE41"/>
      <c r="AF41" s="9">
        <v>2.0056761801242828E-2</v>
      </c>
      <c r="AG41" s="9">
        <v>3.9433678612112999E-3</v>
      </c>
      <c r="AH41"/>
      <c r="AI41"/>
      <c r="AJ41" s="9">
        <v>16.639856338500977</v>
      </c>
      <c r="AK41" s="9">
        <v>425</v>
      </c>
      <c r="AL41" s="9">
        <v>5.0404462814331055</v>
      </c>
      <c r="AM41"/>
      <c r="AN41" s="9">
        <v>143.31199645996094</v>
      </c>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row>
    <row r="42" spans="1:209" ht="15" customHeight="1" x14ac:dyDescent="0.15">
      <c r="A42" t="s">
        <v>232</v>
      </c>
      <c r="B42"/>
      <c r="C42">
        <v>0</v>
      </c>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row>
    <row r="43" spans="1:209" ht="15" customHeight="1" x14ac:dyDescent="0.15">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row>
    <row r="44" spans="1:209" ht="15" customHeight="1" x14ac:dyDescent="0.15">
      <c r="A44"/>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row>
    <row r="45" spans="1:209" ht="15" customHeight="1" x14ac:dyDescent="0.15">
      <c r="A45"/>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row>
    <row r="46" spans="1:209" ht="15" customHeight="1" x14ac:dyDescent="0.15">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row>
    <row r="47" spans="1:209" ht="15" customHeight="1" x14ac:dyDescent="0.15">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row>
    <row r="48" spans="1:209" ht="15" customHeight="1" x14ac:dyDescent="0.15">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row>
    <row r="49" spans="1:209" ht="15" customHeight="1" x14ac:dyDescent="0.15">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row>
    <row r="50" spans="1:209" ht="15" customHeight="1" x14ac:dyDescent="0.15">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row>
    <row r="51" spans="1:209" ht="15" customHeight="1" x14ac:dyDescent="0.15">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row>
    <row r="52" spans="1:209" ht="15" customHeight="1" x14ac:dyDescent="0.15">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row>
    <row r="53" spans="1:209" ht="15" customHeight="1" x14ac:dyDescent="0.15">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row>
    <row r="54" spans="1:209" ht="15" customHeight="1" x14ac:dyDescent="0.15">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row>
    <row r="55" spans="1:209" ht="15" customHeight="1" x14ac:dyDescent="0.15">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row>
    <row r="56" spans="1:209" ht="15" customHeight="1" x14ac:dyDescent="0.15">
      <c r="A56"/>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row>
    <row r="57" spans="1:209" ht="15" customHeight="1" x14ac:dyDescent="0.15">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row>
    <row r="58" spans="1:209" ht="15" customHeight="1" x14ac:dyDescent="0.15">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row>
    <row r="59" spans="1:209" ht="15" customHeight="1" x14ac:dyDescent="0.15">
      <c r="A5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row>
    <row r="60" spans="1:209" ht="15" customHeight="1" x14ac:dyDescent="0.15">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row>
    <row r="61" spans="1:209" ht="15" customHeight="1" x14ac:dyDescent="0.15">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row>
    <row r="62" spans="1:209" ht="15" customHeight="1" x14ac:dyDescent="0.15">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row>
    <row r="63" spans="1:209" ht="15" customHeight="1" x14ac:dyDescent="0.15">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row>
    <row r="64" spans="1:209" ht="15" customHeight="1" x14ac:dyDescent="0.15">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row>
    <row r="65" spans="1:209" ht="15" customHeight="1" x14ac:dyDescent="0.15">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row>
    <row r="66" spans="1:209" ht="15" customHeight="1" x14ac:dyDescent="0.1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row>
    <row r="67" spans="1:209" ht="15" customHeight="1" x14ac:dyDescent="0.15">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row>
    <row r="68" spans="1:209" ht="15" customHeight="1" x14ac:dyDescent="0.1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row>
    <row r="69" spans="1:209" ht="15" customHeight="1" x14ac:dyDescent="0.1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row>
    <row r="70" spans="1:209" ht="15" customHeight="1" x14ac:dyDescent="0.1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row>
    <row r="71" spans="1:209" ht="15" customHeight="1" x14ac:dyDescent="0.1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row>
    <row r="72" spans="1:209" ht="15" customHeight="1" x14ac:dyDescent="0.1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row>
    <row r="73" spans="1:209" ht="15" customHeight="1" x14ac:dyDescent="0.1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row>
    <row r="74" spans="1:209" ht="15" customHeight="1" x14ac:dyDescent="0.1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row>
    <row r="75" spans="1:209" ht="15" customHeight="1" x14ac:dyDescent="0.1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row>
    <row r="76" spans="1:209" ht="15" customHeight="1" x14ac:dyDescent="0.1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row>
    <row r="77" spans="1:209" ht="15" customHeight="1" x14ac:dyDescent="0.1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row>
    <row r="78" spans="1:209" ht="15" customHeight="1" x14ac:dyDescent="0.1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row>
    <row r="79" spans="1:209" ht="15" customHeight="1" x14ac:dyDescent="0.1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row>
    <row r="80" spans="1:209" ht="15" customHeight="1" x14ac:dyDescent="0.1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row>
    <row r="81" spans="1:209" ht="15" customHeight="1" x14ac:dyDescent="0.1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row>
    <row r="82" spans="1:209" ht="15" customHeight="1" x14ac:dyDescent="0.1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row>
    <row r="83" spans="1:209" ht="15" customHeight="1" x14ac:dyDescent="0.1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row>
    <row r="84" spans="1:209" ht="15" customHeight="1" x14ac:dyDescent="0.1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row>
    <row r="85" spans="1:209" ht="15" customHeight="1" x14ac:dyDescent="0.1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row>
    <row r="86" spans="1:209" ht="15" customHeight="1" x14ac:dyDescent="0.1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row>
    <row r="87" spans="1:209" ht="15" customHeight="1" x14ac:dyDescent="0.1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row>
    <row r="88" spans="1:209" ht="15" customHeight="1" x14ac:dyDescent="0.1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row>
    <row r="89" spans="1:209" ht="15" customHeight="1" x14ac:dyDescent="0.1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row>
    <row r="90" spans="1:209" ht="15" customHeight="1" x14ac:dyDescent="0.1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row>
    <row r="91" spans="1:209" ht="15" customHeight="1" x14ac:dyDescent="0.1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row>
    <row r="92" spans="1:209" ht="15" customHeight="1" x14ac:dyDescent="0.1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row>
    <row r="93" spans="1:209" ht="15" customHeight="1" x14ac:dyDescent="0.1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row>
    <row r="94" spans="1:209" ht="15" customHeight="1" x14ac:dyDescent="0.1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row>
    <row r="95" spans="1:209" ht="15" customHeight="1" x14ac:dyDescent="0.1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row>
    <row r="96" spans="1:209" ht="15" customHeight="1" x14ac:dyDescent="0.1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row>
    <row r="97" spans="1:209" ht="15" customHeight="1" x14ac:dyDescent="0.1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row>
    <row r="98" spans="1:209" ht="15" customHeight="1" x14ac:dyDescent="0.1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row>
    <row r="99" spans="1:209" ht="15" customHeight="1" x14ac:dyDescent="0.1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row>
    <row r="100" spans="1:209" ht="15" customHeight="1" x14ac:dyDescent="0.1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row>
    <row r="101" spans="1:209" ht="15" customHeight="1" x14ac:dyDescent="0.1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row>
    <row r="102" spans="1:209" ht="15" customHeight="1" x14ac:dyDescent="0.1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row>
    <row r="103" spans="1:209" ht="15" customHeight="1" x14ac:dyDescent="0.1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row>
    <row r="104" spans="1:209" ht="15" customHeight="1" x14ac:dyDescent="0.1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row>
    <row r="105" spans="1:209" ht="15" customHeight="1" x14ac:dyDescent="0.1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row>
    <row r="106" spans="1:209" ht="15" customHeight="1" x14ac:dyDescent="0.1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row>
    <row r="107" spans="1:209" ht="15" customHeight="1" x14ac:dyDescent="0.1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row>
    <row r="108" spans="1:209" ht="15" customHeight="1" x14ac:dyDescent="0.1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row>
    <row r="109" spans="1:209" ht="15" customHeight="1" x14ac:dyDescent="0.1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row>
    <row r="110" spans="1:209" ht="15" customHeight="1" x14ac:dyDescent="0.1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row>
    <row r="111" spans="1:209" ht="15" customHeight="1" x14ac:dyDescent="0.1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row>
    <row r="112" spans="1:209" ht="15" customHeight="1" x14ac:dyDescent="0.1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row>
    <row r="113" spans="1:209" ht="15" customHeight="1" x14ac:dyDescent="0.1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row>
    <row r="114" spans="1:209" ht="15" customHeight="1" x14ac:dyDescent="0.1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row>
    <row r="115" spans="1:209" ht="15" customHeight="1" x14ac:dyDescent="0.1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row>
    <row r="116" spans="1:209" ht="15" customHeight="1" x14ac:dyDescent="0.1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row>
    <row r="117" spans="1:209" ht="15" customHeight="1" x14ac:dyDescent="0.1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row>
    <row r="118" spans="1:209" ht="15" customHeight="1" x14ac:dyDescent="0.1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row>
    <row r="119" spans="1:209" ht="15" customHeight="1" x14ac:dyDescent="0.1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row>
    <row r="120" spans="1:209" ht="15" customHeight="1" x14ac:dyDescent="0.1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row>
    <row r="121" spans="1:209" ht="15" customHeight="1" x14ac:dyDescent="0.1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row>
    <row r="122" spans="1:209" ht="15" customHeight="1" x14ac:dyDescent="0.1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row>
    <row r="123" spans="1:209" ht="15" customHeight="1" x14ac:dyDescent="0.1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row>
    <row r="124" spans="1:209" ht="15" customHeight="1" x14ac:dyDescent="0.1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row>
    <row r="125" spans="1:209" ht="15" customHeight="1" x14ac:dyDescent="0.1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row>
    <row r="126" spans="1:209" ht="15" customHeight="1" x14ac:dyDescent="0.1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row>
    <row r="127" spans="1:209" ht="15" customHeight="1" x14ac:dyDescent="0.1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row>
    <row r="128" spans="1:209" ht="15" customHeight="1" x14ac:dyDescent="0.1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row>
    <row r="129" spans="1:209" ht="15" customHeight="1" x14ac:dyDescent="0.1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row>
    <row r="130" spans="1:209" ht="15" customHeight="1" x14ac:dyDescent="0.1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row>
    <row r="131" spans="1:209" ht="15" customHeight="1" x14ac:dyDescent="0.1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row>
    <row r="132" spans="1:209" ht="15" customHeight="1" x14ac:dyDescent="0.1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row>
    <row r="133" spans="1:209" ht="15" customHeight="1" x14ac:dyDescent="0.1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row>
    <row r="134" spans="1:209" ht="15" customHeight="1" x14ac:dyDescent="0.1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row>
    <row r="135" spans="1:209" ht="15" customHeight="1" x14ac:dyDescent="0.1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row>
    <row r="136" spans="1:209" ht="15" customHeight="1" x14ac:dyDescent="0.1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row>
    <row r="137" spans="1:209" ht="15" customHeight="1" x14ac:dyDescent="0.1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row>
    <row r="138" spans="1:209" ht="15" customHeight="1" x14ac:dyDescent="0.1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row>
    <row r="139" spans="1:209" ht="15" customHeight="1" x14ac:dyDescent="0.1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row>
    <row r="140" spans="1:209" ht="15" customHeight="1" x14ac:dyDescent="0.1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row>
    <row r="141" spans="1:209" ht="15" customHeight="1" x14ac:dyDescent="0.1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row>
    <row r="142" spans="1:209" ht="15" customHeight="1" x14ac:dyDescent="0.1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row>
    <row r="143" spans="1:209" ht="15" customHeight="1" x14ac:dyDescent="0.1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row>
    <row r="144" spans="1:209" ht="15" customHeight="1" x14ac:dyDescent="0.1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row>
    <row r="145" spans="1:209" ht="15" customHeight="1" x14ac:dyDescent="0.1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row>
    <row r="146" spans="1:209" ht="15" customHeight="1" x14ac:dyDescent="0.1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row>
    <row r="147" spans="1:209" ht="15" customHeight="1" x14ac:dyDescent="0.1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row>
    <row r="148" spans="1:209" ht="15" customHeight="1" x14ac:dyDescent="0.1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row>
    <row r="149" spans="1:209" ht="15" customHeight="1" x14ac:dyDescent="0.1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row>
    <row r="150" spans="1:209" ht="15" customHeight="1" x14ac:dyDescent="0.1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row>
    <row r="151" spans="1:209" ht="15" customHeight="1" x14ac:dyDescent="0.1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row>
    <row r="152" spans="1:209" ht="15" customHeight="1" x14ac:dyDescent="0.1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row>
    <row r="153" spans="1:209" ht="15" customHeight="1" x14ac:dyDescent="0.1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row>
    <row r="154" spans="1:209" ht="15" customHeight="1" x14ac:dyDescent="0.1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row>
    <row r="155" spans="1:209" ht="15" customHeight="1" x14ac:dyDescent="0.1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row>
    <row r="156" spans="1:209" ht="15" customHeight="1" x14ac:dyDescent="0.1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row>
    <row r="157" spans="1:209" ht="15" customHeight="1" x14ac:dyDescent="0.1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row>
    <row r="158" spans="1:209" ht="15" customHeight="1" x14ac:dyDescent="0.1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row>
    <row r="159" spans="1:209" ht="15" customHeight="1" x14ac:dyDescent="0.1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row>
    <row r="160" spans="1:209" ht="15" customHeight="1" x14ac:dyDescent="0.1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row>
    <row r="161" spans="1:209" ht="15" customHeight="1" x14ac:dyDescent="0.1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row>
    <row r="162" spans="1:209" ht="15" customHeight="1" x14ac:dyDescent="0.1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row>
    <row r="163" spans="1:209" ht="15" customHeight="1" x14ac:dyDescent="0.1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row>
    <row r="164" spans="1:209" ht="15" customHeight="1" x14ac:dyDescent="0.1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row>
    <row r="165" spans="1:209" ht="15" customHeight="1" x14ac:dyDescent="0.1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row>
    <row r="166" spans="1:209" ht="15" customHeight="1" x14ac:dyDescent="0.1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row>
    <row r="167" spans="1:209" ht="15" customHeight="1" x14ac:dyDescent="0.1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row>
    <row r="168" spans="1:209" ht="15" customHeight="1" x14ac:dyDescent="0.1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row>
    <row r="169" spans="1:209" ht="15" customHeight="1" x14ac:dyDescent="0.1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row>
    <row r="170" spans="1:209" ht="15" customHeight="1" x14ac:dyDescent="0.1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row>
    <row r="171" spans="1:209" ht="15" customHeight="1" x14ac:dyDescent="0.1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row>
    <row r="172" spans="1:209" ht="15" customHeight="1" x14ac:dyDescent="0.1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row>
    <row r="173" spans="1:209" ht="15" customHeight="1" x14ac:dyDescent="0.1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row>
    <row r="174" spans="1:209" ht="15" customHeight="1" x14ac:dyDescent="0.1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row>
    <row r="175" spans="1:209" ht="15" customHeight="1" x14ac:dyDescent="0.1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row>
    <row r="176" spans="1:209" ht="15" customHeight="1" x14ac:dyDescent="0.1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row>
    <row r="177" spans="1:209" ht="15" customHeight="1" x14ac:dyDescent="0.1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row>
    <row r="178" spans="1:209" ht="15" customHeight="1" x14ac:dyDescent="0.1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row>
    <row r="179" spans="1:209" ht="15" customHeight="1" x14ac:dyDescent="0.1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row>
    <row r="180" spans="1:209" ht="15" customHeight="1" x14ac:dyDescent="0.1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row>
    <row r="181" spans="1:209" ht="15" customHeight="1" x14ac:dyDescent="0.1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row>
    <row r="182" spans="1:209" ht="15" customHeight="1" x14ac:dyDescent="0.1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row>
    <row r="183" spans="1:209" ht="15" customHeight="1" x14ac:dyDescent="0.1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row>
    <row r="184" spans="1:209" ht="15" customHeight="1" x14ac:dyDescent="0.1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row>
    <row r="185" spans="1:209" ht="15" customHeight="1" x14ac:dyDescent="0.1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row>
    <row r="186" spans="1:209" ht="15" customHeight="1" x14ac:dyDescent="0.1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row>
    <row r="187" spans="1:209" ht="15" customHeight="1" x14ac:dyDescent="0.1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row>
    <row r="188" spans="1:209" ht="15" customHeight="1" x14ac:dyDescent="0.1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row>
    <row r="189" spans="1:209" ht="15" customHeight="1" x14ac:dyDescent="0.1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row>
    <row r="190" spans="1:209" ht="15" customHeight="1" x14ac:dyDescent="0.1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row>
    <row r="191" spans="1:209" ht="15" customHeight="1" x14ac:dyDescent="0.1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row>
    <row r="192" spans="1:209" ht="15" customHeight="1" x14ac:dyDescent="0.1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row>
    <row r="193" spans="1:209" ht="15" customHeight="1" x14ac:dyDescent="0.1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row>
    <row r="194" spans="1:209" ht="15" customHeight="1" x14ac:dyDescent="0.1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row>
    <row r="195" spans="1:209" ht="15" customHeight="1" x14ac:dyDescent="0.1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row>
    <row r="196" spans="1:209" ht="15" customHeight="1" x14ac:dyDescent="0.1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row>
    <row r="197" spans="1:209" ht="15" customHeight="1" x14ac:dyDescent="0.1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row>
    <row r="198" spans="1:209" ht="15" customHeight="1" x14ac:dyDescent="0.1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row>
    <row r="199" spans="1:209" ht="15" customHeight="1" x14ac:dyDescent="0.1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row>
    <row r="200" spans="1:209" ht="15" customHeight="1" x14ac:dyDescent="0.1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row>
    <row r="201" spans="1:209" ht="15" customHeight="1" x14ac:dyDescent="0.1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row>
    <row r="202" spans="1:209" ht="15" customHeight="1" x14ac:dyDescent="0.1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row>
    <row r="203" spans="1:209" ht="15" customHeight="1" x14ac:dyDescent="0.1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row>
    <row r="204" spans="1:209" ht="15" customHeight="1" x14ac:dyDescent="0.1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row>
    <row r="205" spans="1:209" ht="15" customHeight="1" x14ac:dyDescent="0.1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row>
    <row r="206" spans="1:209" ht="15" customHeight="1" x14ac:dyDescent="0.1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row>
    <row r="207" spans="1:209" ht="15" customHeight="1" x14ac:dyDescent="0.1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row>
    <row r="208" spans="1:209" ht="15" customHeight="1" x14ac:dyDescent="0.1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row>
    <row r="209" spans="1:209" ht="15" customHeight="1" x14ac:dyDescent="0.1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row>
    <row r="210" spans="1:209" ht="15" customHeight="1" x14ac:dyDescent="0.1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row>
    <row r="211" spans="1:209" ht="15" customHeight="1" x14ac:dyDescent="0.1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row>
    <row r="212" spans="1:209" ht="15" customHeight="1" x14ac:dyDescent="0.1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row>
    <row r="213" spans="1:209" ht="15" customHeight="1" x14ac:dyDescent="0.1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row>
    <row r="214" spans="1:209" ht="15" customHeight="1" x14ac:dyDescent="0.1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row>
    <row r="215" spans="1:209" ht="15" customHeight="1" x14ac:dyDescent="0.1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row>
    <row r="216" spans="1:209" ht="15" customHeight="1" x14ac:dyDescent="0.1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row>
    <row r="217" spans="1:209" ht="15" customHeight="1" x14ac:dyDescent="0.1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row>
    <row r="218" spans="1:209" ht="15" customHeight="1" x14ac:dyDescent="0.1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row>
    <row r="219" spans="1:209" ht="15" customHeight="1" x14ac:dyDescent="0.1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row>
    <row r="220" spans="1:209" ht="15" customHeight="1" x14ac:dyDescent="0.1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row>
    <row r="221" spans="1:209" ht="15" customHeight="1" x14ac:dyDescent="0.1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row>
    <row r="222" spans="1:209" ht="15" customHeight="1" x14ac:dyDescent="0.1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row>
    <row r="223" spans="1:209" ht="15" customHeight="1" x14ac:dyDescent="0.1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row>
    <row r="224" spans="1:209" ht="15" customHeight="1" x14ac:dyDescent="0.1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row>
    <row r="225" spans="1:209" ht="15" customHeight="1" x14ac:dyDescent="0.1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row>
    <row r="226" spans="1:209" ht="15" customHeight="1" x14ac:dyDescent="0.1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row>
    <row r="227" spans="1:209" ht="15" customHeight="1" x14ac:dyDescent="0.1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row>
    <row r="228" spans="1:209" ht="15" customHeight="1" x14ac:dyDescent="0.1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row>
    <row r="229" spans="1:209" ht="15" customHeight="1" x14ac:dyDescent="0.15">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row>
    <row r="230" spans="1:209" ht="15" customHeight="1" x14ac:dyDescent="0.1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row>
    <row r="231" spans="1:209" ht="15" customHeight="1" x14ac:dyDescent="0.1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row>
    <row r="232" spans="1:209" ht="15" customHeight="1" x14ac:dyDescent="0.1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row>
    <row r="233" spans="1:209" ht="15" customHeight="1" x14ac:dyDescent="0.1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row>
    <row r="234" spans="1:209" ht="15" customHeight="1" x14ac:dyDescent="0.1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row>
    <row r="235" spans="1:209" ht="15" customHeight="1" x14ac:dyDescent="0.1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row>
    <row r="236" spans="1:209" ht="15" customHeight="1" x14ac:dyDescent="0.15">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row>
    <row r="237" spans="1:209" ht="15" customHeight="1" x14ac:dyDescent="0.15">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row>
    <row r="238" spans="1:209" ht="15" customHeight="1" x14ac:dyDescent="0.15">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row>
    <row r="239" spans="1:209" ht="15" customHeight="1" x14ac:dyDescent="0.1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row>
    <row r="240" spans="1:209" ht="15" customHeight="1" x14ac:dyDescent="0.1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row>
    <row r="241" spans="1:209" ht="15" customHeight="1" x14ac:dyDescent="0.1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row>
    <row r="242" spans="1:209" ht="15" customHeight="1" x14ac:dyDescent="0.1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row>
    <row r="243" spans="1:209" ht="15" customHeight="1" x14ac:dyDescent="0.1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row>
    <row r="244" spans="1:209" ht="15" customHeight="1" x14ac:dyDescent="0.1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row>
    <row r="245" spans="1:209" ht="15" customHeight="1" x14ac:dyDescent="0.1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row>
    <row r="246" spans="1:209" ht="15" customHeight="1" x14ac:dyDescent="0.15">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row>
    <row r="247" spans="1:209" ht="15" customHeight="1" x14ac:dyDescent="0.15">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row>
    <row r="248" spans="1:209" ht="15" customHeight="1" x14ac:dyDescent="0.1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row>
    <row r="249" spans="1:209" ht="15" customHeight="1" x14ac:dyDescent="0.1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row>
    <row r="250" spans="1:209" ht="15" customHeight="1" x14ac:dyDescent="0.1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row>
    <row r="251" spans="1:209" ht="15" customHeight="1" x14ac:dyDescent="0.1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row>
    <row r="252" spans="1:209" ht="15" customHeight="1" x14ac:dyDescent="0.1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row>
    <row r="253" spans="1:209" ht="15" customHeight="1" x14ac:dyDescent="0.1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row>
    <row r="254" spans="1:209" ht="15" customHeight="1" x14ac:dyDescent="0.1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row>
    <row r="255" spans="1:209" ht="15" customHeight="1" x14ac:dyDescent="0.1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row>
    <row r="256" spans="1:209" ht="15" customHeight="1" x14ac:dyDescent="0.1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row>
    <row r="257" spans="1:209" ht="15" customHeight="1" x14ac:dyDescent="0.1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row>
    <row r="258" spans="1:209" ht="15" customHeight="1" x14ac:dyDescent="0.1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row>
    <row r="259" spans="1:209" ht="15" customHeight="1" x14ac:dyDescent="0.1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row>
    <row r="260" spans="1:209" ht="15" customHeight="1" x14ac:dyDescent="0.1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row>
    <row r="261" spans="1:209" ht="15" customHeight="1" x14ac:dyDescent="0.1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row>
    <row r="262" spans="1:209" ht="15" customHeight="1" x14ac:dyDescent="0.1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row>
    <row r="263" spans="1:209" ht="15" customHeight="1" x14ac:dyDescent="0.1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row>
    <row r="264" spans="1:209" ht="15" customHeight="1" x14ac:dyDescent="0.1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row>
    <row r="265" spans="1:209" ht="15" customHeight="1" x14ac:dyDescent="0.1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row>
    <row r="266" spans="1:209" ht="15" customHeight="1" x14ac:dyDescent="0.1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row>
    <row r="267" spans="1:209" ht="15" customHeight="1" x14ac:dyDescent="0.1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row>
    <row r="268" spans="1:209" ht="15" customHeight="1" x14ac:dyDescent="0.15">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row>
    <row r="269" spans="1:209" ht="15" customHeight="1" x14ac:dyDescent="0.1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row>
    <row r="270" spans="1:209" ht="15" customHeight="1" x14ac:dyDescent="0.1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row>
    <row r="271" spans="1:209" ht="15" customHeight="1" x14ac:dyDescent="0.1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row>
    <row r="272" spans="1:209" ht="15" customHeight="1" x14ac:dyDescent="0.1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row>
    <row r="273" spans="1:209" ht="15" customHeight="1" x14ac:dyDescent="0.1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row>
    <row r="274" spans="1:209" ht="15" customHeight="1" x14ac:dyDescent="0.1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row>
    <row r="275" spans="1:209" ht="15" customHeight="1" x14ac:dyDescent="0.1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row>
    <row r="276" spans="1:209" ht="15" customHeight="1" x14ac:dyDescent="0.1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row>
    <row r="277" spans="1:209" ht="15" customHeight="1" x14ac:dyDescent="0.1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row>
    <row r="278" spans="1:209" ht="15" customHeight="1" x14ac:dyDescent="0.1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row>
    <row r="279" spans="1:209" ht="15" customHeight="1" x14ac:dyDescent="0.1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row>
    <row r="280" spans="1:209" ht="15" customHeight="1" x14ac:dyDescent="0.1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row>
    <row r="281" spans="1:209" ht="15" customHeight="1" x14ac:dyDescent="0.1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row>
    <row r="282" spans="1:209" ht="15" customHeight="1" x14ac:dyDescent="0.1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row>
    <row r="283" spans="1:209" ht="15" customHeight="1" x14ac:dyDescent="0.1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c r="FQ283"/>
      <c r="FR283"/>
      <c r="FS283"/>
      <c r="FT283"/>
      <c r="FU283"/>
      <c r="FV283"/>
      <c r="FW283"/>
      <c r="FX283"/>
      <c r="FY283"/>
      <c r="FZ283"/>
      <c r="GA283"/>
      <c r="GB283"/>
      <c r="GC283"/>
      <c r="GD283"/>
      <c r="GE283"/>
      <c r="GF283"/>
      <c r="GG283"/>
      <c r="GH283"/>
      <c r="GI283"/>
      <c r="GJ283"/>
      <c r="GK283"/>
      <c r="GL283"/>
      <c r="GM283"/>
      <c r="GN283"/>
      <c r="GO283"/>
      <c r="GP283"/>
      <c r="GQ283"/>
      <c r="GR283"/>
      <c r="GS283"/>
      <c r="GT283"/>
      <c r="GU283"/>
      <c r="GV283"/>
      <c r="GW283"/>
      <c r="GX283"/>
      <c r="GY283"/>
      <c r="GZ283"/>
      <c r="HA283"/>
    </row>
    <row r="284" spans="1:209" ht="15" customHeight="1" x14ac:dyDescent="0.1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c r="FQ284"/>
      <c r="FR284"/>
      <c r="FS284"/>
      <c r="FT284"/>
      <c r="FU284"/>
      <c r="FV284"/>
      <c r="FW284"/>
      <c r="FX284"/>
      <c r="FY284"/>
      <c r="FZ284"/>
      <c r="GA284"/>
      <c r="GB284"/>
      <c r="GC284"/>
      <c r="GD284"/>
      <c r="GE284"/>
      <c r="GF284"/>
      <c r="GG284"/>
      <c r="GH284"/>
      <c r="GI284"/>
      <c r="GJ284"/>
      <c r="GK284"/>
      <c r="GL284"/>
      <c r="GM284"/>
      <c r="GN284"/>
      <c r="GO284"/>
      <c r="GP284"/>
      <c r="GQ284"/>
      <c r="GR284"/>
      <c r="GS284"/>
      <c r="GT284"/>
      <c r="GU284"/>
      <c r="GV284"/>
      <c r="GW284"/>
      <c r="GX284"/>
      <c r="GY284"/>
      <c r="GZ284"/>
      <c r="HA284"/>
    </row>
    <row r="285" spans="1:209" ht="15" customHeight="1" x14ac:dyDescent="0.1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c r="FX285"/>
      <c r="FY285"/>
      <c r="FZ285"/>
      <c r="GA285"/>
      <c r="GB285"/>
      <c r="GC285"/>
      <c r="GD285"/>
      <c r="GE285"/>
      <c r="GF285"/>
      <c r="GG285"/>
      <c r="GH285"/>
      <c r="GI285"/>
      <c r="GJ285"/>
      <c r="GK285"/>
      <c r="GL285"/>
      <c r="GM285"/>
      <c r="GN285"/>
      <c r="GO285"/>
      <c r="GP285"/>
      <c r="GQ285"/>
      <c r="GR285"/>
      <c r="GS285"/>
      <c r="GT285"/>
      <c r="GU285"/>
      <c r="GV285"/>
      <c r="GW285"/>
      <c r="GX285"/>
      <c r="GY285"/>
      <c r="GZ285"/>
      <c r="HA285"/>
    </row>
    <row r="286" spans="1:209" ht="15" customHeight="1" x14ac:dyDescent="0.1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c r="FQ286"/>
      <c r="FR286"/>
      <c r="FS286"/>
      <c r="FT286"/>
      <c r="FU286"/>
      <c r="FV286"/>
      <c r="FW286"/>
      <c r="FX286"/>
      <c r="FY286"/>
      <c r="FZ286"/>
      <c r="GA286"/>
      <c r="GB286"/>
      <c r="GC286"/>
      <c r="GD286"/>
      <c r="GE286"/>
      <c r="GF286"/>
      <c r="GG286"/>
      <c r="GH286"/>
      <c r="GI286"/>
      <c r="GJ286"/>
      <c r="GK286"/>
      <c r="GL286"/>
      <c r="GM286"/>
      <c r="GN286"/>
      <c r="GO286"/>
      <c r="GP286"/>
      <c r="GQ286"/>
      <c r="GR286"/>
      <c r="GS286"/>
      <c r="GT286"/>
      <c r="GU286"/>
      <c r="GV286"/>
      <c r="GW286"/>
      <c r="GX286"/>
      <c r="GY286"/>
      <c r="GZ286"/>
      <c r="HA286"/>
    </row>
    <row r="287" spans="1:209" ht="15" customHeight="1" x14ac:dyDescent="0.1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c r="FQ287"/>
      <c r="FR287"/>
      <c r="FS287"/>
      <c r="FT287"/>
      <c r="FU287"/>
      <c r="FV287"/>
      <c r="FW287"/>
      <c r="FX287"/>
      <c r="FY287"/>
      <c r="FZ287"/>
      <c r="GA287"/>
      <c r="GB287"/>
      <c r="GC287"/>
      <c r="GD287"/>
      <c r="GE287"/>
      <c r="GF287"/>
      <c r="GG287"/>
      <c r="GH287"/>
      <c r="GI287"/>
      <c r="GJ287"/>
      <c r="GK287"/>
      <c r="GL287"/>
      <c r="GM287"/>
      <c r="GN287"/>
      <c r="GO287"/>
      <c r="GP287"/>
      <c r="GQ287"/>
      <c r="GR287"/>
      <c r="GS287"/>
      <c r="GT287"/>
      <c r="GU287"/>
      <c r="GV287"/>
      <c r="GW287"/>
      <c r="GX287"/>
      <c r="GY287"/>
      <c r="GZ287"/>
      <c r="HA287"/>
    </row>
    <row r="288" spans="1:209" ht="15" customHeight="1" x14ac:dyDescent="0.1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c r="FX288"/>
      <c r="FY288"/>
      <c r="FZ288"/>
      <c r="GA288"/>
      <c r="GB288"/>
      <c r="GC288"/>
      <c r="GD288"/>
      <c r="GE288"/>
      <c r="GF288"/>
      <c r="GG288"/>
      <c r="GH288"/>
      <c r="GI288"/>
      <c r="GJ288"/>
      <c r="GK288"/>
      <c r="GL288"/>
      <c r="GM288"/>
      <c r="GN288"/>
      <c r="GO288"/>
      <c r="GP288"/>
      <c r="GQ288"/>
      <c r="GR288"/>
      <c r="GS288"/>
      <c r="GT288"/>
      <c r="GU288"/>
      <c r="GV288"/>
      <c r="GW288"/>
      <c r="GX288"/>
      <c r="GY288"/>
      <c r="GZ288"/>
      <c r="HA288"/>
    </row>
    <row r="289" spans="1:209" ht="15" customHeight="1" x14ac:dyDescent="0.15">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c r="FX289"/>
      <c r="FY289"/>
      <c r="FZ289"/>
      <c r="GA289"/>
      <c r="GB289"/>
      <c r="GC289"/>
      <c r="GD289"/>
      <c r="GE289"/>
      <c r="GF289"/>
      <c r="GG289"/>
      <c r="GH289"/>
      <c r="GI289"/>
      <c r="GJ289"/>
      <c r="GK289"/>
      <c r="GL289"/>
      <c r="GM289"/>
      <c r="GN289"/>
      <c r="GO289"/>
      <c r="GP289"/>
      <c r="GQ289"/>
      <c r="GR289"/>
      <c r="GS289"/>
      <c r="GT289"/>
      <c r="GU289"/>
      <c r="GV289"/>
      <c r="GW289"/>
      <c r="GX289"/>
      <c r="GY289"/>
      <c r="GZ289"/>
      <c r="HA289"/>
    </row>
    <row r="290" spans="1:209" ht="15" customHeight="1" x14ac:dyDescent="0.15">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c r="FQ290"/>
      <c r="FR290"/>
      <c r="FS290"/>
      <c r="FT290"/>
      <c r="FU290"/>
      <c r="FV290"/>
      <c r="FW290"/>
      <c r="FX290"/>
      <c r="FY290"/>
      <c r="FZ290"/>
      <c r="GA290"/>
      <c r="GB290"/>
      <c r="GC290"/>
      <c r="GD290"/>
      <c r="GE290"/>
      <c r="GF290"/>
      <c r="GG290"/>
      <c r="GH290"/>
      <c r="GI290"/>
      <c r="GJ290"/>
      <c r="GK290"/>
      <c r="GL290"/>
      <c r="GM290"/>
      <c r="GN290"/>
      <c r="GO290"/>
      <c r="GP290"/>
      <c r="GQ290"/>
      <c r="GR290"/>
      <c r="GS290"/>
      <c r="GT290"/>
      <c r="GU290"/>
      <c r="GV290"/>
      <c r="GW290"/>
      <c r="GX290"/>
      <c r="GY290"/>
      <c r="GZ290"/>
      <c r="HA290"/>
    </row>
    <row r="291" spans="1:209" ht="15" customHeight="1" x14ac:dyDescent="0.1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c r="FQ291"/>
      <c r="FR291"/>
      <c r="FS291"/>
      <c r="FT291"/>
      <c r="FU291"/>
      <c r="FV291"/>
      <c r="FW291"/>
      <c r="FX291"/>
      <c r="FY291"/>
      <c r="FZ291"/>
      <c r="GA291"/>
      <c r="GB291"/>
      <c r="GC291"/>
      <c r="GD291"/>
      <c r="GE291"/>
      <c r="GF291"/>
      <c r="GG291"/>
      <c r="GH291"/>
      <c r="GI291"/>
      <c r="GJ291"/>
      <c r="GK291"/>
      <c r="GL291"/>
      <c r="GM291"/>
      <c r="GN291"/>
      <c r="GO291"/>
      <c r="GP291"/>
      <c r="GQ291"/>
      <c r="GR291"/>
      <c r="GS291"/>
      <c r="GT291"/>
      <c r="GU291"/>
      <c r="GV291"/>
      <c r="GW291"/>
      <c r="GX291"/>
      <c r="GY291"/>
      <c r="GZ291"/>
      <c r="HA291"/>
    </row>
    <row r="292" spans="1:209" ht="15" customHeight="1" x14ac:dyDescent="0.1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c r="FQ292"/>
      <c r="FR292"/>
      <c r="FS292"/>
      <c r="FT292"/>
      <c r="FU292"/>
      <c r="FV292"/>
      <c r="FW292"/>
      <c r="FX292"/>
      <c r="FY292"/>
      <c r="FZ292"/>
      <c r="GA292"/>
      <c r="GB292"/>
      <c r="GC292"/>
      <c r="GD292"/>
      <c r="GE292"/>
      <c r="GF292"/>
      <c r="GG292"/>
      <c r="GH292"/>
      <c r="GI292"/>
      <c r="GJ292"/>
      <c r="GK292"/>
      <c r="GL292"/>
      <c r="GM292"/>
      <c r="GN292"/>
      <c r="GO292"/>
      <c r="GP292"/>
      <c r="GQ292"/>
      <c r="GR292"/>
      <c r="GS292"/>
      <c r="GT292"/>
      <c r="GU292"/>
      <c r="GV292"/>
      <c r="GW292"/>
      <c r="GX292"/>
      <c r="GY292"/>
      <c r="GZ292"/>
      <c r="HA292"/>
    </row>
    <row r="293" spans="1:209" ht="15" customHeight="1" x14ac:dyDescent="0.1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c r="FQ293"/>
      <c r="FR293"/>
      <c r="FS293"/>
      <c r="FT293"/>
      <c r="FU293"/>
      <c r="FV293"/>
      <c r="FW293"/>
      <c r="FX293"/>
      <c r="FY293"/>
      <c r="FZ293"/>
      <c r="GA293"/>
      <c r="GB293"/>
      <c r="GC293"/>
      <c r="GD293"/>
      <c r="GE293"/>
      <c r="GF293"/>
      <c r="GG293"/>
      <c r="GH293"/>
      <c r="GI293"/>
      <c r="GJ293"/>
      <c r="GK293"/>
      <c r="GL293"/>
      <c r="GM293"/>
      <c r="GN293"/>
      <c r="GO293"/>
      <c r="GP293"/>
      <c r="GQ293"/>
      <c r="GR293"/>
      <c r="GS293"/>
      <c r="GT293"/>
      <c r="GU293"/>
      <c r="GV293"/>
      <c r="GW293"/>
      <c r="GX293"/>
      <c r="GY293"/>
      <c r="GZ293"/>
      <c r="HA293"/>
    </row>
    <row r="294" spans="1:209" ht="15" customHeight="1" x14ac:dyDescent="0.1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c r="FQ294"/>
      <c r="FR294"/>
      <c r="FS294"/>
      <c r="FT294"/>
      <c r="FU294"/>
      <c r="FV294"/>
      <c r="FW294"/>
      <c r="FX294"/>
      <c r="FY294"/>
      <c r="FZ294"/>
      <c r="GA294"/>
      <c r="GB294"/>
      <c r="GC294"/>
      <c r="GD294"/>
      <c r="GE294"/>
      <c r="GF294"/>
      <c r="GG294"/>
      <c r="GH294"/>
      <c r="GI294"/>
      <c r="GJ294"/>
      <c r="GK294"/>
      <c r="GL294"/>
      <c r="GM294"/>
      <c r="GN294"/>
      <c r="GO294"/>
      <c r="GP294"/>
      <c r="GQ294"/>
      <c r="GR294"/>
      <c r="GS294"/>
      <c r="GT294"/>
      <c r="GU294"/>
      <c r="GV294"/>
      <c r="GW294"/>
      <c r="GX294"/>
      <c r="GY294"/>
      <c r="GZ294"/>
      <c r="HA294"/>
    </row>
    <row r="295" spans="1:209" ht="15" customHeight="1" x14ac:dyDescent="0.1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c r="FX295"/>
      <c r="FY295"/>
      <c r="FZ295"/>
      <c r="GA295"/>
      <c r="GB295"/>
      <c r="GC295"/>
      <c r="GD295"/>
      <c r="GE295"/>
      <c r="GF295"/>
      <c r="GG295"/>
      <c r="GH295"/>
      <c r="GI295"/>
      <c r="GJ295"/>
      <c r="GK295"/>
      <c r="GL295"/>
      <c r="GM295"/>
      <c r="GN295"/>
      <c r="GO295"/>
      <c r="GP295"/>
      <c r="GQ295"/>
      <c r="GR295"/>
      <c r="GS295"/>
      <c r="GT295"/>
      <c r="GU295"/>
      <c r="GV295"/>
      <c r="GW295"/>
      <c r="GX295"/>
      <c r="GY295"/>
      <c r="GZ295"/>
      <c r="HA295"/>
    </row>
    <row r="296" spans="1:209" ht="15" customHeight="1" x14ac:dyDescent="0.1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c r="FX296"/>
      <c r="FY296"/>
      <c r="FZ296"/>
      <c r="GA296"/>
      <c r="GB296"/>
      <c r="GC296"/>
      <c r="GD296"/>
      <c r="GE296"/>
      <c r="GF296"/>
      <c r="GG296"/>
      <c r="GH296"/>
      <c r="GI296"/>
      <c r="GJ296"/>
      <c r="GK296"/>
      <c r="GL296"/>
      <c r="GM296"/>
      <c r="GN296"/>
      <c r="GO296"/>
      <c r="GP296"/>
      <c r="GQ296"/>
      <c r="GR296"/>
      <c r="GS296"/>
      <c r="GT296"/>
      <c r="GU296"/>
      <c r="GV296"/>
      <c r="GW296"/>
      <c r="GX296"/>
      <c r="GY296"/>
      <c r="GZ296"/>
      <c r="HA296"/>
    </row>
    <row r="297" spans="1:209" ht="15" customHeight="1" x14ac:dyDescent="0.1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c r="FQ297"/>
      <c r="FR297"/>
      <c r="FS297"/>
      <c r="FT297"/>
      <c r="FU297"/>
      <c r="FV297"/>
      <c r="FW297"/>
      <c r="FX297"/>
      <c r="FY297"/>
      <c r="FZ297"/>
      <c r="GA297"/>
      <c r="GB297"/>
      <c r="GC297"/>
      <c r="GD297"/>
      <c r="GE297"/>
      <c r="GF297"/>
      <c r="GG297"/>
      <c r="GH297"/>
      <c r="GI297"/>
      <c r="GJ297"/>
      <c r="GK297"/>
      <c r="GL297"/>
      <c r="GM297"/>
      <c r="GN297"/>
      <c r="GO297"/>
      <c r="GP297"/>
      <c r="GQ297"/>
      <c r="GR297"/>
      <c r="GS297"/>
      <c r="GT297"/>
      <c r="GU297"/>
      <c r="GV297"/>
      <c r="GW297"/>
      <c r="GX297"/>
      <c r="GY297"/>
      <c r="GZ297"/>
      <c r="HA297"/>
    </row>
    <row r="298" spans="1:209" ht="15" customHeight="1" x14ac:dyDescent="0.1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c r="FX298"/>
      <c r="FY298"/>
      <c r="FZ298"/>
      <c r="GA298"/>
      <c r="GB298"/>
      <c r="GC298"/>
      <c r="GD298"/>
      <c r="GE298"/>
      <c r="GF298"/>
      <c r="GG298"/>
      <c r="GH298"/>
      <c r="GI298"/>
      <c r="GJ298"/>
      <c r="GK298"/>
      <c r="GL298"/>
      <c r="GM298"/>
      <c r="GN298"/>
      <c r="GO298"/>
      <c r="GP298"/>
      <c r="GQ298"/>
      <c r="GR298"/>
      <c r="GS298"/>
      <c r="GT298"/>
      <c r="GU298"/>
      <c r="GV298"/>
      <c r="GW298"/>
      <c r="GX298"/>
      <c r="GY298"/>
      <c r="GZ298"/>
      <c r="HA298"/>
    </row>
    <row r="299" spans="1:209" ht="15" customHeight="1" x14ac:dyDescent="0.1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c r="FX299"/>
      <c r="FY299"/>
      <c r="FZ299"/>
      <c r="GA299"/>
      <c r="GB299"/>
      <c r="GC299"/>
      <c r="GD299"/>
      <c r="GE299"/>
      <c r="GF299"/>
      <c r="GG299"/>
      <c r="GH299"/>
      <c r="GI299"/>
      <c r="GJ299"/>
      <c r="GK299"/>
      <c r="GL299"/>
      <c r="GM299"/>
      <c r="GN299"/>
      <c r="GO299"/>
      <c r="GP299"/>
      <c r="GQ299"/>
      <c r="GR299"/>
      <c r="GS299"/>
      <c r="GT299"/>
      <c r="GU299"/>
      <c r="GV299"/>
      <c r="GW299"/>
      <c r="GX299"/>
      <c r="GY299"/>
      <c r="GZ299"/>
      <c r="HA299"/>
    </row>
    <row r="300" spans="1:209" ht="15" customHeight="1" x14ac:dyDescent="0.1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c r="FX300"/>
      <c r="FY300"/>
      <c r="FZ300"/>
      <c r="GA300"/>
      <c r="GB300"/>
      <c r="GC300"/>
      <c r="GD300"/>
      <c r="GE300"/>
      <c r="GF300"/>
      <c r="GG300"/>
      <c r="GH300"/>
      <c r="GI300"/>
      <c r="GJ300"/>
      <c r="GK300"/>
      <c r="GL300"/>
      <c r="GM300"/>
      <c r="GN300"/>
      <c r="GO300"/>
      <c r="GP300"/>
      <c r="GQ300"/>
      <c r="GR300"/>
      <c r="GS300"/>
      <c r="GT300"/>
      <c r="GU300"/>
      <c r="GV300"/>
      <c r="GW300"/>
      <c r="GX300"/>
      <c r="GY300"/>
      <c r="GZ300"/>
      <c r="HA300"/>
    </row>
    <row r="301" spans="1:209" ht="15" customHeight="1" x14ac:dyDescent="0.1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c r="FX301"/>
      <c r="FY301"/>
      <c r="FZ301"/>
      <c r="GA301"/>
      <c r="GB301"/>
      <c r="GC301"/>
      <c r="GD301"/>
      <c r="GE301"/>
      <c r="GF301"/>
      <c r="GG301"/>
      <c r="GH301"/>
      <c r="GI301"/>
      <c r="GJ301"/>
      <c r="GK301"/>
      <c r="GL301"/>
      <c r="GM301"/>
      <c r="GN301"/>
      <c r="GO301"/>
      <c r="GP301"/>
      <c r="GQ301"/>
      <c r="GR301"/>
      <c r="GS301"/>
      <c r="GT301"/>
      <c r="GU301"/>
      <c r="GV301"/>
      <c r="GW301"/>
      <c r="GX301"/>
      <c r="GY301"/>
      <c r="GZ301"/>
      <c r="HA301"/>
    </row>
    <row r="302" spans="1:209" ht="15" customHeight="1" x14ac:dyDescent="0.1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c r="FX302"/>
      <c r="FY302"/>
      <c r="FZ302"/>
      <c r="GA302"/>
      <c r="GB302"/>
      <c r="GC302"/>
      <c r="GD302"/>
      <c r="GE302"/>
      <c r="GF302"/>
      <c r="GG302"/>
      <c r="GH302"/>
      <c r="GI302"/>
      <c r="GJ302"/>
      <c r="GK302"/>
      <c r="GL302"/>
      <c r="GM302"/>
      <c r="GN302"/>
      <c r="GO302"/>
      <c r="GP302"/>
      <c r="GQ302"/>
      <c r="GR302"/>
      <c r="GS302"/>
      <c r="GT302"/>
      <c r="GU302"/>
      <c r="GV302"/>
      <c r="GW302"/>
      <c r="GX302"/>
      <c r="GY302"/>
      <c r="GZ302"/>
      <c r="HA302"/>
    </row>
    <row r="303" spans="1:209" ht="15" customHeight="1" x14ac:dyDescent="0.1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c r="FX303"/>
      <c r="FY303"/>
      <c r="FZ303"/>
      <c r="GA303"/>
      <c r="GB303"/>
      <c r="GC303"/>
      <c r="GD303"/>
      <c r="GE303"/>
      <c r="GF303"/>
      <c r="GG303"/>
      <c r="GH303"/>
      <c r="GI303"/>
      <c r="GJ303"/>
      <c r="GK303"/>
      <c r="GL303"/>
      <c r="GM303"/>
      <c r="GN303"/>
      <c r="GO303"/>
      <c r="GP303"/>
      <c r="GQ303"/>
      <c r="GR303"/>
      <c r="GS303"/>
      <c r="GT303"/>
      <c r="GU303"/>
      <c r="GV303"/>
      <c r="GW303"/>
      <c r="GX303"/>
      <c r="GY303"/>
      <c r="GZ303"/>
      <c r="HA303"/>
    </row>
    <row r="304" spans="1:209" ht="15" customHeight="1" x14ac:dyDescent="0.15">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c r="FQ304"/>
      <c r="FR304"/>
      <c r="FS304"/>
      <c r="FT304"/>
      <c r="FU304"/>
      <c r="FV304"/>
      <c r="FW304"/>
      <c r="FX304"/>
      <c r="FY304"/>
      <c r="FZ304"/>
      <c r="GA304"/>
      <c r="GB304"/>
      <c r="GC304"/>
      <c r="GD304"/>
      <c r="GE304"/>
      <c r="GF304"/>
      <c r="GG304"/>
      <c r="GH304"/>
      <c r="GI304"/>
      <c r="GJ304"/>
      <c r="GK304"/>
      <c r="GL304"/>
      <c r="GM304"/>
      <c r="GN304"/>
      <c r="GO304"/>
      <c r="GP304"/>
      <c r="GQ304"/>
      <c r="GR304"/>
      <c r="GS304"/>
      <c r="GT304"/>
      <c r="GU304"/>
      <c r="GV304"/>
      <c r="GW304"/>
      <c r="GX304"/>
      <c r="GY304"/>
      <c r="GZ304"/>
      <c r="HA304"/>
    </row>
    <row r="305" spans="1:209" ht="15" customHeight="1" x14ac:dyDescent="0.15">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c r="FX305"/>
      <c r="FY305"/>
      <c r="FZ305"/>
      <c r="GA305"/>
      <c r="GB305"/>
      <c r="GC305"/>
      <c r="GD305"/>
      <c r="GE305"/>
      <c r="GF305"/>
      <c r="GG305"/>
      <c r="GH305"/>
      <c r="GI305"/>
      <c r="GJ305"/>
      <c r="GK305"/>
      <c r="GL305"/>
      <c r="GM305"/>
      <c r="GN305"/>
      <c r="GO305"/>
      <c r="GP305"/>
      <c r="GQ305"/>
      <c r="GR305"/>
      <c r="GS305"/>
      <c r="GT305"/>
      <c r="GU305"/>
      <c r="GV305"/>
      <c r="GW305"/>
      <c r="GX305"/>
      <c r="GY305"/>
      <c r="GZ305"/>
      <c r="HA305"/>
    </row>
    <row r="306" spans="1:209" ht="15" customHeight="1" x14ac:dyDescent="0.15">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c r="FX306"/>
      <c r="FY306"/>
      <c r="FZ306"/>
      <c r="GA306"/>
      <c r="GB306"/>
      <c r="GC306"/>
      <c r="GD306"/>
      <c r="GE306"/>
      <c r="GF306"/>
      <c r="GG306"/>
      <c r="GH306"/>
      <c r="GI306"/>
      <c r="GJ306"/>
      <c r="GK306"/>
      <c r="GL306"/>
      <c r="GM306"/>
      <c r="GN306"/>
      <c r="GO306"/>
      <c r="GP306"/>
      <c r="GQ306"/>
      <c r="GR306"/>
      <c r="GS306"/>
      <c r="GT306"/>
      <c r="GU306"/>
      <c r="GV306"/>
      <c r="GW306"/>
      <c r="GX306"/>
      <c r="GY306"/>
      <c r="GZ306"/>
      <c r="HA306"/>
    </row>
    <row r="307" spans="1:209" ht="15" customHeight="1" x14ac:dyDescent="0.15">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c r="FX307"/>
      <c r="FY307"/>
      <c r="FZ307"/>
      <c r="GA307"/>
      <c r="GB307"/>
      <c r="GC307"/>
      <c r="GD307"/>
      <c r="GE307"/>
      <c r="GF307"/>
      <c r="GG307"/>
      <c r="GH307"/>
      <c r="GI307"/>
      <c r="GJ307"/>
      <c r="GK307"/>
      <c r="GL307"/>
      <c r="GM307"/>
      <c r="GN307"/>
      <c r="GO307"/>
      <c r="GP307"/>
      <c r="GQ307"/>
      <c r="GR307"/>
      <c r="GS307"/>
      <c r="GT307"/>
      <c r="GU307"/>
      <c r="GV307"/>
      <c r="GW307"/>
      <c r="GX307"/>
      <c r="GY307"/>
      <c r="GZ307"/>
      <c r="HA307"/>
    </row>
    <row r="308" spans="1:209" ht="15" customHeight="1" x14ac:dyDescent="0.1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c r="FX308"/>
      <c r="FY308"/>
      <c r="FZ308"/>
      <c r="GA308"/>
      <c r="GB308"/>
      <c r="GC308"/>
      <c r="GD308"/>
      <c r="GE308"/>
      <c r="GF308"/>
      <c r="GG308"/>
      <c r="GH308"/>
      <c r="GI308"/>
      <c r="GJ308"/>
      <c r="GK308"/>
      <c r="GL308"/>
      <c r="GM308"/>
      <c r="GN308"/>
      <c r="GO308"/>
      <c r="GP308"/>
      <c r="GQ308"/>
      <c r="GR308"/>
      <c r="GS308"/>
      <c r="GT308"/>
      <c r="GU308"/>
      <c r="GV308"/>
      <c r="GW308"/>
      <c r="GX308"/>
      <c r="GY308"/>
      <c r="GZ308"/>
      <c r="HA308"/>
    </row>
    <row r="309" spans="1:209" ht="15" customHeight="1" x14ac:dyDescent="0.15">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row>
    <row r="310" spans="1:209" ht="15" customHeight="1" x14ac:dyDescent="0.15">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c r="FX310"/>
      <c r="FY310"/>
      <c r="FZ310"/>
      <c r="GA310"/>
      <c r="GB310"/>
      <c r="GC310"/>
      <c r="GD310"/>
      <c r="GE310"/>
      <c r="GF310"/>
      <c r="GG310"/>
      <c r="GH310"/>
      <c r="GI310"/>
      <c r="GJ310"/>
      <c r="GK310"/>
      <c r="GL310"/>
      <c r="GM310"/>
      <c r="GN310"/>
      <c r="GO310"/>
      <c r="GP310"/>
      <c r="GQ310"/>
      <c r="GR310"/>
      <c r="GS310"/>
      <c r="GT310"/>
      <c r="GU310"/>
      <c r="GV310"/>
      <c r="GW310"/>
      <c r="GX310"/>
      <c r="GY310"/>
      <c r="GZ310"/>
      <c r="HA310"/>
    </row>
    <row r="311" spans="1:209" ht="15" customHeight="1" x14ac:dyDescent="0.15">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c r="FX311"/>
      <c r="FY311"/>
      <c r="FZ311"/>
      <c r="GA311"/>
      <c r="GB311"/>
      <c r="GC311"/>
      <c r="GD311"/>
      <c r="GE311"/>
      <c r="GF311"/>
      <c r="GG311"/>
      <c r="GH311"/>
      <c r="GI311"/>
      <c r="GJ311"/>
      <c r="GK311"/>
      <c r="GL311"/>
      <c r="GM311"/>
      <c r="GN311"/>
      <c r="GO311"/>
      <c r="GP311"/>
      <c r="GQ311"/>
      <c r="GR311"/>
      <c r="GS311"/>
      <c r="GT311"/>
      <c r="GU311"/>
      <c r="GV311"/>
      <c r="GW311"/>
      <c r="GX311"/>
      <c r="GY311"/>
      <c r="GZ311"/>
      <c r="HA311"/>
    </row>
    <row r="312" spans="1:209" ht="15" customHeight="1" x14ac:dyDescent="0.1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c r="FX312"/>
      <c r="FY312"/>
      <c r="FZ312"/>
      <c r="GA312"/>
      <c r="GB312"/>
      <c r="GC312"/>
      <c r="GD312"/>
      <c r="GE312"/>
      <c r="GF312"/>
      <c r="GG312"/>
      <c r="GH312"/>
      <c r="GI312"/>
      <c r="GJ312"/>
      <c r="GK312"/>
      <c r="GL312"/>
      <c r="GM312"/>
      <c r="GN312"/>
      <c r="GO312"/>
      <c r="GP312"/>
      <c r="GQ312"/>
      <c r="GR312"/>
      <c r="GS312"/>
      <c r="GT312"/>
      <c r="GU312"/>
      <c r="GV312"/>
      <c r="GW312"/>
      <c r="GX312"/>
      <c r="GY312"/>
      <c r="GZ312"/>
      <c r="HA312"/>
    </row>
    <row r="313" spans="1:209" ht="15" customHeight="1" x14ac:dyDescent="0.15">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c r="FX313"/>
      <c r="FY313"/>
      <c r="FZ313"/>
      <c r="GA313"/>
      <c r="GB313"/>
      <c r="GC313"/>
      <c r="GD313"/>
      <c r="GE313"/>
      <c r="GF313"/>
      <c r="GG313"/>
      <c r="GH313"/>
      <c r="GI313"/>
      <c r="GJ313"/>
      <c r="GK313"/>
      <c r="GL313"/>
      <c r="GM313"/>
      <c r="GN313"/>
      <c r="GO313"/>
      <c r="GP313"/>
      <c r="GQ313"/>
      <c r="GR313"/>
      <c r="GS313"/>
      <c r="GT313"/>
      <c r="GU313"/>
      <c r="GV313"/>
      <c r="GW313"/>
      <c r="GX313"/>
      <c r="GY313"/>
      <c r="GZ313"/>
      <c r="HA313"/>
    </row>
    <row r="314" spans="1:209" ht="15" customHeight="1" x14ac:dyDescent="0.1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c r="FX314"/>
      <c r="FY314"/>
      <c r="FZ314"/>
      <c r="GA314"/>
      <c r="GB314"/>
      <c r="GC314"/>
      <c r="GD314"/>
      <c r="GE314"/>
      <c r="GF314"/>
      <c r="GG314"/>
      <c r="GH314"/>
      <c r="GI314"/>
      <c r="GJ314"/>
      <c r="GK314"/>
      <c r="GL314"/>
      <c r="GM314"/>
      <c r="GN314"/>
      <c r="GO314"/>
      <c r="GP314"/>
      <c r="GQ314"/>
      <c r="GR314"/>
      <c r="GS314"/>
      <c r="GT314"/>
      <c r="GU314"/>
      <c r="GV314"/>
      <c r="GW314"/>
      <c r="GX314"/>
      <c r="GY314"/>
      <c r="GZ314"/>
      <c r="HA314"/>
    </row>
    <row r="315" spans="1:209" ht="15" customHeight="1" x14ac:dyDescent="0.15">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c r="FX315"/>
      <c r="FY315"/>
      <c r="FZ315"/>
      <c r="GA315"/>
      <c r="GB315"/>
      <c r="GC315"/>
      <c r="GD315"/>
      <c r="GE315"/>
      <c r="GF315"/>
      <c r="GG315"/>
      <c r="GH315"/>
      <c r="GI315"/>
      <c r="GJ315"/>
      <c r="GK315"/>
      <c r="GL315"/>
      <c r="GM315"/>
      <c r="GN315"/>
      <c r="GO315"/>
      <c r="GP315"/>
      <c r="GQ315"/>
      <c r="GR315"/>
      <c r="GS315"/>
      <c r="GT315"/>
      <c r="GU315"/>
      <c r="GV315"/>
      <c r="GW315"/>
      <c r="GX315"/>
      <c r="GY315"/>
      <c r="GZ315"/>
      <c r="HA315"/>
    </row>
    <row r="316" spans="1:209" ht="15" customHeight="1" x14ac:dyDescent="0.15">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c r="FX316"/>
      <c r="FY316"/>
      <c r="FZ316"/>
      <c r="GA316"/>
      <c r="GB316"/>
      <c r="GC316"/>
      <c r="GD316"/>
      <c r="GE316"/>
      <c r="GF316"/>
      <c r="GG316"/>
      <c r="GH316"/>
      <c r="GI316"/>
      <c r="GJ316"/>
      <c r="GK316"/>
      <c r="GL316"/>
      <c r="GM316"/>
      <c r="GN316"/>
      <c r="GO316"/>
      <c r="GP316"/>
      <c r="GQ316"/>
      <c r="GR316"/>
      <c r="GS316"/>
      <c r="GT316"/>
      <c r="GU316"/>
      <c r="GV316"/>
      <c r="GW316"/>
      <c r="GX316"/>
      <c r="GY316"/>
      <c r="GZ316"/>
      <c r="HA316"/>
    </row>
    <row r="317" spans="1:209" ht="15" customHeight="1" x14ac:dyDescent="0.15">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c r="FX317"/>
      <c r="FY317"/>
      <c r="FZ317"/>
      <c r="GA317"/>
      <c r="GB317"/>
      <c r="GC317"/>
      <c r="GD317"/>
      <c r="GE317"/>
      <c r="GF317"/>
      <c r="GG317"/>
      <c r="GH317"/>
      <c r="GI317"/>
      <c r="GJ317"/>
      <c r="GK317"/>
      <c r="GL317"/>
      <c r="GM317"/>
      <c r="GN317"/>
      <c r="GO317"/>
      <c r="GP317"/>
      <c r="GQ317"/>
      <c r="GR317"/>
      <c r="GS317"/>
      <c r="GT317"/>
      <c r="GU317"/>
      <c r="GV317"/>
      <c r="GW317"/>
      <c r="GX317"/>
      <c r="GY317"/>
      <c r="GZ317"/>
      <c r="HA317"/>
    </row>
    <row r="318" spans="1:209" ht="15" customHeight="1" x14ac:dyDescent="0.15">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c r="FQ318"/>
      <c r="FR318"/>
      <c r="FS318"/>
      <c r="FT318"/>
      <c r="FU318"/>
      <c r="FV318"/>
      <c r="FW318"/>
      <c r="FX318"/>
      <c r="FY318"/>
      <c r="FZ318"/>
      <c r="GA318"/>
      <c r="GB318"/>
      <c r="GC318"/>
      <c r="GD318"/>
      <c r="GE318"/>
      <c r="GF318"/>
      <c r="GG318"/>
      <c r="GH318"/>
      <c r="GI318"/>
      <c r="GJ318"/>
      <c r="GK318"/>
      <c r="GL318"/>
      <c r="GM318"/>
      <c r="GN318"/>
      <c r="GO318"/>
      <c r="GP318"/>
      <c r="GQ318"/>
      <c r="GR318"/>
      <c r="GS318"/>
      <c r="GT318"/>
      <c r="GU318"/>
      <c r="GV318"/>
      <c r="GW318"/>
      <c r="GX318"/>
      <c r="GY318"/>
      <c r="GZ318"/>
      <c r="HA318"/>
    </row>
    <row r="319" spans="1:209" ht="15" customHeight="1" x14ac:dyDescent="0.1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c r="FQ319"/>
      <c r="FR319"/>
      <c r="FS319"/>
      <c r="FT319"/>
      <c r="FU319"/>
      <c r="FV319"/>
      <c r="FW319"/>
      <c r="FX319"/>
      <c r="FY319"/>
      <c r="FZ319"/>
      <c r="GA319"/>
      <c r="GB319"/>
      <c r="GC319"/>
      <c r="GD319"/>
      <c r="GE319"/>
      <c r="GF319"/>
      <c r="GG319"/>
      <c r="GH319"/>
      <c r="GI319"/>
      <c r="GJ319"/>
      <c r="GK319"/>
      <c r="GL319"/>
      <c r="GM319"/>
      <c r="GN319"/>
      <c r="GO319"/>
      <c r="GP319"/>
      <c r="GQ319"/>
      <c r="GR319"/>
      <c r="GS319"/>
      <c r="GT319"/>
      <c r="GU319"/>
      <c r="GV319"/>
      <c r="GW319"/>
      <c r="GX319"/>
      <c r="GY319"/>
      <c r="GZ319"/>
      <c r="HA319"/>
    </row>
    <row r="320" spans="1:209" ht="15" customHeight="1" x14ac:dyDescent="0.15">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c r="FQ320"/>
      <c r="FR320"/>
      <c r="FS320"/>
      <c r="FT320"/>
      <c r="FU320"/>
      <c r="FV320"/>
      <c r="FW320"/>
      <c r="FX320"/>
      <c r="FY320"/>
      <c r="FZ320"/>
      <c r="GA320"/>
      <c r="GB320"/>
      <c r="GC320"/>
      <c r="GD320"/>
      <c r="GE320"/>
      <c r="GF320"/>
      <c r="GG320"/>
      <c r="GH320"/>
      <c r="GI320"/>
      <c r="GJ320"/>
      <c r="GK320"/>
      <c r="GL320"/>
      <c r="GM320"/>
      <c r="GN320"/>
      <c r="GO320"/>
      <c r="GP320"/>
      <c r="GQ320"/>
      <c r="GR320"/>
      <c r="GS320"/>
      <c r="GT320"/>
      <c r="GU320"/>
      <c r="GV320"/>
      <c r="GW320"/>
      <c r="GX320"/>
      <c r="GY320"/>
      <c r="GZ320"/>
      <c r="HA320"/>
    </row>
    <row r="321" spans="1:209" ht="15" customHeight="1" x14ac:dyDescent="0.15">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c r="FQ321"/>
      <c r="FR321"/>
      <c r="FS321"/>
      <c r="FT321"/>
      <c r="FU321"/>
      <c r="FV321"/>
      <c r="FW321"/>
      <c r="FX321"/>
      <c r="FY321"/>
      <c r="FZ321"/>
      <c r="GA321"/>
      <c r="GB321"/>
      <c r="GC321"/>
      <c r="GD321"/>
      <c r="GE321"/>
      <c r="GF321"/>
      <c r="GG321"/>
      <c r="GH321"/>
      <c r="GI321"/>
      <c r="GJ321"/>
      <c r="GK321"/>
      <c r="GL321"/>
      <c r="GM321"/>
      <c r="GN321"/>
      <c r="GO321"/>
      <c r="GP321"/>
      <c r="GQ321"/>
      <c r="GR321"/>
      <c r="GS321"/>
      <c r="GT321"/>
      <c r="GU321"/>
      <c r="GV321"/>
      <c r="GW321"/>
      <c r="GX321"/>
      <c r="GY321"/>
      <c r="GZ321"/>
      <c r="HA321"/>
    </row>
    <row r="322" spans="1:209" ht="15" customHeight="1" x14ac:dyDescent="0.1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c r="FQ322"/>
      <c r="FR322"/>
      <c r="FS322"/>
      <c r="FT322"/>
      <c r="FU322"/>
      <c r="FV322"/>
      <c r="FW322"/>
      <c r="FX322"/>
      <c r="FY322"/>
      <c r="FZ322"/>
      <c r="GA322"/>
      <c r="GB322"/>
      <c r="GC322"/>
      <c r="GD322"/>
      <c r="GE322"/>
      <c r="GF322"/>
      <c r="GG322"/>
      <c r="GH322"/>
      <c r="GI322"/>
      <c r="GJ322"/>
      <c r="GK322"/>
      <c r="GL322"/>
      <c r="GM322"/>
      <c r="GN322"/>
      <c r="GO322"/>
      <c r="GP322"/>
      <c r="GQ322"/>
      <c r="GR322"/>
      <c r="GS322"/>
      <c r="GT322"/>
      <c r="GU322"/>
      <c r="GV322"/>
      <c r="GW322"/>
      <c r="GX322"/>
      <c r="GY322"/>
      <c r="GZ322"/>
      <c r="HA322"/>
    </row>
    <row r="323" spans="1:209" ht="15" customHeight="1" x14ac:dyDescent="0.15">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c r="FX323"/>
      <c r="FY323"/>
      <c r="FZ323"/>
      <c r="GA323"/>
      <c r="GB323"/>
      <c r="GC323"/>
      <c r="GD323"/>
      <c r="GE323"/>
      <c r="GF323"/>
      <c r="GG323"/>
      <c r="GH323"/>
      <c r="GI323"/>
      <c r="GJ323"/>
      <c r="GK323"/>
      <c r="GL323"/>
      <c r="GM323"/>
      <c r="GN323"/>
      <c r="GO323"/>
      <c r="GP323"/>
      <c r="GQ323"/>
      <c r="GR323"/>
      <c r="GS323"/>
      <c r="GT323"/>
      <c r="GU323"/>
      <c r="GV323"/>
      <c r="GW323"/>
      <c r="GX323"/>
      <c r="GY323"/>
      <c r="GZ323"/>
      <c r="HA323"/>
    </row>
    <row r="324" spans="1:209" ht="15" customHeight="1" x14ac:dyDescent="0.15">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c r="FX324"/>
      <c r="FY324"/>
      <c r="FZ324"/>
      <c r="GA324"/>
      <c r="GB324"/>
      <c r="GC324"/>
      <c r="GD324"/>
      <c r="GE324"/>
      <c r="GF324"/>
      <c r="GG324"/>
      <c r="GH324"/>
      <c r="GI324"/>
      <c r="GJ324"/>
      <c r="GK324"/>
      <c r="GL324"/>
      <c r="GM324"/>
      <c r="GN324"/>
      <c r="GO324"/>
      <c r="GP324"/>
      <c r="GQ324"/>
      <c r="GR324"/>
      <c r="GS324"/>
      <c r="GT324"/>
      <c r="GU324"/>
      <c r="GV324"/>
      <c r="GW324"/>
      <c r="GX324"/>
      <c r="GY324"/>
      <c r="GZ324"/>
      <c r="HA324"/>
    </row>
    <row r="325" spans="1:209" ht="15" customHeight="1" x14ac:dyDescent="0.15">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c r="FQ325"/>
      <c r="FR325"/>
      <c r="FS325"/>
      <c r="FT325"/>
      <c r="FU325"/>
      <c r="FV325"/>
      <c r="FW325"/>
      <c r="FX325"/>
      <c r="FY325"/>
      <c r="FZ325"/>
      <c r="GA325"/>
      <c r="GB325"/>
      <c r="GC325"/>
      <c r="GD325"/>
      <c r="GE325"/>
      <c r="GF325"/>
      <c r="GG325"/>
      <c r="GH325"/>
      <c r="GI325"/>
      <c r="GJ325"/>
      <c r="GK325"/>
      <c r="GL325"/>
      <c r="GM325"/>
      <c r="GN325"/>
      <c r="GO325"/>
      <c r="GP325"/>
      <c r="GQ325"/>
      <c r="GR325"/>
      <c r="GS325"/>
      <c r="GT325"/>
      <c r="GU325"/>
      <c r="GV325"/>
      <c r="GW325"/>
      <c r="GX325"/>
      <c r="GY325"/>
      <c r="GZ325"/>
      <c r="HA325"/>
    </row>
    <row r="326" spans="1:209" ht="15" customHeight="1" x14ac:dyDescent="0.15">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c r="FQ326"/>
      <c r="FR326"/>
      <c r="FS326"/>
      <c r="FT326"/>
      <c r="FU326"/>
      <c r="FV326"/>
      <c r="FW326"/>
      <c r="FX326"/>
      <c r="FY326"/>
      <c r="FZ326"/>
      <c r="GA326"/>
      <c r="GB326"/>
      <c r="GC326"/>
      <c r="GD326"/>
      <c r="GE326"/>
      <c r="GF326"/>
      <c r="GG326"/>
      <c r="GH326"/>
      <c r="GI326"/>
      <c r="GJ326"/>
      <c r="GK326"/>
      <c r="GL326"/>
      <c r="GM326"/>
      <c r="GN326"/>
      <c r="GO326"/>
      <c r="GP326"/>
      <c r="GQ326"/>
      <c r="GR326"/>
      <c r="GS326"/>
      <c r="GT326"/>
      <c r="GU326"/>
      <c r="GV326"/>
      <c r="GW326"/>
      <c r="GX326"/>
      <c r="GY326"/>
      <c r="GZ326"/>
      <c r="HA326"/>
    </row>
    <row r="327" spans="1:209" ht="15" customHeight="1" x14ac:dyDescent="0.15">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c r="FQ327"/>
      <c r="FR327"/>
      <c r="FS327"/>
      <c r="FT327"/>
      <c r="FU327"/>
      <c r="FV327"/>
      <c r="FW327"/>
      <c r="FX327"/>
      <c r="FY327"/>
      <c r="FZ327"/>
      <c r="GA327"/>
      <c r="GB327"/>
      <c r="GC327"/>
      <c r="GD327"/>
      <c r="GE327"/>
      <c r="GF327"/>
      <c r="GG327"/>
      <c r="GH327"/>
      <c r="GI327"/>
      <c r="GJ327"/>
      <c r="GK327"/>
      <c r="GL327"/>
      <c r="GM327"/>
      <c r="GN327"/>
      <c r="GO327"/>
      <c r="GP327"/>
      <c r="GQ327"/>
      <c r="GR327"/>
      <c r="GS327"/>
      <c r="GT327"/>
      <c r="GU327"/>
      <c r="GV327"/>
      <c r="GW327"/>
      <c r="GX327"/>
      <c r="GY327"/>
      <c r="GZ327"/>
      <c r="HA327"/>
    </row>
    <row r="328" spans="1:209" ht="15" customHeight="1" x14ac:dyDescent="0.15">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c r="FM328"/>
      <c r="FN328"/>
      <c r="FO328"/>
      <c r="FP328"/>
      <c r="FQ328"/>
      <c r="FR328"/>
      <c r="FS328"/>
      <c r="FT328"/>
      <c r="FU328"/>
      <c r="FV328"/>
      <c r="FW328"/>
      <c r="FX328"/>
      <c r="FY328"/>
      <c r="FZ328"/>
      <c r="GA328"/>
      <c r="GB328"/>
      <c r="GC328"/>
      <c r="GD328"/>
      <c r="GE328"/>
      <c r="GF328"/>
      <c r="GG328"/>
      <c r="GH328"/>
      <c r="GI328"/>
      <c r="GJ328"/>
      <c r="GK328"/>
      <c r="GL328"/>
      <c r="GM328"/>
      <c r="GN328"/>
      <c r="GO328"/>
      <c r="GP328"/>
      <c r="GQ328"/>
      <c r="GR328"/>
      <c r="GS328"/>
      <c r="GT328"/>
      <c r="GU328"/>
      <c r="GV328"/>
      <c r="GW328"/>
      <c r="GX328"/>
      <c r="GY328"/>
      <c r="GZ328"/>
      <c r="HA328"/>
    </row>
    <row r="329" spans="1:209" ht="15" customHeight="1" x14ac:dyDescent="0.15">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c r="FQ329"/>
      <c r="FR329"/>
      <c r="FS329"/>
      <c r="FT329"/>
      <c r="FU329"/>
      <c r="FV329"/>
      <c r="FW329"/>
      <c r="FX329"/>
      <c r="FY329"/>
      <c r="FZ329"/>
      <c r="GA329"/>
      <c r="GB329"/>
      <c r="GC329"/>
      <c r="GD329"/>
      <c r="GE329"/>
      <c r="GF329"/>
      <c r="GG329"/>
      <c r="GH329"/>
      <c r="GI329"/>
      <c r="GJ329"/>
      <c r="GK329"/>
      <c r="GL329"/>
      <c r="GM329"/>
      <c r="GN329"/>
      <c r="GO329"/>
      <c r="GP329"/>
      <c r="GQ329"/>
      <c r="GR329"/>
      <c r="GS329"/>
      <c r="GT329"/>
      <c r="GU329"/>
      <c r="GV329"/>
      <c r="GW329"/>
      <c r="GX329"/>
      <c r="GY329"/>
      <c r="GZ329"/>
      <c r="HA329"/>
    </row>
    <row r="330" spans="1:209" ht="15" customHeight="1" x14ac:dyDescent="0.15">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c r="FX330"/>
      <c r="FY330"/>
      <c r="FZ330"/>
      <c r="GA330"/>
      <c r="GB330"/>
      <c r="GC330"/>
      <c r="GD330"/>
      <c r="GE330"/>
      <c r="GF330"/>
      <c r="GG330"/>
      <c r="GH330"/>
      <c r="GI330"/>
      <c r="GJ330"/>
      <c r="GK330"/>
      <c r="GL330"/>
      <c r="GM330"/>
      <c r="GN330"/>
      <c r="GO330"/>
      <c r="GP330"/>
      <c r="GQ330"/>
      <c r="GR330"/>
      <c r="GS330"/>
      <c r="GT330"/>
      <c r="GU330"/>
      <c r="GV330"/>
      <c r="GW330"/>
      <c r="GX330"/>
      <c r="GY330"/>
      <c r="GZ330"/>
      <c r="HA330"/>
    </row>
    <row r="331" spans="1:209" ht="15" customHeight="1" x14ac:dyDescent="0.1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c r="FX331"/>
      <c r="FY331"/>
      <c r="FZ331"/>
      <c r="GA331"/>
      <c r="GB331"/>
      <c r="GC331"/>
      <c r="GD331"/>
      <c r="GE331"/>
      <c r="GF331"/>
      <c r="GG331"/>
      <c r="GH331"/>
      <c r="GI331"/>
      <c r="GJ331"/>
      <c r="GK331"/>
      <c r="GL331"/>
      <c r="GM331"/>
      <c r="GN331"/>
      <c r="GO331"/>
      <c r="GP331"/>
      <c r="GQ331"/>
      <c r="GR331"/>
      <c r="GS331"/>
      <c r="GT331"/>
      <c r="GU331"/>
      <c r="GV331"/>
      <c r="GW331"/>
      <c r="GX331"/>
      <c r="GY331"/>
      <c r="GZ331"/>
      <c r="HA331"/>
    </row>
    <row r="332" spans="1:209" ht="15" customHeight="1" x14ac:dyDescent="0.1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c r="FQ332"/>
      <c r="FR332"/>
      <c r="FS332"/>
      <c r="FT332"/>
      <c r="FU332"/>
      <c r="FV332"/>
      <c r="FW332"/>
      <c r="FX332"/>
      <c r="FY332"/>
      <c r="FZ332"/>
      <c r="GA332"/>
      <c r="GB332"/>
      <c r="GC332"/>
      <c r="GD332"/>
      <c r="GE332"/>
      <c r="GF332"/>
      <c r="GG332"/>
      <c r="GH332"/>
      <c r="GI332"/>
      <c r="GJ332"/>
      <c r="GK332"/>
      <c r="GL332"/>
      <c r="GM332"/>
      <c r="GN332"/>
      <c r="GO332"/>
      <c r="GP332"/>
      <c r="GQ332"/>
      <c r="GR332"/>
      <c r="GS332"/>
      <c r="GT332"/>
      <c r="GU332"/>
      <c r="GV332"/>
      <c r="GW332"/>
      <c r="GX332"/>
      <c r="GY332"/>
      <c r="GZ332"/>
      <c r="HA332"/>
    </row>
    <row r="333" spans="1:209" ht="15" customHeight="1" x14ac:dyDescent="0.15">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c r="FM333"/>
      <c r="FN333"/>
      <c r="FO333"/>
      <c r="FP333"/>
      <c r="FQ333"/>
      <c r="FR333"/>
      <c r="FS333"/>
      <c r="FT333"/>
      <c r="FU333"/>
      <c r="FV333"/>
      <c r="FW333"/>
      <c r="FX333"/>
      <c r="FY333"/>
      <c r="FZ333"/>
      <c r="GA333"/>
      <c r="GB333"/>
      <c r="GC333"/>
      <c r="GD333"/>
      <c r="GE333"/>
      <c r="GF333"/>
      <c r="GG333"/>
      <c r="GH333"/>
      <c r="GI333"/>
      <c r="GJ333"/>
      <c r="GK333"/>
      <c r="GL333"/>
      <c r="GM333"/>
      <c r="GN333"/>
      <c r="GO333"/>
      <c r="GP333"/>
      <c r="GQ333"/>
      <c r="GR333"/>
      <c r="GS333"/>
      <c r="GT333"/>
      <c r="GU333"/>
      <c r="GV333"/>
      <c r="GW333"/>
      <c r="GX333"/>
      <c r="GY333"/>
      <c r="GZ333"/>
      <c r="HA333"/>
    </row>
    <row r="334" spans="1:209" ht="15" customHeight="1" x14ac:dyDescent="0.15">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c r="FC334"/>
      <c r="FD334"/>
      <c r="FE334"/>
      <c r="FF334"/>
      <c r="FG334"/>
      <c r="FH334"/>
      <c r="FI334"/>
      <c r="FJ334"/>
      <c r="FK334"/>
      <c r="FL334"/>
      <c r="FM334"/>
      <c r="FN334"/>
      <c r="FO334"/>
      <c r="FP334"/>
      <c r="FQ334"/>
      <c r="FR334"/>
      <c r="FS334"/>
      <c r="FT334"/>
      <c r="FU334"/>
      <c r="FV334"/>
      <c r="FW334"/>
      <c r="FX334"/>
      <c r="FY334"/>
      <c r="FZ334"/>
      <c r="GA334"/>
      <c r="GB334"/>
      <c r="GC334"/>
      <c r="GD334"/>
      <c r="GE334"/>
      <c r="GF334"/>
      <c r="GG334"/>
      <c r="GH334"/>
      <c r="GI334"/>
      <c r="GJ334"/>
      <c r="GK334"/>
      <c r="GL334"/>
      <c r="GM334"/>
      <c r="GN334"/>
      <c r="GO334"/>
      <c r="GP334"/>
      <c r="GQ334"/>
      <c r="GR334"/>
      <c r="GS334"/>
      <c r="GT334"/>
      <c r="GU334"/>
      <c r="GV334"/>
      <c r="GW334"/>
      <c r="GX334"/>
      <c r="GY334"/>
      <c r="GZ334"/>
      <c r="HA334"/>
    </row>
    <row r="335" spans="1:209" ht="15" customHeight="1" x14ac:dyDescent="0.1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c r="FC335"/>
      <c r="FD335"/>
      <c r="FE335"/>
      <c r="FF335"/>
      <c r="FG335"/>
      <c r="FH335"/>
      <c r="FI335"/>
      <c r="FJ335"/>
      <c r="FK335"/>
      <c r="FL335"/>
      <c r="FM335"/>
      <c r="FN335"/>
      <c r="FO335"/>
      <c r="FP335"/>
      <c r="FQ335"/>
      <c r="FR335"/>
      <c r="FS335"/>
      <c r="FT335"/>
      <c r="FU335"/>
      <c r="FV335"/>
      <c r="FW335"/>
      <c r="FX335"/>
      <c r="FY335"/>
      <c r="FZ335"/>
      <c r="GA335"/>
      <c r="GB335"/>
      <c r="GC335"/>
      <c r="GD335"/>
      <c r="GE335"/>
      <c r="GF335"/>
      <c r="GG335"/>
      <c r="GH335"/>
      <c r="GI335"/>
      <c r="GJ335"/>
      <c r="GK335"/>
      <c r="GL335"/>
      <c r="GM335"/>
      <c r="GN335"/>
      <c r="GO335"/>
      <c r="GP335"/>
      <c r="GQ335"/>
      <c r="GR335"/>
      <c r="GS335"/>
      <c r="GT335"/>
      <c r="GU335"/>
      <c r="GV335"/>
      <c r="GW335"/>
      <c r="GX335"/>
      <c r="GY335"/>
      <c r="GZ335"/>
      <c r="HA335"/>
    </row>
    <row r="336" spans="1:209" ht="15" customHeight="1" x14ac:dyDescent="0.15">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c r="FC336"/>
      <c r="FD336"/>
      <c r="FE336"/>
      <c r="FF336"/>
      <c r="FG336"/>
      <c r="FH336"/>
      <c r="FI336"/>
      <c r="FJ336"/>
      <c r="FK336"/>
      <c r="FL336"/>
      <c r="FM336"/>
      <c r="FN336"/>
      <c r="FO336"/>
      <c r="FP336"/>
      <c r="FQ336"/>
      <c r="FR336"/>
      <c r="FS336"/>
      <c r="FT336"/>
      <c r="FU336"/>
      <c r="FV336"/>
      <c r="FW336"/>
      <c r="FX336"/>
      <c r="FY336"/>
      <c r="FZ336"/>
      <c r="GA336"/>
      <c r="GB336"/>
      <c r="GC336"/>
      <c r="GD336"/>
      <c r="GE336"/>
      <c r="GF336"/>
      <c r="GG336"/>
      <c r="GH336"/>
      <c r="GI336"/>
      <c r="GJ336"/>
      <c r="GK336"/>
      <c r="GL336"/>
      <c r="GM336"/>
      <c r="GN336"/>
      <c r="GO336"/>
      <c r="GP336"/>
      <c r="GQ336"/>
      <c r="GR336"/>
      <c r="GS336"/>
      <c r="GT336"/>
      <c r="GU336"/>
      <c r="GV336"/>
      <c r="GW336"/>
      <c r="GX336"/>
      <c r="GY336"/>
      <c r="GZ336"/>
      <c r="HA336"/>
    </row>
    <row r="337" spans="1:209" ht="15" customHeight="1" x14ac:dyDescent="0.15">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c r="FC337"/>
      <c r="FD337"/>
      <c r="FE337"/>
      <c r="FF337"/>
      <c r="FG337"/>
      <c r="FH337"/>
      <c r="FI337"/>
      <c r="FJ337"/>
      <c r="FK337"/>
      <c r="FL337"/>
      <c r="FM337"/>
      <c r="FN337"/>
      <c r="FO337"/>
      <c r="FP337"/>
      <c r="FQ337"/>
      <c r="FR337"/>
      <c r="FS337"/>
      <c r="FT337"/>
      <c r="FU337"/>
      <c r="FV337"/>
      <c r="FW337"/>
      <c r="FX337"/>
      <c r="FY337"/>
      <c r="FZ337"/>
      <c r="GA337"/>
      <c r="GB337"/>
      <c r="GC337"/>
      <c r="GD337"/>
      <c r="GE337"/>
      <c r="GF337"/>
      <c r="GG337"/>
      <c r="GH337"/>
      <c r="GI337"/>
      <c r="GJ337"/>
      <c r="GK337"/>
      <c r="GL337"/>
      <c r="GM337"/>
      <c r="GN337"/>
      <c r="GO337"/>
      <c r="GP337"/>
      <c r="GQ337"/>
      <c r="GR337"/>
      <c r="GS337"/>
      <c r="GT337"/>
      <c r="GU337"/>
      <c r="GV337"/>
      <c r="GW337"/>
      <c r="GX337"/>
      <c r="GY337"/>
      <c r="GZ337"/>
      <c r="HA337"/>
    </row>
    <row r="338" spans="1:209" ht="15" customHeight="1" x14ac:dyDescent="0.15">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c r="FC338"/>
      <c r="FD338"/>
      <c r="FE338"/>
      <c r="FF338"/>
      <c r="FG338"/>
      <c r="FH338"/>
      <c r="FI338"/>
      <c r="FJ338"/>
      <c r="FK338"/>
      <c r="FL338"/>
      <c r="FM338"/>
      <c r="FN338"/>
      <c r="FO338"/>
      <c r="FP338"/>
      <c r="FQ338"/>
      <c r="FR338"/>
      <c r="FS338"/>
      <c r="FT338"/>
      <c r="FU338"/>
      <c r="FV338"/>
      <c r="FW338"/>
      <c r="FX338"/>
      <c r="FY338"/>
      <c r="FZ338"/>
      <c r="GA338"/>
      <c r="GB338"/>
      <c r="GC338"/>
      <c r="GD338"/>
      <c r="GE338"/>
      <c r="GF338"/>
      <c r="GG338"/>
      <c r="GH338"/>
      <c r="GI338"/>
      <c r="GJ338"/>
      <c r="GK338"/>
      <c r="GL338"/>
      <c r="GM338"/>
      <c r="GN338"/>
      <c r="GO338"/>
      <c r="GP338"/>
      <c r="GQ338"/>
      <c r="GR338"/>
      <c r="GS338"/>
      <c r="GT338"/>
      <c r="GU338"/>
      <c r="GV338"/>
      <c r="GW338"/>
      <c r="GX338"/>
      <c r="GY338"/>
      <c r="GZ338"/>
      <c r="HA338"/>
    </row>
    <row r="339" spans="1:209" ht="15" customHeight="1" x14ac:dyDescent="0.15">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c r="FC339"/>
      <c r="FD339"/>
      <c r="FE339"/>
      <c r="FF339"/>
      <c r="FG339"/>
      <c r="FH339"/>
      <c r="FI339"/>
      <c r="FJ339"/>
      <c r="FK339"/>
      <c r="FL339"/>
      <c r="FM339"/>
      <c r="FN339"/>
      <c r="FO339"/>
      <c r="FP339"/>
      <c r="FQ339"/>
      <c r="FR339"/>
      <c r="FS339"/>
      <c r="FT339"/>
      <c r="FU339"/>
      <c r="FV339"/>
      <c r="FW339"/>
      <c r="FX339"/>
      <c r="FY339"/>
      <c r="FZ339"/>
      <c r="GA339"/>
      <c r="GB339"/>
      <c r="GC339"/>
      <c r="GD339"/>
      <c r="GE339"/>
      <c r="GF339"/>
      <c r="GG339"/>
      <c r="GH339"/>
      <c r="GI339"/>
      <c r="GJ339"/>
      <c r="GK339"/>
      <c r="GL339"/>
      <c r="GM339"/>
      <c r="GN339"/>
      <c r="GO339"/>
      <c r="GP339"/>
      <c r="GQ339"/>
      <c r="GR339"/>
      <c r="GS339"/>
      <c r="GT339"/>
      <c r="GU339"/>
      <c r="GV339"/>
      <c r="GW339"/>
      <c r="GX339"/>
      <c r="GY339"/>
      <c r="GZ339"/>
      <c r="HA339"/>
    </row>
    <row r="340" spans="1:209" ht="15" customHeight="1" x14ac:dyDescent="0.15">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c r="FC340"/>
      <c r="FD340"/>
      <c r="FE340"/>
      <c r="FF340"/>
      <c r="FG340"/>
      <c r="FH340"/>
      <c r="FI340"/>
      <c r="FJ340"/>
      <c r="FK340"/>
      <c r="FL340"/>
      <c r="FM340"/>
      <c r="FN340"/>
      <c r="FO340"/>
      <c r="FP340"/>
      <c r="FQ340"/>
      <c r="FR340"/>
      <c r="FS340"/>
      <c r="FT340"/>
      <c r="FU340"/>
      <c r="FV340"/>
      <c r="FW340"/>
      <c r="FX340"/>
      <c r="FY340"/>
      <c r="FZ340"/>
      <c r="GA340"/>
      <c r="GB340"/>
      <c r="GC340"/>
      <c r="GD340"/>
      <c r="GE340"/>
      <c r="GF340"/>
      <c r="GG340"/>
      <c r="GH340"/>
      <c r="GI340"/>
      <c r="GJ340"/>
      <c r="GK340"/>
      <c r="GL340"/>
      <c r="GM340"/>
      <c r="GN340"/>
      <c r="GO340"/>
      <c r="GP340"/>
      <c r="GQ340"/>
      <c r="GR340"/>
      <c r="GS340"/>
      <c r="GT340"/>
      <c r="GU340"/>
      <c r="GV340"/>
      <c r="GW340"/>
      <c r="GX340"/>
      <c r="GY340"/>
      <c r="GZ340"/>
      <c r="HA340"/>
    </row>
    <row r="341" spans="1:209" ht="15" customHeight="1" x14ac:dyDescent="0.15">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c r="FC341"/>
      <c r="FD341"/>
      <c r="FE341"/>
      <c r="FF341"/>
      <c r="FG341"/>
      <c r="FH341"/>
      <c r="FI341"/>
      <c r="FJ341"/>
      <c r="FK341"/>
      <c r="FL341"/>
      <c r="FM341"/>
      <c r="FN341"/>
      <c r="FO341"/>
      <c r="FP341"/>
      <c r="FQ341"/>
      <c r="FR341"/>
      <c r="FS341"/>
      <c r="FT341"/>
      <c r="FU341"/>
      <c r="FV341"/>
      <c r="FW341"/>
      <c r="FX341"/>
      <c r="FY341"/>
      <c r="FZ341"/>
      <c r="GA341"/>
      <c r="GB341"/>
      <c r="GC341"/>
      <c r="GD341"/>
      <c r="GE341"/>
      <c r="GF341"/>
      <c r="GG341"/>
      <c r="GH341"/>
      <c r="GI341"/>
      <c r="GJ341"/>
      <c r="GK341"/>
      <c r="GL341"/>
      <c r="GM341"/>
      <c r="GN341"/>
      <c r="GO341"/>
      <c r="GP341"/>
      <c r="GQ341"/>
      <c r="GR341"/>
      <c r="GS341"/>
      <c r="GT341"/>
      <c r="GU341"/>
      <c r="GV341"/>
      <c r="GW341"/>
      <c r="GX341"/>
      <c r="GY341"/>
      <c r="GZ341"/>
      <c r="HA341"/>
    </row>
    <row r="342" spans="1:209" ht="15" customHeight="1" x14ac:dyDescent="0.1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c r="FC342"/>
      <c r="FD342"/>
      <c r="FE342"/>
      <c r="FF342"/>
      <c r="FG342"/>
      <c r="FH342"/>
      <c r="FI342"/>
      <c r="FJ342"/>
      <c r="FK342"/>
      <c r="FL342"/>
      <c r="FM342"/>
      <c r="FN342"/>
      <c r="FO342"/>
      <c r="FP342"/>
      <c r="FQ342"/>
      <c r="FR342"/>
      <c r="FS342"/>
      <c r="FT342"/>
      <c r="FU342"/>
      <c r="FV342"/>
      <c r="FW342"/>
      <c r="FX342"/>
      <c r="FY342"/>
      <c r="FZ342"/>
      <c r="GA342"/>
      <c r="GB342"/>
      <c r="GC342"/>
      <c r="GD342"/>
      <c r="GE342"/>
      <c r="GF342"/>
      <c r="GG342"/>
      <c r="GH342"/>
      <c r="GI342"/>
      <c r="GJ342"/>
      <c r="GK342"/>
      <c r="GL342"/>
      <c r="GM342"/>
      <c r="GN342"/>
      <c r="GO342"/>
      <c r="GP342"/>
      <c r="GQ342"/>
      <c r="GR342"/>
      <c r="GS342"/>
      <c r="GT342"/>
      <c r="GU342"/>
      <c r="GV342"/>
      <c r="GW342"/>
      <c r="GX342"/>
      <c r="GY342"/>
      <c r="GZ342"/>
      <c r="HA342"/>
    </row>
    <row r="343" spans="1:209" ht="15" customHeight="1" x14ac:dyDescent="0.15">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c r="FC343"/>
      <c r="FD343"/>
      <c r="FE343"/>
      <c r="FF343"/>
      <c r="FG343"/>
      <c r="FH343"/>
      <c r="FI343"/>
      <c r="FJ343"/>
      <c r="FK343"/>
      <c r="FL343"/>
      <c r="FM343"/>
      <c r="FN343"/>
      <c r="FO343"/>
      <c r="FP343"/>
      <c r="FQ343"/>
      <c r="FR343"/>
      <c r="FS343"/>
      <c r="FT343"/>
      <c r="FU343"/>
      <c r="FV343"/>
      <c r="FW343"/>
      <c r="FX343"/>
      <c r="FY343"/>
      <c r="FZ343"/>
      <c r="GA343"/>
      <c r="GB343"/>
      <c r="GC343"/>
      <c r="GD343"/>
      <c r="GE343"/>
      <c r="GF343"/>
      <c r="GG343"/>
      <c r="GH343"/>
      <c r="GI343"/>
      <c r="GJ343"/>
      <c r="GK343"/>
      <c r="GL343"/>
      <c r="GM343"/>
      <c r="GN343"/>
      <c r="GO343"/>
      <c r="GP343"/>
      <c r="GQ343"/>
      <c r="GR343"/>
      <c r="GS343"/>
      <c r="GT343"/>
      <c r="GU343"/>
      <c r="GV343"/>
      <c r="GW343"/>
      <c r="GX343"/>
      <c r="GY343"/>
      <c r="GZ343"/>
      <c r="HA343"/>
    </row>
    <row r="344" spans="1:209" ht="15" customHeight="1" x14ac:dyDescent="0.15">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c r="FM344"/>
      <c r="FN344"/>
      <c r="FO344"/>
      <c r="FP344"/>
      <c r="FQ344"/>
      <c r="FR344"/>
      <c r="FS344"/>
      <c r="FT344"/>
      <c r="FU344"/>
      <c r="FV344"/>
      <c r="FW344"/>
      <c r="FX344"/>
      <c r="FY344"/>
      <c r="FZ344"/>
      <c r="GA344"/>
      <c r="GB344"/>
      <c r="GC344"/>
      <c r="GD344"/>
      <c r="GE344"/>
      <c r="GF344"/>
      <c r="GG344"/>
      <c r="GH344"/>
      <c r="GI344"/>
      <c r="GJ344"/>
      <c r="GK344"/>
      <c r="GL344"/>
      <c r="GM344"/>
      <c r="GN344"/>
      <c r="GO344"/>
      <c r="GP344"/>
      <c r="GQ344"/>
      <c r="GR344"/>
      <c r="GS344"/>
      <c r="GT344"/>
      <c r="GU344"/>
      <c r="GV344"/>
      <c r="GW344"/>
      <c r="GX344"/>
      <c r="GY344"/>
      <c r="GZ344"/>
      <c r="HA344"/>
    </row>
    <row r="345" spans="1:209" ht="15" customHeight="1" x14ac:dyDescent="0.15">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c r="FM345"/>
      <c r="FN345"/>
      <c r="FO345"/>
      <c r="FP345"/>
      <c r="FQ345"/>
      <c r="FR345"/>
      <c r="FS345"/>
      <c r="FT345"/>
      <c r="FU345"/>
      <c r="FV345"/>
      <c r="FW345"/>
      <c r="FX345"/>
      <c r="FY345"/>
      <c r="FZ345"/>
      <c r="GA345"/>
      <c r="GB345"/>
      <c r="GC345"/>
      <c r="GD345"/>
      <c r="GE345"/>
      <c r="GF345"/>
      <c r="GG345"/>
      <c r="GH345"/>
      <c r="GI345"/>
      <c r="GJ345"/>
      <c r="GK345"/>
      <c r="GL345"/>
      <c r="GM345"/>
      <c r="GN345"/>
      <c r="GO345"/>
      <c r="GP345"/>
      <c r="GQ345"/>
      <c r="GR345"/>
      <c r="GS345"/>
      <c r="GT345"/>
      <c r="GU345"/>
      <c r="GV345"/>
      <c r="GW345"/>
      <c r="GX345"/>
      <c r="GY345"/>
      <c r="GZ345"/>
      <c r="HA345"/>
    </row>
    <row r="346" spans="1:209" ht="15" customHeight="1" x14ac:dyDescent="0.15">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c r="FC346"/>
      <c r="FD346"/>
      <c r="FE346"/>
      <c r="FF346"/>
      <c r="FG346"/>
      <c r="FH346"/>
      <c r="FI346"/>
      <c r="FJ346"/>
      <c r="FK346"/>
      <c r="FL346"/>
      <c r="FM346"/>
      <c r="FN346"/>
      <c r="FO346"/>
      <c r="FP346"/>
      <c r="FQ346"/>
      <c r="FR346"/>
      <c r="FS346"/>
      <c r="FT346"/>
      <c r="FU346"/>
      <c r="FV346"/>
      <c r="FW346"/>
      <c r="FX346"/>
      <c r="FY346"/>
      <c r="FZ346"/>
      <c r="GA346"/>
      <c r="GB346"/>
      <c r="GC346"/>
      <c r="GD346"/>
      <c r="GE346"/>
      <c r="GF346"/>
      <c r="GG346"/>
      <c r="GH346"/>
      <c r="GI346"/>
      <c r="GJ346"/>
      <c r="GK346"/>
      <c r="GL346"/>
      <c r="GM346"/>
      <c r="GN346"/>
      <c r="GO346"/>
      <c r="GP346"/>
      <c r="GQ346"/>
      <c r="GR346"/>
      <c r="GS346"/>
      <c r="GT346"/>
      <c r="GU346"/>
      <c r="GV346"/>
      <c r="GW346"/>
      <c r="GX346"/>
      <c r="GY346"/>
      <c r="GZ346"/>
      <c r="HA346"/>
    </row>
    <row r="347" spans="1:209" ht="15" customHeight="1" x14ac:dyDescent="0.15">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c r="FC347"/>
      <c r="FD347"/>
      <c r="FE347"/>
      <c r="FF347"/>
      <c r="FG347"/>
      <c r="FH347"/>
      <c r="FI347"/>
      <c r="FJ347"/>
      <c r="FK347"/>
      <c r="FL347"/>
      <c r="FM347"/>
      <c r="FN347"/>
      <c r="FO347"/>
      <c r="FP347"/>
      <c r="FQ347"/>
      <c r="FR347"/>
      <c r="FS347"/>
      <c r="FT347"/>
      <c r="FU347"/>
      <c r="FV347"/>
      <c r="FW347"/>
      <c r="FX347"/>
      <c r="FY347"/>
      <c r="FZ347"/>
      <c r="GA347"/>
      <c r="GB347"/>
      <c r="GC347"/>
      <c r="GD347"/>
      <c r="GE347"/>
      <c r="GF347"/>
      <c r="GG347"/>
      <c r="GH347"/>
      <c r="GI347"/>
      <c r="GJ347"/>
      <c r="GK347"/>
      <c r="GL347"/>
      <c r="GM347"/>
      <c r="GN347"/>
      <c r="GO347"/>
      <c r="GP347"/>
      <c r="GQ347"/>
      <c r="GR347"/>
      <c r="GS347"/>
      <c r="GT347"/>
      <c r="GU347"/>
      <c r="GV347"/>
      <c r="GW347"/>
      <c r="GX347"/>
      <c r="GY347"/>
      <c r="GZ347"/>
      <c r="HA347"/>
    </row>
    <row r="348" spans="1:209" ht="15" customHeight="1" x14ac:dyDescent="0.15">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c r="FC348"/>
      <c r="FD348"/>
      <c r="FE348"/>
      <c r="FF348"/>
      <c r="FG348"/>
      <c r="FH348"/>
      <c r="FI348"/>
      <c r="FJ348"/>
      <c r="FK348"/>
      <c r="FL348"/>
      <c r="FM348"/>
      <c r="FN348"/>
      <c r="FO348"/>
      <c r="FP348"/>
      <c r="FQ348"/>
      <c r="FR348"/>
      <c r="FS348"/>
      <c r="FT348"/>
      <c r="FU348"/>
      <c r="FV348"/>
      <c r="FW348"/>
      <c r="FX348"/>
      <c r="FY348"/>
      <c r="FZ348"/>
      <c r="GA348"/>
      <c r="GB348"/>
      <c r="GC348"/>
      <c r="GD348"/>
      <c r="GE348"/>
      <c r="GF348"/>
      <c r="GG348"/>
      <c r="GH348"/>
      <c r="GI348"/>
      <c r="GJ348"/>
      <c r="GK348"/>
      <c r="GL348"/>
      <c r="GM348"/>
      <c r="GN348"/>
      <c r="GO348"/>
      <c r="GP348"/>
      <c r="GQ348"/>
      <c r="GR348"/>
      <c r="GS348"/>
      <c r="GT348"/>
      <c r="GU348"/>
      <c r="GV348"/>
      <c r="GW348"/>
      <c r="GX348"/>
      <c r="GY348"/>
      <c r="GZ348"/>
      <c r="HA348"/>
    </row>
    <row r="349" spans="1:209" ht="15" customHeight="1" x14ac:dyDescent="0.15">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c r="FC349"/>
      <c r="FD349"/>
      <c r="FE349"/>
      <c r="FF349"/>
      <c r="FG349"/>
      <c r="FH349"/>
      <c r="FI349"/>
      <c r="FJ349"/>
      <c r="FK349"/>
      <c r="FL349"/>
      <c r="FM349"/>
      <c r="FN349"/>
      <c r="FO349"/>
      <c r="FP349"/>
      <c r="FQ349"/>
      <c r="FR349"/>
      <c r="FS349"/>
      <c r="FT349"/>
      <c r="FU349"/>
      <c r="FV349"/>
      <c r="FW349"/>
      <c r="FX349"/>
      <c r="FY349"/>
      <c r="FZ349"/>
      <c r="GA349"/>
      <c r="GB349"/>
      <c r="GC349"/>
      <c r="GD349"/>
      <c r="GE349"/>
      <c r="GF349"/>
      <c r="GG349"/>
      <c r="GH349"/>
      <c r="GI349"/>
      <c r="GJ349"/>
      <c r="GK349"/>
      <c r="GL349"/>
      <c r="GM349"/>
      <c r="GN349"/>
      <c r="GO349"/>
      <c r="GP349"/>
      <c r="GQ349"/>
      <c r="GR349"/>
      <c r="GS349"/>
      <c r="GT349"/>
      <c r="GU349"/>
      <c r="GV349"/>
      <c r="GW349"/>
      <c r="GX349"/>
      <c r="GY349"/>
      <c r="GZ349"/>
      <c r="HA349"/>
    </row>
    <row r="350" spans="1:209" ht="15" customHeight="1" x14ac:dyDescent="0.15">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c r="FC350"/>
      <c r="FD350"/>
      <c r="FE350"/>
      <c r="FF350"/>
      <c r="FG350"/>
      <c r="FH350"/>
      <c r="FI350"/>
      <c r="FJ350"/>
      <c r="FK350"/>
      <c r="FL350"/>
      <c r="FM350"/>
      <c r="FN350"/>
      <c r="FO350"/>
      <c r="FP350"/>
      <c r="FQ350"/>
      <c r="FR350"/>
      <c r="FS350"/>
      <c r="FT350"/>
      <c r="FU350"/>
      <c r="FV350"/>
      <c r="FW350"/>
      <c r="FX350"/>
      <c r="FY350"/>
      <c r="FZ350"/>
      <c r="GA350"/>
      <c r="GB350"/>
      <c r="GC350"/>
      <c r="GD350"/>
      <c r="GE350"/>
      <c r="GF350"/>
      <c r="GG350"/>
      <c r="GH350"/>
      <c r="GI350"/>
      <c r="GJ350"/>
      <c r="GK350"/>
      <c r="GL350"/>
      <c r="GM350"/>
      <c r="GN350"/>
      <c r="GO350"/>
      <c r="GP350"/>
      <c r="GQ350"/>
      <c r="GR350"/>
      <c r="GS350"/>
      <c r="GT350"/>
      <c r="GU350"/>
      <c r="GV350"/>
      <c r="GW350"/>
      <c r="GX350"/>
      <c r="GY350"/>
      <c r="GZ350"/>
      <c r="HA350"/>
    </row>
    <row r="351" spans="1:209" ht="15" customHeight="1" x14ac:dyDescent="0.15">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c r="FC351"/>
      <c r="FD351"/>
      <c r="FE351"/>
      <c r="FF351"/>
      <c r="FG351"/>
      <c r="FH351"/>
      <c r="FI351"/>
      <c r="FJ351"/>
      <c r="FK351"/>
      <c r="FL351"/>
      <c r="FM351"/>
      <c r="FN351"/>
      <c r="FO351"/>
      <c r="FP351"/>
      <c r="FQ351"/>
      <c r="FR351"/>
      <c r="FS351"/>
      <c r="FT351"/>
      <c r="FU351"/>
      <c r="FV351"/>
      <c r="FW351"/>
      <c r="FX351"/>
      <c r="FY351"/>
      <c r="FZ351"/>
      <c r="GA351"/>
      <c r="GB351"/>
      <c r="GC351"/>
      <c r="GD351"/>
      <c r="GE351"/>
      <c r="GF351"/>
      <c r="GG351"/>
      <c r="GH351"/>
      <c r="GI351"/>
      <c r="GJ351"/>
      <c r="GK351"/>
      <c r="GL351"/>
      <c r="GM351"/>
      <c r="GN351"/>
      <c r="GO351"/>
      <c r="GP351"/>
      <c r="GQ351"/>
      <c r="GR351"/>
      <c r="GS351"/>
      <c r="GT351"/>
      <c r="GU351"/>
      <c r="GV351"/>
      <c r="GW351"/>
      <c r="GX351"/>
      <c r="GY351"/>
      <c r="GZ351"/>
      <c r="HA351"/>
    </row>
    <row r="352" spans="1:209" ht="15" customHeight="1" x14ac:dyDescent="0.15">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c r="FC352"/>
      <c r="FD352"/>
      <c r="FE352"/>
      <c r="FF352"/>
      <c r="FG352"/>
      <c r="FH352"/>
      <c r="FI352"/>
      <c r="FJ352"/>
      <c r="FK352"/>
      <c r="FL352"/>
      <c r="FM352"/>
      <c r="FN352"/>
      <c r="FO352"/>
      <c r="FP352"/>
      <c r="FQ352"/>
      <c r="FR352"/>
      <c r="FS352"/>
      <c r="FT352"/>
      <c r="FU352"/>
      <c r="FV352"/>
      <c r="FW352"/>
      <c r="FX352"/>
      <c r="FY352"/>
      <c r="FZ352"/>
      <c r="GA352"/>
      <c r="GB352"/>
      <c r="GC352"/>
      <c r="GD352"/>
      <c r="GE352"/>
      <c r="GF352"/>
      <c r="GG352"/>
      <c r="GH352"/>
      <c r="GI352"/>
      <c r="GJ352"/>
      <c r="GK352"/>
      <c r="GL352"/>
      <c r="GM352"/>
      <c r="GN352"/>
      <c r="GO352"/>
      <c r="GP352"/>
      <c r="GQ352"/>
      <c r="GR352"/>
      <c r="GS352"/>
      <c r="GT352"/>
      <c r="GU352"/>
      <c r="GV352"/>
      <c r="GW352"/>
      <c r="GX352"/>
      <c r="GY352"/>
      <c r="GZ352"/>
      <c r="HA352"/>
    </row>
    <row r="353" spans="1:209" ht="15" customHeight="1" x14ac:dyDescent="0.15">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c r="FC353"/>
      <c r="FD353"/>
      <c r="FE353"/>
      <c r="FF353"/>
      <c r="FG353"/>
      <c r="FH353"/>
      <c r="FI353"/>
      <c r="FJ353"/>
      <c r="FK353"/>
      <c r="FL353"/>
      <c r="FM353"/>
      <c r="FN353"/>
      <c r="FO353"/>
      <c r="FP353"/>
      <c r="FQ353"/>
      <c r="FR353"/>
      <c r="FS353"/>
      <c r="FT353"/>
      <c r="FU353"/>
      <c r="FV353"/>
      <c r="FW353"/>
      <c r="FX353"/>
      <c r="FY353"/>
      <c r="FZ353"/>
      <c r="GA353"/>
      <c r="GB353"/>
      <c r="GC353"/>
      <c r="GD353"/>
      <c r="GE353"/>
      <c r="GF353"/>
      <c r="GG353"/>
      <c r="GH353"/>
      <c r="GI353"/>
      <c r="GJ353"/>
      <c r="GK353"/>
      <c r="GL353"/>
      <c r="GM353"/>
      <c r="GN353"/>
      <c r="GO353"/>
      <c r="GP353"/>
      <c r="GQ353"/>
      <c r="GR353"/>
      <c r="GS353"/>
      <c r="GT353"/>
      <c r="GU353"/>
      <c r="GV353"/>
      <c r="GW353"/>
      <c r="GX353"/>
      <c r="GY353"/>
      <c r="GZ353"/>
      <c r="HA353"/>
    </row>
    <row r="354" spans="1:209" ht="15" customHeight="1" x14ac:dyDescent="0.15">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c r="FC354"/>
      <c r="FD354"/>
      <c r="FE354"/>
      <c r="FF354"/>
      <c r="FG354"/>
      <c r="FH354"/>
      <c r="FI354"/>
      <c r="FJ354"/>
      <c r="FK354"/>
      <c r="FL354"/>
      <c r="FM354"/>
      <c r="FN354"/>
      <c r="FO354"/>
      <c r="FP354"/>
      <c r="FQ354"/>
      <c r="FR354"/>
      <c r="FS354"/>
      <c r="FT354"/>
      <c r="FU354"/>
      <c r="FV354"/>
      <c r="FW354"/>
      <c r="FX354"/>
      <c r="FY354"/>
      <c r="FZ354"/>
      <c r="GA354"/>
      <c r="GB354"/>
      <c r="GC354"/>
      <c r="GD354"/>
      <c r="GE354"/>
      <c r="GF354"/>
      <c r="GG354"/>
      <c r="GH354"/>
      <c r="GI354"/>
      <c r="GJ354"/>
      <c r="GK354"/>
      <c r="GL354"/>
      <c r="GM354"/>
      <c r="GN354"/>
      <c r="GO354"/>
      <c r="GP354"/>
      <c r="GQ354"/>
      <c r="GR354"/>
      <c r="GS354"/>
      <c r="GT354"/>
      <c r="GU354"/>
      <c r="GV354"/>
      <c r="GW354"/>
      <c r="GX354"/>
      <c r="GY354"/>
      <c r="GZ354"/>
      <c r="HA354"/>
    </row>
    <row r="355" spans="1:209" ht="15" customHeight="1" x14ac:dyDescent="0.15">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c r="FM355"/>
      <c r="FN355"/>
      <c r="FO355"/>
      <c r="FP355"/>
      <c r="FQ355"/>
      <c r="FR355"/>
      <c r="FS355"/>
      <c r="FT355"/>
      <c r="FU355"/>
      <c r="FV355"/>
      <c r="FW355"/>
      <c r="FX355"/>
      <c r="FY355"/>
      <c r="FZ355"/>
      <c r="GA355"/>
      <c r="GB355"/>
      <c r="GC355"/>
      <c r="GD355"/>
      <c r="GE355"/>
      <c r="GF355"/>
      <c r="GG355"/>
      <c r="GH355"/>
      <c r="GI355"/>
      <c r="GJ355"/>
      <c r="GK355"/>
      <c r="GL355"/>
      <c r="GM355"/>
      <c r="GN355"/>
      <c r="GO355"/>
      <c r="GP355"/>
      <c r="GQ355"/>
      <c r="GR355"/>
      <c r="GS355"/>
      <c r="GT355"/>
      <c r="GU355"/>
      <c r="GV355"/>
      <c r="GW355"/>
      <c r="GX355"/>
      <c r="GY355"/>
      <c r="GZ355"/>
      <c r="HA355"/>
    </row>
    <row r="356" spans="1:209" ht="15" customHeight="1" x14ac:dyDescent="0.15">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c r="FM356"/>
      <c r="FN356"/>
      <c r="FO356"/>
      <c r="FP356"/>
      <c r="FQ356"/>
      <c r="FR356"/>
      <c r="FS356"/>
      <c r="FT356"/>
      <c r="FU356"/>
      <c r="FV356"/>
      <c r="FW356"/>
      <c r="FX356"/>
      <c r="FY356"/>
      <c r="FZ356"/>
      <c r="GA356"/>
      <c r="GB356"/>
      <c r="GC356"/>
      <c r="GD356"/>
      <c r="GE356"/>
      <c r="GF356"/>
      <c r="GG356"/>
      <c r="GH356"/>
      <c r="GI356"/>
      <c r="GJ356"/>
      <c r="GK356"/>
      <c r="GL356"/>
      <c r="GM356"/>
      <c r="GN356"/>
      <c r="GO356"/>
      <c r="GP356"/>
      <c r="GQ356"/>
      <c r="GR356"/>
      <c r="GS356"/>
      <c r="GT356"/>
      <c r="GU356"/>
      <c r="GV356"/>
      <c r="GW356"/>
      <c r="GX356"/>
      <c r="GY356"/>
      <c r="GZ356"/>
      <c r="HA356"/>
    </row>
    <row r="357" spans="1:209" ht="15" customHeight="1" x14ac:dyDescent="0.15">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c r="FC357"/>
      <c r="FD357"/>
      <c r="FE357"/>
      <c r="FF357"/>
      <c r="FG357"/>
      <c r="FH357"/>
      <c r="FI357"/>
      <c r="FJ357"/>
      <c r="FK357"/>
      <c r="FL357"/>
      <c r="FM357"/>
      <c r="FN357"/>
      <c r="FO357"/>
      <c r="FP357"/>
      <c r="FQ357"/>
      <c r="FR357"/>
      <c r="FS357"/>
      <c r="FT357"/>
      <c r="FU357"/>
      <c r="FV357"/>
      <c r="FW357"/>
      <c r="FX357"/>
      <c r="FY357"/>
      <c r="FZ357"/>
      <c r="GA357"/>
      <c r="GB357"/>
      <c r="GC357"/>
      <c r="GD357"/>
      <c r="GE357"/>
      <c r="GF357"/>
      <c r="GG357"/>
      <c r="GH357"/>
      <c r="GI357"/>
      <c r="GJ357"/>
      <c r="GK357"/>
      <c r="GL357"/>
      <c r="GM357"/>
      <c r="GN357"/>
      <c r="GO357"/>
      <c r="GP357"/>
      <c r="GQ357"/>
      <c r="GR357"/>
      <c r="GS357"/>
      <c r="GT357"/>
      <c r="GU357"/>
      <c r="GV357"/>
      <c r="GW357"/>
      <c r="GX357"/>
      <c r="GY357"/>
      <c r="GZ357"/>
      <c r="HA357"/>
    </row>
    <row r="358" spans="1:209" ht="15" customHeight="1" x14ac:dyDescent="0.15">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c r="FC358"/>
      <c r="FD358"/>
      <c r="FE358"/>
      <c r="FF358"/>
      <c r="FG358"/>
      <c r="FH358"/>
      <c r="FI358"/>
      <c r="FJ358"/>
      <c r="FK358"/>
      <c r="FL358"/>
      <c r="FM358"/>
      <c r="FN358"/>
      <c r="FO358"/>
      <c r="FP358"/>
      <c r="FQ358"/>
      <c r="FR358"/>
      <c r="FS358"/>
      <c r="FT358"/>
      <c r="FU358"/>
      <c r="FV358"/>
      <c r="FW358"/>
      <c r="FX358"/>
      <c r="FY358"/>
      <c r="FZ358"/>
      <c r="GA358"/>
      <c r="GB358"/>
      <c r="GC358"/>
      <c r="GD358"/>
      <c r="GE358"/>
      <c r="GF358"/>
      <c r="GG358"/>
      <c r="GH358"/>
      <c r="GI358"/>
      <c r="GJ358"/>
      <c r="GK358"/>
      <c r="GL358"/>
      <c r="GM358"/>
      <c r="GN358"/>
      <c r="GO358"/>
      <c r="GP358"/>
      <c r="GQ358"/>
      <c r="GR358"/>
      <c r="GS358"/>
      <c r="GT358"/>
      <c r="GU358"/>
      <c r="GV358"/>
      <c r="GW358"/>
      <c r="GX358"/>
      <c r="GY358"/>
      <c r="GZ358"/>
      <c r="HA358"/>
    </row>
    <row r="359" spans="1:209" ht="15" customHeight="1" x14ac:dyDescent="0.15">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c r="FC359"/>
      <c r="FD359"/>
      <c r="FE359"/>
      <c r="FF359"/>
      <c r="FG359"/>
      <c r="FH359"/>
      <c r="FI359"/>
      <c r="FJ359"/>
      <c r="FK359"/>
      <c r="FL359"/>
      <c r="FM359"/>
      <c r="FN359"/>
      <c r="FO359"/>
      <c r="FP359"/>
      <c r="FQ359"/>
      <c r="FR359"/>
      <c r="FS359"/>
      <c r="FT359"/>
      <c r="FU359"/>
      <c r="FV359"/>
      <c r="FW359"/>
      <c r="FX359"/>
      <c r="FY359"/>
      <c r="FZ359"/>
      <c r="GA359"/>
      <c r="GB359"/>
      <c r="GC359"/>
      <c r="GD359"/>
      <c r="GE359"/>
      <c r="GF359"/>
      <c r="GG359"/>
      <c r="GH359"/>
      <c r="GI359"/>
      <c r="GJ359"/>
      <c r="GK359"/>
      <c r="GL359"/>
      <c r="GM359"/>
      <c r="GN359"/>
      <c r="GO359"/>
      <c r="GP359"/>
      <c r="GQ359"/>
      <c r="GR359"/>
      <c r="GS359"/>
      <c r="GT359"/>
      <c r="GU359"/>
      <c r="GV359"/>
      <c r="GW359"/>
      <c r="GX359"/>
      <c r="GY359"/>
      <c r="GZ359"/>
      <c r="HA359"/>
    </row>
    <row r="360" spans="1:209" ht="15" customHeight="1" x14ac:dyDescent="0.15">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c r="FC360"/>
      <c r="FD360"/>
      <c r="FE360"/>
      <c r="FF360"/>
      <c r="FG360"/>
      <c r="FH360"/>
      <c r="FI360"/>
      <c r="FJ360"/>
      <c r="FK360"/>
      <c r="FL360"/>
      <c r="FM360"/>
      <c r="FN360"/>
      <c r="FO360"/>
      <c r="FP360"/>
      <c r="FQ360"/>
      <c r="FR360"/>
      <c r="FS360"/>
      <c r="FT360"/>
      <c r="FU360"/>
      <c r="FV360"/>
      <c r="FW360"/>
      <c r="FX360"/>
      <c r="FY360"/>
      <c r="FZ360"/>
      <c r="GA360"/>
      <c r="GB360"/>
      <c r="GC360"/>
      <c r="GD360"/>
      <c r="GE360"/>
      <c r="GF360"/>
      <c r="GG360"/>
      <c r="GH360"/>
      <c r="GI360"/>
      <c r="GJ360"/>
      <c r="GK360"/>
      <c r="GL360"/>
      <c r="GM360"/>
      <c r="GN360"/>
      <c r="GO360"/>
      <c r="GP360"/>
      <c r="GQ360"/>
      <c r="GR360"/>
      <c r="GS360"/>
      <c r="GT360"/>
      <c r="GU360"/>
      <c r="GV360"/>
      <c r="GW360"/>
      <c r="GX360"/>
      <c r="GY360"/>
      <c r="GZ360"/>
      <c r="HA360"/>
    </row>
    <row r="361" spans="1:209" ht="15" customHeight="1" x14ac:dyDescent="0.15">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c r="FC361"/>
      <c r="FD361"/>
      <c r="FE361"/>
      <c r="FF361"/>
      <c r="FG361"/>
      <c r="FH361"/>
      <c r="FI361"/>
      <c r="FJ361"/>
      <c r="FK361"/>
      <c r="FL361"/>
      <c r="FM361"/>
      <c r="FN361"/>
      <c r="FO361"/>
      <c r="FP361"/>
      <c r="FQ361"/>
      <c r="FR361"/>
      <c r="FS361"/>
      <c r="FT361"/>
      <c r="FU361"/>
      <c r="FV361"/>
      <c r="FW361"/>
      <c r="FX361"/>
      <c r="FY361"/>
      <c r="FZ361"/>
      <c r="GA361"/>
      <c r="GB361"/>
      <c r="GC361"/>
      <c r="GD361"/>
      <c r="GE361"/>
      <c r="GF361"/>
      <c r="GG361"/>
      <c r="GH361"/>
      <c r="GI361"/>
      <c r="GJ361"/>
      <c r="GK361"/>
      <c r="GL361"/>
      <c r="GM361"/>
      <c r="GN361"/>
      <c r="GO361"/>
      <c r="GP361"/>
      <c r="GQ361"/>
      <c r="GR361"/>
      <c r="GS361"/>
      <c r="GT361"/>
      <c r="GU361"/>
      <c r="GV361"/>
      <c r="GW361"/>
      <c r="GX361"/>
      <c r="GY361"/>
      <c r="GZ361"/>
      <c r="HA361"/>
    </row>
    <row r="362" spans="1:209" ht="15" customHeight="1" x14ac:dyDescent="0.15">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c r="FC362"/>
      <c r="FD362"/>
      <c r="FE362"/>
      <c r="FF362"/>
      <c r="FG362"/>
      <c r="FH362"/>
      <c r="FI362"/>
      <c r="FJ362"/>
      <c r="FK362"/>
      <c r="FL362"/>
      <c r="FM362"/>
      <c r="FN362"/>
      <c r="FO362"/>
      <c r="FP362"/>
      <c r="FQ362"/>
      <c r="FR362"/>
      <c r="FS362"/>
      <c r="FT362"/>
      <c r="FU362"/>
      <c r="FV362"/>
      <c r="FW362"/>
      <c r="FX362"/>
      <c r="FY362"/>
      <c r="FZ362"/>
      <c r="GA362"/>
      <c r="GB362"/>
      <c r="GC362"/>
      <c r="GD362"/>
      <c r="GE362"/>
      <c r="GF362"/>
      <c r="GG362"/>
      <c r="GH362"/>
      <c r="GI362"/>
      <c r="GJ362"/>
      <c r="GK362"/>
      <c r="GL362"/>
      <c r="GM362"/>
      <c r="GN362"/>
      <c r="GO362"/>
      <c r="GP362"/>
      <c r="GQ362"/>
      <c r="GR362"/>
      <c r="GS362"/>
      <c r="GT362"/>
      <c r="GU362"/>
      <c r="GV362"/>
      <c r="GW362"/>
      <c r="GX362"/>
      <c r="GY362"/>
      <c r="GZ362"/>
      <c r="HA362"/>
    </row>
    <row r="363" spans="1:209" ht="15" customHeight="1" x14ac:dyDescent="0.15">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c r="FC363"/>
      <c r="FD363"/>
      <c r="FE363"/>
      <c r="FF363"/>
      <c r="FG363"/>
      <c r="FH363"/>
      <c r="FI363"/>
      <c r="FJ363"/>
      <c r="FK363"/>
      <c r="FL363"/>
      <c r="FM363"/>
      <c r="FN363"/>
      <c r="FO363"/>
      <c r="FP363"/>
      <c r="FQ363"/>
      <c r="FR363"/>
      <c r="FS363"/>
      <c r="FT363"/>
      <c r="FU363"/>
      <c r="FV363"/>
      <c r="FW363"/>
      <c r="FX363"/>
      <c r="FY363"/>
      <c r="FZ363"/>
      <c r="GA363"/>
      <c r="GB363"/>
      <c r="GC363"/>
      <c r="GD363"/>
      <c r="GE363"/>
      <c r="GF363"/>
      <c r="GG363"/>
      <c r="GH363"/>
      <c r="GI363"/>
      <c r="GJ363"/>
      <c r="GK363"/>
      <c r="GL363"/>
      <c r="GM363"/>
      <c r="GN363"/>
      <c r="GO363"/>
      <c r="GP363"/>
      <c r="GQ363"/>
      <c r="GR363"/>
      <c r="GS363"/>
      <c r="GT363"/>
      <c r="GU363"/>
      <c r="GV363"/>
      <c r="GW363"/>
      <c r="GX363"/>
      <c r="GY363"/>
      <c r="GZ363"/>
      <c r="HA363"/>
    </row>
    <row r="364" spans="1:209" ht="15" customHeight="1" x14ac:dyDescent="0.15">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c r="FC364"/>
      <c r="FD364"/>
      <c r="FE364"/>
      <c r="FF364"/>
      <c r="FG364"/>
      <c r="FH364"/>
      <c r="FI364"/>
      <c r="FJ364"/>
      <c r="FK364"/>
      <c r="FL364"/>
      <c r="FM364"/>
      <c r="FN364"/>
      <c r="FO364"/>
      <c r="FP364"/>
      <c r="FQ364"/>
      <c r="FR364"/>
      <c r="FS364"/>
      <c r="FT364"/>
      <c r="FU364"/>
      <c r="FV364"/>
      <c r="FW364"/>
      <c r="FX364"/>
      <c r="FY364"/>
      <c r="FZ364"/>
      <c r="GA364"/>
      <c r="GB364"/>
      <c r="GC364"/>
      <c r="GD364"/>
      <c r="GE364"/>
      <c r="GF364"/>
      <c r="GG364"/>
      <c r="GH364"/>
      <c r="GI364"/>
      <c r="GJ364"/>
      <c r="GK364"/>
      <c r="GL364"/>
      <c r="GM364"/>
      <c r="GN364"/>
      <c r="GO364"/>
      <c r="GP364"/>
      <c r="GQ364"/>
      <c r="GR364"/>
      <c r="GS364"/>
      <c r="GT364"/>
      <c r="GU364"/>
      <c r="GV364"/>
      <c r="GW364"/>
      <c r="GX364"/>
      <c r="GY364"/>
      <c r="GZ364"/>
      <c r="HA364"/>
    </row>
    <row r="365" spans="1:209" ht="15" customHeight="1" x14ac:dyDescent="0.15">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c r="FC365"/>
      <c r="FD365"/>
      <c r="FE365"/>
      <c r="FF365"/>
      <c r="FG365"/>
      <c r="FH365"/>
      <c r="FI365"/>
      <c r="FJ365"/>
      <c r="FK365"/>
      <c r="FL365"/>
      <c r="FM365"/>
      <c r="FN365"/>
      <c r="FO365"/>
      <c r="FP365"/>
      <c r="FQ365"/>
      <c r="FR365"/>
      <c r="FS365"/>
      <c r="FT365"/>
      <c r="FU365"/>
      <c r="FV365"/>
      <c r="FW365"/>
      <c r="FX365"/>
      <c r="FY365"/>
      <c r="FZ365"/>
      <c r="GA365"/>
      <c r="GB365"/>
      <c r="GC365"/>
      <c r="GD365"/>
      <c r="GE365"/>
      <c r="GF365"/>
      <c r="GG365"/>
      <c r="GH365"/>
      <c r="GI365"/>
      <c r="GJ365"/>
      <c r="GK365"/>
      <c r="GL365"/>
      <c r="GM365"/>
      <c r="GN365"/>
      <c r="GO365"/>
      <c r="GP365"/>
      <c r="GQ365"/>
      <c r="GR365"/>
      <c r="GS365"/>
      <c r="GT365"/>
      <c r="GU365"/>
      <c r="GV365"/>
      <c r="GW365"/>
      <c r="GX365"/>
      <c r="GY365"/>
      <c r="GZ365"/>
      <c r="HA365"/>
    </row>
    <row r="366" spans="1:209" ht="15" customHeight="1" x14ac:dyDescent="0.15">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c r="FC366"/>
      <c r="FD366"/>
      <c r="FE366"/>
      <c r="FF366"/>
      <c r="FG366"/>
      <c r="FH366"/>
      <c r="FI366"/>
      <c r="FJ366"/>
      <c r="FK366"/>
      <c r="FL366"/>
      <c r="FM366"/>
      <c r="FN366"/>
      <c r="FO366"/>
      <c r="FP366"/>
      <c r="FQ366"/>
      <c r="FR366"/>
      <c r="FS366"/>
      <c r="FT366"/>
      <c r="FU366"/>
      <c r="FV366"/>
      <c r="FW366"/>
      <c r="FX366"/>
      <c r="FY366"/>
      <c r="FZ366"/>
      <c r="GA366"/>
      <c r="GB366"/>
      <c r="GC366"/>
      <c r="GD366"/>
      <c r="GE366"/>
      <c r="GF366"/>
      <c r="GG366"/>
      <c r="GH366"/>
      <c r="GI366"/>
      <c r="GJ366"/>
      <c r="GK366"/>
      <c r="GL366"/>
      <c r="GM366"/>
      <c r="GN366"/>
      <c r="GO366"/>
      <c r="GP366"/>
      <c r="GQ366"/>
      <c r="GR366"/>
      <c r="GS366"/>
      <c r="GT366"/>
      <c r="GU366"/>
      <c r="GV366"/>
      <c r="GW366"/>
      <c r="GX366"/>
      <c r="GY366"/>
      <c r="GZ366"/>
      <c r="HA366"/>
    </row>
    <row r="367" spans="1:209" ht="15" customHeight="1" x14ac:dyDescent="0.15">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c r="FC367"/>
      <c r="FD367"/>
      <c r="FE367"/>
      <c r="FF367"/>
      <c r="FG367"/>
      <c r="FH367"/>
      <c r="FI367"/>
      <c r="FJ367"/>
      <c r="FK367"/>
      <c r="FL367"/>
      <c r="FM367"/>
      <c r="FN367"/>
      <c r="FO367"/>
      <c r="FP367"/>
      <c r="FQ367"/>
      <c r="FR367"/>
      <c r="FS367"/>
      <c r="FT367"/>
      <c r="FU367"/>
      <c r="FV367"/>
      <c r="FW367"/>
      <c r="FX367"/>
      <c r="FY367"/>
      <c r="FZ367"/>
      <c r="GA367"/>
      <c r="GB367"/>
      <c r="GC367"/>
      <c r="GD367"/>
      <c r="GE367"/>
      <c r="GF367"/>
      <c r="GG367"/>
      <c r="GH367"/>
      <c r="GI367"/>
      <c r="GJ367"/>
      <c r="GK367"/>
      <c r="GL367"/>
      <c r="GM367"/>
      <c r="GN367"/>
      <c r="GO367"/>
      <c r="GP367"/>
      <c r="GQ367"/>
      <c r="GR367"/>
      <c r="GS367"/>
      <c r="GT367"/>
      <c r="GU367"/>
      <c r="GV367"/>
      <c r="GW367"/>
      <c r="GX367"/>
      <c r="GY367"/>
      <c r="GZ367"/>
      <c r="HA367"/>
    </row>
    <row r="368" spans="1:209" ht="15" customHeight="1" x14ac:dyDescent="0.15">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c r="FC368"/>
      <c r="FD368"/>
      <c r="FE368"/>
      <c r="FF368"/>
      <c r="FG368"/>
      <c r="FH368"/>
      <c r="FI368"/>
      <c r="FJ368"/>
      <c r="FK368"/>
      <c r="FL368"/>
      <c r="FM368"/>
      <c r="FN368"/>
      <c r="FO368"/>
      <c r="FP368"/>
      <c r="FQ368"/>
      <c r="FR368"/>
      <c r="FS368"/>
      <c r="FT368"/>
      <c r="FU368"/>
      <c r="FV368"/>
      <c r="FW368"/>
      <c r="FX368"/>
      <c r="FY368"/>
      <c r="FZ368"/>
      <c r="GA368"/>
      <c r="GB368"/>
      <c r="GC368"/>
      <c r="GD368"/>
      <c r="GE368"/>
      <c r="GF368"/>
      <c r="GG368"/>
      <c r="GH368"/>
      <c r="GI368"/>
      <c r="GJ368"/>
      <c r="GK368"/>
      <c r="GL368"/>
      <c r="GM368"/>
      <c r="GN368"/>
      <c r="GO368"/>
      <c r="GP368"/>
      <c r="GQ368"/>
      <c r="GR368"/>
      <c r="GS368"/>
      <c r="GT368"/>
      <c r="GU368"/>
      <c r="GV368"/>
      <c r="GW368"/>
      <c r="GX368"/>
      <c r="GY368"/>
      <c r="GZ368"/>
      <c r="HA368"/>
    </row>
    <row r="369" spans="1:209" ht="15" customHeight="1" x14ac:dyDescent="0.15">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c r="FC369"/>
      <c r="FD369"/>
      <c r="FE369"/>
      <c r="FF369"/>
      <c r="FG369"/>
      <c r="FH369"/>
      <c r="FI369"/>
      <c r="FJ369"/>
      <c r="FK369"/>
      <c r="FL369"/>
      <c r="FM369"/>
      <c r="FN369"/>
      <c r="FO369"/>
      <c r="FP369"/>
      <c r="FQ369"/>
      <c r="FR369"/>
      <c r="FS369"/>
      <c r="FT369"/>
      <c r="FU369"/>
      <c r="FV369"/>
      <c r="FW369"/>
      <c r="FX369"/>
      <c r="FY369"/>
      <c r="FZ369"/>
      <c r="GA369"/>
      <c r="GB369"/>
      <c r="GC369"/>
      <c r="GD369"/>
      <c r="GE369"/>
      <c r="GF369"/>
      <c r="GG369"/>
      <c r="GH369"/>
      <c r="GI369"/>
      <c r="GJ369"/>
      <c r="GK369"/>
      <c r="GL369"/>
      <c r="GM369"/>
      <c r="GN369"/>
      <c r="GO369"/>
      <c r="GP369"/>
      <c r="GQ369"/>
      <c r="GR369"/>
      <c r="GS369"/>
      <c r="GT369"/>
      <c r="GU369"/>
      <c r="GV369"/>
      <c r="GW369"/>
      <c r="GX369"/>
      <c r="GY369"/>
      <c r="GZ369"/>
      <c r="HA369"/>
    </row>
    <row r="370" spans="1:209" ht="15" customHeight="1" x14ac:dyDescent="0.15">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c r="FC370"/>
      <c r="FD370"/>
      <c r="FE370"/>
      <c r="FF370"/>
      <c r="FG370"/>
      <c r="FH370"/>
      <c r="FI370"/>
      <c r="FJ370"/>
      <c r="FK370"/>
      <c r="FL370"/>
      <c r="FM370"/>
      <c r="FN370"/>
      <c r="FO370"/>
      <c r="FP370"/>
      <c r="FQ370"/>
      <c r="FR370"/>
      <c r="FS370"/>
      <c r="FT370"/>
      <c r="FU370"/>
      <c r="FV370"/>
      <c r="FW370"/>
      <c r="FX370"/>
      <c r="FY370"/>
      <c r="FZ370"/>
      <c r="GA370"/>
      <c r="GB370"/>
      <c r="GC370"/>
      <c r="GD370"/>
      <c r="GE370"/>
      <c r="GF370"/>
      <c r="GG370"/>
      <c r="GH370"/>
      <c r="GI370"/>
      <c r="GJ370"/>
      <c r="GK370"/>
      <c r="GL370"/>
      <c r="GM370"/>
      <c r="GN370"/>
      <c r="GO370"/>
      <c r="GP370"/>
      <c r="GQ370"/>
      <c r="GR370"/>
      <c r="GS370"/>
      <c r="GT370"/>
      <c r="GU370"/>
      <c r="GV370"/>
      <c r="GW370"/>
      <c r="GX370"/>
      <c r="GY370"/>
      <c r="GZ370"/>
      <c r="HA370"/>
    </row>
    <row r="371" spans="1:209" ht="15" customHeight="1" x14ac:dyDescent="0.15">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c r="FC371"/>
      <c r="FD371"/>
      <c r="FE371"/>
      <c r="FF371"/>
      <c r="FG371"/>
      <c r="FH371"/>
      <c r="FI371"/>
      <c r="FJ371"/>
      <c r="FK371"/>
      <c r="FL371"/>
      <c r="FM371"/>
      <c r="FN371"/>
      <c r="FO371"/>
      <c r="FP371"/>
      <c r="FQ371"/>
      <c r="FR371"/>
      <c r="FS371"/>
      <c r="FT371"/>
      <c r="FU371"/>
      <c r="FV371"/>
      <c r="FW371"/>
      <c r="FX371"/>
      <c r="FY371"/>
      <c r="FZ371"/>
      <c r="GA371"/>
      <c r="GB371"/>
      <c r="GC371"/>
      <c r="GD371"/>
      <c r="GE371"/>
      <c r="GF371"/>
      <c r="GG371"/>
      <c r="GH371"/>
      <c r="GI371"/>
      <c r="GJ371"/>
      <c r="GK371"/>
      <c r="GL371"/>
      <c r="GM371"/>
      <c r="GN371"/>
      <c r="GO371"/>
      <c r="GP371"/>
      <c r="GQ371"/>
      <c r="GR371"/>
      <c r="GS371"/>
      <c r="GT371"/>
      <c r="GU371"/>
      <c r="GV371"/>
      <c r="GW371"/>
      <c r="GX371"/>
      <c r="GY371"/>
      <c r="GZ371"/>
      <c r="HA371"/>
    </row>
    <row r="372" spans="1:209" ht="15" customHeight="1" x14ac:dyDescent="0.15">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c r="FC372"/>
      <c r="FD372"/>
      <c r="FE372"/>
      <c r="FF372"/>
      <c r="FG372"/>
      <c r="FH372"/>
      <c r="FI372"/>
      <c r="FJ372"/>
      <c r="FK372"/>
      <c r="FL372"/>
      <c r="FM372"/>
      <c r="FN372"/>
      <c r="FO372"/>
      <c r="FP372"/>
      <c r="FQ372"/>
      <c r="FR372"/>
      <c r="FS372"/>
      <c r="FT372"/>
      <c r="FU372"/>
      <c r="FV372"/>
      <c r="FW372"/>
      <c r="FX372"/>
      <c r="FY372"/>
      <c r="FZ372"/>
      <c r="GA372"/>
      <c r="GB372"/>
      <c r="GC372"/>
      <c r="GD372"/>
      <c r="GE372"/>
      <c r="GF372"/>
      <c r="GG372"/>
      <c r="GH372"/>
      <c r="GI372"/>
      <c r="GJ372"/>
      <c r="GK372"/>
      <c r="GL372"/>
      <c r="GM372"/>
      <c r="GN372"/>
      <c r="GO372"/>
      <c r="GP372"/>
      <c r="GQ372"/>
      <c r="GR372"/>
      <c r="GS372"/>
      <c r="GT372"/>
      <c r="GU372"/>
      <c r="GV372"/>
      <c r="GW372"/>
      <c r="GX372"/>
      <c r="GY372"/>
      <c r="GZ372"/>
      <c r="HA372"/>
    </row>
    <row r="373" spans="1:209" ht="15" customHeight="1" x14ac:dyDescent="0.15">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c r="FC373"/>
      <c r="FD373"/>
      <c r="FE373"/>
      <c r="FF373"/>
      <c r="FG373"/>
      <c r="FH373"/>
      <c r="FI373"/>
      <c r="FJ373"/>
      <c r="FK373"/>
      <c r="FL373"/>
      <c r="FM373"/>
      <c r="FN373"/>
      <c r="FO373"/>
      <c r="FP373"/>
      <c r="FQ373"/>
      <c r="FR373"/>
      <c r="FS373"/>
      <c r="FT373"/>
      <c r="FU373"/>
      <c r="FV373"/>
      <c r="FW373"/>
      <c r="FX373"/>
      <c r="FY373"/>
      <c r="FZ373"/>
      <c r="GA373"/>
      <c r="GB373"/>
      <c r="GC373"/>
      <c r="GD373"/>
      <c r="GE373"/>
      <c r="GF373"/>
      <c r="GG373"/>
      <c r="GH373"/>
      <c r="GI373"/>
      <c r="GJ373"/>
      <c r="GK373"/>
      <c r="GL373"/>
      <c r="GM373"/>
      <c r="GN373"/>
      <c r="GO373"/>
      <c r="GP373"/>
      <c r="GQ373"/>
      <c r="GR373"/>
      <c r="GS373"/>
      <c r="GT373"/>
      <c r="GU373"/>
      <c r="GV373"/>
      <c r="GW373"/>
      <c r="GX373"/>
      <c r="GY373"/>
      <c r="GZ373"/>
      <c r="HA373"/>
    </row>
    <row r="374" spans="1:209" ht="15" customHeight="1" x14ac:dyDescent="0.15">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c r="FC374"/>
      <c r="FD374"/>
      <c r="FE374"/>
      <c r="FF374"/>
      <c r="FG374"/>
      <c r="FH374"/>
      <c r="FI374"/>
      <c r="FJ374"/>
      <c r="FK374"/>
      <c r="FL374"/>
      <c r="FM374"/>
      <c r="FN374"/>
      <c r="FO374"/>
      <c r="FP374"/>
      <c r="FQ374"/>
      <c r="FR374"/>
      <c r="FS374"/>
      <c r="FT374"/>
      <c r="FU374"/>
      <c r="FV374"/>
      <c r="FW374"/>
      <c r="FX374"/>
      <c r="FY374"/>
      <c r="FZ374"/>
      <c r="GA374"/>
      <c r="GB374"/>
      <c r="GC374"/>
      <c r="GD374"/>
      <c r="GE374"/>
      <c r="GF374"/>
      <c r="GG374"/>
      <c r="GH374"/>
      <c r="GI374"/>
      <c r="GJ374"/>
      <c r="GK374"/>
      <c r="GL374"/>
      <c r="GM374"/>
      <c r="GN374"/>
      <c r="GO374"/>
      <c r="GP374"/>
      <c r="GQ374"/>
      <c r="GR374"/>
      <c r="GS374"/>
      <c r="GT374"/>
      <c r="GU374"/>
      <c r="GV374"/>
      <c r="GW374"/>
      <c r="GX374"/>
      <c r="GY374"/>
      <c r="GZ374"/>
      <c r="HA374"/>
    </row>
    <row r="375" spans="1:209" ht="15" customHeight="1" x14ac:dyDescent="0.15">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c r="FC375"/>
      <c r="FD375"/>
      <c r="FE375"/>
      <c r="FF375"/>
      <c r="FG375"/>
      <c r="FH375"/>
      <c r="FI375"/>
      <c r="FJ375"/>
      <c r="FK375"/>
      <c r="FL375"/>
      <c r="FM375"/>
      <c r="FN375"/>
      <c r="FO375"/>
      <c r="FP375"/>
      <c r="FQ375"/>
      <c r="FR375"/>
      <c r="FS375"/>
      <c r="FT375"/>
      <c r="FU375"/>
      <c r="FV375"/>
      <c r="FW375"/>
      <c r="FX375"/>
      <c r="FY375"/>
      <c r="FZ375"/>
      <c r="GA375"/>
      <c r="GB375"/>
      <c r="GC375"/>
      <c r="GD375"/>
      <c r="GE375"/>
      <c r="GF375"/>
      <c r="GG375"/>
      <c r="GH375"/>
      <c r="GI375"/>
      <c r="GJ375"/>
      <c r="GK375"/>
      <c r="GL375"/>
      <c r="GM375"/>
      <c r="GN375"/>
      <c r="GO375"/>
      <c r="GP375"/>
      <c r="GQ375"/>
      <c r="GR375"/>
      <c r="GS375"/>
      <c r="GT375"/>
      <c r="GU375"/>
      <c r="GV375"/>
      <c r="GW375"/>
      <c r="GX375"/>
      <c r="GY375"/>
      <c r="GZ375"/>
      <c r="HA375"/>
    </row>
    <row r="376" spans="1:209" ht="15" customHeight="1" x14ac:dyDescent="0.15">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c r="FC376"/>
      <c r="FD376"/>
      <c r="FE376"/>
      <c r="FF376"/>
      <c r="FG376"/>
      <c r="FH376"/>
      <c r="FI376"/>
      <c r="FJ376"/>
      <c r="FK376"/>
      <c r="FL376"/>
      <c r="FM376"/>
      <c r="FN376"/>
      <c r="FO376"/>
      <c r="FP376"/>
      <c r="FQ376"/>
      <c r="FR376"/>
      <c r="FS376"/>
      <c r="FT376"/>
      <c r="FU376"/>
      <c r="FV376"/>
      <c r="FW376"/>
      <c r="FX376"/>
      <c r="FY376"/>
      <c r="FZ376"/>
      <c r="GA376"/>
      <c r="GB376"/>
      <c r="GC376"/>
      <c r="GD376"/>
      <c r="GE376"/>
      <c r="GF376"/>
      <c r="GG376"/>
      <c r="GH376"/>
      <c r="GI376"/>
      <c r="GJ376"/>
      <c r="GK376"/>
      <c r="GL376"/>
      <c r="GM376"/>
      <c r="GN376"/>
      <c r="GO376"/>
      <c r="GP376"/>
      <c r="GQ376"/>
      <c r="GR376"/>
      <c r="GS376"/>
      <c r="GT376"/>
      <c r="GU376"/>
      <c r="GV376"/>
      <c r="GW376"/>
      <c r="GX376"/>
      <c r="GY376"/>
      <c r="GZ376"/>
      <c r="HA376"/>
    </row>
    <row r="377" spans="1:209" ht="15" customHeight="1" x14ac:dyDescent="0.15">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c r="FC377"/>
      <c r="FD377"/>
      <c r="FE377"/>
      <c r="FF377"/>
      <c r="FG377"/>
      <c r="FH377"/>
      <c r="FI377"/>
      <c r="FJ377"/>
      <c r="FK377"/>
      <c r="FL377"/>
      <c r="FM377"/>
      <c r="FN377"/>
      <c r="FO377"/>
      <c r="FP377"/>
      <c r="FQ377"/>
      <c r="FR377"/>
      <c r="FS377"/>
      <c r="FT377"/>
      <c r="FU377"/>
      <c r="FV377"/>
      <c r="FW377"/>
      <c r="FX377"/>
      <c r="FY377"/>
      <c r="FZ377"/>
      <c r="GA377"/>
      <c r="GB377"/>
      <c r="GC377"/>
      <c r="GD377"/>
      <c r="GE377"/>
      <c r="GF377"/>
      <c r="GG377"/>
      <c r="GH377"/>
      <c r="GI377"/>
      <c r="GJ377"/>
      <c r="GK377"/>
      <c r="GL377"/>
      <c r="GM377"/>
      <c r="GN377"/>
      <c r="GO377"/>
      <c r="GP377"/>
      <c r="GQ377"/>
      <c r="GR377"/>
      <c r="GS377"/>
      <c r="GT377"/>
      <c r="GU377"/>
      <c r="GV377"/>
      <c r="GW377"/>
      <c r="GX377"/>
      <c r="GY377"/>
      <c r="GZ377"/>
      <c r="HA377"/>
    </row>
    <row r="378" spans="1:209" ht="15" customHeight="1" x14ac:dyDescent="0.15">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c r="FC378"/>
      <c r="FD378"/>
      <c r="FE378"/>
      <c r="FF378"/>
      <c r="FG378"/>
      <c r="FH378"/>
      <c r="FI378"/>
      <c r="FJ378"/>
      <c r="FK378"/>
      <c r="FL378"/>
      <c r="FM378"/>
      <c r="FN378"/>
      <c r="FO378"/>
      <c r="FP378"/>
      <c r="FQ378"/>
      <c r="FR378"/>
      <c r="FS378"/>
      <c r="FT378"/>
      <c r="FU378"/>
      <c r="FV378"/>
      <c r="FW378"/>
      <c r="FX378"/>
      <c r="FY378"/>
      <c r="FZ378"/>
      <c r="GA378"/>
      <c r="GB378"/>
      <c r="GC378"/>
      <c r="GD378"/>
      <c r="GE378"/>
      <c r="GF378"/>
      <c r="GG378"/>
      <c r="GH378"/>
      <c r="GI378"/>
      <c r="GJ378"/>
      <c r="GK378"/>
      <c r="GL378"/>
      <c r="GM378"/>
      <c r="GN378"/>
      <c r="GO378"/>
      <c r="GP378"/>
      <c r="GQ378"/>
      <c r="GR378"/>
      <c r="GS378"/>
      <c r="GT378"/>
      <c r="GU378"/>
      <c r="GV378"/>
      <c r="GW378"/>
      <c r="GX378"/>
      <c r="GY378"/>
      <c r="GZ378"/>
      <c r="HA378"/>
    </row>
    <row r="379" spans="1:209" ht="15" customHeight="1" x14ac:dyDescent="0.15">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c r="FC379"/>
      <c r="FD379"/>
      <c r="FE379"/>
      <c r="FF379"/>
      <c r="FG379"/>
      <c r="FH379"/>
      <c r="FI379"/>
      <c r="FJ379"/>
      <c r="FK379"/>
      <c r="FL379"/>
      <c r="FM379"/>
      <c r="FN379"/>
      <c r="FO379"/>
      <c r="FP379"/>
      <c r="FQ379"/>
      <c r="FR379"/>
      <c r="FS379"/>
      <c r="FT379"/>
      <c r="FU379"/>
      <c r="FV379"/>
      <c r="FW379"/>
      <c r="FX379"/>
      <c r="FY379"/>
      <c r="FZ379"/>
      <c r="GA379"/>
      <c r="GB379"/>
      <c r="GC379"/>
      <c r="GD379"/>
      <c r="GE379"/>
      <c r="GF379"/>
      <c r="GG379"/>
      <c r="GH379"/>
      <c r="GI379"/>
      <c r="GJ379"/>
      <c r="GK379"/>
      <c r="GL379"/>
      <c r="GM379"/>
      <c r="GN379"/>
      <c r="GO379"/>
      <c r="GP379"/>
      <c r="GQ379"/>
      <c r="GR379"/>
      <c r="GS379"/>
      <c r="GT379"/>
      <c r="GU379"/>
      <c r="GV379"/>
      <c r="GW379"/>
      <c r="GX379"/>
      <c r="GY379"/>
      <c r="GZ379"/>
      <c r="HA379"/>
    </row>
    <row r="380" spans="1:209" ht="15" customHeight="1" x14ac:dyDescent="0.15">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c r="FC380"/>
      <c r="FD380"/>
      <c r="FE380"/>
      <c r="FF380"/>
      <c r="FG380"/>
      <c r="FH380"/>
      <c r="FI380"/>
      <c r="FJ380"/>
      <c r="FK380"/>
      <c r="FL380"/>
      <c r="FM380"/>
      <c r="FN380"/>
      <c r="FO380"/>
      <c r="FP380"/>
      <c r="FQ380"/>
      <c r="FR380"/>
      <c r="FS380"/>
      <c r="FT380"/>
      <c r="FU380"/>
      <c r="FV380"/>
      <c r="FW380"/>
      <c r="FX380"/>
      <c r="FY380"/>
      <c r="FZ380"/>
      <c r="GA380"/>
      <c r="GB380"/>
      <c r="GC380"/>
      <c r="GD380"/>
      <c r="GE380"/>
      <c r="GF380"/>
      <c r="GG380"/>
      <c r="GH380"/>
      <c r="GI380"/>
      <c r="GJ380"/>
      <c r="GK380"/>
      <c r="GL380"/>
      <c r="GM380"/>
      <c r="GN380"/>
      <c r="GO380"/>
      <c r="GP380"/>
      <c r="GQ380"/>
      <c r="GR380"/>
      <c r="GS380"/>
      <c r="GT380"/>
      <c r="GU380"/>
      <c r="GV380"/>
      <c r="GW380"/>
      <c r="GX380"/>
      <c r="GY380"/>
      <c r="GZ380"/>
      <c r="HA380"/>
    </row>
    <row r="381" spans="1:209" ht="15" customHeight="1" x14ac:dyDescent="0.15">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c r="FC381"/>
      <c r="FD381"/>
      <c r="FE381"/>
      <c r="FF381"/>
      <c r="FG381"/>
      <c r="FH381"/>
      <c r="FI381"/>
      <c r="FJ381"/>
      <c r="FK381"/>
      <c r="FL381"/>
      <c r="FM381"/>
      <c r="FN381"/>
      <c r="FO381"/>
      <c r="FP381"/>
      <c r="FQ381"/>
      <c r="FR381"/>
      <c r="FS381"/>
      <c r="FT381"/>
      <c r="FU381"/>
      <c r="FV381"/>
      <c r="FW381"/>
      <c r="FX381"/>
      <c r="FY381"/>
      <c r="FZ381"/>
      <c r="GA381"/>
      <c r="GB381"/>
      <c r="GC381"/>
      <c r="GD381"/>
      <c r="GE381"/>
      <c r="GF381"/>
      <c r="GG381"/>
      <c r="GH381"/>
      <c r="GI381"/>
      <c r="GJ381"/>
      <c r="GK381"/>
      <c r="GL381"/>
      <c r="GM381"/>
      <c r="GN381"/>
      <c r="GO381"/>
      <c r="GP381"/>
      <c r="GQ381"/>
      <c r="GR381"/>
      <c r="GS381"/>
      <c r="GT381"/>
      <c r="GU381"/>
      <c r="GV381"/>
      <c r="GW381"/>
      <c r="GX381"/>
      <c r="GY381"/>
      <c r="GZ381"/>
      <c r="HA381"/>
    </row>
    <row r="382" spans="1:209" ht="15" customHeight="1" x14ac:dyDescent="0.15">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c r="FC382"/>
      <c r="FD382"/>
      <c r="FE382"/>
      <c r="FF382"/>
      <c r="FG382"/>
      <c r="FH382"/>
      <c r="FI382"/>
      <c r="FJ382"/>
      <c r="FK382"/>
      <c r="FL382"/>
      <c r="FM382"/>
      <c r="FN382"/>
      <c r="FO382"/>
      <c r="FP382"/>
      <c r="FQ382"/>
      <c r="FR382"/>
      <c r="FS382"/>
      <c r="FT382"/>
      <c r="FU382"/>
      <c r="FV382"/>
      <c r="FW382"/>
      <c r="FX382"/>
      <c r="FY382"/>
      <c r="FZ382"/>
      <c r="GA382"/>
      <c r="GB382"/>
      <c r="GC382"/>
      <c r="GD382"/>
      <c r="GE382"/>
      <c r="GF382"/>
      <c r="GG382"/>
      <c r="GH382"/>
      <c r="GI382"/>
      <c r="GJ382"/>
      <c r="GK382"/>
      <c r="GL382"/>
      <c r="GM382"/>
      <c r="GN382"/>
      <c r="GO382"/>
      <c r="GP382"/>
      <c r="GQ382"/>
      <c r="GR382"/>
      <c r="GS382"/>
      <c r="GT382"/>
      <c r="GU382"/>
      <c r="GV382"/>
      <c r="GW382"/>
      <c r="GX382"/>
      <c r="GY382"/>
      <c r="GZ382"/>
      <c r="HA382"/>
    </row>
    <row r="383" spans="1:209" ht="15" customHeight="1" x14ac:dyDescent="0.15">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c r="FC383"/>
      <c r="FD383"/>
      <c r="FE383"/>
      <c r="FF383"/>
      <c r="FG383"/>
      <c r="FH383"/>
      <c r="FI383"/>
      <c r="FJ383"/>
      <c r="FK383"/>
      <c r="FL383"/>
      <c r="FM383"/>
      <c r="FN383"/>
      <c r="FO383"/>
      <c r="FP383"/>
      <c r="FQ383"/>
      <c r="FR383"/>
      <c r="FS383"/>
      <c r="FT383"/>
      <c r="FU383"/>
      <c r="FV383"/>
      <c r="FW383"/>
      <c r="FX383"/>
      <c r="FY383"/>
      <c r="FZ383"/>
      <c r="GA383"/>
      <c r="GB383"/>
      <c r="GC383"/>
      <c r="GD383"/>
      <c r="GE383"/>
      <c r="GF383"/>
      <c r="GG383"/>
      <c r="GH383"/>
      <c r="GI383"/>
      <c r="GJ383"/>
      <c r="GK383"/>
      <c r="GL383"/>
      <c r="GM383"/>
      <c r="GN383"/>
      <c r="GO383"/>
      <c r="GP383"/>
      <c r="GQ383"/>
      <c r="GR383"/>
      <c r="GS383"/>
      <c r="GT383"/>
      <c r="GU383"/>
      <c r="GV383"/>
      <c r="GW383"/>
      <c r="GX383"/>
      <c r="GY383"/>
      <c r="GZ383"/>
      <c r="HA383"/>
    </row>
    <row r="384" spans="1:209" ht="15" customHeight="1" x14ac:dyDescent="0.15">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c r="FC384"/>
      <c r="FD384"/>
      <c r="FE384"/>
      <c r="FF384"/>
      <c r="FG384"/>
      <c r="FH384"/>
      <c r="FI384"/>
      <c r="FJ384"/>
      <c r="FK384"/>
      <c r="FL384"/>
      <c r="FM384"/>
      <c r="FN384"/>
      <c r="FO384"/>
      <c r="FP384"/>
      <c r="FQ384"/>
      <c r="FR384"/>
      <c r="FS384"/>
      <c r="FT384"/>
      <c r="FU384"/>
      <c r="FV384"/>
      <c r="FW384"/>
      <c r="FX384"/>
      <c r="FY384"/>
      <c r="FZ384"/>
      <c r="GA384"/>
      <c r="GB384"/>
      <c r="GC384"/>
      <c r="GD384"/>
      <c r="GE384"/>
      <c r="GF384"/>
      <c r="GG384"/>
      <c r="GH384"/>
      <c r="GI384"/>
      <c r="GJ384"/>
      <c r="GK384"/>
      <c r="GL384"/>
      <c r="GM384"/>
      <c r="GN384"/>
      <c r="GO384"/>
      <c r="GP384"/>
      <c r="GQ384"/>
      <c r="GR384"/>
      <c r="GS384"/>
      <c r="GT384"/>
      <c r="GU384"/>
      <c r="GV384"/>
      <c r="GW384"/>
      <c r="GX384"/>
      <c r="GY384"/>
      <c r="GZ384"/>
      <c r="HA384"/>
    </row>
    <row r="385" spans="1:209" ht="15" customHeight="1" x14ac:dyDescent="0.15">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c r="FC385"/>
      <c r="FD385"/>
      <c r="FE385"/>
      <c r="FF385"/>
      <c r="FG385"/>
      <c r="FH385"/>
      <c r="FI385"/>
      <c r="FJ385"/>
      <c r="FK385"/>
      <c r="FL385"/>
      <c r="FM385"/>
      <c r="FN385"/>
      <c r="FO385"/>
      <c r="FP385"/>
      <c r="FQ385"/>
      <c r="FR385"/>
      <c r="FS385"/>
      <c r="FT385"/>
      <c r="FU385"/>
      <c r="FV385"/>
      <c r="FW385"/>
      <c r="FX385"/>
      <c r="FY385"/>
      <c r="FZ385"/>
      <c r="GA385"/>
      <c r="GB385"/>
      <c r="GC385"/>
      <c r="GD385"/>
      <c r="GE385"/>
      <c r="GF385"/>
      <c r="GG385"/>
      <c r="GH385"/>
      <c r="GI385"/>
      <c r="GJ385"/>
      <c r="GK385"/>
      <c r="GL385"/>
      <c r="GM385"/>
      <c r="GN385"/>
      <c r="GO385"/>
      <c r="GP385"/>
      <c r="GQ385"/>
      <c r="GR385"/>
      <c r="GS385"/>
      <c r="GT385"/>
      <c r="GU385"/>
      <c r="GV385"/>
      <c r="GW385"/>
      <c r="GX385"/>
      <c r="GY385"/>
      <c r="GZ385"/>
      <c r="HA385"/>
    </row>
    <row r="386" spans="1:209" ht="15" customHeight="1" x14ac:dyDescent="0.15">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c r="FC386"/>
      <c r="FD386"/>
      <c r="FE386"/>
      <c r="FF386"/>
      <c r="FG386"/>
      <c r="FH386"/>
      <c r="FI386"/>
      <c r="FJ386"/>
      <c r="FK386"/>
      <c r="FL386"/>
      <c r="FM386"/>
      <c r="FN386"/>
      <c r="FO386"/>
      <c r="FP386"/>
      <c r="FQ386"/>
      <c r="FR386"/>
      <c r="FS386"/>
      <c r="FT386"/>
      <c r="FU386"/>
      <c r="FV386"/>
      <c r="FW386"/>
      <c r="FX386"/>
      <c r="FY386"/>
      <c r="FZ386"/>
      <c r="GA386"/>
      <c r="GB386"/>
      <c r="GC386"/>
      <c r="GD386"/>
      <c r="GE386"/>
      <c r="GF386"/>
      <c r="GG386"/>
      <c r="GH386"/>
      <c r="GI386"/>
      <c r="GJ386"/>
      <c r="GK386"/>
      <c r="GL386"/>
      <c r="GM386"/>
      <c r="GN386"/>
      <c r="GO386"/>
      <c r="GP386"/>
      <c r="GQ386"/>
      <c r="GR386"/>
      <c r="GS386"/>
      <c r="GT386"/>
      <c r="GU386"/>
      <c r="GV386"/>
      <c r="GW386"/>
      <c r="GX386"/>
      <c r="GY386"/>
      <c r="GZ386"/>
      <c r="HA386"/>
    </row>
    <row r="387" spans="1:209" ht="15" customHeight="1" x14ac:dyDescent="0.15">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c r="FC387"/>
      <c r="FD387"/>
      <c r="FE387"/>
      <c r="FF387"/>
      <c r="FG387"/>
      <c r="FH387"/>
      <c r="FI387"/>
      <c r="FJ387"/>
      <c r="FK387"/>
      <c r="FL387"/>
      <c r="FM387"/>
      <c r="FN387"/>
      <c r="FO387"/>
      <c r="FP387"/>
      <c r="FQ387"/>
      <c r="FR387"/>
      <c r="FS387"/>
      <c r="FT387"/>
      <c r="FU387"/>
      <c r="FV387"/>
      <c r="FW387"/>
      <c r="FX387"/>
      <c r="FY387"/>
      <c r="FZ387"/>
      <c r="GA387"/>
      <c r="GB387"/>
      <c r="GC387"/>
      <c r="GD387"/>
      <c r="GE387"/>
      <c r="GF387"/>
      <c r="GG387"/>
      <c r="GH387"/>
      <c r="GI387"/>
      <c r="GJ387"/>
      <c r="GK387"/>
      <c r="GL387"/>
      <c r="GM387"/>
      <c r="GN387"/>
      <c r="GO387"/>
      <c r="GP387"/>
      <c r="GQ387"/>
      <c r="GR387"/>
      <c r="GS387"/>
      <c r="GT387"/>
      <c r="GU387"/>
      <c r="GV387"/>
      <c r="GW387"/>
      <c r="GX387"/>
      <c r="GY387"/>
      <c r="GZ387"/>
      <c r="HA387"/>
    </row>
    <row r="388" spans="1:209" ht="15" customHeight="1" x14ac:dyDescent="0.15">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c r="FC388"/>
      <c r="FD388"/>
      <c r="FE388"/>
      <c r="FF388"/>
      <c r="FG388"/>
      <c r="FH388"/>
      <c r="FI388"/>
      <c r="FJ388"/>
      <c r="FK388"/>
      <c r="FL388"/>
      <c r="FM388"/>
      <c r="FN388"/>
      <c r="FO388"/>
      <c r="FP388"/>
      <c r="FQ388"/>
      <c r="FR388"/>
      <c r="FS388"/>
      <c r="FT388"/>
      <c r="FU388"/>
      <c r="FV388"/>
      <c r="FW388"/>
      <c r="FX388"/>
      <c r="FY388"/>
      <c r="FZ388"/>
      <c r="GA388"/>
      <c r="GB388"/>
      <c r="GC388"/>
      <c r="GD388"/>
      <c r="GE388"/>
      <c r="GF388"/>
      <c r="GG388"/>
      <c r="GH388"/>
      <c r="GI388"/>
      <c r="GJ388"/>
      <c r="GK388"/>
      <c r="GL388"/>
      <c r="GM388"/>
      <c r="GN388"/>
      <c r="GO388"/>
      <c r="GP388"/>
      <c r="GQ388"/>
      <c r="GR388"/>
      <c r="GS388"/>
      <c r="GT388"/>
      <c r="GU388"/>
      <c r="GV388"/>
      <c r="GW388"/>
      <c r="GX388"/>
      <c r="GY388"/>
      <c r="GZ388"/>
      <c r="HA388"/>
    </row>
    <row r="389" spans="1:209" ht="15" customHeight="1" x14ac:dyDescent="0.15">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c r="FC389"/>
      <c r="FD389"/>
      <c r="FE389"/>
      <c r="FF389"/>
      <c r="FG389"/>
      <c r="FH389"/>
      <c r="FI389"/>
      <c r="FJ389"/>
      <c r="FK389"/>
      <c r="FL389"/>
      <c r="FM389"/>
      <c r="FN389"/>
      <c r="FO389"/>
      <c r="FP389"/>
      <c r="FQ389"/>
      <c r="FR389"/>
      <c r="FS389"/>
      <c r="FT389"/>
      <c r="FU389"/>
      <c r="FV389"/>
      <c r="FW389"/>
      <c r="FX389"/>
      <c r="FY389"/>
      <c r="FZ389"/>
      <c r="GA389"/>
      <c r="GB389"/>
      <c r="GC389"/>
      <c r="GD389"/>
      <c r="GE389"/>
      <c r="GF389"/>
      <c r="GG389"/>
      <c r="GH389"/>
      <c r="GI389"/>
      <c r="GJ389"/>
      <c r="GK389"/>
      <c r="GL389"/>
      <c r="GM389"/>
      <c r="GN389"/>
      <c r="GO389"/>
      <c r="GP389"/>
      <c r="GQ389"/>
      <c r="GR389"/>
      <c r="GS389"/>
      <c r="GT389"/>
      <c r="GU389"/>
      <c r="GV389"/>
      <c r="GW389"/>
      <c r="GX389"/>
      <c r="GY389"/>
      <c r="GZ389"/>
      <c r="HA389"/>
    </row>
    <row r="390" spans="1:209" ht="15" customHeight="1" x14ac:dyDescent="0.15">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c r="FC390"/>
      <c r="FD390"/>
      <c r="FE390"/>
      <c r="FF390"/>
      <c r="FG390"/>
      <c r="FH390"/>
      <c r="FI390"/>
      <c r="FJ390"/>
      <c r="FK390"/>
      <c r="FL390"/>
      <c r="FM390"/>
      <c r="FN390"/>
      <c r="FO390"/>
      <c r="FP390"/>
      <c r="FQ390"/>
      <c r="FR390"/>
      <c r="FS390"/>
      <c r="FT390"/>
      <c r="FU390"/>
      <c r="FV390"/>
      <c r="FW390"/>
      <c r="FX390"/>
      <c r="FY390"/>
      <c r="FZ390"/>
      <c r="GA390"/>
      <c r="GB390"/>
      <c r="GC390"/>
      <c r="GD390"/>
      <c r="GE390"/>
      <c r="GF390"/>
      <c r="GG390"/>
      <c r="GH390"/>
      <c r="GI390"/>
      <c r="GJ390"/>
      <c r="GK390"/>
      <c r="GL390"/>
      <c r="GM390"/>
      <c r="GN390"/>
      <c r="GO390"/>
      <c r="GP390"/>
      <c r="GQ390"/>
      <c r="GR390"/>
      <c r="GS390"/>
      <c r="GT390"/>
      <c r="GU390"/>
      <c r="GV390"/>
      <c r="GW390"/>
      <c r="GX390"/>
      <c r="GY390"/>
      <c r="GZ390"/>
      <c r="HA390"/>
    </row>
    <row r="391" spans="1:209" ht="15" customHeight="1" x14ac:dyDescent="0.15">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c r="FC391"/>
      <c r="FD391"/>
      <c r="FE391"/>
      <c r="FF391"/>
      <c r="FG391"/>
      <c r="FH391"/>
      <c r="FI391"/>
      <c r="FJ391"/>
      <c r="FK391"/>
      <c r="FL391"/>
      <c r="FM391"/>
      <c r="FN391"/>
      <c r="FO391"/>
      <c r="FP391"/>
      <c r="FQ391"/>
      <c r="FR391"/>
      <c r="FS391"/>
      <c r="FT391"/>
      <c r="FU391"/>
      <c r="FV391"/>
      <c r="FW391"/>
      <c r="FX391"/>
      <c r="FY391"/>
      <c r="FZ391"/>
      <c r="GA391"/>
      <c r="GB391"/>
      <c r="GC391"/>
      <c r="GD391"/>
      <c r="GE391"/>
      <c r="GF391"/>
      <c r="GG391"/>
      <c r="GH391"/>
      <c r="GI391"/>
      <c r="GJ391"/>
      <c r="GK391"/>
      <c r="GL391"/>
      <c r="GM391"/>
      <c r="GN391"/>
      <c r="GO391"/>
      <c r="GP391"/>
      <c r="GQ391"/>
      <c r="GR391"/>
      <c r="GS391"/>
      <c r="GT391"/>
      <c r="GU391"/>
      <c r="GV391"/>
      <c r="GW391"/>
      <c r="GX391"/>
      <c r="GY391"/>
      <c r="GZ391"/>
      <c r="HA391"/>
    </row>
    <row r="392" spans="1:209" ht="15" customHeight="1" x14ac:dyDescent="0.1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c r="FC392"/>
      <c r="FD392"/>
      <c r="FE392"/>
      <c r="FF392"/>
      <c r="FG392"/>
      <c r="FH392"/>
      <c r="FI392"/>
      <c r="FJ392"/>
      <c r="FK392"/>
      <c r="FL392"/>
      <c r="FM392"/>
      <c r="FN392"/>
      <c r="FO392"/>
      <c r="FP392"/>
      <c r="FQ392"/>
      <c r="FR392"/>
      <c r="FS392"/>
      <c r="FT392"/>
      <c r="FU392"/>
      <c r="FV392"/>
      <c r="FW392"/>
      <c r="FX392"/>
      <c r="FY392"/>
      <c r="FZ392"/>
      <c r="GA392"/>
      <c r="GB392"/>
      <c r="GC392"/>
      <c r="GD392"/>
      <c r="GE392"/>
      <c r="GF392"/>
      <c r="GG392"/>
      <c r="GH392"/>
      <c r="GI392"/>
      <c r="GJ392"/>
      <c r="GK392"/>
      <c r="GL392"/>
      <c r="GM392"/>
      <c r="GN392"/>
      <c r="GO392"/>
      <c r="GP392"/>
      <c r="GQ392"/>
      <c r="GR392"/>
      <c r="GS392"/>
      <c r="GT392"/>
      <c r="GU392"/>
      <c r="GV392"/>
      <c r="GW392"/>
      <c r="GX392"/>
      <c r="GY392"/>
      <c r="GZ392"/>
      <c r="HA392"/>
    </row>
    <row r="393" spans="1:209" ht="15" customHeight="1" x14ac:dyDescent="0.15">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c r="FC393"/>
      <c r="FD393"/>
      <c r="FE393"/>
      <c r="FF393"/>
      <c r="FG393"/>
      <c r="FH393"/>
      <c r="FI393"/>
      <c r="FJ393"/>
      <c r="FK393"/>
      <c r="FL393"/>
      <c r="FM393"/>
      <c r="FN393"/>
      <c r="FO393"/>
      <c r="FP393"/>
      <c r="FQ393"/>
      <c r="FR393"/>
      <c r="FS393"/>
      <c r="FT393"/>
      <c r="FU393"/>
      <c r="FV393"/>
      <c r="FW393"/>
      <c r="FX393"/>
      <c r="FY393"/>
      <c r="FZ393"/>
      <c r="GA393"/>
      <c r="GB393"/>
      <c r="GC393"/>
      <c r="GD393"/>
      <c r="GE393"/>
      <c r="GF393"/>
      <c r="GG393"/>
      <c r="GH393"/>
      <c r="GI393"/>
      <c r="GJ393"/>
      <c r="GK393"/>
      <c r="GL393"/>
      <c r="GM393"/>
      <c r="GN393"/>
      <c r="GO393"/>
      <c r="GP393"/>
      <c r="GQ393"/>
      <c r="GR393"/>
      <c r="GS393"/>
      <c r="GT393"/>
      <c r="GU393"/>
      <c r="GV393"/>
      <c r="GW393"/>
      <c r="GX393"/>
      <c r="GY393"/>
      <c r="GZ393"/>
      <c r="HA393"/>
    </row>
    <row r="394" spans="1:209" ht="15" customHeight="1" x14ac:dyDescent="0.15">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c r="FC394"/>
      <c r="FD394"/>
      <c r="FE394"/>
      <c r="FF394"/>
      <c r="FG394"/>
      <c r="FH394"/>
      <c r="FI394"/>
      <c r="FJ394"/>
      <c r="FK394"/>
      <c r="FL394"/>
      <c r="FM394"/>
      <c r="FN394"/>
      <c r="FO394"/>
      <c r="FP394"/>
      <c r="FQ394"/>
      <c r="FR394"/>
      <c r="FS394"/>
      <c r="FT394"/>
      <c r="FU394"/>
      <c r="FV394"/>
      <c r="FW394"/>
      <c r="FX394"/>
      <c r="FY394"/>
      <c r="FZ394"/>
      <c r="GA394"/>
      <c r="GB394"/>
      <c r="GC394"/>
      <c r="GD394"/>
      <c r="GE394"/>
      <c r="GF394"/>
      <c r="GG394"/>
      <c r="GH394"/>
      <c r="GI394"/>
      <c r="GJ394"/>
      <c r="GK394"/>
      <c r="GL394"/>
      <c r="GM394"/>
      <c r="GN394"/>
      <c r="GO394"/>
      <c r="GP394"/>
      <c r="GQ394"/>
      <c r="GR394"/>
      <c r="GS394"/>
      <c r="GT394"/>
      <c r="GU394"/>
      <c r="GV394"/>
      <c r="GW394"/>
      <c r="GX394"/>
      <c r="GY394"/>
      <c r="GZ394"/>
      <c r="HA394"/>
    </row>
    <row r="395" spans="1:209" ht="15" customHeight="1" x14ac:dyDescent="0.15">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c r="FC395"/>
      <c r="FD395"/>
      <c r="FE395"/>
      <c r="FF395"/>
      <c r="FG395"/>
      <c r="FH395"/>
      <c r="FI395"/>
      <c r="FJ395"/>
      <c r="FK395"/>
      <c r="FL395"/>
      <c r="FM395"/>
      <c r="FN395"/>
      <c r="FO395"/>
      <c r="FP395"/>
      <c r="FQ395"/>
      <c r="FR395"/>
      <c r="FS395"/>
      <c r="FT395"/>
      <c r="FU395"/>
      <c r="FV395"/>
      <c r="FW395"/>
      <c r="FX395"/>
      <c r="FY395"/>
      <c r="FZ395"/>
      <c r="GA395"/>
      <c r="GB395"/>
      <c r="GC395"/>
      <c r="GD395"/>
      <c r="GE395"/>
      <c r="GF395"/>
      <c r="GG395"/>
      <c r="GH395"/>
      <c r="GI395"/>
      <c r="GJ395"/>
      <c r="GK395"/>
      <c r="GL395"/>
      <c r="GM395"/>
      <c r="GN395"/>
      <c r="GO395"/>
      <c r="GP395"/>
      <c r="GQ395"/>
      <c r="GR395"/>
      <c r="GS395"/>
      <c r="GT395"/>
      <c r="GU395"/>
      <c r="GV395"/>
      <c r="GW395"/>
      <c r="GX395"/>
      <c r="GY395"/>
      <c r="GZ395"/>
      <c r="HA395"/>
    </row>
    <row r="396" spans="1:209" ht="15" customHeight="1" x14ac:dyDescent="0.15">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c r="FC396"/>
      <c r="FD396"/>
      <c r="FE396"/>
      <c r="FF396"/>
      <c r="FG396"/>
      <c r="FH396"/>
      <c r="FI396"/>
      <c r="FJ396"/>
      <c r="FK396"/>
      <c r="FL396"/>
      <c r="FM396"/>
      <c r="FN396"/>
      <c r="FO396"/>
      <c r="FP396"/>
      <c r="FQ396"/>
      <c r="FR396"/>
      <c r="FS396"/>
      <c r="FT396"/>
      <c r="FU396"/>
      <c r="FV396"/>
      <c r="FW396"/>
      <c r="FX396"/>
      <c r="FY396"/>
      <c r="FZ396"/>
      <c r="GA396"/>
      <c r="GB396"/>
      <c r="GC396"/>
      <c r="GD396"/>
      <c r="GE396"/>
      <c r="GF396"/>
      <c r="GG396"/>
      <c r="GH396"/>
      <c r="GI396"/>
      <c r="GJ396"/>
      <c r="GK396"/>
      <c r="GL396"/>
      <c r="GM396"/>
      <c r="GN396"/>
      <c r="GO396"/>
      <c r="GP396"/>
      <c r="GQ396"/>
      <c r="GR396"/>
      <c r="GS396"/>
      <c r="GT396"/>
      <c r="GU396"/>
      <c r="GV396"/>
      <c r="GW396"/>
      <c r="GX396"/>
      <c r="GY396"/>
      <c r="GZ396"/>
      <c r="HA396"/>
    </row>
    <row r="397" spans="1:209" ht="15" customHeight="1" x14ac:dyDescent="0.15">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c r="FC397"/>
      <c r="FD397"/>
      <c r="FE397"/>
      <c r="FF397"/>
      <c r="FG397"/>
      <c r="FH397"/>
      <c r="FI397"/>
      <c r="FJ397"/>
      <c r="FK397"/>
      <c r="FL397"/>
      <c r="FM397"/>
      <c r="FN397"/>
      <c r="FO397"/>
      <c r="FP397"/>
      <c r="FQ397"/>
      <c r="FR397"/>
      <c r="FS397"/>
      <c r="FT397"/>
      <c r="FU397"/>
      <c r="FV397"/>
      <c r="FW397"/>
      <c r="FX397"/>
      <c r="FY397"/>
      <c r="FZ397"/>
      <c r="GA397"/>
      <c r="GB397"/>
      <c r="GC397"/>
      <c r="GD397"/>
      <c r="GE397"/>
      <c r="GF397"/>
      <c r="GG397"/>
      <c r="GH397"/>
      <c r="GI397"/>
      <c r="GJ397"/>
      <c r="GK397"/>
      <c r="GL397"/>
      <c r="GM397"/>
      <c r="GN397"/>
      <c r="GO397"/>
      <c r="GP397"/>
      <c r="GQ397"/>
      <c r="GR397"/>
      <c r="GS397"/>
      <c r="GT397"/>
      <c r="GU397"/>
      <c r="GV397"/>
      <c r="GW397"/>
      <c r="GX397"/>
      <c r="GY397"/>
      <c r="GZ397"/>
      <c r="HA397"/>
    </row>
    <row r="398" spans="1:209" ht="15" customHeight="1" x14ac:dyDescent="0.15">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c r="FC398"/>
      <c r="FD398"/>
      <c r="FE398"/>
      <c r="FF398"/>
      <c r="FG398"/>
      <c r="FH398"/>
      <c r="FI398"/>
      <c r="FJ398"/>
      <c r="FK398"/>
      <c r="FL398"/>
      <c r="FM398"/>
      <c r="FN398"/>
      <c r="FO398"/>
      <c r="FP398"/>
      <c r="FQ398"/>
      <c r="FR398"/>
      <c r="FS398"/>
      <c r="FT398"/>
      <c r="FU398"/>
      <c r="FV398"/>
      <c r="FW398"/>
      <c r="FX398"/>
      <c r="FY398"/>
      <c r="FZ398"/>
      <c r="GA398"/>
      <c r="GB398"/>
      <c r="GC398"/>
      <c r="GD398"/>
      <c r="GE398"/>
      <c r="GF398"/>
      <c r="GG398"/>
      <c r="GH398"/>
      <c r="GI398"/>
      <c r="GJ398"/>
      <c r="GK398"/>
      <c r="GL398"/>
      <c r="GM398"/>
      <c r="GN398"/>
      <c r="GO398"/>
      <c r="GP398"/>
      <c r="GQ398"/>
      <c r="GR398"/>
      <c r="GS398"/>
      <c r="GT398"/>
      <c r="GU398"/>
      <c r="GV398"/>
      <c r="GW398"/>
      <c r="GX398"/>
      <c r="GY398"/>
      <c r="GZ398"/>
      <c r="HA398"/>
    </row>
    <row r="399" spans="1:209" ht="15" customHeight="1" x14ac:dyDescent="0.15">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c r="FC399"/>
      <c r="FD399"/>
      <c r="FE399"/>
      <c r="FF399"/>
      <c r="FG399"/>
      <c r="FH399"/>
      <c r="FI399"/>
      <c r="FJ399"/>
      <c r="FK399"/>
      <c r="FL399"/>
      <c r="FM399"/>
      <c r="FN399"/>
      <c r="FO399"/>
      <c r="FP399"/>
      <c r="FQ399"/>
      <c r="FR399"/>
      <c r="FS399"/>
      <c r="FT399"/>
      <c r="FU399"/>
      <c r="FV399"/>
      <c r="FW399"/>
      <c r="FX399"/>
      <c r="FY399"/>
      <c r="FZ399"/>
      <c r="GA399"/>
      <c r="GB399"/>
      <c r="GC399"/>
      <c r="GD399"/>
      <c r="GE399"/>
      <c r="GF399"/>
      <c r="GG399"/>
      <c r="GH399"/>
      <c r="GI399"/>
      <c r="GJ399"/>
      <c r="GK399"/>
      <c r="GL399"/>
      <c r="GM399"/>
      <c r="GN399"/>
      <c r="GO399"/>
      <c r="GP399"/>
      <c r="GQ399"/>
      <c r="GR399"/>
      <c r="GS399"/>
      <c r="GT399"/>
      <c r="GU399"/>
      <c r="GV399"/>
      <c r="GW399"/>
      <c r="GX399"/>
      <c r="GY399"/>
      <c r="GZ399"/>
      <c r="HA399"/>
    </row>
    <row r="400" spans="1:209" ht="15" customHeight="1" x14ac:dyDescent="0.15">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c r="FC400"/>
      <c r="FD400"/>
      <c r="FE400"/>
      <c r="FF400"/>
      <c r="FG400"/>
      <c r="FH400"/>
      <c r="FI400"/>
      <c r="FJ400"/>
      <c r="FK400"/>
      <c r="FL400"/>
      <c r="FM400"/>
      <c r="FN400"/>
      <c r="FO400"/>
      <c r="FP400"/>
      <c r="FQ400"/>
      <c r="FR400"/>
      <c r="FS400"/>
      <c r="FT400"/>
      <c r="FU400"/>
      <c r="FV400"/>
      <c r="FW400"/>
      <c r="FX400"/>
      <c r="FY400"/>
      <c r="FZ400"/>
      <c r="GA400"/>
      <c r="GB400"/>
      <c r="GC400"/>
      <c r="GD400"/>
      <c r="GE400"/>
      <c r="GF400"/>
      <c r="GG400"/>
      <c r="GH400"/>
      <c r="GI400"/>
      <c r="GJ400"/>
      <c r="GK400"/>
      <c r="GL400"/>
      <c r="GM400"/>
      <c r="GN400"/>
      <c r="GO400"/>
      <c r="GP400"/>
      <c r="GQ400"/>
      <c r="GR400"/>
      <c r="GS400"/>
      <c r="GT400"/>
      <c r="GU400"/>
      <c r="GV400"/>
      <c r="GW400"/>
      <c r="GX400"/>
      <c r="GY400"/>
      <c r="GZ400"/>
      <c r="HA400"/>
    </row>
    <row r="401" spans="1:209" ht="15" customHeight="1" x14ac:dyDescent="0.15">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c r="FC401"/>
      <c r="FD401"/>
      <c r="FE401"/>
      <c r="FF401"/>
      <c r="FG401"/>
      <c r="FH401"/>
      <c r="FI401"/>
      <c r="FJ401"/>
      <c r="FK401"/>
      <c r="FL401"/>
      <c r="FM401"/>
      <c r="FN401"/>
      <c r="FO401"/>
      <c r="FP401"/>
      <c r="FQ401"/>
      <c r="FR401"/>
      <c r="FS401"/>
      <c r="FT401"/>
      <c r="FU401"/>
      <c r="FV401"/>
      <c r="FW401"/>
      <c r="FX401"/>
      <c r="FY401"/>
      <c r="FZ401"/>
      <c r="GA401"/>
      <c r="GB401"/>
      <c r="GC401"/>
      <c r="GD401"/>
      <c r="GE401"/>
      <c r="GF401"/>
      <c r="GG401"/>
      <c r="GH401"/>
      <c r="GI401"/>
      <c r="GJ401"/>
      <c r="GK401"/>
      <c r="GL401"/>
      <c r="GM401"/>
      <c r="GN401"/>
      <c r="GO401"/>
      <c r="GP401"/>
      <c r="GQ401"/>
      <c r="GR401"/>
      <c r="GS401"/>
      <c r="GT401"/>
      <c r="GU401"/>
      <c r="GV401"/>
      <c r="GW401"/>
      <c r="GX401"/>
      <c r="GY401"/>
      <c r="GZ401"/>
      <c r="HA401"/>
    </row>
    <row r="402" spans="1:209" ht="15" customHeight="1" x14ac:dyDescent="0.1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c r="FC402"/>
      <c r="FD402"/>
      <c r="FE402"/>
      <c r="FF402"/>
      <c r="FG402"/>
      <c r="FH402"/>
      <c r="FI402"/>
      <c r="FJ402"/>
      <c r="FK402"/>
      <c r="FL402"/>
      <c r="FM402"/>
      <c r="FN402"/>
      <c r="FO402"/>
      <c r="FP402"/>
      <c r="FQ402"/>
      <c r="FR402"/>
      <c r="FS402"/>
      <c r="FT402"/>
      <c r="FU402"/>
      <c r="FV402"/>
      <c r="FW402"/>
      <c r="FX402"/>
      <c r="FY402"/>
      <c r="FZ402"/>
      <c r="GA402"/>
      <c r="GB402"/>
      <c r="GC402"/>
      <c r="GD402"/>
      <c r="GE402"/>
      <c r="GF402"/>
      <c r="GG402"/>
      <c r="GH402"/>
      <c r="GI402"/>
      <c r="GJ402"/>
      <c r="GK402"/>
      <c r="GL402"/>
      <c r="GM402"/>
      <c r="GN402"/>
      <c r="GO402"/>
      <c r="GP402"/>
      <c r="GQ402"/>
      <c r="GR402"/>
      <c r="GS402"/>
      <c r="GT402"/>
      <c r="GU402"/>
      <c r="GV402"/>
      <c r="GW402"/>
      <c r="GX402"/>
      <c r="GY402"/>
      <c r="GZ402"/>
      <c r="HA402"/>
    </row>
    <row r="403" spans="1:209" ht="15" customHeight="1" x14ac:dyDescent="0.15">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c r="FC403"/>
      <c r="FD403"/>
      <c r="FE403"/>
      <c r="FF403"/>
      <c r="FG403"/>
      <c r="FH403"/>
      <c r="FI403"/>
      <c r="FJ403"/>
      <c r="FK403"/>
      <c r="FL403"/>
      <c r="FM403"/>
      <c r="FN403"/>
      <c r="FO403"/>
      <c r="FP403"/>
      <c r="FQ403"/>
      <c r="FR403"/>
      <c r="FS403"/>
      <c r="FT403"/>
      <c r="FU403"/>
      <c r="FV403"/>
      <c r="FW403"/>
      <c r="FX403"/>
      <c r="FY403"/>
      <c r="FZ403"/>
      <c r="GA403"/>
      <c r="GB403"/>
      <c r="GC403"/>
      <c r="GD403"/>
      <c r="GE403"/>
      <c r="GF403"/>
      <c r="GG403"/>
      <c r="GH403"/>
      <c r="GI403"/>
      <c r="GJ403"/>
      <c r="GK403"/>
      <c r="GL403"/>
      <c r="GM403"/>
      <c r="GN403"/>
      <c r="GO403"/>
      <c r="GP403"/>
      <c r="GQ403"/>
      <c r="GR403"/>
      <c r="GS403"/>
      <c r="GT403"/>
      <c r="GU403"/>
      <c r="GV403"/>
      <c r="GW403"/>
      <c r="GX403"/>
      <c r="GY403"/>
      <c r="GZ403"/>
      <c r="HA403"/>
    </row>
    <row r="404" spans="1:209" ht="15" customHeight="1" x14ac:dyDescent="0.15">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c r="FC404"/>
      <c r="FD404"/>
      <c r="FE404"/>
      <c r="FF404"/>
      <c r="FG404"/>
      <c r="FH404"/>
      <c r="FI404"/>
      <c r="FJ404"/>
      <c r="FK404"/>
      <c r="FL404"/>
      <c r="FM404"/>
      <c r="FN404"/>
      <c r="FO404"/>
      <c r="FP404"/>
      <c r="FQ404"/>
      <c r="FR404"/>
      <c r="FS404"/>
      <c r="FT404"/>
      <c r="FU404"/>
      <c r="FV404"/>
      <c r="FW404"/>
      <c r="FX404"/>
      <c r="FY404"/>
      <c r="FZ404"/>
      <c r="GA404"/>
      <c r="GB404"/>
      <c r="GC404"/>
      <c r="GD404"/>
      <c r="GE404"/>
      <c r="GF404"/>
      <c r="GG404"/>
      <c r="GH404"/>
      <c r="GI404"/>
      <c r="GJ404"/>
      <c r="GK404"/>
      <c r="GL404"/>
      <c r="GM404"/>
      <c r="GN404"/>
      <c r="GO404"/>
      <c r="GP404"/>
      <c r="GQ404"/>
      <c r="GR404"/>
      <c r="GS404"/>
      <c r="GT404"/>
      <c r="GU404"/>
      <c r="GV404"/>
      <c r="GW404"/>
      <c r="GX404"/>
      <c r="GY404"/>
      <c r="GZ404"/>
      <c r="HA404"/>
    </row>
    <row r="405" spans="1:209" ht="15" customHeight="1" x14ac:dyDescent="0.15">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c r="FC405"/>
      <c r="FD405"/>
      <c r="FE405"/>
      <c r="FF405"/>
      <c r="FG405"/>
      <c r="FH405"/>
      <c r="FI405"/>
      <c r="FJ405"/>
      <c r="FK405"/>
      <c r="FL405"/>
      <c r="FM405"/>
      <c r="FN405"/>
      <c r="FO405"/>
      <c r="FP405"/>
      <c r="FQ405"/>
      <c r="FR405"/>
      <c r="FS405"/>
      <c r="FT405"/>
      <c r="FU405"/>
      <c r="FV405"/>
      <c r="FW405"/>
      <c r="FX405"/>
      <c r="FY405"/>
      <c r="FZ405"/>
      <c r="GA405"/>
      <c r="GB405"/>
      <c r="GC405"/>
      <c r="GD405"/>
      <c r="GE405"/>
      <c r="GF405"/>
      <c r="GG405"/>
      <c r="GH405"/>
      <c r="GI405"/>
      <c r="GJ405"/>
      <c r="GK405"/>
      <c r="GL405"/>
      <c r="GM405"/>
      <c r="GN405"/>
      <c r="GO405"/>
      <c r="GP405"/>
      <c r="GQ405"/>
      <c r="GR405"/>
      <c r="GS405"/>
      <c r="GT405"/>
      <c r="GU405"/>
      <c r="GV405"/>
      <c r="GW405"/>
      <c r="GX405"/>
      <c r="GY405"/>
      <c r="GZ405"/>
      <c r="HA405"/>
    </row>
    <row r="406" spans="1:209" ht="15" customHeight="1" x14ac:dyDescent="0.15">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c r="FC406"/>
      <c r="FD406"/>
      <c r="FE406"/>
      <c r="FF406"/>
      <c r="FG406"/>
      <c r="FH406"/>
      <c r="FI406"/>
      <c r="FJ406"/>
      <c r="FK406"/>
      <c r="FL406"/>
      <c r="FM406"/>
      <c r="FN406"/>
      <c r="FO406"/>
      <c r="FP406"/>
      <c r="FQ406"/>
      <c r="FR406"/>
      <c r="FS406"/>
      <c r="FT406"/>
      <c r="FU406"/>
      <c r="FV406"/>
      <c r="FW406"/>
      <c r="FX406"/>
      <c r="FY406"/>
      <c r="FZ406"/>
      <c r="GA406"/>
      <c r="GB406"/>
      <c r="GC406"/>
      <c r="GD406"/>
      <c r="GE406"/>
      <c r="GF406"/>
      <c r="GG406"/>
      <c r="GH406"/>
      <c r="GI406"/>
      <c r="GJ406"/>
      <c r="GK406"/>
      <c r="GL406"/>
      <c r="GM406"/>
      <c r="GN406"/>
      <c r="GO406"/>
      <c r="GP406"/>
      <c r="GQ406"/>
      <c r="GR406"/>
      <c r="GS406"/>
      <c r="GT406"/>
      <c r="GU406"/>
      <c r="GV406"/>
      <c r="GW406"/>
      <c r="GX406"/>
      <c r="GY406"/>
      <c r="GZ406"/>
      <c r="HA406"/>
    </row>
    <row r="407" spans="1:209" ht="15" customHeight="1" x14ac:dyDescent="0.15">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c r="FC407"/>
      <c r="FD407"/>
      <c r="FE407"/>
      <c r="FF407"/>
      <c r="FG407"/>
      <c r="FH407"/>
      <c r="FI407"/>
      <c r="FJ407"/>
      <c r="FK407"/>
      <c r="FL407"/>
      <c r="FM407"/>
      <c r="FN407"/>
      <c r="FO407"/>
      <c r="FP407"/>
      <c r="FQ407"/>
      <c r="FR407"/>
      <c r="FS407"/>
      <c r="FT407"/>
      <c r="FU407"/>
      <c r="FV407"/>
      <c r="FW407"/>
      <c r="FX407"/>
      <c r="FY407"/>
      <c r="FZ407"/>
      <c r="GA407"/>
      <c r="GB407"/>
      <c r="GC407"/>
      <c r="GD407"/>
      <c r="GE407"/>
      <c r="GF407"/>
      <c r="GG407"/>
      <c r="GH407"/>
      <c r="GI407"/>
      <c r="GJ407"/>
      <c r="GK407"/>
      <c r="GL407"/>
      <c r="GM407"/>
      <c r="GN407"/>
      <c r="GO407"/>
      <c r="GP407"/>
      <c r="GQ407"/>
      <c r="GR407"/>
      <c r="GS407"/>
      <c r="GT407"/>
      <c r="GU407"/>
      <c r="GV407"/>
      <c r="GW407"/>
      <c r="GX407"/>
      <c r="GY407"/>
      <c r="GZ407"/>
      <c r="HA407"/>
    </row>
    <row r="408" spans="1:209" ht="15" customHeight="1" x14ac:dyDescent="0.15">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c r="FC408"/>
      <c r="FD408"/>
      <c r="FE408"/>
      <c r="FF408"/>
      <c r="FG408"/>
      <c r="FH408"/>
      <c r="FI408"/>
      <c r="FJ408"/>
      <c r="FK408"/>
      <c r="FL408"/>
      <c r="FM408"/>
      <c r="FN408"/>
      <c r="FO408"/>
      <c r="FP408"/>
      <c r="FQ408"/>
      <c r="FR408"/>
      <c r="FS408"/>
      <c r="FT408"/>
      <c r="FU408"/>
      <c r="FV408"/>
      <c r="FW408"/>
      <c r="FX408"/>
      <c r="FY408"/>
      <c r="FZ408"/>
      <c r="GA408"/>
      <c r="GB408"/>
      <c r="GC408"/>
      <c r="GD408"/>
      <c r="GE408"/>
      <c r="GF408"/>
      <c r="GG408"/>
      <c r="GH408"/>
      <c r="GI408"/>
      <c r="GJ408"/>
      <c r="GK408"/>
      <c r="GL408"/>
      <c r="GM408"/>
      <c r="GN408"/>
      <c r="GO408"/>
      <c r="GP408"/>
      <c r="GQ408"/>
      <c r="GR408"/>
      <c r="GS408"/>
      <c r="GT408"/>
      <c r="GU408"/>
      <c r="GV408"/>
      <c r="GW408"/>
      <c r="GX408"/>
      <c r="GY408"/>
      <c r="GZ408"/>
      <c r="HA408"/>
    </row>
    <row r="409" spans="1:209" ht="15" customHeight="1" x14ac:dyDescent="0.15">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c r="FC409"/>
      <c r="FD409"/>
      <c r="FE409"/>
      <c r="FF409"/>
      <c r="FG409"/>
      <c r="FH409"/>
      <c r="FI409"/>
      <c r="FJ409"/>
      <c r="FK409"/>
      <c r="FL409"/>
      <c r="FM409"/>
      <c r="FN409"/>
      <c r="FO409"/>
      <c r="FP409"/>
      <c r="FQ409"/>
      <c r="FR409"/>
      <c r="FS409"/>
      <c r="FT409"/>
      <c r="FU409"/>
      <c r="FV409"/>
      <c r="FW409"/>
      <c r="FX409"/>
      <c r="FY409"/>
      <c r="FZ409"/>
      <c r="GA409"/>
      <c r="GB409"/>
      <c r="GC409"/>
      <c r="GD409"/>
      <c r="GE409"/>
      <c r="GF409"/>
      <c r="GG409"/>
      <c r="GH409"/>
      <c r="GI409"/>
      <c r="GJ409"/>
      <c r="GK409"/>
      <c r="GL409"/>
      <c r="GM409"/>
      <c r="GN409"/>
      <c r="GO409"/>
      <c r="GP409"/>
      <c r="GQ409"/>
      <c r="GR409"/>
      <c r="GS409"/>
      <c r="GT409"/>
      <c r="GU409"/>
      <c r="GV409"/>
      <c r="GW409"/>
      <c r="GX409"/>
      <c r="GY409"/>
      <c r="GZ409"/>
      <c r="HA409"/>
    </row>
    <row r="410" spans="1:209" ht="15" customHeight="1" x14ac:dyDescent="0.15">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c r="FC410"/>
      <c r="FD410"/>
      <c r="FE410"/>
      <c r="FF410"/>
      <c r="FG410"/>
      <c r="FH410"/>
      <c r="FI410"/>
      <c r="FJ410"/>
      <c r="FK410"/>
      <c r="FL410"/>
      <c r="FM410"/>
      <c r="FN410"/>
      <c r="FO410"/>
      <c r="FP410"/>
      <c r="FQ410"/>
      <c r="FR410"/>
      <c r="FS410"/>
      <c r="FT410"/>
      <c r="FU410"/>
      <c r="FV410"/>
      <c r="FW410"/>
      <c r="FX410"/>
      <c r="FY410"/>
      <c r="FZ410"/>
      <c r="GA410"/>
      <c r="GB410"/>
      <c r="GC410"/>
      <c r="GD410"/>
      <c r="GE410"/>
      <c r="GF410"/>
      <c r="GG410"/>
      <c r="GH410"/>
      <c r="GI410"/>
      <c r="GJ410"/>
      <c r="GK410"/>
      <c r="GL410"/>
      <c r="GM410"/>
      <c r="GN410"/>
      <c r="GO410"/>
      <c r="GP410"/>
      <c r="GQ410"/>
      <c r="GR410"/>
      <c r="GS410"/>
      <c r="GT410"/>
      <c r="GU410"/>
      <c r="GV410"/>
      <c r="GW410"/>
      <c r="GX410"/>
      <c r="GY410"/>
      <c r="GZ410"/>
      <c r="HA410"/>
    </row>
    <row r="411" spans="1:209" ht="15" customHeight="1" x14ac:dyDescent="0.15">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c r="FC411"/>
      <c r="FD411"/>
      <c r="FE411"/>
      <c r="FF411"/>
      <c r="FG411"/>
      <c r="FH411"/>
      <c r="FI411"/>
      <c r="FJ411"/>
      <c r="FK411"/>
      <c r="FL411"/>
      <c r="FM411"/>
      <c r="FN411"/>
      <c r="FO411"/>
      <c r="FP411"/>
      <c r="FQ411"/>
      <c r="FR411"/>
      <c r="FS411"/>
      <c r="FT411"/>
      <c r="FU411"/>
      <c r="FV411"/>
      <c r="FW411"/>
      <c r="FX411"/>
      <c r="FY411"/>
      <c r="FZ411"/>
      <c r="GA411"/>
      <c r="GB411"/>
      <c r="GC411"/>
      <c r="GD411"/>
      <c r="GE411"/>
      <c r="GF411"/>
      <c r="GG411"/>
      <c r="GH411"/>
      <c r="GI411"/>
      <c r="GJ411"/>
      <c r="GK411"/>
      <c r="GL411"/>
      <c r="GM411"/>
      <c r="GN411"/>
      <c r="GO411"/>
      <c r="GP411"/>
      <c r="GQ411"/>
      <c r="GR411"/>
      <c r="GS411"/>
      <c r="GT411"/>
      <c r="GU411"/>
      <c r="GV411"/>
      <c r="GW411"/>
      <c r="GX411"/>
      <c r="GY411"/>
      <c r="GZ411"/>
      <c r="HA411"/>
    </row>
    <row r="412" spans="1:209" ht="15" customHeight="1" x14ac:dyDescent="0.1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c r="FC412"/>
      <c r="FD412"/>
      <c r="FE412"/>
      <c r="FF412"/>
      <c r="FG412"/>
      <c r="FH412"/>
      <c r="FI412"/>
      <c r="FJ412"/>
      <c r="FK412"/>
      <c r="FL412"/>
      <c r="FM412"/>
      <c r="FN412"/>
      <c r="FO412"/>
      <c r="FP412"/>
      <c r="FQ412"/>
      <c r="FR412"/>
      <c r="FS412"/>
      <c r="FT412"/>
      <c r="FU412"/>
      <c r="FV412"/>
      <c r="FW412"/>
      <c r="FX412"/>
      <c r="FY412"/>
      <c r="FZ412"/>
      <c r="GA412"/>
      <c r="GB412"/>
      <c r="GC412"/>
      <c r="GD412"/>
      <c r="GE412"/>
      <c r="GF412"/>
      <c r="GG412"/>
      <c r="GH412"/>
      <c r="GI412"/>
      <c r="GJ412"/>
      <c r="GK412"/>
      <c r="GL412"/>
      <c r="GM412"/>
      <c r="GN412"/>
      <c r="GO412"/>
      <c r="GP412"/>
      <c r="GQ412"/>
      <c r="GR412"/>
      <c r="GS412"/>
      <c r="GT412"/>
      <c r="GU412"/>
      <c r="GV412"/>
      <c r="GW412"/>
      <c r="GX412"/>
      <c r="GY412"/>
      <c r="GZ412"/>
      <c r="HA412"/>
    </row>
    <row r="413" spans="1:209" ht="15" customHeight="1" x14ac:dyDescent="0.15">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c r="FC413"/>
      <c r="FD413"/>
      <c r="FE413"/>
      <c r="FF413"/>
      <c r="FG413"/>
      <c r="FH413"/>
      <c r="FI413"/>
      <c r="FJ413"/>
      <c r="FK413"/>
      <c r="FL413"/>
      <c r="FM413"/>
      <c r="FN413"/>
      <c r="FO413"/>
      <c r="FP413"/>
      <c r="FQ413"/>
      <c r="FR413"/>
      <c r="FS413"/>
      <c r="FT413"/>
      <c r="FU413"/>
      <c r="FV413"/>
      <c r="FW413"/>
      <c r="FX413"/>
      <c r="FY413"/>
      <c r="FZ413"/>
      <c r="GA413"/>
      <c r="GB413"/>
      <c r="GC413"/>
      <c r="GD413"/>
      <c r="GE413"/>
      <c r="GF413"/>
      <c r="GG413"/>
      <c r="GH413"/>
      <c r="GI413"/>
      <c r="GJ413"/>
      <c r="GK413"/>
      <c r="GL413"/>
      <c r="GM413"/>
      <c r="GN413"/>
      <c r="GO413"/>
      <c r="GP413"/>
      <c r="GQ413"/>
      <c r="GR413"/>
      <c r="GS413"/>
      <c r="GT413"/>
      <c r="GU413"/>
      <c r="GV413"/>
      <c r="GW413"/>
      <c r="GX413"/>
      <c r="GY413"/>
      <c r="GZ413"/>
      <c r="HA413"/>
    </row>
    <row r="414" spans="1:209" ht="15" customHeight="1" x14ac:dyDescent="0.15">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c r="FC414"/>
      <c r="FD414"/>
      <c r="FE414"/>
      <c r="FF414"/>
      <c r="FG414"/>
      <c r="FH414"/>
      <c r="FI414"/>
      <c r="FJ414"/>
      <c r="FK414"/>
      <c r="FL414"/>
      <c r="FM414"/>
      <c r="FN414"/>
      <c r="FO414"/>
      <c r="FP414"/>
      <c r="FQ414"/>
      <c r="FR414"/>
      <c r="FS414"/>
      <c r="FT414"/>
      <c r="FU414"/>
      <c r="FV414"/>
      <c r="FW414"/>
      <c r="FX414"/>
      <c r="FY414"/>
      <c r="FZ414"/>
      <c r="GA414"/>
      <c r="GB414"/>
      <c r="GC414"/>
      <c r="GD414"/>
      <c r="GE414"/>
      <c r="GF414"/>
      <c r="GG414"/>
      <c r="GH414"/>
      <c r="GI414"/>
      <c r="GJ414"/>
      <c r="GK414"/>
      <c r="GL414"/>
      <c r="GM414"/>
      <c r="GN414"/>
      <c r="GO414"/>
      <c r="GP414"/>
      <c r="GQ414"/>
      <c r="GR414"/>
      <c r="GS414"/>
      <c r="GT414"/>
      <c r="GU414"/>
      <c r="GV414"/>
      <c r="GW414"/>
      <c r="GX414"/>
      <c r="GY414"/>
      <c r="GZ414"/>
      <c r="HA414"/>
    </row>
    <row r="415" spans="1:209" ht="15" customHeight="1" x14ac:dyDescent="0.15">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c r="FC415"/>
      <c r="FD415"/>
      <c r="FE415"/>
      <c r="FF415"/>
      <c r="FG415"/>
      <c r="FH415"/>
      <c r="FI415"/>
      <c r="FJ415"/>
      <c r="FK415"/>
      <c r="FL415"/>
      <c r="FM415"/>
      <c r="FN415"/>
      <c r="FO415"/>
      <c r="FP415"/>
      <c r="FQ415"/>
      <c r="FR415"/>
      <c r="FS415"/>
      <c r="FT415"/>
      <c r="FU415"/>
      <c r="FV415"/>
      <c r="FW415"/>
      <c r="FX415"/>
      <c r="FY415"/>
      <c r="FZ415"/>
      <c r="GA415"/>
      <c r="GB415"/>
      <c r="GC415"/>
      <c r="GD415"/>
      <c r="GE415"/>
      <c r="GF415"/>
      <c r="GG415"/>
      <c r="GH415"/>
      <c r="GI415"/>
      <c r="GJ415"/>
      <c r="GK415"/>
      <c r="GL415"/>
      <c r="GM415"/>
      <c r="GN415"/>
      <c r="GO415"/>
      <c r="GP415"/>
      <c r="GQ415"/>
      <c r="GR415"/>
      <c r="GS415"/>
      <c r="GT415"/>
      <c r="GU415"/>
      <c r="GV415"/>
      <c r="GW415"/>
      <c r="GX415"/>
      <c r="GY415"/>
      <c r="GZ415"/>
      <c r="HA415"/>
    </row>
    <row r="416" spans="1:209" ht="15" customHeight="1" x14ac:dyDescent="0.15">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c r="FC416"/>
      <c r="FD416"/>
      <c r="FE416"/>
      <c r="FF416"/>
      <c r="FG416"/>
      <c r="FH416"/>
      <c r="FI416"/>
      <c r="FJ416"/>
      <c r="FK416"/>
      <c r="FL416"/>
      <c r="FM416"/>
      <c r="FN416"/>
      <c r="FO416"/>
      <c r="FP416"/>
      <c r="FQ416"/>
      <c r="FR416"/>
      <c r="FS416"/>
      <c r="FT416"/>
      <c r="FU416"/>
      <c r="FV416"/>
      <c r="FW416"/>
      <c r="FX416"/>
      <c r="FY416"/>
      <c r="FZ416"/>
      <c r="GA416"/>
      <c r="GB416"/>
      <c r="GC416"/>
      <c r="GD416"/>
      <c r="GE416"/>
      <c r="GF416"/>
      <c r="GG416"/>
      <c r="GH416"/>
      <c r="GI416"/>
      <c r="GJ416"/>
      <c r="GK416"/>
      <c r="GL416"/>
      <c r="GM416"/>
      <c r="GN416"/>
      <c r="GO416"/>
      <c r="GP416"/>
      <c r="GQ416"/>
      <c r="GR416"/>
      <c r="GS416"/>
      <c r="GT416"/>
      <c r="GU416"/>
      <c r="GV416"/>
      <c r="GW416"/>
      <c r="GX416"/>
      <c r="GY416"/>
      <c r="GZ416"/>
      <c r="HA416"/>
    </row>
    <row r="417" spans="1:209" ht="15" customHeight="1" x14ac:dyDescent="0.15">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c r="FC417"/>
      <c r="FD417"/>
      <c r="FE417"/>
      <c r="FF417"/>
      <c r="FG417"/>
      <c r="FH417"/>
      <c r="FI417"/>
      <c r="FJ417"/>
      <c r="FK417"/>
      <c r="FL417"/>
      <c r="FM417"/>
      <c r="FN417"/>
      <c r="FO417"/>
      <c r="FP417"/>
      <c r="FQ417"/>
      <c r="FR417"/>
      <c r="FS417"/>
      <c r="FT417"/>
      <c r="FU417"/>
      <c r="FV417"/>
      <c r="FW417"/>
      <c r="FX417"/>
      <c r="FY417"/>
      <c r="FZ417"/>
      <c r="GA417"/>
      <c r="GB417"/>
      <c r="GC417"/>
      <c r="GD417"/>
      <c r="GE417"/>
      <c r="GF417"/>
      <c r="GG417"/>
      <c r="GH417"/>
      <c r="GI417"/>
      <c r="GJ417"/>
      <c r="GK417"/>
      <c r="GL417"/>
      <c r="GM417"/>
      <c r="GN417"/>
      <c r="GO417"/>
      <c r="GP417"/>
      <c r="GQ417"/>
      <c r="GR417"/>
      <c r="GS417"/>
      <c r="GT417"/>
      <c r="GU417"/>
      <c r="GV417"/>
      <c r="GW417"/>
      <c r="GX417"/>
      <c r="GY417"/>
      <c r="GZ417"/>
      <c r="HA417"/>
    </row>
    <row r="418" spans="1:209" ht="15" customHeight="1" x14ac:dyDescent="0.15">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c r="FC418"/>
      <c r="FD418"/>
      <c r="FE418"/>
      <c r="FF418"/>
      <c r="FG418"/>
      <c r="FH418"/>
      <c r="FI418"/>
      <c r="FJ418"/>
      <c r="FK418"/>
      <c r="FL418"/>
      <c r="FM418"/>
      <c r="FN418"/>
      <c r="FO418"/>
      <c r="FP418"/>
      <c r="FQ418"/>
      <c r="FR418"/>
      <c r="FS418"/>
      <c r="FT418"/>
      <c r="FU418"/>
      <c r="FV418"/>
      <c r="FW418"/>
      <c r="FX418"/>
      <c r="FY418"/>
      <c r="FZ418"/>
      <c r="GA418"/>
      <c r="GB418"/>
      <c r="GC418"/>
      <c r="GD418"/>
      <c r="GE418"/>
      <c r="GF418"/>
      <c r="GG418"/>
      <c r="GH418"/>
      <c r="GI418"/>
      <c r="GJ418"/>
      <c r="GK418"/>
      <c r="GL418"/>
      <c r="GM418"/>
      <c r="GN418"/>
      <c r="GO418"/>
      <c r="GP418"/>
      <c r="GQ418"/>
      <c r="GR418"/>
      <c r="GS418"/>
      <c r="GT418"/>
      <c r="GU418"/>
      <c r="GV418"/>
      <c r="GW418"/>
      <c r="GX418"/>
      <c r="GY418"/>
      <c r="GZ418"/>
      <c r="HA418"/>
    </row>
    <row r="419" spans="1:209" ht="15" customHeight="1" x14ac:dyDescent="0.15">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c r="FC419"/>
      <c r="FD419"/>
      <c r="FE419"/>
      <c r="FF419"/>
      <c r="FG419"/>
      <c r="FH419"/>
      <c r="FI419"/>
      <c r="FJ419"/>
      <c r="FK419"/>
      <c r="FL419"/>
      <c r="FM419"/>
      <c r="FN419"/>
      <c r="FO419"/>
      <c r="FP419"/>
      <c r="FQ419"/>
      <c r="FR419"/>
      <c r="FS419"/>
      <c r="FT419"/>
      <c r="FU419"/>
      <c r="FV419"/>
      <c r="FW419"/>
      <c r="FX419"/>
      <c r="FY419"/>
      <c r="FZ419"/>
      <c r="GA419"/>
      <c r="GB419"/>
      <c r="GC419"/>
      <c r="GD419"/>
      <c r="GE419"/>
      <c r="GF419"/>
      <c r="GG419"/>
      <c r="GH419"/>
      <c r="GI419"/>
      <c r="GJ419"/>
      <c r="GK419"/>
      <c r="GL419"/>
      <c r="GM419"/>
      <c r="GN419"/>
      <c r="GO419"/>
      <c r="GP419"/>
      <c r="GQ419"/>
      <c r="GR419"/>
      <c r="GS419"/>
      <c r="GT419"/>
      <c r="GU419"/>
      <c r="GV419"/>
      <c r="GW419"/>
      <c r="GX419"/>
      <c r="GY419"/>
      <c r="GZ419"/>
      <c r="HA419"/>
    </row>
    <row r="420" spans="1:209" ht="15" customHeight="1" x14ac:dyDescent="0.15">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c r="FC420"/>
      <c r="FD420"/>
      <c r="FE420"/>
      <c r="FF420"/>
      <c r="FG420"/>
      <c r="FH420"/>
      <c r="FI420"/>
      <c r="FJ420"/>
      <c r="FK420"/>
      <c r="FL420"/>
      <c r="FM420"/>
      <c r="FN420"/>
      <c r="FO420"/>
      <c r="FP420"/>
      <c r="FQ420"/>
      <c r="FR420"/>
      <c r="FS420"/>
      <c r="FT420"/>
      <c r="FU420"/>
      <c r="FV420"/>
      <c r="FW420"/>
      <c r="FX420"/>
      <c r="FY420"/>
      <c r="FZ420"/>
      <c r="GA420"/>
      <c r="GB420"/>
      <c r="GC420"/>
      <c r="GD420"/>
      <c r="GE420"/>
      <c r="GF420"/>
      <c r="GG420"/>
      <c r="GH420"/>
      <c r="GI420"/>
      <c r="GJ420"/>
      <c r="GK420"/>
      <c r="GL420"/>
      <c r="GM420"/>
      <c r="GN420"/>
      <c r="GO420"/>
      <c r="GP420"/>
      <c r="GQ420"/>
      <c r="GR420"/>
      <c r="GS420"/>
      <c r="GT420"/>
      <c r="GU420"/>
      <c r="GV420"/>
      <c r="GW420"/>
      <c r="GX420"/>
      <c r="GY420"/>
      <c r="GZ420"/>
      <c r="HA420"/>
    </row>
    <row r="421" spans="1:209" ht="15" customHeight="1" x14ac:dyDescent="0.15">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c r="FC421"/>
      <c r="FD421"/>
      <c r="FE421"/>
      <c r="FF421"/>
      <c r="FG421"/>
      <c r="FH421"/>
      <c r="FI421"/>
      <c r="FJ421"/>
      <c r="FK421"/>
      <c r="FL421"/>
      <c r="FM421"/>
      <c r="FN421"/>
      <c r="FO421"/>
      <c r="FP421"/>
      <c r="FQ421"/>
      <c r="FR421"/>
      <c r="FS421"/>
      <c r="FT421"/>
      <c r="FU421"/>
      <c r="FV421"/>
      <c r="FW421"/>
      <c r="FX421"/>
      <c r="FY421"/>
      <c r="FZ421"/>
      <c r="GA421"/>
      <c r="GB421"/>
      <c r="GC421"/>
      <c r="GD421"/>
      <c r="GE421"/>
      <c r="GF421"/>
      <c r="GG421"/>
      <c r="GH421"/>
      <c r="GI421"/>
      <c r="GJ421"/>
      <c r="GK421"/>
      <c r="GL421"/>
      <c r="GM421"/>
      <c r="GN421"/>
      <c r="GO421"/>
      <c r="GP421"/>
      <c r="GQ421"/>
      <c r="GR421"/>
      <c r="GS421"/>
      <c r="GT421"/>
      <c r="GU421"/>
      <c r="GV421"/>
      <c r="GW421"/>
      <c r="GX421"/>
      <c r="GY421"/>
      <c r="GZ421"/>
      <c r="HA421"/>
    </row>
    <row r="422" spans="1:209" ht="15" customHeight="1" x14ac:dyDescent="0.1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c r="FC422"/>
      <c r="FD422"/>
      <c r="FE422"/>
      <c r="FF422"/>
      <c r="FG422"/>
      <c r="FH422"/>
      <c r="FI422"/>
      <c r="FJ422"/>
      <c r="FK422"/>
      <c r="FL422"/>
      <c r="FM422"/>
      <c r="FN422"/>
      <c r="FO422"/>
      <c r="FP422"/>
      <c r="FQ422"/>
      <c r="FR422"/>
      <c r="FS422"/>
      <c r="FT422"/>
      <c r="FU422"/>
      <c r="FV422"/>
      <c r="FW422"/>
      <c r="FX422"/>
      <c r="FY422"/>
      <c r="FZ422"/>
      <c r="GA422"/>
      <c r="GB422"/>
      <c r="GC422"/>
      <c r="GD422"/>
      <c r="GE422"/>
      <c r="GF422"/>
      <c r="GG422"/>
      <c r="GH422"/>
      <c r="GI422"/>
      <c r="GJ422"/>
      <c r="GK422"/>
      <c r="GL422"/>
      <c r="GM422"/>
      <c r="GN422"/>
      <c r="GO422"/>
      <c r="GP422"/>
      <c r="GQ422"/>
      <c r="GR422"/>
      <c r="GS422"/>
      <c r="GT422"/>
      <c r="GU422"/>
      <c r="GV422"/>
      <c r="GW422"/>
      <c r="GX422"/>
      <c r="GY422"/>
      <c r="GZ422"/>
      <c r="HA422"/>
    </row>
    <row r="423" spans="1:209" ht="15" customHeight="1" x14ac:dyDescent="0.15">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c r="FC423"/>
      <c r="FD423"/>
      <c r="FE423"/>
      <c r="FF423"/>
      <c r="FG423"/>
      <c r="FH423"/>
      <c r="FI423"/>
      <c r="FJ423"/>
      <c r="FK423"/>
      <c r="FL423"/>
      <c r="FM423"/>
      <c r="FN423"/>
      <c r="FO423"/>
      <c r="FP423"/>
      <c r="FQ423"/>
      <c r="FR423"/>
      <c r="FS423"/>
      <c r="FT423"/>
      <c r="FU423"/>
      <c r="FV423"/>
      <c r="FW423"/>
      <c r="FX423"/>
      <c r="FY423"/>
      <c r="FZ423"/>
      <c r="GA423"/>
      <c r="GB423"/>
      <c r="GC423"/>
      <c r="GD423"/>
      <c r="GE423"/>
      <c r="GF423"/>
      <c r="GG423"/>
      <c r="GH423"/>
      <c r="GI423"/>
      <c r="GJ423"/>
      <c r="GK423"/>
      <c r="GL423"/>
      <c r="GM423"/>
      <c r="GN423"/>
      <c r="GO423"/>
      <c r="GP423"/>
      <c r="GQ423"/>
      <c r="GR423"/>
      <c r="GS423"/>
      <c r="GT423"/>
      <c r="GU423"/>
      <c r="GV423"/>
      <c r="GW423"/>
      <c r="GX423"/>
      <c r="GY423"/>
      <c r="GZ423"/>
      <c r="HA423"/>
    </row>
    <row r="424" spans="1:209" ht="15" customHeight="1" x14ac:dyDescent="0.15">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c r="FC424"/>
      <c r="FD424"/>
      <c r="FE424"/>
      <c r="FF424"/>
      <c r="FG424"/>
      <c r="FH424"/>
      <c r="FI424"/>
      <c r="FJ424"/>
      <c r="FK424"/>
      <c r="FL424"/>
      <c r="FM424"/>
      <c r="FN424"/>
      <c r="FO424"/>
      <c r="FP424"/>
      <c r="FQ424"/>
      <c r="FR424"/>
      <c r="FS424"/>
      <c r="FT424"/>
      <c r="FU424"/>
      <c r="FV424"/>
      <c r="FW424"/>
      <c r="FX424"/>
      <c r="FY424"/>
      <c r="FZ424"/>
      <c r="GA424"/>
      <c r="GB424"/>
      <c r="GC424"/>
      <c r="GD424"/>
      <c r="GE424"/>
      <c r="GF424"/>
      <c r="GG424"/>
      <c r="GH424"/>
      <c r="GI424"/>
      <c r="GJ424"/>
      <c r="GK424"/>
      <c r="GL424"/>
      <c r="GM424"/>
      <c r="GN424"/>
      <c r="GO424"/>
      <c r="GP424"/>
      <c r="GQ424"/>
      <c r="GR424"/>
      <c r="GS424"/>
      <c r="GT424"/>
      <c r="GU424"/>
      <c r="GV424"/>
      <c r="GW424"/>
      <c r="GX424"/>
      <c r="GY424"/>
      <c r="GZ424"/>
      <c r="HA424"/>
    </row>
    <row r="425" spans="1:209" ht="15" customHeight="1" x14ac:dyDescent="0.15">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c r="FC425"/>
      <c r="FD425"/>
      <c r="FE425"/>
      <c r="FF425"/>
      <c r="FG425"/>
      <c r="FH425"/>
      <c r="FI425"/>
      <c r="FJ425"/>
      <c r="FK425"/>
      <c r="FL425"/>
      <c r="FM425"/>
      <c r="FN425"/>
      <c r="FO425"/>
      <c r="FP425"/>
      <c r="FQ425"/>
      <c r="FR425"/>
      <c r="FS425"/>
      <c r="FT425"/>
      <c r="FU425"/>
      <c r="FV425"/>
      <c r="FW425"/>
      <c r="FX425"/>
      <c r="FY425"/>
      <c r="FZ425"/>
      <c r="GA425"/>
      <c r="GB425"/>
      <c r="GC425"/>
      <c r="GD425"/>
      <c r="GE425"/>
      <c r="GF425"/>
      <c r="GG425"/>
      <c r="GH425"/>
      <c r="GI425"/>
      <c r="GJ425"/>
      <c r="GK425"/>
      <c r="GL425"/>
      <c r="GM425"/>
      <c r="GN425"/>
      <c r="GO425"/>
      <c r="GP425"/>
      <c r="GQ425"/>
      <c r="GR425"/>
      <c r="GS425"/>
      <c r="GT425"/>
      <c r="GU425"/>
      <c r="GV425"/>
      <c r="GW425"/>
      <c r="GX425"/>
      <c r="GY425"/>
      <c r="GZ425"/>
      <c r="HA425"/>
    </row>
    <row r="426" spans="1:209" ht="15" customHeight="1" x14ac:dyDescent="0.15">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c r="FC426"/>
      <c r="FD426"/>
      <c r="FE426"/>
      <c r="FF426"/>
      <c r="FG426"/>
      <c r="FH426"/>
      <c r="FI426"/>
      <c r="FJ426"/>
      <c r="FK426"/>
      <c r="FL426"/>
      <c r="FM426"/>
      <c r="FN426"/>
      <c r="FO426"/>
      <c r="FP426"/>
      <c r="FQ426"/>
      <c r="FR426"/>
      <c r="FS426"/>
      <c r="FT426"/>
      <c r="FU426"/>
      <c r="FV426"/>
      <c r="FW426"/>
      <c r="FX426"/>
      <c r="FY426"/>
      <c r="FZ426"/>
      <c r="GA426"/>
      <c r="GB426"/>
      <c r="GC426"/>
      <c r="GD426"/>
      <c r="GE426"/>
      <c r="GF426"/>
      <c r="GG426"/>
      <c r="GH426"/>
      <c r="GI426"/>
      <c r="GJ426"/>
      <c r="GK426"/>
      <c r="GL426"/>
      <c r="GM426"/>
      <c r="GN426"/>
      <c r="GO426"/>
      <c r="GP426"/>
      <c r="GQ426"/>
      <c r="GR426"/>
      <c r="GS426"/>
      <c r="GT426"/>
      <c r="GU426"/>
      <c r="GV426"/>
      <c r="GW426"/>
      <c r="GX426"/>
      <c r="GY426"/>
      <c r="GZ426"/>
      <c r="HA426"/>
    </row>
    <row r="427" spans="1:209" ht="15" customHeight="1" x14ac:dyDescent="0.15">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c r="FC427"/>
      <c r="FD427"/>
      <c r="FE427"/>
      <c r="FF427"/>
      <c r="FG427"/>
      <c r="FH427"/>
      <c r="FI427"/>
      <c r="FJ427"/>
      <c r="FK427"/>
      <c r="FL427"/>
      <c r="FM427"/>
      <c r="FN427"/>
      <c r="FO427"/>
      <c r="FP427"/>
      <c r="FQ427"/>
      <c r="FR427"/>
      <c r="FS427"/>
      <c r="FT427"/>
      <c r="FU427"/>
      <c r="FV427"/>
      <c r="FW427"/>
      <c r="FX427"/>
      <c r="FY427"/>
      <c r="FZ427"/>
      <c r="GA427"/>
      <c r="GB427"/>
      <c r="GC427"/>
      <c r="GD427"/>
      <c r="GE427"/>
      <c r="GF427"/>
      <c r="GG427"/>
      <c r="GH427"/>
      <c r="GI427"/>
      <c r="GJ427"/>
      <c r="GK427"/>
      <c r="GL427"/>
      <c r="GM427"/>
      <c r="GN427"/>
      <c r="GO427"/>
      <c r="GP427"/>
      <c r="GQ427"/>
      <c r="GR427"/>
      <c r="GS427"/>
      <c r="GT427"/>
      <c r="GU427"/>
      <c r="GV427"/>
      <c r="GW427"/>
      <c r="GX427"/>
      <c r="GY427"/>
      <c r="GZ427"/>
      <c r="HA427"/>
    </row>
    <row r="428" spans="1:209" ht="15" customHeight="1" x14ac:dyDescent="0.15">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c r="FC428"/>
      <c r="FD428"/>
      <c r="FE428"/>
      <c r="FF428"/>
      <c r="FG428"/>
      <c r="FH428"/>
      <c r="FI428"/>
      <c r="FJ428"/>
      <c r="FK428"/>
      <c r="FL428"/>
      <c r="FM428"/>
      <c r="FN428"/>
      <c r="FO428"/>
      <c r="FP428"/>
      <c r="FQ428"/>
      <c r="FR428"/>
      <c r="FS428"/>
      <c r="FT428"/>
      <c r="FU428"/>
      <c r="FV428"/>
      <c r="FW428"/>
      <c r="FX428"/>
      <c r="FY428"/>
      <c r="FZ428"/>
      <c r="GA428"/>
      <c r="GB428"/>
      <c r="GC428"/>
      <c r="GD428"/>
      <c r="GE428"/>
      <c r="GF428"/>
      <c r="GG428"/>
      <c r="GH428"/>
      <c r="GI428"/>
      <c r="GJ428"/>
      <c r="GK428"/>
      <c r="GL428"/>
      <c r="GM428"/>
      <c r="GN428"/>
      <c r="GO428"/>
      <c r="GP428"/>
      <c r="GQ428"/>
      <c r="GR428"/>
      <c r="GS428"/>
      <c r="GT428"/>
      <c r="GU428"/>
      <c r="GV428"/>
      <c r="GW428"/>
      <c r="GX428"/>
      <c r="GY428"/>
      <c r="GZ428"/>
      <c r="HA428"/>
    </row>
    <row r="429" spans="1:209" ht="15" customHeight="1" x14ac:dyDescent="0.15">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c r="FC429"/>
      <c r="FD429"/>
      <c r="FE429"/>
      <c r="FF429"/>
      <c r="FG429"/>
      <c r="FH429"/>
      <c r="FI429"/>
      <c r="FJ429"/>
      <c r="FK429"/>
      <c r="FL429"/>
      <c r="FM429"/>
      <c r="FN429"/>
      <c r="FO429"/>
      <c r="FP429"/>
      <c r="FQ429"/>
      <c r="FR429"/>
      <c r="FS429"/>
      <c r="FT429"/>
      <c r="FU429"/>
      <c r="FV429"/>
      <c r="FW429"/>
      <c r="FX429"/>
      <c r="FY429"/>
      <c r="FZ429"/>
      <c r="GA429"/>
      <c r="GB429"/>
      <c r="GC429"/>
      <c r="GD429"/>
      <c r="GE429"/>
      <c r="GF429"/>
      <c r="GG429"/>
      <c r="GH429"/>
      <c r="GI429"/>
      <c r="GJ429"/>
      <c r="GK429"/>
      <c r="GL429"/>
      <c r="GM429"/>
      <c r="GN429"/>
      <c r="GO429"/>
      <c r="GP429"/>
      <c r="GQ429"/>
      <c r="GR429"/>
      <c r="GS429"/>
      <c r="GT429"/>
      <c r="GU429"/>
      <c r="GV429"/>
      <c r="GW429"/>
      <c r="GX429"/>
      <c r="GY429"/>
      <c r="GZ429"/>
      <c r="HA429"/>
    </row>
    <row r="430" spans="1:209" ht="15" customHeight="1" x14ac:dyDescent="0.15">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c r="FC430"/>
      <c r="FD430"/>
      <c r="FE430"/>
      <c r="FF430"/>
      <c r="FG430"/>
      <c r="FH430"/>
      <c r="FI430"/>
      <c r="FJ430"/>
      <c r="FK430"/>
      <c r="FL430"/>
      <c r="FM430"/>
      <c r="FN430"/>
      <c r="FO430"/>
      <c r="FP430"/>
      <c r="FQ430"/>
      <c r="FR430"/>
      <c r="FS430"/>
      <c r="FT430"/>
      <c r="FU430"/>
      <c r="FV430"/>
      <c r="FW430"/>
      <c r="FX430"/>
      <c r="FY430"/>
      <c r="FZ430"/>
      <c r="GA430"/>
      <c r="GB430"/>
      <c r="GC430"/>
      <c r="GD430"/>
      <c r="GE430"/>
      <c r="GF430"/>
      <c r="GG430"/>
      <c r="GH430"/>
      <c r="GI430"/>
      <c r="GJ430"/>
      <c r="GK430"/>
      <c r="GL430"/>
      <c r="GM430"/>
      <c r="GN430"/>
      <c r="GO430"/>
      <c r="GP430"/>
      <c r="GQ430"/>
      <c r="GR430"/>
      <c r="GS430"/>
      <c r="GT430"/>
      <c r="GU430"/>
      <c r="GV430"/>
      <c r="GW430"/>
      <c r="GX430"/>
      <c r="GY430"/>
      <c r="GZ430"/>
      <c r="HA430"/>
    </row>
    <row r="431" spans="1:209" ht="15" customHeight="1" x14ac:dyDescent="0.15">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c r="FC431"/>
      <c r="FD431"/>
      <c r="FE431"/>
      <c r="FF431"/>
      <c r="FG431"/>
      <c r="FH431"/>
      <c r="FI431"/>
      <c r="FJ431"/>
      <c r="FK431"/>
      <c r="FL431"/>
      <c r="FM431"/>
      <c r="FN431"/>
      <c r="FO431"/>
      <c r="FP431"/>
      <c r="FQ431"/>
      <c r="FR431"/>
      <c r="FS431"/>
      <c r="FT431"/>
      <c r="FU431"/>
      <c r="FV431"/>
      <c r="FW431"/>
      <c r="FX431"/>
      <c r="FY431"/>
      <c r="FZ431"/>
      <c r="GA431"/>
      <c r="GB431"/>
      <c r="GC431"/>
      <c r="GD431"/>
      <c r="GE431"/>
      <c r="GF431"/>
      <c r="GG431"/>
      <c r="GH431"/>
      <c r="GI431"/>
      <c r="GJ431"/>
      <c r="GK431"/>
      <c r="GL431"/>
      <c r="GM431"/>
      <c r="GN431"/>
      <c r="GO431"/>
      <c r="GP431"/>
      <c r="GQ431"/>
      <c r="GR431"/>
      <c r="GS431"/>
      <c r="GT431"/>
      <c r="GU431"/>
      <c r="GV431"/>
      <c r="GW431"/>
      <c r="GX431"/>
      <c r="GY431"/>
      <c r="GZ431"/>
      <c r="HA431"/>
    </row>
    <row r="432" spans="1:209" ht="15" customHeight="1" x14ac:dyDescent="0.15">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c r="FC432"/>
      <c r="FD432"/>
      <c r="FE432"/>
      <c r="FF432"/>
      <c r="FG432"/>
      <c r="FH432"/>
      <c r="FI432"/>
      <c r="FJ432"/>
      <c r="FK432"/>
      <c r="FL432"/>
      <c r="FM432"/>
      <c r="FN432"/>
      <c r="FO432"/>
      <c r="FP432"/>
      <c r="FQ432"/>
      <c r="FR432"/>
      <c r="FS432"/>
      <c r="FT432"/>
      <c r="FU432"/>
      <c r="FV432"/>
      <c r="FW432"/>
      <c r="FX432"/>
      <c r="FY432"/>
      <c r="FZ432"/>
      <c r="GA432"/>
      <c r="GB432"/>
      <c r="GC432"/>
      <c r="GD432"/>
      <c r="GE432"/>
      <c r="GF432"/>
      <c r="GG432"/>
      <c r="GH432"/>
      <c r="GI432"/>
      <c r="GJ432"/>
      <c r="GK432"/>
      <c r="GL432"/>
      <c r="GM432"/>
      <c r="GN432"/>
      <c r="GO432"/>
      <c r="GP432"/>
      <c r="GQ432"/>
      <c r="GR432"/>
      <c r="GS432"/>
      <c r="GT432"/>
      <c r="GU432"/>
      <c r="GV432"/>
      <c r="GW432"/>
      <c r="GX432"/>
      <c r="GY432"/>
      <c r="GZ432"/>
      <c r="HA432"/>
    </row>
    <row r="433" spans="1:209" ht="15" customHeight="1" x14ac:dyDescent="0.15">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c r="FC433"/>
      <c r="FD433"/>
      <c r="FE433"/>
      <c r="FF433"/>
      <c r="FG433"/>
      <c r="FH433"/>
      <c r="FI433"/>
      <c r="FJ433"/>
      <c r="FK433"/>
      <c r="FL433"/>
      <c r="FM433"/>
      <c r="FN433"/>
      <c r="FO433"/>
      <c r="FP433"/>
      <c r="FQ433"/>
      <c r="FR433"/>
      <c r="FS433"/>
      <c r="FT433"/>
      <c r="FU433"/>
      <c r="FV433"/>
      <c r="FW433"/>
      <c r="FX433"/>
      <c r="FY433"/>
      <c r="FZ433"/>
      <c r="GA433"/>
      <c r="GB433"/>
      <c r="GC433"/>
      <c r="GD433"/>
      <c r="GE433"/>
      <c r="GF433"/>
      <c r="GG433"/>
      <c r="GH433"/>
      <c r="GI433"/>
      <c r="GJ433"/>
      <c r="GK433"/>
      <c r="GL433"/>
      <c r="GM433"/>
      <c r="GN433"/>
      <c r="GO433"/>
      <c r="GP433"/>
      <c r="GQ433"/>
      <c r="GR433"/>
      <c r="GS433"/>
      <c r="GT433"/>
      <c r="GU433"/>
      <c r="GV433"/>
      <c r="GW433"/>
      <c r="GX433"/>
      <c r="GY433"/>
      <c r="GZ433"/>
      <c r="HA433"/>
    </row>
    <row r="434" spans="1:209" ht="15" customHeight="1" x14ac:dyDescent="0.15">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c r="FC434"/>
      <c r="FD434"/>
      <c r="FE434"/>
      <c r="FF434"/>
      <c r="FG434"/>
      <c r="FH434"/>
      <c r="FI434"/>
      <c r="FJ434"/>
      <c r="FK434"/>
      <c r="FL434"/>
      <c r="FM434"/>
      <c r="FN434"/>
      <c r="FO434"/>
      <c r="FP434"/>
      <c r="FQ434"/>
      <c r="FR434"/>
      <c r="FS434"/>
      <c r="FT434"/>
      <c r="FU434"/>
      <c r="FV434"/>
      <c r="FW434"/>
      <c r="FX434"/>
      <c r="FY434"/>
      <c r="FZ434"/>
      <c r="GA434"/>
      <c r="GB434"/>
      <c r="GC434"/>
      <c r="GD434"/>
      <c r="GE434"/>
      <c r="GF434"/>
      <c r="GG434"/>
      <c r="GH434"/>
      <c r="GI434"/>
      <c r="GJ434"/>
      <c r="GK434"/>
      <c r="GL434"/>
      <c r="GM434"/>
      <c r="GN434"/>
      <c r="GO434"/>
      <c r="GP434"/>
      <c r="GQ434"/>
      <c r="GR434"/>
      <c r="GS434"/>
      <c r="GT434"/>
      <c r="GU434"/>
      <c r="GV434"/>
      <c r="GW434"/>
      <c r="GX434"/>
      <c r="GY434"/>
      <c r="GZ434"/>
      <c r="HA434"/>
    </row>
    <row r="435" spans="1:209" ht="15" customHeight="1" x14ac:dyDescent="0.15">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c r="FC435"/>
      <c r="FD435"/>
      <c r="FE435"/>
      <c r="FF435"/>
      <c r="FG435"/>
      <c r="FH435"/>
      <c r="FI435"/>
      <c r="FJ435"/>
      <c r="FK435"/>
      <c r="FL435"/>
      <c r="FM435"/>
      <c r="FN435"/>
      <c r="FO435"/>
      <c r="FP435"/>
      <c r="FQ435"/>
      <c r="FR435"/>
      <c r="FS435"/>
      <c r="FT435"/>
      <c r="FU435"/>
      <c r="FV435"/>
      <c r="FW435"/>
      <c r="FX435"/>
      <c r="FY435"/>
      <c r="FZ435"/>
      <c r="GA435"/>
      <c r="GB435"/>
      <c r="GC435"/>
      <c r="GD435"/>
      <c r="GE435"/>
      <c r="GF435"/>
      <c r="GG435"/>
      <c r="GH435"/>
      <c r="GI435"/>
      <c r="GJ435"/>
      <c r="GK435"/>
      <c r="GL435"/>
      <c r="GM435"/>
      <c r="GN435"/>
      <c r="GO435"/>
      <c r="GP435"/>
      <c r="GQ435"/>
      <c r="GR435"/>
      <c r="GS435"/>
      <c r="GT435"/>
      <c r="GU435"/>
      <c r="GV435"/>
      <c r="GW435"/>
      <c r="GX435"/>
      <c r="GY435"/>
      <c r="GZ435"/>
      <c r="HA435"/>
    </row>
    <row r="436" spans="1:209" ht="15" customHeight="1" x14ac:dyDescent="0.15">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c r="FC436"/>
      <c r="FD436"/>
      <c r="FE436"/>
      <c r="FF436"/>
      <c r="FG436"/>
      <c r="FH436"/>
      <c r="FI436"/>
      <c r="FJ436"/>
      <c r="FK436"/>
      <c r="FL436"/>
      <c r="FM436"/>
      <c r="FN436"/>
      <c r="FO436"/>
      <c r="FP436"/>
      <c r="FQ436"/>
      <c r="FR436"/>
      <c r="FS436"/>
      <c r="FT436"/>
      <c r="FU436"/>
      <c r="FV436"/>
      <c r="FW436"/>
      <c r="FX436"/>
      <c r="FY436"/>
      <c r="FZ436"/>
      <c r="GA436"/>
      <c r="GB436"/>
      <c r="GC436"/>
      <c r="GD436"/>
      <c r="GE436"/>
      <c r="GF436"/>
      <c r="GG436"/>
      <c r="GH436"/>
      <c r="GI436"/>
      <c r="GJ436"/>
      <c r="GK436"/>
      <c r="GL436"/>
      <c r="GM436"/>
      <c r="GN436"/>
      <c r="GO436"/>
      <c r="GP436"/>
      <c r="GQ436"/>
      <c r="GR436"/>
      <c r="GS436"/>
      <c r="GT436"/>
      <c r="GU436"/>
      <c r="GV436"/>
      <c r="GW436"/>
      <c r="GX436"/>
      <c r="GY436"/>
      <c r="GZ436"/>
      <c r="HA436"/>
    </row>
    <row r="437" spans="1:209" ht="15" customHeight="1" x14ac:dyDescent="0.15">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c r="FC437"/>
      <c r="FD437"/>
      <c r="FE437"/>
      <c r="FF437"/>
      <c r="FG437"/>
      <c r="FH437"/>
      <c r="FI437"/>
      <c r="FJ437"/>
      <c r="FK437"/>
      <c r="FL437"/>
      <c r="FM437"/>
      <c r="FN437"/>
      <c r="FO437"/>
      <c r="FP437"/>
      <c r="FQ437"/>
      <c r="FR437"/>
      <c r="FS437"/>
      <c r="FT437"/>
      <c r="FU437"/>
      <c r="FV437"/>
      <c r="FW437"/>
      <c r="FX437"/>
      <c r="FY437"/>
      <c r="FZ437"/>
      <c r="GA437"/>
      <c r="GB437"/>
      <c r="GC437"/>
      <c r="GD437"/>
      <c r="GE437"/>
      <c r="GF437"/>
      <c r="GG437"/>
      <c r="GH437"/>
      <c r="GI437"/>
      <c r="GJ437"/>
      <c r="GK437"/>
      <c r="GL437"/>
      <c r="GM437"/>
      <c r="GN437"/>
      <c r="GO437"/>
      <c r="GP437"/>
      <c r="GQ437"/>
      <c r="GR437"/>
      <c r="GS437"/>
      <c r="GT437"/>
      <c r="GU437"/>
      <c r="GV437"/>
      <c r="GW437"/>
      <c r="GX437"/>
      <c r="GY437"/>
      <c r="GZ437"/>
      <c r="HA437"/>
    </row>
    <row r="438" spans="1:209" ht="15" customHeight="1" x14ac:dyDescent="0.15">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c r="FC438"/>
      <c r="FD438"/>
      <c r="FE438"/>
      <c r="FF438"/>
      <c r="FG438"/>
      <c r="FH438"/>
      <c r="FI438"/>
      <c r="FJ438"/>
      <c r="FK438"/>
      <c r="FL438"/>
      <c r="FM438"/>
      <c r="FN438"/>
      <c r="FO438"/>
      <c r="FP438"/>
      <c r="FQ438"/>
      <c r="FR438"/>
      <c r="FS438"/>
      <c r="FT438"/>
      <c r="FU438"/>
      <c r="FV438"/>
      <c r="FW438"/>
      <c r="FX438"/>
      <c r="FY438"/>
      <c r="FZ438"/>
      <c r="GA438"/>
      <c r="GB438"/>
      <c r="GC438"/>
      <c r="GD438"/>
      <c r="GE438"/>
      <c r="GF438"/>
      <c r="GG438"/>
      <c r="GH438"/>
      <c r="GI438"/>
      <c r="GJ438"/>
      <c r="GK438"/>
      <c r="GL438"/>
      <c r="GM438"/>
      <c r="GN438"/>
      <c r="GO438"/>
      <c r="GP438"/>
      <c r="GQ438"/>
      <c r="GR438"/>
      <c r="GS438"/>
      <c r="GT438"/>
      <c r="GU438"/>
      <c r="GV438"/>
      <c r="GW438"/>
      <c r="GX438"/>
      <c r="GY438"/>
      <c r="GZ438"/>
      <c r="HA438"/>
    </row>
    <row r="439" spans="1:209" ht="15" customHeight="1" x14ac:dyDescent="0.15">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c r="FC439"/>
      <c r="FD439"/>
      <c r="FE439"/>
      <c r="FF439"/>
      <c r="FG439"/>
      <c r="FH439"/>
      <c r="FI439"/>
      <c r="FJ439"/>
      <c r="FK439"/>
      <c r="FL439"/>
      <c r="FM439"/>
      <c r="FN439"/>
      <c r="FO439"/>
      <c r="FP439"/>
      <c r="FQ439"/>
      <c r="FR439"/>
      <c r="FS439"/>
      <c r="FT439"/>
      <c r="FU439"/>
      <c r="FV439"/>
      <c r="FW439"/>
      <c r="FX439"/>
      <c r="FY439"/>
      <c r="FZ439"/>
      <c r="GA439"/>
      <c r="GB439"/>
      <c r="GC439"/>
      <c r="GD439"/>
      <c r="GE439"/>
      <c r="GF439"/>
      <c r="GG439"/>
      <c r="GH439"/>
      <c r="GI439"/>
      <c r="GJ439"/>
      <c r="GK439"/>
      <c r="GL439"/>
      <c r="GM439"/>
      <c r="GN439"/>
      <c r="GO439"/>
      <c r="GP439"/>
      <c r="GQ439"/>
      <c r="GR439"/>
      <c r="GS439"/>
      <c r="GT439"/>
      <c r="GU439"/>
      <c r="GV439"/>
      <c r="GW439"/>
      <c r="GX439"/>
      <c r="GY439"/>
      <c r="GZ439"/>
      <c r="HA439"/>
    </row>
    <row r="440" spans="1:209" ht="15" customHeight="1" x14ac:dyDescent="0.15">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c r="FC440"/>
      <c r="FD440"/>
      <c r="FE440"/>
      <c r="FF440"/>
      <c r="FG440"/>
      <c r="FH440"/>
      <c r="FI440"/>
      <c r="FJ440"/>
      <c r="FK440"/>
      <c r="FL440"/>
      <c r="FM440"/>
      <c r="FN440"/>
      <c r="FO440"/>
      <c r="FP440"/>
      <c r="FQ440"/>
      <c r="FR440"/>
      <c r="FS440"/>
      <c r="FT440"/>
      <c r="FU440"/>
      <c r="FV440"/>
      <c r="FW440"/>
      <c r="FX440"/>
      <c r="FY440"/>
      <c r="FZ440"/>
      <c r="GA440"/>
      <c r="GB440"/>
      <c r="GC440"/>
      <c r="GD440"/>
      <c r="GE440"/>
      <c r="GF440"/>
      <c r="GG440"/>
      <c r="GH440"/>
      <c r="GI440"/>
      <c r="GJ440"/>
      <c r="GK440"/>
      <c r="GL440"/>
      <c r="GM440"/>
      <c r="GN440"/>
      <c r="GO440"/>
      <c r="GP440"/>
      <c r="GQ440"/>
      <c r="GR440"/>
      <c r="GS440"/>
      <c r="GT440"/>
      <c r="GU440"/>
      <c r="GV440"/>
      <c r="GW440"/>
      <c r="GX440"/>
      <c r="GY440"/>
      <c r="GZ440"/>
      <c r="HA440"/>
    </row>
    <row r="441" spans="1:209" ht="15" customHeight="1" x14ac:dyDescent="0.15">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c r="FC441"/>
      <c r="FD441"/>
      <c r="FE441"/>
      <c r="FF441"/>
      <c r="FG441"/>
      <c r="FH441"/>
      <c r="FI441"/>
      <c r="FJ441"/>
      <c r="FK441"/>
      <c r="FL441"/>
      <c r="FM441"/>
      <c r="FN441"/>
      <c r="FO441"/>
      <c r="FP441"/>
      <c r="FQ441"/>
      <c r="FR441"/>
      <c r="FS441"/>
      <c r="FT441"/>
      <c r="FU441"/>
      <c r="FV441"/>
      <c r="FW441"/>
      <c r="FX441"/>
      <c r="FY441"/>
      <c r="FZ441"/>
      <c r="GA441"/>
      <c r="GB441"/>
      <c r="GC441"/>
      <c r="GD441"/>
      <c r="GE441"/>
      <c r="GF441"/>
      <c r="GG441"/>
      <c r="GH441"/>
      <c r="GI441"/>
      <c r="GJ441"/>
      <c r="GK441"/>
      <c r="GL441"/>
      <c r="GM441"/>
      <c r="GN441"/>
      <c r="GO441"/>
      <c r="GP441"/>
      <c r="GQ441"/>
      <c r="GR441"/>
      <c r="GS441"/>
      <c r="GT441"/>
      <c r="GU441"/>
      <c r="GV441"/>
      <c r="GW441"/>
      <c r="GX441"/>
      <c r="GY441"/>
      <c r="GZ441"/>
      <c r="HA441"/>
    </row>
    <row r="442" spans="1:209" ht="15" customHeight="1" x14ac:dyDescent="0.15">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c r="FC442"/>
      <c r="FD442"/>
      <c r="FE442"/>
      <c r="FF442"/>
      <c r="FG442"/>
      <c r="FH442"/>
      <c r="FI442"/>
      <c r="FJ442"/>
      <c r="FK442"/>
      <c r="FL442"/>
      <c r="FM442"/>
      <c r="FN442"/>
      <c r="FO442"/>
      <c r="FP442"/>
      <c r="FQ442"/>
      <c r="FR442"/>
      <c r="FS442"/>
      <c r="FT442"/>
      <c r="FU442"/>
      <c r="FV442"/>
      <c r="FW442"/>
      <c r="FX442"/>
      <c r="FY442"/>
      <c r="FZ442"/>
      <c r="GA442"/>
      <c r="GB442"/>
      <c r="GC442"/>
      <c r="GD442"/>
      <c r="GE442"/>
      <c r="GF442"/>
      <c r="GG442"/>
      <c r="GH442"/>
      <c r="GI442"/>
      <c r="GJ442"/>
      <c r="GK442"/>
      <c r="GL442"/>
      <c r="GM442"/>
      <c r="GN442"/>
      <c r="GO442"/>
      <c r="GP442"/>
      <c r="GQ442"/>
      <c r="GR442"/>
      <c r="GS442"/>
      <c r="GT442"/>
      <c r="GU442"/>
      <c r="GV442"/>
      <c r="GW442"/>
      <c r="GX442"/>
      <c r="GY442"/>
      <c r="GZ442"/>
      <c r="HA442"/>
    </row>
    <row r="443" spans="1:209" ht="15" customHeight="1" x14ac:dyDescent="0.15">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c r="FC443"/>
      <c r="FD443"/>
      <c r="FE443"/>
      <c r="FF443"/>
      <c r="FG443"/>
      <c r="FH443"/>
      <c r="FI443"/>
      <c r="FJ443"/>
      <c r="FK443"/>
      <c r="FL443"/>
      <c r="FM443"/>
      <c r="FN443"/>
      <c r="FO443"/>
      <c r="FP443"/>
      <c r="FQ443"/>
      <c r="FR443"/>
      <c r="FS443"/>
      <c r="FT443"/>
      <c r="FU443"/>
      <c r="FV443"/>
      <c r="FW443"/>
      <c r="FX443"/>
      <c r="FY443"/>
      <c r="FZ443"/>
      <c r="GA443"/>
      <c r="GB443"/>
      <c r="GC443"/>
      <c r="GD443"/>
      <c r="GE443"/>
      <c r="GF443"/>
      <c r="GG443"/>
      <c r="GH443"/>
      <c r="GI443"/>
      <c r="GJ443"/>
      <c r="GK443"/>
      <c r="GL443"/>
      <c r="GM443"/>
      <c r="GN443"/>
      <c r="GO443"/>
      <c r="GP443"/>
      <c r="GQ443"/>
      <c r="GR443"/>
      <c r="GS443"/>
      <c r="GT443"/>
      <c r="GU443"/>
      <c r="GV443"/>
      <c r="GW443"/>
      <c r="GX443"/>
      <c r="GY443"/>
      <c r="GZ443"/>
      <c r="HA443"/>
    </row>
    <row r="444" spans="1:209" ht="15" customHeight="1" x14ac:dyDescent="0.15">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c r="FC444"/>
      <c r="FD444"/>
      <c r="FE444"/>
      <c r="FF444"/>
      <c r="FG444"/>
      <c r="FH444"/>
      <c r="FI444"/>
      <c r="FJ444"/>
      <c r="FK444"/>
      <c r="FL444"/>
      <c r="FM444"/>
      <c r="FN444"/>
      <c r="FO444"/>
      <c r="FP444"/>
      <c r="FQ444"/>
      <c r="FR444"/>
      <c r="FS444"/>
      <c r="FT444"/>
      <c r="FU444"/>
      <c r="FV444"/>
      <c r="FW444"/>
      <c r="FX444"/>
      <c r="FY444"/>
      <c r="FZ444"/>
      <c r="GA444"/>
      <c r="GB444"/>
      <c r="GC444"/>
      <c r="GD444"/>
      <c r="GE444"/>
      <c r="GF444"/>
      <c r="GG444"/>
      <c r="GH444"/>
      <c r="GI444"/>
      <c r="GJ444"/>
      <c r="GK444"/>
      <c r="GL444"/>
      <c r="GM444"/>
      <c r="GN444"/>
      <c r="GO444"/>
      <c r="GP444"/>
      <c r="GQ444"/>
      <c r="GR444"/>
      <c r="GS444"/>
      <c r="GT444"/>
      <c r="GU444"/>
      <c r="GV444"/>
      <c r="GW444"/>
      <c r="GX444"/>
      <c r="GY444"/>
      <c r="GZ444"/>
      <c r="HA444"/>
    </row>
    <row r="445" spans="1:209" ht="15" customHeight="1" x14ac:dyDescent="0.15">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c r="FC445"/>
      <c r="FD445"/>
      <c r="FE445"/>
      <c r="FF445"/>
      <c r="FG445"/>
      <c r="FH445"/>
      <c r="FI445"/>
      <c r="FJ445"/>
      <c r="FK445"/>
      <c r="FL445"/>
      <c r="FM445"/>
      <c r="FN445"/>
      <c r="FO445"/>
      <c r="FP445"/>
      <c r="FQ445"/>
      <c r="FR445"/>
      <c r="FS445"/>
      <c r="FT445"/>
      <c r="FU445"/>
      <c r="FV445"/>
      <c r="FW445"/>
      <c r="FX445"/>
      <c r="FY445"/>
      <c r="FZ445"/>
      <c r="GA445"/>
      <c r="GB445"/>
      <c r="GC445"/>
      <c r="GD445"/>
      <c r="GE445"/>
      <c r="GF445"/>
      <c r="GG445"/>
      <c r="GH445"/>
      <c r="GI445"/>
      <c r="GJ445"/>
      <c r="GK445"/>
      <c r="GL445"/>
      <c r="GM445"/>
      <c r="GN445"/>
      <c r="GO445"/>
      <c r="GP445"/>
      <c r="GQ445"/>
      <c r="GR445"/>
      <c r="GS445"/>
      <c r="GT445"/>
      <c r="GU445"/>
      <c r="GV445"/>
      <c r="GW445"/>
      <c r="GX445"/>
      <c r="GY445"/>
      <c r="GZ445"/>
      <c r="HA445"/>
    </row>
    <row r="446" spans="1:209" ht="15" customHeight="1" x14ac:dyDescent="0.15">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c r="FC446"/>
      <c r="FD446"/>
      <c r="FE446"/>
      <c r="FF446"/>
      <c r="FG446"/>
      <c r="FH446"/>
      <c r="FI446"/>
      <c r="FJ446"/>
      <c r="FK446"/>
      <c r="FL446"/>
      <c r="FM446"/>
      <c r="FN446"/>
      <c r="FO446"/>
      <c r="FP446"/>
      <c r="FQ446"/>
      <c r="FR446"/>
      <c r="FS446"/>
      <c r="FT446"/>
      <c r="FU446"/>
      <c r="FV446"/>
      <c r="FW446"/>
      <c r="FX446"/>
      <c r="FY446"/>
      <c r="FZ446"/>
      <c r="GA446"/>
      <c r="GB446"/>
      <c r="GC446"/>
      <c r="GD446"/>
      <c r="GE446"/>
      <c r="GF446"/>
      <c r="GG446"/>
      <c r="GH446"/>
      <c r="GI446"/>
      <c r="GJ446"/>
      <c r="GK446"/>
      <c r="GL446"/>
      <c r="GM446"/>
      <c r="GN446"/>
      <c r="GO446"/>
      <c r="GP446"/>
      <c r="GQ446"/>
      <c r="GR446"/>
      <c r="GS446"/>
      <c r="GT446"/>
      <c r="GU446"/>
      <c r="GV446"/>
      <c r="GW446"/>
      <c r="GX446"/>
      <c r="GY446"/>
      <c r="GZ446"/>
      <c r="HA446"/>
    </row>
    <row r="447" spans="1:209" ht="15" customHeight="1" x14ac:dyDescent="0.15">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c r="FC447"/>
      <c r="FD447"/>
      <c r="FE447"/>
      <c r="FF447"/>
      <c r="FG447"/>
      <c r="FH447"/>
      <c r="FI447"/>
      <c r="FJ447"/>
      <c r="FK447"/>
      <c r="FL447"/>
      <c r="FM447"/>
      <c r="FN447"/>
      <c r="FO447"/>
      <c r="FP447"/>
      <c r="FQ447"/>
      <c r="FR447"/>
      <c r="FS447"/>
      <c r="FT447"/>
      <c r="FU447"/>
      <c r="FV447"/>
      <c r="FW447"/>
      <c r="FX447"/>
      <c r="FY447"/>
      <c r="FZ447"/>
      <c r="GA447"/>
      <c r="GB447"/>
      <c r="GC447"/>
      <c r="GD447"/>
      <c r="GE447"/>
      <c r="GF447"/>
      <c r="GG447"/>
      <c r="GH447"/>
      <c r="GI447"/>
      <c r="GJ447"/>
      <c r="GK447"/>
      <c r="GL447"/>
      <c r="GM447"/>
      <c r="GN447"/>
      <c r="GO447"/>
      <c r="GP447"/>
      <c r="GQ447"/>
      <c r="GR447"/>
      <c r="GS447"/>
      <c r="GT447"/>
      <c r="GU447"/>
      <c r="GV447"/>
      <c r="GW447"/>
      <c r="GX447"/>
      <c r="GY447"/>
      <c r="GZ447"/>
      <c r="HA447"/>
    </row>
    <row r="448" spans="1:209" ht="15" customHeight="1" x14ac:dyDescent="0.15">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c r="FC448"/>
      <c r="FD448"/>
      <c r="FE448"/>
      <c r="FF448"/>
      <c r="FG448"/>
      <c r="FH448"/>
      <c r="FI448"/>
      <c r="FJ448"/>
      <c r="FK448"/>
      <c r="FL448"/>
      <c r="FM448"/>
      <c r="FN448"/>
      <c r="FO448"/>
      <c r="FP448"/>
      <c r="FQ448"/>
      <c r="FR448"/>
      <c r="FS448"/>
      <c r="FT448"/>
      <c r="FU448"/>
      <c r="FV448"/>
      <c r="FW448"/>
      <c r="FX448"/>
      <c r="FY448"/>
      <c r="FZ448"/>
      <c r="GA448"/>
      <c r="GB448"/>
      <c r="GC448"/>
      <c r="GD448"/>
      <c r="GE448"/>
      <c r="GF448"/>
      <c r="GG448"/>
      <c r="GH448"/>
      <c r="GI448"/>
      <c r="GJ448"/>
      <c r="GK448"/>
      <c r="GL448"/>
      <c r="GM448"/>
      <c r="GN448"/>
      <c r="GO448"/>
      <c r="GP448"/>
      <c r="GQ448"/>
      <c r="GR448"/>
      <c r="GS448"/>
      <c r="GT448"/>
      <c r="GU448"/>
      <c r="GV448"/>
      <c r="GW448"/>
      <c r="GX448"/>
      <c r="GY448"/>
      <c r="GZ448"/>
      <c r="HA448"/>
    </row>
    <row r="449" spans="1:209" ht="15" customHeight="1" x14ac:dyDescent="0.15">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c r="FC449"/>
      <c r="FD449"/>
      <c r="FE449"/>
      <c r="FF449"/>
      <c r="FG449"/>
      <c r="FH449"/>
      <c r="FI449"/>
      <c r="FJ449"/>
      <c r="FK449"/>
      <c r="FL449"/>
      <c r="FM449"/>
      <c r="FN449"/>
      <c r="FO449"/>
      <c r="FP449"/>
      <c r="FQ449"/>
      <c r="FR449"/>
      <c r="FS449"/>
      <c r="FT449"/>
      <c r="FU449"/>
      <c r="FV449"/>
      <c r="FW449"/>
      <c r="FX449"/>
      <c r="FY449"/>
      <c r="FZ449"/>
      <c r="GA449"/>
      <c r="GB449"/>
      <c r="GC449"/>
      <c r="GD449"/>
      <c r="GE449"/>
      <c r="GF449"/>
      <c r="GG449"/>
      <c r="GH449"/>
      <c r="GI449"/>
      <c r="GJ449"/>
      <c r="GK449"/>
      <c r="GL449"/>
      <c r="GM449"/>
      <c r="GN449"/>
      <c r="GO449"/>
      <c r="GP449"/>
      <c r="GQ449"/>
      <c r="GR449"/>
      <c r="GS449"/>
      <c r="GT449"/>
      <c r="GU449"/>
      <c r="GV449"/>
      <c r="GW449"/>
      <c r="GX449"/>
      <c r="GY449"/>
      <c r="GZ449"/>
      <c r="HA449"/>
    </row>
    <row r="450" spans="1:209" ht="15" customHeight="1" x14ac:dyDescent="0.15">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c r="FC450"/>
      <c r="FD450"/>
      <c r="FE450"/>
      <c r="FF450"/>
      <c r="FG450"/>
      <c r="FH450"/>
      <c r="FI450"/>
      <c r="FJ450"/>
      <c r="FK450"/>
      <c r="FL450"/>
      <c r="FM450"/>
      <c r="FN450"/>
      <c r="FO450"/>
      <c r="FP450"/>
      <c r="FQ450"/>
      <c r="FR450"/>
      <c r="FS450"/>
      <c r="FT450"/>
      <c r="FU450"/>
      <c r="FV450"/>
      <c r="FW450"/>
      <c r="FX450"/>
      <c r="FY450"/>
      <c r="FZ450"/>
      <c r="GA450"/>
      <c r="GB450"/>
      <c r="GC450"/>
      <c r="GD450"/>
      <c r="GE450"/>
      <c r="GF450"/>
      <c r="GG450"/>
      <c r="GH450"/>
      <c r="GI450"/>
      <c r="GJ450"/>
      <c r="GK450"/>
      <c r="GL450"/>
      <c r="GM450"/>
      <c r="GN450"/>
      <c r="GO450"/>
      <c r="GP450"/>
      <c r="GQ450"/>
      <c r="GR450"/>
      <c r="GS450"/>
      <c r="GT450"/>
      <c r="GU450"/>
      <c r="GV450"/>
      <c r="GW450"/>
      <c r="GX450"/>
      <c r="GY450"/>
      <c r="GZ450"/>
      <c r="HA450"/>
    </row>
    <row r="451" spans="1:209" ht="15" customHeight="1" x14ac:dyDescent="0.15">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c r="FC451"/>
      <c r="FD451"/>
      <c r="FE451"/>
      <c r="FF451"/>
      <c r="FG451"/>
      <c r="FH451"/>
      <c r="FI451"/>
      <c r="FJ451"/>
      <c r="FK451"/>
      <c r="FL451"/>
      <c r="FM451"/>
      <c r="FN451"/>
      <c r="FO451"/>
      <c r="FP451"/>
      <c r="FQ451"/>
      <c r="FR451"/>
      <c r="FS451"/>
      <c r="FT451"/>
      <c r="FU451"/>
      <c r="FV451"/>
      <c r="FW451"/>
      <c r="FX451"/>
      <c r="FY451"/>
      <c r="FZ451"/>
      <c r="GA451"/>
      <c r="GB451"/>
      <c r="GC451"/>
      <c r="GD451"/>
      <c r="GE451"/>
      <c r="GF451"/>
      <c r="GG451"/>
      <c r="GH451"/>
      <c r="GI451"/>
      <c r="GJ451"/>
      <c r="GK451"/>
      <c r="GL451"/>
      <c r="GM451"/>
      <c r="GN451"/>
      <c r="GO451"/>
      <c r="GP451"/>
      <c r="GQ451"/>
      <c r="GR451"/>
      <c r="GS451"/>
      <c r="GT451"/>
      <c r="GU451"/>
      <c r="GV451"/>
      <c r="GW451"/>
      <c r="GX451"/>
      <c r="GY451"/>
      <c r="GZ451"/>
      <c r="HA451"/>
    </row>
    <row r="452" spans="1:209" ht="15" customHeight="1" x14ac:dyDescent="0.15">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c r="FC452"/>
      <c r="FD452"/>
      <c r="FE452"/>
      <c r="FF452"/>
      <c r="FG452"/>
      <c r="FH452"/>
      <c r="FI452"/>
      <c r="FJ452"/>
      <c r="FK452"/>
      <c r="FL452"/>
      <c r="FM452"/>
      <c r="FN452"/>
      <c r="FO452"/>
      <c r="FP452"/>
      <c r="FQ452"/>
      <c r="FR452"/>
      <c r="FS452"/>
      <c r="FT452"/>
      <c r="FU452"/>
      <c r="FV452"/>
      <c r="FW452"/>
      <c r="FX452"/>
      <c r="FY452"/>
      <c r="FZ452"/>
      <c r="GA452"/>
      <c r="GB452"/>
      <c r="GC452"/>
      <c r="GD452"/>
      <c r="GE452"/>
      <c r="GF452"/>
      <c r="GG452"/>
      <c r="GH452"/>
      <c r="GI452"/>
      <c r="GJ452"/>
      <c r="GK452"/>
      <c r="GL452"/>
      <c r="GM452"/>
      <c r="GN452"/>
      <c r="GO452"/>
      <c r="GP452"/>
      <c r="GQ452"/>
      <c r="GR452"/>
      <c r="GS452"/>
      <c r="GT452"/>
      <c r="GU452"/>
      <c r="GV452"/>
      <c r="GW452"/>
      <c r="GX452"/>
      <c r="GY452"/>
      <c r="GZ452"/>
      <c r="HA452"/>
    </row>
    <row r="453" spans="1:209" ht="15" customHeight="1" x14ac:dyDescent="0.15">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c r="FC453"/>
      <c r="FD453"/>
      <c r="FE453"/>
      <c r="FF453"/>
      <c r="FG453"/>
      <c r="FH453"/>
      <c r="FI453"/>
      <c r="FJ453"/>
      <c r="FK453"/>
      <c r="FL453"/>
      <c r="FM453"/>
      <c r="FN453"/>
      <c r="FO453"/>
      <c r="FP453"/>
      <c r="FQ453"/>
      <c r="FR453"/>
      <c r="FS453"/>
      <c r="FT453"/>
      <c r="FU453"/>
      <c r="FV453"/>
      <c r="FW453"/>
      <c r="FX453"/>
      <c r="FY453"/>
      <c r="FZ453"/>
      <c r="GA453"/>
      <c r="GB453"/>
      <c r="GC453"/>
      <c r="GD453"/>
      <c r="GE453"/>
      <c r="GF453"/>
      <c r="GG453"/>
      <c r="GH453"/>
      <c r="GI453"/>
      <c r="GJ453"/>
      <c r="GK453"/>
      <c r="GL453"/>
      <c r="GM453"/>
      <c r="GN453"/>
      <c r="GO453"/>
      <c r="GP453"/>
      <c r="GQ453"/>
      <c r="GR453"/>
      <c r="GS453"/>
      <c r="GT453"/>
      <c r="GU453"/>
      <c r="GV453"/>
      <c r="GW453"/>
      <c r="GX453"/>
      <c r="GY453"/>
      <c r="GZ453"/>
      <c r="HA453"/>
    </row>
    <row r="454" spans="1:209" ht="15" customHeight="1" x14ac:dyDescent="0.15">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c r="FC454"/>
      <c r="FD454"/>
      <c r="FE454"/>
      <c r="FF454"/>
      <c r="FG454"/>
      <c r="FH454"/>
      <c r="FI454"/>
      <c r="FJ454"/>
      <c r="FK454"/>
      <c r="FL454"/>
      <c r="FM454"/>
      <c r="FN454"/>
      <c r="FO454"/>
      <c r="FP454"/>
      <c r="FQ454"/>
      <c r="FR454"/>
      <c r="FS454"/>
      <c r="FT454"/>
      <c r="FU454"/>
      <c r="FV454"/>
      <c r="FW454"/>
      <c r="FX454"/>
      <c r="FY454"/>
      <c r="FZ454"/>
      <c r="GA454"/>
      <c r="GB454"/>
      <c r="GC454"/>
      <c r="GD454"/>
      <c r="GE454"/>
      <c r="GF454"/>
      <c r="GG454"/>
      <c r="GH454"/>
      <c r="GI454"/>
      <c r="GJ454"/>
      <c r="GK454"/>
      <c r="GL454"/>
      <c r="GM454"/>
      <c r="GN454"/>
      <c r="GO454"/>
      <c r="GP454"/>
      <c r="GQ454"/>
      <c r="GR454"/>
      <c r="GS454"/>
      <c r="GT454"/>
      <c r="GU454"/>
      <c r="GV454"/>
      <c r="GW454"/>
      <c r="GX454"/>
      <c r="GY454"/>
      <c r="GZ454"/>
      <c r="HA454"/>
    </row>
    <row r="455" spans="1:209" ht="15" customHeight="1" x14ac:dyDescent="0.15">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c r="FC455"/>
      <c r="FD455"/>
      <c r="FE455"/>
      <c r="FF455"/>
      <c r="FG455"/>
      <c r="FH455"/>
      <c r="FI455"/>
      <c r="FJ455"/>
      <c r="FK455"/>
      <c r="FL455"/>
      <c r="FM455"/>
      <c r="FN455"/>
      <c r="FO455"/>
      <c r="FP455"/>
      <c r="FQ455"/>
      <c r="FR455"/>
      <c r="FS455"/>
      <c r="FT455"/>
      <c r="FU455"/>
      <c r="FV455"/>
      <c r="FW455"/>
      <c r="FX455"/>
      <c r="FY455"/>
      <c r="FZ455"/>
      <c r="GA455"/>
      <c r="GB455"/>
      <c r="GC455"/>
      <c r="GD455"/>
      <c r="GE455"/>
      <c r="GF455"/>
      <c r="GG455"/>
      <c r="GH455"/>
      <c r="GI455"/>
      <c r="GJ455"/>
      <c r="GK455"/>
      <c r="GL455"/>
      <c r="GM455"/>
      <c r="GN455"/>
      <c r="GO455"/>
      <c r="GP455"/>
      <c r="GQ455"/>
      <c r="GR455"/>
      <c r="GS455"/>
      <c r="GT455"/>
      <c r="GU455"/>
      <c r="GV455"/>
      <c r="GW455"/>
      <c r="GX455"/>
      <c r="GY455"/>
      <c r="GZ455"/>
      <c r="HA455"/>
    </row>
    <row r="456" spans="1:209" ht="15" customHeight="1" x14ac:dyDescent="0.15">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c r="FC456"/>
      <c r="FD456"/>
      <c r="FE456"/>
      <c r="FF456"/>
      <c r="FG456"/>
      <c r="FH456"/>
      <c r="FI456"/>
      <c r="FJ456"/>
      <c r="FK456"/>
      <c r="FL456"/>
      <c r="FM456"/>
      <c r="FN456"/>
      <c r="FO456"/>
      <c r="FP456"/>
      <c r="FQ456"/>
      <c r="FR456"/>
      <c r="FS456"/>
      <c r="FT456"/>
      <c r="FU456"/>
      <c r="FV456"/>
      <c r="FW456"/>
      <c r="FX456"/>
      <c r="FY456"/>
      <c r="FZ456"/>
      <c r="GA456"/>
      <c r="GB456"/>
      <c r="GC456"/>
      <c r="GD456"/>
      <c r="GE456"/>
      <c r="GF456"/>
      <c r="GG456"/>
      <c r="GH456"/>
      <c r="GI456"/>
      <c r="GJ456"/>
      <c r="GK456"/>
      <c r="GL456"/>
      <c r="GM456"/>
      <c r="GN456"/>
      <c r="GO456"/>
      <c r="GP456"/>
      <c r="GQ456"/>
      <c r="GR456"/>
      <c r="GS456"/>
      <c r="GT456"/>
      <c r="GU456"/>
      <c r="GV456"/>
      <c r="GW456"/>
      <c r="GX456"/>
      <c r="GY456"/>
      <c r="GZ456"/>
      <c r="HA456"/>
    </row>
    <row r="457" spans="1:209" ht="15" customHeight="1" x14ac:dyDescent="0.15">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c r="FC457"/>
      <c r="FD457"/>
      <c r="FE457"/>
      <c r="FF457"/>
      <c r="FG457"/>
      <c r="FH457"/>
      <c r="FI457"/>
      <c r="FJ457"/>
      <c r="FK457"/>
      <c r="FL457"/>
      <c r="FM457"/>
      <c r="FN457"/>
      <c r="FO457"/>
      <c r="FP457"/>
      <c r="FQ457"/>
      <c r="FR457"/>
      <c r="FS457"/>
      <c r="FT457"/>
      <c r="FU457"/>
      <c r="FV457"/>
      <c r="FW457"/>
      <c r="FX457"/>
      <c r="FY457"/>
      <c r="FZ457"/>
      <c r="GA457"/>
      <c r="GB457"/>
      <c r="GC457"/>
      <c r="GD457"/>
      <c r="GE457"/>
      <c r="GF457"/>
      <c r="GG457"/>
      <c r="GH457"/>
      <c r="GI457"/>
      <c r="GJ457"/>
      <c r="GK457"/>
      <c r="GL457"/>
      <c r="GM457"/>
      <c r="GN457"/>
      <c r="GO457"/>
      <c r="GP457"/>
      <c r="GQ457"/>
      <c r="GR457"/>
      <c r="GS457"/>
      <c r="GT457"/>
      <c r="GU457"/>
      <c r="GV457"/>
      <c r="GW457"/>
      <c r="GX457"/>
      <c r="GY457"/>
      <c r="GZ457"/>
      <c r="HA457"/>
    </row>
    <row r="458" spans="1:209" ht="15" customHeight="1" x14ac:dyDescent="0.15">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c r="FC458"/>
      <c r="FD458"/>
      <c r="FE458"/>
      <c r="FF458"/>
      <c r="FG458"/>
      <c r="FH458"/>
      <c r="FI458"/>
      <c r="FJ458"/>
      <c r="FK458"/>
      <c r="FL458"/>
      <c r="FM458"/>
      <c r="FN458"/>
      <c r="FO458"/>
      <c r="FP458"/>
      <c r="FQ458"/>
      <c r="FR458"/>
      <c r="FS458"/>
      <c r="FT458"/>
      <c r="FU458"/>
      <c r="FV458"/>
      <c r="FW458"/>
      <c r="FX458"/>
      <c r="FY458"/>
      <c r="FZ458"/>
      <c r="GA458"/>
      <c r="GB458"/>
      <c r="GC458"/>
      <c r="GD458"/>
      <c r="GE458"/>
      <c r="GF458"/>
      <c r="GG458"/>
      <c r="GH458"/>
      <c r="GI458"/>
      <c r="GJ458"/>
      <c r="GK458"/>
      <c r="GL458"/>
      <c r="GM458"/>
      <c r="GN458"/>
      <c r="GO458"/>
      <c r="GP458"/>
      <c r="GQ458"/>
      <c r="GR458"/>
      <c r="GS458"/>
      <c r="GT458"/>
      <c r="GU458"/>
      <c r="GV458"/>
      <c r="GW458"/>
      <c r="GX458"/>
      <c r="GY458"/>
      <c r="GZ458"/>
      <c r="HA458"/>
    </row>
    <row r="459" spans="1:209" ht="15" customHeight="1" x14ac:dyDescent="0.15">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c r="FC459"/>
      <c r="FD459"/>
      <c r="FE459"/>
      <c r="FF459"/>
      <c r="FG459"/>
      <c r="FH459"/>
      <c r="FI459"/>
      <c r="FJ459"/>
      <c r="FK459"/>
      <c r="FL459"/>
      <c r="FM459"/>
      <c r="FN459"/>
      <c r="FO459"/>
      <c r="FP459"/>
      <c r="FQ459"/>
      <c r="FR459"/>
      <c r="FS459"/>
      <c r="FT459"/>
      <c r="FU459"/>
      <c r="FV459"/>
      <c r="FW459"/>
      <c r="FX459"/>
      <c r="FY459"/>
      <c r="FZ459"/>
      <c r="GA459"/>
      <c r="GB459"/>
      <c r="GC459"/>
      <c r="GD459"/>
      <c r="GE459"/>
      <c r="GF459"/>
      <c r="GG459"/>
      <c r="GH459"/>
      <c r="GI459"/>
      <c r="GJ459"/>
      <c r="GK459"/>
      <c r="GL459"/>
      <c r="GM459"/>
      <c r="GN459"/>
      <c r="GO459"/>
      <c r="GP459"/>
      <c r="GQ459"/>
      <c r="GR459"/>
      <c r="GS459"/>
      <c r="GT459"/>
      <c r="GU459"/>
      <c r="GV459"/>
      <c r="GW459"/>
      <c r="GX459"/>
      <c r="GY459"/>
      <c r="GZ459"/>
      <c r="HA459"/>
    </row>
    <row r="460" spans="1:209" ht="15" customHeight="1" x14ac:dyDescent="0.15">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c r="FC460"/>
      <c r="FD460"/>
      <c r="FE460"/>
      <c r="FF460"/>
      <c r="FG460"/>
      <c r="FH460"/>
      <c r="FI460"/>
      <c r="FJ460"/>
      <c r="FK460"/>
      <c r="FL460"/>
      <c r="FM460"/>
      <c r="FN460"/>
      <c r="FO460"/>
      <c r="FP460"/>
      <c r="FQ460"/>
      <c r="FR460"/>
      <c r="FS460"/>
      <c r="FT460"/>
      <c r="FU460"/>
      <c r="FV460"/>
      <c r="FW460"/>
      <c r="FX460"/>
      <c r="FY460"/>
      <c r="FZ460"/>
      <c r="GA460"/>
      <c r="GB460"/>
      <c r="GC460"/>
      <c r="GD460"/>
      <c r="GE460"/>
      <c r="GF460"/>
      <c r="GG460"/>
      <c r="GH460"/>
      <c r="GI460"/>
      <c r="GJ460"/>
      <c r="GK460"/>
      <c r="GL460"/>
      <c r="GM460"/>
      <c r="GN460"/>
      <c r="GO460"/>
      <c r="GP460"/>
      <c r="GQ460"/>
      <c r="GR460"/>
      <c r="GS460"/>
      <c r="GT460"/>
      <c r="GU460"/>
      <c r="GV460"/>
      <c r="GW460"/>
      <c r="GX460"/>
      <c r="GY460"/>
      <c r="GZ460"/>
      <c r="HA460"/>
    </row>
    <row r="461" spans="1:209" ht="15" customHeight="1" x14ac:dyDescent="0.15">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c r="FC461"/>
      <c r="FD461"/>
      <c r="FE461"/>
      <c r="FF461"/>
      <c r="FG461"/>
      <c r="FH461"/>
      <c r="FI461"/>
      <c r="FJ461"/>
      <c r="FK461"/>
      <c r="FL461"/>
      <c r="FM461"/>
      <c r="FN461"/>
      <c r="FO461"/>
      <c r="FP461"/>
      <c r="FQ461"/>
      <c r="FR461"/>
      <c r="FS461"/>
      <c r="FT461"/>
      <c r="FU461"/>
      <c r="FV461"/>
      <c r="FW461"/>
      <c r="FX461"/>
      <c r="FY461"/>
      <c r="FZ461"/>
      <c r="GA461"/>
      <c r="GB461"/>
      <c r="GC461"/>
      <c r="GD461"/>
      <c r="GE461"/>
      <c r="GF461"/>
      <c r="GG461"/>
      <c r="GH461"/>
      <c r="GI461"/>
      <c r="GJ461"/>
      <c r="GK461"/>
      <c r="GL461"/>
      <c r="GM461"/>
      <c r="GN461"/>
      <c r="GO461"/>
      <c r="GP461"/>
      <c r="GQ461"/>
      <c r="GR461"/>
      <c r="GS461"/>
      <c r="GT461"/>
      <c r="GU461"/>
      <c r="GV461"/>
      <c r="GW461"/>
      <c r="GX461"/>
      <c r="GY461"/>
      <c r="GZ461"/>
      <c r="HA461"/>
    </row>
    <row r="462" spans="1:209" ht="15" customHeight="1" x14ac:dyDescent="0.15">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c r="FC462"/>
      <c r="FD462"/>
      <c r="FE462"/>
      <c r="FF462"/>
      <c r="FG462"/>
      <c r="FH462"/>
      <c r="FI462"/>
      <c r="FJ462"/>
      <c r="FK462"/>
      <c r="FL462"/>
      <c r="FM462"/>
      <c r="FN462"/>
      <c r="FO462"/>
      <c r="FP462"/>
      <c r="FQ462"/>
      <c r="FR462"/>
      <c r="FS462"/>
      <c r="FT462"/>
      <c r="FU462"/>
      <c r="FV462"/>
      <c r="FW462"/>
      <c r="FX462"/>
      <c r="FY462"/>
      <c r="FZ462"/>
      <c r="GA462"/>
      <c r="GB462"/>
      <c r="GC462"/>
      <c r="GD462"/>
      <c r="GE462"/>
      <c r="GF462"/>
      <c r="GG462"/>
      <c r="GH462"/>
      <c r="GI462"/>
      <c r="GJ462"/>
      <c r="GK462"/>
      <c r="GL462"/>
      <c r="GM462"/>
      <c r="GN462"/>
      <c r="GO462"/>
      <c r="GP462"/>
      <c r="GQ462"/>
      <c r="GR462"/>
      <c r="GS462"/>
      <c r="GT462"/>
      <c r="GU462"/>
      <c r="GV462"/>
      <c r="GW462"/>
      <c r="GX462"/>
      <c r="GY462"/>
      <c r="GZ462"/>
      <c r="HA462"/>
    </row>
    <row r="463" spans="1:209" ht="15" customHeight="1" x14ac:dyDescent="0.15">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c r="FC463"/>
      <c r="FD463"/>
      <c r="FE463"/>
      <c r="FF463"/>
      <c r="FG463"/>
      <c r="FH463"/>
      <c r="FI463"/>
      <c r="FJ463"/>
      <c r="FK463"/>
      <c r="FL463"/>
      <c r="FM463"/>
      <c r="FN463"/>
      <c r="FO463"/>
      <c r="FP463"/>
      <c r="FQ463"/>
      <c r="FR463"/>
      <c r="FS463"/>
      <c r="FT463"/>
      <c r="FU463"/>
      <c r="FV463"/>
      <c r="FW463"/>
      <c r="FX463"/>
      <c r="FY463"/>
      <c r="FZ463"/>
      <c r="GA463"/>
      <c r="GB463"/>
      <c r="GC463"/>
      <c r="GD463"/>
      <c r="GE463"/>
      <c r="GF463"/>
      <c r="GG463"/>
      <c r="GH463"/>
      <c r="GI463"/>
      <c r="GJ463"/>
      <c r="GK463"/>
      <c r="GL463"/>
      <c r="GM463"/>
      <c r="GN463"/>
      <c r="GO463"/>
      <c r="GP463"/>
      <c r="GQ463"/>
      <c r="GR463"/>
      <c r="GS463"/>
      <c r="GT463"/>
      <c r="GU463"/>
      <c r="GV463"/>
      <c r="GW463"/>
      <c r="GX463"/>
      <c r="GY463"/>
      <c r="GZ463"/>
      <c r="HA463"/>
    </row>
    <row r="464" spans="1:209" ht="15" customHeight="1" x14ac:dyDescent="0.15">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c r="FC464"/>
      <c r="FD464"/>
      <c r="FE464"/>
      <c r="FF464"/>
      <c r="FG464"/>
      <c r="FH464"/>
      <c r="FI464"/>
      <c r="FJ464"/>
      <c r="FK464"/>
      <c r="FL464"/>
      <c r="FM464"/>
      <c r="FN464"/>
      <c r="FO464"/>
      <c r="FP464"/>
      <c r="FQ464"/>
      <c r="FR464"/>
      <c r="FS464"/>
      <c r="FT464"/>
      <c r="FU464"/>
      <c r="FV464"/>
      <c r="FW464"/>
      <c r="FX464"/>
      <c r="FY464"/>
      <c r="FZ464"/>
      <c r="GA464"/>
      <c r="GB464"/>
      <c r="GC464"/>
      <c r="GD464"/>
      <c r="GE464"/>
      <c r="GF464"/>
      <c r="GG464"/>
      <c r="GH464"/>
      <c r="GI464"/>
      <c r="GJ464"/>
      <c r="GK464"/>
      <c r="GL464"/>
      <c r="GM464"/>
      <c r="GN464"/>
      <c r="GO464"/>
      <c r="GP464"/>
      <c r="GQ464"/>
      <c r="GR464"/>
      <c r="GS464"/>
      <c r="GT464"/>
      <c r="GU464"/>
      <c r="GV464"/>
      <c r="GW464"/>
      <c r="GX464"/>
      <c r="GY464"/>
      <c r="GZ464"/>
      <c r="HA464"/>
    </row>
    <row r="465" spans="1:209" ht="15" customHeight="1" x14ac:dyDescent="0.15">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c r="FC465"/>
      <c r="FD465"/>
      <c r="FE465"/>
      <c r="FF465"/>
      <c r="FG465"/>
      <c r="FH465"/>
      <c r="FI465"/>
      <c r="FJ465"/>
      <c r="FK465"/>
      <c r="FL465"/>
      <c r="FM465"/>
      <c r="FN465"/>
      <c r="FO465"/>
      <c r="FP465"/>
      <c r="FQ465"/>
      <c r="FR465"/>
      <c r="FS465"/>
      <c r="FT465"/>
      <c r="FU465"/>
      <c r="FV465"/>
      <c r="FW465"/>
      <c r="FX465"/>
      <c r="FY465"/>
      <c r="FZ465"/>
      <c r="GA465"/>
      <c r="GB465"/>
      <c r="GC465"/>
      <c r="GD465"/>
      <c r="GE465"/>
      <c r="GF465"/>
      <c r="GG465"/>
      <c r="GH465"/>
      <c r="GI465"/>
      <c r="GJ465"/>
      <c r="GK465"/>
      <c r="GL465"/>
      <c r="GM465"/>
      <c r="GN465"/>
      <c r="GO465"/>
      <c r="GP465"/>
      <c r="GQ465"/>
      <c r="GR465"/>
      <c r="GS465"/>
      <c r="GT465"/>
      <c r="GU465"/>
      <c r="GV465"/>
      <c r="GW465"/>
      <c r="GX465"/>
      <c r="GY465"/>
      <c r="GZ465"/>
      <c r="HA465"/>
    </row>
    <row r="466" spans="1:209" ht="15" customHeight="1" x14ac:dyDescent="0.15">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c r="FC466"/>
      <c r="FD466"/>
      <c r="FE466"/>
      <c r="FF466"/>
      <c r="FG466"/>
      <c r="FH466"/>
      <c r="FI466"/>
      <c r="FJ466"/>
      <c r="FK466"/>
      <c r="FL466"/>
      <c r="FM466"/>
      <c r="FN466"/>
      <c r="FO466"/>
      <c r="FP466"/>
      <c r="FQ466"/>
      <c r="FR466"/>
      <c r="FS466"/>
      <c r="FT466"/>
      <c r="FU466"/>
      <c r="FV466"/>
      <c r="FW466"/>
      <c r="FX466"/>
      <c r="FY466"/>
      <c r="FZ466"/>
      <c r="GA466"/>
      <c r="GB466"/>
      <c r="GC466"/>
      <c r="GD466"/>
      <c r="GE466"/>
      <c r="GF466"/>
      <c r="GG466"/>
      <c r="GH466"/>
      <c r="GI466"/>
      <c r="GJ466"/>
      <c r="GK466"/>
      <c r="GL466"/>
      <c r="GM466"/>
      <c r="GN466"/>
      <c r="GO466"/>
      <c r="GP466"/>
      <c r="GQ466"/>
      <c r="GR466"/>
      <c r="GS466"/>
      <c r="GT466"/>
      <c r="GU466"/>
      <c r="GV466"/>
      <c r="GW466"/>
      <c r="GX466"/>
      <c r="GY466"/>
      <c r="GZ466"/>
      <c r="HA466"/>
    </row>
    <row r="467" spans="1:209" ht="15" customHeight="1" x14ac:dyDescent="0.15">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c r="FC467"/>
      <c r="FD467"/>
      <c r="FE467"/>
      <c r="FF467"/>
      <c r="FG467"/>
      <c r="FH467"/>
      <c r="FI467"/>
      <c r="FJ467"/>
      <c r="FK467"/>
      <c r="FL467"/>
      <c r="FM467"/>
      <c r="FN467"/>
      <c r="FO467"/>
      <c r="FP467"/>
      <c r="FQ467"/>
      <c r="FR467"/>
      <c r="FS467"/>
      <c r="FT467"/>
      <c r="FU467"/>
      <c r="FV467"/>
      <c r="FW467"/>
      <c r="FX467"/>
      <c r="FY467"/>
      <c r="FZ467"/>
      <c r="GA467"/>
      <c r="GB467"/>
      <c r="GC467"/>
      <c r="GD467"/>
      <c r="GE467"/>
      <c r="GF467"/>
      <c r="GG467"/>
      <c r="GH467"/>
      <c r="GI467"/>
      <c r="GJ467"/>
      <c r="GK467"/>
      <c r="GL467"/>
      <c r="GM467"/>
      <c r="GN467"/>
      <c r="GO467"/>
      <c r="GP467"/>
      <c r="GQ467"/>
      <c r="GR467"/>
      <c r="GS467"/>
      <c r="GT467"/>
      <c r="GU467"/>
      <c r="GV467"/>
      <c r="GW467"/>
      <c r="GX467"/>
      <c r="GY467"/>
      <c r="GZ467"/>
      <c r="HA467"/>
    </row>
    <row r="468" spans="1:209" ht="15" customHeight="1" x14ac:dyDescent="0.15">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c r="FC468"/>
      <c r="FD468"/>
      <c r="FE468"/>
      <c r="FF468"/>
      <c r="FG468"/>
      <c r="FH468"/>
      <c r="FI468"/>
      <c r="FJ468"/>
      <c r="FK468"/>
      <c r="FL468"/>
      <c r="FM468"/>
      <c r="FN468"/>
      <c r="FO468"/>
      <c r="FP468"/>
      <c r="FQ468"/>
      <c r="FR468"/>
      <c r="FS468"/>
      <c r="FT468"/>
      <c r="FU468"/>
      <c r="FV468"/>
      <c r="FW468"/>
      <c r="FX468"/>
      <c r="FY468"/>
      <c r="FZ468"/>
      <c r="GA468"/>
      <c r="GB468"/>
      <c r="GC468"/>
      <c r="GD468"/>
      <c r="GE468"/>
      <c r="GF468"/>
      <c r="GG468"/>
      <c r="GH468"/>
      <c r="GI468"/>
      <c r="GJ468"/>
      <c r="GK468"/>
      <c r="GL468"/>
      <c r="GM468"/>
      <c r="GN468"/>
      <c r="GO468"/>
      <c r="GP468"/>
      <c r="GQ468"/>
      <c r="GR468"/>
      <c r="GS468"/>
      <c r="GT468"/>
      <c r="GU468"/>
      <c r="GV468"/>
      <c r="GW468"/>
      <c r="GX468"/>
      <c r="GY468"/>
      <c r="GZ468"/>
      <c r="HA468"/>
    </row>
    <row r="469" spans="1:209" ht="15" customHeight="1" x14ac:dyDescent="0.15">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c r="FC469"/>
      <c r="FD469"/>
      <c r="FE469"/>
      <c r="FF469"/>
      <c r="FG469"/>
      <c r="FH469"/>
      <c r="FI469"/>
      <c r="FJ469"/>
      <c r="FK469"/>
      <c r="FL469"/>
      <c r="FM469"/>
      <c r="FN469"/>
      <c r="FO469"/>
      <c r="FP469"/>
      <c r="FQ469"/>
      <c r="FR469"/>
      <c r="FS469"/>
      <c r="FT469"/>
      <c r="FU469"/>
      <c r="FV469"/>
      <c r="FW469"/>
      <c r="FX469"/>
      <c r="FY469"/>
      <c r="FZ469"/>
      <c r="GA469"/>
      <c r="GB469"/>
      <c r="GC469"/>
      <c r="GD469"/>
      <c r="GE469"/>
      <c r="GF469"/>
      <c r="GG469"/>
      <c r="GH469"/>
      <c r="GI469"/>
      <c r="GJ469"/>
      <c r="GK469"/>
      <c r="GL469"/>
      <c r="GM469"/>
      <c r="GN469"/>
      <c r="GO469"/>
      <c r="GP469"/>
      <c r="GQ469"/>
      <c r="GR469"/>
      <c r="GS469"/>
      <c r="GT469"/>
      <c r="GU469"/>
      <c r="GV469"/>
      <c r="GW469"/>
      <c r="GX469"/>
      <c r="GY469"/>
      <c r="GZ469"/>
      <c r="HA469"/>
    </row>
    <row r="470" spans="1:209" ht="15" customHeight="1" x14ac:dyDescent="0.15">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c r="FC470"/>
      <c r="FD470"/>
      <c r="FE470"/>
      <c r="FF470"/>
      <c r="FG470"/>
      <c r="FH470"/>
      <c r="FI470"/>
      <c r="FJ470"/>
      <c r="FK470"/>
      <c r="FL470"/>
      <c r="FM470"/>
      <c r="FN470"/>
      <c r="FO470"/>
      <c r="FP470"/>
      <c r="FQ470"/>
      <c r="FR470"/>
      <c r="FS470"/>
      <c r="FT470"/>
      <c r="FU470"/>
      <c r="FV470"/>
      <c r="FW470"/>
      <c r="FX470"/>
      <c r="FY470"/>
      <c r="FZ470"/>
      <c r="GA470"/>
      <c r="GB470"/>
      <c r="GC470"/>
      <c r="GD470"/>
      <c r="GE470"/>
      <c r="GF470"/>
      <c r="GG470"/>
      <c r="GH470"/>
      <c r="GI470"/>
      <c r="GJ470"/>
      <c r="GK470"/>
      <c r="GL470"/>
      <c r="GM470"/>
      <c r="GN470"/>
      <c r="GO470"/>
      <c r="GP470"/>
      <c r="GQ470"/>
      <c r="GR470"/>
      <c r="GS470"/>
      <c r="GT470"/>
      <c r="GU470"/>
      <c r="GV470"/>
      <c r="GW470"/>
      <c r="GX470"/>
      <c r="GY470"/>
      <c r="GZ470"/>
      <c r="HA470"/>
    </row>
    <row r="471" spans="1:209" ht="15" customHeight="1" x14ac:dyDescent="0.15">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c r="FC471"/>
      <c r="FD471"/>
      <c r="FE471"/>
      <c r="FF471"/>
      <c r="FG471"/>
      <c r="FH471"/>
      <c r="FI471"/>
      <c r="FJ471"/>
      <c r="FK471"/>
      <c r="FL471"/>
      <c r="FM471"/>
      <c r="FN471"/>
      <c r="FO471"/>
      <c r="FP471"/>
      <c r="FQ471"/>
      <c r="FR471"/>
      <c r="FS471"/>
      <c r="FT471"/>
      <c r="FU471"/>
      <c r="FV471"/>
      <c r="FW471"/>
      <c r="FX471"/>
      <c r="FY471"/>
      <c r="FZ471"/>
      <c r="GA471"/>
      <c r="GB471"/>
      <c r="GC471"/>
      <c r="GD471"/>
      <c r="GE471"/>
      <c r="GF471"/>
      <c r="GG471"/>
      <c r="GH471"/>
      <c r="GI471"/>
      <c r="GJ471"/>
      <c r="GK471"/>
      <c r="GL471"/>
      <c r="GM471"/>
      <c r="GN471"/>
      <c r="GO471"/>
      <c r="GP471"/>
      <c r="GQ471"/>
      <c r="GR471"/>
      <c r="GS471"/>
      <c r="GT471"/>
      <c r="GU471"/>
      <c r="GV471"/>
      <c r="GW471"/>
      <c r="GX471"/>
      <c r="GY471"/>
      <c r="GZ471"/>
      <c r="HA471"/>
    </row>
    <row r="472" spans="1:209" ht="15" customHeight="1" x14ac:dyDescent="0.15">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c r="FC472"/>
      <c r="FD472"/>
      <c r="FE472"/>
      <c r="FF472"/>
      <c r="FG472"/>
      <c r="FH472"/>
      <c r="FI472"/>
      <c r="FJ472"/>
      <c r="FK472"/>
      <c r="FL472"/>
      <c r="FM472"/>
      <c r="FN472"/>
      <c r="FO472"/>
      <c r="FP472"/>
      <c r="FQ472"/>
      <c r="FR472"/>
      <c r="FS472"/>
      <c r="FT472"/>
      <c r="FU472"/>
      <c r="FV472"/>
      <c r="FW472"/>
      <c r="FX472"/>
      <c r="FY472"/>
      <c r="FZ472"/>
      <c r="GA472"/>
      <c r="GB472"/>
      <c r="GC472"/>
      <c r="GD472"/>
      <c r="GE472"/>
      <c r="GF472"/>
      <c r="GG472"/>
      <c r="GH472"/>
      <c r="GI472"/>
      <c r="GJ472"/>
      <c r="GK472"/>
      <c r="GL472"/>
      <c r="GM472"/>
      <c r="GN472"/>
      <c r="GO472"/>
      <c r="GP472"/>
      <c r="GQ472"/>
      <c r="GR472"/>
      <c r="GS472"/>
      <c r="GT472"/>
      <c r="GU472"/>
      <c r="GV472"/>
      <c r="GW472"/>
      <c r="GX472"/>
      <c r="GY472"/>
      <c r="GZ472"/>
      <c r="HA472"/>
    </row>
    <row r="473" spans="1:209" ht="15" customHeight="1" x14ac:dyDescent="0.15">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c r="FC473"/>
      <c r="FD473"/>
      <c r="FE473"/>
      <c r="FF473"/>
      <c r="FG473"/>
      <c r="FH473"/>
      <c r="FI473"/>
      <c r="FJ473"/>
      <c r="FK473"/>
      <c r="FL473"/>
      <c r="FM473"/>
      <c r="FN473"/>
      <c r="FO473"/>
      <c r="FP473"/>
      <c r="FQ473"/>
      <c r="FR473"/>
      <c r="FS473"/>
      <c r="FT473"/>
      <c r="FU473"/>
      <c r="FV473"/>
      <c r="FW473"/>
      <c r="FX473"/>
      <c r="FY473"/>
      <c r="FZ473"/>
      <c r="GA473"/>
      <c r="GB473"/>
      <c r="GC473"/>
      <c r="GD473"/>
      <c r="GE473"/>
      <c r="GF473"/>
      <c r="GG473"/>
      <c r="GH473"/>
      <c r="GI473"/>
      <c r="GJ473"/>
      <c r="GK473"/>
      <c r="GL473"/>
      <c r="GM473"/>
      <c r="GN473"/>
      <c r="GO473"/>
      <c r="GP473"/>
      <c r="GQ473"/>
      <c r="GR473"/>
      <c r="GS473"/>
      <c r="GT473"/>
      <c r="GU473"/>
      <c r="GV473"/>
      <c r="GW473"/>
      <c r="GX473"/>
      <c r="GY473"/>
      <c r="GZ473"/>
      <c r="HA473"/>
    </row>
    <row r="474" spans="1:209" ht="15" customHeight="1" x14ac:dyDescent="0.15">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c r="FC474"/>
      <c r="FD474"/>
      <c r="FE474"/>
      <c r="FF474"/>
      <c r="FG474"/>
      <c r="FH474"/>
      <c r="FI474"/>
      <c r="FJ474"/>
      <c r="FK474"/>
      <c r="FL474"/>
      <c r="FM474"/>
      <c r="FN474"/>
      <c r="FO474"/>
      <c r="FP474"/>
      <c r="FQ474"/>
      <c r="FR474"/>
      <c r="FS474"/>
      <c r="FT474"/>
      <c r="FU474"/>
      <c r="FV474"/>
      <c r="FW474"/>
      <c r="FX474"/>
      <c r="FY474"/>
      <c r="FZ474"/>
      <c r="GA474"/>
      <c r="GB474"/>
      <c r="GC474"/>
      <c r="GD474"/>
      <c r="GE474"/>
      <c r="GF474"/>
      <c r="GG474"/>
      <c r="GH474"/>
      <c r="GI474"/>
      <c r="GJ474"/>
      <c r="GK474"/>
      <c r="GL474"/>
      <c r="GM474"/>
      <c r="GN474"/>
      <c r="GO474"/>
      <c r="GP474"/>
      <c r="GQ474"/>
      <c r="GR474"/>
      <c r="GS474"/>
      <c r="GT474"/>
      <c r="GU474"/>
      <c r="GV474"/>
      <c r="GW474"/>
      <c r="GX474"/>
      <c r="GY474"/>
      <c r="GZ474"/>
      <c r="HA474"/>
    </row>
    <row r="475" spans="1:209" ht="15" customHeight="1" x14ac:dyDescent="0.15">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c r="FC475"/>
      <c r="FD475"/>
      <c r="FE475"/>
      <c r="FF475"/>
      <c r="FG475"/>
      <c r="FH475"/>
      <c r="FI475"/>
      <c r="FJ475"/>
      <c r="FK475"/>
      <c r="FL475"/>
      <c r="FM475"/>
      <c r="FN475"/>
      <c r="FO475"/>
      <c r="FP475"/>
      <c r="FQ475"/>
      <c r="FR475"/>
      <c r="FS475"/>
      <c r="FT475"/>
      <c r="FU475"/>
      <c r="FV475"/>
      <c r="FW475"/>
      <c r="FX475"/>
      <c r="FY475"/>
      <c r="FZ475"/>
      <c r="GA475"/>
      <c r="GB475"/>
      <c r="GC475"/>
      <c r="GD475"/>
      <c r="GE475"/>
      <c r="GF475"/>
      <c r="GG475"/>
      <c r="GH475"/>
      <c r="GI475"/>
      <c r="GJ475"/>
      <c r="GK475"/>
      <c r="GL475"/>
      <c r="GM475"/>
      <c r="GN475"/>
      <c r="GO475"/>
      <c r="GP475"/>
      <c r="GQ475"/>
      <c r="GR475"/>
      <c r="GS475"/>
      <c r="GT475"/>
      <c r="GU475"/>
      <c r="GV475"/>
      <c r="GW475"/>
      <c r="GX475"/>
      <c r="GY475"/>
      <c r="GZ475"/>
      <c r="HA475"/>
    </row>
    <row r="476" spans="1:209" ht="15" customHeight="1" x14ac:dyDescent="0.15">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c r="FC476"/>
      <c r="FD476"/>
      <c r="FE476"/>
      <c r="FF476"/>
      <c r="FG476"/>
      <c r="FH476"/>
      <c r="FI476"/>
      <c r="FJ476"/>
      <c r="FK476"/>
      <c r="FL476"/>
      <c r="FM476"/>
      <c r="FN476"/>
      <c r="FO476"/>
      <c r="FP476"/>
      <c r="FQ476"/>
      <c r="FR476"/>
      <c r="FS476"/>
      <c r="FT476"/>
      <c r="FU476"/>
      <c r="FV476"/>
      <c r="FW476"/>
      <c r="FX476"/>
      <c r="FY476"/>
      <c r="FZ476"/>
      <c r="GA476"/>
      <c r="GB476"/>
      <c r="GC476"/>
      <c r="GD476"/>
      <c r="GE476"/>
      <c r="GF476"/>
      <c r="GG476"/>
      <c r="GH476"/>
      <c r="GI476"/>
      <c r="GJ476"/>
      <c r="GK476"/>
      <c r="GL476"/>
      <c r="GM476"/>
      <c r="GN476"/>
      <c r="GO476"/>
      <c r="GP476"/>
      <c r="GQ476"/>
      <c r="GR476"/>
      <c r="GS476"/>
      <c r="GT476"/>
      <c r="GU476"/>
      <c r="GV476"/>
      <c r="GW476"/>
      <c r="GX476"/>
      <c r="GY476"/>
      <c r="GZ476"/>
      <c r="HA476"/>
    </row>
    <row r="477" spans="1:209" ht="15" customHeight="1" x14ac:dyDescent="0.15">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c r="FC477"/>
      <c r="FD477"/>
      <c r="FE477"/>
      <c r="FF477"/>
      <c r="FG477"/>
      <c r="FH477"/>
      <c r="FI477"/>
      <c r="FJ477"/>
      <c r="FK477"/>
      <c r="FL477"/>
      <c r="FM477"/>
      <c r="FN477"/>
      <c r="FO477"/>
      <c r="FP477"/>
      <c r="FQ477"/>
      <c r="FR477"/>
      <c r="FS477"/>
      <c r="FT477"/>
      <c r="FU477"/>
      <c r="FV477"/>
      <c r="FW477"/>
      <c r="FX477"/>
      <c r="FY477"/>
      <c r="FZ477"/>
      <c r="GA477"/>
      <c r="GB477"/>
      <c r="GC477"/>
      <c r="GD477"/>
      <c r="GE477"/>
      <c r="GF477"/>
      <c r="GG477"/>
      <c r="GH477"/>
      <c r="GI477"/>
      <c r="GJ477"/>
      <c r="GK477"/>
      <c r="GL477"/>
      <c r="GM477"/>
      <c r="GN477"/>
      <c r="GO477"/>
      <c r="GP477"/>
      <c r="GQ477"/>
      <c r="GR477"/>
      <c r="GS477"/>
      <c r="GT477"/>
      <c r="GU477"/>
      <c r="GV477"/>
      <c r="GW477"/>
      <c r="GX477"/>
      <c r="GY477"/>
      <c r="GZ477"/>
      <c r="HA477"/>
    </row>
    <row r="478" spans="1:209" ht="15" customHeight="1" x14ac:dyDescent="0.15">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c r="FC478"/>
      <c r="FD478"/>
      <c r="FE478"/>
      <c r="FF478"/>
      <c r="FG478"/>
      <c r="FH478"/>
      <c r="FI478"/>
      <c r="FJ478"/>
      <c r="FK478"/>
      <c r="FL478"/>
      <c r="FM478"/>
      <c r="FN478"/>
      <c r="FO478"/>
      <c r="FP478"/>
      <c r="FQ478"/>
      <c r="FR478"/>
      <c r="FS478"/>
      <c r="FT478"/>
      <c r="FU478"/>
      <c r="FV478"/>
      <c r="FW478"/>
      <c r="FX478"/>
      <c r="FY478"/>
      <c r="FZ478"/>
      <c r="GA478"/>
      <c r="GB478"/>
      <c r="GC478"/>
      <c r="GD478"/>
      <c r="GE478"/>
      <c r="GF478"/>
      <c r="GG478"/>
      <c r="GH478"/>
      <c r="GI478"/>
      <c r="GJ478"/>
      <c r="GK478"/>
      <c r="GL478"/>
      <c r="GM478"/>
      <c r="GN478"/>
      <c r="GO478"/>
      <c r="GP478"/>
      <c r="GQ478"/>
      <c r="GR478"/>
      <c r="GS478"/>
      <c r="GT478"/>
      <c r="GU478"/>
      <c r="GV478"/>
      <c r="GW478"/>
      <c r="GX478"/>
      <c r="GY478"/>
      <c r="GZ478"/>
      <c r="HA478"/>
    </row>
    <row r="479" spans="1:209" ht="15" customHeight="1" x14ac:dyDescent="0.15">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c r="FC479"/>
      <c r="FD479"/>
      <c r="FE479"/>
      <c r="FF479"/>
      <c r="FG479"/>
      <c r="FH479"/>
      <c r="FI479"/>
      <c r="FJ479"/>
      <c r="FK479"/>
      <c r="FL479"/>
      <c r="FM479"/>
      <c r="FN479"/>
      <c r="FO479"/>
      <c r="FP479"/>
      <c r="FQ479"/>
      <c r="FR479"/>
      <c r="FS479"/>
      <c r="FT479"/>
      <c r="FU479"/>
      <c r="FV479"/>
      <c r="FW479"/>
      <c r="FX479"/>
      <c r="FY479"/>
      <c r="FZ479"/>
      <c r="GA479"/>
      <c r="GB479"/>
      <c r="GC479"/>
      <c r="GD479"/>
      <c r="GE479"/>
      <c r="GF479"/>
      <c r="GG479"/>
      <c r="GH479"/>
      <c r="GI479"/>
      <c r="GJ479"/>
      <c r="GK479"/>
      <c r="GL479"/>
      <c r="GM479"/>
      <c r="GN479"/>
      <c r="GO479"/>
      <c r="GP479"/>
      <c r="GQ479"/>
      <c r="GR479"/>
      <c r="GS479"/>
      <c r="GT479"/>
      <c r="GU479"/>
      <c r="GV479"/>
      <c r="GW479"/>
      <c r="GX479"/>
      <c r="GY479"/>
      <c r="GZ479"/>
      <c r="HA479"/>
    </row>
    <row r="480" spans="1:209" ht="15" customHeight="1" x14ac:dyDescent="0.15">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c r="FC480"/>
      <c r="FD480"/>
      <c r="FE480"/>
      <c r="FF480"/>
      <c r="FG480"/>
      <c r="FH480"/>
      <c r="FI480"/>
      <c r="FJ480"/>
      <c r="FK480"/>
      <c r="FL480"/>
      <c r="FM480"/>
      <c r="FN480"/>
      <c r="FO480"/>
      <c r="FP480"/>
      <c r="FQ480"/>
      <c r="FR480"/>
      <c r="FS480"/>
      <c r="FT480"/>
      <c r="FU480"/>
      <c r="FV480"/>
      <c r="FW480"/>
      <c r="FX480"/>
      <c r="FY480"/>
      <c r="FZ480"/>
      <c r="GA480"/>
      <c r="GB480"/>
      <c r="GC480"/>
      <c r="GD480"/>
      <c r="GE480"/>
      <c r="GF480"/>
      <c r="GG480"/>
      <c r="GH480"/>
      <c r="GI480"/>
      <c r="GJ480"/>
      <c r="GK480"/>
      <c r="GL480"/>
      <c r="GM480"/>
      <c r="GN480"/>
      <c r="GO480"/>
      <c r="GP480"/>
      <c r="GQ480"/>
      <c r="GR480"/>
      <c r="GS480"/>
      <c r="GT480"/>
      <c r="GU480"/>
      <c r="GV480"/>
      <c r="GW480"/>
      <c r="GX480"/>
      <c r="GY480"/>
      <c r="GZ480"/>
      <c r="HA480"/>
    </row>
    <row r="481" spans="1:209" ht="15" customHeight="1" x14ac:dyDescent="0.15">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c r="FC481"/>
      <c r="FD481"/>
      <c r="FE481"/>
      <c r="FF481"/>
      <c r="FG481"/>
      <c r="FH481"/>
      <c r="FI481"/>
      <c r="FJ481"/>
      <c r="FK481"/>
      <c r="FL481"/>
      <c r="FM481"/>
      <c r="FN481"/>
      <c r="FO481"/>
      <c r="FP481"/>
      <c r="FQ481"/>
      <c r="FR481"/>
      <c r="FS481"/>
      <c r="FT481"/>
      <c r="FU481"/>
      <c r="FV481"/>
      <c r="FW481"/>
      <c r="FX481"/>
      <c r="FY481"/>
      <c r="FZ481"/>
      <c r="GA481"/>
      <c r="GB481"/>
      <c r="GC481"/>
      <c r="GD481"/>
      <c r="GE481"/>
      <c r="GF481"/>
      <c r="GG481"/>
      <c r="GH481"/>
      <c r="GI481"/>
      <c r="GJ481"/>
      <c r="GK481"/>
      <c r="GL481"/>
      <c r="GM481"/>
      <c r="GN481"/>
      <c r="GO481"/>
      <c r="GP481"/>
      <c r="GQ481"/>
      <c r="GR481"/>
      <c r="GS481"/>
      <c r="GT481"/>
      <c r="GU481"/>
      <c r="GV481"/>
      <c r="GW481"/>
      <c r="GX481"/>
      <c r="GY481"/>
      <c r="GZ481"/>
      <c r="HA481"/>
    </row>
    <row r="482" spans="1:209" ht="15" customHeight="1" x14ac:dyDescent="0.15">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c r="FC482"/>
      <c r="FD482"/>
      <c r="FE482"/>
      <c r="FF482"/>
      <c r="FG482"/>
      <c r="FH482"/>
      <c r="FI482"/>
      <c r="FJ482"/>
      <c r="FK482"/>
      <c r="FL482"/>
      <c r="FM482"/>
      <c r="FN482"/>
      <c r="FO482"/>
      <c r="FP482"/>
      <c r="FQ482"/>
      <c r="FR482"/>
      <c r="FS482"/>
      <c r="FT482"/>
      <c r="FU482"/>
      <c r="FV482"/>
      <c r="FW482"/>
      <c r="FX482"/>
      <c r="FY482"/>
      <c r="FZ482"/>
      <c r="GA482"/>
      <c r="GB482"/>
      <c r="GC482"/>
      <c r="GD482"/>
      <c r="GE482"/>
      <c r="GF482"/>
      <c r="GG482"/>
      <c r="GH482"/>
      <c r="GI482"/>
      <c r="GJ482"/>
      <c r="GK482"/>
      <c r="GL482"/>
      <c r="GM482"/>
      <c r="GN482"/>
      <c r="GO482"/>
      <c r="GP482"/>
      <c r="GQ482"/>
      <c r="GR482"/>
      <c r="GS482"/>
      <c r="GT482"/>
      <c r="GU482"/>
      <c r="GV482"/>
      <c r="GW482"/>
      <c r="GX482"/>
      <c r="GY482"/>
      <c r="GZ482"/>
      <c r="HA482"/>
    </row>
    <row r="483" spans="1:209" ht="15" customHeight="1" x14ac:dyDescent="0.15">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c r="FC483"/>
      <c r="FD483"/>
      <c r="FE483"/>
      <c r="FF483"/>
      <c r="FG483"/>
      <c r="FH483"/>
      <c r="FI483"/>
      <c r="FJ483"/>
      <c r="FK483"/>
      <c r="FL483"/>
      <c r="FM483"/>
      <c r="FN483"/>
      <c r="FO483"/>
      <c r="FP483"/>
      <c r="FQ483"/>
      <c r="FR483"/>
      <c r="FS483"/>
      <c r="FT483"/>
      <c r="FU483"/>
      <c r="FV483"/>
      <c r="FW483"/>
      <c r="FX483"/>
      <c r="FY483"/>
      <c r="FZ483"/>
      <c r="GA483"/>
      <c r="GB483"/>
      <c r="GC483"/>
      <c r="GD483"/>
      <c r="GE483"/>
      <c r="GF483"/>
      <c r="GG483"/>
      <c r="GH483"/>
      <c r="GI483"/>
      <c r="GJ483"/>
      <c r="GK483"/>
      <c r="GL483"/>
      <c r="GM483"/>
      <c r="GN483"/>
      <c r="GO483"/>
      <c r="GP483"/>
      <c r="GQ483"/>
      <c r="GR483"/>
      <c r="GS483"/>
      <c r="GT483"/>
      <c r="GU483"/>
      <c r="GV483"/>
      <c r="GW483"/>
      <c r="GX483"/>
      <c r="GY483"/>
      <c r="GZ483"/>
      <c r="HA483"/>
    </row>
    <row r="484" spans="1:209" ht="15" customHeight="1" x14ac:dyDescent="0.15">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c r="FC484"/>
      <c r="FD484"/>
      <c r="FE484"/>
      <c r="FF484"/>
      <c r="FG484"/>
      <c r="FH484"/>
      <c r="FI484"/>
      <c r="FJ484"/>
      <c r="FK484"/>
      <c r="FL484"/>
      <c r="FM484"/>
      <c r="FN484"/>
      <c r="FO484"/>
      <c r="FP484"/>
      <c r="FQ484"/>
      <c r="FR484"/>
      <c r="FS484"/>
      <c r="FT484"/>
      <c r="FU484"/>
      <c r="FV484"/>
      <c r="FW484"/>
      <c r="FX484"/>
      <c r="FY484"/>
      <c r="FZ484"/>
      <c r="GA484"/>
      <c r="GB484"/>
      <c r="GC484"/>
      <c r="GD484"/>
      <c r="GE484"/>
      <c r="GF484"/>
      <c r="GG484"/>
      <c r="GH484"/>
      <c r="GI484"/>
      <c r="GJ484"/>
      <c r="GK484"/>
      <c r="GL484"/>
      <c r="GM484"/>
      <c r="GN484"/>
      <c r="GO484"/>
      <c r="GP484"/>
      <c r="GQ484"/>
      <c r="GR484"/>
      <c r="GS484"/>
      <c r="GT484"/>
      <c r="GU484"/>
      <c r="GV484"/>
      <c r="GW484"/>
      <c r="GX484"/>
      <c r="GY484"/>
      <c r="GZ484"/>
      <c r="HA484"/>
    </row>
    <row r="485" spans="1:209" ht="15" customHeight="1" x14ac:dyDescent="0.15">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c r="FC485"/>
      <c r="FD485"/>
      <c r="FE485"/>
      <c r="FF485"/>
      <c r="FG485"/>
      <c r="FH485"/>
      <c r="FI485"/>
      <c r="FJ485"/>
      <c r="FK485"/>
      <c r="FL485"/>
      <c r="FM485"/>
      <c r="FN485"/>
      <c r="FO485"/>
      <c r="FP485"/>
      <c r="FQ485"/>
      <c r="FR485"/>
      <c r="FS485"/>
      <c r="FT485"/>
      <c r="FU485"/>
      <c r="FV485"/>
      <c r="FW485"/>
      <c r="FX485"/>
      <c r="FY485"/>
      <c r="FZ485"/>
      <c r="GA485"/>
      <c r="GB485"/>
      <c r="GC485"/>
      <c r="GD485"/>
      <c r="GE485"/>
      <c r="GF485"/>
      <c r="GG485"/>
      <c r="GH485"/>
      <c r="GI485"/>
      <c r="GJ485"/>
      <c r="GK485"/>
      <c r="GL485"/>
      <c r="GM485"/>
      <c r="GN485"/>
      <c r="GO485"/>
      <c r="GP485"/>
      <c r="GQ485"/>
      <c r="GR485"/>
      <c r="GS485"/>
      <c r="GT485"/>
      <c r="GU485"/>
      <c r="GV485"/>
      <c r="GW485"/>
      <c r="GX485"/>
      <c r="GY485"/>
      <c r="GZ485"/>
      <c r="HA485"/>
    </row>
    <row r="486" spans="1:209" ht="15" customHeight="1" x14ac:dyDescent="0.15">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c r="FC486"/>
      <c r="FD486"/>
      <c r="FE486"/>
      <c r="FF486"/>
      <c r="FG486"/>
      <c r="FH486"/>
      <c r="FI486"/>
      <c r="FJ486"/>
      <c r="FK486"/>
      <c r="FL486"/>
      <c r="FM486"/>
      <c r="FN486"/>
      <c r="FO486"/>
      <c r="FP486"/>
      <c r="FQ486"/>
      <c r="FR486"/>
      <c r="FS486"/>
      <c r="FT486"/>
      <c r="FU486"/>
      <c r="FV486"/>
      <c r="FW486"/>
      <c r="FX486"/>
      <c r="FY486"/>
      <c r="FZ486"/>
      <c r="GA486"/>
      <c r="GB486"/>
      <c r="GC486"/>
      <c r="GD486"/>
      <c r="GE486"/>
      <c r="GF486"/>
      <c r="GG486"/>
      <c r="GH486"/>
      <c r="GI486"/>
      <c r="GJ486"/>
      <c r="GK486"/>
      <c r="GL486"/>
      <c r="GM486"/>
      <c r="GN486"/>
      <c r="GO486"/>
      <c r="GP486"/>
      <c r="GQ486"/>
      <c r="GR486"/>
      <c r="GS486"/>
      <c r="GT486"/>
      <c r="GU486"/>
      <c r="GV486"/>
      <c r="GW486"/>
      <c r="GX486"/>
      <c r="GY486"/>
      <c r="GZ486"/>
      <c r="HA486"/>
    </row>
    <row r="487" spans="1:209" ht="15" customHeight="1" x14ac:dyDescent="0.15">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c r="FC487"/>
      <c r="FD487"/>
      <c r="FE487"/>
      <c r="FF487"/>
      <c r="FG487"/>
      <c r="FH487"/>
      <c r="FI487"/>
      <c r="FJ487"/>
      <c r="FK487"/>
      <c r="FL487"/>
      <c r="FM487"/>
      <c r="FN487"/>
      <c r="FO487"/>
      <c r="FP487"/>
      <c r="FQ487"/>
      <c r="FR487"/>
      <c r="FS487"/>
      <c r="FT487"/>
      <c r="FU487"/>
      <c r="FV487"/>
      <c r="FW487"/>
      <c r="FX487"/>
      <c r="FY487"/>
      <c r="FZ487"/>
      <c r="GA487"/>
      <c r="GB487"/>
      <c r="GC487"/>
      <c r="GD487"/>
      <c r="GE487"/>
      <c r="GF487"/>
      <c r="GG487"/>
      <c r="GH487"/>
      <c r="GI487"/>
      <c r="GJ487"/>
      <c r="GK487"/>
      <c r="GL487"/>
      <c r="GM487"/>
      <c r="GN487"/>
      <c r="GO487"/>
      <c r="GP487"/>
      <c r="GQ487"/>
      <c r="GR487"/>
      <c r="GS487"/>
      <c r="GT487"/>
      <c r="GU487"/>
      <c r="GV487"/>
      <c r="GW487"/>
      <c r="GX487"/>
      <c r="GY487"/>
      <c r="GZ487"/>
      <c r="HA487"/>
    </row>
    <row r="488" spans="1:209" ht="15" customHeight="1" x14ac:dyDescent="0.15">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c r="EZ488"/>
      <c r="FA488"/>
      <c r="FB488"/>
      <c r="FC488"/>
      <c r="FD488"/>
      <c r="FE488"/>
      <c r="FF488"/>
      <c r="FG488"/>
      <c r="FH488"/>
      <c r="FI488"/>
      <c r="FJ488"/>
      <c r="FK488"/>
      <c r="FL488"/>
      <c r="FM488"/>
      <c r="FN488"/>
      <c r="FO488"/>
      <c r="FP488"/>
      <c r="FQ488"/>
      <c r="FR488"/>
      <c r="FS488"/>
      <c r="FT488"/>
      <c r="FU488"/>
      <c r="FV488"/>
      <c r="FW488"/>
      <c r="FX488"/>
      <c r="FY488"/>
      <c r="FZ488"/>
      <c r="GA488"/>
      <c r="GB488"/>
      <c r="GC488"/>
      <c r="GD488"/>
      <c r="GE488"/>
      <c r="GF488"/>
      <c r="GG488"/>
      <c r="GH488"/>
      <c r="GI488"/>
      <c r="GJ488"/>
      <c r="GK488"/>
      <c r="GL488"/>
      <c r="GM488"/>
      <c r="GN488"/>
      <c r="GO488"/>
      <c r="GP488"/>
      <c r="GQ488"/>
      <c r="GR488"/>
      <c r="GS488"/>
      <c r="GT488"/>
      <c r="GU488"/>
      <c r="GV488"/>
      <c r="GW488"/>
      <c r="GX488"/>
      <c r="GY488"/>
      <c r="GZ488"/>
      <c r="HA488"/>
    </row>
    <row r="489" spans="1:209" ht="15" customHeight="1" x14ac:dyDescent="0.15">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c r="FC489"/>
      <c r="FD489"/>
      <c r="FE489"/>
      <c r="FF489"/>
      <c r="FG489"/>
      <c r="FH489"/>
      <c r="FI489"/>
      <c r="FJ489"/>
      <c r="FK489"/>
      <c r="FL489"/>
      <c r="FM489"/>
      <c r="FN489"/>
      <c r="FO489"/>
      <c r="FP489"/>
      <c r="FQ489"/>
      <c r="FR489"/>
      <c r="FS489"/>
      <c r="FT489"/>
      <c r="FU489"/>
      <c r="FV489"/>
      <c r="FW489"/>
      <c r="FX489"/>
      <c r="FY489"/>
      <c r="FZ489"/>
      <c r="GA489"/>
      <c r="GB489"/>
      <c r="GC489"/>
      <c r="GD489"/>
      <c r="GE489"/>
      <c r="GF489"/>
      <c r="GG489"/>
      <c r="GH489"/>
      <c r="GI489"/>
      <c r="GJ489"/>
      <c r="GK489"/>
      <c r="GL489"/>
      <c r="GM489"/>
      <c r="GN489"/>
      <c r="GO489"/>
      <c r="GP489"/>
      <c r="GQ489"/>
      <c r="GR489"/>
      <c r="GS489"/>
      <c r="GT489"/>
      <c r="GU489"/>
      <c r="GV489"/>
      <c r="GW489"/>
      <c r="GX489"/>
      <c r="GY489"/>
      <c r="GZ489"/>
      <c r="HA489"/>
    </row>
    <row r="490" spans="1:209" ht="15" customHeight="1" x14ac:dyDescent="0.15">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c r="EZ490"/>
      <c r="FA490"/>
      <c r="FB490"/>
      <c r="FC490"/>
      <c r="FD490"/>
      <c r="FE490"/>
      <c r="FF490"/>
      <c r="FG490"/>
      <c r="FH490"/>
      <c r="FI490"/>
      <c r="FJ490"/>
      <c r="FK490"/>
      <c r="FL490"/>
      <c r="FM490"/>
      <c r="FN490"/>
      <c r="FO490"/>
      <c r="FP490"/>
      <c r="FQ490"/>
      <c r="FR490"/>
      <c r="FS490"/>
      <c r="FT490"/>
      <c r="FU490"/>
      <c r="FV490"/>
      <c r="FW490"/>
      <c r="FX490"/>
      <c r="FY490"/>
      <c r="FZ490"/>
      <c r="GA490"/>
      <c r="GB490"/>
      <c r="GC490"/>
      <c r="GD490"/>
      <c r="GE490"/>
      <c r="GF490"/>
      <c r="GG490"/>
      <c r="GH490"/>
      <c r="GI490"/>
      <c r="GJ490"/>
      <c r="GK490"/>
      <c r="GL490"/>
      <c r="GM490"/>
      <c r="GN490"/>
      <c r="GO490"/>
      <c r="GP490"/>
      <c r="GQ490"/>
      <c r="GR490"/>
      <c r="GS490"/>
      <c r="GT490"/>
      <c r="GU490"/>
      <c r="GV490"/>
      <c r="GW490"/>
      <c r="GX490"/>
      <c r="GY490"/>
      <c r="GZ490"/>
      <c r="HA490"/>
    </row>
    <row r="491" spans="1:209" ht="15" customHeight="1" x14ac:dyDescent="0.15">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c r="ET491"/>
      <c r="EU491"/>
      <c r="EV491"/>
      <c r="EW491"/>
      <c r="EX491"/>
      <c r="EY491"/>
      <c r="EZ491"/>
      <c r="FA491"/>
      <c r="FB491"/>
      <c r="FC491"/>
      <c r="FD491"/>
      <c r="FE491"/>
      <c r="FF491"/>
      <c r="FG491"/>
      <c r="FH491"/>
      <c r="FI491"/>
      <c r="FJ491"/>
      <c r="FK491"/>
      <c r="FL491"/>
      <c r="FM491"/>
      <c r="FN491"/>
      <c r="FO491"/>
      <c r="FP491"/>
      <c r="FQ491"/>
      <c r="FR491"/>
      <c r="FS491"/>
      <c r="FT491"/>
      <c r="FU491"/>
      <c r="FV491"/>
      <c r="FW491"/>
      <c r="FX491"/>
      <c r="FY491"/>
      <c r="FZ491"/>
      <c r="GA491"/>
      <c r="GB491"/>
      <c r="GC491"/>
      <c r="GD491"/>
      <c r="GE491"/>
      <c r="GF491"/>
      <c r="GG491"/>
      <c r="GH491"/>
      <c r="GI491"/>
      <c r="GJ491"/>
      <c r="GK491"/>
      <c r="GL491"/>
      <c r="GM491"/>
      <c r="GN491"/>
      <c r="GO491"/>
      <c r="GP491"/>
      <c r="GQ491"/>
      <c r="GR491"/>
      <c r="GS491"/>
      <c r="GT491"/>
      <c r="GU491"/>
      <c r="GV491"/>
      <c r="GW491"/>
      <c r="GX491"/>
      <c r="GY491"/>
      <c r="GZ491"/>
      <c r="HA491"/>
    </row>
    <row r="492" spans="1:209" ht="15" customHeight="1" x14ac:dyDescent="0.15">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c r="EZ492"/>
      <c r="FA492"/>
      <c r="FB492"/>
      <c r="FC492"/>
      <c r="FD492"/>
      <c r="FE492"/>
      <c r="FF492"/>
      <c r="FG492"/>
      <c r="FH492"/>
      <c r="FI492"/>
      <c r="FJ492"/>
      <c r="FK492"/>
      <c r="FL492"/>
      <c r="FM492"/>
      <c r="FN492"/>
      <c r="FO492"/>
      <c r="FP492"/>
      <c r="FQ492"/>
      <c r="FR492"/>
      <c r="FS492"/>
      <c r="FT492"/>
      <c r="FU492"/>
      <c r="FV492"/>
      <c r="FW492"/>
      <c r="FX492"/>
      <c r="FY492"/>
      <c r="FZ492"/>
      <c r="GA492"/>
      <c r="GB492"/>
      <c r="GC492"/>
      <c r="GD492"/>
      <c r="GE492"/>
      <c r="GF492"/>
      <c r="GG492"/>
      <c r="GH492"/>
      <c r="GI492"/>
      <c r="GJ492"/>
      <c r="GK492"/>
      <c r="GL492"/>
      <c r="GM492"/>
      <c r="GN492"/>
      <c r="GO492"/>
      <c r="GP492"/>
      <c r="GQ492"/>
      <c r="GR492"/>
      <c r="GS492"/>
      <c r="GT492"/>
      <c r="GU492"/>
      <c r="GV492"/>
      <c r="GW492"/>
      <c r="GX492"/>
      <c r="GY492"/>
      <c r="GZ492"/>
      <c r="HA492"/>
    </row>
    <row r="493" spans="1:209" ht="15" customHeight="1" x14ac:dyDescent="0.15">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c r="ET493"/>
      <c r="EU493"/>
      <c r="EV493"/>
      <c r="EW493"/>
      <c r="EX493"/>
      <c r="EY493"/>
      <c r="EZ493"/>
      <c r="FA493"/>
      <c r="FB493"/>
      <c r="FC493"/>
      <c r="FD493"/>
      <c r="FE493"/>
      <c r="FF493"/>
      <c r="FG493"/>
      <c r="FH493"/>
      <c r="FI493"/>
      <c r="FJ493"/>
      <c r="FK493"/>
      <c r="FL493"/>
      <c r="FM493"/>
      <c r="FN493"/>
      <c r="FO493"/>
      <c r="FP493"/>
      <c r="FQ493"/>
      <c r="FR493"/>
      <c r="FS493"/>
      <c r="FT493"/>
      <c r="FU493"/>
      <c r="FV493"/>
      <c r="FW493"/>
      <c r="FX493"/>
      <c r="FY493"/>
      <c r="FZ493"/>
      <c r="GA493"/>
      <c r="GB493"/>
      <c r="GC493"/>
      <c r="GD493"/>
      <c r="GE493"/>
      <c r="GF493"/>
      <c r="GG493"/>
      <c r="GH493"/>
      <c r="GI493"/>
      <c r="GJ493"/>
      <c r="GK493"/>
      <c r="GL493"/>
      <c r="GM493"/>
      <c r="GN493"/>
      <c r="GO493"/>
      <c r="GP493"/>
      <c r="GQ493"/>
      <c r="GR493"/>
      <c r="GS493"/>
      <c r="GT493"/>
      <c r="GU493"/>
      <c r="GV493"/>
      <c r="GW493"/>
      <c r="GX493"/>
      <c r="GY493"/>
      <c r="GZ493"/>
      <c r="HA493"/>
    </row>
    <row r="494" spans="1:209" ht="15" customHeight="1" x14ac:dyDescent="0.15">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c r="ET494"/>
      <c r="EU494"/>
      <c r="EV494"/>
      <c r="EW494"/>
      <c r="EX494"/>
      <c r="EY494"/>
      <c r="EZ494"/>
      <c r="FA494"/>
      <c r="FB494"/>
      <c r="FC494"/>
      <c r="FD494"/>
      <c r="FE494"/>
      <c r="FF494"/>
      <c r="FG494"/>
      <c r="FH494"/>
      <c r="FI494"/>
      <c r="FJ494"/>
      <c r="FK494"/>
      <c r="FL494"/>
      <c r="FM494"/>
      <c r="FN494"/>
      <c r="FO494"/>
      <c r="FP494"/>
      <c r="FQ494"/>
      <c r="FR494"/>
      <c r="FS494"/>
      <c r="FT494"/>
      <c r="FU494"/>
      <c r="FV494"/>
      <c r="FW494"/>
      <c r="FX494"/>
      <c r="FY494"/>
      <c r="FZ494"/>
      <c r="GA494"/>
      <c r="GB494"/>
      <c r="GC494"/>
      <c r="GD494"/>
      <c r="GE494"/>
      <c r="GF494"/>
      <c r="GG494"/>
      <c r="GH494"/>
      <c r="GI494"/>
      <c r="GJ494"/>
      <c r="GK494"/>
      <c r="GL494"/>
      <c r="GM494"/>
      <c r="GN494"/>
      <c r="GO494"/>
      <c r="GP494"/>
      <c r="GQ494"/>
      <c r="GR494"/>
      <c r="GS494"/>
      <c r="GT494"/>
      <c r="GU494"/>
      <c r="GV494"/>
      <c r="GW494"/>
      <c r="GX494"/>
      <c r="GY494"/>
      <c r="GZ494"/>
      <c r="HA494"/>
    </row>
    <row r="495" spans="1:209" ht="15" customHeight="1" x14ac:dyDescent="0.15">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c r="ET495"/>
      <c r="EU495"/>
      <c r="EV495"/>
      <c r="EW495"/>
      <c r="EX495"/>
      <c r="EY495"/>
      <c r="EZ495"/>
      <c r="FA495"/>
      <c r="FB495"/>
      <c r="FC495"/>
      <c r="FD495"/>
      <c r="FE495"/>
      <c r="FF495"/>
      <c r="FG495"/>
      <c r="FH495"/>
      <c r="FI495"/>
      <c r="FJ495"/>
      <c r="FK495"/>
      <c r="FL495"/>
      <c r="FM495"/>
      <c r="FN495"/>
      <c r="FO495"/>
      <c r="FP495"/>
      <c r="FQ495"/>
      <c r="FR495"/>
      <c r="FS495"/>
      <c r="FT495"/>
      <c r="FU495"/>
      <c r="FV495"/>
      <c r="FW495"/>
      <c r="FX495"/>
      <c r="FY495"/>
      <c r="FZ495"/>
      <c r="GA495"/>
      <c r="GB495"/>
      <c r="GC495"/>
      <c r="GD495"/>
      <c r="GE495"/>
      <c r="GF495"/>
      <c r="GG495"/>
      <c r="GH495"/>
      <c r="GI495"/>
      <c r="GJ495"/>
      <c r="GK495"/>
      <c r="GL495"/>
      <c r="GM495"/>
      <c r="GN495"/>
      <c r="GO495"/>
      <c r="GP495"/>
      <c r="GQ495"/>
      <c r="GR495"/>
      <c r="GS495"/>
      <c r="GT495"/>
      <c r="GU495"/>
      <c r="GV495"/>
      <c r="GW495"/>
      <c r="GX495"/>
      <c r="GY495"/>
      <c r="GZ495"/>
      <c r="HA495"/>
    </row>
    <row r="496" spans="1:209" ht="15" customHeight="1" x14ac:dyDescent="0.15">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c r="ET496"/>
      <c r="EU496"/>
      <c r="EV496"/>
      <c r="EW496"/>
      <c r="EX496"/>
      <c r="EY496"/>
      <c r="EZ496"/>
      <c r="FA496"/>
      <c r="FB496"/>
      <c r="FC496"/>
      <c r="FD496"/>
      <c r="FE496"/>
      <c r="FF496"/>
      <c r="FG496"/>
      <c r="FH496"/>
      <c r="FI496"/>
      <c r="FJ496"/>
      <c r="FK496"/>
      <c r="FL496"/>
      <c r="FM496"/>
      <c r="FN496"/>
      <c r="FO496"/>
      <c r="FP496"/>
      <c r="FQ496"/>
      <c r="FR496"/>
      <c r="FS496"/>
      <c r="FT496"/>
      <c r="FU496"/>
      <c r="FV496"/>
      <c r="FW496"/>
      <c r="FX496"/>
      <c r="FY496"/>
      <c r="FZ496"/>
      <c r="GA496"/>
      <c r="GB496"/>
      <c r="GC496"/>
      <c r="GD496"/>
      <c r="GE496"/>
      <c r="GF496"/>
      <c r="GG496"/>
      <c r="GH496"/>
      <c r="GI496"/>
      <c r="GJ496"/>
      <c r="GK496"/>
      <c r="GL496"/>
      <c r="GM496"/>
      <c r="GN496"/>
      <c r="GO496"/>
      <c r="GP496"/>
      <c r="GQ496"/>
      <c r="GR496"/>
      <c r="GS496"/>
      <c r="GT496"/>
      <c r="GU496"/>
      <c r="GV496"/>
      <c r="GW496"/>
      <c r="GX496"/>
      <c r="GY496"/>
      <c r="GZ496"/>
      <c r="HA496"/>
    </row>
    <row r="497" spans="1:209" ht="15" customHeight="1" x14ac:dyDescent="0.15">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c r="ET497"/>
      <c r="EU497"/>
      <c r="EV497"/>
      <c r="EW497"/>
      <c r="EX497"/>
      <c r="EY497"/>
      <c r="EZ497"/>
      <c r="FA497"/>
      <c r="FB497"/>
      <c r="FC497"/>
      <c r="FD497"/>
      <c r="FE497"/>
      <c r="FF497"/>
      <c r="FG497"/>
      <c r="FH497"/>
      <c r="FI497"/>
      <c r="FJ497"/>
      <c r="FK497"/>
      <c r="FL497"/>
      <c r="FM497"/>
      <c r="FN497"/>
      <c r="FO497"/>
      <c r="FP497"/>
      <c r="FQ497"/>
      <c r="FR497"/>
      <c r="FS497"/>
      <c r="FT497"/>
      <c r="FU497"/>
      <c r="FV497"/>
      <c r="FW497"/>
      <c r="FX497"/>
      <c r="FY497"/>
      <c r="FZ497"/>
      <c r="GA497"/>
      <c r="GB497"/>
      <c r="GC497"/>
      <c r="GD497"/>
      <c r="GE497"/>
      <c r="GF497"/>
      <c r="GG497"/>
      <c r="GH497"/>
      <c r="GI497"/>
      <c r="GJ497"/>
      <c r="GK497"/>
      <c r="GL497"/>
      <c r="GM497"/>
      <c r="GN497"/>
      <c r="GO497"/>
      <c r="GP497"/>
      <c r="GQ497"/>
      <c r="GR497"/>
      <c r="GS497"/>
      <c r="GT497"/>
      <c r="GU497"/>
      <c r="GV497"/>
      <c r="GW497"/>
      <c r="GX497"/>
      <c r="GY497"/>
      <c r="GZ497"/>
      <c r="HA497"/>
    </row>
    <row r="498" spans="1:209" ht="15" customHeight="1" x14ac:dyDescent="0.15">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c r="ET498"/>
      <c r="EU498"/>
      <c r="EV498"/>
      <c r="EW498"/>
      <c r="EX498"/>
      <c r="EY498"/>
      <c r="EZ498"/>
      <c r="FA498"/>
      <c r="FB498"/>
      <c r="FC498"/>
      <c r="FD498"/>
      <c r="FE498"/>
      <c r="FF498"/>
      <c r="FG498"/>
      <c r="FH498"/>
      <c r="FI498"/>
      <c r="FJ498"/>
      <c r="FK498"/>
      <c r="FL498"/>
      <c r="FM498"/>
      <c r="FN498"/>
      <c r="FO498"/>
      <c r="FP498"/>
      <c r="FQ498"/>
      <c r="FR498"/>
      <c r="FS498"/>
      <c r="FT498"/>
      <c r="FU498"/>
      <c r="FV498"/>
      <c r="FW498"/>
      <c r="FX498"/>
      <c r="FY498"/>
      <c r="FZ498"/>
      <c r="GA498"/>
      <c r="GB498"/>
      <c r="GC498"/>
      <c r="GD498"/>
      <c r="GE498"/>
      <c r="GF498"/>
      <c r="GG498"/>
      <c r="GH498"/>
      <c r="GI498"/>
      <c r="GJ498"/>
      <c r="GK498"/>
      <c r="GL498"/>
      <c r="GM498"/>
      <c r="GN498"/>
      <c r="GO498"/>
      <c r="GP498"/>
      <c r="GQ498"/>
      <c r="GR498"/>
      <c r="GS498"/>
      <c r="GT498"/>
      <c r="GU498"/>
      <c r="GV498"/>
      <c r="GW498"/>
      <c r="GX498"/>
      <c r="GY498"/>
      <c r="GZ498"/>
      <c r="HA498"/>
    </row>
    <row r="499" spans="1:209" ht="15" customHeight="1" x14ac:dyDescent="0.15">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c r="ET499"/>
      <c r="EU499"/>
      <c r="EV499"/>
      <c r="EW499"/>
      <c r="EX499"/>
      <c r="EY499"/>
      <c r="EZ499"/>
      <c r="FA499"/>
      <c r="FB499"/>
      <c r="FC499"/>
      <c r="FD499"/>
      <c r="FE499"/>
      <c r="FF499"/>
      <c r="FG499"/>
      <c r="FH499"/>
      <c r="FI499"/>
      <c r="FJ499"/>
      <c r="FK499"/>
      <c r="FL499"/>
      <c r="FM499"/>
      <c r="FN499"/>
      <c r="FO499"/>
      <c r="FP499"/>
      <c r="FQ499"/>
      <c r="FR499"/>
      <c r="FS499"/>
      <c r="FT499"/>
      <c r="FU499"/>
      <c r="FV499"/>
      <c r="FW499"/>
      <c r="FX499"/>
      <c r="FY499"/>
      <c r="FZ499"/>
      <c r="GA499"/>
      <c r="GB499"/>
      <c r="GC499"/>
      <c r="GD499"/>
      <c r="GE499"/>
      <c r="GF499"/>
      <c r="GG499"/>
      <c r="GH499"/>
      <c r="GI499"/>
      <c r="GJ499"/>
      <c r="GK499"/>
      <c r="GL499"/>
      <c r="GM499"/>
      <c r="GN499"/>
      <c r="GO499"/>
      <c r="GP499"/>
      <c r="GQ499"/>
      <c r="GR499"/>
      <c r="GS499"/>
      <c r="GT499"/>
      <c r="GU499"/>
      <c r="GV499"/>
      <c r="GW499"/>
      <c r="GX499"/>
      <c r="GY499"/>
      <c r="GZ499"/>
      <c r="HA499"/>
    </row>
    <row r="500" spans="1:209" ht="15" customHeight="1" x14ac:dyDescent="0.15">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c r="ET500"/>
      <c r="EU500"/>
      <c r="EV500"/>
      <c r="EW500"/>
      <c r="EX500"/>
      <c r="EY500"/>
      <c r="EZ500"/>
      <c r="FA500"/>
      <c r="FB500"/>
      <c r="FC500"/>
      <c r="FD500"/>
      <c r="FE500"/>
      <c r="FF500"/>
      <c r="FG500"/>
      <c r="FH500"/>
      <c r="FI500"/>
      <c r="FJ500"/>
      <c r="FK500"/>
      <c r="FL500"/>
      <c r="FM500"/>
      <c r="FN500"/>
      <c r="FO500"/>
      <c r="FP500"/>
      <c r="FQ500"/>
      <c r="FR500"/>
      <c r="FS500"/>
      <c r="FT500"/>
      <c r="FU500"/>
      <c r="FV500"/>
      <c r="FW500"/>
      <c r="FX500"/>
      <c r="FY500"/>
      <c r="FZ500"/>
      <c r="GA500"/>
      <c r="GB500"/>
      <c r="GC500"/>
      <c r="GD500"/>
      <c r="GE500"/>
      <c r="GF500"/>
      <c r="GG500"/>
      <c r="GH500"/>
      <c r="GI500"/>
      <c r="GJ500"/>
      <c r="GK500"/>
      <c r="GL500"/>
      <c r="GM500"/>
      <c r="GN500"/>
      <c r="GO500"/>
      <c r="GP500"/>
      <c r="GQ500"/>
      <c r="GR500"/>
      <c r="GS500"/>
      <c r="GT500"/>
      <c r="GU500"/>
      <c r="GV500"/>
      <c r="GW500"/>
      <c r="GX500"/>
      <c r="GY500"/>
      <c r="GZ500"/>
      <c r="HA500"/>
    </row>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L187"/>
  <sheetViews>
    <sheetView workbookViewId="0">
      <selection activeCell="D5" sqref="D5"/>
    </sheetView>
  </sheetViews>
  <sheetFormatPr baseColWidth="10" defaultRowHeight="13" x14ac:dyDescent="0.15"/>
  <cols>
    <col min="1" max="1" width="33.6640625" bestFit="1" customWidth="1"/>
    <col min="2" max="2" width="9" customWidth="1"/>
    <col min="3" max="3" width="9" style="6" customWidth="1"/>
    <col min="4" max="4" width="21.6640625" bestFit="1" customWidth="1"/>
    <col min="5" max="5" width="3.33203125" bestFit="1" customWidth="1"/>
    <col min="6" max="6" width="4.83203125" bestFit="1" customWidth="1"/>
    <col min="7" max="7" width="3.33203125" bestFit="1" customWidth="1"/>
    <col min="8" max="8" width="21.6640625" bestFit="1" customWidth="1"/>
    <col min="10" max="10" width="18" bestFit="1" customWidth="1"/>
    <col min="11" max="11" width="14" bestFit="1" customWidth="1"/>
    <col min="15" max="15" width="14.33203125" bestFit="1" customWidth="1"/>
    <col min="16" max="16" width="39.83203125" bestFit="1" customWidth="1"/>
  </cols>
  <sheetData>
    <row r="1" spans="1:12" s="1" customFormat="1" ht="14" thickBot="1" x14ac:dyDescent="0.2">
      <c r="C1" s="54"/>
      <c r="D1" s="1" t="s">
        <v>32</v>
      </c>
      <c r="E1" s="1" t="s">
        <v>33</v>
      </c>
      <c r="F1" s="1" t="s">
        <v>34</v>
      </c>
      <c r="G1" s="1" t="s">
        <v>35</v>
      </c>
      <c r="H1" s="1" t="s">
        <v>36</v>
      </c>
      <c r="J1" s="1" t="s">
        <v>130</v>
      </c>
      <c r="K1" s="1" t="s">
        <v>131</v>
      </c>
      <c r="L1" s="62" t="s">
        <v>166</v>
      </c>
    </row>
    <row r="2" spans="1:12" x14ac:dyDescent="0.15">
      <c r="A2" s="1" t="s">
        <v>37</v>
      </c>
      <c r="B2" s="39">
        <v>3</v>
      </c>
      <c r="C2" s="37"/>
      <c r="D2" t="s">
        <v>38</v>
      </c>
      <c r="E2">
        <v>1</v>
      </c>
      <c r="F2">
        <v>1</v>
      </c>
      <c r="G2">
        <v>1</v>
      </c>
      <c r="H2" t="s">
        <v>38</v>
      </c>
      <c r="J2" s="55"/>
      <c r="K2" s="56"/>
      <c r="L2" s="62" t="s">
        <v>167</v>
      </c>
    </row>
    <row r="3" spans="1:12" ht="14" thickBot="1" x14ac:dyDescent="0.2">
      <c r="A3" s="1" t="s">
        <v>39</v>
      </c>
      <c r="B3" s="40">
        <v>0</v>
      </c>
      <c r="C3" s="37"/>
      <c r="D3" t="s">
        <v>40</v>
      </c>
      <c r="E3">
        <v>2</v>
      </c>
      <c r="F3">
        <v>1.1000000000000001</v>
      </c>
      <c r="G3">
        <v>2</v>
      </c>
      <c r="H3" t="s">
        <v>40</v>
      </c>
      <c r="J3" s="57"/>
      <c r="K3" s="58"/>
    </row>
    <row r="4" spans="1:12" x14ac:dyDescent="0.15">
      <c r="D4" t="s">
        <v>41</v>
      </c>
      <c r="E4">
        <v>3</v>
      </c>
      <c r="F4">
        <v>1.2</v>
      </c>
      <c r="G4">
        <v>3</v>
      </c>
      <c r="H4" t="s">
        <v>41</v>
      </c>
      <c r="J4" s="57"/>
      <c r="K4" s="58"/>
    </row>
    <row r="5" spans="1:12" x14ac:dyDescent="0.15">
      <c r="D5" s="199" t="s">
        <v>192</v>
      </c>
      <c r="E5">
        <v>4</v>
      </c>
      <c r="F5">
        <v>3.13</v>
      </c>
      <c r="G5">
        <v>4</v>
      </c>
      <c r="H5" s="200" t="s">
        <v>192</v>
      </c>
      <c r="J5" s="57"/>
      <c r="K5" s="58"/>
    </row>
    <row r="6" spans="1:12" ht="14" thickBot="1" x14ac:dyDescent="0.2">
      <c r="A6" s="41" t="s">
        <v>121</v>
      </c>
      <c r="D6" s="199" t="s">
        <v>193</v>
      </c>
      <c r="E6">
        <v>5</v>
      </c>
      <c r="F6">
        <v>3.13</v>
      </c>
      <c r="G6">
        <v>5</v>
      </c>
      <c r="H6" s="200" t="s">
        <v>193</v>
      </c>
      <c r="J6" s="57"/>
      <c r="K6" s="58"/>
    </row>
    <row r="7" spans="1:12" x14ac:dyDescent="0.15">
      <c r="A7" s="36" t="s">
        <v>126</v>
      </c>
      <c r="B7" s="43">
        <v>1</v>
      </c>
      <c r="C7" s="38"/>
      <c r="D7" s="199" t="s">
        <v>194</v>
      </c>
      <c r="E7">
        <v>6</v>
      </c>
      <c r="F7">
        <v>3.13</v>
      </c>
      <c r="G7">
        <v>6</v>
      </c>
      <c r="H7" s="200" t="s">
        <v>194</v>
      </c>
      <c r="J7" s="57"/>
      <c r="K7" s="58"/>
    </row>
    <row r="8" spans="1:12" x14ac:dyDescent="0.15">
      <c r="A8" s="36" t="s">
        <v>38</v>
      </c>
      <c r="B8" s="44">
        <v>1</v>
      </c>
      <c r="C8" s="38"/>
      <c r="D8" s="199" t="s">
        <v>195</v>
      </c>
      <c r="E8">
        <v>7</v>
      </c>
      <c r="F8">
        <v>3.13</v>
      </c>
      <c r="G8">
        <v>7</v>
      </c>
      <c r="H8" s="200" t="s">
        <v>195</v>
      </c>
      <c r="J8" s="57"/>
      <c r="K8" s="58"/>
    </row>
    <row r="9" spans="1:12" x14ac:dyDescent="0.15">
      <c r="A9" s="36" t="s">
        <v>40</v>
      </c>
      <c r="B9" s="44">
        <v>1.1000000000000001</v>
      </c>
      <c r="C9" s="38"/>
      <c r="D9" s="199" t="s">
        <v>196</v>
      </c>
      <c r="E9">
        <v>8</v>
      </c>
      <c r="F9">
        <v>3.13</v>
      </c>
      <c r="G9">
        <v>8</v>
      </c>
      <c r="H9" s="200" t="s">
        <v>196</v>
      </c>
      <c r="J9" s="57"/>
      <c r="K9" s="58"/>
    </row>
    <row r="10" spans="1:12" x14ac:dyDescent="0.15">
      <c r="A10" s="36" t="s">
        <v>41</v>
      </c>
      <c r="B10" s="44">
        <v>1.2</v>
      </c>
      <c r="C10" s="38"/>
      <c r="D10" s="199" t="s">
        <v>197</v>
      </c>
      <c r="E10">
        <v>9</v>
      </c>
      <c r="F10">
        <v>3.13</v>
      </c>
      <c r="G10">
        <v>9</v>
      </c>
      <c r="H10" s="200" t="s">
        <v>197</v>
      </c>
      <c r="J10" s="57"/>
      <c r="K10" s="58"/>
    </row>
    <row r="11" spans="1:12" ht="12" customHeight="1" x14ac:dyDescent="0.15">
      <c r="A11" s="42" t="s">
        <v>127</v>
      </c>
      <c r="B11" s="44">
        <v>2</v>
      </c>
      <c r="C11" s="38"/>
      <c r="D11" s="199" t="s">
        <v>198</v>
      </c>
      <c r="E11">
        <v>10</v>
      </c>
      <c r="F11">
        <v>3.13</v>
      </c>
      <c r="G11">
        <v>10</v>
      </c>
      <c r="H11" s="200" t="s">
        <v>198</v>
      </c>
      <c r="J11" s="57"/>
      <c r="K11" s="58"/>
    </row>
    <row r="12" spans="1:12" x14ac:dyDescent="0.15">
      <c r="A12" s="36" t="s">
        <v>42</v>
      </c>
      <c r="B12" s="44">
        <v>2.1</v>
      </c>
      <c r="C12" s="38"/>
      <c r="D12" s="199" t="s">
        <v>199</v>
      </c>
      <c r="E12">
        <v>11</v>
      </c>
      <c r="F12">
        <v>3.13</v>
      </c>
      <c r="G12">
        <v>11</v>
      </c>
      <c r="H12" s="200" t="s">
        <v>199</v>
      </c>
      <c r="J12" s="57"/>
      <c r="K12" s="58"/>
    </row>
    <row r="13" spans="1:12" x14ac:dyDescent="0.15">
      <c r="A13" s="36" t="s">
        <v>43</v>
      </c>
      <c r="B13" s="44">
        <v>2.2000000000000002</v>
      </c>
      <c r="C13" s="38"/>
      <c r="D13" s="199" t="s">
        <v>200</v>
      </c>
      <c r="E13">
        <v>12</v>
      </c>
      <c r="F13">
        <v>3.13</v>
      </c>
      <c r="G13">
        <v>12</v>
      </c>
      <c r="H13" s="200" t="s">
        <v>200</v>
      </c>
      <c r="J13" s="57"/>
      <c r="K13" s="58"/>
    </row>
    <row r="14" spans="1:12" x14ac:dyDescent="0.15">
      <c r="A14" s="36" t="s">
        <v>67</v>
      </c>
      <c r="B14" s="44">
        <v>2.2999999999999998</v>
      </c>
      <c r="C14" s="38"/>
      <c r="D14" s="199" t="s">
        <v>201</v>
      </c>
      <c r="E14">
        <v>13</v>
      </c>
      <c r="F14">
        <v>3.13</v>
      </c>
      <c r="G14">
        <v>13</v>
      </c>
      <c r="H14" s="200" t="s">
        <v>201</v>
      </c>
      <c r="J14" s="57"/>
      <c r="K14" s="58"/>
    </row>
    <row r="15" spans="1:12" x14ac:dyDescent="0.15">
      <c r="A15" s="42" t="s">
        <v>128</v>
      </c>
      <c r="B15" s="44">
        <v>3</v>
      </c>
      <c r="C15" s="38"/>
      <c r="D15" s="199" t="s">
        <v>202</v>
      </c>
      <c r="E15">
        <v>14</v>
      </c>
      <c r="F15">
        <v>3.12</v>
      </c>
      <c r="G15">
        <v>14</v>
      </c>
      <c r="H15" s="200" t="s">
        <v>202</v>
      </c>
      <c r="J15" s="57"/>
      <c r="K15" s="58"/>
    </row>
    <row r="16" spans="1:12" x14ac:dyDescent="0.15">
      <c r="A16" s="36" t="s">
        <v>62</v>
      </c>
      <c r="B16" s="44">
        <v>3.11</v>
      </c>
      <c r="C16" s="38"/>
      <c r="D16" s="199" t="s">
        <v>203</v>
      </c>
      <c r="E16">
        <v>15</v>
      </c>
      <c r="F16">
        <v>3.12</v>
      </c>
      <c r="G16">
        <v>15</v>
      </c>
      <c r="H16" s="200" t="s">
        <v>203</v>
      </c>
      <c r="J16" s="57"/>
      <c r="K16" s="58"/>
    </row>
    <row r="17" spans="1:12" x14ac:dyDescent="0.15">
      <c r="A17" s="36" t="s">
        <v>61</v>
      </c>
      <c r="B17" s="44">
        <v>3.12</v>
      </c>
      <c r="C17" s="38"/>
      <c r="D17" s="199" t="s">
        <v>204</v>
      </c>
      <c r="E17">
        <v>16</v>
      </c>
      <c r="F17">
        <v>3.12</v>
      </c>
      <c r="G17">
        <v>16</v>
      </c>
      <c r="H17" s="200" t="s">
        <v>204</v>
      </c>
      <c r="J17" s="57"/>
      <c r="K17" s="58"/>
    </row>
    <row r="18" spans="1:12" x14ac:dyDescent="0.15">
      <c r="A18" s="36" t="s">
        <v>68</v>
      </c>
      <c r="B18" s="44">
        <v>3.13</v>
      </c>
      <c r="C18" s="38"/>
      <c r="D18" s="199" t="s">
        <v>205</v>
      </c>
      <c r="E18">
        <v>17</v>
      </c>
      <c r="F18">
        <v>3.1</v>
      </c>
      <c r="G18">
        <v>17</v>
      </c>
      <c r="H18" s="200" t="s">
        <v>205</v>
      </c>
      <c r="J18" s="57"/>
      <c r="K18" s="58"/>
    </row>
    <row r="19" spans="1:12" x14ac:dyDescent="0.15">
      <c r="A19" s="36" t="s">
        <v>66</v>
      </c>
      <c r="B19" s="44">
        <v>3.21</v>
      </c>
      <c r="C19" s="38"/>
      <c r="D19" s="199" t="s">
        <v>206</v>
      </c>
      <c r="E19">
        <v>18</v>
      </c>
      <c r="F19">
        <v>3.1</v>
      </c>
      <c r="G19">
        <v>18</v>
      </c>
      <c r="H19" s="200" t="s">
        <v>206</v>
      </c>
      <c r="J19" s="57"/>
      <c r="K19" s="58"/>
    </row>
    <row r="20" spans="1:12" x14ac:dyDescent="0.15">
      <c r="A20" s="36" t="s">
        <v>63</v>
      </c>
      <c r="B20" s="44">
        <v>3.22</v>
      </c>
      <c r="C20" s="38"/>
      <c r="D20" s="199" t="s">
        <v>207</v>
      </c>
      <c r="E20">
        <v>19</v>
      </c>
      <c r="F20">
        <v>3.12</v>
      </c>
      <c r="G20">
        <v>19</v>
      </c>
      <c r="H20" s="200" t="s">
        <v>207</v>
      </c>
      <c r="J20" s="57"/>
      <c r="K20" s="58"/>
    </row>
    <row r="21" spans="1:12" ht="14" thickBot="1" x14ac:dyDescent="0.2">
      <c r="A21" s="36" t="s">
        <v>69</v>
      </c>
      <c r="B21" s="44">
        <v>3.23</v>
      </c>
      <c r="C21" s="38"/>
      <c r="D21" s="199" t="s">
        <v>208</v>
      </c>
      <c r="E21">
        <v>20</v>
      </c>
      <c r="F21">
        <v>3.12</v>
      </c>
      <c r="G21">
        <v>20</v>
      </c>
      <c r="H21" s="200" t="s">
        <v>208</v>
      </c>
      <c r="J21" s="59"/>
      <c r="K21" s="60"/>
      <c r="L21" s="62" t="s">
        <v>152</v>
      </c>
    </row>
    <row r="22" spans="1:12" x14ac:dyDescent="0.15">
      <c r="A22" s="36" t="s">
        <v>64</v>
      </c>
      <c r="B22" s="44">
        <v>8</v>
      </c>
      <c r="C22" s="38"/>
      <c r="D22" s="199" t="s">
        <v>209</v>
      </c>
      <c r="E22">
        <v>21</v>
      </c>
      <c r="F22">
        <v>3.22</v>
      </c>
      <c r="G22">
        <v>21</v>
      </c>
      <c r="H22" s="200" t="s">
        <v>209</v>
      </c>
    </row>
    <row r="23" spans="1:12" x14ac:dyDescent="0.15">
      <c r="A23" s="36" t="s">
        <v>129</v>
      </c>
      <c r="B23" s="44">
        <v>4</v>
      </c>
      <c r="C23" s="38"/>
      <c r="D23" s="199" t="s">
        <v>210</v>
      </c>
      <c r="E23">
        <v>22</v>
      </c>
      <c r="F23">
        <v>3.22</v>
      </c>
      <c r="G23">
        <v>22</v>
      </c>
      <c r="H23" s="200" t="s">
        <v>210</v>
      </c>
    </row>
    <row r="24" spans="1:12" x14ac:dyDescent="0.15">
      <c r="A24" s="36" t="s">
        <v>122</v>
      </c>
      <c r="B24" s="44">
        <v>4.0999999999999996</v>
      </c>
      <c r="C24" s="38"/>
      <c r="D24" s="199" t="s">
        <v>211</v>
      </c>
      <c r="E24">
        <v>23</v>
      </c>
      <c r="F24">
        <v>3.12</v>
      </c>
      <c r="G24">
        <v>23</v>
      </c>
      <c r="H24" s="200" t="s">
        <v>211</v>
      </c>
    </row>
    <row r="25" spans="1:12" x14ac:dyDescent="0.15">
      <c r="A25" s="36" t="s">
        <v>70</v>
      </c>
      <c r="B25" s="44">
        <v>4.2</v>
      </c>
      <c r="C25" s="38"/>
      <c r="D25" s="199" t="s">
        <v>212</v>
      </c>
      <c r="E25">
        <v>24</v>
      </c>
      <c r="F25">
        <v>3.12</v>
      </c>
      <c r="G25">
        <v>24</v>
      </c>
      <c r="H25" s="200" t="s">
        <v>212</v>
      </c>
    </row>
    <row r="26" spans="1:12" x14ac:dyDescent="0.15">
      <c r="A26" s="36" t="s">
        <v>123</v>
      </c>
      <c r="B26" s="44">
        <v>4.3</v>
      </c>
      <c r="C26" s="38"/>
      <c r="D26" s="199" t="s">
        <v>213</v>
      </c>
      <c r="E26">
        <v>25</v>
      </c>
      <c r="F26">
        <v>3.12</v>
      </c>
      <c r="G26">
        <v>25</v>
      </c>
      <c r="H26" s="200" t="s">
        <v>213</v>
      </c>
    </row>
    <row r="27" spans="1:12" x14ac:dyDescent="0.15">
      <c r="A27" s="36" t="s">
        <v>125</v>
      </c>
      <c r="B27" s="44">
        <v>6.1</v>
      </c>
      <c r="D27" s="199" t="s">
        <v>214</v>
      </c>
      <c r="E27">
        <v>26</v>
      </c>
      <c r="F27">
        <v>3.12</v>
      </c>
      <c r="G27">
        <v>26</v>
      </c>
      <c r="H27" s="200" t="s">
        <v>214</v>
      </c>
    </row>
    <row r="28" spans="1:12" x14ac:dyDescent="0.15">
      <c r="A28" s="36" t="s">
        <v>124</v>
      </c>
      <c r="B28" s="44">
        <v>6.2</v>
      </c>
      <c r="D28" s="199" t="s">
        <v>215</v>
      </c>
      <c r="E28">
        <v>27</v>
      </c>
      <c r="F28">
        <v>3.22</v>
      </c>
      <c r="G28">
        <v>27</v>
      </c>
      <c r="H28" s="200" t="s">
        <v>215</v>
      </c>
    </row>
    <row r="29" spans="1:12" x14ac:dyDescent="0.15">
      <c r="A29" s="36" t="s">
        <v>44</v>
      </c>
      <c r="B29" s="44">
        <v>5</v>
      </c>
      <c r="D29" s="199" t="s">
        <v>216</v>
      </c>
      <c r="E29">
        <v>28</v>
      </c>
      <c r="F29">
        <v>3.22</v>
      </c>
      <c r="G29">
        <v>28</v>
      </c>
      <c r="H29" s="200" t="s">
        <v>216</v>
      </c>
    </row>
    <row r="30" spans="1:12" x14ac:dyDescent="0.15">
      <c r="A30" s="36" t="s">
        <v>73</v>
      </c>
      <c r="B30" s="44">
        <v>7</v>
      </c>
      <c r="D30" s="199" t="s">
        <v>217</v>
      </c>
      <c r="E30">
        <v>29</v>
      </c>
      <c r="F30">
        <v>3.22</v>
      </c>
      <c r="G30">
        <v>29</v>
      </c>
      <c r="H30" s="200" t="s">
        <v>217</v>
      </c>
    </row>
    <row r="31" spans="1:12" x14ac:dyDescent="0.15">
      <c r="A31" s="36" t="s">
        <v>169</v>
      </c>
      <c r="B31" s="44">
        <v>3.14</v>
      </c>
      <c r="D31" s="199" t="s">
        <v>218</v>
      </c>
      <c r="E31">
        <v>30</v>
      </c>
      <c r="F31">
        <v>3.2</v>
      </c>
      <c r="G31">
        <v>30</v>
      </c>
      <c r="H31" s="200" t="s">
        <v>218</v>
      </c>
    </row>
    <row r="32" spans="1:12" ht="12" customHeight="1" thickBot="1" x14ac:dyDescent="0.2">
      <c r="A32" s="42" t="s">
        <v>170</v>
      </c>
      <c r="B32" s="45">
        <v>9</v>
      </c>
      <c r="D32" s="199" t="s">
        <v>219</v>
      </c>
      <c r="E32">
        <v>31</v>
      </c>
      <c r="F32">
        <v>3.22</v>
      </c>
      <c r="G32">
        <v>31</v>
      </c>
      <c r="H32" s="200" t="s">
        <v>219</v>
      </c>
    </row>
    <row r="33" spans="4:8" customFormat="1" ht="12" customHeight="1" x14ac:dyDescent="0.15">
      <c r="D33" s="199" t="s">
        <v>220</v>
      </c>
      <c r="E33">
        <v>32</v>
      </c>
      <c r="F33">
        <v>3.2</v>
      </c>
      <c r="G33">
        <v>32</v>
      </c>
      <c r="H33" s="200" t="s">
        <v>220</v>
      </c>
    </row>
    <row r="34" spans="4:8" customFormat="1" ht="12" customHeight="1" x14ac:dyDescent="0.15">
      <c r="D34" s="199" t="s">
        <v>221</v>
      </c>
      <c r="E34">
        <v>33</v>
      </c>
      <c r="F34">
        <v>3</v>
      </c>
      <c r="G34">
        <v>33</v>
      </c>
      <c r="H34" s="200" t="s">
        <v>221</v>
      </c>
    </row>
    <row r="35" spans="4:8" customFormat="1" x14ac:dyDescent="0.15">
      <c r="D35" s="199" t="s">
        <v>222</v>
      </c>
      <c r="E35">
        <v>34</v>
      </c>
      <c r="F35">
        <v>3</v>
      </c>
      <c r="G35">
        <v>34</v>
      </c>
      <c r="H35" s="200" t="s">
        <v>222</v>
      </c>
    </row>
    <row r="36" spans="4:8" customFormat="1" x14ac:dyDescent="0.15">
      <c r="D36" s="199" t="s">
        <v>223</v>
      </c>
      <c r="E36">
        <v>35</v>
      </c>
      <c r="F36">
        <v>3</v>
      </c>
      <c r="G36">
        <v>35</v>
      </c>
      <c r="H36" s="200" t="s">
        <v>223</v>
      </c>
    </row>
    <row r="37" spans="4:8" customFormat="1" ht="12" customHeight="1" x14ac:dyDescent="0.15">
      <c r="D37" s="199" t="s">
        <v>224</v>
      </c>
      <c r="E37">
        <v>36</v>
      </c>
      <c r="F37">
        <v>3.21</v>
      </c>
      <c r="G37">
        <v>36</v>
      </c>
      <c r="H37" s="200" t="s">
        <v>224</v>
      </c>
    </row>
    <row r="38" spans="4:8" customFormat="1" x14ac:dyDescent="0.15">
      <c r="D38" s="199" t="s">
        <v>225</v>
      </c>
      <c r="E38">
        <v>37</v>
      </c>
      <c r="F38">
        <v>3.2</v>
      </c>
      <c r="G38">
        <v>37</v>
      </c>
      <c r="H38" s="200" t="s">
        <v>225</v>
      </c>
    </row>
    <row r="39" spans="4:8" customFormat="1" x14ac:dyDescent="0.15">
      <c r="D39" s="199" t="s">
        <v>226</v>
      </c>
      <c r="E39">
        <v>38</v>
      </c>
      <c r="F39">
        <v>3.12</v>
      </c>
      <c r="G39">
        <v>38</v>
      </c>
      <c r="H39" s="200" t="s">
        <v>226</v>
      </c>
    </row>
    <row r="40" spans="4:8" customFormat="1" x14ac:dyDescent="0.15">
      <c r="D40" s="199" t="s">
        <v>227</v>
      </c>
      <c r="E40">
        <v>39</v>
      </c>
      <c r="F40">
        <v>3.11</v>
      </c>
      <c r="G40">
        <v>39</v>
      </c>
      <c r="H40" s="200" t="s">
        <v>227</v>
      </c>
    </row>
    <row r="41" spans="4:8" customFormat="1" x14ac:dyDescent="0.15">
      <c r="D41" s="199" t="s">
        <v>228</v>
      </c>
      <c r="E41">
        <v>40</v>
      </c>
      <c r="F41">
        <v>3.11</v>
      </c>
      <c r="G41">
        <v>40</v>
      </c>
      <c r="H41" s="200" t="s">
        <v>228</v>
      </c>
    </row>
    <row r="42" spans="4:8" customFormat="1" x14ac:dyDescent="0.15">
      <c r="D42" s="199" t="s">
        <v>229</v>
      </c>
      <c r="E42">
        <v>41</v>
      </c>
      <c r="F42">
        <v>2</v>
      </c>
      <c r="G42">
        <v>41</v>
      </c>
      <c r="H42" s="200" t="s">
        <v>229</v>
      </c>
    </row>
    <row r="43" spans="4:8" customFormat="1" x14ac:dyDescent="0.15">
      <c r="D43" s="199" t="s">
        <v>230</v>
      </c>
      <c r="E43">
        <v>42</v>
      </c>
      <c r="F43">
        <v>2</v>
      </c>
      <c r="G43">
        <v>42</v>
      </c>
      <c r="H43" s="200" t="s">
        <v>230</v>
      </c>
    </row>
    <row r="44" spans="4:8" customFormat="1" x14ac:dyDescent="0.15">
      <c r="D44" s="199" t="s">
        <v>231</v>
      </c>
      <c r="E44">
        <v>43</v>
      </c>
      <c r="F44">
        <v>4.0999999999999996</v>
      </c>
      <c r="G44">
        <v>43</v>
      </c>
      <c r="H44" s="200" t="s">
        <v>231</v>
      </c>
    </row>
    <row r="45" spans="4:8" customFormat="1" x14ac:dyDescent="0.15">
      <c r="D45" s="199" t="s">
        <v>232</v>
      </c>
      <c r="E45">
        <v>44</v>
      </c>
      <c r="F45">
        <v>4.3</v>
      </c>
      <c r="G45">
        <v>44</v>
      </c>
      <c r="H45" s="200" t="s">
        <v>232</v>
      </c>
    </row>
    <row r="46" spans="4:8" customFormat="1" x14ac:dyDescent="0.15">
      <c r="D46" s="199" t="s">
        <v>233</v>
      </c>
      <c r="E46">
        <v>45</v>
      </c>
      <c r="F46">
        <v>5</v>
      </c>
      <c r="G46">
        <v>45</v>
      </c>
      <c r="H46" s="200" t="s">
        <v>233</v>
      </c>
    </row>
    <row r="47" spans="4:8" customFormat="1" x14ac:dyDescent="0.15">
      <c r="D47" s="199" t="s">
        <v>138</v>
      </c>
      <c r="E47">
        <v>46</v>
      </c>
      <c r="F47">
        <v>6.1</v>
      </c>
      <c r="G47">
        <v>46</v>
      </c>
      <c r="H47" s="200" t="s">
        <v>138</v>
      </c>
    </row>
    <row r="48" spans="4:8" customFormat="1" x14ac:dyDescent="0.15">
      <c r="D48" s="199" t="s">
        <v>45</v>
      </c>
      <c r="E48">
        <v>47</v>
      </c>
      <c r="F48">
        <v>6.2</v>
      </c>
      <c r="G48">
        <v>47</v>
      </c>
      <c r="H48" s="200" t="s">
        <v>45</v>
      </c>
    </row>
    <row r="49" customFormat="1" x14ac:dyDescent="0.15"/>
    <row r="50" customFormat="1" ht="12" customHeight="1" x14ac:dyDescent="0.15"/>
    <row r="51" customFormat="1" x14ac:dyDescent="0.15"/>
    <row r="52" customFormat="1" ht="12" customHeight="1" x14ac:dyDescent="0.15"/>
    <row r="53" customFormat="1" x14ac:dyDescent="0.15"/>
    <row r="54" customFormat="1" ht="12" customHeight="1" x14ac:dyDescent="0.15"/>
    <row r="55" customFormat="1" ht="12" customHeight="1" x14ac:dyDescent="0.15"/>
    <row r="56" customFormat="1" x14ac:dyDescent="0.15"/>
    <row r="57" customFormat="1" x14ac:dyDescent="0.15"/>
    <row r="58" customFormat="1" x14ac:dyDescent="0.15"/>
    <row r="59" customFormat="1" x14ac:dyDescent="0.15"/>
    <row r="60" customFormat="1" x14ac:dyDescent="0.15"/>
    <row r="61" customFormat="1" x14ac:dyDescent="0.15"/>
    <row r="62" customFormat="1" x14ac:dyDescent="0.15"/>
    <row r="63" customFormat="1" x14ac:dyDescent="0.15"/>
    <row r="64" customFormat="1" x14ac:dyDescent="0.15"/>
    <row r="65" customFormat="1" x14ac:dyDescent="0.15"/>
    <row r="66" customFormat="1" x14ac:dyDescent="0.15"/>
    <row r="67" customFormat="1" x14ac:dyDescent="0.15"/>
    <row r="68" customFormat="1" x14ac:dyDescent="0.15"/>
    <row r="69" customFormat="1" x14ac:dyDescent="0.15"/>
    <row r="70" customFormat="1" x14ac:dyDescent="0.15"/>
    <row r="71" customFormat="1" x14ac:dyDescent="0.15"/>
    <row r="72" customFormat="1" x14ac:dyDescent="0.15"/>
    <row r="73" customFormat="1" x14ac:dyDescent="0.15"/>
    <row r="74" customFormat="1" x14ac:dyDescent="0.15"/>
    <row r="75" customFormat="1" x14ac:dyDescent="0.15"/>
    <row r="76" customFormat="1" x14ac:dyDescent="0.15"/>
    <row r="77" customFormat="1" x14ac:dyDescent="0.15"/>
    <row r="78" customFormat="1" x14ac:dyDescent="0.15"/>
    <row r="79" customFormat="1" x14ac:dyDescent="0.15"/>
    <row r="80" customFormat="1" x14ac:dyDescent="0.15"/>
    <row r="81" customFormat="1" x14ac:dyDescent="0.15"/>
    <row r="82" customFormat="1" x14ac:dyDescent="0.15"/>
    <row r="83" customFormat="1" x14ac:dyDescent="0.15"/>
    <row r="84" customFormat="1" x14ac:dyDescent="0.15"/>
    <row r="85" customFormat="1" x14ac:dyDescent="0.15"/>
    <row r="86" customFormat="1" x14ac:dyDescent="0.15"/>
    <row r="87" customFormat="1" x14ac:dyDescent="0.15"/>
    <row r="88" customFormat="1" x14ac:dyDescent="0.15"/>
    <row r="89" customFormat="1" x14ac:dyDescent="0.15"/>
    <row r="90" customFormat="1" x14ac:dyDescent="0.15"/>
    <row r="91" customFormat="1" x14ac:dyDescent="0.15"/>
    <row r="92" customFormat="1" x14ac:dyDescent="0.15"/>
    <row r="93" customFormat="1" x14ac:dyDescent="0.15"/>
    <row r="94" customFormat="1" x14ac:dyDescent="0.15"/>
    <row r="95" customFormat="1" x14ac:dyDescent="0.15"/>
    <row r="96" customFormat="1" x14ac:dyDescent="0.15"/>
    <row r="97" customFormat="1" x14ac:dyDescent="0.15"/>
    <row r="98" customFormat="1" x14ac:dyDescent="0.15"/>
    <row r="99" customFormat="1" x14ac:dyDescent="0.15"/>
    <row r="100" customFormat="1" x14ac:dyDescent="0.15"/>
    <row r="101" customFormat="1" x14ac:dyDescent="0.15"/>
    <row r="102" customFormat="1" x14ac:dyDescent="0.15"/>
    <row r="103" customFormat="1" x14ac:dyDescent="0.15"/>
    <row r="104" customFormat="1" x14ac:dyDescent="0.15"/>
    <row r="105" customFormat="1" x14ac:dyDescent="0.15"/>
    <row r="106" customFormat="1" x14ac:dyDescent="0.15"/>
    <row r="107" customFormat="1" x14ac:dyDescent="0.15"/>
    <row r="108" customFormat="1" x14ac:dyDescent="0.15"/>
    <row r="109" customFormat="1" x14ac:dyDescent="0.15"/>
    <row r="110" customFormat="1" x14ac:dyDescent="0.15"/>
    <row r="111" customFormat="1" x14ac:dyDescent="0.15"/>
    <row r="112" customFormat="1" x14ac:dyDescent="0.15"/>
    <row r="113" customFormat="1" x14ac:dyDescent="0.15"/>
    <row r="114" customFormat="1" x14ac:dyDescent="0.15"/>
    <row r="115" customFormat="1" x14ac:dyDescent="0.15"/>
    <row r="116" customFormat="1" x14ac:dyDescent="0.15"/>
    <row r="117" customFormat="1" x14ac:dyDescent="0.15"/>
    <row r="118" customFormat="1" x14ac:dyDescent="0.15"/>
    <row r="119" customFormat="1" x14ac:dyDescent="0.15"/>
    <row r="120" customFormat="1" x14ac:dyDescent="0.15"/>
    <row r="121" customFormat="1" x14ac:dyDescent="0.15"/>
    <row r="122" customFormat="1" x14ac:dyDescent="0.15"/>
    <row r="123" customFormat="1" x14ac:dyDescent="0.15"/>
    <row r="124" customFormat="1" x14ac:dyDescent="0.15"/>
    <row r="125" customFormat="1" x14ac:dyDescent="0.15"/>
    <row r="126" customFormat="1" x14ac:dyDescent="0.15"/>
    <row r="127" customFormat="1" x14ac:dyDescent="0.15"/>
    <row r="128" customFormat="1" x14ac:dyDescent="0.15"/>
    <row r="129" customFormat="1" x14ac:dyDescent="0.15"/>
    <row r="130" customFormat="1" x14ac:dyDescent="0.15"/>
    <row r="131" customFormat="1" x14ac:dyDescent="0.15"/>
    <row r="132" customFormat="1" x14ac:dyDescent="0.15"/>
    <row r="133" customFormat="1" x14ac:dyDescent="0.15"/>
    <row r="134" customFormat="1" x14ac:dyDescent="0.15"/>
    <row r="135" customFormat="1" x14ac:dyDescent="0.15"/>
    <row r="136" customFormat="1" x14ac:dyDescent="0.15"/>
    <row r="137" customFormat="1" x14ac:dyDescent="0.15"/>
    <row r="138" customFormat="1" x14ac:dyDescent="0.15"/>
    <row r="139" customFormat="1" x14ac:dyDescent="0.15"/>
    <row r="140" customFormat="1" x14ac:dyDescent="0.15"/>
    <row r="141" customFormat="1" x14ac:dyDescent="0.15"/>
    <row r="142" customFormat="1" x14ac:dyDescent="0.15"/>
    <row r="143" customFormat="1" x14ac:dyDescent="0.15"/>
    <row r="144" customFormat="1" x14ac:dyDescent="0.15"/>
    <row r="145" customFormat="1" x14ac:dyDescent="0.15"/>
    <row r="146" customFormat="1" x14ac:dyDescent="0.15"/>
    <row r="147" customFormat="1" x14ac:dyDescent="0.15"/>
    <row r="148" customFormat="1" x14ac:dyDescent="0.15"/>
    <row r="149" customFormat="1" x14ac:dyDescent="0.15"/>
    <row r="150" customFormat="1" x14ac:dyDescent="0.15"/>
    <row r="151" customFormat="1" x14ac:dyDescent="0.15"/>
    <row r="152" customFormat="1" x14ac:dyDescent="0.15"/>
    <row r="153" customFormat="1" x14ac:dyDescent="0.15"/>
    <row r="154" customFormat="1" x14ac:dyDescent="0.15"/>
    <row r="155" customFormat="1" x14ac:dyDescent="0.15"/>
    <row r="156" customFormat="1" x14ac:dyDescent="0.15"/>
    <row r="157" customFormat="1" x14ac:dyDescent="0.15"/>
    <row r="158" customFormat="1" x14ac:dyDescent="0.15"/>
    <row r="159" customFormat="1" x14ac:dyDescent="0.15"/>
    <row r="160" customFormat="1" x14ac:dyDescent="0.15"/>
    <row r="161" customFormat="1" x14ac:dyDescent="0.15"/>
    <row r="162" customFormat="1" x14ac:dyDescent="0.15"/>
    <row r="163" customFormat="1" x14ac:dyDescent="0.15"/>
    <row r="164" customFormat="1" x14ac:dyDescent="0.15"/>
    <row r="165" customFormat="1" x14ac:dyDescent="0.15"/>
    <row r="166" customFormat="1" x14ac:dyDescent="0.15"/>
    <row r="167" customFormat="1" x14ac:dyDescent="0.15"/>
    <row r="168" customFormat="1" x14ac:dyDescent="0.15"/>
    <row r="169" customFormat="1" x14ac:dyDescent="0.15"/>
    <row r="170" customFormat="1" x14ac:dyDescent="0.15"/>
    <row r="171" customFormat="1" x14ac:dyDescent="0.15"/>
    <row r="172" customFormat="1" x14ac:dyDescent="0.15"/>
    <row r="173" customFormat="1" x14ac:dyDescent="0.15"/>
    <row r="174" customFormat="1" x14ac:dyDescent="0.15"/>
    <row r="175" customFormat="1" x14ac:dyDescent="0.15"/>
    <row r="176" customFormat="1" x14ac:dyDescent="0.15"/>
    <row r="177" customFormat="1" x14ac:dyDescent="0.15"/>
    <row r="178" customFormat="1" x14ac:dyDescent="0.15"/>
    <row r="179" customFormat="1" x14ac:dyDescent="0.15"/>
    <row r="180" customFormat="1" x14ac:dyDescent="0.15"/>
    <row r="181" customFormat="1" x14ac:dyDescent="0.15"/>
    <row r="182" customFormat="1" x14ac:dyDescent="0.15"/>
    <row r="183" customFormat="1" x14ac:dyDescent="0.15"/>
    <row r="184" customFormat="1" x14ac:dyDescent="0.15"/>
    <row r="185" customFormat="1" x14ac:dyDescent="0.15"/>
    <row r="186" customFormat="1" x14ac:dyDescent="0.15"/>
    <row r="187" customFormat="1" x14ac:dyDescent="0.15"/>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W188"/>
  <sheetViews>
    <sheetView topLeftCell="B1" workbookViewId="0">
      <pane ySplit="2" topLeftCell="A3" activePane="bottomLeft" state="frozen"/>
      <selection pane="bottomLeft" activeCell="D4" sqref="D4"/>
    </sheetView>
  </sheetViews>
  <sheetFormatPr baseColWidth="10" defaultColWidth="11.5" defaultRowHeight="15" customHeight="1" x14ac:dyDescent="0.15"/>
  <cols>
    <col min="1" max="1" width="6.1640625" style="83" bestFit="1" customWidth="1"/>
    <col min="2" max="2" width="12.83203125" style="82" customWidth="1"/>
    <col min="3" max="3" width="6.1640625" style="82" customWidth="1"/>
    <col min="4" max="4" width="10.83203125" style="82" customWidth="1"/>
    <col min="5" max="5" width="12.83203125" style="82" customWidth="1"/>
    <col min="6" max="6" width="21.6640625" style="82" bestFit="1" customWidth="1"/>
    <col min="7" max="9" width="2.33203125" style="82" customWidth="1"/>
    <col min="10" max="10" width="2.33203125" style="82" bestFit="1" customWidth="1"/>
    <col min="11" max="15" width="2.33203125" style="82" customWidth="1"/>
    <col min="16" max="16" width="2.33203125" style="71" customWidth="1"/>
    <col min="17" max="17" width="2.33203125" style="82" customWidth="1"/>
    <col min="18" max="18" width="2.33203125" style="72" customWidth="1"/>
    <col min="19" max="16384" width="11.5" style="82"/>
  </cols>
  <sheetData>
    <row r="1" spans="1:23" ht="15" customHeight="1" thickBot="1" x14ac:dyDescent="0.2">
      <c r="F1" s="1"/>
      <c r="G1" s="69" t="s">
        <v>46</v>
      </c>
      <c r="H1" s="69" t="s">
        <v>47</v>
      </c>
      <c r="I1" s="69" t="s">
        <v>120</v>
      </c>
      <c r="J1" s="69" t="s">
        <v>132</v>
      </c>
      <c r="K1" s="84" t="s">
        <v>48</v>
      </c>
      <c r="L1" s="72"/>
      <c r="M1" s="84" t="s">
        <v>119</v>
      </c>
      <c r="N1" s="72"/>
      <c r="O1" s="84" t="s">
        <v>49</v>
      </c>
      <c r="P1" s="74"/>
      <c r="Q1" s="84" t="s">
        <v>50</v>
      </c>
      <c r="R1" s="69" t="s">
        <v>154</v>
      </c>
    </row>
    <row r="2" spans="1:23" ht="15" customHeight="1" x14ac:dyDescent="0.15">
      <c r="A2" s="84" t="s">
        <v>51</v>
      </c>
      <c r="B2" s="85">
        <v>0.5</v>
      </c>
      <c r="C2" s="83" t="s">
        <v>52</v>
      </c>
      <c r="D2" s="86"/>
      <c r="F2" s="1"/>
      <c r="G2" s="87"/>
      <c r="H2" s="87"/>
      <c r="I2" s="87" t="s">
        <v>133</v>
      </c>
      <c r="J2" s="87" t="s">
        <v>133</v>
      </c>
      <c r="K2" s="87" t="s">
        <v>52</v>
      </c>
      <c r="L2" s="87" t="s">
        <v>53</v>
      </c>
      <c r="M2" s="87" t="s">
        <v>52</v>
      </c>
      <c r="N2" s="87" t="s">
        <v>53</v>
      </c>
      <c r="O2" s="87" t="s">
        <v>52</v>
      </c>
      <c r="P2" s="88" t="s">
        <v>53</v>
      </c>
      <c r="Q2" s="87"/>
      <c r="R2" s="89" t="s">
        <v>155</v>
      </c>
    </row>
    <row r="3" spans="1:23" ht="15" customHeight="1" thickBot="1" x14ac:dyDescent="0.2">
      <c r="A3" s="84" t="s">
        <v>54</v>
      </c>
      <c r="B3" s="90">
        <v>0.5</v>
      </c>
      <c r="C3" s="83" t="s">
        <v>53</v>
      </c>
      <c r="D3" s="86"/>
      <c r="F3" t="s">
        <v>38</v>
      </c>
      <c r="G3">
        <v>0</v>
      </c>
      <c r="H3">
        <v>0</v>
      </c>
      <c r="I3">
        <v>0</v>
      </c>
      <c r="J3">
        <v>0</v>
      </c>
      <c r="K3">
        <v>0</v>
      </c>
      <c r="L3">
        <v>0</v>
      </c>
      <c r="M3">
        <v>0</v>
      </c>
      <c r="N3">
        <v>0</v>
      </c>
      <c r="O3">
        <v>0</v>
      </c>
      <c r="P3">
        <v>0</v>
      </c>
      <c r="Q3" s="140">
        <v>0</v>
      </c>
      <c r="R3" s="38">
        <v>0</v>
      </c>
    </row>
    <row r="4" spans="1:23" ht="15" customHeight="1" thickBot="1" x14ac:dyDescent="0.2">
      <c r="F4" t="s">
        <v>40</v>
      </c>
      <c r="G4">
        <v>0</v>
      </c>
      <c r="H4">
        <v>0</v>
      </c>
      <c r="I4">
        <v>0</v>
      </c>
      <c r="J4">
        <v>0</v>
      </c>
      <c r="K4">
        <v>0</v>
      </c>
      <c r="L4">
        <v>0</v>
      </c>
      <c r="M4">
        <v>0</v>
      </c>
      <c r="N4">
        <v>0</v>
      </c>
      <c r="O4">
        <v>0</v>
      </c>
      <c r="P4">
        <v>0</v>
      </c>
      <c r="Q4" s="140">
        <v>0</v>
      </c>
      <c r="R4" s="113">
        <v>0</v>
      </c>
    </row>
    <row r="5" spans="1:23" ht="15" customHeight="1" x14ac:dyDescent="0.15">
      <c r="A5" s="84" t="s">
        <v>55</v>
      </c>
      <c r="B5" s="91">
        <v>0.5</v>
      </c>
      <c r="C5" s="83" t="s">
        <v>52</v>
      </c>
      <c r="D5" s="86"/>
      <c r="F5" t="s">
        <v>41</v>
      </c>
      <c r="G5">
        <v>0</v>
      </c>
      <c r="H5">
        <v>0</v>
      </c>
      <c r="I5">
        <v>0</v>
      </c>
      <c r="J5">
        <v>0</v>
      </c>
      <c r="K5">
        <v>0</v>
      </c>
      <c r="L5">
        <v>0</v>
      </c>
      <c r="M5">
        <v>0</v>
      </c>
      <c r="N5">
        <v>0</v>
      </c>
      <c r="O5">
        <v>0</v>
      </c>
      <c r="P5">
        <v>0</v>
      </c>
      <c r="Q5" s="140">
        <v>0</v>
      </c>
      <c r="R5" s="113">
        <v>0</v>
      </c>
    </row>
    <row r="6" spans="1:23" ht="15" customHeight="1" thickBot="1" x14ac:dyDescent="0.2">
      <c r="A6" s="84"/>
      <c r="B6" s="92">
        <v>0.5</v>
      </c>
      <c r="C6" s="83" t="s">
        <v>53</v>
      </c>
      <c r="D6" s="86"/>
      <c r="F6" s="201" t="s">
        <v>192</v>
      </c>
      <c r="G6" s="82">
        <v>0</v>
      </c>
      <c r="H6" s="82">
        <v>0</v>
      </c>
      <c r="I6" s="82">
        <v>0</v>
      </c>
      <c r="J6" s="82">
        <v>0</v>
      </c>
      <c r="K6" s="82">
        <v>1</v>
      </c>
      <c r="L6" s="82">
        <v>0</v>
      </c>
      <c r="M6" s="82">
        <v>1</v>
      </c>
      <c r="N6" s="82">
        <v>0</v>
      </c>
      <c r="O6" s="82">
        <v>1</v>
      </c>
      <c r="P6" s="71">
        <v>0</v>
      </c>
      <c r="Q6" s="82">
        <v>0</v>
      </c>
      <c r="R6" s="72">
        <v>1</v>
      </c>
      <c r="S6"/>
      <c r="T6"/>
    </row>
    <row r="7" spans="1:23" ht="15" customHeight="1" thickBot="1" x14ac:dyDescent="0.2">
      <c r="F7" s="201" t="s">
        <v>193</v>
      </c>
      <c r="G7" s="82">
        <v>0</v>
      </c>
      <c r="H7" s="82">
        <v>0</v>
      </c>
      <c r="I7" s="82">
        <v>0</v>
      </c>
      <c r="J7" s="82">
        <v>0</v>
      </c>
      <c r="K7" s="82">
        <v>1</v>
      </c>
      <c r="L7" s="82">
        <v>0</v>
      </c>
      <c r="M7" s="82">
        <v>1</v>
      </c>
      <c r="N7" s="82">
        <v>0</v>
      </c>
      <c r="O7" s="82">
        <v>1</v>
      </c>
      <c r="P7" s="71">
        <v>0</v>
      </c>
      <c r="Q7" s="82">
        <v>0</v>
      </c>
      <c r="R7" s="72">
        <v>1</v>
      </c>
      <c r="S7"/>
      <c r="T7"/>
    </row>
    <row r="8" spans="1:23" ht="15" customHeight="1" x14ac:dyDescent="0.15">
      <c r="A8" s="84" t="s">
        <v>56</v>
      </c>
      <c r="B8" s="91">
        <v>0.9688656694033394</v>
      </c>
      <c r="C8" s="202" t="s">
        <v>229</v>
      </c>
      <c r="D8" s="86" t="s">
        <v>160</v>
      </c>
      <c r="F8" s="201" t="s">
        <v>194</v>
      </c>
      <c r="G8" s="82">
        <v>0</v>
      </c>
      <c r="H8" s="82">
        <v>0</v>
      </c>
      <c r="I8" s="82">
        <v>0</v>
      </c>
      <c r="J8" s="82">
        <v>0</v>
      </c>
      <c r="K8" s="82">
        <v>1</v>
      </c>
      <c r="L8" s="82">
        <v>0</v>
      </c>
      <c r="M8" s="82">
        <v>1</v>
      </c>
      <c r="N8" s="82">
        <v>0</v>
      </c>
      <c r="O8" s="82">
        <v>1</v>
      </c>
      <c r="P8" s="71">
        <v>0</v>
      </c>
      <c r="Q8" s="82">
        <v>0</v>
      </c>
      <c r="R8" s="72">
        <v>1</v>
      </c>
      <c r="S8"/>
      <c r="T8"/>
      <c r="W8"/>
    </row>
    <row r="9" spans="1:23" ht="15" customHeight="1" x14ac:dyDescent="0.15">
      <c r="A9" s="127" t="s">
        <v>168</v>
      </c>
      <c r="B9" s="93">
        <v>3.1134330596660594E-2</v>
      </c>
      <c r="C9" s="202" t="s">
        <v>230</v>
      </c>
      <c r="D9" s="86" t="s">
        <v>160</v>
      </c>
      <c r="F9" s="201" t="s">
        <v>195</v>
      </c>
      <c r="G9" s="82">
        <v>0</v>
      </c>
      <c r="H9" s="82">
        <v>0</v>
      </c>
      <c r="I9" s="82">
        <v>0</v>
      </c>
      <c r="J9" s="82">
        <v>0</v>
      </c>
      <c r="K9" s="82">
        <v>1</v>
      </c>
      <c r="L9" s="82">
        <v>0</v>
      </c>
      <c r="M9" s="82">
        <v>1</v>
      </c>
      <c r="N9" s="82">
        <v>0</v>
      </c>
      <c r="O9" s="82">
        <v>1</v>
      </c>
      <c r="P9" s="71">
        <v>0</v>
      </c>
      <c r="Q9" s="82">
        <v>0</v>
      </c>
      <c r="R9" s="72">
        <v>1</v>
      </c>
      <c r="S9"/>
      <c r="T9"/>
      <c r="W9"/>
    </row>
    <row r="10" spans="1:23" ht="15" customHeight="1" x14ac:dyDescent="0.15">
      <c r="B10" s="93"/>
      <c r="C10" s="81"/>
      <c r="D10" s="86" t="s">
        <v>160</v>
      </c>
      <c r="F10" s="201" t="s">
        <v>196</v>
      </c>
      <c r="G10" s="82">
        <v>0</v>
      </c>
      <c r="H10" s="82">
        <v>0</v>
      </c>
      <c r="I10" s="82">
        <v>0</v>
      </c>
      <c r="J10" s="82">
        <v>0</v>
      </c>
      <c r="K10" s="82">
        <v>1</v>
      </c>
      <c r="L10" s="82">
        <v>0</v>
      </c>
      <c r="M10" s="82">
        <v>1</v>
      </c>
      <c r="N10" s="82">
        <v>0</v>
      </c>
      <c r="O10" s="82">
        <v>1</v>
      </c>
      <c r="P10" s="71">
        <v>0</v>
      </c>
      <c r="Q10" s="82">
        <v>0</v>
      </c>
      <c r="R10" s="72">
        <v>1</v>
      </c>
      <c r="S10"/>
      <c r="T10"/>
      <c r="W10"/>
    </row>
    <row r="11" spans="1:23" ht="15" customHeight="1" x14ac:dyDescent="0.15">
      <c r="A11" s="84"/>
      <c r="B11" s="93"/>
      <c r="C11" s="96"/>
      <c r="D11" s="86" t="s">
        <v>160</v>
      </c>
      <c r="F11" s="201" t="s">
        <v>197</v>
      </c>
      <c r="G11" s="82">
        <v>0</v>
      </c>
      <c r="H11" s="82">
        <v>0</v>
      </c>
      <c r="I11" s="82">
        <v>0</v>
      </c>
      <c r="J11" s="82">
        <v>0</v>
      </c>
      <c r="K11" s="82">
        <v>1</v>
      </c>
      <c r="L11" s="82">
        <v>0</v>
      </c>
      <c r="M11" s="82">
        <v>1</v>
      </c>
      <c r="N11" s="82">
        <v>0</v>
      </c>
      <c r="O11" s="82">
        <v>1</v>
      </c>
      <c r="P11" s="71">
        <v>0</v>
      </c>
      <c r="Q11" s="82">
        <v>0</v>
      </c>
      <c r="R11" s="72">
        <v>1</v>
      </c>
      <c r="S11"/>
      <c r="T11"/>
      <c r="W11"/>
    </row>
    <row r="12" spans="1:23" ht="15" customHeight="1" x14ac:dyDescent="0.15">
      <c r="B12" s="93"/>
      <c r="C12" s="97"/>
      <c r="D12" s="86" t="s">
        <v>160</v>
      </c>
      <c r="F12" s="201" t="s">
        <v>198</v>
      </c>
      <c r="G12" s="82">
        <v>0</v>
      </c>
      <c r="H12" s="82">
        <v>0</v>
      </c>
      <c r="I12" s="82">
        <v>0</v>
      </c>
      <c r="J12" s="82">
        <v>0</v>
      </c>
      <c r="K12" s="82">
        <v>1</v>
      </c>
      <c r="L12" s="82">
        <v>0</v>
      </c>
      <c r="M12" s="82">
        <v>1</v>
      </c>
      <c r="N12" s="82">
        <v>0</v>
      </c>
      <c r="O12" s="82">
        <v>1</v>
      </c>
      <c r="P12" s="71">
        <v>0</v>
      </c>
      <c r="Q12" s="82">
        <v>0</v>
      </c>
      <c r="R12" s="72">
        <v>1</v>
      </c>
      <c r="S12"/>
      <c r="T12"/>
      <c r="W12"/>
    </row>
    <row r="13" spans="1:23" ht="15" customHeight="1" x14ac:dyDescent="0.15">
      <c r="B13" s="93"/>
      <c r="C13" s="97"/>
      <c r="D13" s="86" t="s">
        <v>160</v>
      </c>
      <c r="F13" s="201" t="s">
        <v>199</v>
      </c>
      <c r="G13" s="82">
        <v>0</v>
      </c>
      <c r="H13" s="82">
        <v>0</v>
      </c>
      <c r="I13" s="82">
        <v>0</v>
      </c>
      <c r="J13" s="82">
        <v>0</v>
      </c>
      <c r="K13" s="82">
        <v>1</v>
      </c>
      <c r="L13" s="82">
        <v>0</v>
      </c>
      <c r="M13" s="82">
        <v>1</v>
      </c>
      <c r="N13" s="82">
        <v>0</v>
      </c>
      <c r="O13" s="82">
        <v>1</v>
      </c>
      <c r="P13" s="71">
        <v>0</v>
      </c>
      <c r="Q13" s="82">
        <v>0</v>
      </c>
      <c r="R13" s="72">
        <v>1</v>
      </c>
      <c r="S13"/>
      <c r="T13"/>
      <c r="W13"/>
    </row>
    <row r="14" spans="1:23" ht="15" customHeight="1" x14ac:dyDescent="0.15">
      <c r="B14" s="93"/>
      <c r="C14" s="81"/>
      <c r="D14" s="86" t="s">
        <v>160</v>
      </c>
      <c r="F14" s="201" t="s">
        <v>200</v>
      </c>
      <c r="G14" s="82">
        <v>0</v>
      </c>
      <c r="H14" s="82">
        <v>0</v>
      </c>
      <c r="I14" s="82">
        <v>0</v>
      </c>
      <c r="J14" s="82">
        <v>0</v>
      </c>
      <c r="K14" s="82">
        <v>1</v>
      </c>
      <c r="L14" s="82">
        <v>0</v>
      </c>
      <c r="M14" s="82">
        <v>1</v>
      </c>
      <c r="N14" s="82">
        <v>0</v>
      </c>
      <c r="O14" s="82">
        <v>1</v>
      </c>
      <c r="P14" s="71">
        <v>0</v>
      </c>
      <c r="Q14" s="82">
        <v>0</v>
      </c>
      <c r="R14" s="72">
        <v>1</v>
      </c>
      <c r="S14"/>
      <c r="T14"/>
      <c r="W14"/>
    </row>
    <row r="15" spans="1:23" ht="15" customHeight="1" x14ac:dyDescent="0.15">
      <c r="B15" s="93"/>
      <c r="C15" s="81"/>
      <c r="D15" s="86" t="s">
        <v>160</v>
      </c>
      <c r="F15" s="201" t="s">
        <v>201</v>
      </c>
      <c r="G15" s="82">
        <v>0</v>
      </c>
      <c r="H15" s="82">
        <v>0</v>
      </c>
      <c r="I15" s="82">
        <v>0</v>
      </c>
      <c r="J15" s="82">
        <v>0</v>
      </c>
      <c r="K15" s="82">
        <v>1</v>
      </c>
      <c r="L15" s="82">
        <v>0</v>
      </c>
      <c r="M15" s="82">
        <v>1</v>
      </c>
      <c r="N15" s="82">
        <v>0</v>
      </c>
      <c r="O15" s="82">
        <v>1</v>
      </c>
      <c r="P15" s="71">
        <v>0</v>
      </c>
      <c r="Q15" s="82">
        <v>0</v>
      </c>
      <c r="R15" s="72">
        <v>1</v>
      </c>
      <c r="S15"/>
      <c r="T15"/>
      <c r="W15"/>
    </row>
    <row r="16" spans="1:23" ht="15" customHeight="1" x14ac:dyDescent="0.15">
      <c r="B16" s="93"/>
      <c r="C16" s="81"/>
      <c r="D16" s="86" t="s">
        <v>160</v>
      </c>
      <c r="F16" s="201" t="s">
        <v>202</v>
      </c>
      <c r="G16" s="82">
        <v>0</v>
      </c>
      <c r="H16" s="82">
        <v>0</v>
      </c>
      <c r="I16" s="82">
        <v>0</v>
      </c>
      <c r="J16" s="82">
        <v>0</v>
      </c>
      <c r="K16" s="82">
        <v>1</v>
      </c>
      <c r="L16" s="82">
        <v>0</v>
      </c>
      <c r="M16" s="82">
        <v>1</v>
      </c>
      <c r="N16" s="82">
        <v>0</v>
      </c>
      <c r="O16" s="82">
        <v>1</v>
      </c>
      <c r="P16" s="71">
        <v>0</v>
      </c>
      <c r="Q16" s="82">
        <v>0</v>
      </c>
      <c r="R16" s="72">
        <v>1</v>
      </c>
      <c r="S16"/>
      <c r="T16"/>
    </row>
    <row r="17" spans="1:20" ht="15" customHeight="1" thickBot="1" x14ac:dyDescent="0.2">
      <c r="B17" s="92"/>
      <c r="C17" s="81"/>
      <c r="D17" s="86" t="s">
        <v>160</v>
      </c>
      <c r="F17" s="201" t="s">
        <v>203</v>
      </c>
      <c r="G17" s="82">
        <v>0</v>
      </c>
      <c r="H17" s="82">
        <v>0</v>
      </c>
      <c r="I17" s="82">
        <v>0</v>
      </c>
      <c r="J17" s="82">
        <v>0</v>
      </c>
      <c r="K17" s="82">
        <v>1</v>
      </c>
      <c r="L17" s="82">
        <v>0</v>
      </c>
      <c r="M17" s="82">
        <v>1</v>
      </c>
      <c r="N17" s="82">
        <v>0</v>
      </c>
      <c r="O17" s="82">
        <v>1</v>
      </c>
      <c r="P17" s="71">
        <v>0</v>
      </c>
      <c r="Q17" s="82">
        <v>0</v>
      </c>
      <c r="R17" s="72">
        <v>1</v>
      </c>
      <c r="S17"/>
      <c r="T17"/>
    </row>
    <row r="18" spans="1:20" ht="15" customHeight="1" thickBot="1" x14ac:dyDescent="0.2">
      <c r="B18" s="94"/>
      <c r="F18" s="201" t="s">
        <v>204</v>
      </c>
      <c r="G18" s="82">
        <v>0</v>
      </c>
      <c r="H18" s="82">
        <v>0</v>
      </c>
      <c r="I18" s="82">
        <v>0</v>
      </c>
      <c r="J18" s="82">
        <v>0</v>
      </c>
      <c r="K18" s="82">
        <v>1</v>
      </c>
      <c r="L18" s="82">
        <v>0</v>
      </c>
      <c r="M18" s="82">
        <v>1</v>
      </c>
      <c r="N18" s="82">
        <v>0</v>
      </c>
      <c r="O18" s="82">
        <v>1</v>
      </c>
      <c r="P18" s="71">
        <v>0</v>
      </c>
      <c r="Q18" s="82">
        <v>0</v>
      </c>
      <c r="R18" s="72">
        <v>1</v>
      </c>
      <c r="S18"/>
      <c r="T18"/>
    </row>
    <row r="19" spans="1:20" ht="15" customHeight="1" x14ac:dyDescent="0.15">
      <c r="A19" s="84" t="s">
        <v>57</v>
      </c>
      <c r="B19" s="91">
        <v>0.9688656694033394</v>
      </c>
      <c r="C19" s="203" t="s">
        <v>229</v>
      </c>
      <c r="D19" s="86" t="s">
        <v>160</v>
      </c>
      <c r="F19" s="201" t="s">
        <v>205</v>
      </c>
      <c r="G19" s="82">
        <v>0</v>
      </c>
      <c r="H19" s="82">
        <v>0</v>
      </c>
      <c r="I19" s="82">
        <v>0</v>
      </c>
      <c r="J19" s="82">
        <v>0</v>
      </c>
      <c r="K19" s="82">
        <v>1</v>
      </c>
      <c r="L19" s="82">
        <v>0</v>
      </c>
      <c r="M19" s="82">
        <v>1</v>
      </c>
      <c r="N19" s="82">
        <v>0</v>
      </c>
      <c r="O19" s="82">
        <v>1</v>
      </c>
      <c r="P19" s="71">
        <v>0</v>
      </c>
      <c r="Q19" s="82">
        <v>0</v>
      </c>
      <c r="R19" s="72">
        <v>1</v>
      </c>
      <c r="S19"/>
      <c r="T19"/>
    </row>
    <row r="20" spans="1:20" ht="15" customHeight="1" x14ac:dyDescent="0.15">
      <c r="A20" s="127" t="s">
        <v>168</v>
      </c>
      <c r="B20" s="93">
        <v>3.1134330596660594E-2</v>
      </c>
      <c r="C20" s="203" t="s">
        <v>230</v>
      </c>
      <c r="D20" s="86" t="s">
        <v>160</v>
      </c>
      <c r="F20" s="201" t="s">
        <v>206</v>
      </c>
      <c r="G20" s="82">
        <v>0</v>
      </c>
      <c r="H20" s="82">
        <v>0</v>
      </c>
      <c r="I20" s="82">
        <v>0</v>
      </c>
      <c r="J20" s="82">
        <v>0</v>
      </c>
      <c r="K20" s="82">
        <v>1</v>
      </c>
      <c r="L20" s="82">
        <v>0</v>
      </c>
      <c r="M20" s="82">
        <v>1</v>
      </c>
      <c r="N20" s="82">
        <v>0</v>
      </c>
      <c r="O20" s="82">
        <v>1</v>
      </c>
      <c r="P20" s="71">
        <v>0</v>
      </c>
      <c r="Q20" s="82">
        <v>0</v>
      </c>
      <c r="R20" s="72">
        <v>1</v>
      </c>
      <c r="S20"/>
      <c r="T20"/>
    </row>
    <row r="21" spans="1:20" ht="15" customHeight="1" x14ac:dyDescent="0.15">
      <c r="B21" s="93"/>
      <c r="C21" s="81"/>
      <c r="D21" s="86" t="s">
        <v>160</v>
      </c>
      <c r="F21" s="201" t="s">
        <v>207</v>
      </c>
      <c r="G21" s="82">
        <v>0</v>
      </c>
      <c r="H21" s="82">
        <v>0</v>
      </c>
      <c r="I21" s="82">
        <v>0</v>
      </c>
      <c r="J21" s="82">
        <v>0</v>
      </c>
      <c r="K21" s="82">
        <v>1</v>
      </c>
      <c r="L21" s="82">
        <v>0</v>
      </c>
      <c r="M21" s="82">
        <v>1</v>
      </c>
      <c r="N21" s="82">
        <v>0</v>
      </c>
      <c r="O21" s="82">
        <v>1</v>
      </c>
      <c r="P21" s="71">
        <v>0</v>
      </c>
      <c r="Q21" s="82">
        <v>0</v>
      </c>
      <c r="R21" s="72">
        <v>1</v>
      </c>
      <c r="S21"/>
      <c r="T21"/>
    </row>
    <row r="22" spans="1:20" ht="15" customHeight="1" x14ac:dyDescent="0.15">
      <c r="A22" s="82"/>
      <c r="B22" s="93"/>
      <c r="C22" s="96"/>
      <c r="D22" s="86" t="s">
        <v>160</v>
      </c>
      <c r="F22" s="201" t="s">
        <v>208</v>
      </c>
      <c r="G22" s="82">
        <v>0</v>
      </c>
      <c r="H22" s="82">
        <v>0</v>
      </c>
      <c r="I22" s="82">
        <v>0</v>
      </c>
      <c r="J22" s="82">
        <v>0</v>
      </c>
      <c r="K22" s="82">
        <v>1</v>
      </c>
      <c r="L22" s="82">
        <v>0</v>
      </c>
      <c r="M22" s="82">
        <v>1</v>
      </c>
      <c r="N22" s="82">
        <v>0</v>
      </c>
      <c r="O22" s="82">
        <v>1</v>
      </c>
      <c r="P22" s="71">
        <v>0</v>
      </c>
      <c r="Q22" s="82">
        <v>0</v>
      </c>
      <c r="R22" s="72">
        <v>1</v>
      </c>
      <c r="S22"/>
      <c r="T22"/>
    </row>
    <row r="23" spans="1:20" ht="15" customHeight="1" x14ac:dyDescent="0.15">
      <c r="A23" s="82"/>
      <c r="B23" s="93"/>
      <c r="C23" s="97"/>
      <c r="D23" s="86" t="s">
        <v>160</v>
      </c>
      <c r="F23" s="201" t="s">
        <v>209</v>
      </c>
      <c r="G23" s="82">
        <v>0</v>
      </c>
      <c r="H23" s="82">
        <v>0</v>
      </c>
      <c r="I23" s="82">
        <v>0</v>
      </c>
      <c r="J23" s="82">
        <v>0</v>
      </c>
      <c r="K23" s="82">
        <v>1</v>
      </c>
      <c r="L23" s="82">
        <v>0</v>
      </c>
      <c r="M23" s="82">
        <v>1</v>
      </c>
      <c r="N23" s="82">
        <v>0</v>
      </c>
      <c r="O23" s="82">
        <v>1</v>
      </c>
      <c r="P23" s="71">
        <v>0</v>
      </c>
      <c r="Q23" s="82">
        <v>0</v>
      </c>
      <c r="R23" s="72">
        <v>1</v>
      </c>
      <c r="S23"/>
      <c r="T23"/>
    </row>
    <row r="24" spans="1:20" ht="15" customHeight="1" x14ac:dyDescent="0.15">
      <c r="A24" s="82"/>
      <c r="B24" s="93"/>
      <c r="C24" s="97"/>
      <c r="D24" s="86" t="s">
        <v>160</v>
      </c>
      <c r="F24" s="201" t="s">
        <v>210</v>
      </c>
      <c r="G24" s="82">
        <v>0</v>
      </c>
      <c r="H24" s="82">
        <v>0</v>
      </c>
      <c r="I24" s="82">
        <v>0</v>
      </c>
      <c r="J24" s="82">
        <v>0</v>
      </c>
      <c r="K24" s="82">
        <v>1</v>
      </c>
      <c r="L24" s="82">
        <v>0</v>
      </c>
      <c r="M24" s="82">
        <v>1</v>
      </c>
      <c r="N24" s="82">
        <v>0</v>
      </c>
      <c r="O24" s="82">
        <v>1</v>
      </c>
      <c r="P24" s="71">
        <v>0</v>
      </c>
      <c r="Q24" s="82">
        <v>0</v>
      </c>
      <c r="R24" s="72">
        <v>1</v>
      </c>
      <c r="S24"/>
      <c r="T24"/>
    </row>
    <row r="25" spans="1:20" ht="15" customHeight="1" x14ac:dyDescent="0.15">
      <c r="A25" s="82"/>
      <c r="B25" s="93"/>
      <c r="C25" s="81"/>
      <c r="D25" s="86" t="s">
        <v>160</v>
      </c>
      <c r="F25" s="201" t="s">
        <v>211</v>
      </c>
      <c r="G25" s="82">
        <v>0</v>
      </c>
      <c r="H25" s="82">
        <v>0</v>
      </c>
      <c r="I25" s="82">
        <v>0</v>
      </c>
      <c r="J25" s="82">
        <v>0</v>
      </c>
      <c r="K25" s="82">
        <v>1</v>
      </c>
      <c r="L25" s="82">
        <v>0</v>
      </c>
      <c r="M25" s="82">
        <v>1</v>
      </c>
      <c r="N25" s="82">
        <v>0</v>
      </c>
      <c r="O25" s="82">
        <v>1</v>
      </c>
      <c r="P25" s="71">
        <v>0</v>
      </c>
      <c r="Q25" s="82">
        <v>0</v>
      </c>
      <c r="R25" s="72">
        <v>1</v>
      </c>
      <c r="S25"/>
      <c r="T25"/>
    </row>
    <row r="26" spans="1:20" ht="15" customHeight="1" x14ac:dyDescent="0.15">
      <c r="B26" s="93"/>
      <c r="C26" s="81"/>
      <c r="D26" s="86" t="s">
        <v>160</v>
      </c>
      <c r="F26" s="201" t="s">
        <v>212</v>
      </c>
      <c r="G26" s="82">
        <v>0</v>
      </c>
      <c r="H26" s="82">
        <v>0</v>
      </c>
      <c r="I26" s="82">
        <v>0</v>
      </c>
      <c r="J26" s="82">
        <v>0</v>
      </c>
      <c r="K26" s="82">
        <v>1</v>
      </c>
      <c r="L26" s="82">
        <v>0</v>
      </c>
      <c r="M26" s="82">
        <v>1</v>
      </c>
      <c r="N26" s="82">
        <v>0</v>
      </c>
      <c r="O26" s="82">
        <v>1</v>
      </c>
      <c r="P26" s="71">
        <v>0</v>
      </c>
      <c r="Q26" s="82">
        <v>0</v>
      </c>
      <c r="R26" s="72">
        <v>1</v>
      </c>
      <c r="S26"/>
      <c r="T26"/>
    </row>
    <row r="27" spans="1:20" ht="15" customHeight="1" x14ac:dyDescent="0.15">
      <c r="B27" s="93"/>
      <c r="C27" s="81"/>
      <c r="D27" s="86" t="s">
        <v>160</v>
      </c>
      <c r="F27" s="201" t="s">
        <v>213</v>
      </c>
      <c r="G27" s="82">
        <v>0</v>
      </c>
      <c r="H27" s="82">
        <v>0</v>
      </c>
      <c r="I27" s="82">
        <v>0</v>
      </c>
      <c r="J27" s="82">
        <v>0</v>
      </c>
      <c r="K27" s="82">
        <v>1</v>
      </c>
      <c r="L27" s="82">
        <v>0</v>
      </c>
      <c r="M27" s="82">
        <v>1</v>
      </c>
      <c r="N27" s="82">
        <v>0</v>
      </c>
      <c r="O27" s="82">
        <v>1</v>
      </c>
      <c r="P27" s="71">
        <v>0</v>
      </c>
      <c r="Q27" s="82">
        <v>0</v>
      </c>
      <c r="R27" s="72">
        <v>1</v>
      </c>
      <c r="S27"/>
      <c r="T27"/>
    </row>
    <row r="28" spans="1:20" ht="15" customHeight="1" thickBot="1" x14ac:dyDescent="0.2">
      <c r="B28" s="92"/>
      <c r="C28" s="81"/>
      <c r="D28" s="86" t="s">
        <v>160</v>
      </c>
      <c r="F28" s="201" t="s">
        <v>214</v>
      </c>
      <c r="G28" s="82">
        <v>0</v>
      </c>
      <c r="H28" s="82">
        <v>0</v>
      </c>
      <c r="I28" s="82">
        <v>0</v>
      </c>
      <c r="J28" s="82">
        <v>0</v>
      </c>
      <c r="K28" s="82">
        <v>1</v>
      </c>
      <c r="L28" s="82">
        <v>0</v>
      </c>
      <c r="M28" s="82">
        <v>1</v>
      </c>
      <c r="N28" s="82">
        <v>0</v>
      </c>
      <c r="O28" s="82">
        <v>1</v>
      </c>
      <c r="P28" s="71">
        <v>0</v>
      </c>
      <c r="Q28" s="82">
        <v>0</v>
      </c>
      <c r="R28" s="72">
        <v>1</v>
      </c>
      <c r="S28"/>
      <c r="T28"/>
    </row>
    <row r="29" spans="1:20" ht="15" customHeight="1" x14ac:dyDescent="0.15">
      <c r="F29" s="201" t="s">
        <v>215</v>
      </c>
      <c r="G29" s="82">
        <v>0</v>
      </c>
      <c r="H29" s="82">
        <v>0</v>
      </c>
      <c r="I29" s="82">
        <v>0</v>
      </c>
      <c r="J29" s="82">
        <v>0</v>
      </c>
      <c r="K29" s="82">
        <v>1</v>
      </c>
      <c r="L29" s="82">
        <v>0</v>
      </c>
      <c r="M29" s="82">
        <v>1</v>
      </c>
      <c r="N29" s="82">
        <v>0</v>
      </c>
      <c r="O29" s="82">
        <v>1</v>
      </c>
      <c r="P29" s="71">
        <v>0</v>
      </c>
      <c r="Q29" s="82">
        <v>0</v>
      </c>
      <c r="R29" s="72">
        <v>1</v>
      </c>
      <c r="S29"/>
      <c r="T29"/>
    </row>
    <row r="30" spans="1:20" ht="15" customHeight="1" x14ac:dyDescent="0.15">
      <c r="F30" s="201" t="s">
        <v>216</v>
      </c>
      <c r="G30" s="82">
        <v>0</v>
      </c>
      <c r="H30" s="82">
        <v>0</v>
      </c>
      <c r="I30" s="82">
        <v>0</v>
      </c>
      <c r="J30" s="82">
        <v>0</v>
      </c>
      <c r="K30" s="82">
        <v>1</v>
      </c>
      <c r="L30" s="82">
        <v>0</v>
      </c>
      <c r="M30" s="82">
        <v>1</v>
      </c>
      <c r="N30" s="82">
        <v>0</v>
      </c>
      <c r="O30" s="82">
        <v>1</v>
      </c>
      <c r="P30" s="71">
        <v>0</v>
      </c>
      <c r="Q30" s="82">
        <v>0</v>
      </c>
      <c r="R30" s="72">
        <v>1</v>
      </c>
      <c r="S30"/>
      <c r="T30"/>
    </row>
    <row r="31" spans="1:20" ht="15" customHeight="1" x14ac:dyDescent="0.15">
      <c r="A31" s="128"/>
      <c r="B31" s="138" t="s">
        <v>17</v>
      </c>
      <c r="C31" s="138" t="s">
        <v>1</v>
      </c>
      <c r="D31" s="138" t="s">
        <v>161</v>
      </c>
      <c r="E31" s="139" t="s">
        <v>163</v>
      </c>
      <c r="F31" s="201" t="s">
        <v>217</v>
      </c>
      <c r="G31" s="82">
        <v>0</v>
      </c>
      <c r="H31" s="82">
        <v>0</v>
      </c>
      <c r="I31" s="82">
        <v>0</v>
      </c>
      <c r="J31" s="82">
        <v>0</v>
      </c>
      <c r="K31" s="82">
        <v>1</v>
      </c>
      <c r="L31" s="82">
        <v>0</v>
      </c>
      <c r="M31" s="82">
        <v>1</v>
      </c>
      <c r="N31" s="82">
        <v>0</v>
      </c>
      <c r="O31" s="82">
        <v>1</v>
      </c>
      <c r="P31" s="71">
        <v>0</v>
      </c>
      <c r="Q31" s="82">
        <v>0</v>
      </c>
      <c r="R31" s="72">
        <v>1</v>
      </c>
      <c r="S31"/>
      <c r="T31"/>
    </row>
    <row r="32" spans="1:20" ht="15" customHeight="1" x14ac:dyDescent="0.15">
      <c r="A32" s="204" t="s">
        <v>229</v>
      </c>
      <c r="B32" s="94">
        <v>31.804496799999999</v>
      </c>
      <c r="C32" s="94">
        <v>100</v>
      </c>
      <c r="D32" s="94">
        <v>3180.4496799999997</v>
      </c>
      <c r="E32" s="129">
        <v>0.9688656694033394</v>
      </c>
      <c r="F32" s="201" t="s">
        <v>218</v>
      </c>
      <c r="G32" s="82">
        <v>0</v>
      </c>
      <c r="H32" s="82">
        <v>0</v>
      </c>
      <c r="I32" s="82">
        <v>0</v>
      </c>
      <c r="J32" s="82">
        <v>0</v>
      </c>
      <c r="K32" s="82">
        <v>1</v>
      </c>
      <c r="L32" s="82">
        <v>0</v>
      </c>
      <c r="M32" s="82">
        <v>1</v>
      </c>
      <c r="N32" s="82">
        <v>0</v>
      </c>
      <c r="O32" s="82">
        <v>1</v>
      </c>
      <c r="P32" s="71">
        <v>0</v>
      </c>
      <c r="Q32" s="82">
        <v>0</v>
      </c>
      <c r="R32" s="72">
        <v>1</v>
      </c>
      <c r="S32"/>
      <c r="T32"/>
    </row>
    <row r="33" spans="1:20" ht="15" customHeight="1" x14ac:dyDescent="0.15">
      <c r="A33" s="204" t="s">
        <v>230</v>
      </c>
      <c r="B33" s="94">
        <v>23.228000000000002</v>
      </c>
      <c r="C33" s="94">
        <v>4.4000000000000004</v>
      </c>
      <c r="D33" s="94">
        <v>102.20320000000001</v>
      </c>
      <c r="E33" s="129">
        <v>3.1134330596660594E-2</v>
      </c>
      <c r="F33" s="201" t="s">
        <v>219</v>
      </c>
      <c r="G33" s="82">
        <v>0</v>
      </c>
      <c r="H33" s="82">
        <v>0</v>
      </c>
      <c r="I33" s="82">
        <v>0</v>
      </c>
      <c r="J33" s="82">
        <v>0</v>
      </c>
      <c r="K33" s="82">
        <v>1</v>
      </c>
      <c r="L33" s="82">
        <v>0</v>
      </c>
      <c r="M33" s="82">
        <v>1</v>
      </c>
      <c r="N33" s="82">
        <v>0</v>
      </c>
      <c r="O33" s="82">
        <v>1</v>
      </c>
      <c r="P33" s="71">
        <v>0</v>
      </c>
      <c r="Q33" s="82">
        <v>0</v>
      </c>
      <c r="R33" s="72">
        <v>1</v>
      </c>
      <c r="S33"/>
      <c r="T33"/>
    </row>
    <row r="34" spans="1:20" ht="15" customHeight="1" x14ac:dyDescent="0.15">
      <c r="A34" s="130"/>
      <c r="B34" s="94"/>
      <c r="C34" s="94"/>
      <c r="D34" s="94"/>
      <c r="E34" s="129"/>
      <c r="F34" s="201" t="s">
        <v>220</v>
      </c>
      <c r="G34" s="82">
        <v>0</v>
      </c>
      <c r="H34" s="82">
        <v>0</v>
      </c>
      <c r="I34" s="82">
        <v>0</v>
      </c>
      <c r="J34" s="82">
        <v>0</v>
      </c>
      <c r="K34" s="82">
        <v>1</v>
      </c>
      <c r="L34" s="82">
        <v>0</v>
      </c>
      <c r="M34" s="82">
        <v>1</v>
      </c>
      <c r="N34" s="82">
        <v>0</v>
      </c>
      <c r="O34" s="82">
        <v>1</v>
      </c>
      <c r="P34" s="71">
        <v>0</v>
      </c>
      <c r="Q34" s="82">
        <v>0</v>
      </c>
      <c r="R34" s="72">
        <v>1</v>
      </c>
      <c r="S34"/>
      <c r="T34"/>
    </row>
    <row r="35" spans="1:20" ht="15" customHeight="1" x14ac:dyDescent="0.15">
      <c r="A35" s="131"/>
      <c r="B35" s="94"/>
      <c r="C35" s="94"/>
      <c r="D35" s="94"/>
      <c r="E35" s="129"/>
      <c r="F35" s="201" t="s">
        <v>221</v>
      </c>
      <c r="G35" s="82">
        <v>0</v>
      </c>
      <c r="H35" s="82">
        <v>0</v>
      </c>
      <c r="I35" s="82">
        <v>0</v>
      </c>
      <c r="J35" s="82">
        <v>0</v>
      </c>
      <c r="K35" s="82">
        <v>1</v>
      </c>
      <c r="L35" s="82">
        <v>0</v>
      </c>
      <c r="M35" s="82">
        <v>1</v>
      </c>
      <c r="N35" s="82">
        <v>0</v>
      </c>
      <c r="O35" s="82">
        <v>1</v>
      </c>
      <c r="P35" s="71">
        <v>0</v>
      </c>
      <c r="Q35" s="82">
        <v>0</v>
      </c>
      <c r="R35" s="72">
        <v>1</v>
      </c>
      <c r="S35"/>
      <c r="T35"/>
    </row>
    <row r="36" spans="1:20" ht="15" customHeight="1" x14ac:dyDescent="0.15">
      <c r="A36" s="132"/>
      <c r="B36" s="94"/>
      <c r="C36" s="94"/>
      <c r="D36" s="94"/>
      <c r="E36" s="129"/>
      <c r="F36" s="201" t="s">
        <v>222</v>
      </c>
      <c r="G36" s="82">
        <v>0</v>
      </c>
      <c r="H36" s="82">
        <v>0</v>
      </c>
      <c r="I36" s="82">
        <v>0</v>
      </c>
      <c r="J36" s="82">
        <v>0</v>
      </c>
      <c r="K36" s="82">
        <v>1</v>
      </c>
      <c r="L36" s="82">
        <v>0</v>
      </c>
      <c r="M36" s="82">
        <v>1</v>
      </c>
      <c r="N36" s="82">
        <v>0</v>
      </c>
      <c r="O36" s="82">
        <v>1</v>
      </c>
      <c r="P36" s="71">
        <v>0</v>
      </c>
      <c r="Q36" s="82">
        <v>0</v>
      </c>
      <c r="R36" s="72">
        <v>1</v>
      </c>
      <c r="S36"/>
      <c r="T36"/>
    </row>
    <row r="37" spans="1:20" ht="15" customHeight="1" x14ac:dyDescent="0.15">
      <c r="A37" s="132"/>
      <c r="B37" s="94"/>
      <c r="C37" s="94"/>
      <c r="D37" s="94"/>
      <c r="E37" s="129"/>
      <c r="F37" s="201" t="s">
        <v>223</v>
      </c>
      <c r="G37" s="82">
        <v>0</v>
      </c>
      <c r="H37" s="82">
        <v>0</v>
      </c>
      <c r="I37" s="82">
        <v>0</v>
      </c>
      <c r="J37" s="82">
        <v>0</v>
      </c>
      <c r="K37" s="82">
        <v>1</v>
      </c>
      <c r="L37" s="82">
        <v>0</v>
      </c>
      <c r="M37" s="82">
        <v>1</v>
      </c>
      <c r="N37" s="82">
        <v>0</v>
      </c>
      <c r="O37" s="82">
        <v>1</v>
      </c>
      <c r="P37" s="71">
        <v>0</v>
      </c>
      <c r="Q37" s="82">
        <v>0</v>
      </c>
      <c r="R37" s="72">
        <v>1</v>
      </c>
      <c r="S37"/>
      <c r="T37"/>
    </row>
    <row r="38" spans="1:20" ht="15" customHeight="1" x14ac:dyDescent="0.15">
      <c r="A38" s="133"/>
      <c r="B38" s="94"/>
      <c r="C38" s="94"/>
      <c r="D38" s="94"/>
      <c r="E38" s="129"/>
      <c r="F38" s="201" t="s">
        <v>224</v>
      </c>
      <c r="G38" s="82">
        <v>0</v>
      </c>
      <c r="H38" s="82">
        <v>0</v>
      </c>
      <c r="I38" s="82">
        <v>0</v>
      </c>
      <c r="J38" s="82">
        <v>0</v>
      </c>
      <c r="K38" s="82">
        <v>1</v>
      </c>
      <c r="L38" s="82">
        <v>0</v>
      </c>
      <c r="M38" s="82">
        <v>1</v>
      </c>
      <c r="N38" s="82">
        <v>0</v>
      </c>
      <c r="O38" s="82">
        <v>1</v>
      </c>
      <c r="P38" s="71">
        <v>0</v>
      </c>
      <c r="Q38" s="82">
        <v>0</v>
      </c>
      <c r="R38" s="72">
        <v>1</v>
      </c>
      <c r="S38"/>
      <c r="T38"/>
    </row>
    <row r="39" spans="1:20" ht="15" customHeight="1" x14ac:dyDescent="0.15">
      <c r="A39" s="133"/>
      <c r="B39" s="94"/>
      <c r="C39" s="94"/>
      <c r="D39" s="94"/>
      <c r="E39" s="129"/>
      <c r="F39" s="201" t="s">
        <v>225</v>
      </c>
      <c r="G39" s="82">
        <v>0</v>
      </c>
      <c r="H39" s="82">
        <v>0</v>
      </c>
      <c r="I39" s="82">
        <v>0</v>
      </c>
      <c r="J39" s="82">
        <v>0</v>
      </c>
      <c r="K39" s="82">
        <v>1</v>
      </c>
      <c r="L39" s="82">
        <v>0</v>
      </c>
      <c r="M39" s="82">
        <v>1</v>
      </c>
      <c r="N39" s="82">
        <v>0</v>
      </c>
      <c r="O39" s="82">
        <v>1</v>
      </c>
      <c r="P39" s="71">
        <v>0</v>
      </c>
      <c r="Q39" s="82">
        <v>0</v>
      </c>
      <c r="R39" s="72">
        <v>1</v>
      </c>
      <c r="S39"/>
      <c r="T39"/>
    </row>
    <row r="40" spans="1:20" ht="15" customHeight="1" x14ac:dyDescent="0.15">
      <c r="A40" s="133"/>
      <c r="B40" s="94"/>
      <c r="C40" s="94"/>
      <c r="D40" s="94"/>
      <c r="E40" s="129"/>
      <c r="F40" s="201" t="s">
        <v>226</v>
      </c>
      <c r="G40" s="82">
        <v>0</v>
      </c>
      <c r="H40" s="82">
        <v>0</v>
      </c>
      <c r="I40" s="82">
        <v>0</v>
      </c>
      <c r="J40" s="82">
        <v>0</v>
      </c>
      <c r="K40" s="82">
        <v>1</v>
      </c>
      <c r="L40" s="82">
        <v>0</v>
      </c>
      <c r="M40" s="82">
        <v>1</v>
      </c>
      <c r="N40" s="82">
        <v>0</v>
      </c>
      <c r="O40" s="82">
        <v>1</v>
      </c>
      <c r="P40" s="71">
        <v>0</v>
      </c>
      <c r="Q40" s="82">
        <v>0</v>
      </c>
      <c r="R40" s="72">
        <v>1</v>
      </c>
      <c r="S40"/>
      <c r="T40"/>
    </row>
    <row r="41" spans="1:20" ht="15" customHeight="1" thickBot="1" x14ac:dyDescent="0.2">
      <c r="A41" s="133"/>
      <c r="B41" s="94"/>
      <c r="C41" s="94"/>
      <c r="D41" s="95"/>
      <c r="E41" s="134"/>
      <c r="F41" s="201" t="s">
        <v>227</v>
      </c>
      <c r="G41" s="82">
        <v>0</v>
      </c>
      <c r="H41" s="82">
        <v>0</v>
      </c>
      <c r="I41" s="82">
        <v>0</v>
      </c>
      <c r="J41" s="82">
        <v>0</v>
      </c>
      <c r="K41" s="82">
        <v>1</v>
      </c>
      <c r="L41" s="82">
        <v>0</v>
      </c>
      <c r="M41" s="82">
        <v>1</v>
      </c>
      <c r="N41" s="82">
        <v>0</v>
      </c>
      <c r="O41" s="82">
        <v>1</v>
      </c>
      <c r="P41" s="71">
        <v>0</v>
      </c>
      <c r="Q41" s="82">
        <v>0</v>
      </c>
      <c r="R41" s="72">
        <v>1</v>
      </c>
      <c r="S41"/>
      <c r="T41"/>
    </row>
    <row r="42" spans="1:20" ht="15" customHeight="1" x14ac:dyDescent="0.15">
      <c r="A42" s="135"/>
      <c r="B42" s="136"/>
      <c r="C42" s="136" t="s">
        <v>162</v>
      </c>
      <c r="D42" s="136">
        <f>SUM(D32:D41)</f>
        <v>3282.6528799999996</v>
      </c>
      <c r="E42" s="137">
        <f>SUM(E32:E41)</f>
        <v>1</v>
      </c>
      <c r="F42" s="201" t="s">
        <v>228</v>
      </c>
      <c r="G42" s="82">
        <v>0</v>
      </c>
      <c r="H42" s="82">
        <v>0</v>
      </c>
      <c r="I42" s="82">
        <v>0</v>
      </c>
      <c r="J42" s="82">
        <v>0</v>
      </c>
      <c r="K42" s="82">
        <v>1</v>
      </c>
      <c r="L42" s="82">
        <v>0</v>
      </c>
      <c r="M42" s="82">
        <v>1</v>
      </c>
      <c r="N42" s="82">
        <v>0</v>
      </c>
      <c r="O42" s="82">
        <v>1</v>
      </c>
      <c r="P42" s="71">
        <v>0</v>
      </c>
      <c r="Q42" s="82">
        <v>0</v>
      </c>
      <c r="R42" s="72">
        <v>1</v>
      </c>
      <c r="S42"/>
      <c r="T42"/>
    </row>
    <row r="43" spans="1:20" ht="15" customHeight="1" x14ac:dyDescent="0.15">
      <c r="A43" s="82"/>
      <c r="F43" s="201" t="s">
        <v>229</v>
      </c>
      <c r="G43" s="82">
        <v>0</v>
      </c>
      <c r="H43" s="82">
        <v>0</v>
      </c>
      <c r="I43" s="82">
        <v>0</v>
      </c>
      <c r="J43" s="82">
        <v>0</v>
      </c>
      <c r="K43" s="82">
        <v>0</v>
      </c>
      <c r="L43" s="82">
        <v>0</v>
      </c>
      <c r="M43" s="82">
        <v>1</v>
      </c>
      <c r="N43" s="82">
        <v>0</v>
      </c>
      <c r="O43" s="82">
        <v>0</v>
      </c>
      <c r="P43" s="71">
        <v>0</v>
      </c>
      <c r="Q43" s="82">
        <v>0</v>
      </c>
      <c r="R43" s="72">
        <v>1</v>
      </c>
      <c r="S43"/>
      <c r="T43"/>
    </row>
    <row r="44" spans="1:20" ht="15" customHeight="1" x14ac:dyDescent="0.15">
      <c r="A44" s="82"/>
      <c r="F44" s="201" t="s">
        <v>230</v>
      </c>
      <c r="G44" s="82">
        <v>0</v>
      </c>
      <c r="H44" s="82">
        <v>0</v>
      </c>
      <c r="I44" s="82">
        <v>0</v>
      </c>
      <c r="J44" s="82">
        <v>0</v>
      </c>
      <c r="K44" s="82">
        <v>0</v>
      </c>
      <c r="L44" s="82">
        <v>0</v>
      </c>
      <c r="M44" s="82">
        <v>1</v>
      </c>
      <c r="N44" s="82">
        <v>0</v>
      </c>
      <c r="O44" s="82">
        <v>0</v>
      </c>
      <c r="P44" s="71">
        <v>0</v>
      </c>
      <c r="Q44" s="82">
        <v>0</v>
      </c>
      <c r="R44" s="72">
        <v>1</v>
      </c>
    </row>
    <row r="45" spans="1:20" ht="15" customHeight="1" x14ac:dyDescent="0.15">
      <c r="A45" s="82"/>
      <c r="F45" s="201" t="s">
        <v>231</v>
      </c>
      <c r="G45" s="82">
        <v>0</v>
      </c>
      <c r="H45" s="82">
        <v>0</v>
      </c>
      <c r="I45" s="82">
        <v>0</v>
      </c>
      <c r="J45" s="82">
        <v>0</v>
      </c>
      <c r="K45" s="82">
        <v>0</v>
      </c>
      <c r="L45" s="82">
        <v>1</v>
      </c>
      <c r="M45" s="82">
        <v>0</v>
      </c>
      <c r="N45" s="82">
        <v>1</v>
      </c>
      <c r="O45" s="82">
        <v>0</v>
      </c>
      <c r="P45" s="71">
        <v>1</v>
      </c>
      <c r="Q45" s="82">
        <v>0</v>
      </c>
      <c r="R45" s="72">
        <v>1</v>
      </c>
    </row>
    <row r="46" spans="1:20" ht="15" customHeight="1" x14ac:dyDescent="0.15">
      <c r="A46" s="82"/>
      <c r="F46" s="201" t="s">
        <v>232</v>
      </c>
      <c r="G46" s="82">
        <v>0</v>
      </c>
      <c r="H46" s="82">
        <v>0</v>
      </c>
      <c r="I46" s="82">
        <v>0</v>
      </c>
      <c r="J46" s="82">
        <v>0</v>
      </c>
      <c r="K46" s="82">
        <v>0</v>
      </c>
      <c r="L46" s="82">
        <v>1</v>
      </c>
      <c r="M46" s="82">
        <v>0</v>
      </c>
      <c r="N46" s="82">
        <v>1</v>
      </c>
      <c r="O46" s="82">
        <v>0</v>
      </c>
      <c r="P46" s="71">
        <v>1</v>
      </c>
      <c r="Q46" s="82">
        <v>0</v>
      </c>
      <c r="R46" s="72">
        <v>1</v>
      </c>
    </row>
    <row r="47" spans="1:20" ht="15" customHeight="1" x14ac:dyDescent="0.15">
      <c r="A47" s="82"/>
      <c r="F47" s="201" t="s">
        <v>233</v>
      </c>
      <c r="G47" s="82">
        <v>0</v>
      </c>
      <c r="H47" s="82">
        <v>0</v>
      </c>
      <c r="I47" s="82">
        <v>0</v>
      </c>
      <c r="J47" s="82">
        <v>0</v>
      </c>
      <c r="K47" s="82">
        <v>0</v>
      </c>
      <c r="L47" s="82">
        <v>1</v>
      </c>
      <c r="M47" s="82">
        <v>0</v>
      </c>
      <c r="N47" s="82">
        <v>0</v>
      </c>
      <c r="O47" s="82">
        <v>0</v>
      </c>
      <c r="P47" s="71">
        <v>0</v>
      </c>
      <c r="Q47" s="82">
        <v>0</v>
      </c>
      <c r="R47" s="72">
        <v>1</v>
      </c>
    </row>
    <row r="48" spans="1:20" ht="15" customHeight="1" x14ac:dyDescent="0.15">
      <c r="A48" s="82"/>
      <c r="F48"/>
      <c r="G48"/>
      <c r="H48"/>
      <c r="I48"/>
      <c r="J48"/>
      <c r="K48"/>
      <c r="L48"/>
      <c r="M48"/>
      <c r="N48"/>
      <c r="O48"/>
      <c r="P48"/>
      <c r="Q48"/>
      <c r="R48"/>
    </row>
    <row r="49" spans="6:18" s="82" customFormat="1" ht="15" customHeight="1" x14ac:dyDescent="0.15">
      <c r="F49"/>
      <c r="G49"/>
      <c r="H49"/>
      <c r="I49"/>
      <c r="J49"/>
      <c r="K49"/>
      <c r="L49"/>
      <c r="M49"/>
      <c r="N49"/>
      <c r="O49"/>
      <c r="P49"/>
      <c r="Q49"/>
      <c r="R49"/>
    </row>
    <row r="50" spans="6:18" s="82" customFormat="1" ht="15" customHeight="1" x14ac:dyDescent="0.15">
      <c r="F50"/>
      <c r="G50"/>
      <c r="H50"/>
      <c r="I50"/>
      <c r="J50"/>
      <c r="K50"/>
      <c r="L50"/>
      <c r="M50"/>
      <c r="N50"/>
      <c r="O50"/>
      <c r="P50"/>
      <c r="Q50"/>
      <c r="R50"/>
    </row>
    <row r="51" spans="6:18" s="82" customFormat="1" ht="15" customHeight="1" x14ac:dyDescent="0.15">
      <c r="F51"/>
      <c r="G51"/>
      <c r="H51"/>
      <c r="I51"/>
      <c r="J51"/>
      <c r="K51"/>
      <c r="L51"/>
      <c r="M51"/>
      <c r="N51"/>
      <c r="O51"/>
      <c r="P51"/>
      <c r="Q51"/>
      <c r="R51"/>
    </row>
    <row r="52" spans="6:18" s="82" customFormat="1" ht="15" customHeight="1" x14ac:dyDescent="0.15">
      <c r="F52"/>
      <c r="G52"/>
      <c r="H52"/>
      <c r="I52"/>
      <c r="J52"/>
      <c r="K52"/>
      <c r="L52"/>
      <c r="M52"/>
      <c r="N52"/>
      <c r="O52"/>
      <c r="P52"/>
      <c r="Q52"/>
      <c r="R52"/>
    </row>
    <row r="53" spans="6:18" s="82" customFormat="1" ht="15" customHeight="1" x14ac:dyDescent="0.15">
      <c r="F53"/>
      <c r="G53"/>
      <c r="H53"/>
      <c r="I53"/>
      <c r="J53"/>
      <c r="K53"/>
      <c r="L53"/>
      <c r="M53"/>
      <c r="N53"/>
      <c r="O53"/>
      <c r="P53"/>
      <c r="Q53"/>
      <c r="R53"/>
    </row>
    <row r="54" spans="6:18" s="82" customFormat="1" ht="15" customHeight="1" x14ac:dyDescent="0.15">
      <c r="F54"/>
      <c r="G54"/>
      <c r="H54"/>
      <c r="I54"/>
      <c r="J54"/>
      <c r="K54"/>
      <c r="L54"/>
      <c r="M54"/>
      <c r="N54"/>
      <c r="O54"/>
      <c r="P54"/>
      <c r="Q54"/>
      <c r="R54"/>
    </row>
    <row r="55" spans="6:18" s="82" customFormat="1" ht="15" customHeight="1" x14ac:dyDescent="0.15">
      <c r="F55"/>
      <c r="G55"/>
      <c r="H55"/>
      <c r="I55"/>
      <c r="J55"/>
      <c r="K55"/>
      <c r="L55"/>
      <c r="M55"/>
      <c r="N55"/>
      <c r="O55"/>
      <c r="P55"/>
      <c r="Q55"/>
      <c r="R55"/>
    </row>
    <row r="56" spans="6:18" s="82" customFormat="1" ht="15" customHeight="1" x14ac:dyDescent="0.15">
      <c r="F56"/>
      <c r="G56"/>
      <c r="H56"/>
      <c r="I56"/>
      <c r="J56"/>
      <c r="K56"/>
      <c r="L56"/>
      <c r="M56"/>
      <c r="N56"/>
      <c r="O56"/>
      <c r="P56"/>
      <c r="Q56"/>
      <c r="R56"/>
    </row>
    <row r="57" spans="6:18" s="82" customFormat="1" ht="15" customHeight="1" x14ac:dyDescent="0.15">
      <c r="F57"/>
      <c r="G57"/>
      <c r="H57"/>
      <c r="I57"/>
      <c r="J57"/>
      <c r="K57"/>
      <c r="L57"/>
      <c r="M57"/>
      <c r="N57"/>
      <c r="O57"/>
      <c r="P57"/>
      <c r="Q57"/>
      <c r="R57"/>
    </row>
    <row r="58" spans="6:18" s="82" customFormat="1" ht="15" customHeight="1" x14ac:dyDescent="0.15">
      <c r="F58"/>
      <c r="G58"/>
      <c r="H58"/>
      <c r="I58"/>
      <c r="J58"/>
      <c r="K58"/>
      <c r="L58"/>
      <c r="M58"/>
      <c r="N58"/>
      <c r="O58"/>
      <c r="P58"/>
      <c r="Q58"/>
      <c r="R58"/>
    </row>
    <row r="59" spans="6:18" s="82" customFormat="1" ht="15" customHeight="1" x14ac:dyDescent="0.15">
      <c r="F59"/>
      <c r="G59"/>
      <c r="H59"/>
      <c r="I59"/>
      <c r="J59"/>
      <c r="K59"/>
      <c r="L59"/>
      <c r="M59"/>
      <c r="N59"/>
      <c r="O59"/>
      <c r="P59"/>
      <c r="Q59"/>
      <c r="R59"/>
    </row>
    <row r="60" spans="6:18" s="82" customFormat="1" ht="15" customHeight="1" x14ac:dyDescent="0.15">
      <c r="F60"/>
      <c r="G60"/>
      <c r="H60"/>
      <c r="I60"/>
      <c r="J60"/>
      <c r="K60"/>
      <c r="L60"/>
      <c r="M60"/>
      <c r="N60"/>
      <c r="O60"/>
      <c r="P60"/>
      <c r="Q60"/>
      <c r="R60"/>
    </row>
    <row r="61" spans="6:18" s="82" customFormat="1" ht="15" customHeight="1" x14ac:dyDescent="0.15">
      <c r="F61"/>
      <c r="G61"/>
      <c r="H61"/>
      <c r="I61"/>
      <c r="J61"/>
      <c r="K61"/>
      <c r="L61"/>
      <c r="M61"/>
      <c r="N61"/>
      <c r="O61"/>
      <c r="P61"/>
      <c r="Q61"/>
      <c r="R61"/>
    </row>
    <row r="62" spans="6:18" s="82" customFormat="1" ht="15" customHeight="1" x14ac:dyDescent="0.15">
      <c r="F62"/>
      <c r="G62"/>
      <c r="H62"/>
      <c r="I62"/>
      <c r="J62"/>
      <c r="K62"/>
      <c r="L62"/>
      <c r="M62"/>
      <c r="N62"/>
      <c r="O62"/>
      <c r="P62"/>
      <c r="Q62"/>
      <c r="R62"/>
    </row>
    <row r="63" spans="6:18" s="82" customFormat="1" ht="15" customHeight="1" x14ac:dyDescent="0.15">
      <c r="F63"/>
      <c r="G63"/>
      <c r="H63"/>
      <c r="I63"/>
      <c r="J63"/>
      <c r="K63"/>
      <c r="L63"/>
      <c r="M63"/>
      <c r="N63"/>
      <c r="O63"/>
      <c r="P63"/>
      <c r="Q63"/>
      <c r="R63"/>
    </row>
    <row r="64" spans="6:18" s="82" customFormat="1" ht="15" customHeight="1" x14ac:dyDescent="0.15">
      <c r="F64"/>
      <c r="G64"/>
      <c r="H64"/>
      <c r="I64"/>
      <c r="J64"/>
      <c r="K64"/>
      <c r="L64"/>
      <c r="M64"/>
      <c r="N64"/>
      <c r="O64"/>
      <c r="P64"/>
      <c r="Q64"/>
      <c r="R64"/>
    </row>
    <row r="65" spans="1:18" ht="15" customHeight="1" x14ac:dyDescent="0.15">
      <c r="F65"/>
      <c r="G65"/>
      <c r="H65"/>
      <c r="I65"/>
      <c r="J65"/>
      <c r="K65"/>
      <c r="L65"/>
      <c r="M65"/>
      <c r="N65"/>
      <c r="O65"/>
      <c r="P65"/>
      <c r="Q65"/>
      <c r="R65"/>
    </row>
    <row r="66" spans="1:18" ht="15" customHeight="1" x14ac:dyDescent="0.15">
      <c r="F66"/>
      <c r="G66"/>
      <c r="H66"/>
      <c r="I66"/>
      <c r="J66"/>
      <c r="K66"/>
      <c r="L66"/>
      <c r="M66"/>
      <c r="N66"/>
      <c r="O66"/>
      <c r="P66"/>
      <c r="Q66"/>
      <c r="R66"/>
    </row>
    <row r="67" spans="1:18" ht="15" customHeight="1" x14ac:dyDescent="0.15">
      <c r="F67"/>
      <c r="G67"/>
      <c r="H67"/>
      <c r="I67"/>
      <c r="J67"/>
      <c r="K67"/>
      <c r="L67"/>
      <c r="M67"/>
      <c r="N67"/>
      <c r="O67"/>
      <c r="P67"/>
      <c r="Q67"/>
      <c r="R67"/>
    </row>
    <row r="68" spans="1:18" ht="15" customHeight="1" x14ac:dyDescent="0.15">
      <c r="F68"/>
      <c r="G68"/>
      <c r="H68"/>
      <c r="I68"/>
      <c r="J68"/>
      <c r="K68"/>
      <c r="L68"/>
      <c r="M68"/>
      <c r="N68"/>
      <c r="O68"/>
      <c r="P68"/>
      <c r="Q68"/>
      <c r="R68"/>
    </row>
    <row r="69" spans="1:18" ht="15" customHeight="1" x14ac:dyDescent="0.15">
      <c r="F69"/>
      <c r="G69"/>
      <c r="H69"/>
      <c r="I69"/>
      <c r="J69"/>
      <c r="K69"/>
      <c r="L69"/>
      <c r="M69"/>
      <c r="N69"/>
      <c r="O69"/>
      <c r="P69"/>
      <c r="Q69"/>
      <c r="R69"/>
    </row>
    <row r="70" spans="1:18" ht="15" customHeight="1" x14ac:dyDescent="0.15">
      <c r="F70"/>
      <c r="G70"/>
      <c r="H70"/>
      <c r="I70"/>
      <c r="J70"/>
      <c r="K70"/>
      <c r="L70"/>
      <c r="M70"/>
      <c r="N70"/>
      <c r="O70"/>
      <c r="P70"/>
      <c r="Q70"/>
      <c r="R70"/>
    </row>
    <row r="71" spans="1:18" ht="15" customHeight="1" x14ac:dyDescent="0.15">
      <c r="F71"/>
      <c r="G71"/>
      <c r="H71"/>
      <c r="I71"/>
      <c r="J71"/>
      <c r="K71"/>
      <c r="L71"/>
      <c r="M71"/>
      <c r="N71"/>
      <c r="O71"/>
      <c r="P71"/>
      <c r="Q71"/>
      <c r="R71"/>
    </row>
    <row r="72" spans="1:18" ht="15" customHeight="1" x14ac:dyDescent="0.15">
      <c r="F72"/>
      <c r="G72"/>
      <c r="H72"/>
      <c r="I72"/>
      <c r="J72"/>
      <c r="K72"/>
      <c r="L72"/>
      <c r="M72"/>
      <c r="N72"/>
      <c r="O72"/>
      <c r="P72"/>
      <c r="Q72"/>
      <c r="R72"/>
    </row>
    <row r="73" spans="1:18" ht="15" customHeight="1" x14ac:dyDescent="0.15">
      <c r="F73"/>
      <c r="G73"/>
      <c r="H73"/>
      <c r="I73"/>
      <c r="J73"/>
      <c r="K73"/>
      <c r="L73"/>
      <c r="M73"/>
      <c r="N73"/>
      <c r="O73"/>
      <c r="P73"/>
      <c r="Q73"/>
      <c r="R73"/>
    </row>
    <row r="74" spans="1:18" ht="15" customHeight="1" x14ac:dyDescent="0.15">
      <c r="F74"/>
      <c r="G74"/>
      <c r="H74"/>
      <c r="I74"/>
      <c r="J74"/>
      <c r="K74"/>
      <c r="L74"/>
      <c r="M74"/>
      <c r="N74"/>
      <c r="O74"/>
      <c r="P74"/>
      <c r="Q74"/>
      <c r="R74"/>
    </row>
    <row r="75" spans="1:18" ht="15" customHeight="1" x14ac:dyDescent="0.15">
      <c r="F75"/>
      <c r="G75"/>
      <c r="H75"/>
      <c r="I75"/>
      <c r="J75"/>
      <c r="K75"/>
      <c r="L75"/>
      <c r="M75"/>
      <c r="N75"/>
      <c r="O75"/>
      <c r="P75"/>
      <c r="Q75"/>
      <c r="R75"/>
    </row>
    <row r="76" spans="1:18" ht="15" customHeight="1" x14ac:dyDescent="0.15">
      <c r="A76" s="82"/>
      <c r="F76"/>
      <c r="G76"/>
      <c r="H76"/>
      <c r="I76"/>
      <c r="J76"/>
      <c r="K76"/>
      <c r="L76"/>
      <c r="M76"/>
      <c r="N76"/>
      <c r="O76"/>
      <c r="P76"/>
      <c r="Q76"/>
      <c r="R76"/>
    </row>
    <row r="77" spans="1:18" ht="15" customHeight="1" x14ac:dyDescent="0.15">
      <c r="A77" s="82"/>
      <c r="F77"/>
      <c r="G77"/>
      <c r="H77"/>
      <c r="I77"/>
      <c r="J77"/>
      <c r="K77"/>
      <c r="L77"/>
      <c r="M77"/>
      <c r="N77"/>
      <c r="O77"/>
      <c r="P77"/>
      <c r="Q77"/>
      <c r="R77"/>
    </row>
    <row r="78" spans="1:18" ht="15" customHeight="1" x14ac:dyDescent="0.15">
      <c r="A78" s="82"/>
      <c r="F78"/>
      <c r="G78"/>
      <c r="H78"/>
      <c r="I78"/>
      <c r="J78"/>
      <c r="K78"/>
      <c r="L78"/>
      <c r="M78"/>
      <c r="N78"/>
      <c r="O78"/>
      <c r="P78"/>
      <c r="Q78"/>
      <c r="R78"/>
    </row>
    <row r="79" spans="1:18" ht="15" customHeight="1" x14ac:dyDescent="0.15">
      <c r="A79" s="82"/>
      <c r="F79"/>
      <c r="G79"/>
      <c r="H79"/>
      <c r="I79"/>
      <c r="J79"/>
      <c r="K79"/>
      <c r="L79"/>
      <c r="M79"/>
      <c r="N79"/>
      <c r="O79"/>
      <c r="P79"/>
      <c r="Q79"/>
      <c r="R79"/>
    </row>
    <row r="80" spans="1:18" ht="15" customHeight="1" x14ac:dyDescent="0.15">
      <c r="A80" s="82"/>
      <c r="F80"/>
      <c r="G80"/>
      <c r="H80"/>
      <c r="I80"/>
      <c r="J80"/>
      <c r="K80"/>
      <c r="L80"/>
      <c r="M80"/>
      <c r="N80"/>
      <c r="O80"/>
      <c r="P80"/>
      <c r="Q80"/>
      <c r="R80"/>
    </row>
    <row r="81" spans="1:18" ht="15" customHeight="1" x14ac:dyDescent="0.15">
      <c r="A81" s="82"/>
      <c r="F81"/>
      <c r="G81"/>
      <c r="H81"/>
      <c r="I81"/>
      <c r="J81"/>
      <c r="K81"/>
      <c r="L81"/>
      <c r="M81"/>
      <c r="N81"/>
      <c r="O81"/>
      <c r="P81"/>
      <c r="Q81"/>
      <c r="R81"/>
    </row>
    <row r="82" spans="1:18" ht="15" customHeight="1" x14ac:dyDescent="0.15">
      <c r="A82" s="82"/>
      <c r="F82"/>
      <c r="G82"/>
      <c r="H82"/>
      <c r="I82"/>
      <c r="J82"/>
      <c r="K82"/>
      <c r="L82"/>
      <c r="M82"/>
      <c r="N82"/>
      <c r="O82"/>
      <c r="P82"/>
      <c r="Q82"/>
      <c r="R82"/>
    </row>
    <row r="83" spans="1:18" ht="15" customHeight="1" x14ac:dyDescent="0.15">
      <c r="A83" s="82"/>
      <c r="F83"/>
      <c r="G83"/>
      <c r="H83"/>
      <c r="I83"/>
      <c r="J83"/>
      <c r="K83"/>
      <c r="L83"/>
      <c r="M83"/>
      <c r="N83"/>
      <c r="O83"/>
      <c r="P83"/>
      <c r="Q83"/>
      <c r="R83"/>
    </row>
    <row r="84" spans="1:18" ht="15" customHeight="1" x14ac:dyDescent="0.15">
      <c r="A84" s="82"/>
      <c r="F84"/>
      <c r="G84"/>
      <c r="H84"/>
      <c r="I84"/>
      <c r="J84"/>
      <c r="K84"/>
      <c r="L84"/>
      <c r="M84"/>
      <c r="N84"/>
      <c r="O84"/>
      <c r="P84"/>
      <c r="Q84"/>
      <c r="R84"/>
    </row>
    <row r="85" spans="1:18" ht="15" customHeight="1" x14ac:dyDescent="0.15">
      <c r="A85" s="82"/>
      <c r="F85"/>
      <c r="G85"/>
      <c r="H85"/>
      <c r="I85"/>
      <c r="J85"/>
      <c r="K85"/>
      <c r="L85"/>
      <c r="M85"/>
      <c r="N85"/>
      <c r="O85"/>
      <c r="P85"/>
      <c r="Q85"/>
      <c r="R85"/>
    </row>
    <row r="86" spans="1:18" ht="15" customHeight="1" x14ac:dyDescent="0.15">
      <c r="A86" s="82"/>
      <c r="F86"/>
      <c r="G86"/>
      <c r="H86"/>
      <c r="I86"/>
      <c r="J86"/>
      <c r="K86"/>
      <c r="L86"/>
      <c r="M86"/>
      <c r="N86"/>
      <c r="O86"/>
      <c r="P86"/>
      <c r="Q86"/>
      <c r="R86"/>
    </row>
    <row r="87" spans="1:18" ht="15" customHeight="1" x14ac:dyDescent="0.15">
      <c r="A87" s="82"/>
      <c r="F87"/>
      <c r="G87"/>
      <c r="H87"/>
      <c r="I87"/>
      <c r="J87"/>
      <c r="K87"/>
      <c r="L87"/>
      <c r="M87"/>
      <c r="N87"/>
      <c r="O87"/>
      <c r="P87"/>
      <c r="Q87"/>
      <c r="R87"/>
    </row>
    <row r="88" spans="1:18" ht="15" customHeight="1" x14ac:dyDescent="0.15">
      <c r="A88" s="82"/>
      <c r="F88"/>
      <c r="G88"/>
      <c r="H88"/>
      <c r="I88"/>
      <c r="J88"/>
      <c r="K88"/>
      <c r="L88"/>
      <c r="M88"/>
      <c r="N88"/>
      <c r="O88"/>
      <c r="P88"/>
      <c r="Q88"/>
      <c r="R88"/>
    </row>
    <row r="89" spans="1:18" ht="15" customHeight="1" x14ac:dyDescent="0.15">
      <c r="A89" s="82"/>
      <c r="F89"/>
      <c r="G89"/>
      <c r="H89"/>
      <c r="I89"/>
      <c r="J89"/>
      <c r="K89"/>
      <c r="L89"/>
      <c r="M89"/>
      <c r="N89"/>
      <c r="O89"/>
      <c r="P89"/>
      <c r="Q89"/>
      <c r="R89"/>
    </row>
    <row r="90" spans="1:18" ht="15" customHeight="1" x14ac:dyDescent="0.15">
      <c r="A90" s="82"/>
      <c r="F90"/>
      <c r="G90"/>
      <c r="H90"/>
      <c r="I90"/>
      <c r="J90"/>
      <c r="K90"/>
      <c r="L90"/>
      <c r="M90"/>
      <c r="N90"/>
      <c r="O90"/>
      <c r="P90"/>
      <c r="Q90"/>
      <c r="R90"/>
    </row>
    <row r="91" spans="1:18" ht="15" customHeight="1" x14ac:dyDescent="0.15">
      <c r="A91" s="82"/>
      <c r="F91"/>
      <c r="G91"/>
      <c r="H91"/>
      <c r="I91"/>
      <c r="J91"/>
      <c r="K91"/>
      <c r="L91"/>
      <c r="M91"/>
      <c r="N91"/>
      <c r="O91"/>
      <c r="P91"/>
      <c r="Q91"/>
      <c r="R91"/>
    </row>
    <row r="92" spans="1:18" ht="15" customHeight="1" x14ac:dyDescent="0.15">
      <c r="A92" s="82"/>
      <c r="F92"/>
      <c r="G92"/>
      <c r="H92"/>
      <c r="I92"/>
      <c r="J92"/>
      <c r="K92"/>
      <c r="L92"/>
      <c r="M92"/>
      <c r="N92"/>
      <c r="O92"/>
      <c r="P92"/>
      <c r="Q92"/>
      <c r="R92"/>
    </row>
    <row r="93" spans="1:18" ht="15" customHeight="1" x14ac:dyDescent="0.15">
      <c r="A93" s="82"/>
      <c r="F93"/>
      <c r="G93"/>
      <c r="H93"/>
      <c r="I93"/>
      <c r="J93"/>
      <c r="K93"/>
      <c r="L93"/>
      <c r="M93"/>
      <c r="N93"/>
      <c r="O93"/>
      <c r="P93"/>
      <c r="Q93"/>
      <c r="R93"/>
    </row>
    <row r="94" spans="1:18" ht="15" customHeight="1" x14ac:dyDescent="0.15">
      <c r="A94" s="82"/>
      <c r="F94"/>
      <c r="G94"/>
      <c r="H94"/>
      <c r="I94"/>
      <c r="J94"/>
      <c r="K94"/>
      <c r="L94"/>
      <c r="M94"/>
      <c r="N94"/>
      <c r="O94"/>
      <c r="P94"/>
      <c r="Q94"/>
      <c r="R94"/>
    </row>
    <row r="95" spans="1:18" ht="15" customHeight="1" x14ac:dyDescent="0.15">
      <c r="A95" s="82"/>
      <c r="F95"/>
      <c r="G95"/>
      <c r="H95"/>
      <c r="I95"/>
      <c r="J95"/>
      <c r="K95"/>
      <c r="L95"/>
      <c r="M95"/>
      <c r="N95"/>
      <c r="O95"/>
      <c r="P95"/>
      <c r="Q95"/>
      <c r="R95"/>
    </row>
    <row r="96" spans="1:18" ht="15" customHeight="1" x14ac:dyDescent="0.15">
      <c r="A96" s="82"/>
      <c r="F96"/>
      <c r="G96"/>
      <c r="H96"/>
      <c r="I96"/>
      <c r="J96"/>
      <c r="K96"/>
      <c r="L96"/>
      <c r="M96"/>
      <c r="N96"/>
      <c r="O96"/>
      <c r="P96"/>
      <c r="Q96"/>
      <c r="R96"/>
    </row>
    <row r="97" spans="1:18" ht="15" customHeight="1" x14ac:dyDescent="0.15">
      <c r="A97" s="82"/>
      <c r="F97"/>
      <c r="G97"/>
      <c r="H97"/>
      <c r="I97"/>
      <c r="J97"/>
      <c r="K97"/>
      <c r="L97"/>
      <c r="M97"/>
      <c r="N97"/>
      <c r="O97"/>
      <c r="P97"/>
      <c r="Q97"/>
      <c r="R97"/>
    </row>
    <row r="98" spans="1:18" ht="15" customHeight="1" x14ac:dyDescent="0.15">
      <c r="A98" s="82"/>
      <c r="F98"/>
      <c r="G98"/>
      <c r="H98"/>
      <c r="I98"/>
      <c r="J98"/>
      <c r="K98"/>
      <c r="L98"/>
      <c r="M98"/>
      <c r="N98"/>
      <c r="O98"/>
      <c r="P98"/>
      <c r="Q98"/>
      <c r="R98"/>
    </row>
    <row r="99" spans="1:18" ht="15" customHeight="1" x14ac:dyDescent="0.15">
      <c r="A99" s="82"/>
      <c r="F99"/>
      <c r="G99"/>
      <c r="H99"/>
      <c r="I99"/>
      <c r="J99"/>
      <c r="K99"/>
      <c r="L99"/>
      <c r="M99"/>
      <c r="N99"/>
      <c r="O99"/>
      <c r="P99"/>
      <c r="Q99"/>
      <c r="R99"/>
    </row>
    <row r="100" spans="1:18" ht="15" customHeight="1" x14ac:dyDescent="0.15">
      <c r="A100" s="82"/>
      <c r="F100"/>
      <c r="G100"/>
      <c r="H100"/>
      <c r="I100"/>
      <c r="J100"/>
      <c r="K100"/>
      <c r="L100"/>
      <c r="M100"/>
      <c r="N100"/>
      <c r="O100"/>
      <c r="P100"/>
      <c r="Q100"/>
      <c r="R100"/>
    </row>
    <row r="101" spans="1:18" ht="15" customHeight="1" x14ac:dyDescent="0.15">
      <c r="A101" s="82"/>
      <c r="F101"/>
      <c r="G101"/>
      <c r="H101"/>
      <c r="I101"/>
      <c r="J101"/>
      <c r="K101"/>
      <c r="L101"/>
      <c r="M101"/>
      <c r="N101"/>
      <c r="O101"/>
      <c r="P101"/>
      <c r="Q101"/>
      <c r="R101"/>
    </row>
    <row r="102" spans="1:18" ht="15" customHeight="1" x14ac:dyDescent="0.15">
      <c r="A102" s="82"/>
      <c r="F102"/>
      <c r="G102"/>
      <c r="H102"/>
      <c r="I102"/>
      <c r="J102"/>
      <c r="K102"/>
      <c r="L102"/>
      <c r="M102"/>
      <c r="N102"/>
      <c r="O102"/>
      <c r="P102"/>
      <c r="Q102"/>
      <c r="R102"/>
    </row>
    <row r="103" spans="1:18" ht="15" customHeight="1" x14ac:dyDescent="0.15">
      <c r="A103" s="82"/>
      <c r="F103"/>
      <c r="G103"/>
      <c r="H103"/>
      <c r="I103"/>
      <c r="J103"/>
      <c r="K103"/>
      <c r="L103"/>
      <c r="M103"/>
      <c r="N103"/>
      <c r="O103"/>
      <c r="P103"/>
      <c r="Q103"/>
      <c r="R103"/>
    </row>
    <row r="104" spans="1:18" ht="15" customHeight="1" x14ac:dyDescent="0.15">
      <c r="A104" s="82"/>
      <c r="F104"/>
      <c r="G104"/>
      <c r="H104"/>
      <c r="I104"/>
      <c r="J104"/>
      <c r="K104"/>
      <c r="L104"/>
      <c r="M104"/>
      <c r="N104"/>
      <c r="O104"/>
      <c r="P104"/>
      <c r="Q104"/>
      <c r="R104"/>
    </row>
    <row r="105" spans="1:18" ht="15" customHeight="1" x14ac:dyDescent="0.15">
      <c r="A105" s="82"/>
      <c r="F105"/>
      <c r="G105"/>
      <c r="H105"/>
      <c r="I105"/>
      <c r="J105"/>
      <c r="K105"/>
      <c r="L105"/>
      <c r="M105"/>
      <c r="N105"/>
      <c r="O105"/>
      <c r="P105"/>
      <c r="Q105"/>
      <c r="R105"/>
    </row>
    <row r="106" spans="1:18" ht="15" customHeight="1" x14ac:dyDescent="0.15">
      <c r="F106"/>
      <c r="G106"/>
      <c r="H106"/>
      <c r="I106"/>
      <c r="J106"/>
      <c r="K106"/>
      <c r="L106"/>
      <c r="M106"/>
      <c r="N106"/>
      <c r="O106"/>
      <c r="P106"/>
      <c r="Q106"/>
      <c r="R106"/>
    </row>
    <row r="107" spans="1:18" ht="15" customHeight="1" x14ac:dyDescent="0.15">
      <c r="F107"/>
      <c r="G107"/>
      <c r="H107"/>
      <c r="I107"/>
      <c r="J107"/>
      <c r="K107"/>
      <c r="L107"/>
      <c r="M107"/>
      <c r="N107"/>
      <c r="O107"/>
      <c r="P107"/>
      <c r="Q107"/>
      <c r="R107"/>
    </row>
    <row r="108" spans="1:18" ht="15" customHeight="1" x14ac:dyDescent="0.15">
      <c r="F108"/>
      <c r="G108"/>
      <c r="H108"/>
      <c r="I108"/>
      <c r="J108"/>
      <c r="K108"/>
      <c r="L108"/>
      <c r="M108"/>
      <c r="N108"/>
      <c r="O108"/>
      <c r="P108"/>
      <c r="Q108"/>
      <c r="R108"/>
    </row>
    <row r="109" spans="1:18" ht="15" customHeight="1" x14ac:dyDescent="0.15">
      <c r="F109"/>
      <c r="G109"/>
      <c r="H109"/>
      <c r="I109"/>
      <c r="J109"/>
      <c r="K109"/>
      <c r="L109"/>
      <c r="M109"/>
      <c r="N109"/>
      <c r="O109"/>
      <c r="P109"/>
      <c r="Q109"/>
      <c r="R109"/>
    </row>
    <row r="110" spans="1:18" ht="15" customHeight="1" x14ac:dyDescent="0.15">
      <c r="F110"/>
      <c r="G110"/>
      <c r="H110"/>
      <c r="I110"/>
      <c r="J110"/>
      <c r="K110"/>
      <c r="L110"/>
      <c r="M110"/>
      <c r="N110"/>
      <c r="O110"/>
      <c r="P110"/>
      <c r="Q110"/>
      <c r="R110"/>
    </row>
    <row r="111" spans="1:18" ht="15" customHeight="1" x14ac:dyDescent="0.15">
      <c r="F111"/>
      <c r="G111"/>
      <c r="H111"/>
      <c r="I111"/>
      <c r="J111"/>
      <c r="K111"/>
      <c r="L111"/>
      <c r="M111"/>
      <c r="N111"/>
      <c r="O111"/>
      <c r="P111"/>
      <c r="Q111"/>
      <c r="R111"/>
    </row>
    <row r="112" spans="1:18" ht="15" customHeight="1" x14ac:dyDescent="0.15">
      <c r="F112"/>
      <c r="G112"/>
      <c r="H112"/>
      <c r="I112"/>
      <c r="J112"/>
      <c r="K112"/>
      <c r="L112"/>
      <c r="M112"/>
      <c r="N112"/>
      <c r="O112"/>
      <c r="P112"/>
      <c r="Q112"/>
      <c r="R112"/>
    </row>
    <row r="113" spans="6:18" s="82" customFormat="1" ht="15" customHeight="1" x14ac:dyDescent="0.15">
      <c r="F113"/>
      <c r="G113"/>
      <c r="H113"/>
      <c r="I113"/>
      <c r="J113"/>
      <c r="K113"/>
      <c r="L113"/>
      <c r="M113"/>
      <c r="N113"/>
      <c r="O113"/>
      <c r="P113"/>
      <c r="Q113"/>
      <c r="R113"/>
    </row>
    <row r="114" spans="6:18" s="82" customFormat="1" ht="15" customHeight="1" x14ac:dyDescent="0.15">
      <c r="F114"/>
      <c r="G114"/>
      <c r="H114"/>
      <c r="I114"/>
      <c r="J114"/>
      <c r="K114"/>
      <c r="L114"/>
      <c r="M114"/>
      <c r="N114"/>
      <c r="O114"/>
      <c r="P114"/>
      <c r="Q114"/>
      <c r="R114"/>
    </row>
    <row r="115" spans="6:18" s="82" customFormat="1" ht="15" customHeight="1" x14ac:dyDescent="0.15">
      <c r="F115"/>
      <c r="G115"/>
      <c r="H115"/>
      <c r="I115"/>
      <c r="J115"/>
      <c r="K115"/>
      <c r="L115"/>
      <c r="M115"/>
      <c r="N115"/>
      <c r="O115"/>
      <c r="P115"/>
      <c r="Q115"/>
      <c r="R115"/>
    </row>
    <row r="116" spans="6:18" s="82" customFormat="1" ht="15" customHeight="1" x14ac:dyDescent="0.15">
      <c r="F116"/>
      <c r="G116"/>
      <c r="H116"/>
      <c r="I116"/>
      <c r="J116"/>
      <c r="K116"/>
      <c r="L116"/>
      <c r="M116"/>
      <c r="N116"/>
      <c r="O116"/>
      <c r="P116"/>
      <c r="Q116"/>
      <c r="R116"/>
    </row>
    <row r="117" spans="6:18" s="82" customFormat="1" ht="15" customHeight="1" x14ac:dyDescent="0.15">
      <c r="F117"/>
      <c r="G117"/>
      <c r="H117"/>
      <c r="I117"/>
      <c r="J117"/>
      <c r="K117"/>
      <c r="L117"/>
      <c r="M117"/>
      <c r="N117"/>
      <c r="O117"/>
      <c r="P117"/>
      <c r="Q117"/>
      <c r="R117"/>
    </row>
    <row r="118" spans="6:18" s="82" customFormat="1" ht="15" customHeight="1" x14ac:dyDescent="0.15">
      <c r="F118"/>
      <c r="G118"/>
      <c r="H118"/>
      <c r="I118"/>
      <c r="J118"/>
      <c r="K118"/>
      <c r="L118"/>
      <c r="M118"/>
      <c r="N118"/>
      <c r="O118"/>
      <c r="P118"/>
      <c r="Q118"/>
      <c r="R118"/>
    </row>
    <row r="119" spans="6:18" s="82" customFormat="1" ht="15" customHeight="1" x14ac:dyDescent="0.15">
      <c r="F119"/>
      <c r="G119"/>
      <c r="H119"/>
      <c r="I119"/>
      <c r="J119"/>
      <c r="K119"/>
      <c r="L119"/>
      <c r="M119"/>
      <c r="N119"/>
      <c r="O119"/>
      <c r="P119"/>
      <c r="Q119"/>
      <c r="R119"/>
    </row>
    <row r="120" spans="6:18" s="82" customFormat="1" ht="15" customHeight="1" x14ac:dyDescent="0.15">
      <c r="F120"/>
      <c r="G120"/>
      <c r="H120"/>
      <c r="I120"/>
      <c r="J120"/>
      <c r="K120"/>
      <c r="L120"/>
      <c r="M120"/>
      <c r="N120"/>
      <c r="O120"/>
      <c r="P120"/>
      <c r="Q120"/>
      <c r="R120"/>
    </row>
    <row r="121" spans="6:18" s="82" customFormat="1" ht="15" customHeight="1" x14ac:dyDescent="0.15">
      <c r="F121"/>
      <c r="G121"/>
      <c r="H121"/>
      <c r="I121"/>
      <c r="J121"/>
      <c r="K121"/>
      <c r="L121"/>
      <c r="M121"/>
      <c r="N121"/>
      <c r="O121"/>
      <c r="P121"/>
      <c r="Q121"/>
      <c r="R121"/>
    </row>
    <row r="122" spans="6:18" s="82" customFormat="1" ht="15" customHeight="1" x14ac:dyDescent="0.15">
      <c r="F122"/>
      <c r="G122"/>
      <c r="H122"/>
      <c r="I122"/>
      <c r="J122"/>
      <c r="K122"/>
      <c r="L122"/>
      <c r="M122"/>
      <c r="N122"/>
      <c r="O122"/>
      <c r="P122"/>
      <c r="Q122"/>
      <c r="R122"/>
    </row>
    <row r="123" spans="6:18" s="82" customFormat="1" ht="15" customHeight="1" x14ac:dyDescent="0.15">
      <c r="F123"/>
      <c r="G123"/>
      <c r="H123"/>
      <c r="I123"/>
      <c r="J123"/>
      <c r="K123"/>
      <c r="L123"/>
      <c r="M123"/>
      <c r="N123"/>
      <c r="O123"/>
      <c r="P123"/>
      <c r="Q123"/>
      <c r="R123"/>
    </row>
    <row r="124" spans="6:18" s="82" customFormat="1" ht="15" customHeight="1" x14ac:dyDescent="0.15">
      <c r="F124"/>
      <c r="G124"/>
      <c r="H124"/>
      <c r="I124"/>
      <c r="J124"/>
      <c r="K124"/>
      <c r="L124"/>
      <c r="M124"/>
      <c r="N124"/>
      <c r="O124"/>
      <c r="P124"/>
      <c r="Q124"/>
      <c r="R124"/>
    </row>
    <row r="125" spans="6:18" s="82" customFormat="1" ht="15" customHeight="1" x14ac:dyDescent="0.15">
      <c r="F125"/>
      <c r="G125"/>
      <c r="H125"/>
      <c r="I125"/>
      <c r="J125"/>
      <c r="K125"/>
      <c r="L125"/>
      <c r="M125"/>
      <c r="N125"/>
      <c r="O125"/>
      <c r="P125"/>
      <c r="Q125"/>
      <c r="R125"/>
    </row>
    <row r="126" spans="6:18" s="82" customFormat="1" ht="15" customHeight="1" x14ac:dyDescent="0.15">
      <c r="F126"/>
      <c r="G126"/>
      <c r="H126"/>
      <c r="I126"/>
      <c r="J126"/>
      <c r="K126"/>
      <c r="L126"/>
      <c r="M126"/>
      <c r="N126"/>
      <c r="O126"/>
      <c r="P126"/>
      <c r="Q126"/>
      <c r="R126"/>
    </row>
    <row r="127" spans="6:18" s="82" customFormat="1" ht="15" customHeight="1" x14ac:dyDescent="0.15">
      <c r="F127"/>
      <c r="G127"/>
      <c r="H127"/>
      <c r="I127"/>
      <c r="J127"/>
      <c r="K127"/>
      <c r="L127"/>
      <c r="M127"/>
      <c r="N127"/>
      <c r="O127"/>
      <c r="P127"/>
      <c r="Q127"/>
      <c r="R127"/>
    </row>
    <row r="128" spans="6:18" s="82" customFormat="1" ht="15" customHeight="1" x14ac:dyDescent="0.15">
      <c r="F128"/>
      <c r="G128"/>
      <c r="H128"/>
      <c r="I128"/>
      <c r="J128"/>
      <c r="K128"/>
      <c r="L128"/>
      <c r="M128"/>
      <c r="N128"/>
      <c r="O128"/>
      <c r="P128"/>
      <c r="Q128"/>
      <c r="R128"/>
    </row>
    <row r="129" spans="6:18" s="82" customFormat="1" ht="15" customHeight="1" x14ac:dyDescent="0.15">
      <c r="F129"/>
      <c r="G129"/>
      <c r="H129"/>
      <c r="I129"/>
      <c r="J129"/>
      <c r="K129"/>
      <c r="L129"/>
      <c r="M129"/>
      <c r="N129"/>
      <c r="O129"/>
      <c r="P129"/>
      <c r="Q129"/>
      <c r="R129"/>
    </row>
    <row r="130" spans="6:18" s="82" customFormat="1" ht="15" customHeight="1" x14ac:dyDescent="0.15">
      <c r="F130"/>
      <c r="G130"/>
      <c r="H130"/>
      <c r="I130"/>
      <c r="J130"/>
      <c r="K130"/>
      <c r="L130"/>
      <c r="M130"/>
      <c r="N130"/>
      <c r="O130"/>
      <c r="P130"/>
      <c r="Q130"/>
      <c r="R130"/>
    </row>
    <row r="131" spans="6:18" s="82" customFormat="1" ht="15" customHeight="1" x14ac:dyDescent="0.15">
      <c r="F131"/>
      <c r="G131"/>
      <c r="H131"/>
      <c r="I131"/>
      <c r="J131"/>
      <c r="K131"/>
      <c r="L131"/>
      <c r="M131"/>
      <c r="N131"/>
      <c r="O131"/>
      <c r="P131"/>
      <c r="Q131"/>
      <c r="R131"/>
    </row>
    <row r="132" spans="6:18" s="82" customFormat="1" ht="15" customHeight="1" x14ac:dyDescent="0.15">
      <c r="F132"/>
      <c r="G132"/>
      <c r="H132"/>
      <c r="I132"/>
      <c r="J132"/>
      <c r="K132"/>
      <c r="L132"/>
      <c r="M132"/>
      <c r="N132"/>
      <c r="O132"/>
      <c r="P132"/>
      <c r="Q132"/>
      <c r="R132"/>
    </row>
    <row r="133" spans="6:18" s="82" customFormat="1" ht="15" customHeight="1" x14ac:dyDescent="0.15">
      <c r="F133"/>
      <c r="G133"/>
      <c r="H133"/>
      <c r="I133"/>
      <c r="J133"/>
      <c r="K133"/>
      <c r="L133"/>
      <c r="M133"/>
      <c r="N133"/>
      <c r="O133"/>
      <c r="P133"/>
      <c r="Q133"/>
      <c r="R133"/>
    </row>
    <row r="134" spans="6:18" s="82" customFormat="1" ht="15" customHeight="1" x14ac:dyDescent="0.15">
      <c r="F134"/>
      <c r="G134"/>
      <c r="H134"/>
      <c r="I134"/>
      <c r="J134"/>
      <c r="K134"/>
      <c r="L134"/>
      <c r="M134"/>
      <c r="N134"/>
      <c r="O134"/>
      <c r="P134"/>
      <c r="Q134"/>
      <c r="R134"/>
    </row>
    <row r="135" spans="6:18" s="82" customFormat="1" ht="15" customHeight="1" x14ac:dyDescent="0.15">
      <c r="F135"/>
      <c r="G135"/>
      <c r="H135"/>
      <c r="I135"/>
      <c r="J135"/>
      <c r="K135"/>
      <c r="L135"/>
      <c r="M135"/>
      <c r="N135"/>
      <c r="O135"/>
      <c r="P135"/>
      <c r="Q135"/>
      <c r="R135"/>
    </row>
    <row r="136" spans="6:18" s="82" customFormat="1" ht="15" customHeight="1" x14ac:dyDescent="0.15">
      <c r="F136"/>
      <c r="G136"/>
      <c r="H136"/>
      <c r="I136"/>
      <c r="J136"/>
      <c r="K136"/>
      <c r="L136"/>
      <c r="M136"/>
      <c r="N136"/>
      <c r="O136"/>
      <c r="P136"/>
      <c r="Q136"/>
      <c r="R136"/>
    </row>
    <row r="137" spans="6:18" s="82" customFormat="1" ht="15" customHeight="1" x14ac:dyDescent="0.15">
      <c r="F137"/>
      <c r="G137"/>
      <c r="H137"/>
      <c r="I137"/>
      <c r="J137"/>
      <c r="K137"/>
      <c r="L137"/>
      <c r="M137"/>
      <c r="N137"/>
      <c r="O137"/>
      <c r="P137"/>
      <c r="Q137"/>
      <c r="R137"/>
    </row>
    <row r="138" spans="6:18" s="82" customFormat="1" ht="15" customHeight="1" x14ac:dyDescent="0.15">
      <c r="F138"/>
      <c r="G138"/>
      <c r="H138"/>
      <c r="I138"/>
      <c r="J138"/>
      <c r="K138"/>
      <c r="L138"/>
      <c r="M138"/>
      <c r="N138"/>
      <c r="O138"/>
      <c r="P138"/>
      <c r="Q138"/>
      <c r="R138"/>
    </row>
    <row r="139" spans="6:18" s="82" customFormat="1" ht="15" customHeight="1" x14ac:dyDescent="0.15">
      <c r="F139"/>
      <c r="G139"/>
      <c r="H139"/>
      <c r="I139"/>
      <c r="J139"/>
      <c r="K139"/>
      <c r="L139"/>
      <c r="M139"/>
      <c r="N139"/>
      <c r="O139"/>
      <c r="P139"/>
      <c r="Q139"/>
      <c r="R139"/>
    </row>
    <row r="140" spans="6:18" s="82" customFormat="1" ht="15" customHeight="1" x14ac:dyDescent="0.15">
      <c r="F140"/>
      <c r="G140"/>
      <c r="H140"/>
      <c r="I140"/>
      <c r="J140"/>
      <c r="K140"/>
      <c r="L140"/>
      <c r="M140"/>
      <c r="N140"/>
      <c r="O140"/>
      <c r="P140"/>
      <c r="Q140"/>
      <c r="R140"/>
    </row>
    <row r="141" spans="6:18" s="82" customFormat="1" ht="15" customHeight="1" x14ac:dyDescent="0.15">
      <c r="F141"/>
      <c r="G141"/>
      <c r="H141"/>
      <c r="I141"/>
      <c r="J141"/>
      <c r="K141"/>
      <c r="L141"/>
      <c r="M141"/>
      <c r="N141"/>
      <c r="O141"/>
      <c r="P141"/>
      <c r="Q141"/>
      <c r="R141"/>
    </row>
    <row r="142" spans="6:18" s="82" customFormat="1" ht="15" customHeight="1" x14ac:dyDescent="0.15">
      <c r="F142"/>
      <c r="G142"/>
      <c r="H142"/>
      <c r="I142"/>
      <c r="J142"/>
      <c r="K142"/>
      <c r="L142"/>
      <c r="M142"/>
      <c r="N142"/>
      <c r="O142"/>
      <c r="P142"/>
      <c r="Q142"/>
      <c r="R142"/>
    </row>
    <row r="143" spans="6:18" s="82" customFormat="1" ht="15" customHeight="1" x14ac:dyDescent="0.15">
      <c r="F143"/>
      <c r="G143"/>
      <c r="H143"/>
      <c r="I143"/>
      <c r="J143"/>
      <c r="K143"/>
      <c r="L143"/>
      <c r="M143"/>
      <c r="N143"/>
      <c r="O143"/>
      <c r="P143"/>
      <c r="Q143"/>
      <c r="R143"/>
    </row>
    <row r="144" spans="6:18" s="82" customFormat="1" ht="15" customHeight="1" x14ac:dyDescent="0.15">
      <c r="F144"/>
      <c r="G144"/>
      <c r="H144"/>
      <c r="I144"/>
      <c r="J144"/>
      <c r="K144"/>
      <c r="L144"/>
      <c r="M144"/>
      <c r="N144"/>
      <c r="O144"/>
      <c r="P144"/>
      <c r="Q144"/>
      <c r="R144"/>
    </row>
    <row r="145" spans="6:18" s="82" customFormat="1" ht="15" customHeight="1" x14ac:dyDescent="0.15">
      <c r="F145"/>
      <c r="G145"/>
      <c r="H145"/>
      <c r="I145"/>
      <c r="J145"/>
      <c r="K145"/>
      <c r="L145"/>
      <c r="M145"/>
      <c r="N145"/>
      <c r="O145"/>
      <c r="P145"/>
      <c r="Q145"/>
      <c r="R145"/>
    </row>
    <row r="146" spans="6:18" s="82" customFormat="1" ht="15" customHeight="1" x14ac:dyDescent="0.15">
      <c r="F146"/>
      <c r="G146"/>
      <c r="H146"/>
      <c r="I146"/>
      <c r="J146"/>
      <c r="K146"/>
      <c r="L146"/>
      <c r="M146"/>
      <c r="N146"/>
      <c r="O146"/>
      <c r="P146"/>
      <c r="Q146"/>
      <c r="R146"/>
    </row>
    <row r="147" spans="6:18" s="82" customFormat="1" ht="15" customHeight="1" x14ac:dyDescent="0.15">
      <c r="F147"/>
      <c r="G147"/>
      <c r="H147"/>
      <c r="I147"/>
      <c r="J147"/>
      <c r="K147"/>
      <c r="L147"/>
      <c r="M147"/>
      <c r="N147"/>
      <c r="O147"/>
      <c r="P147"/>
      <c r="Q147"/>
      <c r="R147"/>
    </row>
    <row r="148" spans="6:18" s="82" customFormat="1" ht="15" customHeight="1" x14ac:dyDescent="0.15">
      <c r="F148"/>
      <c r="G148"/>
      <c r="H148"/>
      <c r="I148"/>
      <c r="J148"/>
      <c r="K148"/>
      <c r="L148"/>
      <c r="M148"/>
      <c r="N148"/>
      <c r="O148"/>
      <c r="P148"/>
      <c r="Q148"/>
      <c r="R148"/>
    </row>
    <row r="149" spans="6:18" s="82" customFormat="1" ht="15" customHeight="1" x14ac:dyDescent="0.15">
      <c r="F149"/>
      <c r="G149"/>
      <c r="H149"/>
      <c r="I149"/>
      <c r="J149"/>
      <c r="K149"/>
      <c r="L149"/>
      <c r="M149"/>
      <c r="N149"/>
      <c r="O149"/>
      <c r="P149"/>
      <c r="Q149"/>
      <c r="R149"/>
    </row>
    <row r="150" spans="6:18" s="82" customFormat="1" ht="15" customHeight="1" x14ac:dyDescent="0.15">
      <c r="F150"/>
      <c r="G150"/>
      <c r="H150"/>
      <c r="I150"/>
      <c r="J150"/>
      <c r="K150"/>
      <c r="L150"/>
      <c r="M150"/>
      <c r="N150"/>
      <c r="O150"/>
      <c r="P150"/>
      <c r="Q150"/>
      <c r="R150"/>
    </row>
    <row r="151" spans="6:18" s="82" customFormat="1" ht="15" customHeight="1" x14ac:dyDescent="0.15">
      <c r="F151"/>
      <c r="G151"/>
      <c r="H151"/>
      <c r="I151"/>
      <c r="J151"/>
      <c r="K151"/>
      <c r="L151"/>
      <c r="M151"/>
      <c r="N151"/>
      <c r="O151"/>
      <c r="P151"/>
      <c r="Q151"/>
      <c r="R151"/>
    </row>
    <row r="152" spans="6:18" s="82" customFormat="1" ht="15" customHeight="1" x14ac:dyDescent="0.15">
      <c r="F152"/>
      <c r="G152"/>
      <c r="H152"/>
      <c r="I152"/>
      <c r="J152"/>
      <c r="K152"/>
      <c r="L152"/>
      <c r="M152"/>
      <c r="N152"/>
      <c r="O152"/>
      <c r="P152"/>
      <c r="Q152"/>
      <c r="R152"/>
    </row>
    <row r="153" spans="6:18" s="82" customFormat="1" ht="15" customHeight="1" x14ac:dyDescent="0.15">
      <c r="F153"/>
      <c r="G153"/>
      <c r="H153"/>
      <c r="I153"/>
      <c r="J153"/>
      <c r="K153"/>
      <c r="L153"/>
      <c r="M153"/>
      <c r="N153"/>
      <c r="O153"/>
      <c r="P153"/>
      <c r="Q153"/>
      <c r="R153"/>
    </row>
    <row r="154" spans="6:18" s="82" customFormat="1" ht="15" customHeight="1" x14ac:dyDescent="0.15">
      <c r="F154"/>
      <c r="G154"/>
      <c r="H154"/>
      <c r="I154"/>
      <c r="J154"/>
      <c r="K154"/>
      <c r="L154"/>
      <c r="M154"/>
      <c r="N154"/>
      <c r="O154"/>
      <c r="P154"/>
      <c r="Q154"/>
      <c r="R154"/>
    </row>
    <row r="155" spans="6:18" s="82" customFormat="1" ht="15" customHeight="1" x14ac:dyDescent="0.15">
      <c r="F155"/>
      <c r="G155"/>
      <c r="H155"/>
      <c r="I155"/>
      <c r="J155"/>
      <c r="K155"/>
      <c r="L155"/>
      <c r="M155"/>
      <c r="N155"/>
      <c r="O155"/>
      <c r="P155"/>
      <c r="Q155"/>
      <c r="R155"/>
    </row>
    <row r="156" spans="6:18" s="82" customFormat="1" ht="15" customHeight="1" x14ac:dyDescent="0.15">
      <c r="F156"/>
      <c r="G156"/>
      <c r="H156"/>
      <c r="I156"/>
      <c r="J156"/>
      <c r="K156"/>
      <c r="L156"/>
      <c r="M156"/>
      <c r="N156"/>
      <c r="O156"/>
      <c r="P156"/>
      <c r="Q156"/>
      <c r="R156"/>
    </row>
    <row r="157" spans="6:18" s="82" customFormat="1" ht="15" customHeight="1" x14ac:dyDescent="0.15">
      <c r="F157"/>
      <c r="G157"/>
      <c r="H157"/>
      <c r="I157"/>
      <c r="J157"/>
      <c r="K157"/>
      <c r="L157"/>
      <c r="M157"/>
      <c r="N157"/>
      <c r="O157"/>
      <c r="P157"/>
      <c r="Q157"/>
      <c r="R157"/>
    </row>
    <row r="158" spans="6:18" s="82" customFormat="1" ht="15" customHeight="1" x14ac:dyDescent="0.15">
      <c r="F158"/>
      <c r="G158"/>
      <c r="H158"/>
      <c r="I158"/>
      <c r="J158"/>
      <c r="K158"/>
      <c r="L158"/>
      <c r="M158"/>
      <c r="N158"/>
      <c r="O158"/>
      <c r="P158"/>
      <c r="Q158"/>
      <c r="R158"/>
    </row>
    <row r="159" spans="6:18" s="82" customFormat="1" ht="15" customHeight="1" x14ac:dyDescent="0.15">
      <c r="F159"/>
      <c r="G159"/>
      <c r="H159"/>
      <c r="I159"/>
      <c r="J159"/>
      <c r="K159"/>
      <c r="L159"/>
      <c r="M159"/>
      <c r="N159"/>
      <c r="O159"/>
      <c r="P159"/>
      <c r="Q159"/>
      <c r="R159"/>
    </row>
    <row r="160" spans="6:18" s="82" customFormat="1" ht="15" customHeight="1" x14ac:dyDescent="0.15">
      <c r="F160"/>
      <c r="G160"/>
      <c r="H160"/>
      <c r="I160"/>
      <c r="J160"/>
      <c r="K160"/>
      <c r="L160"/>
      <c r="M160"/>
      <c r="N160"/>
      <c r="O160"/>
      <c r="P160"/>
      <c r="Q160"/>
      <c r="R160"/>
    </row>
    <row r="161" spans="6:18" s="82" customFormat="1" ht="15" customHeight="1" x14ac:dyDescent="0.15">
      <c r="F161"/>
      <c r="G161"/>
      <c r="H161"/>
      <c r="I161"/>
      <c r="J161"/>
      <c r="K161"/>
      <c r="L161"/>
      <c r="M161"/>
      <c r="N161"/>
      <c r="O161"/>
      <c r="P161"/>
      <c r="Q161"/>
      <c r="R161"/>
    </row>
    <row r="162" spans="6:18" s="82" customFormat="1" ht="15" customHeight="1" x14ac:dyDescent="0.15">
      <c r="F162"/>
      <c r="G162"/>
      <c r="H162"/>
      <c r="I162"/>
      <c r="J162"/>
      <c r="K162"/>
      <c r="L162"/>
      <c r="M162"/>
      <c r="N162"/>
      <c r="O162"/>
      <c r="P162"/>
      <c r="Q162"/>
      <c r="R162"/>
    </row>
    <row r="163" spans="6:18" s="82" customFormat="1" ht="15" customHeight="1" x14ac:dyDescent="0.15">
      <c r="F163"/>
      <c r="G163"/>
      <c r="H163"/>
      <c r="I163"/>
      <c r="J163"/>
      <c r="K163"/>
      <c r="L163"/>
      <c r="M163"/>
      <c r="N163"/>
      <c r="O163"/>
      <c r="P163"/>
      <c r="Q163"/>
      <c r="R163"/>
    </row>
    <row r="164" spans="6:18" s="82" customFormat="1" ht="15" customHeight="1" x14ac:dyDescent="0.15">
      <c r="F164"/>
      <c r="G164"/>
      <c r="H164"/>
      <c r="I164"/>
      <c r="J164"/>
      <c r="K164"/>
      <c r="L164"/>
      <c r="M164"/>
      <c r="N164"/>
      <c r="O164"/>
      <c r="P164"/>
      <c r="Q164"/>
      <c r="R164"/>
    </row>
    <row r="165" spans="6:18" s="82" customFormat="1" ht="15" customHeight="1" x14ac:dyDescent="0.15">
      <c r="F165"/>
      <c r="G165"/>
      <c r="H165"/>
      <c r="I165"/>
      <c r="J165"/>
      <c r="K165"/>
      <c r="L165"/>
      <c r="M165"/>
      <c r="N165"/>
      <c r="O165"/>
      <c r="P165"/>
      <c r="Q165"/>
      <c r="R165"/>
    </row>
    <row r="166" spans="6:18" s="82" customFormat="1" ht="15" customHeight="1" x14ac:dyDescent="0.15">
      <c r="F166"/>
      <c r="G166"/>
      <c r="H166"/>
      <c r="I166"/>
      <c r="J166"/>
      <c r="K166"/>
      <c r="L166"/>
      <c r="M166"/>
      <c r="N166"/>
      <c r="O166"/>
      <c r="P166"/>
      <c r="Q166"/>
      <c r="R166"/>
    </row>
    <row r="167" spans="6:18" s="82" customFormat="1" ht="15" customHeight="1" x14ac:dyDescent="0.15">
      <c r="F167"/>
      <c r="G167"/>
      <c r="H167"/>
      <c r="I167"/>
      <c r="J167"/>
      <c r="K167"/>
      <c r="L167"/>
      <c r="M167"/>
      <c r="N167"/>
      <c r="O167"/>
      <c r="P167"/>
      <c r="Q167"/>
      <c r="R167"/>
    </row>
    <row r="168" spans="6:18" s="82" customFormat="1" ht="15" customHeight="1" x14ac:dyDescent="0.15">
      <c r="F168"/>
      <c r="G168"/>
      <c r="H168"/>
      <c r="I168"/>
      <c r="J168"/>
      <c r="K168"/>
      <c r="L168"/>
      <c r="M168"/>
      <c r="N168"/>
      <c r="O168"/>
      <c r="P168"/>
      <c r="Q168"/>
      <c r="R168"/>
    </row>
    <row r="169" spans="6:18" s="82" customFormat="1" ht="15" customHeight="1" x14ac:dyDescent="0.15">
      <c r="F169"/>
      <c r="G169"/>
      <c r="H169"/>
      <c r="I169"/>
      <c r="J169"/>
      <c r="K169"/>
      <c r="L169"/>
      <c r="M169"/>
      <c r="N169"/>
      <c r="O169"/>
      <c r="P169"/>
      <c r="Q169"/>
      <c r="R169"/>
    </row>
    <row r="170" spans="6:18" s="82" customFormat="1" ht="15" customHeight="1" x14ac:dyDescent="0.15">
      <c r="F170"/>
      <c r="G170"/>
      <c r="H170"/>
      <c r="I170"/>
      <c r="J170"/>
      <c r="K170"/>
      <c r="L170"/>
      <c r="M170"/>
      <c r="N170"/>
      <c r="O170"/>
      <c r="P170"/>
      <c r="Q170"/>
      <c r="R170"/>
    </row>
    <row r="171" spans="6:18" s="82" customFormat="1" ht="15" customHeight="1" x14ac:dyDescent="0.15">
      <c r="F171"/>
      <c r="G171"/>
      <c r="H171"/>
      <c r="I171"/>
      <c r="J171"/>
      <c r="K171"/>
      <c r="L171"/>
      <c r="M171"/>
      <c r="N171"/>
      <c r="O171"/>
      <c r="P171"/>
      <c r="Q171"/>
      <c r="R171"/>
    </row>
    <row r="172" spans="6:18" s="82" customFormat="1" ht="15" customHeight="1" x14ac:dyDescent="0.15">
      <c r="F172"/>
      <c r="G172"/>
      <c r="H172"/>
      <c r="I172"/>
      <c r="J172"/>
      <c r="K172"/>
      <c r="L172"/>
      <c r="M172"/>
      <c r="N172"/>
      <c r="O172"/>
      <c r="P172"/>
      <c r="Q172"/>
      <c r="R172"/>
    </row>
    <row r="173" spans="6:18" s="82" customFormat="1" ht="15" customHeight="1" x14ac:dyDescent="0.15">
      <c r="F173"/>
      <c r="G173"/>
      <c r="H173"/>
      <c r="I173"/>
      <c r="J173"/>
      <c r="K173"/>
      <c r="L173"/>
      <c r="M173"/>
      <c r="N173"/>
      <c r="O173"/>
      <c r="P173"/>
      <c r="Q173"/>
      <c r="R173"/>
    </row>
    <row r="174" spans="6:18" s="82" customFormat="1" ht="15" customHeight="1" x14ac:dyDescent="0.15">
      <c r="F174"/>
      <c r="G174"/>
      <c r="H174"/>
      <c r="I174"/>
      <c r="J174"/>
      <c r="K174"/>
      <c r="L174"/>
      <c r="M174"/>
      <c r="N174"/>
      <c r="O174"/>
      <c r="P174"/>
      <c r="Q174"/>
      <c r="R174"/>
    </row>
    <row r="175" spans="6:18" s="82" customFormat="1" ht="15" customHeight="1" x14ac:dyDescent="0.15">
      <c r="F175"/>
      <c r="G175"/>
      <c r="H175"/>
      <c r="I175"/>
      <c r="J175"/>
      <c r="K175"/>
      <c r="L175"/>
      <c r="M175"/>
      <c r="N175"/>
      <c r="O175"/>
      <c r="P175"/>
      <c r="Q175"/>
      <c r="R175"/>
    </row>
    <row r="176" spans="6:18" s="82" customFormat="1" ht="15" customHeight="1" x14ac:dyDescent="0.15">
      <c r="F176"/>
      <c r="G176"/>
      <c r="H176"/>
      <c r="I176"/>
      <c r="J176"/>
      <c r="K176"/>
      <c r="L176"/>
      <c r="M176"/>
      <c r="N176"/>
      <c r="O176"/>
      <c r="P176"/>
      <c r="Q176"/>
      <c r="R176"/>
    </row>
    <row r="177" spans="6:18" s="82" customFormat="1" ht="15" customHeight="1" x14ac:dyDescent="0.15">
      <c r="F177"/>
      <c r="G177"/>
      <c r="H177"/>
      <c r="I177"/>
      <c r="J177"/>
      <c r="K177"/>
      <c r="L177"/>
      <c r="M177"/>
      <c r="N177"/>
      <c r="O177"/>
      <c r="P177"/>
      <c r="Q177"/>
      <c r="R177"/>
    </row>
    <row r="178" spans="6:18" s="82" customFormat="1" ht="15" customHeight="1" x14ac:dyDescent="0.15">
      <c r="F178"/>
      <c r="G178"/>
      <c r="H178"/>
      <c r="I178"/>
      <c r="J178"/>
      <c r="K178"/>
      <c r="L178"/>
      <c r="M178"/>
      <c r="N178"/>
      <c r="O178"/>
      <c r="P178"/>
      <c r="Q178"/>
      <c r="R178"/>
    </row>
    <row r="179" spans="6:18" s="82" customFormat="1" ht="15" customHeight="1" x14ac:dyDescent="0.15">
      <c r="F179"/>
      <c r="G179"/>
      <c r="H179"/>
      <c r="I179"/>
      <c r="J179"/>
      <c r="K179"/>
      <c r="L179"/>
      <c r="M179"/>
      <c r="N179"/>
      <c r="O179"/>
      <c r="P179"/>
      <c r="Q179"/>
      <c r="R179"/>
    </row>
    <row r="180" spans="6:18" s="82" customFormat="1" ht="15" customHeight="1" x14ac:dyDescent="0.15">
      <c r="F180"/>
      <c r="G180"/>
      <c r="H180"/>
      <c r="I180"/>
      <c r="J180"/>
      <c r="K180"/>
      <c r="L180"/>
      <c r="M180"/>
      <c r="N180"/>
      <c r="O180"/>
      <c r="P180"/>
      <c r="Q180"/>
      <c r="R180"/>
    </row>
    <row r="181" spans="6:18" s="82" customFormat="1" ht="15" customHeight="1" x14ac:dyDescent="0.15">
      <c r="F181"/>
      <c r="G181"/>
      <c r="H181"/>
      <c r="I181"/>
      <c r="J181"/>
      <c r="K181"/>
      <c r="L181"/>
      <c r="M181"/>
      <c r="N181"/>
      <c r="O181"/>
      <c r="P181"/>
      <c r="Q181"/>
      <c r="R181"/>
    </row>
    <row r="182" spans="6:18" s="82" customFormat="1" ht="15" customHeight="1" x14ac:dyDescent="0.15">
      <c r="F182"/>
      <c r="G182"/>
      <c r="H182"/>
      <c r="I182"/>
      <c r="J182"/>
      <c r="K182"/>
      <c r="L182"/>
      <c r="M182"/>
      <c r="N182"/>
      <c r="O182"/>
      <c r="P182"/>
      <c r="Q182"/>
      <c r="R182"/>
    </row>
    <row r="183" spans="6:18" s="82" customFormat="1" ht="15" customHeight="1" x14ac:dyDescent="0.15">
      <c r="F183"/>
      <c r="G183"/>
      <c r="H183"/>
      <c r="I183"/>
      <c r="J183"/>
      <c r="K183"/>
      <c r="L183"/>
      <c r="M183"/>
      <c r="N183"/>
      <c r="O183"/>
      <c r="P183"/>
      <c r="Q183"/>
      <c r="R183"/>
    </row>
    <row r="184" spans="6:18" s="82" customFormat="1" ht="15" customHeight="1" x14ac:dyDescent="0.15">
      <c r="F184"/>
      <c r="G184"/>
      <c r="H184"/>
      <c r="I184"/>
      <c r="J184"/>
      <c r="K184"/>
      <c r="L184"/>
      <c r="M184"/>
      <c r="N184"/>
      <c r="O184"/>
      <c r="P184"/>
      <c r="Q184"/>
      <c r="R184"/>
    </row>
    <row r="185" spans="6:18" s="82" customFormat="1" ht="15" customHeight="1" x14ac:dyDescent="0.15">
      <c r="F185"/>
      <c r="G185"/>
      <c r="H185"/>
      <c r="I185"/>
      <c r="J185"/>
      <c r="K185"/>
      <c r="L185"/>
      <c r="M185"/>
      <c r="N185"/>
      <c r="O185"/>
      <c r="P185"/>
      <c r="Q185"/>
      <c r="R185"/>
    </row>
    <row r="186" spans="6:18" s="82" customFormat="1" ht="15" customHeight="1" x14ac:dyDescent="0.15">
      <c r="F186"/>
      <c r="G186"/>
      <c r="H186"/>
      <c r="I186"/>
      <c r="J186"/>
      <c r="K186"/>
      <c r="L186"/>
      <c r="M186"/>
      <c r="N186"/>
      <c r="O186"/>
      <c r="P186"/>
      <c r="Q186"/>
      <c r="R186"/>
    </row>
    <row r="187" spans="6:18" s="82" customFormat="1" ht="15" customHeight="1" x14ac:dyDescent="0.15">
      <c r="F187"/>
      <c r="G187"/>
      <c r="H187"/>
      <c r="I187"/>
      <c r="J187"/>
      <c r="K187"/>
      <c r="L187"/>
      <c r="M187"/>
      <c r="N187"/>
      <c r="O187"/>
      <c r="P187"/>
      <c r="Q187"/>
      <c r="R187"/>
    </row>
    <row r="188" spans="6:18" s="82" customFormat="1" ht="15" customHeight="1" x14ac:dyDescent="0.15">
      <c r="F188"/>
      <c r="G188"/>
      <c r="H188"/>
      <c r="I188"/>
      <c r="J188"/>
      <c r="K188"/>
      <c r="L188"/>
      <c r="M188"/>
      <c r="N188"/>
      <c r="O188"/>
      <c r="P188"/>
      <c r="Q188"/>
      <c r="R188"/>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dimension ref="A1:AX192"/>
  <sheetViews>
    <sheetView workbookViewId="0">
      <pane xSplit="1" ySplit="1" topLeftCell="B2" activePane="bottomRight" state="frozen"/>
      <selection pane="topRight" activeCell="B1" sqref="B1"/>
      <selection pane="bottomLeft" activeCell="A2" sqref="A2"/>
      <selection pane="bottomRight" activeCell="A5" sqref="A5"/>
    </sheetView>
  </sheetViews>
  <sheetFormatPr baseColWidth="10" defaultColWidth="8.83203125" defaultRowHeight="13" x14ac:dyDescent="0.15"/>
  <cols>
    <col min="1" max="1" width="21.6640625" bestFit="1" customWidth="1"/>
    <col min="2" max="2" width="2.33203125" style="113" customWidth="1"/>
    <col min="3" max="5" width="7.83203125" style="113" customWidth="1"/>
    <col min="6" max="8" width="8.83203125" style="6"/>
    <col min="9" max="9" width="13" style="6" customWidth="1"/>
    <col min="10" max="10" width="14.1640625" style="6" customWidth="1"/>
    <col min="11" max="11" width="13.33203125" style="6" customWidth="1"/>
    <col min="12" max="12" width="15.6640625" style="6" customWidth="1"/>
    <col min="13" max="13" width="12.5" style="6" customWidth="1"/>
    <col min="14" max="14" width="11.6640625" style="6" customWidth="1"/>
    <col min="15" max="15" width="14.5" style="6" customWidth="1"/>
    <col min="16" max="16" width="14.6640625" style="6" customWidth="1"/>
    <col min="17" max="17" width="9.83203125" style="6" customWidth="1"/>
    <col min="18" max="18" width="5.5" style="6" customWidth="1"/>
    <col min="19" max="19" width="18.5" style="6" customWidth="1"/>
    <col min="20" max="20" width="14.83203125" style="6" customWidth="1"/>
    <col min="21" max="21" width="7.5" style="6" customWidth="1"/>
    <col min="22" max="22" width="5.5" style="6" customWidth="1"/>
    <col min="23" max="23" width="5.83203125" style="6" customWidth="1"/>
    <col min="24" max="24" width="10" style="6" customWidth="1"/>
    <col min="25" max="25" width="7.1640625" style="6" customWidth="1"/>
    <col min="26" max="26" width="10.1640625" style="6" customWidth="1"/>
    <col min="27" max="27" width="12" style="6" customWidth="1"/>
    <col min="28" max="28" width="5.33203125" style="6" customWidth="1"/>
    <col min="29" max="29" width="13.5" style="6" customWidth="1"/>
    <col min="30" max="30" width="12.83203125" style="6" customWidth="1"/>
    <col min="31" max="31" width="8.83203125" style="6" customWidth="1"/>
    <col min="32" max="32" width="10.5" style="6" customWidth="1"/>
    <col min="33" max="33" width="7" style="6" customWidth="1"/>
    <col min="34" max="34" width="10.1640625" style="6" customWidth="1"/>
    <col min="35" max="35" width="6.6640625" style="6" customWidth="1"/>
    <col min="36" max="36" width="7.33203125" style="6" customWidth="1"/>
    <col min="37" max="37" width="7" style="6" customWidth="1"/>
    <col min="38" max="38" width="7.1640625" style="6" customWidth="1"/>
    <col min="39" max="39" width="7.5" customWidth="1"/>
    <col min="40" max="40" width="8.1640625" customWidth="1"/>
    <col min="41" max="41" width="13.5" customWidth="1"/>
    <col min="42" max="42" width="19.83203125" customWidth="1"/>
    <col min="43" max="43" width="12" customWidth="1"/>
    <col min="44" max="44" width="5.83203125" customWidth="1"/>
    <col min="45" max="46" width="6.1640625" customWidth="1"/>
    <col min="47" max="47" width="12.5" customWidth="1"/>
    <col min="48" max="48" width="7.6640625" customWidth="1"/>
    <col min="49" max="49" width="21.6640625" customWidth="1"/>
    <col min="50" max="50" width="6.5" customWidth="1"/>
    <col min="81" max="81" width="22.1640625" bestFit="1" customWidth="1"/>
  </cols>
  <sheetData>
    <row r="1" spans="1:50" x14ac:dyDescent="0.15">
      <c r="A1" s="4" t="s">
        <v>156</v>
      </c>
      <c r="B1" s="37" t="s">
        <v>157</v>
      </c>
      <c r="C1" s="37" t="s">
        <v>17</v>
      </c>
      <c r="D1" s="37" t="s">
        <v>158</v>
      </c>
      <c r="E1" s="37" t="s">
        <v>159</v>
      </c>
      <c r="F1" t="s">
        <v>38</v>
      </c>
      <c r="G1" t="s">
        <v>40</v>
      </c>
      <c r="H1" t="s">
        <v>41</v>
      </c>
      <c r="I1" s="206" t="s">
        <v>192</v>
      </c>
      <c r="J1" s="206" t="s">
        <v>193</v>
      </c>
      <c r="K1" s="206" t="s">
        <v>194</v>
      </c>
      <c r="L1" s="206" t="s">
        <v>195</v>
      </c>
      <c r="M1" s="206" t="s">
        <v>196</v>
      </c>
      <c r="N1" s="206" t="s">
        <v>197</v>
      </c>
      <c r="O1" s="206" t="s">
        <v>198</v>
      </c>
      <c r="P1" s="206" t="s">
        <v>199</v>
      </c>
      <c r="Q1" s="206" t="s">
        <v>200</v>
      </c>
      <c r="R1" s="206" t="s">
        <v>201</v>
      </c>
      <c r="S1" s="206" t="s">
        <v>202</v>
      </c>
      <c r="T1" s="206" t="s">
        <v>203</v>
      </c>
      <c r="U1" s="206" t="s">
        <v>204</v>
      </c>
      <c r="V1" s="206" t="s">
        <v>205</v>
      </c>
      <c r="W1" s="206" t="s">
        <v>206</v>
      </c>
      <c r="X1" s="206" t="s">
        <v>207</v>
      </c>
      <c r="Y1" s="206" t="s">
        <v>208</v>
      </c>
      <c r="Z1" s="206" t="s">
        <v>209</v>
      </c>
      <c r="AA1" s="206" t="s">
        <v>210</v>
      </c>
      <c r="AB1" s="206" t="s">
        <v>211</v>
      </c>
      <c r="AC1" s="206" t="s">
        <v>212</v>
      </c>
      <c r="AD1" s="206" t="s">
        <v>213</v>
      </c>
      <c r="AE1" s="206" t="s">
        <v>214</v>
      </c>
      <c r="AF1" s="206" t="s">
        <v>215</v>
      </c>
      <c r="AG1" s="206" t="s">
        <v>216</v>
      </c>
      <c r="AH1" s="206" t="s">
        <v>217</v>
      </c>
      <c r="AI1" s="206" t="s">
        <v>218</v>
      </c>
      <c r="AJ1" s="206" t="s">
        <v>219</v>
      </c>
      <c r="AK1" s="206" t="s">
        <v>220</v>
      </c>
      <c r="AL1" s="206" t="s">
        <v>221</v>
      </c>
      <c r="AM1" s="206" t="s">
        <v>222</v>
      </c>
      <c r="AN1" s="206" t="s">
        <v>223</v>
      </c>
      <c r="AO1" s="206" t="s">
        <v>224</v>
      </c>
      <c r="AP1" s="206" t="s">
        <v>225</v>
      </c>
      <c r="AQ1" s="206" t="s">
        <v>226</v>
      </c>
      <c r="AR1" s="206" t="s">
        <v>227</v>
      </c>
      <c r="AS1" s="206" t="s">
        <v>228</v>
      </c>
      <c r="AT1" s="206" t="s">
        <v>229</v>
      </c>
      <c r="AU1" s="206" t="s">
        <v>230</v>
      </c>
      <c r="AV1" s="206" t="s">
        <v>231</v>
      </c>
      <c r="AW1" s="206" t="s">
        <v>232</v>
      </c>
      <c r="AX1" s="206" t="s">
        <v>233</v>
      </c>
    </row>
    <row r="2" spans="1:50" x14ac:dyDescent="0.15">
      <c r="A2" t="s">
        <v>38</v>
      </c>
      <c r="B2" s="113">
        <v>0</v>
      </c>
      <c r="C2"/>
      <c r="D2"/>
      <c r="E2"/>
      <c r="F2"/>
      <c r="G2"/>
      <c r="H2"/>
      <c r="I2"/>
      <c r="J2"/>
      <c r="K2"/>
      <c r="L2"/>
      <c r="M2"/>
      <c r="N2"/>
      <c r="O2"/>
      <c r="P2"/>
      <c r="Q2"/>
      <c r="R2"/>
      <c r="S2"/>
      <c r="T2"/>
      <c r="U2"/>
      <c r="V2"/>
      <c r="W2"/>
      <c r="X2"/>
      <c r="Y2"/>
      <c r="Z2"/>
      <c r="AA2"/>
      <c r="AB2"/>
      <c r="AC2"/>
      <c r="AD2"/>
      <c r="AE2"/>
      <c r="AF2"/>
      <c r="AG2"/>
      <c r="AH2"/>
      <c r="AI2"/>
      <c r="AJ2"/>
      <c r="AK2"/>
      <c r="AL2"/>
    </row>
    <row r="3" spans="1:50" x14ac:dyDescent="0.15">
      <c r="A3" t="s">
        <v>40</v>
      </c>
      <c r="B3" s="113">
        <v>0</v>
      </c>
      <c r="C3"/>
      <c r="D3"/>
      <c r="E3"/>
      <c r="F3"/>
      <c r="G3"/>
      <c r="H3"/>
      <c r="I3"/>
      <c r="J3"/>
      <c r="K3"/>
      <c r="L3"/>
      <c r="M3"/>
      <c r="N3"/>
      <c r="O3"/>
      <c r="P3"/>
      <c r="Q3"/>
      <c r="R3"/>
      <c r="S3"/>
      <c r="T3"/>
      <c r="U3"/>
      <c r="V3"/>
      <c r="W3"/>
      <c r="X3"/>
      <c r="Y3"/>
      <c r="Z3"/>
      <c r="AA3"/>
      <c r="AB3"/>
      <c r="AC3"/>
      <c r="AD3"/>
      <c r="AE3"/>
      <c r="AF3"/>
      <c r="AG3"/>
      <c r="AH3"/>
      <c r="AI3"/>
      <c r="AJ3"/>
      <c r="AK3"/>
      <c r="AL3"/>
    </row>
    <row r="4" spans="1:50" x14ac:dyDescent="0.15">
      <c r="A4" t="s">
        <v>41</v>
      </c>
      <c r="B4" s="113">
        <v>0</v>
      </c>
      <c r="C4"/>
      <c r="D4"/>
      <c r="E4"/>
      <c r="F4"/>
      <c r="G4"/>
      <c r="H4"/>
      <c r="I4"/>
      <c r="J4"/>
      <c r="K4"/>
      <c r="L4"/>
      <c r="M4"/>
      <c r="N4"/>
      <c r="O4"/>
      <c r="P4"/>
      <c r="Q4"/>
      <c r="R4"/>
      <c r="S4"/>
      <c r="T4"/>
      <c r="U4"/>
      <c r="V4"/>
      <c r="W4"/>
      <c r="X4"/>
      <c r="Y4"/>
      <c r="Z4"/>
      <c r="AA4"/>
      <c r="AB4"/>
      <c r="AC4"/>
      <c r="AD4"/>
      <c r="AE4"/>
      <c r="AF4"/>
      <c r="AG4"/>
      <c r="AH4"/>
      <c r="AI4"/>
      <c r="AJ4"/>
      <c r="AK4"/>
      <c r="AL4"/>
    </row>
    <row r="5" spans="1:50" x14ac:dyDescent="0.15">
      <c r="A5" s="205" t="s">
        <v>192</v>
      </c>
      <c r="B5" s="113">
        <v>0</v>
      </c>
      <c r="C5"/>
      <c r="D5"/>
      <c r="E5"/>
      <c r="F5"/>
      <c r="G5"/>
      <c r="H5"/>
      <c r="I5"/>
      <c r="J5"/>
      <c r="K5"/>
      <c r="L5"/>
      <c r="M5"/>
      <c r="N5"/>
      <c r="O5"/>
      <c r="P5"/>
      <c r="Q5"/>
      <c r="R5"/>
      <c r="S5"/>
      <c r="T5"/>
      <c r="U5"/>
      <c r="V5"/>
      <c r="W5"/>
      <c r="X5"/>
      <c r="Y5"/>
      <c r="Z5"/>
      <c r="AA5"/>
      <c r="AB5"/>
      <c r="AC5"/>
      <c r="AD5"/>
      <c r="AE5"/>
      <c r="AF5"/>
      <c r="AG5"/>
      <c r="AH5"/>
      <c r="AI5"/>
      <c r="AJ5"/>
      <c r="AK5"/>
      <c r="AL5"/>
    </row>
    <row r="6" spans="1:50" x14ac:dyDescent="0.15">
      <c r="A6" s="205" t="s">
        <v>193</v>
      </c>
      <c r="B6" s="113">
        <v>0</v>
      </c>
      <c r="C6"/>
      <c r="D6"/>
      <c r="E6"/>
      <c r="F6"/>
      <c r="G6"/>
      <c r="H6"/>
      <c r="I6"/>
      <c r="J6"/>
      <c r="K6"/>
      <c r="L6"/>
      <c r="M6"/>
      <c r="N6"/>
      <c r="O6"/>
      <c r="P6"/>
      <c r="Q6"/>
      <c r="R6"/>
      <c r="S6"/>
      <c r="T6"/>
      <c r="U6"/>
      <c r="V6"/>
      <c r="W6"/>
      <c r="X6"/>
      <c r="Y6"/>
      <c r="Z6"/>
      <c r="AA6"/>
      <c r="AB6"/>
      <c r="AC6"/>
      <c r="AD6"/>
      <c r="AE6"/>
      <c r="AF6"/>
      <c r="AG6"/>
      <c r="AH6"/>
      <c r="AI6"/>
      <c r="AJ6"/>
      <c r="AK6"/>
      <c r="AL6"/>
    </row>
    <row r="7" spans="1:50" x14ac:dyDescent="0.15">
      <c r="A7" s="205" t="s">
        <v>194</v>
      </c>
      <c r="B7" s="113">
        <v>0</v>
      </c>
      <c r="C7"/>
      <c r="D7"/>
      <c r="E7"/>
      <c r="F7"/>
      <c r="G7"/>
      <c r="H7"/>
      <c r="I7"/>
      <c r="J7"/>
      <c r="K7"/>
      <c r="L7"/>
      <c r="M7"/>
      <c r="N7"/>
      <c r="O7"/>
      <c r="P7"/>
      <c r="Q7"/>
      <c r="R7"/>
      <c r="S7"/>
      <c r="T7"/>
      <c r="U7"/>
      <c r="V7"/>
      <c r="W7"/>
      <c r="X7"/>
      <c r="Y7"/>
      <c r="Z7"/>
      <c r="AA7"/>
      <c r="AB7"/>
      <c r="AC7"/>
      <c r="AD7"/>
      <c r="AE7"/>
      <c r="AF7"/>
      <c r="AG7"/>
      <c r="AH7"/>
      <c r="AI7"/>
      <c r="AJ7"/>
      <c r="AK7"/>
      <c r="AL7"/>
    </row>
    <row r="8" spans="1:50" x14ac:dyDescent="0.15">
      <c r="A8" s="205" t="s">
        <v>195</v>
      </c>
      <c r="B8" s="113">
        <v>0</v>
      </c>
      <c r="C8"/>
      <c r="D8"/>
      <c r="E8"/>
      <c r="F8"/>
      <c r="G8"/>
      <c r="H8"/>
      <c r="I8"/>
      <c r="J8"/>
      <c r="K8"/>
      <c r="L8"/>
      <c r="M8"/>
      <c r="N8"/>
      <c r="O8"/>
      <c r="P8"/>
      <c r="Q8"/>
      <c r="R8"/>
      <c r="S8"/>
      <c r="T8"/>
      <c r="U8"/>
      <c r="V8"/>
      <c r="W8"/>
      <c r="X8"/>
      <c r="Y8"/>
      <c r="Z8"/>
      <c r="AA8"/>
      <c r="AB8"/>
      <c r="AC8"/>
      <c r="AD8"/>
      <c r="AE8"/>
      <c r="AF8"/>
      <c r="AG8"/>
      <c r="AH8"/>
      <c r="AI8"/>
      <c r="AJ8"/>
      <c r="AK8"/>
      <c r="AL8"/>
    </row>
    <row r="9" spans="1:50" x14ac:dyDescent="0.15">
      <c r="A9" s="205" t="s">
        <v>196</v>
      </c>
      <c r="B9" s="113">
        <v>0</v>
      </c>
      <c r="C9"/>
      <c r="D9"/>
      <c r="E9"/>
      <c r="F9"/>
      <c r="G9"/>
      <c r="H9"/>
      <c r="I9"/>
      <c r="J9"/>
      <c r="K9"/>
      <c r="L9"/>
      <c r="M9"/>
      <c r="N9"/>
      <c r="O9"/>
      <c r="P9"/>
      <c r="Q9"/>
      <c r="R9"/>
      <c r="S9"/>
      <c r="T9"/>
      <c r="U9"/>
      <c r="V9"/>
      <c r="W9"/>
      <c r="X9"/>
      <c r="Y9"/>
      <c r="Z9"/>
      <c r="AA9"/>
      <c r="AB9"/>
      <c r="AC9"/>
      <c r="AD9"/>
      <c r="AE9"/>
      <c r="AF9"/>
      <c r="AG9"/>
      <c r="AH9"/>
      <c r="AI9"/>
      <c r="AJ9"/>
      <c r="AK9"/>
      <c r="AL9"/>
    </row>
    <row r="10" spans="1:50" x14ac:dyDescent="0.15">
      <c r="A10" s="205" t="s">
        <v>197</v>
      </c>
      <c r="B10" s="113">
        <v>0</v>
      </c>
      <c r="C10"/>
      <c r="D10"/>
      <c r="E10"/>
      <c r="F10"/>
      <c r="G10"/>
      <c r="H10"/>
      <c r="I10"/>
      <c r="J10"/>
      <c r="K10"/>
      <c r="L10"/>
      <c r="M10"/>
      <c r="N10"/>
      <c r="O10"/>
      <c r="P10"/>
      <c r="Q10"/>
      <c r="R10"/>
      <c r="S10"/>
      <c r="T10"/>
      <c r="U10"/>
      <c r="V10"/>
      <c r="W10"/>
      <c r="X10"/>
      <c r="Y10"/>
      <c r="Z10"/>
      <c r="AA10"/>
      <c r="AB10"/>
      <c r="AC10"/>
      <c r="AD10"/>
      <c r="AE10"/>
      <c r="AF10"/>
      <c r="AG10"/>
      <c r="AH10"/>
      <c r="AI10"/>
      <c r="AJ10"/>
      <c r="AK10"/>
      <c r="AL10"/>
    </row>
    <row r="11" spans="1:50" x14ac:dyDescent="0.15">
      <c r="A11" s="205" t="s">
        <v>198</v>
      </c>
      <c r="B11" s="113">
        <v>0</v>
      </c>
      <c r="C11"/>
      <c r="D11"/>
      <c r="E11"/>
      <c r="F11"/>
      <c r="G11"/>
      <c r="H11"/>
      <c r="I11"/>
      <c r="J11"/>
      <c r="K11"/>
      <c r="L11"/>
      <c r="M11"/>
      <c r="N11"/>
      <c r="O11"/>
      <c r="P11"/>
      <c r="Q11"/>
      <c r="R11"/>
      <c r="S11"/>
      <c r="T11"/>
      <c r="U11"/>
      <c r="V11"/>
      <c r="W11"/>
      <c r="X11"/>
      <c r="Y11"/>
      <c r="Z11"/>
      <c r="AA11"/>
      <c r="AB11"/>
      <c r="AC11"/>
      <c r="AD11"/>
      <c r="AE11"/>
      <c r="AF11"/>
      <c r="AG11"/>
      <c r="AH11"/>
      <c r="AI11"/>
      <c r="AJ11"/>
      <c r="AK11"/>
      <c r="AL11"/>
    </row>
    <row r="12" spans="1:50" x14ac:dyDescent="0.15">
      <c r="A12" s="205" t="s">
        <v>199</v>
      </c>
      <c r="B12" s="113">
        <v>0</v>
      </c>
      <c r="C12"/>
      <c r="D12"/>
      <c r="E12"/>
      <c r="F12"/>
      <c r="G12"/>
      <c r="H12"/>
      <c r="I12"/>
      <c r="J12"/>
      <c r="K12"/>
      <c r="L12"/>
      <c r="M12"/>
      <c r="N12"/>
      <c r="O12"/>
      <c r="P12"/>
      <c r="Q12"/>
      <c r="R12"/>
      <c r="S12"/>
      <c r="T12"/>
      <c r="U12"/>
      <c r="V12"/>
      <c r="W12"/>
      <c r="X12"/>
      <c r="Y12"/>
      <c r="Z12"/>
      <c r="AA12"/>
      <c r="AB12"/>
      <c r="AC12"/>
      <c r="AD12"/>
      <c r="AE12"/>
      <c r="AF12"/>
      <c r="AG12"/>
      <c r="AH12"/>
      <c r="AI12"/>
      <c r="AJ12"/>
      <c r="AK12"/>
      <c r="AL12"/>
    </row>
    <row r="13" spans="1:50" x14ac:dyDescent="0.15">
      <c r="A13" s="205" t="s">
        <v>200</v>
      </c>
      <c r="B13" s="113">
        <v>0</v>
      </c>
      <c r="C13"/>
      <c r="D13"/>
      <c r="E13"/>
      <c r="F13"/>
      <c r="G13"/>
      <c r="H13"/>
      <c r="I13"/>
      <c r="J13"/>
      <c r="K13"/>
      <c r="L13"/>
      <c r="M13"/>
      <c r="N13"/>
      <c r="O13"/>
      <c r="P13"/>
      <c r="Q13"/>
      <c r="R13"/>
      <c r="S13"/>
      <c r="T13"/>
      <c r="U13"/>
      <c r="V13"/>
      <c r="W13"/>
      <c r="X13"/>
      <c r="Y13"/>
      <c r="Z13"/>
      <c r="AA13"/>
      <c r="AB13"/>
      <c r="AC13"/>
      <c r="AD13"/>
      <c r="AE13"/>
      <c r="AF13"/>
      <c r="AG13"/>
      <c r="AH13"/>
      <c r="AI13"/>
      <c r="AJ13"/>
      <c r="AK13"/>
      <c r="AL13"/>
    </row>
    <row r="14" spans="1:50" x14ac:dyDescent="0.15">
      <c r="A14" s="205" t="s">
        <v>201</v>
      </c>
      <c r="B14" s="113">
        <v>0</v>
      </c>
      <c r="C14"/>
      <c r="D14"/>
      <c r="E14"/>
      <c r="F14"/>
      <c r="G14"/>
      <c r="H14"/>
      <c r="I14"/>
      <c r="J14"/>
      <c r="K14"/>
      <c r="L14"/>
      <c r="M14"/>
      <c r="N14"/>
      <c r="O14"/>
      <c r="P14"/>
      <c r="Q14"/>
      <c r="R14"/>
      <c r="S14"/>
      <c r="T14"/>
      <c r="U14"/>
      <c r="V14"/>
      <c r="W14"/>
      <c r="X14"/>
      <c r="Y14"/>
      <c r="Z14"/>
      <c r="AA14"/>
      <c r="AB14"/>
      <c r="AC14"/>
      <c r="AD14"/>
      <c r="AE14"/>
      <c r="AF14"/>
      <c r="AG14"/>
      <c r="AH14"/>
      <c r="AI14"/>
      <c r="AJ14"/>
      <c r="AK14"/>
      <c r="AL14"/>
    </row>
    <row r="15" spans="1:50" x14ac:dyDescent="0.15">
      <c r="A15" s="205" t="s">
        <v>202</v>
      </c>
      <c r="B15" s="113">
        <v>0</v>
      </c>
      <c r="C15"/>
      <c r="D15"/>
      <c r="E15"/>
      <c r="F15"/>
      <c r="G15"/>
      <c r="H15"/>
      <c r="I15"/>
      <c r="J15"/>
      <c r="K15"/>
      <c r="L15"/>
      <c r="M15"/>
      <c r="N15"/>
      <c r="O15"/>
      <c r="P15"/>
      <c r="Q15"/>
      <c r="R15"/>
      <c r="S15"/>
      <c r="T15"/>
      <c r="U15"/>
      <c r="V15"/>
      <c r="W15"/>
      <c r="X15"/>
      <c r="Y15"/>
      <c r="Z15"/>
      <c r="AA15"/>
      <c r="AB15"/>
      <c r="AC15"/>
      <c r="AD15"/>
      <c r="AE15"/>
      <c r="AF15"/>
      <c r="AG15"/>
      <c r="AH15"/>
      <c r="AI15"/>
      <c r="AJ15"/>
      <c r="AK15"/>
      <c r="AL15"/>
    </row>
    <row r="16" spans="1:50" x14ac:dyDescent="0.15">
      <c r="A16" s="205" t="s">
        <v>203</v>
      </c>
      <c r="B16" s="113">
        <v>0</v>
      </c>
      <c r="C16"/>
      <c r="D16"/>
      <c r="E16"/>
      <c r="F16"/>
      <c r="G16"/>
      <c r="H16"/>
      <c r="I16"/>
      <c r="J16"/>
      <c r="K16"/>
      <c r="L16"/>
      <c r="M16"/>
      <c r="N16"/>
      <c r="O16"/>
      <c r="P16"/>
      <c r="Q16"/>
      <c r="R16"/>
      <c r="S16"/>
      <c r="T16"/>
      <c r="U16"/>
      <c r="V16"/>
      <c r="W16"/>
      <c r="X16"/>
      <c r="Y16"/>
      <c r="Z16"/>
      <c r="AA16"/>
      <c r="AB16"/>
      <c r="AC16"/>
      <c r="AD16"/>
      <c r="AE16"/>
      <c r="AF16"/>
      <c r="AG16"/>
      <c r="AH16"/>
      <c r="AI16"/>
      <c r="AJ16"/>
      <c r="AK16"/>
      <c r="AL16"/>
    </row>
    <row r="17" spans="1:38" ht="15" customHeight="1" x14ac:dyDescent="0.15">
      <c r="A17" s="205" t="s">
        <v>204</v>
      </c>
      <c r="B17" s="113">
        <v>0</v>
      </c>
      <c r="C17"/>
      <c r="D17"/>
      <c r="E17"/>
      <c r="F17"/>
      <c r="G17"/>
      <c r="H17"/>
      <c r="I17"/>
      <c r="J17"/>
      <c r="K17"/>
      <c r="L17"/>
      <c r="M17"/>
      <c r="N17"/>
      <c r="O17"/>
      <c r="P17"/>
      <c r="Q17"/>
      <c r="R17"/>
      <c r="S17"/>
      <c r="T17"/>
      <c r="U17"/>
      <c r="V17"/>
      <c r="W17"/>
      <c r="X17"/>
      <c r="Y17"/>
      <c r="Z17"/>
      <c r="AA17"/>
      <c r="AB17"/>
      <c r="AC17"/>
      <c r="AD17"/>
      <c r="AE17"/>
      <c r="AF17"/>
      <c r="AG17"/>
      <c r="AH17"/>
      <c r="AI17"/>
      <c r="AJ17"/>
      <c r="AK17"/>
      <c r="AL17"/>
    </row>
    <row r="18" spans="1:38" ht="15" customHeight="1" x14ac:dyDescent="0.15">
      <c r="A18" s="205" t="s">
        <v>205</v>
      </c>
      <c r="B18" s="113">
        <v>0</v>
      </c>
      <c r="C18"/>
      <c r="D18"/>
      <c r="E18"/>
      <c r="F18"/>
      <c r="G18"/>
      <c r="H18"/>
      <c r="I18"/>
      <c r="J18"/>
      <c r="K18"/>
      <c r="L18"/>
      <c r="M18"/>
      <c r="N18"/>
      <c r="O18"/>
      <c r="P18"/>
      <c r="Q18"/>
      <c r="R18"/>
      <c r="S18"/>
      <c r="T18"/>
      <c r="U18"/>
      <c r="V18"/>
      <c r="W18"/>
      <c r="X18"/>
      <c r="Y18"/>
      <c r="Z18"/>
      <c r="AA18"/>
      <c r="AB18"/>
      <c r="AC18"/>
      <c r="AD18"/>
      <c r="AE18"/>
      <c r="AF18"/>
      <c r="AG18"/>
      <c r="AH18"/>
      <c r="AI18"/>
      <c r="AJ18"/>
      <c r="AK18"/>
      <c r="AL18"/>
    </row>
    <row r="19" spans="1:38" ht="15" customHeight="1" x14ac:dyDescent="0.15">
      <c r="A19" s="205" t="s">
        <v>206</v>
      </c>
      <c r="B19" s="113">
        <v>0</v>
      </c>
      <c r="C19"/>
      <c r="D19"/>
      <c r="E19"/>
      <c r="F19"/>
      <c r="G19"/>
      <c r="H19"/>
      <c r="I19"/>
      <c r="J19"/>
      <c r="K19"/>
      <c r="L19"/>
      <c r="M19"/>
      <c r="N19"/>
      <c r="O19"/>
      <c r="P19"/>
      <c r="Q19"/>
      <c r="R19"/>
      <c r="S19"/>
      <c r="T19"/>
      <c r="U19"/>
      <c r="V19"/>
      <c r="W19"/>
      <c r="X19"/>
      <c r="Y19"/>
      <c r="Z19"/>
      <c r="AA19"/>
      <c r="AB19"/>
      <c r="AC19"/>
      <c r="AD19"/>
      <c r="AE19"/>
      <c r="AF19"/>
      <c r="AG19"/>
      <c r="AH19"/>
      <c r="AI19"/>
      <c r="AJ19"/>
      <c r="AK19"/>
      <c r="AL19"/>
    </row>
    <row r="20" spans="1:38" ht="15" customHeight="1" x14ac:dyDescent="0.15">
      <c r="A20" s="205" t="s">
        <v>207</v>
      </c>
      <c r="B20" s="113">
        <v>0</v>
      </c>
      <c r="C20"/>
      <c r="D20"/>
      <c r="E20"/>
      <c r="F20"/>
      <c r="G20"/>
      <c r="H20"/>
      <c r="I20"/>
      <c r="J20"/>
      <c r="K20"/>
      <c r="L20"/>
      <c r="M20"/>
      <c r="N20"/>
      <c r="O20"/>
      <c r="P20"/>
      <c r="Q20"/>
      <c r="R20"/>
      <c r="S20"/>
      <c r="T20"/>
      <c r="U20"/>
      <c r="V20"/>
      <c r="W20"/>
      <c r="X20"/>
      <c r="Y20"/>
      <c r="Z20"/>
      <c r="AA20"/>
      <c r="AB20"/>
      <c r="AC20"/>
      <c r="AD20"/>
      <c r="AE20"/>
      <c r="AF20"/>
      <c r="AG20"/>
      <c r="AH20"/>
      <c r="AI20"/>
      <c r="AJ20"/>
      <c r="AK20"/>
      <c r="AL20"/>
    </row>
    <row r="21" spans="1:38" ht="15" customHeight="1" x14ac:dyDescent="0.15">
      <c r="A21" s="205" t="s">
        <v>208</v>
      </c>
      <c r="B21" s="113">
        <v>0</v>
      </c>
      <c r="C21"/>
      <c r="D21"/>
      <c r="E21"/>
      <c r="F21"/>
      <c r="G21"/>
      <c r="H21"/>
      <c r="I21"/>
      <c r="J21"/>
      <c r="K21"/>
      <c r="L21"/>
      <c r="M21"/>
      <c r="N21"/>
      <c r="O21"/>
      <c r="P21"/>
      <c r="Q21"/>
      <c r="R21"/>
      <c r="S21"/>
      <c r="T21"/>
      <c r="U21"/>
      <c r="V21"/>
      <c r="W21"/>
      <c r="X21"/>
      <c r="Y21"/>
      <c r="Z21"/>
      <c r="AA21"/>
      <c r="AB21"/>
      <c r="AC21"/>
      <c r="AD21"/>
      <c r="AE21"/>
      <c r="AF21"/>
      <c r="AG21"/>
      <c r="AH21"/>
      <c r="AI21"/>
      <c r="AJ21"/>
      <c r="AK21"/>
      <c r="AL21"/>
    </row>
    <row r="22" spans="1:38" ht="15" customHeight="1" x14ac:dyDescent="0.15">
      <c r="A22" s="205" t="s">
        <v>209</v>
      </c>
      <c r="B22" s="113">
        <v>0</v>
      </c>
      <c r="C22"/>
      <c r="D22"/>
      <c r="E22"/>
      <c r="F22"/>
      <c r="G22"/>
      <c r="H22"/>
      <c r="I22"/>
      <c r="J22"/>
      <c r="K22"/>
      <c r="L22"/>
      <c r="M22"/>
      <c r="N22"/>
      <c r="O22"/>
      <c r="P22"/>
      <c r="Q22"/>
      <c r="R22"/>
      <c r="S22"/>
      <c r="T22"/>
      <c r="U22"/>
      <c r="V22"/>
      <c r="W22"/>
      <c r="X22"/>
      <c r="Y22"/>
      <c r="Z22"/>
      <c r="AA22"/>
      <c r="AB22"/>
      <c r="AC22"/>
      <c r="AD22"/>
      <c r="AE22"/>
      <c r="AF22"/>
      <c r="AG22"/>
      <c r="AH22"/>
      <c r="AI22"/>
      <c r="AJ22"/>
      <c r="AK22"/>
      <c r="AL22"/>
    </row>
    <row r="23" spans="1:38" ht="15" customHeight="1" x14ac:dyDescent="0.15">
      <c r="A23" s="205" t="s">
        <v>210</v>
      </c>
      <c r="B23" s="113">
        <v>0</v>
      </c>
      <c r="C23"/>
      <c r="D23"/>
      <c r="E23"/>
      <c r="F23"/>
      <c r="G23"/>
      <c r="H23"/>
      <c r="I23"/>
      <c r="J23"/>
      <c r="K23"/>
      <c r="L23"/>
      <c r="M23"/>
      <c r="N23"/>
      <c r="O23"/>
      <c r="P23"/>
      <c r="Q23"/>
      <c r="R23"/>
      <c r="S23"/>
      <c r="T23"/>
      <c r="U23"/>
      <c r="V23"/>
      <c r="W23"/>
      <c r="X23"/>
      <c r="Y23"/>
      <c r="Z23"/>
      <c r="AA23"/>
      <c r="AB23"/>
      <c r="AC23"/>
      <c r="AD23"/>
      <c r="AE23"/>
      <c r="AF23"/>
      <c r="AG23"/>
      <c r="AH23"/>
      <c r="AI23"/>
      <c r="AJ23"/>
      <c r="AK23"/>
      <c r="AL23"/>
    </row>
    <row r="24" spans="1:38" ht="15" customHeight="1" x14ac:dyDescent="0.15">
      <c r="A24" s="205" t="s">
        <v>211</v>
      </c>
      <c r="B24" s="113">
        <v>0</v>
      </c>
      <c r="C24"/>
      <c r="D24"/>
      <c r="E24"/>
      <c r="F24"/>
      <c r="G24"/>
      <c r="H24"/>
      <c r="I24"/>
      <c r="J24"/>
      <c r="K24"/>
      <c r="L24"/>
      <c r="M24"/>
      <c r="N24"/>
      <c r="O24"/>
      <c r="P24"/>
      <c r="Q24"/>
      <c r="R24"/>
      <c r="S24"/>
      <c r="T24"/>
      <c r="U24"/>
      <c r="V24"/>
      <c r="W24"/>
      <c r="X24"/>
      <c r="Y24"/>
      <c r="Z24"/>
      <c r="AA24"/>
      <c r="AB24"/>
      <c r="AC24"/>
      <c r="AD24"/>
      <c r="AE24"/>
      <c r="AF24"/>
      <c r="AG24"/>
      <c r="AH24"/>
      <c r="AI24"/>
      <c r="AJ24"/>
      <c r="AK24"/>
      <c r="AL24"/>
    </row>
    <row r="25" spans="1:38" ht="15" customHeight="1" x14ac:dyDescent="0.15">
      <c r="A25" s="205" t="s">
        <v>212</v>
      </c>
      <c r="B25" s="113">
        <v>0</v>
      </c>
      <c r="C25"/>
      <c r="D25"/>
      <c r="E25"/>
      <c r="F25"/>
      <c r="G25"/>
      <c r="H25"/>
      <c r="I25"/>
      <c r="J25"/>
      <c r="K25"/>
      <c r="L25"/>
      <c r="M25"/>
      <c r="N25"/>
      <c r="O25"/>
      <c r="P25"/>
      <c r="Q25"/>
      <c r="R25"/>
      <c r="S25"/>
      <c r="T25"/>
      <c r="U25"/>
      <c r="V25"/>
      <c r="W25"/>
      <c r="X25"/>
      <c r="Y25"/>
      <c r="Z25"/>
      <c r="AA25"/>
      <c r="AB25"/>
      <c r="AC25"/>
      <c r="AD25"/>
      <c r="AE25"/>
      <c r="AF25"/>
      <c r="AG25"/>
      <c r="AH25"/>
      <c r="AI25"/>
      <c r="AJ25"/>
      <c r="AK25"/>
      <c r="AL25"/>
    </row>
    <row r="26" spans="1:38" ht="15" customHeight="1" x14ac:dyDescent="0.15">
      <c r="A26" s="205" t="s">
        <v>213</v>
      </c>
      <c r="B26" s="113">
        <v>0</v>
      </c>
      <c r="C26"/>
      <c r="D26"/>
      <c r="E26"/>
      <c r="F26"/>
      <c r="G26"/>
      <c r="H26"/>
      <c r="I26"/>
      <c r="J26"/>
      <c r="K26"/>
      <c r="L26"/>
      <c r="M26"/>
      <c r="N26"/>
      <c r="O26"/>
      <c r="P26"/>
      <c r="Q26"/>
      <c r="R26"/>
      <c r="S26"/>
      <c r="T26"/>
      <c r="U26"/>
      <c r="V26"/>
      <c r="W26"/>
      <c r="X26"/>
      <c r="Y26"/>
      <c r="Z26"/>
      <c r="AA26"/>
      <c r="AB26"/>
      <c r="AC26"/>
      <c r="AD26"/>
      <c r="AE26"/>
      <c r="AF26"/>
      <c r="AG26"/>
      <c r="AH26"/>
      <c r="AI26"/>
      <c r="AJ26"/>
      <c r="AK26"/>
      <c r="AL26"/>
    </row>
    <row r="27" spans="1:38" ht="15" customHeight="1" x14ac:dyDescent="0.15">
      <c r="A27" s="205" t="s">
        <v>214</v>
      </c>
      <c r="B27" s="113">
        <v>0</v>
      </c>
      <c r="C27"/>
      <c r="D27"/>
      <c r="E27"/>
      <c r="F27"/>
      <c r="G27"/>
      <c r="H27"/>
      <c r="I27"/>
      <c r="J27"/>
      <c r="K27"/>
      <c r="L27"/>
      <c r="M27"/>
      <c r="N27"/>
      <c r="O27"/>
      <c r="P27"/>
      <c r="Q27"/>
      <c r="R27"/>
      <c r="S27"/>
      <c r="T27"/>
      <c r="U27"/>
      <c r="V27"/>
      <c r="W27"/>
      <c r="X27"/>
      <c r="Y27"/>
      <c r="Z27"/>
      <c r="AA27"/>
      <c r="AB27"/>
      <c r="AC27"/>
      <c r="AD27"/>
      <c r="AE27"/>
      <c r="AF27"/>
      <c r="AG27"/>
      <c r="AH27"/>
      <c r="AI27"/>
      <c r="AJ27"/>
      <c r="AK27"/>
      <c r="AL27"/>
    </row>
    <row r="28" spans="1:38" ht="15" customHeight="1" x14ac:dyDescent="0.15">
      <c r="A28" s="205" t="s">
        <v>215</v>
      </c>
      <c r="B28" s="113">
        <v>0</v>
      </c>
      <c r="C28"/>
      <c r="D28"/>
      <c r="E28"/>
      <c r="F28"/>
      <c r="G28"/>
      <c r="H28"/>
      <c r="I28"/>
      <c r="J28"/>
      <c r="K28"/>
      <c r="L28"/>
      <c r="M28"/>
      <c r="N28"/>
      <c r="O28"/>
      <c r="P28"/>
      <c r="Q28"/>
      <c r="R28"/>
      <c r="S28"/>
      <c r="T28"/>
      <c r="U28"/>
      <c r="V28"/>
      <c r="W28"/>
      <c r="X28"/>
      <c r="Y28"/>
      <c r="Z28"/>
      <c r="AA28"/>
      <c r="AB28"/>
      <c r="AC28"/>
      <c r="AD28"/>
      <c r="AE28"/>
      <c r="AF28"/>
      <c r="AG28"/>
      <c r="AH28"/>
      <c r="AI28"/>
      <c r="AJ28"/>
      <c r="AK28"/>
      <c r="AL28"/>
    </row>
    <row r="29" spans="1:38" ht="15" customHeight="1" x14ac:dyDescent="0.15">
      <c r="A29" s="205" t="s">
        <v>216</v>
      </c>
      <c r="B29" s="113">
        <v>0</v>
      </c>
      <c r="C29"/>
      <c r="D29"/>
      <c r="E29"/>
      <c r="F29"/>
      <c r="G29"/>
      <c r="H29"/>
      <c r="I29"/>
      <c r="J29"/>
      <c r="K29"/>
      <c r="L29"/>
      <c r="M29"/>
      <c r="N29"/>
      <c r="O29"/>
      <c r="P29"/>
      <c r="Q29"/>
      <c r="R29"/>
      <c r="S29"/>
      <c r="T29"/>
      <c r="U29"/>
      <c r="V29"/>
      <c r="W29"/>
      <c r="X29"/>
      <c r="Y29"/>
      <c r="Z29"/>
      <c r="AA29"/>
      <c r="AB29"/>
      <c r="AC29"/>
      <c r="AD29"/>
      <c r="AE29"/>
      <c r="AF29"/>
      <c r="AG29"/>
      <c r="AH29"/>
      <c r="AI29"/>
      <c r="AJ29"/>
      <c r="AK29"/>
      <c r="AL29"/>
    </row>
    <row r="30" spans="1:38" ht="15" customHeight="1" x14ac:dyDescent="0.15">
      <c r="A30" s="205" t="s">
        <v>217</v>
      </c>
      <c r="B30" s="113">
        <v>0</v>
      </c>
      <c r="C30"/>
      <c r="D30"/>
      <c r="E30"/>
      <c r="F30"/>
      <c r="G30"/>
      <c r="H30"/>
      <c r="I30"/>
      <c r="J30"/>
      <c r="K30"/>
      <c r="L30"/>
      <c r="M30"/>
      <c r="N30"/>
      <c r="O30"/>
      <c r="P30"/>
      <c r="Q30"/>
      <c r="R30"/>
      <c r="S30"/>
      <c r="T30"/>
      <c r="U30"/>
      <c r="V30"/>
      <c r="W30"/>
      <c r="X30"/>
      <c r="Y30"/>
      <c r="Z30"/>
      <c r="AA30"/>
      <c r="AB30"/>
      <c r="AC30"/>
      <c r="AD30"/>
      <c r="AE30"/>
      <c r="AF30"/>
      <c r="AG30"/>
      <c r="AH30"/>
      <c r="AI30"/>
      <c r="AJ30"/>
      <c r="AK30"/>
      <c r="AL30"/>
    </row>
    <row r="31" spans="1:38" ht="15" customHeight="1" x14ac:dyDescent="0.15">
      <c r="A31" s="205" t="s">
        <v>218</v>
      </c>
      <c r="B31" s="113">
        <v>0</v>
      </c>
      <c r="C31"/>
      <c r="D31"/>
      <c r="E31"/>
      <c r="F31"/>
      <c r="G31"/>
      <c r="H31"/>
      <c r="I31"/>
      <c r="J31"/>
      <c r="K31"/>
      <c r="L31"/>
      <c r="M31"/>
      <c r="N31"/>
      <c r="O31"/>
      <c r="P31"/>
      <c r="Q31"/>
      <c r="R31"/>
      <c r="S31"/>
      <c r="T31"/>
      <c r="U31"/>
      <c r="V31"/>
      <c r="W31"/>
      <c r="X31"/>
      <c r="Y31"/>
      <c r="Z31"/>
      <c r="AA31"/>
      <c r="AB31"/>
      <c r="AC31"/>
      <c r="AD31"/>
      <c r="AE31"/>
      <c r="AF31"/>
      <c r="AG31"/>
      <c r="AH31"/>
      <c r="AI31"/>
      <c r="AJ31"/>
      <c r="AK31"/>
      <c r="AL31"/>
    </row>
    <row r="32" spans="1:38" ht="15" customHeight="1" x14ac:dyDescent="0.15">
      <c r="A32" s="205" t="s">
        <v>219</v>
      </c>
      <c r="B32" s="113">
        <v>0</v>
      </c>
      <c r="C32"/>
      <c r="D32"/>
      <c r="E32"/>
      <c r="F32"/>
      <c r="G32"/>
      <c r="H32"/>
      <c r="I32"/>
      <c r="J32"/>
      <c r="K32"/>
      <c r="L32"/>
      <c r="M32"/>
      <c r="N32"/>
      <c r="O32"/>
      <c r="P32"/>
      <c r="Q32"/>
      <c r="R32"/>
      <c r="S32"/>
      <c r="T32"/>
      <c r="U32"/>
      <c r="V32"/>
      <c r="W32"/>
      <c r="X32"/>
      <c r="Y32"/>
      <c r="Z32"/>
      <c r="AA32"/>
      <c r="AB32"/>
      <c r="AC32"/>
      <c r="AD32"/>
      <c r="AE32"/>
      <c r="AF32"/>
      <c r="AG32"/>
      <c r="AH32"/>
      <c r="AI32"/>
      <c r="AJ32"/>
      <c r="AK32"/>
      <c r="AL32"/>
    </row>
    <row r="33" spans="1:38" ht="15" customHeight="1" x14ac:dyDescent="0.15">
      <c r="A33" s="205" t="s">
        <v>220</v>
      </c>
      <c r="B33" s="113">
        <v>0</v>
      </c>
      <c r="C33"/>
      <c r="D33"/>
      <c r="E33"/>
      <c r="F33"/>
      <c r="G33"/>
      <c r="H33"/>
      <c r="I33"/>
      <c r="J33"/>
      <c r="K33"/>
      <c r="L33"/>
      <c r="M33"/>
      <c r="N33"/>
      <c r="O33"/>
      <c r="P33"/>
      <c r="Q33"/>
      <c r="R33"/>
      <c r="S33"/>
      <c r="T33"/>
      <c r="U33"/>
      <c r="V33"/>
      <c r="W33"/>
      <c r="X33"/>
      <c r="Y33"/>
      <c r="Z33"/>
      <c r="AA33"/>
      <c r="AB33"/>
      <c r="AC33"/>
      <c r="AD33"/>
      <c r="AE33"/>
      <c r="AF33"/>
      <c r="AG33"/>
      <c r="AH33"/>
      <c r="AI33"/>
      <c r="AJ33"/>
      <c r="AK33"/>
      <c r="AL33"/>
    </row>
    <row r="34" spans="1:38" ht="15" customHeight="1" x14ac:dyDescent="0.15">
      <c r="A34" s="205" t="s">
        <v>221</v>
      </c>
      <c r="B34" s="113">
        <v>0</v>
      </c>
      <c r="C34"/>
      <c r="D34"/>
      <c r="E34"/>
      <c r="F34"/>
      <c r="G34"/>
      <c r="H34"/>
      <c r="I34"/>
      <c r="J34"/>
      <c r="K34"/>
      <c r="L34"/>
      <c r="M34"/>
      <c r="N34"/>
      <c r="O34"/>
      <c r="P34"/>
      <c r="Q34"/>
      <c r="R34"/>
      <c r="S34"/>
      <c r="T34"/>
      <c r="U34"/>
      <c r="V34"/>
      <c r="W34"/>
      <c r="X34"/>
      <c r="Y34"/>
      <c r="Z34"/>
      <c r="AA34"/>
      <c r="AB34"/>
      <c r="AC34"/>
      <c r="AD34"/>
      <c r="AE34"/>
      <c r="AF34"/>
      <c r="AG34"/>
      <c r="AH34"/>
      <c r="AI34"/>
      <c r="AJ34"/>
      <c r="AK34"/>
      <c r="AL34"/>
    </row>
    <row r="35" spans="1:38" ht="15" customHeight="1" x14ac:dyDescent="0.15">
      <c r="A35" s="205" t="s">
        <v>222</v>
      </c>
      <c r="B35" s="113">
        <v>0</v>
      </c>
      <c r="C35"/>
      <c r="D35"/>
      <c r="E35"/>
      <c r="F35"/>
      <c r="G35"/>
      <c r="H35"/>
      <c r="I35"/>
      <c r="J35"/>
      <c r="K35"/>
      <c r="L35"/>
      <c r="M35"/>
      <c r="N35"/>
      <c r="O35"/>
      <c r="P35"/>
      <c r="Q35"/>
      <c r="R35"/>
      <c r="S35"/>
      <c r="T35"/>
      <c r="U35"/>
      <c r="V35"/>
      <c r="W35"/>
      <c r="X35"/>
      <c r="Y35"/>
      <c r="Z35"/>
      <c r="AA35"/>
      <c r="AB35"/>
      <c r="AC35"/>
      <c r="AD35"/>
      <c r="AE35"/>
      <c r="AF35"/>
      <c r="AG35"/>
      <c r="AH35"/>
      <c r="AI35"/>
      <c r="AJ35"/>
      <c r="AK35"/>
      <c r="AL35"/>
    </row>
    <row r="36" spans="1:38" ht="15" customHeight="1" x14ac:dyDescent="0.15">
      <c r="A36" s="205" t="s">
        <v>223</v>
      </c>
      <c r="B36" s="113">
        <v>0</v>
      </c>
      <c r="C36"/>
      <c r="D36"/>
    </row>
    <row r="37" spans="1:38" ht="15" customHeight="1" x14ac:dyDescent="0.15">
      <c r="A37" s="205" t="s">
        <v>224</v>
      </c>
      <c r="B37" s="113">
        <v>0</v>
      </c>
      <c r="C37"/>
      <c r="D37"/>
    </row>
    <row r="38" spans="1:38" ht="15" customHeight="1" x14ac:dyDescent="0.15">
      <c r="A38" s="205" t="s">
        <v>225</v>
      </c>
      <c r="B38" s="113">
        <v>0</v>
      </c>
      <c r="C38"/>
      <c r="D38"/>
      <c r="E38"/>
      <c r="F38"/>
      <c r="G38"/>
      <c r="H38"/>
      <c r="I38"/>
      <c r="J38"/>
      <c r="K38"/>
      <c r="L38"/>
      <c r="M38"/>
      <c r="N38"/>
      <c r="O38"/>
      <c r="P38"/>
      <c r="Q38"/>
      <c r="R38"/>
      <c r="S38"/>
      <c r="T38"/>
      <c r="U38"/>
      <c r="V38"/>
      <c r="W38"/>
      <c r="X38"/>
      <c r="Y38"/>
      <c r="Z38"/>
      <c r="AA38"/>
      <c r="AB38"/>
      <c r="AC38"/>
      <c r="AD38"/>
      <c r="AE38"/>
      <c r="AF38"/>
      <c r="AG38"/>
      <c r="AH38"/>
      <c r="AI38"/>
      <c r="AJ38"/>
      <c r="AK38"/>
      <c r="AL38"/>
    </row>
    <row r="39" spans="1:38" ht="15" customHeight="1" x14ac:dyDescent="0.15">
      <c r="A39" s="205" t="s">
        <v>226</v>
      </c>
      <c r="B39" s="113">
        <v>0</v>
      </c>
      <c r="C39"/>
      <c r="D39"/>
    </row>
    <row r="40" spans="1:38" ht="15" customHeight="1" x14ac:dyDescent="0.15">
      <c r="A40" s="205" t="s">
        <v>227</v>
      </c>
      <c r="B40" s="113">
        <v>0</v>
      </c>
      <c r="C40"/>
      <c r="D40"/>
    </row>
    <row r="41" spans="1:38" ht="15" customHeight="1" x14ac:dyDescent="0.15">
      <c r="A41" s="205" t="s">
        <v>228</v>
      </c>
      <c r="B41" s="113">
        <v>0</v>
      </c>
      <c r="C41"/>
      <c r="D41"/>
    </row>
    <row r="42" spans="1:38" ht="15" customHeight="1" x14ac:dyDescent="0.15">
      <c r="A42" s="205" t="s">
        <v>229</v>
      </c>
      <c r="B42" s="113">
        <v>0</v>
      </c>
    </row>
    <row r="43" spans="1:38" ht="15" customHeight="1" x14ac:dyDescent="0.15">
      <c r="A43" s="205" t="s">
        <v>230</v>
      </c>
      <c r="B43" s="113">
        <v>0</v>
      </c>
    </row>
    <row r="44" spans="1:38" ht="15" customHeight="1" x14ac:dyDescent="0.15">
      <c r="A44" s="205" t="s">
        <v>231</v>
      </c>
      <c r="B44" s="113">
        <v>0</v>
      </c>
    </row>
    <row r="45" spans="1:38" ht="15" customHeight="1" x14ac:dyDescent="0.15">
      <c r="A45" s="205" t="s">
        <v>232</v>
      </c>
      <c r="B45" s="113">
        <v>0</v>
      </c>
    </row>
    <row r="46" spans="1:38" ht="15" customHeight="1" x14ac:dyDescent="0.15">
      <c r="A46" s="205" t="s">
        <v>233</v>
      </c>
      <c r="B46" s="113">
        <v>0</v>
      </c>
    </row>
    <row r="47" spans="1:38" ht="15" customHeight="1" x14ac:dyDescent="0.15"/>
    <row r="48" spans="1:38" ht="15" customHeight="1" x14ac:dyDescent="0.15"/>
    <row r="49" spans="2:38" ht="15" customHeight="1" x14ac:dyDescent="0.15"/>
    <row r="50" spans="2:38" ht="15" customHeight="1" x14ac:dyDescent="0.15"/>
    <row r="51" spans="2:38" ht="15" customHeight="1" x14ac:dyDescent="0.15"/>
    <row r="52" spans="2:38" ht="15" customHeight="1" x14ac:dyDescent="0.15">
      <c r="B52"/>
      <c r="C52"/>
      <c r="D52"/>
      <c r="E52"/>
      <c r="F52"/>
      <c r="G52"/>
      <c r="H52"/>
      <c r="I52"/>
      <c r="J52"/>
      <c r="K52"/>
      <c r="L52"/>
      <c r="M52"/>
      <c r="N52"/>
      <c r="O52"/>
      <c r="P52"/>
      <c r="Q52"/>
      <c r="R52"/>
      <c r="S52"/>
      <c r="T52"/>
      <c r="U52"/>
      <c r="V52"/>
      <c r="W52"/>
      <c r="X52"/>
      <c r="Y52"/>
      <c r="Z52"/>
      <c r="AA52"/>
      <c r="AB52"/>
      <c r="AC52"/>
      <c r="AD52"/>
      <c r="AE52"/>
      <c r="AF52"/>
      <c r="AG52"/>
      <c r="AH52"/>
      <c r="AI52"/>
      <c r="AJ52"/>
      <c r="AK52"/>
      <c r="AL52"/>
    </row>
    <row r="53" spans="2:38" ht="15" customHeight="1" x14ac:dyDescent="0.15">
      <c r="B53"/>
      <c r="C53"/>
      <c r="D53"/>
      <c r="E53"/>
      <c r="F53"/>
      <c r="G53"/>
      <c r="H53"/>
      <c r="I53"/>
      <c r="J53"/>
      <c r="K53"/>
      <c r="L53"/>
      <c r="M53"/>
      <c r="N53"/>
      <c r="O53"/>
      <c r="P53"/>
      <c r="Q53"/>
      <c r="R53"/>
      <c r="S53"/>
      <c r="T53"/>
      <c r="U53"/>
      <c r="V53"/>
      <c r="W53"/>
      <c r="X53"/>
      <c r="Y53"/>
      <c r="Z53"/>
      <c r="AA53"/>
      <c r="AB53"/>
      <c r="AC53"/>
      <c r="AD53"/>
      <c r="AE53"/>
      <c r="AF53"/>
      <c r="AG53"/>
      <c r="AH53"/>
      <c r="AI53"/>
      <c r="AJ53"/>
      <c r="AK53"/>
      <c r="AL53"/>
    </row>
    <row r="54" spans="2:38" ht="15" customHeight="1" x14ac:dyDescent="0.15">
      <c r="B54"/>
      <c r="C54"/>
      <c r="D54"/>
      <c r="E54"/>
      <c r="F54"/>
      <c r="G54"/>
      <c r="H54"/>
      <c r="I54"/>
      <c r="J54"/>
      <c r="K54"/>
      <c r="L54"/>
      <c r="M54"/>
      <c r="N54"/>
      <c r="O54"/>
      <c r="P54"/>
      <c r="Q54"/>
      <c r="R54"/>
      <c r="S54"/>
      <c r="T54"/>
      <c r="U54"/>
      <c r="V54"/>
      <c r="W54"/>
      <c r="X54"/>
      <c r="Y54"/>
      <c r="Z54"/>
      <c r="AA54"/>
      <c r="AB54"/>
      <c r="AC54"/>
      <c r="AD54"/>
      <c r="AE54"/>
      <c r="AF54"/>
      <c r="AG54"/>
      <c r="AH54"/>
      <c r="AI54"/>
      <c r="AJ54"/>
      <c r="AK54"/>
      <c r="AL54"/>
    </row>
    <row r="55" spans="2:38" ht="15" customHeight="1" x14ac:dyDescent="0.15">
      <c r="B55"/>
      <c r="C55"/>
      <c r="D55"/>
      <c r="E55"/>
      <c r="F55"/>
      <c r="G55"/>
      <c r="H55"/>
      <c r="I55"/>
      <c r="J55"/>
      <c r="K55"/>
      <c r="L55"/>
      <c r="M55"/>
      <c r="N55"/>
      <c r="O55"/>
      <c r="P55"/>
      <c r="Q55"/>
      <c r="R55"/>
      <c r="S55"/>
      <c r="T55"/>
      <c r="U55"/>
      <c r="V55"/>
      <c r="W55"/>
      <c r="X55"/>
      <c r="Y55"/>
      <c r="Z55"/>
      <c r="AA55"/>
      <c r="AB55"/>
      <c r="AC55"/>
      <c r="AD55"/>
      <c r="AE55"/>
      <c r="AF55"/>
      <c r="AG55"/>
      <c r="AH55"/>
      <c r="AI55"/>
      <c r="AJ55"/>
      <c r="AK55"/>
      <c r="AL55"/>
    </row>
    <row r="56" spans="2:38" ht="15" customHeight="1" x14ac:dyDescent="0.15">
      <c r="B56"/>
      <c r="C56"/>
      <c r="D56"/>
      <c r="E56"/>
      <c r="F56"/>
      <c r="G56"/>
      <c r="H56"/>
      <c r="I56"/>
      <c r="J56"/>
      <c r="K56"/>
      <c r="L56"/>
      <c r="M56"/>
      <c r="N56"/>
      <c r="O56"/>
      <c r="P56"/>
      <c r="Q56"/>
      <c r="R56"/>
      <c r="S56"/>
      <c r="T56"/>
      <c r="U56"/>
      <c r="V56"/>
      <c r="W56"/>
      <c r="X56"/>
      <c r="Y56"/>
      <c r="Z56"/>
      <c r="AA56"/>
      <c r="AB56"/>
      <c r="AC56"/>
      <c r="AD56"/>
      <c r="AE56"/>
      <c r="AF56"/>
      <c r="AG56"/>
      <c r="AH56"/>
      <c r="AI56"/>
      <c r="AJ56"/>
      <c r="AK56"/>
      <c r="AL56"/>
    </row>
    <row r="57" spans="2:38" ht="15" customHeight="1" x14ac:dyDescent="0.15">
      <c r="B57"/>
      <c r="C57"/>
      <c r="D57"/>
      <c r="E57"/>
      <c r="F57"/>
      <c r="G57"/>
      <c r="H57"/>
      <c r="I57"/>
      <c r="J57"/>
      <c r="K57"/>
      <c r="L57"/>
      <c r="M57"/>
      <c r="N57"/>
      <c r="O57"/>
      <c r="P57"/>
      <c r="Q57"/>
      <c r="R57"/>
      <c r="S57"/>
      <c r="T57"/>
      <c r="U57"/>
      <c r="V57"/>
      <c r="W57"/>
      <c r="X57"/>
      <c r="Y57"/>
      <c r="Z57"/>
      <c r="AA57"/>
      <c r="AB57"/>
      <c r="AC57"/>
      <c r="AD57"/>
      <c r="AE57"/>
      <c r="AF57"/>
      <c r="AG57"/>
      <c r="AH57"/>
      <c r="AI57"/>
      <c r="AJ57"/>
      <c r="AK57"/>
      <c r="AL57"/>
    </row>
    <row r="58" spans="2:38" ht="15" customHeight="1" x14ac:dyDescent="0.15">
      <c r="B58"/>
      <c r="C58"/>
      <c r="D58"/>
      <c r="E58"/>
      <c r="F58"/>
      <c r="G58"/>
      <c r="H58"/>
      <c r="I58"/>
      <c r="J58"/>
      <c r="K58"/>
      <c r="L58"/>
      <c r="M58"/>
      <c r="N58"/>
      <c r="O58"/>
      <c r="P58"/>
      <c r="Q58"/>
      <c r="R58"/>
      <c r="S58"/>
      <c r="T58"/>
      <c r="U58"/>
      <c r="V58"/>
      <c r="W58"/>
      <c r="X58"/>
      <c r="Y58"/>
      <c r="Z58"/>
      <c r="AA58"/>
      <c r="AB58"/>
      <c r="AC58"/>
      <c r="AD58"/>
      <c r="AE58"/>
      <c r="AF58"/>
      <c r="AG58"/>
      <c r="AH58"/>
      <c r="AI58"/>
      <c r="AJ58"/>
      <c r="AK58"/>
      <c r="AL58"/>
    </row>
    <row r="59" spans="2:38" ht="15" customHeight="1" x14ac:dyDescent="0.15">
      <c r="B59"/>
      <c r="C59"/>
      <c r="D59"/>
      <c r="E59"/>
      <c r="F59"/>
      <c r="G59"/>
      <c r="H59"/>
      <c r="I59"/>
      <c r="J59"/>
      <c r="K59"/>
      <c r="L59"/>
      <c r="M59"/>
      <c r="N59"/>
      <c r="O59"/>
      <c r="P59"/>
      <c r="Q59"/>
      <c r="R59"/>
      <c r="S59"/>
      <c r="T59"/>
      <c r="U59"/>
      <c r="V59"/>
      <c r="W59"/>
      <c r="X59"/>
      <c r="Y59"/>
      <c r="Z59"/>
      <c r="AA59"/>
      <c r="AB59"/>
      <c r="AC59"/>
      <c r="AD59"/>
      <c r="AE59"/>
      <c r="AF59"/>
      <c r="AG59"/>
      <c r="AH59"/>
      <c r="AI59"/>
      <c r="AJ59"/>
      <c r="AK59"/>
      <c r="AL59"/>
    </row>
    <row r="60" spans="2:38" ht="15" customHeight="1" x14ac:dyDescent="0.15">
      <c r="B60"/>
      <c r="C60"/>
      <c r="D60"/>
      <c r="E60"/>
      <c r="F60"/>
      <c r="G60"/>
      <c r="H60"/>
      <c r="I60"/>
      <c r="J60"/>
      <c r="K60"/>
      <c r="L60"/>
      <c r="M60"/>
      <c r="N60"/>
      <c r="O60"/>
      <c r="P60"/>
      <c r="Q60"/>
      <c r="R60"/>
      <c r="S60"/>
      <c r="T60"/>
      <c r="U60"/>
      <c r="V60"/>
      <c r="W60"/>
      <c r="X60"/>
      <c r="Y60"/>
      <c r="Z60"/>
      <c r="AA60"/>
      <c r="AB60"/>
      <c r="AC60"/>
      <c r="AD60"/>
      <c r="AE60"/>
      <c r="AF60"/>
      <c r="AG60"/>
      <c r="AH60"/>
      <c r="AI60"/>
      <c r="AJ60"/>
      <c r="AK60"/>
      <c r="AL60"/>
    </row>
    <row r="61" spans="2:38" ht="15" customHeight="1" x14ac:dyDescent="0.15">
      <c r="B61"/>
      <c r="C61"/>
      <c r="D61"/>
      <c r="E61"/>
      <c r="F61"/>
      <c r="G61"/>
      <c r="H61"/>
      <c r="I61"/>
      <c r="J61"/>
      <c r="K61"/>
      <c r="L61"/>
      <c r="M61"/>
      <c r="N61"/>
      <c r="O61"/>
      <c r="P61"/>
      <c r="Q61"/>
      <c r="R61"/>
      <c r="S61"/>
      <c r="T61"/>
      <c r="U61"/>
      <c r="V61"/>
      <c r="W61"/>
      <c r="X61"/>
      <c r="Y61"/>
      <c r="Z61"/>
      <c r="AA61"/>
      <c r="AB61"/>
      <c r="AC61"/>
      <c r="AD61"/>
      <c r="AE61"/>
      <c r="AF61"/>
      <c r="AG61"/>
      <c r="AH61"/>
      <c r="AI61"/>
      <c r="AJ61"/>
      <c r="AK61"/>
      <c r="AL61"/>
    </row>
    <row r="62" spans="2:38" ht="15" customHeight="1" x14ac:dyDescent="0.15">
      <c r="B62"/>
      <c r="C62"/>
      <c r="D62"/>
      <c r="E62"/>
      <c r="F62"/>
      <c r="G62"/>
      <c r="H62"/>
      <c r="I62"/>
      <c r="J62"/>
      <c r="K62"/>
      <c r="L62"/>
      <c r="M62"/>
      <c r="N62"/>
      <c r="O62"/>
      <c r="P62"/>
      <c r="Q62"/>
      <c r="R62"/>
      <c r="S62"/>
      <c r="T62"/>
      <c r="U62"/>
      <c r="V62"/>
      <c r="W62"/>
      <c r="X62"/>
      <c r="Y62"/>
      <c r="Z62"/>
      <c r="AA62"/>
      <c r="AB62"/>
      <c r="AC62"/>
      <c r="AD62"/>
      <c r="AE62"/>
      <c r="AF62"/>
      <c r="AG62"/>
      <c r="AH62"/>
      <c r="AI62"/>
      <c r="AJ62"/>
      <c r="AK62"/>
      <c r="AL62"/>
    </row>
    <row r="63" spans="2:38" ht="15" customHeight="1" x14ac:dyDescent="0.15">
      <c r="B63"/>
      <c r="C63"/>
      <c r="D63"/>
      <c r="E63"/>
      <c r="F63"/>
      <c r="G63"/>
      <c r="H63"/>
      <c r="I63"/>
      <c r="J63"/>
      <c r="K63"/>
      <c r="L63"/>
      <c r="M63"/>
      <c r="N63"/>
      <c r="O63"/>
      <c r="P63"/>
      <c r="Q63"/>
      <c r="R63"/>
      <c r="S63"/>
      <c r="T63"/>
      <c r="U63"/>
      <c r="V63"/>
      <c r="W63"/>
      <c r="X63"/>
      <c r="Y63"/>
      <c r="Z63"/>
      <c r="AA63"/>
      <c r="AB63"/>
      <c r="AC63"/>
      <c r="AD63"/>
      <c r="AE63"/>
      <c r="AF63"/>
      <c r="AG63"/>
      <c r="AH63"/>
      <c r="AI63"/>
      <c r="AJ63"/>
      <c r="AK63"/>
      <c r="AL63"/>
    </row>
    <row r="64" spans="2:38" ht="15" customHeight="1" x14ac:dyDescent="0.15">
      <c r="B64"/>
      <c r="C64"/>
      <c r="D64"/>
      <c r="E64"/>
      <c r="F64"/>
      <c r="G64"/>
      <c r="H64"/>
      <c r="I64"/>
      <c r="J64"/>
      <c r="K64"/>
      <c r="L64"/>
      <c r="M64"/>
      <c r="N64"/>
      <c r="O64"/>
      <c r="P64"/>
      <c r="Q64"/>
      <c r="R64"/>
      <c r="S64"/>
      <c r="T64"/>
      <c r="U64"/>
      <c r="V64"/>
      <c r="W64"/>
      <c r="X64"/>
      <c r="Y64"/>
      <c r="Z64"/>
      <c r="AA64"/>
      <c r="AB64"/>
      <c r="AC64"/>
      <c r="AD64"/>
      <c r="AE64"/>
      <c r="AF64"/>
      <c r="AG64"/>
      <c r="AH64"/>
      <c r="AI64"/>
      <c r="AJ64"/>
      <c r="AK64"/>
      <c r="AL64"/>
    </row>
    <row r="65" spans="2:38" ht="15" customHeight="1" x14ac:dyDescent="0.15">
      <c r="B65"/>
      <c r="C65"/>
      <c r="D65"/>
      <c r="E65"/>
      <c r="F65"/>
      <c r="G65"/>
      <c r="H65"/>
      <c r="I65"/>
      <c r="J65"/>
      <c r="K65"/>
      <c r="L65"/>
      <c r="M65"/>
      <c r="N65"/>
      <c r="O65"/>
      <c r="P65"/>
      <c r="Q65"/>
      <c r="R65"/>
      <c r="S65"/>
      <c r="T65"/>
      <c r="U65"/>
      <c r="V65"/>
      <c r="W65"/>
      <c r="X65"/>
      <c r="Y65"/>
      <c r="Z65"/>
      <c r="AA65"/>
      <c r="AB65"/>
      <c r="AC65"/>
      <c r="AD65"/>
      <c r="AE65"/>
      <c r="AF65"/>
      <c r="AG65"/>
      <c r="AH65"/>
      <c r="AI65"/>
      <c r="AJ65"/>
      <c r="AK65"/>
      <c r="AL65"/>
    </row>
    <row r="66" spans="2:38" ht="15" customHeight="1" x14ac:dyDescent="0.15">
      <c r="B66"/>
      <c r="C66"/>
      <c r="D66"/>
      <c r="E66"/>
      <c r="F66"/>
      <c r="G66"/>
      <c r="H66"/>
      <c r="I66"/>
      <c r="J66"/>
      <c r="K66"/>
      <c r="L66"/>
      <c r="M66"/>
      <c r="N66"/>
      <c r="O66"/>
      <c r="P66"/>
      <c r="Q66"/>
      <c r="R66"/>
      <c r="S66"/>
      <c r="T66"/>
      <c r="U66"/>
      <c r="V66"/>
      <c r="W66"/>
      <c r="X66"/>
      <c r="Y66"/>
      <c r="Z66"/>
      <c r="AA66"/>
      <c r="AB66"/>
      <c r="AC66"/>
      <c r="AD66"/>
      <c r="AE66"/>
      <c r="AF66"/>
      <c r="AG66"/>
      <c r="AH66"/>
      <c r="AI66"/>
      <c r="AJ66"/>
      <c r="AK66"/>
      <c r="AL66"/>
    </row>
    <row r="67" spans="2:38" ht="15" customHeight="1" x14ac:dyDescent="0.15">
      <c r="B67"/>
      <c r="C67"/>
      <c r="D67"/>
      <c r="E67"/>
      <c r="F67"/>
      <c r="G67"/>
      <c r="H67"/>
      <c r="I67"/>
      <c r="J67"/>
      <c r="K67"/>
      <c r="L67"/>
      <c r="M67"/>
      <c r="N67"/>
      <c r="O67"/>
      <c r="P67"/>
      <c r="Q67"/>
      <c r="R67"/>
      <c r="S67"/>
      <c r="T67"/>
      <c r="U67"/>
      <c r="V67"/>
      <c r="W67"/>
      <c r="X67"/>
      <c r="Y67"/>
      <c r="Z67"/>
      <c r="AA67"/>
      <c r="AB67"/>
      <c r="AC67"/>
      <c r="AD67"/>
      <c r="AE67"/>
      <c r="AF67"/>
      <c r="AG67"/>
      <c r="AH67"/>
      <c r="AI67"/>
      <c r="AJ67"/>
      <c r="AK67"/>
      <c r="AL67"/>
    </row>
    <row r="68" spans="2:38" ht="15" customHeight="1" x14ac:dyDescent="0.15">
      <c r="B68"/>
      <c r="C68"/>
      <c r="D68"/>
      <c r="E68"/>
      <c r="F68"/>
      <c r="G68"/>
      <c r="H68"/>
      <c r="I68"/>
      <c r="J68"/>
      <c r="K68"/>
      <c r="L68"/>
      <c r="M68"/>
      <c r="N68"/>
      <c r="O68"/>
      <c r="P68"/>
      <c r="Q68"/>
      <c r="R68"/>
      <c r="S68"/>
      <c r="T68"/>
      <c r="U68"/>
      <c r="V68"/>
      <c r="W68"/>
      <c r="X68"/>
      <c r="Y68"/>
      <c r="Z68"/>
      <c r="AA68"/>
      <c r="AB68"/>
      <c r="AC68"/>
      <c r="AD68"/>
      <c r="AE68"/>
      <c r="AF68"/>
      <c r="AG68"/>
      <c r="AH68"/>
      <c r="AI68"/>
      <c r="AJ68"/>
      <c r="AK68"/>
      <c r="AL68"/>
    </row>
    <row r="69" spans="2:38" ht="15" customHeight="1" x14ac:dyDescent="0.15">
      <c r="B69"/>
      <c r="C69"/>
      <c r="D69"/>
      <c r="E69"/>
      <c r="F69"/>
      <c r="G69"/>
      <c r="H69"/>
      <c r="I69"/>
      <c r="J69"/>
      <c r="K69"/>
      <c r="L69"/>
      <c r="M69"/>
      <c r="N69"/>
      <c r="O69"/>
      <c r="P69"/>
      <c r="Q69"/>
      <c r="R69"/>
      <c r="S69"/>
      <c r="T69"/>
      <c r="U69"/>
      <c r="V69"/>
      <c r="W69"/>
      <c r="X69"/>
      <c r="Y69"/>
      <c r="Z69"/>
      <c r="AA69"/>
      <c r="AB69"/>
      <c r="AC69"/>
      <c r="AD69"/>
      <c r="AE69"/>
      <c r="AF69"/>
      <c r="AG69"/>
      <c r="AH69"/>
      <c r="AI69"/>
      <c r="AJ69"/>
      <c r="AK69"/>
      <c r="AL69"/>
    </row>
    <row r="70" spans="2:38" ht="15" customHeight="1" x14ac:dyDescent="0.15">
      <c r="B70"/>
      <c r="C70"/>
      <c r="D70"/>
      <c r="E70"/>
      <c r="F70"/>
      <c r="G70"/>
      <c r="H70"/>
      <c r="I70"/>
      <c r="J70"/>
      <c r="K70"/>
      <c r="L70"/>
      <c r="M70"/>
      <c r="N70"/>
      <c r="O70"/>
      <c r="P70"/>
      <c r="Q70"/>
      <c r="R70"/>
      <c r="S70"/>
      <c r="T70"/>
      <c r="U70"/>
      <c r="V70"/>
      <c r="W70"/>
      <c r="X70"/>
      <c r="Y70"/>
      <c r="Z70"/>
      <c r="AA70"/>
      <c r="AB70"/>
      <c r="AC70"/>
      <c r="AD70"/>
      <c r="AE70"/>
      <c r="AF70"/>
      <c r="AG70"/>
      <c r="AH70"/>
      <c r="AI70"/>
      <c r="AJ70"/>
      <c r="AK70"/>
      <c r="AL70"/>
    </row>
    <row r="71" spans="2:38" ht="15" customHeight="1" x14ac:dyDescent="0.15">
      <c r="B71"/>
      <c r="C71"/>
      <c r="D71"/>
      <c r="E71"/>
      <c r="F71"/>
      <c r="G71"/>
      <c r="H71"/>
      <c r="I71"/>
      <c r="J71"/>
      <c r="K71"/>
      <c r="L71"/>
      <c r="M71"/>
      <c r="N71"/>
      <c r="O71"/>
      <c r="P71"/>
      <c r="Q71"/>
      <c r="R71"/>
      <c r="S71"/>
      <c r="T71"/>
      <c r="U71"/>
      <c r="V71"/>
      <c r="W71"/>
      <c r="X71"/>
      <c r="Y71"/>
      <c r="Z71"/>
      <c r="AA71"/>
      <c r="AB71"/>
      <c r="AC71"/>
      <c r="AD71"/>
      <c r="AE71"/>
      <c r="AF71"/>
      <c r="AG71"/>
      <c r="AH71"/>
      <c r="AI71"/>
      <c r="AJ71"/>
      <c r="AK71"/>
      <c r="AL71"/>
    </row>
    <row r="72" spans="2:38" ht="15" customHeight="1" x14ac:dyDescent="0.15">
      <c r="B72"/>
      <c r="C72"/>
      <c r="D72"/>
      <c r="E72"/>
      <c r="F72"/>
      <c r="G72"/>
      <c r="H72"/>
      <c r="I72"/>
      <c r="J72"/>
      <c r="K72"/>
      <c r="L72"/>
      <c r="M72"/>
      <c r="N72"/>
      <c r="O72"/>
      <c r="P72"/>
      <c r="Q72"/>
      <c r="R72"/>
      <c r="S72"/>
      <c r="T72"/>
      <c r="U72"/>
      <c r="V72"/>
      <c r="W72"/>
      <c r="X72"/>
      <c r="Y72"/>
      <c r="Z72"/>
      <c r="AA72"/>
      <c r="AB72"/>
      <c r="AC72"/>
      <c r="AD72"/>
      <c r="AE72"/>
      <c r="AF72"/>
      <c r="AG72"/>
      <c r="AH72"/>
      <c r="AI72"/>
      <c r="AJ72"/>
      <c r="AK72"/>
      <c r="AL72"/>
    </row>
    <row r="73" spans="2:38" ht="15" customHeight="1" x14ac:dyDescent="0.15">
      <c r="B73"/>
      <c r="C73"/>
      <c r="D73"/>
      <c r="E73"/>
      <c r="F73"/>
      <c r="G73"/>
      <c r="H73"/>
      <c r="I73"/>
      <c r="J73"/>
      <c r="K73"/>
      <c r="L73"/>
      <c r="M73"/>
      <c r="N73"/>
      <c r="O73"/>
      <c r="P73"/>
      <c r="Q73"/>
      <c r="R73"/>
      <c r="S73"/>
      <c r="T73"/>
      <c r="U73"/>
      <c r="V73"/>
      <c r="W73"/>
      <c r="X73"/>
      <c r="Y73"/>
      <c r="Z73"/>
      <c r="AA73"/>
      <c r="AB73"/>
      <c r="AC73"/>
      <c r="AD73"/>
      <c r="AE73"/>
      <c r="AF73"/>
      <c r="AG73"/>
      <c r="AH73"/>
      <c r="AI73"/>
      <c r="AJ73"/>
      <c r="AK73"/>
      <c r="AL73"/>
    </row>
    <row r="74" spans="2:38" ht="15" customHeight="1" x14ac:dyDescent="0.15">
      <c r="B74"/>
      <c r="C74"/>
      <c r="D74"/>
      <c r="E74"/>
      <c r="F74"/>
      <c r="G74"/>
      <c r="H74"/>
      <c r="I74"/>
      <c r="J74"/>
      <c r="K74"/>
      <c r="L74"/>
      <c r="M74"/>
      <c r="N74"/>
      <c r="O74"/>
      <c r="P74"/>
      <c r="Q74"/>
      <c r="R74"/>
      <c r="S74"/>
      <c r="T74"/>
      <c r="U74"/>
      <c r="V74"/>
      <c r="W74"/>
      <c r="X74"/>
      <c r="Y74"/>
      <c r="Z74"/>
      <c r="AA74"/>
      <c r="AB74"/>
      <c r="AC74"/>
      <c r="AD74"/>
      <c r="AE74"/>
      <c r="AF74"/>
      <c r="AG74"/>
      <c r="AH74"/>
      <c r="AI74"/>
      <c r="AJ74"/>
      <c r="AK74"/>
      <c r="AL74"/>
    </row>
    <row r="75" spans="2:38" ht="15" customHeight="1" x14ac:dyDescent="0.15">
      <c r="B75"/>
      <c r="C75"/>
      <c r="D75"/>
      <c r="E75"/>
      <c r="F75"/>
      <c r="G75"/>
      <c r="H75"/>
      <c r="I75"/>
      <c r="J75"/>
      <c r="K75"/>
      <c r="L75"/>
      <c r="M75"/>
      <c r="N75"/>
      <c r="O75"/>
      <c r="P75"/>
      <c r="Q75"/>
      <c r="R75"/>
      <c r="S75"/>
      <c r="T75"/>
      <c r="U75"/>
      <c r="V75"/>
      <c r="W75"/>
      <c r="X75"/>
      <c r="Y75"/>
      <c r="Z75"/>
      <c r="AA75"/>
      <c r="AB75"/>
      <c r="AC75"/>
      <c r="AD75"/>
      <c r="AE75"/>
      <c r="AF75"/>
      <c r="AG75"/>
      <c r="AH75"/>
      <c r="AI75"/>
      <c r="AJ75"/>
      <c r="AK75"/>
      <c r="AL75"/>
    </row>
    <row r="76" spans="2:38" ht="15" customHeight="1" x14ac:dyDescent="0.15">
      <c r="B76"/>
      <c r="C76"/>
      <c r="D76"/>
      <c r="E76"/>
      <c r="F76"/>
      <c r="G76"/>
      <c r="H76"/>
      <c r="I76"/>
      <c r="J76"/>
      <c r="K76"/>
      <c r="L76"/>
      <c r="M76"/>
      <c r="N76"/>
      <c r="O76"/>
      <c r="P76"/>
      <c r="Q76"/>
      <c r="R76"/>
      <c r="S76"/>
      <c r="T76"/>
      <c r="U76"/>
      <c r="V76"/>
      <c r="W76"/>
      <c r="X76"/>
      <c r="Y76"/>
      <c r="Z76"/>
      <c r="AA76"/>
      <c r="AB76"/>
      <c r="AC76"/>
      <c r="AD76"/>
      <c r="AE76"/>
      <c r="AF76"/>
      <c r="AG76"/>
      <c r="AH76"/>
      <c r="AI76"/>
      <c r="AJ76"/>
      <c r="AK76"/>
      <c r="AL76"/>
    </row>
    <row r="77" spans="2:38" ht="15" customHeight="1" x14ac:dyDescent="0.15">
      <c r="B77"/>
      <c r="C77"/>
      <c r="D77"/>
      <c r="E77"/>
      <c r="F77"/>
      <c r="G77"/>
      <c r="H77"/>
      <c r="I77"/>
      <c r="J77"/>
      <c r="K77"/>
      <c r="L77"/>
      <c r="M77"/>
      <c r="N77"/>
      <c r="O77"/>
      <c r="P77"/>
      <c r="Q77"/>
      <c r="R77"/>
      <c r="S77"/>
      <c r="T77"/>
      <c r="U77"/>
      <c r="V77"/>
      <c r="W77"/>
      <c r="X77"/>
      <c r="Y77"/>
      <c r="Z77"/>
      <c r="AA77"/>
      <c r="AB77"/>
      <c r="AC77"/>
      <c r="AD77"/>
      <c r="AE77"/>
      <c r="AF77"/>
      <c r="AG77"/>
      <c r="AH77"/>
      <c r="AI77"/>
      <c r="AJ77"/>
      <c r="AK77"/>
      <c r="AL77"/>
    </row>
    <row r="78" spans="2:38" ht="15" customHeight="1" x14ac:dyDescent="0.15">
      <c r="B78"/>
      <c r="C78"/>
      <c r="D78"/>
      <c r="E78"/>
      <c r="F78"/>
      <c r="G78"/>
      <c r="H78"/>
      <c r="I78"/>
      <c r="J78"/>
      <c r="K78"/>
      <c r="L78"/>
      <c r="M78"/>
      <c r="N78"/>
      <c r="O78"/>
      <c r="P78"/>
      <c r="Q78"/>
      <c r="R78"/>
      <c r="S78"/>
      <c r="T78"/>
      <c r="U78"/>
      <c r="V78"/>
      <c r="W78"/>
      <c r="X78"/>
      <c r="Y78"/>
      <c r="Z78"/>
      <c r="AA78"/>
      <c r="AB78"/>
      <c r="AC78"/>
      <c r="AD78"/>
      <c r="AE78"/>
      <c r="AF78"/>
      <c r="AG78"/>
      <c r="AH78"/>
      <c r="AI78"/>
      <c r="AJ78"/>
      <c r="AK78"/>
      <c r="AL78"/>
    </row>
    <row r="79" spans="2:38" ht="15" customHeight="1" x14ac:dyDescent="0.15">
      <c r="B79"/>
      <c r="C79"/>
      <c r="D79"/>
      <c r="E79"/>
      <c r="F79"/>
      <c r="G79"/>
      <c r="H79"/>
      <c r="I79"/>
      <c r="J79"/>
      <c r="K79"/>
      <c r="L79"/>
      <c r="M79"/>
      <c r="N79"/>
      <c r="O79"/>
      <c r="P79"/>
      <c r="Q79"/>
      <c r="R79"/>
      <c r="S79"/>
      <c r="T79"/>
      <c r="U79"/>
      <c r="V79"/>
      <c r="W79"/>
      <c r="X79"/>
      <c r="Y79"/>
      <c r="Z79"/>
      <c r="AA79"/>
      <c r="AB79"/>
      <c r="AC79"/>
      <c r="AD79"/>
      <c r="AE79"/>
      <c r="AF79"/>
      <c r="AG79"/>
      <c r="AH79"/>
      <c r="AI79"/>
      <c r="AJ79"/>
      <c r="AK79"/>
      <c r="AL79"/>
    </row>
    <row r="80" spans="2:38" ht="15" customHeight="1" x14ac:dyDescent="0.15">
      <c r="B80"/>
      <c r="C80"/>
      <c r="D80"/>
      <c r="E80"/>
      <c r="F80"/>
      <c r="G80"/>
      <c r="H80"/>
      <c r="I80"/>
      <c r="J80"/>
      <c r="K80"/>
      <c r="L80"/>
      <c r="M80"/>
      <c r="N80"/>
      <c r="O80"/>
      <c r="P80"/>
      <c r="Q80"/>
      <c r="R80"/>
      <c r="S80"/>
      <c r="T80"/>
      <c r="U80"/>
      <c r="V80"/>
      <c r="W80"/>
      <c r="X80"/>
      <c r="Y80"/>
      <c r="Z80"/>
      <c r="AA80"/>
      <c r="AB80"/>
      <c r="AC80"/>
      <c r="AD80"/>
      <c r="AE80"/>
      <c r="AF80"/>
      <c r="AG80"/>
      <c r="AH80"/>
      <c r="AI80"/>
      <c r="AJ80"/>
      <c r="AK80"/>
      <c r="AL80"/>
    </row>
    <row r="81" spans="2:38" ht="15" customHeight="1" x14ac:dyDescent="0.15">
      <c r="B81"/>
      <c r="C81"/>
      <c r="D81"/>
      <c r="E81"/>
      <c r="F81"/>
      <c r="G81"/>
      <c r="H81"/>
      <c r="I81"/>
      <c r="J81"/>
      <c r="K81"/>
      <c r="L81"/>
      <c r="M81"/>
      <c r="N81"/>
      <c r="O81"/>
      <c r="P81"/>
      <c r="Q81"/>
      <c r="R81"/>
      <c r="S81"/>
      <c r="T81"/>
      <c r="U81"/>
      <c r="V81"/>
      <c r="W81"/>
      <c r="X81"/>
      <c r="Y81"/>
      <c r="Z81"/>
      <c r="AA81"/>
      <c r="AB81"/>
      <c r="AC81"/>
      <c r="AD81"/>
      <c r="AE81"/>
      <c r="AF81"/>
      <c r="AG81"/>
      <c r="AH81"/>
      <c r="AI81"/>
      <c r="AJ81"/>
      <c r="AK81"/>
      <c r="AL81"/>
    </row>
    <row r="82" spans="2:38" ht="15" customHeight="1" x14ac:dyDescent="0.15">
      <c r="B82"/>
      <c r="C82"/>
      <c r="D82"/>
      <c r="E82"/>
      <c r="F82"/>
      <c r="G82"/>
      <c r="H82"/>
      <c r="I82"/>
      <c r="J82"/>
      <c r="K82"/>
      <c r="L82"/>
      <c r="M82"/>
      <c r="N82"/>
      <c r="O82"/>
      <c r="P82"/>
      <c r="Q82"/>
      <c r="R82"/>
      <c r="S82"/>
      <c r="T82"/>
      <c r="U82"/>
      <c r="V82"/>
      <c r="W82"/>
      <c r="X82"/>
      <c r="Y82"/>
      <c r="Z82"/>
      <c r="AA82"/>
      <c r="AB82"/>
      <c r="AC82"/>
      <c r="AD82"/>
      <c r="AE82"/>
      <c r="AF82"/>
      <c r="AG82"/>
      <c r="AH82"/>
      <c r="AI82"/>
      <c r="AJ82"/>
      <c r="AK82"/>
      <c r="AL82"/>
    </row>
    <row r="83" spans="2:38" ht="15" customHeight="1" x14ac:dyDescent="0.15">
      <c r="B83"/>
      <c r="C83"/>
      <c r="D83"/>
      <c r="E83"/>
      <c r="F83"/>
      <c r="G83"/>
      <c r="H83"/>
      <c r="I83"/>
      <c r="J83"/>
      <c r="K83"/>
      <c r="L83"/>
      <c r="M83"/>
      <c r="N83"/>
      <c r="O83"/>
      <c r="P83"/>
      <c r="Q83"/>
      <c r="R83"/>
      <c r="S83"/>
      <c r="T83"/>
      <c r="U83"/>
      <c r="V83"/>
      <c r="W83"/>
      <c r="X83"/>
      <c r="Y83"/>
      <c r="Z83"/>
      <c r="AA83"/>
      <c r="AB83"/>
      <c r="AC83"/>
      <c r="AD83"/>
      <c r="AE83"/>
      <c r="AF83"/>
      <c r="AG83"/>
      <c r="AH83"/>
      <c r="AI83"/>
      <c r="AJ83"/>
      <c r="AK83"/>
      <c r="AL83"/>
    </row>
    <row r="84" spans="2:38" ht="15" customHeight="1" x14ac:dyDescent="0.15">
      <c r="B84"/>
      <c r="C84"/>
      <c r="D84"/>
      <c r="E84"/>
      <c r="F84"/>
      <c r="G84"/>
      <c r="H84"/>
      <c r="I84"/>
      <c r="J84"/>
      <c r="K84"/>
      <c r="L84"/>
      <c r="M84"/>
      <c r="N84"/>
      <c r="O84"/>
      <c r="P84"/>
      <c r="Q84"/>
      <c r="R84"/>
      <c r="S84"/>
      <c r="T84"/>
      <c r="U84"/>
      <c r="V84"/>
      <c r="W84"/>
      <c r="X84"/>
      <c r="Y84"/>
      <c r="Z84"/>
      <c r="AA84"/>
      <c r="AB84"/>
      <c r="AC84"/>
      <c r="AD84"/>
      <c r="AE84"/>
      <c r="AF84"/>
      <c r="AG84"/>
      <c r="AH84"/>
      <c r="AI84"/>
      <c r="AJ84"/>
      <c r="AK84"/>
      <c r="AL84"/>
    </row>
    <row r="85" spans="2:38" ht="15" customHeight="1" x14ac:dyDescent="0.15">
      <c r="B85"/>
      <c r="C85"/>
      <c r="D85"/>
      <c r="E85"/>
      <c r="F85"/>
      <c r="G85"/>
      <c r="H85"/>
      <c r="I85"/>
      <c r="J85"/>
      <c r="K85"/>
      <c r="L85"/>
      <c r="M85"/>
      <c r="N85"/>
      <c r="O85"/>
      <c r="P85"/>
      <c r="Q85"/>
      <c r="R85"/>
      <c r="S85"/>
      <c r="T85"/>
      <c r="U85"/>
      <c r="V85"/>
      <c r="W85"/>
      <c r="X85"/>
      <c r="Y85"/>
      <c r="Z85"/>
      <c r="AA85"/>
      <c r="AB85"/>
      <c r="AC85"/>
      <c r="AD85"/>
      <c r="AE85"/>
      <c r="AF85"/>
      <c r="AG85"/>
      <c r="AH85"/>
      <c r="AI85"/>
      <c r="AJ85"/>
      <c r="AK85"/>
      <c r="AL85"/>
    </row>
    <row r="86" spans="2:38" ht="15" customHeight="1" x14ac:dyDescent="0.15">
      <c r="B86"/>
      <c r="C86"/>
      <c r="D86"/>
      <c r="E86"/>
      <c r="F86"/>
      <c r="G86"/>
      <c r="H86"/>
      <c r="I86"/>
      <c r="J86"/>
      <c r="K86"/>
      <c r="L86"/>
      <c r="M86"/>
      <c r="N86"/>
      <c r="O86"/>
      <c r="P86"/>
      <c r="Q86"/>
      <c r="R86"/>
      <c r="S86"/>
      <c r="T86"/>
      <c r="U86"/>
      <c r="V86"/>
      <c r="W86"/>
      <c r="X86"/>
      <c r="Y86"/>
      <c r="Z86"/>
      <c r="AA86"/>
      <c r="AB86"/>
      <c r="AC86"/>
      <c r="AD86"/>
      <c r="AE86"/>
      <c r="AF86"/>
      <c r="AG86"/>
      <c r="AH86"/>
      <c r="AI86"/>
      <c r="AJ86"/>
      <c r="AK86"/>
      <c r="AL86"/>
    </row>
    <row r="87" spans="2:38" ht="15" customHeight="1" x14ac:dyDescent="0.15">
      <c r="B87"/>
      <c r="C87"/>
      <c r="D87"/>
      <c r="E87"/>
      <c r="F87"/>
      <c r="G87"/>
      <c r="H87"/>
      <c r="I87"/>
      <c r="J87"/>
      <c r="K87"/>
      <c r="L87"/>
      <c r="M87"/>
      <c r="N87"/>
      <c r="O87"/>
      <c r="P87"/>
      <c r="Q87"/>
      <c r="R87"/>
      <c r="S87"/>
      <c r="T87"/>
      <c r="U87"/>
      <c r="V87"/>
      <c r="W87"/>
      <c r="X87"/>
      <c r="Y87"/>
      <c r="Z87"/>
      <c r="AA87"/>
      <c r="AB87"/>
      <c r="AC87"/>
      <c r="AD87"/>
      <c r="AE87"/>
      <c r="AF87"/>
      <c r="AG87"/>
      <c r="AH87"/>
      <c r="AI87"/>
      <c r="AJ87"/>
      <c r="AK87"/>
      <c r="AL87"/>
    </row>
    <row r="88" spans="2:38" ht="15" customHeight="1" x14ac:dyDescent="0.15">
      <c r="B88"/>
      <c r="C88"/>
      <c r="D88"/>
      <c r="E88"/>
      <c r="F88"/>
      <c r="G88"/>
      <c r="H88"/>
      <c r="I88"/>
      <c r="J88"/>
      <c r="K88"/>
      <c r="L88"/>
      <c r="M88"/>
      <c r="N88"/>
      <c r="O88"/>
      <c r="P88"/>
      <c r="Q88"/>
      <c r="R88"/>
      <c r="S88"/>
      <c r="T88"/>
      <c r="U88"/>
      <c r="V88"/>
      <c r="W88"/>
      <c r="X88"/>
      <c r="Y88"/>
      <c r="Z88"/>
      <c r="AA88"/>
      <c r="AB88"/>
      <c r="AC88"/>
      <c r="AD88"/>
      <c r="AE88"/>
      <c r="AF88"/>
      <c r="AG88"/>
      <c r="AH88"/>
      <c r="AI88"/>
      <c r="AJ88"/>
      <c r="AK88"/>
      <c r="AL88"/>
    </row>
    <row r="89" spans="2:38" ht="15" customHeight="1" x14ac:dyDescent="0.15">
      <c r="B89"/>
      <c r="C89"/>
      <c r="D89"/>
      <c r="E89"/>
      <c r="F89"/>
      <c r="G89"/>
      <c r="H89"/>
      <c r="I89"/>
      <c r="J89"/>
      <c r="K89"/>
      <c r="L89"/>
      <c r="M89"/>
      <c r="N89"/>
      <c r="O89"/>
      <c r="P89"/>
      <c r="Q89"/>
      <c r="R89"/>
      <c r="S89"/>
      <c r="T89"/>
      <c r="U89"/>
      <c r="V89"/>
      <c r="W89"/>
      <c r="X89"/>
      <c r="Y89"/>
      <c r="Z89"/>
      <c r="AA89"/>
      <c r="AB89"/>
      <c r="AC89"/>
      <c r="AD89"/>
      <c r="AE89"/>
      <c r="AF89"/>
      <c r="AG89"/>
      <c r="AH89"/>
      <c r="AI89"/>
      <c r="AJ89"/>
      <c r="AK89"/>
      <c r="AL89"/>
    </row>
    <row r="90" spans="2:38" ht="15" customHeight="1" x14ac:dyDescent="0.15">
      <c r="B90"/>
      <c r="C90"/>
      <c r="D90"/>
      <c r="E90"/>
      <c r="F90"/>
      <c r="G90"/>
      <c r="H90"/>
      <c r="I90"/>
      <c r="J90"/>
      <c r="K90"/>
      <c r="L90"/>
      <c r="M90"/>
      <c r="N90"/>
      <c r="O90"/>
      <c r="P90"/>
      <c r="Q90"/>
      <c r="R90"/>
      <c r="S90"/>
      <c r="T90"/>
      <c r="U90"/>
      <c r="V90"/>
      <c r="W90"/>
      <c r="X90"/>
      <c r="Y90"/>
      <c r="Z90"/>
      <c r="AA90"/>
      <c r="AB90"/>
      <c r="AC90"/>
      <c r="AD90"/>
      <c r="AE90"/>
      <c r="AF90"/>
      <c r="AG90"/>
      <c r="AH90"/>
      <c r="AI90"/>
      <c r="AJ90"/>
      <c r="AK90"/>
      <c r="AL90"/>
    </row>
    <row r="91" spans="2:38" ht="15" customHeight="1" x14ac:dyDescent="0.15">
      <c r="B91"/>
      <c r="C91"/>
      <c r="D91"/>
      <c r="E91"/>
      <c r="F91"/>
      <c r="G91"/>
      <c r="H91"/>
      <c r="I91"/>
      <c r="J91"/>
      <c r="K91"/>
      <c r="L91"/>
      <c r="M91"/>
      <c r="N91"/>
      <c r="O91"/>
      <c r="P91"/>
      <c r="Q91"/>
      <c r="R91"/>
      <c r="S91"/>
      <c r="T91"/>
      <c r="U91"/>
      <c r="V91"/>
      <c r="W91"/>
      <c r="X91"/>
      <c r="Y91"/>
      <c r="Z91"/>
      <c r="AA91"/>
      <c r="AB91"/>
      <c r="AC91"/>
      <c r="AD91"/>
      <c r="AE91"/>
      <c r="AF91"/>
      <c r="AG91"/>
      <c r="AH91"/>
      <c r="AI91"/>
      <c r="AJ91"/>
      <c r="AK91"/>
      <c r="AL91"/>
    </row>
    <row r="92" spans="2:38" ht="15" customHeight="1" x14ac:dyDescent="0.15">
      <c r="B92"/>
      <c r="C92"/>
      <c r="D92"/>
      <c r="E92"/>
      <c r="F92"/>
      <c r="G92"/>
      <c r="H92"/>
      <c r="I92"/>
      <c r="J92"/>
      <c r="K92"/>
      <c r="L92"/>
      <c r="M92"/>
      <c r="N92"/>
      <c r="O92"/>
      <c r="P92"/>
      <c r="Q92"/>
      <c r="R92"/>
      <c r="S92"/>
      <c r="T92"/>
      <c r="U92"/>
      <c r="V92"/>
      <c r="W92"/>
      <c r="X92"/>
      <c r="Y92"/>
      <c r="Z92"/>
      <c r="AA92"/>
      <c r="AB92"/>
      <c r="AC92"/>
      <c r="AD92"/>
      <c r="AE92"/>
      <c r="AF92"/>
      <c r="AG92"/>
      <c r="AH92"/>
      <c r="AI92"/>
      <c r="AJ92"/>
      <c r="AK92"/>
      <c r="AL92"/>
    </row>
    <row r="93" spans="2:38" ht="15" customHeight="1" x14ac:dyDescent="0.15">
      <c r="B93"/>
      <c r="C93"/>
      <c r="D93"/>
      <c r="E93"/>
      <c r="F93"/>
      <c r="G93"/>
      <c r="H93"/>
      <c r="I93"/>
      <c r="J93"/>
      <c r="K93"/>
      <c r="L93"/>
      <c r="M93"/>
      <c r="N93"/>
      <c r="O93"/>
      <c r="P93"/>
      <c r="Q93"/>
      <c r="R93"/>
      <c r="S93"/>
      <c r="T93"/>
      <c r="U93"/>
      <c r="V93"/>
      <c r="W93"/>
      <c r="X93"/>
      <c r="Y93"/>
      <c r="Z93"/>
      <c r="AA93"/>
      <c r="AB93"/>
      <c r="AC93"/>
      <c r="AD93"/>
      <c r="AE93"/>
      <c r="AF93"/>
      <c r="AG93"/>
      <c r="AH93"/>
      <c r="AI93"/>
      <c r="AJ93"/>
      <c r="AK93"/>
      <c r="AL93"/>
    </row>
    <row r="94" spans="2:38" ht="15" customHeight="1" x14ac:dyDescent="0.15">
      <c r="B94"/>
      <c r="C94"/>
      <c r="D94"/>
      <c r="E94"/>
      <c r="F94"/>
      <c r="G94"/>
      <c r="H94"/>
      <c r="I94"/>
      <c r="J94"/>
      <c r="K94"/>
      <c r="L94"/>
      <c r="M94"/>
      <c r="N94"/>
      <c r="O94"/>
      <c r="P94"/>
      <c r="Q94"/>
      <c r="R94"/>
      <c r="S94"/>
      <c r="T94"/>
      <c r="U94"/>
      <c r="V94"/>
      <c r="W94"/>
      <c r="X94"/>
      <c r="Y94"/>
      <c r="Z94"/>
      <c r="AA94"/>
      <c r="AB94"/>
      <c r="AC94"/>
      <c r="AD94"/>
      <c r="AE94"/>
      <c r="AF94"/>
      <c r="AG94"/>
      <c r="AH94"/>
      <c r="AI94"/>
      <c r="AJ94"/>
      <c r="AK94"/>
      <c r="AL94"/>
    </row>
    <row r="95" spans="2:38" ht="15" customHeight="1" x14ac:dyDescent="0.15">
      <c r="B95"/>
      <c r="C95"/>
      <c r="D95"/>
      <c r="E95"/>
      <c r="F95"/>
      <c r="G95"/>
      <c r="H95"/>
      <c r="I95"/>
      <c r="J95"/>
      <c r="K95"/>
      <c r="L95"/>
      <c r="M95"/>
      <c r="N95"/>
      <c r="O95"/>
      <c r="P95"/>
      <c r="Q95"/>
      <c r="R95"/>
      <c r="S95"/>
      <c r="T95"/>
      <c r="U95"/>
      <c r="V95"/>
      <c r="W95"/>
      <c r="X95"/>
      <c r="Y95"/>
      <c r="Z95"/>
      <c r="AA95"/>
      <c r="AB95"/>
      <c r="AC95"/>
      <c r="AD95"/>
      <c r="AE95"/>
      <c r="AF95"/>
      <c r="AG95"/>
      <c r="AH95"/>
      <c r="AI95"/>
      <c r="AJ95"/>
      <c r="AK95"/>
      <c r="AL95"/>
    </row>
    <row r="96" spans="2:38" ht="15" customHeight="1" x14ac:dyDescent="0.15">
      <c r="B96"/>
      <c r="C96"/>
      <c r="D96"/>
      <c r="E96"/>
      <c r="F96"/>
      <c r="G96"/>
      <c r="H96"/>
      <c r="I96"/>
      <c r="J96"/>
      <c r="K96"/>
      <c r="L96"/>
      <c r="M96"/>
      <c r="N96"/>
      <c r="O96"/>
      <c r="P96"/>
      <c r="Q96"/>
      <c r="R96"/>
      <c r="S96"/>
      <c r="T96"/>
      <c r="U96"/>
      <c r="V96"/>
      <c r="W96"/>
      <c r="X96"/>
      <c r="Y96"/>
      <c r="Z96"/>
      <c r="AA96"/>
      <c r="AB96"/>
      <c r="AC96"/>
      <c r="AD96"/>
      <c r="AE96"/>
      <c r="AF96"/>
      <c r="AG96"/>
      <c r="AH96"/>
      <c r="AI96"/>
      <c r="AJ96"/>
      <c r="AK96"/>
      <c r="AL96"/>
    </row>
    <row r="97" spans="2:38" ht="15" customHeight="1" x14ac:dyDescent="0.15">
      <c r="B97"/>
      <c r="C97"/>
      <c r="D97"/>
      <c r="E97"/>
      <c r="F97"/>
      <c r="G97"/>
      <c r="H97"/>
      <c r="I97"/>
      <c r="J97"/>
      <c r="K97"/>
      <c r="L97"/>
      <c r="M97"/>
      <c r="N97"/>
      <c r="O97"/>
      <c r="P97"/>
      <c r="Q97"/>
      <c r="R97"/>
      <c r="S97"/>
      <c r="T97"/>
      <c r="U97"/>
      <c r="V97"/>
      <c r="W97"/>
      <c r="X97"/>
      <c r="Y97"/>
      <c r="Z97"/>
      <c r="AA97"/>
      <c r="AB97"/>
      <c r="AC97"/>
      <c r="AD97"/>
      <c r="AE97"/>
      <c r="AF97"/>
      <c r="AG97"/>
      <c r="AH97"/>
      <c r="AI97"/>
      <c r="AJ97"/>
      <c r="AK97"/>
      <c r="AL97"/>
    </row>
    <row r="98" spans="2:38" ht="15" customHeight="1" x14ac:dyDescent="0.15">
      <c r="B98"/>
      <c r="C98"/>
      <c r="D98"/>
      <c r="E98"/>
      <c r="F98"/>
      <c r="G98"/>
      <c r="H98"/>
      <c r="I98"/>
      <c r="J98"/>
      <c r="K98"/>
      <c r="L98"/>
      <c r="M98"/>
      <c r="N98"/>
      <c r="O98"/>
      <c r="P98"/>
      <c r="Q98"/>
      <c r="R98"/>
      <c r="S98"/>
      <c r="T98"/>
      <c r="U98"/>
      <c r="V98"/>
      <c r="W98"/>
      <c r="X98"/>
      <c r="Y98"/>
      <c r="Z98"/>
      <c r="AA98"/>
      <c r="AB98"/>
      <c r="AC98"/>
      <c r="AD98"/>
      <c r="AE98"/>
      <c r="AF98"/>
      <c r="AG98"/>
      <c r="AH98"/>
      <c r="AI98"/>
      <c r="AJ98"/>
      <c r="AK98"/>
      <c r="AL98"/>
    </row>
    <row r="99" spans="2:38" ht="15" customHeight="1" x14ac:dyDescent="0.15">
      <c r="B99"/>
      <c r="C99"/>
      <c r="D99"/>
      <c r="E99"/>
      <c r="F99"/>
      <c r="G99"/>
      <c r="H99"/>
      <c r="I99"/>
      <c r="J99"/>
      <c r="K99"/>
      <c r="L99"/>
      <c r="M99"/>
      <c r="N99"/>
      <c r="O99"/>
      <c r="P99"/>
      <c r="Q99"/>
      <c r="R99"/>
      <c r="S99"/>
      <c r="T99"/>
      <c r="U99"/>
      <c r="V99"/>
      <c r="W99"/>
      <c r="X99"/>
      <c r="Y99"/>
      <c r="Z99"/>
      <c r="AA99"/>
      <c r="AB99"/>
      <c r="AC99"/>
      <c r="AD99"/>
      <c r="AE99"/>
      <c r="AF99"/>
      <c r="AG99"/>
      <c r="AH99"/>
      <c r="AI99"/>
      <c r="AJ99"/>
      <c r="AK99"/>
      <c r="AL99"/>
    </row>
    <row r="100" spans="2:38" ht="15" customHeight="1" x14ac:dyDescent="0.15">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row>
    <row r="101" spans="2:38" ht="15" customHeight="1" x14ac:dyDescent="0.15">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row>
    <row r="102" spans="2:38" ht="15" customHeight="1" x14ac:dyDescent="0.15">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row>
    <row r="103" spans="2:38" ht="15" customHeight="1" x14ac:dyDescent="0.15">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row>
    <row r="104" spans="2:38" ht="15" customHeight="1" x14ac:dyDescent="0.15">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row>
    <row r="105" spans="2:38" ht="15" customHeight="1" x14ac:dyDescent="0.1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row>
    <row r="106" spans="2:38" ht="15" customHeight="1" x14ac:dyDescent="0.15">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row>
    <row r="107" spans="2:38" ht="15" customHeight="1" x14ac:dyDescent="0.15">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row>
    <row r="108" spans="2:38" ht="15" customHeight="1" x14ac:dyDescent="0.15">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row>
    <row r="109" spans="2:38" ht="15" customHeight="1" x14ac:dyDescent="0.15">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row>
    <row r="110" spans="2:38" ht="15" customHeight="1" x14ac:dyDescent="0.15">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row>
    <row r="111" spans="2:38" ht="15" customHeight="1" x14ac:dyDescent="0.15">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row>
    <row r="112" spans="2:38" ht="15" customHeight="1" x14ac:dyDescent="0.15">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row>
    <row r="113" spans="2:38" ht="15" customHeight="1" x14ac:dyDescent="0.15">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row>
    <row r="114" spans="2:38" ht="15" customHeight="1" x14ac:dyDescent="0.15">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row>
    <row r="115" spans="2:38" ht="15" customHeight="1" x14ac:dyDescent="0.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row>
    <row r="116" spans="2:38" ht="15" customHeight="1" x14ac:dyDescent="0.15">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row>
    <row r="117" spans="2:38" ht="15" customHeight="1" x14ac:dyDescent="0.15">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row>
    <row r="118" spans="2:38" ht="15" customHeight="1" x14ac:dyDescent="0.15">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row>
    <row r="119" spans="2:38" ht="15" customHeight="1" x14ac:dyDescent="0.15">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row>
    <row r="120" spans="2:38" ht="15" customHeight="1" x14ac:dyDescent="0.15">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row>
    <row r="121" spans="2:38" ht="15" customHeight="1" x14ac:dyDescent="0.15">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row>
    <row r="122" spans="2:38" ht="15" customHeight="1" x14ac:dyDescent="0.15">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row>
    <row r="123" spans="2:38" ht="15" customHeight="1" x14ac:dyDescent="0.15">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row>
    <row r="124" spans="2:38" ht="15" customHeight="1" x14ac:dyDescent="0.15">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row>
    <row r="125" spans="2:38" ht="15" customHeight="1" x14ac:dyDescent="0.1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row>
    <row r="126" spans="2:38" ht="15" customHeight="1" x14ac:dyDescent="0.15">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row>
    <row r="127" spans="2:38" ht="15" customHeight="1" x14ac:dyDescent="0.15">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row>
    <row r="128" spans="2:38" ht="15" customHeight="1" x14ac:dyDescent="0.15">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row>
    <row r="129" spans="2:38" ht="15" customHeight="1" x14ac:dyDescent="0.15">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row>
    <row r="130" spans="2:38" ht="15" customHeight="1" x14ac:dyDescent="0.15">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row>
    <row r="131" spans="2:38" ht="15" customHeight="1" x14ac:dyDescent="0.15">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row>
    <row r="132" spans="2:38" ht="15" customHeight="1" x14ac:dyDescent="0.15">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row>
    <row r="133" spans="2:38" ht="15" customHeight="1" x14ac:dyDescent="0.15">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row>
    <row r="134" spans="2:38" ht="15" customHeight="1" x14ac:dyDescent="0.15">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row>
    <row r="135" spans="2:38" ht="15" customHeight="1" x14ac:dyDescent="0.1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row>
    <row r="136" spans="2:38" ht="15" customHeight="1" x14ac:dyDescent="0.15">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row>
    <row r="137" spans="2:38" ht="15" customHeight="1" x14ac:dyDescent="0.15">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row>
    <row r="138" spans="2:38" ht="15" customHeight="1" x14ac:dyDescent="0.15">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row>
    <row r="139" spans="2:38" ht="15" customHeight="1" x14ac:dyDescent="0.15">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row>
    <row r="140" spans="2:38" ht="15" customHeight="1" x14ac:dyDescent="0.15">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row>
    <row r="141" spans="2:38" ht="15" customHeight="1" x14ac:dyDescent="0.15">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row>
    <row r="142" spans="2:38" ht="15" customHeight="1" x14ac:dyDescent="0.15">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row>
    <row r="143" spans="2:38" ht="15" customHeight="1" x14ac:dyDescent="0.15">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row>
    <row r="144" spans="2:38" ht="15" customHeight="1" x14ac:dyDescent="0.15">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row>
    <row r="145" spans="2:38" ht="15" customHeight="1" x14ac:dyDescent="0.1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row>
    <row r="146" spans="2:38" ht="15" customHeight="1" x14ac:dyDescent="0.15">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row>
    <row r="147" spans="2:38" ht="15" customHeight="1" x14ac:dyDescent="0.15">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row>
    <row r="148" spans="2:38" ht="15" customHeight="1" x14ac:dyDescent="0.15">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row>
    <row r="149" spans="2:38" ht="15" customHeight="1" x14ac:dyDescent="0.15">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row>
    <row r="150" spans="2:38" ht="15" customHeight="1" x14ac:dyDescent="0.15">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row>
    <row r="151" spans="2:38" ht="15" customHeight="1" x14ac:dyDescent="0.15">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row>
    <row r="152" spans="2:38" ht="15" customHeight="1" x14ac:dyDescent="0.15">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row>
    <row r="153" spans="2:38" ht="15" customHeight="1" x14ac:dyDescent="0.15">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row>
    <row r="154" spans="2:38" ht="15" customHeight="1" x14ac:dyDescent="0.15">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row>
    <row r="155" spans="2:38" ht="15" customHeight="1" x14ac:dyDescent="0.1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row>
    <row r="156" spans="2:38" ht="15" customHeight="1" x14ac:dyDescent="0.15">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row>
    <row r="157" spans="2:38" ht="15" customHeight="1" x14ac:dyDescent="0.15">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row>
    <row r="158" spans="2:38" ht="15" customHeight="1" x14ac:dyDescent="0.15">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row>
    <row r="159" spans="2:38" ht="15" customHeight="1" x14ac:dyDescent="0.15">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row>
    <row r="160" spans="2:38" ht="15" customHeight="1" x14ac:dyDescent="0.15">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row>
    <row r="161" spans="2:38" ht="15" customHeight="1" x14ac:dyDescent="0.15">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row>
    <row r="162" spans="2:38" ht="15" customHeight="1" x14ac:dyDescent="0.15">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row>
    <row r="163" spans="2:38" ht="15" customHeight="1" x14ac:dyDescent="0.15">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row>
    <row r="164" spans="2:38" ht="15" customHeight="1" x14ac:dyDescent="0.15">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row>
    <row r="165" spans="2:38" ht="15" customHeight="1" x14ac:dyDescent="0.1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row>
    <row r="166" spans="2:38" ht="15" customHeight="1" x14ac:dyDescent="0.15">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row>
    <row r="167" spans="2:38" ht="15" customHeight="1" x14ac:dyDescent="0.15">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row>
    <row r="168" spans="2:38" ht="15" customHeight="1" x14ac:dyDescent="0.15">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row>
    <row r="169" spans="2:38" ht="15" customHeight="1" x14ac:dyDescent="0.15">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row>
    <row r="170" spans="2:38" ht="15" customHeight="1" x14ac:dyDescent="0.15">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row>
    <row r="171" spans="2:38" ht="15" customHeight="1" x14ac:dyDescent="0.15">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row>
    <row r="172" spans="2:38" ht="15" customHeight="1" x14ac:dyDescent="0.15">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row>
    <row r="173" spans="2:38" ht="15" customHeight="1" x14ac:dyDescent="0.15">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row>
    <row r="174" spans="2:38" ht="15" customHeight="1" x14ac:dyDescent="0.15">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row>
    <row r="175" spans="2:38" ht="15" customHeight="1" x14ac:dyDescent="0.1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row>
    <row r="176" spans="2:38" ht="15" customHeight="1" x14ac:dyDescent="0.15">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row>
    <row r="177" spans="2:38" ht="15" customHeight="1" x14ac:dyDescent="0.15">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row>
    <row r="178" spans="2:38" ht="15" customHeight="1" x14ac:dyDescent="0.15">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row>
    <row r="179" spans="2:38" ht="15" customHeight="1" x14ac:dyDescent="0.15">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row>
    <row r="180" spans="2:38" ht="15" customHeight="1" x14ac:dyDescent="0.15">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row>
    <row r="181" spans="2:38" ht="15" customHeight="1" x14ac:dyDescent="0.15">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row>
    <row r="182" spans="2:38" ht="15" customHeight="1" x14ac:dyDescent="0.15">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row>
    <row r="183" spans="2:38" ht="15" customHeight="1" x14ac:dyDescent="0.15">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row>
    <row r="184" spans="2:38" ht="15" customHeight="1" x14ac:dyDescent="0.15">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row>
    <row r="185" spans="2:38" ht="15" customHeight="1" x14ac:dyDescent="0.1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row>
    <row r="186" spans="2:38" ht="15" customHeight="1" x14ac:dyDescent="0.15">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row>
    <row r="187" spans="2:38" ht="15" customHeight="1" x14ac:dyDescent="0.15">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row>
    <row r="188" spans="2:38" ht="15" customHeight="1" x14ac:dyDescent="0.15">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row>
    <row r="192" spans="2:38" ht="15" customHeight="1" x14ac:dyDescent="0.15">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16</vt:i4>
      </vt:variant>
      <vt:variant>
        <vt:lpstr>Named Ranges</vt:lpstr>
      </vt:variant>
      <vt:variant>
        <vt:i4>20</vt:i4>
      </vt:variant>
    </vt:vector>
  </HeadingPairs>
  <TitlesOfParts>
    <vt:vector size="36" baseType="lpstr">
      <vt:lpstr>READ ME</vt:lpstr>
      <vt:lpstr>Main</vt:lpstr>
      <vt:lpstr>Diets</vt:lpstr>
      <vt:lpstr>Detritus</vt:lpstr>
      <vt:lpstr>Fishing</vt:lpstr>
      <vt:lpstr>Discards</vt:lpstr>
      <vt:lpstr>pedigree_Parameters</vt:lpstr>
      <vt:lpstr>pedigree_Diet</vt:lpstr>
      <vt:lpstr>pedigree_DietPrefRules</vt:lpstr>
      <vt:lpstr>pedigree_Landings</vt:lpstr>
      <vt:lpstr>pedigree_Discards</vt:lpstr>
      <vt:lpstr>MainOutputs</vt:lpstr>
      <vt:lpstr>Mortalities</vt:lpstr>
      <vt:lpstr>EcotranType</vt:lpstr>
      <vt:lpstr>EcotranRecycling</vt:lpstr>
      <vt:lpstr>FunctionalResponse</vt:lpstr>
      <vt:lpstr>cornerBasic</vt:lpstr>
      <vt:lpstr>cornerBasicOut</vt:lpstr>
      <vt:lpstr>cornerDetritus</vt:lpstr>
      <vt:lpstr>cornerDiets</vt:lpstr>
      <vt:lpstr>cornerDiscards</vt:lpstr>
      <vt:lpstr>cornerFishing</vt:lpstr>
      <vt:lpstr>cornerMort</vt:lpstr>
      <vt:lpstr>FishingLinks</vt:lpstr>
      <vt:lpstr>matBasic</vt:lpstr>
      <vt:lpstr>matDetritus</vt:lpstr>
      <vt:lpstr>matDiet</vt:lpstr>
      <vt:lpstr>matDiscards</vt:lpstr>
      <vt:lpstr>matFishery</vt:lpstr>
      <vt:lpstr>matMort</vt:lpstr>
      <vt:lpstr>matOut</vt:lpstr>
      <vt:lpstr>NumDead</vt:lpstr>
      <vt:lpstr>NumGears</vt:lpstr>
      <vt:lpstr>NumLiving</vt:lpstr>
      <vt:lpstr>PredPreyLinks</vt:lpstr>
      <vt:lpstr>vecBB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Microsoft Office User</cp:lastModifiedBy>
  <cp:lastPrinted>2003-08-05T17:15:48Z</cp:lastPrinted>
  <dcterms:created xsi:type="dcterms:W3CDTF">1996-10-14T23:33:28Z</dcterms:created>
  <dcterms:modified xsi:type="dcterms:W3CDTF">2022-10-23T22:45:31Z</dcterms:modified>
</cp:coreProperties>
</file>