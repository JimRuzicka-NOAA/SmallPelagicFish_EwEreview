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77710871-93ED-7044-8CC6-1675ACF42A32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Main!$C$2:$N$46</definedName>
    <definedName name="matDetritus">Detritus!$C$2:$E$46</definedName>
    <definedName name="matDiet">Diets!$B$2:$AM$42</definedName>
    <definedName name="matDiscards">Discards!$C$2:$G$41</definedName>
    <definedName name="matFishery">Fishing!$C$2:$G$41</definedName>
    <definedName name="matFishing">Fishing!#REF!</definedName>
    <definedName name="matMort">Mortalities!$A$1:$AV$41</definedName>
    <definedName name="matOut">MainOutputs!$A$2:$I$46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<sst xmlns="http://schemas.openxmlformats.org/spreadsheetml/2006/main" count="1197" uniqueCount="246">
  <si>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</si>
  <si>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</si>
  <si>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</si>
  <si>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</si>
  <si>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</si>
  <si>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</si>
  <si>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</si>
  <si>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</si>
  <si>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</si>
  <si>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</si>
  <si>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</si>
  <si>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</si>
  <si>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</si>
  <si>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</si>
  <si>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</si>
  <si>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</si>
  <si>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</si>
  <si>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</si>
  <si>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</si>
  <si>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</si>
  <si>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</si>
  <si>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</si>
  <si>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</si>
  <si>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</si>
  <si>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</si>
  <si>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</si>
  <si>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</si>
  <si>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</si>
  <si>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</si>
  <si>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</si>
  <si>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</si>
  <si>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</si>
  <si>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</si>
  <si>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</si>
  <si>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</si>
  <si>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</si>
  <si>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</si>
  <si>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</si>
  <si>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</si>
  <si>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</si>
  <si>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</si>
  <si>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</si>
  <si>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</si>
  <si>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</si>
  <si>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</si>
  <si>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</si>
  <si>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</si>
  <si>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</si>
  <si>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</si>
  <si>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</si>
  <si>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</si>
  <si>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</si>
  <si>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</si>
  <si>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</si>
  <si>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</si>
  <si>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</si>
  <si>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</si>
  <si>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</si>
  <si>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</si>
  <si>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</si>
  <si>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</si>
  <si>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</si>
  <si>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</si>
  <si>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</si>
  <si>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</si>
  <si>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</si>
  <si>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</si>
  <si>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</si>
  <si>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</si>
  <si>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</si>
  <si>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</si>
  <si>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</si>
  <si>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</si>
  <si>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</si>
  <si>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</si>
  <si>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</si>
  <si>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</si>
  <si>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</si>
  <si>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</si>
  <si>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</si>
  <si>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</si>
  <si>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</si>
  <si>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</si>
  <si>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</si>
  <si>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</si>
  <si>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</si>
  <si>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</si>
  <si>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</si>
  <si>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</si>
  <si>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</si>
  <si>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</si>
  <si>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</si>
  <si>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</si>
  <si>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</si>
  <si>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</si>
  <si>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</si>
  <si>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</si>
  <si>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</si>
  <si>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</si>
  <si>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</si>
  <si>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</si>
  <si>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</si>
  <si>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</si>
  <si>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</si>
  <si>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</si>
  <si>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</si>
  <si>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</si>
  <si>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</si>
  <si>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</si>
  <si>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</si>
  <si>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</si>
  <si>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</si>
  <si>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</si>
  <si>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</si>
  <si>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</si>
  <si>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</si>
  <si>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</si>
  <si>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</si>
  <si>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</si>
  <si>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</si>
  <si>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</si>
  <si>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</si>
  <si>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</si>
  <si>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</si>
  <si>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</si>
  <si>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</si>
  <si>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</si>
  <si>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</si>
  <si>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</si>
  <si>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</si>
  <si>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</si>
  <si>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</si>
  <si>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</si>
  <si>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</si>
  <si>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</si>
  <si>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</si>
  <si>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</si>
  <si>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</si>
  <si>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</si>
  <si>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</si>
  <si>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</si>
  <si>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</si>
  <si>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</si>
  <si>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</si>
  <si>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</si>
  <si>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</si>
  <si>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</si>
  <si>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</si>
  <si>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</si>
  <si>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</si>
  <si>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</si>
  <si>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</si>
  <si>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</si>
  <si>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</si>
  <si>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</si>
  <si>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</si>
  <si>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</si>
  <si>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</si>
  <si>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</si>
  <si>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</si>
  <si>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</si>
  <si>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</si>
  <si>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</si>
  <si>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</si>
  <si>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</si>
  <si>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</si>
  <si>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</si>
  <si>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</si>
  <si>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</si>
  <si>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</si>
  <si>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</si>
  <si>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</si>
  <si>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</si>
  <si>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</si>
  <si>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</si>
  <si>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</si>
  <si>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</si>
  <si>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</si>
  <si>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</si>
  <si>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</si>
  <si>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</si>
  <si>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</si>
  <si>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</si>
  <si>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</si>
  <si>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</si>
  <si>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Eastern Tropical Pacific</t>
  </si>
  <si>
    <t>Not affiliated</t>
  </si>
  <si>
    <t>BOX(-150 -20,-70.124176 20)</t>
  </si>
  <si>
    <t>open ocean</t>
  </si>
  <si>
    <t>WetWeight</t>
  </si>
  <si>
    <t>; 5/16/2002 3:08:58 PM; 5/16/2002 3:17:13 PM; 5/17/2002 12:22:49 PM; 5/24/2002 10:26:22 AM; 5/29/2002 4:13:21 PM; 5/29/2002 4:37:17 PM; 11/26/2003 10:02:04 AM</t>
  </si>
  <si>
    <t>Olson R.J.,Watters G.M.(2003). A model of the pelagic ecossystem in the eastern tropical Pacific Ocean Inter-American Tropical Tuna Commission Bulletin. pp 135-248</t>
  </si>
  <si>
    <t>Pursuit Birds</t>
  </si>
  <si>
    <t>Grazing Birds</t>
  </si>
  <si>
    <t>Baleen Whales</t>
  </si>
  <si>
    <t>Toothed Whales</t>
  </si>
  <si>
    <t>Spotted Dolphin</t>
  </si>
  <si>
    <t>Meso Dolphin</t>
  </si>
  <si>
    <t>Sea Turtles</t>
  </si>
  <si>
    <t>Lg Yellowfin</t>
  </si>
  <si>
    <t>Lg Bigeye</t>
  </si>
  <si>
    <t>Lg Marlins</t>
  </si>
  <si>
    <t>Lg Sailfish</t>
  </si>
  <si>
    <t>Lg Swordfish</t>
  </si>
  <si>
    <t>Lg Dorado</t>
  </si>
  <si>
    <t>Lg Wahoo</t>
  </si>
  <si>
    <t>Lg Sharks</t>
  </si>
  <si>
    <t>Rays</t>
  </si>
  <si>
    <t>Skipjack</t>
  </si>
  <si>
    <t>Albacore</t>
  </si>
  <si>
    <t>Auxis</t>
  </si>
  <si>
    <t>Bluefin</t>
  </si>
  <si>
    <t>Sm Yellowfin</t>
  </si>
  <si>
    <t>Sm Bigeye</t>
  </si>
  <si>
    <t>Sm Marlins</t>
  </si>
  <si>
    <t>Sm Sailfish</t>
  </si>
  <si>
    <t>Sm Swordfish</t>
  </si>
  <si>
    <t>Sm Dorado</t>
  </si>
  <si>
    <t>Sm Wahoo</t>
  </si>
  <si>
    <t>Sm Sharks</t>
  </si>
  <si>
    <t>Misc. Pisc</t>
  </si>
  <si>
    <t>Flying fish</t>
  </si>
  <si>
    <t>Misc Epi Fish</t>
  </si>
  <si>
    <t>Misc Meso Fish</t>
  </si>
  <si>
    <t>Cephalopods</t>
  </si>
  <si>
    <t>Crabs</t>
  </si>
  <si>
    <t>Mesozooplankton</t>
  </si>
  <si>
    <t>Microzooplankton</t>
  </si>
  <si>
    <t>Lg Phytoplankton</t>
  </si>
  <si>
    <t>Sm Producers</t>
  </si>
  <si>
    <t>Detritus</t>
  </si>
  <si>
    <t>detritus_TerminalBenthic</t>
  </si>
  <si>
    <t>School Sets</t>
  </si>
  <si>
    <t>Longliners</t>
  </si>
  <si>
    <t>Floating Object Sets</t>
  </si>
  <si>
    <t>Dolphin Sets</t>
  </si>
  <si>
    <t>Bait Boats</t>
  </si>
  <si>
    <t>Import</t>
  </si>
  <si>
    <t>export</t>
  </si>
  <si>
    <t>sum</t>
  </si>
  <si>
    <t>TOTAL</t>
  </si>
  <si>
    <t>F School Sets</t>
  </si>
  <si>
    <t>F Longliners</t>
  </si>
  <si>
    <t>F Floating Object Sets</t>
  </si>
  <si>
    <t>F Dolphin Sets</t>
  </si>
  <si>
    <t>F Bait Boats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</si>
</sst>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1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94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F9FF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EC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9D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FFA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D600"/>
        <bgColor indexed="64"/>
      </patternFill>
    </fill>
    <fill>
      <patternFill patternType="solid">
        <fgColor rgb="FF65FF00"/>
        <bgColor indexed="64"/>
      </patternFill>
    </fill>
    <fill>
      <patternFill patternType="solid">
        <fgColor rgb="FF8F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FFF2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FF60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FF6300"/>
        <bgColor indexed="64"/>
      </patternFill>
    </fill>
    <fill>
      <patternFill patternType="solid">
        <fgColor rgb="FFFF5500"/>
        <bgColor indexed="64"/>
      </patternFill>
    </fill>
    <fill>
      <patternFill patternType="solid">
        <fgColor rgb="FFFF05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 applyAlignment="1">
      <alignment horizontal="center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5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5" borderId="3" xfId="0" applyNumberFormat="1" applyFont="1" applyFill="1" applyBorder="1"/>
    <xf numFmtId="0" fontId="0" fillId="35" borderId="2" xfId="0" applyFont="1" applyFill="1" applyBorder="1"/>
    <xf numFmtId="0" fontId="0" fillId="35" borderId="3" xfId="0" applyFont="1" applyFill="1" applyBorder="1"/>
    <xf numFmtId="0" fontId="0" fillId="35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0" borderId="0" xfId="0" applyFill="1"/>
    <xf numFmtId="0" fontId="0" fillId="4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41.3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3" t="s">
        <v>171</v>
      </c>
      <c r="C53" s="106">
        <v>42</v>
      </c>
      <c r="D53" s="106"/>
    </row>
    <row r="54" spans="2:4" x14ac:dyDescent="0.15">
      <c r="B54" s="173" t="s">
        <v>172</v>
      </c>
      <c r="C54" s="173" t="s">
        <v>185</v>
      </c>
      <c r="D54" s="106"/>
    </row>
    <row r="55" spans="2:4" x14ac:dyDescent="0.15">
      <c r="B55" s="173" t="s">
        <v>173</v>
      </c>
      <c r="C55" s="173" t="s">
        <v>186</v>
      </c>
      <c r="D55" s="106"/>
    </row>
    <row r="56" spans="2:4" x14ac:dyDescent="0.15">
      <c r="B56" s="173" t="s">
        <v>174</v>
      </c>
      <c r="C56" s="106">
        <v>32800000</v>
      </c>
      <c r="D56" s="106"/>
    </row>
    <row r="57" spans="2:4" x14ac:dyDescent="0.15">
      <c r="B57" s="173" t="s">
        <v>175</v>
      </c>
      <c r="C57" s="173" t="s">
        <v>187</v>
      </c>
      <c r="D57" s="106"/>
    </row>
    <row r="58" spans="2:4" x14ac:dyDescent="0.15">
      <c r="B58" s="173" t="s">
        <v>176</v>
      </c>
      <c r="C58" s="173" t="s">
        <v>188</v>
      </c>
      <c r="D58" s="106"/>
    </row>
    <row r="59" spans="2:4" x14ac:dyDescent="0.15">
      <c r="B59" s="173" t="s">
        <v>177</v>
      </c>
      <c r="C59" s="173" t="s">
        <v>189</v>
      </c>
      <c r="D59" s="106"/>
    </row>
    <row r="60" spans="2:4" x14ac:dyDescent="0.15">
      <c r="B60" s="173" t="s">
        <v>178</v>
      </c>
      <c r="C60" s="173" t="s">
        <v>190</v>
      </c>
      <c r="D60" s="106"/>
    </row>
    <row r="61" spans="2:4" x14ac:dyDescent="0.15">
      <c r="B61" s="173" t="s">
        <v>179</v>
      </c>
      <c r="C61" s="106">
        <v>39</v>
      </c>
      <c r="D61" s="106"/>
    </row>
    <row r="62" spans="2:4" x14ac:dyDescent="0.15">
      <c r="B62" s="173" t="s">
        <v>180</v>
      </c>
      <c r="C62" s="106">
        <v>5</v>
      </c>
      <c r="D62" s="106"/>
    </row>
    <row r="63" spans="2:4" x14ac:dyDescent="0.15">
      <c r="B63" s="173" t="s">
        <v>181</v>
      </c>
      <c r="C63" s="106">
        <v>1993</v>
      </c>
      <c r="D63" s="106"/>
    </row>
    <row r="64" spans="2:4" x14ac:dyDescent="0.15">
      <c r="B64" s="173" t="s">
        <v>182</v>
      </c>
      <c r="C64" s="106">
        <v>4</v>
      </c>
      <c r="D64" s="106"/>
    </row>
    <row r="65" spans="2:4" x14ac:dyDescent="0.15">
      <c r="B65" s="173" t="s">
        <v>183</v>
      </c>
      <c r="C65" s="173" t="s">
        <v>191</v>
      </c>
      <c r="D65" s="106"/>
    </row>
    <row r="66" spans="2:4" x14ac:dyDescent="0.15">
      <c r="B66" s="173" t="s">
        <v>184</v>
      </c>
      <c r="D66" s="106"/>
    </row>
    <row r="67" spans="2:4" x14ac:dyDescent="0.15">
      <c r="B67" s="106"/>
      <c r="C67" s="106"/>
      <c r="D67" s="106"/>
    </row>
    <row r="68" spans="2:4" x14ac:dyDescent="0.15">
      <c r="B68" s="106"/>
      <c r="C68" s="106"/>
      <c r="D68" s="10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5" sqref="Q5"/>
    </sheetView>
  </sheetViews>
  <sheetFormatPr baseColWidth="10" defaultColWidth="8.83203125" defaultRowHeight="15" customHeight="1" x14ac:dyDescent="0.15"/>
  <cols>
    <col min="1" max="1" width="22.5" style="80" customWidth="1"/>
    <col min="2" max="3" width="3.33203125" style="80" customWidth="1"/>
    <col min="4" max="4" width="14.33203125" style="80" customWidth="1"/>
    <col min="5" max="5" width="21.6640625" style="80" bestFit="1" customWidth="1"/>
    <col min="6" max="6" width="2.33203125" style="80" bestFit="1" customWidth="1"/>
    <col min="7" max="7" width="10.83203125" style="80" bestFit="1" customWidth="1"/>
    <col min="8" max="9" width="5.83203125" style="80" customWidth="1"/>
    <col min="10" max="11" width="13.83203125" style="80" customWidth="1"/>
    <col min="12" max="12" width="10.83203125" style="80" customWidth="1"/>
    <col min="13" max="13" width="5.83203125" style="80" customWidth="1"/>
    <col min="14" max="14" width="2.33203125" style="80" customWidth="1"/>
    <col min="16" max="25" width="8.83203125" style="8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0"/>
  </cols>
  <sheetData>
    <row r="1" spans="1:46" s="97" customFormat="1" ht="15" customHeight="1" x14ac:dyDescent="0.15">
      <c r="A1" s="76" t="s">
        <v>18</v>
      </c>
      <c r="C1" s="77" t="s">
        <v>8</v>
      </c>
      <c r="D1" s="76" t="s">
        <v>23</v>
      </c>
      <c r="E1" s="76" t="s">
        <v>0</v>
      </c>
      <c r="F1" s="76" t="s">
        <v>7</v>
      </c>
      <c r="G1" s="78" t="s">
        <v>13</v>
      </c>
      <c r="H1" s="76" t="s">
        <v>1</v>
      </c>
      <c r="I1" s="76" t="s">
        <v>2</v>
      </c>
      <c r="J1" s="76" t="s">
        <v>14</v>
      </c>
      <c r="K1" s="76" t="s">
        <v>3</v>
      </c>
      <c r="L1" s="76" t="s">
        <v>4</v>
      </c>
      <c r="M1" s="76" t="s">
        <v>5</v>
      </c>
      <c r="N1" s="7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7">
        <v>1</v>
      </c>
      <c r="D2"/>
      <c r="E2" s="174" t="s">
        <v>192</v>
      </c>
      <c r="F2" s="80">
        <v>0</v>
      </c>
      <c r="G2" s="80">
        <v>600</v>
      </c>
      <c r="H2" s="80">
        <v>0.08</v>
      </c>
      <c r="I2" s="6">
        <v>65.7</v>
      </c>
      <c r="J2" s="6">
        <v>0.23321667300000001</v>
      </c>
      <c r="K2" s="6">
        <v>1.2176560700000001E-3</v>
      </c>
      <c r="L2" s="6">
        <v>0</v>
      </c>
      <c r="M2" s="80">
        <v>0.31</v>
      </c>
      <c r="N2" s="80">
        <v>0</v>
      </c>
    </row>
    <row r="3" spans="1:46" ht="15" customHeight="1" x14ac:dyDescent="0.15">
      <c r="A3" s="1" t="s">
        <v>9</v>
      </c>
      <c r="B3" s="4">
        <v>38</v>
      </c>
      <c r="C3" s="80">
        <v>2</v>
      </c>
      <c r="D3"/>
      <c r="E3" s="174" t="s">
        <v>193</v>
      </c>
      <c r="F3" s="80">
        <v>0</v>
      </c>
      <c r="G3" s="80">
        <v>123</v>
      </c>
      <c r="H3" s="80">
        <v>0.15</v>
      </c>
      <c r="I3" s="80">
        <v>65.7</v>
      </c>
      <c r="J3" s="80">
        <v>0.13404875999999999</v>
      </c>
      <c r="K3" s="80">
        <v>2.2831051599999999E-3</v>
      </c>
      <c r="L3" s="80">
        <v>0</v>
      </c>
      <c r="M3" s="80">
        <v>0.32</v>
      </c>
      <c r="N3" s="80">
        <v>0</v>
      </c>
    </row>
    <row r="4" spans="1:46" ht="15" customHeight="1" x14ac:dyDescent="0.15">
      <c r="A4" s="1" t="s">
        <v>10</v>
      </c>
      <c r="B4" s="4">
        <v>2</v>
      </c>
      <c r="C4" s="80">
        <v>3</v>
      </c>
      <c r="D4"/>
      <c r="E4" s="174" t="s">
        <v>194</v>
      </c>
      <c r="F4" s="80">
        <v>0</v>
      </c>
      <c r="G4" s="80">
        <v>9100</v>
      </c>
      <c r="H4" s="80">
        <v>1.7999999999999999E-2</v>
      </c>
      <c r="I4" s="80">
        <v>9.1</v>
      </c>
      <c r="J4" s="80">
        <v>0</v>
      </c>
      <c r="K4" s="80">
        <v>1.9780218100000002E-3</v>
      </c>
      <c r="L4" s="80">
        <v>0</v>
      </c>
      <c r="M4" s="80">
        <v>0.34</v>
      </c>
      <c r="N4" s="8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5</v>
      </c>
      <c r="C5" s="80">
        <v>4</v>
      </c>
      <c r="D5"/>
      <c r="E5" s="174" t="s">
        <v>195</v>
      </c>
      <c r="F5" s="80">
        <v>0</v>
      </c>
      <c r="G5" s="80">
        <v>31000</v>
      </c>
      <c r="H5" s="80">
        <v>0.02</v>
      </c>
      <c r="I5" s="80">
        <v>6.75</v>
      </c>
      <c r="J5" s="80">
        <v>2.7419355999999998E-4</v>
      </c>
      <c r="K5" s="80">
        <v>2.9629629999999999E-3</v>
      </c>
      <c r="L5" s="80">
        <v>0</v>
      </c>
      <c r="M5" s="80">
        <v>0.31</v>
      </c>
      <c r="N5" s="80">
        <v>0</v>
      </c>
      <c r="P5" s="69"/>
      <c r="Q5" s="69"/>
      <c r="R5" s="69"/>
    </row>
    <row r="6" spans="1:46" ht="15" customHeight="1" thickBot="1" x14ac:dyDescent="0.2">
      <c r="B6" s="1"/>
      <c r="C6" s="80">
        <v>5</v>
      </c>
      <c r="D6"/>
      <c r="E6" s="174" t="s">
        <v>196</v>
      </c>
      <c r="F6" s="80">
        <v>0</v>
      </c>
      <c r="G6" s="80">
        <v>3500</v>
      </c>
      <c r="H6" s="80">
        <v>0.04</v>
      </c>
      <c r="I6" s="80">
        <v>16.5</v>
      </c>
      <c r="J6" s="80">
        <v>0.21946236499999999</v>
      </c>
      <c r="K6" s="80">
        <v>2.42424244E-3</v>
      </c>
      <c r="L6" s="80">
        <v>0</v>
      </c>
      <c r="M6" s="80">
        <v>0.31</v>
      </c>
      <c r="N6" s="80">
        <v>0</v>
      </c>
      <c r="P6" s="69"/>
      <c r="Q6" s="69"/>
      <c r="R6" s="69"/>
      <c r="W6" s="35" t="s">
        <v>31</v>
      </c>
      <c r="X6" s="51">
        <f>MAX(MainOutputs!G:G)</f>
        <v>0.98999994993209839</v>
      </c>
    </row>
    <row r="7" spans="1:46" ht="15" customHeight="1" x14ac:dyDescent="0.15">
      <c r="A7" s="2" t="s">
        <v>27</v>
      </c>
      <c r="B7" s="80">
        <f ca="1">COUNTIF(OFFSET(cornerDiets,1,1,NumLiving+NumDead+1,NumLiving+NumDead),"&gt;0")+NumLiving+NumDead+1</f>
        <v>357</v>
      </c>
      <c r="C7" s="80">
        <v>6</v>
      </c>
      <c r="D7"/>
      <c r="E7" s="174" t="s">
        <v>197</v>
      </c>
      <c r="F7" s="80">
        <v>0</v>
      </c>
      <c r="G7" s="80">
        <v>17000</v>
      </c>
      <c r="H7" s="80">
        <v>0.04</v>
      </c>
      <c r="I7" s="80">
        <v>16.5</v>
      </c>
      <c r="J7" s="80">
        <v>0.189733714</v>
      </c>
      <c r="K7" s="80">
        <v>2.42424244E-3</v>
      </c>
      <c r="L7" s="80">
        <v>0</v>
      </c>
      <c r="M7" s="80">
        <v>0.28000000000000003</v>
      </c>
      <c r="N7" s="80">
        <v>0</v>
      </c>
      <c r="P7" s="69"/>
      <c r="Q7" s="69"/>
      <c r="R7" s="69"/>
    </row>
    <row r="8" spans="1:46" ht="15" customHeight="1" x14ac:dyDescent="0.15">
      <c r="A8" s="2" t="s">
        <v>28</v>
      </c>
      <c r="B8" s="80">
        <f ca="1">COUNTIF(OFFSET(cornerFishing,1,2,NumLiving+NumDead,NumGears),"&gt;0")+NumDead*COUNTIF(OFFSET(cornerDiscards,1,2,NumLiving+NumDead,NumGears),"&gt;0")+NumLiving+NumDead+1</f>
        <v>219</v>
      </c>
      <c r="C8" s="80">
        <v>7</v>
      </c>
      <c r="D8"/>
      <c r="E8" s="174" t="s">
        <v>198</v>
      </c>
      <c r="F8" s="80">
        <v>0</v>
      </c>
      <c r="G8" s="80">
        <v>260.45330000000001</v>
      </c>
      <c r="H8" s="80">
        <v>0.15</v>
      </c>
      <c r="I8" s="80">
        <v>3.5</v>
      </c>
      <c r="J8" s="80">
        <v>0.5</v>
      </c>
      <c r="K8" s="80">
        <v>4.2857144E-2</v>
      </c>
      <c r="L8" s="80">
        <v>0</v>
      </c>
      <c r="M8" s="80">
        <v>0.35</v>
      </c>
      <c r="N8" s="80">
        <v>0</v>
      </c>
      <c r="P8" s="69"/>
      <c r="Q8" s="69"/>
      <c r="R8" s="69"/>
    </row>
    <row r="9" spans="1:46" ht="15" customHeight="1" x14ac:dyDescent="0.15">
      <c r="B9" s="1"/>
      <c r="C9" s="80">
        <v>8</v>
      </c>
      <c r="D9"/>
      <c r="E9" s="174" t="s">
        <v>199</v>
      </c>
      <c r="F9" s="80">
        <v>0</v>
      </c>
      <c r="G9" s="80">
        <v>6500</v>
      </c>
      <c r="H9" s="80">
        <v>2.35</v>
      </c>
      <c r="I9" s="80">
        <v>15.6</v>
      </c>
      <c r="J9" s="80">
        <v>0.3596509</v>
      </c>
      <c r="K9" s="80">
        <v>0.15064100899999999</v>
      </c>
      <c r="L9" s="80">
        <v>0</v>
      </c>
      <c r="M9" s="80">
        <v>0.3</v>
      </c>
      <c r="N9" s="80">
        <v>0</v>
      </c>
      <c r="P9" s="69"/>
      <c r="Q9" s="69"/>
      <c r="R9" s="69"/>
    </row>
    <row r="10" spans="1:46" ht="15" customHeight="1" x14ac:dyDescent="0.15">
      <c r="B10" s="1"/>
      <c r="C10" s="80">
        <v>9</v>
      </c>
      <c r="D10"/>
      <c r="E10" s="174" t="s">
        <v>200</v>
      </c>
      <c r="F10" s="80">
        <v>0</v>
      </c>
      <c r="G10" s="80">
        <v>9000</v>
      </c>
      <c r="H10" s="80">
        <v>0.76</v>
      </c>
      <c r="I10" s="80">
        <v>13.03</v>
      </c>
      <c r="J10" s="80">
        <v>0.33047333400000001</v>
      </c>
      <c r="K10" s="80">
        <v>5.8326937299999999E-2</v>
      </c>
      <c r="L10" s="80">
        <v>0</v>
      </c>
      <c r="M10" s="80">
        <v>0.31</v>
      </c>
      <c r="N10" s="80">
        <v>0</v>
      </c>
    </row>
    <row r="11" spans="1:46" ht="15" customHeight="1" x14ac:dyDescent="0.15">
      <c r="C11" s="80">
        <v>10</v>
      </c>
      <c r="D11"/>
      <c r="E11" s="174" t="s">
        <v>201</v>
      </c>
      <c r="F11" s="80">
        <v>0</v>
      </c>
      <c r="G11" s="80">
        <v>572.91999999999996</v>
      </c>
      <c r="H11" s="80">
        <v>1</v>
      </c>
      <c r="I11" s="80">
        <v>7.8</v>
      </c>
      <c r="J11" s="80">
        <v>0.5</v>
      </c>
      <c r="K11" s="80">
        <v>0.12820512100000001</v>
      </c>
      <c r="L11" s="80">
        <v>0</v>
      </c>
      <c r="M11" s="80">
        <v>0.28999999999999998</v>
      </c>
      <c r="N11" s="80">
        <v>0</v>
      </c>
    </row>
    <row r="12" spans="1:46" ht="15" customHeight="1" x14ac:dyDescent="0.15">
      <c r="C12" s="80">
        <v>11</v>
      </c>
      <c r="D12"/>
      <c r="E12" s="174" t="s">
        <v>202</v>
      </c>
      <c r="F12" s="80">
        <v>0</v>
      </c>
      <c r="G12" s="80">
        <v>52.2087</v>
      </c>
      <c r="H12" s="80">
        <v>1.1499999999999999</v>
      </c>
      <c r="I12" s="80">
        <v>7.8</v>
      </c>
      <c r="J12" s="80">
        <v>0.25</v>
      </c>
      <c r="K12" s="80">
        <v>0.14743588899999999</v>
      </c>
      <c r="L12" s="80">
        <v>0</v>
      </c>
      <c r="M12" s="80">
        <v>0.28000000000000003</v>
      </c>
      <c r="N12" s="80">
        <v>0</v>
      </c>
    </row>
    <row r="13" spans="1:46" ht="15" customHeight="1" x14ac:dyDescent="0.15">
      <c r="C13" s="80">
        <v>12</v>
      </c>
      <c r="D13"/>
      <c r="E13" s="174" t="s">
        <v>203</v>
      </c>
      <c r="F13" s="80">
        <v>0</v>
      </c>
      <c r="G13" s="80">
        <v>33.169693000000002</v>
      </c>
      <c r="H13" s="80">
        <v>0.44</v>
      </c>
      <c r="I13" s="80">
        <v>7.8</v>
      </c>
      <c r="J13" s="80">
        <v>0.75</v>
      </c>
      <c r="K13" s="80">
        <v>5.6410253E-2</v>
      </c>
      <c r="L13" s="80">
        <v>0</v>
      </c>
      <c r="M13" s="80">
        <v>0.32</v>
      </c>
      <c r="N13" s="80">
        <v>0</v>
      </c>
    </row>
    <row r="14" spans="1:46" ht="15" customHeight="1" x14ac:dyDescent="0.15">
      <c r="C14" s="80">
        <v>13</v>
      </c>
      <c r="D14"/>
      <c r="E14" s="174" t="s">
        <v>204</v>
      </c>
      <c r="F14" s="80">
        <v>0</v>
      </c>
      <c r="G14" s="80">
        <v>217.73483300000001</v>
      </c>
      <c r="H14" s="80">
        <v>1.2</v>
      </c>
      <c r="I14" s="80">
        <v>21.9</v>
      </c>
      <c r="J14" s="80">
        <v>0.25</v>
      </c>
      <c r="K14" s="80">
        <v>5.4794523900000003E-2</v>
      </c>
      <c r="L14" s="80">
        <v>0</v>
      </c>
      <c r="M14" s="80">
        <v>0.3</v>
      </c>
      <c r="N14" s="80">
        <v>0</v>
      </c>
    </row>
    <row r="15" spans="1:46" ht="15" customHeight="1" x14ac:dyDescent="0.15">
      <c r="C15" s="80">
        <v>14</v>
      </c>
      <c r="D15"/>
      <c r="E15" s="174" t="s">
        <v>205</v>
      </c>
      <c r="F15" s="80">
        <v>0</v>
      </c>
      <c r="G15" s="80">
        <v>1100</v>
      </c>
      <c r="H15" s="80">
        <v>1.2</v>
      </c>
      <c r="I15" s="80">
        <v>9.76</v>
      </c>
      <c r="J15" s="80">
        <v>6.8243349999999994E-2</v>
      </c>
      <c r="K15" s="80">
        <v>0.122950822</v>
      </c>
      <c r="L15" s="80">
        <v>0</v>
      </c>
      <c r="M15" s="80">
        <v>0.3</v>
      </c>
      <c r="N15" s="80">
        <v>0</v>
      </c>
    </row>
    <row r="16" spans="1:46" ht="15" customHeight="1" x14ac:dyDescent="0.15">
      <c r="C16" s="80">
        <v>15</v>
      </c>
      <c r="D16"/>
      <c r="E16" s="174" t="s">
        <v>206</v>
      </c>
      <c r="F16" s="80">
        <v>0</v>
      </c>
      <c r="G16" s="80">
        <v>400</v>
      </c>
      <c r="H16" s="80">
        <v>0.32</v>
      </c>
      <c r="I16" s="80">
        <v>7.81</v>
      </c>
      <c r="J16" s="80">
        <v>0.47882809999999998</v>
      </c>
      <c r="K16" s="80">
        <v>4.0973111999999999E-2</v>
      </c>
      <c r="L16" s="80">
        <v>0</v>
      </c>
      <c r="M16" s="80">
        <v>0.28999999999999998</v>
      </c>
      <c r="N16" s="80">
        <v>0</v>
      </c>
    </row>
    <row r="17" spans="1:22" ht="15" customHeight="1" x14ac:dyDescent="0.15">
      <c r="C17" s="80">
        <v>16</v>
      </c>
      <c r="D17"/>
      <c r="E17" s="174" t="s">
        <v>207</v>
      </c>
      <c r="F17" s="80">
        <v>0</v>
      </c>
      <c r="G17" s="80">
        <v>230</v>
      </c>
      <c r="H17" s="80">
        <v>0.25</v>
      </c>
      <c r="I17" s="80">
        <v>3.91</v>
      </c>
      <c r="J17" s="80">
        <v>0.361043483</v>
      </c>
      <c r="K17" s="80">
        <v>6.3938620000000002E-2</v>
      </c>
      <c r="L17" s="80">
        <v>0</v>
      </c>
      <c r="M17" s="80">
        <v>0.34</v>
      </c>
      <c r="N17" s="80">
        <v>0</v>
      </c>
      <c r="V17" s="1" t="s">
        <v>30</v>
      </c>
    </row>
    <row r="18" spans="1:22" ht="15" customHeight="1" x14ac:dyDescent="0.15">
      <c r="C18" s="80">
        <v>17</v>
      </c>
      <c r="D18"/>
      <c r="E18" s="174" t="s">
        <v>208</v>
      </c>
      <c r="F18" s="80">
        <v>0</v>
      </c>
      <c r="G18" s="80">
        <v>26443.656299999999</v>
      </c>
      <c r="H18" s="80">
        <v>1.88</v>
      </c>
      <c r="I18" s="80">
        <v>21.5</v>
      </c>
      <c r="J18" s="80">
        <v>0.4</v>
      </c>
      <c r="K18" s="80">
        <v>8.7441859999999996E-2</v>
      </c>
      <c r="L18" s="80">
        <v>0</v>
      </c>
      <c r="M18" s="80">
        <v>0.3</v>
      </c>
      <c r="N18" s="80">
        <v>0</v>
      </c>
      <c r="V18" s="1"/>
    </row>
    <row r="19" spans="1:22" ht="15" customHeight="1" x14ac:dyDescent="0.15">
      <c r="C19" s="80">
        <v>18</v>
      </c>
      <c r="D19"/>
      <c r="E19" s="174" t="s">
        <v>209</v>
      </c>
      <c r="F19" s="80">
        <v>0</v>
      </c>
      <c r="G19" s="80">
        <v>3025.7190000000001</v>
      </c>
      <c r="H19" s="80">
        <v>0.77</v>
      </c>
      <c r="I19" s="80">
        <v>16.95</v>
      </c>
      <c r="J19" s="80">
        <v>0.75</v>
      </c>
      <c r="K19" s="80">
        <v>4.5427724699999998E-2</v>
      </c>
      <c r="L19" s="80">
        <v>0</v>
      </c>
      <c r="M19" s="80">
        <v>0.29499999999999998</v>
      </c>
      <c r="N19" s="80">
        <v>0</v>
      </c>
    </row>
    <row r="20" spans="1:22" ht="15" customHeight="1" thickBot="1" x14ac:dyDescent="0.2">
      <c r="C20" s="80">
        <v>19</v>
      </c>
      <c r="D20"/>
      <c r="E20" s="174" t="s">
        <v>210</v>
      </c>
      <c r="F20" s="80">
        <v>0</v>
      </c>
      <c r="G20" s="80">
        <v>143251.625</v>
      </c>
      <c r="H20" s="80">
        <v>2.5</v>
      </c>
      <c r="I20" s="80">
        <v>25</v>
      </c>
      <c r="J20" s="80">
        <v>0.95</v>
      </c>
      <c r="K20" s="80">
        <v>0.1</v>
      </c>
      <c r="L20" s="80">
        <v>0</v>
      </c>
      <c r="M20" s="80">
        <v>0.33</v>
      </c>
      <c r="N20" s="80">
        <v>0</v>
      </c>
    </row>
    <row r="21" spans="1:22" ht="15" customHeight="1" thickBot="1" x14ac:dyDescent="0.2">
      <c r="A21" s="46" t="s">
        <v>137</v>
      </c>
      <c r="B21" s="98"/>
      <c r="C21" s="80">
        <v>20</v>
      </c>
      <c r="D21"/>
      <c r="E21" s="174" t="s">
        <v>211</v>
      </c>
      <c r="F21" s="80">
        <v>0</v>
      </c>
      <c r="G21" s="80">
        <v>1400</v>
      </c>
      <c r="H21" s="80">
        <v>0.65</v>
      </c>
      <c r="I21" s="80">
        <v>12.8</v>
      </c>
      <c r="J21" s="80">
        <v>0.79949384899999998</v>
      </c>
      <c r="K21" s="80">
        <v>5.0781246299999999E-2</v>
      </c>
      <c r="L21" s="80">
        <v>0</v>
      </c>
      <c r="M21" s="80">
        <v>0.32</v>
      </c>
      <c r="N21" s="80">
        <v>0</v>
      </c>
    </row>
    <row r="22" spans="1:22" ht="15" customHeight="1" x14ac:dyDescent="0.15">
      <c r="A22" s="99" t="s">
        <v>58</v>
      </c>
      <c r="B22" s="100">
        <v>0</v>
      </c>
      <c r="C22" s="80">
        <v>21</v>
      </c>
      <c r="D22"/>
      <c r="E22" s="174" t="s">
        <v>212</v>
      </c>
      <c r="F22" s="80">
        <v>0</v>
      </c>
      <c r="G22" s="80">
        <v>8200</v>
      </c>
      <c r="H22" s="80">
        <v>1.75</v>
      </c>
      <c r="I22" s="80">
        <v>18.3</v>
      </c>
      <c r="J22" s="80">
        <v>0.9181513</v>
      </c>
      <c r="K22" s="80">
        <v>9.5628420000000006E-2</v>
      </c>
      <c r="L22" s="80">
        <v>0</v>
      </c>
      <c r="M22" s="80">
        <v>0.28999999999999998</v>
      </c>
      <c r="N22" s="80">
        <v>0</v>
      </c>
    </row>
    <row r="23" spans="1:22" ht="15" customHeight="1" x14ac:dyDescent="0.15">
      <c r="A23" s="99" t="s">
        <v>59</v>
      </c>
      <c r="B23" s="100">
        <v>1</v>
      </c>
      <c r="C23" s="80">
        <v>22</v>
      </c>
      <c r="D23"/>
      <c r="E23" s="174" t="s">
        <v>213</v>
      </c>
      <c r="F23" s="80">
        <v>0</v>
      </c>
      <c r="G23" s="80">
        <v>10000</v>
      </c>
      <c r="H23" s="80">
        <v>0.72</v>
      </c>
      <c r="I23" s="80">
        <v>15.25</v>
      </c>
      <c r="J23" s="80">
        <v>0.68883925700000004</v>
      </c>
      <c r="K23" s="80">
        <v>4.7213114799999997E-2</v>
      </c>
      <c r="L23" s="80">
        <v>0</v>
      </c>
      <c r="M23" s="80">
        <v>0.27</v>
      </c>
      <c r="N23" s="80">
        <v>0</v>
      </c>
    </row>
    <row r="24" spans="1:22" ht="15" customHeight="1" x14ac:dyDescent="0.15">
      <c r="A24" s="99" t="s">
        <v>60</v>
      </c>
      <c r="B24" s="100">
        <v>2</v>
      </c>
      <c r="C24" s="80">
        <v>23</v>
      </c>
      <c r="D24"/>
      <c r="E24" s="174" t="s">
        <v>214</v>
      </c>
      <c r="F24" s="80">
        <v>0</v>
      </c>
      <c r="G24" s="80">
        <v>145.023224</v>
      </c>
      <c r="H24" s="80">
        <v>0.5</v>
      </c>
      <c r="I24" s="80">
        <v>9</v>
      </c>
      <c r="J24" s="80">
        <v>0.75</v>
      </c>
      <c r="K24" s="80">
        <v>5.5555555999999999E-2</v>
      </c>
      <c r="L24" s="80">
        <v>0</v>
      </c>
      <c r="M24" s="80">
        <v>0.3</v>
      </c>
      <c r="N24" s="80">
        <v>0</v>
      </c>
    </row>
    <row r="25" spans="1:22" ht="15" customHeight="1" thickBot="1" x14ac:dyDescent="0.2">
      <c r="A25" s="101" t="s">
        <v>44</v>
      </c>
      <c r="B25" s="102">
        <v>3</v>
      </c>
      <c r="C25" s="80">
        <v>24</v>
      </c>
      <c r="D25"/>
      <c r="E25" s="174" t="s">
        <v>215</v>
      </c>
      <c r="F25" s="80">
        <v>0</v>
      </c>
      <c r="G25" s="80">
        <v>126.956047</v>
      </c>
      <c r="H25" s="80">
        <v>0.56999999999999995</v>
      </c>
      <c r="I25" s="80">
        <v>9.76</v>
      </c>
      <c r="J25" s="80">
        <v>0.75</v>
      </c>
      <c r="K25" s="80">
        <v>5.8401636799999997E-2</v>
      </c>
      <c r="L25" s="80">
        <v>0</v>
      </c>
      <c r="M25" s="80">
        <v>0.28000000000000003</v>
      </c>
      <c r="N25" s="80">
        <v>0</v>
      </c>
    </row>
    <row r="26" spans="1:22" ht="15" customHeight="1" x14ac:dyDescent="0.15">
      <c r="A26" s="103" t="s">
        <v>140</v>
      </c>
      <c r="C26" s="80">
        <v>25</v>
      </c>
      <c r="D26"/>
      <c r="E26" s="174" t="s">
        <v>216</v>
      </c>
      <c r="F26" s="80">
        <v>0</v>
      </c>
      <c r="G26" s="80">
        <v>97.901039999999995</v>
      </c>
      <c r="H26" s="80">
        <v>0.21</v>
      </c>
      <c r="I26" s="80">
        <v>9</v>
      </c>
      <c r="J26" s="80">
        <v>0.75</v>
      </c>
      <c r="K26" s="80">
        <v>2.33333334E-2</v>
      </c>
      <c r="L26" s="80">
        <v>0</v>
      </c>
      <c r="M26" s="80">
        <v>0.3</v>
      </c>
      <c r="N26" s="80">
        <v>0</v>
      </c>
    </row>
    <row r="27" spans="1:22" ht="15" customHeight="1" x14ac:dyDescent="0.15">
      <c r="C27" s="80">
        <v>26</v>
      </c>
      <c r="D27"/>
      <c r="E27" s="174" t="s">
        <v>217</v>
      </c>
      <c r="F27" s="80">
        <v>0</v>
      </c>
      <c r="G27" s="80">
        <v>2000</v>
      </c>
      <c r="H27" s="80">
        <v>3.15</v>
      </c>
      <c r="I27" s="80">
        <v>27.4</v>
      </c>
      <c r="J27" s="80">
        <v>0.98972959999999999</v>
      </c>
      <c r="K27" s="80">
        <v>0.11496350900000001</v>
      </c>
      <c r="L27" s="80">
        <v>0</v>
      </c>
      <c r="M27" s="80">
        <v>0.3</v>
      </c>
      <c r="N27" s="80">
        <v>0</v>
      </c>
    </row>
    <row r="28" spans="1:22" ht="15" customHeight="1" x14ac:dyDescent="0.15">
      <c r="C28" s="80">
        <v>27</v>
      </c>
      <c r="D28"/>
      <c r="E28" s="174" t="s">
        <v>218</v>
      </c>
      <c r="F28" s="80">
        <v>0</v>
      </c>
      <c r="G28" s="80">
        <v>2730.4868200000001</v>
      </c>
      <c r="H28" s="80">
        <v>1.75</v>
      </c>
      <c r="I28" s="80">
        <v>11.4</v>
      </c>
      <c r="J28" s="80">
        <v>0.75</v>
      </c>
      <c r="K28" s="80">
        <v>0.15350878200000001</v>
      </c>
      <c r="L28" s="80">
        <v>0</v>
      </c>
      <c r="M28" s="80">
        <v>0.3</v>
      </c>
      <c r="N28" s="80">
        <v>0</v>
      </c>
    </row>
    <row r="29" spans="1:22" customFormat="1" ht="15" customHeight="1" x14ac:dyDescent="0.15">
      <c r="C29" s="80">
        <v>28</v>
      </c>
      <c r="E29" s="174" t="s">
        <v>219</v>
      </c>
      <c r="F29" s="80">
        <v>0</v>
      </c>
      <c r="G29" s="80">
        <v>270</v>
      </c>
      <c r="H29" s="80">
        <v>0.57999999999999996</v>
      </c>
      <c r="I29" s="80">
        <v>9.16</v>
      </c>
      <c r="J29" s="80">
        <v>0.58273333299999996</v>
      </c>
      <c r="K29" s="80">
        <v>6.3318774100000003E-2</v>
      </c>
      <c r="L29" s="80">
        <v>0</v>
      </c>
      <c r="M29" s="80">
        <v>0.28999999999999998</v>
      </c>
      <c r="N29" s="80">
        <v>0</v>
      </c>
    </row>
    <row r="30" spans="1:22" customFormat="1" ht="15" customHeight="1" x14ac:dyDescent="0.15">
      <c r="C30" s="80">
        <v>29</v>
      </c>
      <c r="E30" s="174" t="s">
        <v>220</v>
      </c>
      <c r="F30" s="80">
        <v>0</v>
      </c>
      <c r="G30" s="80">
        <v>16536.4238</v>
      </c>
      <c r="H30" s="80">
        <v>2.25</v>
      </c>
      <c r="I30" s="80">
        <v>7.73</v>
      </c>
      <c r="J30" s="80">
        <v>0.95</v>
      </c>
      <c r="K30" s="80">
        <v>0.29107374000000003</v>
      </c>
      <c r="L30" s="80">
        <v>0</v>
      </c>
      <c r="M30" s="80">
        <v>0.31</v>
      </c>
      <c r="N30" s="80">
        <v>0</v>
      </c>
    </row>
    <row r="31" spans="1:22" customFormat="1" ht="15" customHeight="1" x14ac:dyDescent="0.15">
      <c r="C31" s="80">
        <v>30</v>
      </c>
      <c r="E31" s="174" t="s">
        <v>221</v>
      </c>
      <c r="F31" s="80">
        <v>0</v>
      </c>
      <c r="G31" s="80">
        <v>160606.32800000001</v>
      </c>
      <c r="H31" s="80">
        <v>2.88</v>
      </c>
      <c r="I31" s="80">
        <v>25.78</v>
      </c>
      <c r="J31" s="80">
        <v>0.95</v>
      </c>
      <c r="K31" s="80">
        <v>0.111714512</v>
      </c>
      <c r="L31" s="80">
        <v>0</v>
      </c>
      <c r="M31" s="80">
        <v>0.35</v>
      </c>
      <c r="N31" s="80">
        <v>0</v>
      </c>
    </row>
    <row r="32" spans="1:22" customFormat="1" ht="15" customHeight="1" x14ac:dyDescent="0.15">
      <c r="C32" s="80">
        <v>31</v>
      </c>
      <c r="E32" s="174" t="s">
        <v>222</v>
      </c>
      <c r="F32" s="80">
        <v>0</v>
      </c>
      <c r="G32" s="80">
        <v>2248569.5</v>
      </c>
      <c r="H32" s="80">
        <v>2.0699999999999998</v>
      </c>
      <c r="I32" s="80">
        <v>10.78</v>
      </c>
      <c r="J32" s="80">
        <v>0.95</v>
      </c>
      <c r="K32" s="80">
        <v>0.192022264</v>
      </c>
      <c r="L32" s="80">
        <v>0</v>
      </c>
      <c r="M32" s="80">
        <v>0.36</v>
      </c>
      <c r="N32" s="80">
        <v>0</v>
      </c>
    </row>
    <row r="33" spans="3:14" customFormat="1" ht="15" customHeight="1" x14ac:dyDescent="0.15">
      <c r="C33" s="80">
        <v>32</v>
      </c>
      <c r="E33" s="174" t="s">
        <v>223</v>
      </c>
      <c r="F33" s="80">
        <v>0</v>
      </c>
      <c r="G33" s="80">
        <v>2000000</v>
      </c>
      <c r="H33" s="80">
        <v>2</v>
      </c>
      <c r="I33" s="80">
        <v>10.78</v>
      </c>
      <c r="J33" s="80">
        <v>0.95029070000000004</v>
      </c>
      <c r="K33" s="80">
        <v>0.18552875499999999</v>
      </c>
      <c r="L33" s="80">
        <v>0</v>
      </c>
      <c r="M33" s="80">
        <v>0.35</v>
      </c>
      <c r="N33" s="80">
        <v>0</v>
      </c>
    </row>
    <row r="34" spans="3:14" customFormat="1" ht="15" customHeight="1" x14ac:dyDescent="0.15">
      <c r="C34" s="80">
        <v>33</v>
      </c>
      <c r="E34" s="174" t="s">
        <v>224</v>
      </c>
      <c r="F34" s="80">
        <v>0</v>
      </c>
      <c r="G34" s="80">
        <v>1104811</v>
      </c>
      <c r="H34" s="80">
        <v>2</v>
      </c>
      <c r="I34" s="80">
        <v>7</v>
      </c>
      <c r="J34" s="80">
        <v>0.85</v>
      </c>
      <c r="K34" s="80">
        <v>0.28571429999999998</v>
      </c>
      <c r="L34" s="80">
        <v>0</v>
      </c>
      <c r="M34" s="80">
        <v>0.28999999999999998</v>
      </c>
      <c r="N34" s="80">
        <v>0</v>
      </c>
    </row>
    <row r="35" spans="3:14" customFormat="1" ht="15" customHeight="1" x14ac:dyDescent="0.15">
      <c r="C35" s="80">
        <v>34</v>
      </c>
      <c r="E35" s="174" t="s">
        <v>225</v>
      </c>
      <c r="F35" s="80">
        <v>0</v>
      </c>
      <c r="G35" s="80">
        <v>119695.023</v>
      </c>
      <c r="H35" s="80">
        <v>3.5</v>
      </c>
      <c r="I35" s="80">
        <v>10</v>
      </c>
      <c r="J35" s="80">
        <v>0.95</v>
      </c>
      <c r="K35" s="80">
        <v>0.35</v>
      </c>
      <c r="L35" s="80">
        <v>0</v>
      </c>
      <c r="M35" s="80">
        <v>0.34</v>
      </c>
      <c r="N35" s="80">
        <v>0</v>
      </c>
    </row>
    <row r="36" spans="3:14" customFormat="1" ht="15" customHeight="1" x14ac:dyDescent="0.15">
      <c r="C36" s="80">
        <v>35</v>
      </c>
      <c r="E36" s="174" t="s">
        <v>226</v>
      </c>
      <c r="F36" s="80">
        <v>0</v>
      </c>
      <c r="G36" s="80">
        <v>706713.59999999998</v>
      </c>
      <c r="H36" s="80">
        <v>64</v>
      </c>
      <c r="I36" s="80">
        <v>200</v>
      </c>
      <c r="J36" s="80">
        <v>0.68</v>
      </c>
      <c r="K36" s="80">
        <v>0.32</v>
      </c>
      <c r="L36" s="80">
        <v>0</v>
      </c>
      <c r="M36" s="80">
        <v>0.35</v>
      </c>
      <c r="N36" s="80">
        <v>0</v>
      </c>
    </row>
    <row r="37" spans="3:14" customFormat="1" ht="15" customHeight="1" x14ac:dyDescent="0.15">
      <c r="C37" s="80">
        <v>36</v>
      </c>
      <c r="E37" s="174" t="s">
        <v>227</v>
      </c>
      <c r="F37" s="80">
        <v>0</v>
      </c>
      <c r="G37" s="80">
        <v>826430.3</v>
      </c>
      <c r="H37" s="80">
        <v>143</v>
      </c>
      <c r="I37" s="80">
        <v>600</v>
      </c>
      <c r="J37" s="80">
        <v>0.98</v>
      </c>
      <c r="K37" s="80">
        <v>0.23833333000000001</v>
      </c>
      <c r="L37" s="80">
        <v>0</v>
      </c>
      <c r="M37" s="80">
        <v>0.42</v>
      </c>
      <c r="N37" s="80">
        <v>0</v>
      </c>
    </row>
    <row r="38" spans="3:14" customFormat="1" ht="15" customHeight="1" x14ac:dyDescent="0.15">
      <c r="C38" s="80">
        <v>37</v>
      </c>
      <c r="E38" s="174" t="s">
        <v>228</v>
      </c>
      <c r="F38" s="80">
        <v>1</v>
      </c>
      <c r="G38" s="80">
        <v>426096.21899999998</v>
      </c>
      <c r="H38" s="80">
        <v>125</v>
      </c>
      <c r="I38" s="80">
        <v>0</v>
      </c>
      <c r="J38" s="80">
        <v>0.9</v>
      </c>
      <c r="K38" s="80">
        <v>0</v>
      </c>
      <c r="L38" s="80">
        <v>0</v>
      </c>
      <c r="M38" s="80">
        <v>0</v>
      </c>
      <c r="N38" s="80">
        <v>0</v>
      </c>
    </row>
    <row r="39" spans="3:14" customFormat="1" ht="15" customHeight="1" x14ac:dyDescent="0.15">
      <c r="C39" s="80">
        <v>38</v>
      </c>
      <c r="E39" s="174" t="s">
        <v>229</v>
      </c>
      <c r="F39" s="80">
        <v>1</v>
      </c>
      <c r="G39" s="80">
        <v>2999202.75</v>
      </c>
      <c r="H39" s="80">
        <v>167</v>
      </c>
      <c r="I39" s="80">
        <v>0</v>
      </c>
      <c r="J39" s="80">
        <v>0.99</v>
      </c>
      <c r="K39" s="80">
        <v>0</v>
      </c>
      <c r="L39" s="80">
        <v>0</v>
      </c>
      <c r="M39" s="80">
        <v>0</v>
      </c>
      <c r="N39" s="80">
        <v>0</v>
      </c>
    </row>
    <row r="40" spans="3:14" customFormat="1" ht="15" customHeight="1" x14ac:dyDescent="0.15">
      <c r="C40" s="80">
        <v>39</v>
      </c>
      <c r="E40" s="174" t="s">
        <v>230</v>
      </c>
      <c r="F40" s="80">
        <v>2</v>
      </c>
      <c r="G40" s="80">
        <v>2000000</v>
      </c>
      <c r="H40" s="80">
        <v>0</v>
      </c>
      <c r="I40" s="80">
        <v>0</v>
      </c>
      <c r="J40" s="80">
        <v>0</v>
      </c>
      <c r="K40" s="80">
        <v>0</v>
      </c>
      <c r="L40" s="80">
        <v>307.95855699999998</v>
      </c>
      <c r="M40" s="80">
        <v>0.2</v>
      </c>
      <c r="N40" s="80">
        <v>0</v>
      </c>
    </row>
    <row r="41" spans="3:14" customFormat="1" ht="15" customHeight="1" x14ac:dyDescent="0.15">
      <c r="C41" s="80">
        <v>40</v>
      </c>
      <c r="E41" s="174" t="s">
        <v>231</v>
      </c>
      <c r="F41" s="80">
        <v>2</v>
      </c>
      <c r="G41" s="80">
        <v>5</v>
      </c>
      <c r="H41" s="80">
        <v>0</v>
      </c>
      <c r="I41" s="80">
        <v>0</v>
      </c>
      <c r="J41" s="80">
        <v>0</v>
      </c>
      <c r="K41" s="80">
        <v>0</v>
      </c>
      <c r="L41" s="80">
        <v>0</v>
      </c>
      <c r="M41" s="80">
        <v>0</v>
      </c>
      <c r="N41" s="80">
        <v>0</v>
      </c>
    </row>
    <row r="42" spans="3:14" customFormat="1" ht="15" customHeight="1" x14ac:dyDescent="0.15">
      <c r="C42" s="80">
        <v>41</v>
      </c>
      <c r="E42" s="174" t="s">
        <v>232</v>
      </c>
      <c r="F42" s="80">
        <v>3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0</v>
      </c>
      <c r="N42" s="80">
        <v>0</v>
      </c>
    </row>
    <row r="43" spans="3:14" customFormat="1" ht="15" customHeight="1" x14ac:dyDescent="0.15">
      <c r="C43" s="80">
        <v>42</v>
      </c>
      <c r="E43" s="174" t="s">
        <v>233</v>
      </c>
      <c r="F43" s="80">
        <v>3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0</v>
      </c>
      <c r="M43" s="80">
        <v>0</v>
      </c>
      <c r="N43" s="80">
        <v>0</v>
      </c>
    </row>
    <row r="44" spans="3:14" customFormat="1" ht="15" customHeight="1" x14ac:dyDescent="0.15">
      <c r="C44" s="80">
        <v>43</v>
      </c>
      <c r="E44" s="174" t="s">
        <v>234</v>
      </c>
      <c r="F44" s="80">
        <v>3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0</v>
      </c>
      <c r="M44" s="80">
        <v>0</v>
      </c>
      <c r="N44" s="80">
        <v>0</v>
      </c>
    </row>
    <row r="45" spans="3:14" customFormat="1" ht="15" customHeight="1" x14ac:dyDescent="0.15">
      <c r="C45" s="80">
        <v>44</v>
      </c>
      <c r="E45" s="174" t="s">
        <v>235</v>
      </c>
      <c r="F45" s="80">
        <v>3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0</v>
      </c>
      <c r="M45" s="80">
        <v>0</v>
      </c>
      <c r="N45" s="80">
        <v>0</v>
      </c>
    </row>
    <row r="46" spans="3:14" customFormat="1" ht="15" customHeight="1" x14ac:dyDescent="0.15">
      <c r="C46" s="80">
        <v>45</v>
      </c>
      <c r="E46" s="174" t="s">
        <v>236</v>
      </c>
      <c r="F46" s="80">
        <v>3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0</v>
      </c>
      <c r="M46" s="80">
        <v>0</v>
      </c>
      <c r="N46" s="80">
        <v>0</v>
      </c>
    </row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O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39" bestFit="1" customWidth="1"/>
    <col min="2" max="3" width="4.83203125" style="139" bestFit="1" customWidth="1"/>
    <col min="4" max="10" width="5.83203125" style="139" bestFit="1" customWidth="1"/>
    <col min="11" max="11" width="14.83203125" style="139" bestFit="1" customWidth="1"/>
    <col min="12" max="12" width="5.83203125" style="139" bestFit="1" customWidth="1"/>
    <col min="13" max="13" width="14.83203125" style="139" bestFit="1" customWidth="1"/>
    <col min="14" max="16" width="5.83203125" style="139" bestFit="1" customWidth="1"/>
    <col min="17" max="17" width="4.83203125" style="139" bestFit="1" customWidth="1"/>
    <col min="18" max="20" width="5.83203125" style="139" bestFit="1" customWidth="1"/>
    <col min="21" max="21" width="13.83203125" style="139" bestFit="1" customWidth="1"/>
    <col min="22" max="26" width="5.83203125" style="139" bestFit="1" customWidth="1"/>
    <col min="27" max="27" width="13.83203125" style="139" bestFit="1" customWidth="1"/>
    <col min="28" max="28" width="5.83203125" style="139" bestFit="1" customWidth="1"/>
    <col min="29" max="29" width="14.83203125" style="139" bestFit="1" customWidth="1"/>
    <col min="30" max="31" width="5.83203125" style="139" customWidth="1"/>
    <col min="32" max="32" width="14.83203125" style="139" customWidth="1"/>
    <col min="33" max="33" width="4.83203125" style="139" customWidth="1"/>
    <col min="34" max="36" width="5.83203125" style="139" customWidth="1"/>
    <col min="37" max="41" width="2.33203125" style="139" customWidth="1"/>
    <col min="42" max="16384" width="8.83203125" style="139"/>
  </cols>
  <sheetData>
    <row r="1" spans="1:41" x14ac:dyDescent="0.15">
      <c r="A1" s="138" t="s">
        <v>19</v>
      </c>
      <c r="B1" s="176" t="s">
        <v>192</v>
      </c>
      <c r="C1" s="176" t="s">
        <v>193</v>
      </c>
      <c r="D1" s="176" t="s">
        <v>194</v>
      </c>
      <c r="E1" s="176" t="s">
        <v>195</v>
      </c>
      <c r="F1" s="176" t="s">
        <v>196</v>
      </c>
      <c r="G1" s="176" t="s">
        <v>197</v>
      </c>
      <c r="H1" s="176" t="s">
        <v>198</v>
      </c>
      <c r="I1" s="176" t="s">
        <v>199</v>
      </c>
      <c r="J1" s="176" t="s">
        <v>200</v>
      </c>
      <c r="K1" s="176" t="s">
        <v>201</v>
      </c>
      <c r="L1" s="176" t="s">
        <v>202</v>
      </c>
      <c r="M1" s="176" t="s">
        <v>203</v>
      </c>
      <c r="N1" s="176" t="s">
        <v>204</v>
      </c>
      <c r="O1" s="176" t="s">
        <v>205</v>
      </c>
      <c r="P1" s="176" t="s">
        <v>206</v>
      </c>
      <c r="Q1" s="176" t="s">
        <v>207</v>
      </c>
      <c r="R1" s="176" t="s">
        <v>208</v>
      </c>
      <c r="S1" s="176" t="s">
        <v>209</v>
      </c>
      <c r="T1" s="176" t="s">
        <v>210</v>
      </c>
      <c r="U1" s="176" t="s">
        <v>211</v>
      </c>
      <c r="V1" s="176" t="s">
        <v>212</v>
      </c>
      <c r="W1" s="176" t="s">
        <v>213</v>
      </c>
      <c r="X1" s="176" t="s">
        <v>214</v>
      </c>
      <c r="Y1" s="176" t="s">
        <v>215</v>
      </c>
      <c r="Z1" s="176" t="s">
        <v>216</v>
      </c>
      <c r="AA1" s="176" t="s">
        <v>217</v>
      </c>
      <c r="AB1" s="176" t="s">
        <v>218</v>
      </c>
      <c r="AC1" s="176" t="s">
        <v>219</v>
      </c>
      <c r="AD1" s="176" t="s">
        <v>220</v>
      </c>
      <c r="AE1" s="176" t="s">
        <v>221</v>
      </c>
      <c r="AF1" s="176" t="s">
        <v>222</v>
      </c>
      <c r="AG1" s="176" t="s">
        <v>223</v>
      </c>
      <c r="AH1" s="176" t="s">
        <v>224</v>
      </c>
      <c r="AI1" s="176" t="s">
        <v>225</v>
      </c>
      <c r="AJ1" s="176" t="s">
        <v>226</v>
      </c>
      <c r="AK1" s="176" t="s">
        <v>227</v>
      </c>
      <c r="AL1" s="176" t="s">
        <v>228</v>
      </c>
      <c r="AM1" s="176" t="s">
        <v>229</v>
      </c>
      <c r="AN1" s="176" t="s">
        <v>230</v>
      </c>
      <c r="AO1" s="176" t="s">
        <v>231</v>
      </c>
    </row>
    <row r="2" spans="1:41" customFormat="1" x14ac:dyDescent="0.15">
      <c r="A2" s="175" t="s">
        <v>192</v>
      </c>
      <c r="B2" s="139">
        <v>0</v>
      </c>
      <c r="C2" s="139">
        <v>0</v>
      </c>
      <c r="D2" s="139">
        <v>0</v>
      </c>
      <c r="E2" s="139">
        <v>0</v>
      </c>
      <c r="F2" s="139">
        <v>0</v>
      </c>
      <c r="G2" s="139">
        <v>0</v>
      </c>
      <c r="H2" s="139">
        <v>0</v>
      </c>
      <c r="I2" s="139">
        <v>0</v>
      </c>
      <c r="J2" s="139">
        <v>0</v>
      </c>
      <c r="K2" s="139">
        <v>0</v>
      </c>
      <c r="L2" s="139">
        <v>0</v>
      </c>
      <c r="M2" s="139">
        <v>0</v>
      </c>
      <c r="N2" s="139">
        <v>0</v>
      </c>
      <c r="O2" s="139">
        <v>0</v>
      </c>
      <c r="P2" s="139">
        <v>2E-3</v>
      </c>
      <c r="Q2" s="139">
        <v>0</v>
      </c>
      <c r="R2" s="139">
        <v>0</v>
      </c>
      <c r="S2" s="139">
        <v>0</v>
      </c>
      <c r="T2" s="139">
        <v>0</v>
      </c>
      <c r="U2" s="139">
        <v>0</v>
      </c>
      <c r="V2" s="139">
        <v>0</v>
      </c>
      <c r="W2" s="139">
        <v>0</v>
      </c>
      <c r="X2" s="139">
        <v>0</v>
      </c>
      <c r="Y2" s="139">
        <v>0</v>
      </c>
      <c r="Z2" s="139">
        <v>0</v>
      </c>
      <c r="AA2" s="139">
        <v>0</v>
      </c>
      <c r="AB2" s="139">
        <v>0</v>
      </c>
      <c r="AC2" s="139">
        <v>2.000000066520007E-3</v>
      </c>
      <c r="AD2" s="139">
        <v>0</v>
      </c>
      <c r="AE2" s="139">
        <v>0</v>
      </c>
      <c r="AF2" s="139">
        <v>0</v>
      </c>
      <c r="AG2" s="139">
        <v>0</v>
      </c>
      <c r="AH2" s="139">
        <v>0</v>
      </c>
      <c r="AI2" s="139">
        <v>0</v>
      </c>
      <c r="AJ2" s="139">
        <v>0</v>
      </c>
      <c r="AK2" s="139">
        <v>0</v>
      </c>
      <c r="AL2" s="139">
        <v>0</v>
      </c>
      <c r="AM2" s="139">
        <v>0</v>
      </c>
      <c r="AN2" s="139">
        <v>0</v>
      </c>
      <c r="AO2" s="139">
        <v>0</v>
      </c>
    </row>
    <row r="3" spans="1:41" customFormat="1" x14ac:dyDescent="0.15">
      <c r="A3" s="175" t="s">
        <v>193</v>
      </c>
      <c r="B3" s="139">
        <v>0</v>
      </c>
      <c r="C3" s="139">
        <v>0</v>
      </c>
      <c r="D3" s="139">
        <v>0</v>
      </c>
      <c r="E3" s="139">
        <v>0</v>
      </c>
      <c r="F3" s="139">
        <v>0</v>
      </c>
      <c r="G3" s="139">
        <v>0</v>
      </c>
      <c r="H3" s="139">
        <v>0</v>
      </c>
      <c r="I3" s="139">
        <v>0</v>
      </c>
      <c r="J3" s="139">
        <v>0</v>
      </c>
      <c r="K3" s="139">
        <v>0</v>
      </c>
      <c r="L3" s="139">
        <v>0</v>
      </c>
      <c r="M3" s="139">
        <v>0</v>
      </c>
      <c r="N3" s="139">
        <v>0</v>
      </c>
      <c r="O3" s="139">
        <v>0</v>
      </c>
      <c r="P3" s="139">
        <v>0</v>
      </c>
      <c r="Q3" s="139">
        <v>0</v>
      </c>
      <c r="R3" s="139">
        <v>0</v>
      </c>
      <c r="S3" s="139">
        <v>0</v>
      </c>
      <c r="T3" s="139">
        <v>0</v>
      </c>
      <c r="U3" s="139">
        <v>0</v>
      </c>
      <c r="V3" s="139">
        <v>0</v>
      </c>
      <c r="W3" s="139">
        <v>0</v>
      </c>
      <c r="X3" s="139">
        <v>0</v>
      </c>
      <c r="Y3" s="139">
        <v>0</v>
      </c>
      <c r="Z3" s="139">
        <v>0</v>
      </c>
      <c r="AA3" s="139">
        <v>0</v>
      </c>
      <c r="AB3" s="139">
        <v>0</v>
      </c>
      <c r="AC3" s="139">
        <v>1.0000000032600001E-3</v>
      </c>
      <c r="AD3" s="139">
        <v>0</v>
      </c>
      <c r="AE3" s="139">
        <v>0</v>
      </c>
      <c r="AF3" s="139">
        <v>0</v>
      </c>
      <c r="AG3" s="139">
        <v>0</v>
      </c>
      <c r="AH3" s="139">
        <v>0</v>
      </c>
      <c r="AI3" s="139">
        <v>0</v>
      </c>
      <c r="AJ3" s="139">
        <v>0</v>
      </c>
      <c r="AK3" s="139">
        <v>0</v>
      </c>
      <c r="AL3" s="139">
        <v>0</v>
      </c>
      <c r="AM3" s="139">
        <v>0</v>
      </c>
      <c r="AN3" s="139">
        <v>0</v>
      </c>
      <c r="AO3" s="139">
        <v>0</v>
      </c>
    </row>
    <row r="4" spans="1:41" customFormat="1" x14ac:dyDescent="0.15">
      <c r="A4" s="175" t="s">
        <v>194</v>
      </c>
      <c r="B4" s="139">
        <v>0</v>
      </c>
      <c r="C4" s="139">
        <v>0</v>
      </c>
      <c r="D4" s="139">
        <v>0</v>
      </c>
      <c r="E4" s="139">
        <v>0</v>
      </c>
      <c r="F4" s="139">
        <v>0</v>
      </c>
      <c r="G4" s="139">
        <v>0</v>
      </c>
      <c r="H4" s="139">
        <v>0</v>
      </c>
      <c r="I4" s="139">
        <v>0</v>
      </c>
      <c r="J4" s="139">
        <v>0</v>
      </c>
      <c r="K4" s="139">
        <v>0</v>
      </c>
      <c r="L4" s="139">
        <v>0</v>
      </c>
      <c r="M4" s="139">
        <v>0</v>
      </c>
      <c r="N4" s="139">
        <v>0</v>
      </c>
      <c r="O4" s="139">
        <v>0</v>
      </c>
      <c r="P4" s="139">
        <v>0</v>
      </c>
      <c r="Q4" s="139">
        <v>0</v>
      </c>
      <c r="R4" s="139">
        <v>0</v>
      </c>
      <c r="S4" s="139">
        <v>0</v>
      </c>
      <c r="T4" s="139">
        <v>0</v>
      </c>
      <c r="U4" s="139">
        <v>0</v>
      </c>
      <c r="V4" s="139">
        <v>0</v>
      </c>
      <c r="W4" s="139">
        <v>0</v>
      </c>
      <c r="X4" s="139">
        <v>0</v>
      </c>
      <c r="Y4" s="139">
        <v>0</v>
      </c>
      <c r="Z4" s="139">
        <v>0</v>
      </c>
      <c r="AA4" s="139">
        <v>0</v>
      </c>
      <c r="AB4" s="139">
        <v>0</v>
      </c>
      <c r="AC4" s="139">
        <v>0</v>
      </c>
      <c r="AD4" s="139">
        <v>0</v>
      </c>
      <c r="AE4" s="139">
        <v>0</v>
      </c>
      <c r="AF4" s="139">
        <v>0</v>
      </c>
      <c r="AG4" s="139">
        <v>0</v>
      </c>
      <c r="AH4" s="139">
        <v>0</v>
      </c>
      <c r="AI4" s="139">
        <v>0</v>
      </c>
      <c r="AJ4" s="139">
        <v>0</v>
      </c>
      <c r="AK4" s="139">
        <v>0</v>
      </c>
      <c r="AL4" s="139">
        <v>0</v>
      </c>
      <c r="AM4" s="139">
        <v>0</v>
      </c>
      <c r="AN4" s="139">
        <v>0</v>
      </c>
      <c r="AO4" s="139">
        <v>0</v>
      </c>
    </row>
    <row r="5" spans="1:41" customFormat="1" x14ac:dyDescent="0.15">
      <c r="A5" s="175" t="s">
        <v>195</v>
      </c>
      <c r="B5" s="139">
        <v>0</v>
      </c>
      <c r="C5" s="139">
        <v>0</v>
      </c>
      <c r="D5" s="139">
        <v>0</v>
      </c>
      <c r="E5" s="139">
        <v>0</v>
      </c>
      <c r="F5" s="139">
        <v>0</v>
      </c>
      <c r="G5" s="139">
        <v>0</v>
      </c>
      <c r="H5" s="139">
        <v>0</v>
      </c>
      <c r="I5" s="139">
        <v>0</v>
      </c>
      <c r="J5" s="139">
        <v>0</v>
      </c>
      <c r="K5" s="139">
        <v>0</v>
      </c>
      <c r="L5" s="139">
        <v>0</v>
      </c>
      <c r="M5" s="139">
        <v>0</v>
      </c>
      <c r="N5" s="139">
        <v>0</v>
      </c>
      <c r="O5" s="139">
        <v>0</v>
      </c>
      <c r="P5" s="139">
        <v>0</v>
      </c>
      <c r="Q5" s="139">
        <v>0</v>
      </c>
      <c r="R5" s="139">
        <v>0</v>
      </c>
      <c r="S5" s="139">
        <v>0</v>
      </c>
      <c r="T5" s="139">
        <v>0</v>
      </c>
      <c r="U5" s="139">
        <v>0</v>
      </c>
      <c r="V5" s="139">
        <v>0</v>
      </c>
      <c r="W5" s="139">
        <v>0</v>
      </c>
      <c r="X5" s="139">
        <v>0</v>
      </c>
      <c r="Y5" s="139">
        <v>0</v>
      </c>
      <c r="Z5" s="139">
        <v>0</v>
      </c>
      <c r="AA5" s="139">
        <v>0</v>
      </c>
      <c r="AB5" s="139">
        <v>0</v>
      </c>
      <c r="AC5" s="139">
        <v>0</v>
      </c>
      <c r="AD5" s="139">
        <v>0</v>
      </c>
      <c r="AE5" s="139">
        <v>0</v>
      </c>
      <c r="AF5" s="139">
        <v>0</v>
      </c>
      <c r="AG5" s="139">
        <v>0</v>
      </c>
      <c r="AH5" s="139">
        <v>0</v>
      </c>
      <c r="AI5" s="139">
        <v>0</v>
      </c>
      <c r="AJ5" s="139">
        <v>0</v>
      </c>
      <c r="AK5" s="139">
        <v>0</v>
      </c>
      <c r="AL5" s="139">
        <v>0</v>
      </c>
      <c r="AM5" s="139">
        <v>0</v>
      </c>
      <c r="AN5" s="139">
        <v>0</v>
      </c>
      <c r="AO5" s="139">
        <v>0</v>
      </c>
    </row>
    <row r="6" spans="1:41" customFormat="1" x14ac:dyDescent="0.15">
      <c r="A6" s="175" t="s">
        <v>196</v>
      </c>
      <c r="B6" s="139">
        <v>0</v>
      </c>
      <c r="C6" s="139">
        <v>0</v>
      </c>
      <c r="D6" s="139">
        <v>0</v>
      </c>
      <c r="E6" s="139">
        <v>0</v>
      </c>
      <c r="F6" s="139">
        <v>0</v>
      </c>
      <c r="G6" s="139">
        <v>0</v>
      </c>
      <c r="H6" s="139">
        <v>0</v>
      </c>
      <c r="I6" s="139">
        <v>0</v>
      </c>
      <c r="J6" s="139">
        <v>0</v>
      </c>
      <c r="K6" s="139">
        <v>3.0000002555499797E-3</v>
      </c>
      <c r="L6" s="139">
        <v>0</v>
      </c>
      <c r="M6" s="139">
        <v>0</v>
      </c>
      <c r="N6" s="139">
        <v>0</v>
      </c>
      <c r="O6" s="139">
        <v>0</v>
      </c>
      <c r="P6" s="139">
        <v>3.0000000000000001E-3</v>
      </c>
      <c r="Q6" s="139">
        <v>0</v>
      </c>
      <c r="R6" s="139">
        <v>0</v>
      </c>
      <c r="S6" s="139">
        <v>0</v>
      </c>
      <c r="T6" s="139">
        <v>0</v>
      </c>
      <c r="U6" s="139">
        <v>0</v>
      </c>
      <c r="V6" s="139">
        <v>0</v>
      </c>
      <c r="W6" s="139">
        <v>0</v>
      </c>
      <c r="X6" s="139">
        <v>0</v>
      </c>
      <c r="Y6" s="139">
        <v>0</v>
      </c>
      <c r="Z6" s="139">
        <v>0</v>
      </c>
      <c r="AA6" s="139">
        <v>0</v>
      </c>
      <c r="AB6" s="139">
        <v>0</v>
      </c>
      <c r="AC6" s="139">
        <v>2.000000066520007E-3</v>
      </c>
      <c r="AD6" s="139">
        <v>0</v>
      </c>
      <c r="AE6" s="139">
        <v>0</v>
      </c>
      <c r="AF6" s="139">
        <v>0</v>
      </c>
      <c r="AG6" s="139">
        <v>0</v>
      </c>
      <c r="AH6" s="139">
        <v>0</v>
      </c>
      <c r="AI6" s="139">
        <v>0</v>
      </c>
      <c r="AJ6" s="139">
        <v>0</v>
      </c>
      <c r="AK6" s="139">
        <v>0</v>
      </c>
      <c r="AL6" s="139">
        <v>0</v>
      </c>
      <c r="AM6" s="139">
        <v>0</v>
      </c>
      <c r="AN6" s="139">
        <v>0</v>
      </c>
      <c r="AO6" s="139">
        <v>0</v>
      </c>
    </row>
    <row r="7" spans="1:41" customFormat="1" x14ac:dyDescent="0.15">
      <c r="A7" s="175" t="s">
        <v>197</v>
      </c>
      <c r="B7" s="139">
        <v>0</v>
      </c>
      <c r="C7" s="139">
        <v>0</v>
      </c>
      <c r="D7" s="139">
        <v>0</v>
      </c>
      <c r="E7" s="139">
        <v>0</v>
      </c>
      <c r="F7" s="139">
        <v>0</v>
      </c>
      <c r="G7" s="139">
        <v>0</v>
      </c>
      <c r="H7" s="139">
        <v>0</v>
      </c>
      <c r="I7" s="139">
        <v>0</v>
      </c>
      <c r="J7" s="139">
        <v>0</v>
      </c>
      <c r="K7" s="139">
        <v>1.2000001062199915E-2</v>
      </c>
      <c r="L7" s="139">
        <v>0</v>
      </c>
      <c r="M7" s="139">
        <v>0</v>
      </c>
      <c r="N7" s="139">
        <v>0</v>
      </c>
      <c r="O7" s="139">
        <v>0</v>
      </c>
      <c r="P7" s="139">
        <v>1.7000000000000001E-2</v>
      </c>
      <c r="Q7" s="139">
        <v>0</v>
      </c>
      <c r="R7" s="139">
        <v>0</v>
      </c>
      <c r="S7" s="139">
        <v>0</v>
      </c>
      <c r="T7" s="139">
        <v>0</v>
      </c>
      <c r="U7" s="139">
        <v>0</v>
      </c>
      <c r="V7" s="139">
        <v>0</v>
      </c>
      <c r="W7" s="139">
        <v>0</v>
      </c>
      <c r="X7" s="139">
        <v>0</v>
      </c>
      <c r="Y7" s="139">
        <v>0</v>
      </c>
      <c r="Z7" s="139">
        <v>0</v>
      </c>
      <c r="AA7" s="139">
        <v>0</v>
      </c>
      <c r="AB7" s="139">
        <v>0</v>
      </c>
      <c r="AC7" s="139">
        <v>7.9999998260799812E-3</v>
      </c>
      <c r="AD7" s="139">
        <v>0</v>
      </c>
      <c r="AE7" s="139">
        <v>0</v>
      </c>
      <c r="AF7" s="139">
        <v>0</v>
      </c>
      <c r="AG7" s="139">
        <v>0</v>
      </c>
      <c r="AH7" s="139">
        <v>0</v>
      </c>
      <c r="AI7" s="139">
        <v>0</v>
      </c>
      <c r="AJ7" s="139">
        <v>0</v>
      </c>
      <c r="AK7" s="139">
        <v>0</v>
      </c>
      <c r="AL7" s="139">
        <v>0</v>
      </c>
      <c r="AM7" s="139">
        <v>0</v>
      </c>
      <c r="AN7" s="139">
        <v>0</v>
      </c>
      <c r="AO7" s="139">
        <v>0</v>
      </c>
    </row>
    <row r="8" spans="1:41" customFormat="1" x14ac:dyDescent="0.15">
      <c r="A8" s="175" t="s">
        <v>198</v>
      </c>
      <c r="B8" s="139">
        <v>0</v>
      </c>
      <c r="C8" s="139">
        <v>0</v>
      </c>
      <c r="D8" s="139">
        <v>0</v>
      </c>
      <c r="E8" s="139">
        <v>0</v>
      </c>
      <c r="F8" s="139">
        <v>0</v>
      </c>
      <c r="G8" s="139">
        <v>0</v>
      </c>
      <c r="H8" s="139">
        <v>0</v>
      </c>
      <c r="I8" s="139">
        <v>0</v>
      </c>
      <c r="J8" s="139">
        <v>0</v>
      </c>
      <c r="K8" s="139">
        <v>0</v>
      </c>
      <c r="L8" s="139">
        <v>0</v>
      </c>
      <c r="M8" s="139">
        <v>0</v>
      </c>
      <c r="N8" s="139">
        <v>0</v>
      </c>
      <c r="O8" s="139">
        <v>0</v>
      </c>
      <c r="P8" s="139">
        <v>6.0000000000000001E-3</v>
      </c>
      <c r="Q8" s="139">
        <v>0</v>
      </c>
      <c r="R8" s="139">
        <v>0</v>
      </c>
      <c r="S8" s="139">
        <v>0</v>
      </c>
      <c r="T8" s="139">
        <v>0</v>
      </c>
      <c r="U8" s="139">
        <v>0</v>
      </c>
      <c r="V8" s="139">
        <v>0</v>
      </c>
      <c r="W8" s="139">
        <v>0</v>
      </c>
      <c r="X8" s="139">
        <v>0</v>
      </c>
      <c r="Y8" s="139">
        <v>0</v>
      </c>
      <c r="Z8" s="139">
        <v>0</v>
      </c>
      <c r="AA8" s="139">
        <v>0</v>
      </c>
      <c r="AB8" s="139">
        <v>0</v>
      </c>
      <c r="AC8" s="139">
        <v>0</v>
      </c>
      <c r="AD8" s="139">
        <v>0</v>
      </c>
      <c r="AE8" s="139">
        <v>0</v>
      </c>
      <c r="AF8" s="139">
        <v>0</v>
      </c>
      <c r="AG8" s="139">
        <v>0</v>
      </c>
      <c r="AH8" s="139">
        <v>0</v>
      </c>
      <c r="AI8" s="139">
        <v>0</v>
      </c>
      <c r="AJ8" s="139">
        <v>0</v>
      </c>
      <c r="AK8" s="139">
        <v>0</v>
      </c>
      <c r="AL8" s="139">
        <v>0</v>
      </c>
      <c r="AM8" s="139">
        <v>0</v>
      </c>
      <c r="AN8" s="139">
        <v>0</v>
      </c>
      <c r="AO8" s="139">
        <v>0</v>
      </c>
    </row>
    <row r="9" spans="1:41" customFormat="1" x14ac:dyDescent="0.15">
      <c r="A9" s="175" t="s">
        <v>199</v>
      </c>
      <c r="B9" s="139">
        <v>0</v>
      </c>
      <c r="C9" s="139">
        <v>0</v>
      </c>
      <c r="D9" s="139">
        <v>0</v>
      </c>
      <c r="E9" s="139">
        <v>0</v>
      </c>
      <c r="F9" s="139">
        <v>0</v>
      </c>
      <c r="G9" s="139">
        <v>0</v>
      </c>
      <c r="H9" s="139">
        <v>0</v>
      </c>
      <c r="I9" s="139">
        <v>0</v>
      </c>
      <c r="J9" s="139">
        <v>0</v>
      </c>
      <c r="K9" s="139">
        <v>1.9999999837000012E-2</v>
      </c>
      <c r="L9" s="139">
        <v>0</v>
      </c>
      <c r="M9" s="139">
        <v>0</v>
      </c>
      <c r="N9" s="139">
        <v>0</v>
      </c>
      <c r="O9" s="139">
        <v>0</v>
      </c>
      <c r="P9" s="139">
        <v>0.01</v>
      </c>
      <c r="Q9" s="139">
        <v>0</v>
      </c>
      <c r="R9" s="139">
        <v>0</v>
      </c>
      <c r="S9" s="139">
        <v>0</v>
      </c>
      <c r="T9" s="139">
        <v>0</v>
      </c>
      <c r="U9" s="139">
        <v>0</v>
      </c>
      <c r="V9" s="139">
        <v>0</v>
      </c>
      <c r="W9" s="139">
        <v>0</v>
      </c>
      <c r="X9" s="139">
        <v>9.9999999999999985E-3</v>
      </c>
      <c r="Y9" s="139">
        <v>0</v>
      </c>
      <c r="Z9" s="139">
        <v>0</v>
      </c>
      <c r="AA9" s="139">
        <v>0</v>
      </c>
      <c r="AB9" s="139">
        <v>0</v>
      </c>
      <c r="AC9" s="139">
        <v>0</v>
      </c>
      <c r="AD9" s="139">
        <v>0</v>
      </c>
      <c r="AE9" s="139">
        <v>0</v>
      </c>
      <c r="AF9" s="139">
        <v>0</v>
      </c>
      <c r="AG9" s="139">
        <v>0</v>
      </c>
      <c r="AH9" s="139">
        <v>0</v>
      </c>
      <c r="AI9" s="139">
        <v>0</v>
      </c>
      <c r="AJ9" s="139">
        <v>0</v>
      </c>
      <c r="AK9" s="139">
        <v>0</v>
      </c>
      <c r="AL9" s="139">
        <v>0</v>
      </c>
      <c r="AM9" s="139">
        <v>0</v>
      </c>
      <c r="AN9" s="139">
        <v>0</v>
      </c>
      <c r="AO9" s="139">
        <v>0</v>
      </c>
    </row>
    <row r="10" spans="1:41" customFormat="1" x14ac:dyDescent="0.15">
      <c r="A10" s="175" t="s">
        <v>200</v>
      </c>
      <c r="B10" s="139">
        <v>0</v>
      </c>
      <c r="C10" s="139">
        <v>0</v>
      </c>
      <c r="D10" s="139">
        <v>0</v>
      </c>
      <c r="E10" s="139">
        <v>0</v>
      </c>
      <c r="F10" s="139">
        <v>0</v>
      </c>
      <c r="G10" s="139">
        <v>0</v>
      </c>
      <c r="H10" s="139">
        <v>0</v>
      </c>
      <c r="I10" s="139">
        <v>0</v>
      </c>
      <c r="J10" s="139">
        <v>0</v>
      </c>
      <c r="K10" s="139">
        <v>1.9999999837000012E-2</v>
      </c>
      <c r="L10" s="139">
        <v>0</v>
      </c>
      <c r="M10" s="139">
        <v>0</v>
      </c>
      <c r="N10" s="139">
        <v>0</v>
      </c>
      <c r="O10" s="139">
        <v>0</v>
      </c>
      <c r="P10" s="139">
        <v>0.01</v>
      </c>
      <c r="Q10" s="139">
        <v>0</v>
      </c>
      <c r="R10" s="139">
        <v>0</v>
      </c>
      <c r="S10" s="139">
        <v>0</v>
      </c>
      <c r="T10" s="139">
        <v>0</v>
      </c>
      <c r="U10" s="139">
        <v>0</v>
      </c>
      <c r="V10" s="139">
        <v>0</v>
      </c>
      <c r="W10" s="139">
        <v>0</v>
      </c>
      <c r="X10" s="139">
        <v>9.9999999999999985E-3</v>
      </c>
      <c r="Y10" s="139">
        <v>0</v>
      </c>
      <c r="Z10" s="139">
        <v>0</v>
      </c>
      <c r="AA10" s="139">
        <v>0</v>
      </c>
      <c r="AB10" s="139">
        <v>0</v>
      </c>
      <c r="AC10" s="139">
        <v>0</v>
      </c>
      <c r="AD10" s="139">
        <v>0</v>
      </c>
      <c r="AE10" s="139">
        <v>0</v>
      </c>
      <c r="AF10" s="139">
        <v>0</v>
      </c>
      <c r="AG10" s="139">
        <v>0</v>
      </c>
      <c r="AH10" s="139">
        <v>0</v>
      </c>
      <c r="AI10" s="139">
        <v>0</v>
      </c>
      <c r="AJ10" s="139">
        <v>0</v>
      </c>
      <c r="AK10" s="139">
        <v>0</v>
      </c>
      <c r="AL10" s="139">
        <v>0</v>
      </c>
      <c r="AM10" s="139">
        <v>0</v>
      </c>
      <c r="AN10" s="139">
        <v>0</v>
      </c>
      <c r="AO10" s="139">
        <v>0</v>
      </c>
    </row>
    <row r="11" spans="1:41" customFormat="1" x14ac:dyDescent="0.15">
      <c r="A11" s="175" t="s">
        <v>201</v>
      </c>
      <c r="B11" s="139">
        <v>0</v>
      </c>
      <c r="C11" s="139">
        <v>0</v>
      </c>
      <c r="D11" s="139">
        <v>0</v>
      </c>
      <c r="E11" s="139">
        <v>0</v>
      </c>
      <c r="F11" s="139">
        <v>0</v>
      </c>
      <c r="G11" s="139">
        <v>0</v>
      </c>
      <c r="H11" s="139">
        <v>0</v>
      </c>
      <c r="I11" s="139">
        <v>0</v>
      </c>
      <c r="J11" s="139">
        <v>0</v>
      </c>
      <c r="K11" s="139">
        <v>0</v>
      </c>
      <c r="L11" s="139">
        <v>0</v>
      </c>
      <c r="M11" s="139">
        <v>0</v>
      </c>
      <c r="N11" s="139">
        <v>0</v>
      </c>
      <c r="O11" s="139">
        <v>0</v>
      </c>
      <c r="P11" s="139">
        <v>0</v>
      </c>
      <c r="Q11" s="139">
        <v>0</v>
      </c>
      <c r="R11" s="139">
        <v>0</v>
      </c>
      <c r="S11" s="139">
        <v>0</v>
      </c>
      <c r="T11" s="139">
        <v>0</v>
      </c>
      <c r="U11" s="139">
        <v>0</v>
      </c>
      <c r="V11" s="139">
        <v>0</v>
      </c>
      <c r="W11" s="139">
        <v>0</v>
      </c>
      <c r="X11" s="139">
        <v>0</v>
      </c>
      <c r="Y11" s="139">
        <v>0</v>
      </c>
      <c r="Z11" s="139">
        <v>0</v>
      </c>
      <c r="AA11" s="139">
        <v>0</v>
      </c>
      <c r="AB11" s="139">
        <v>0</v>
      </c>
      <c r="AC11" s="139">
        <v>0</v>
      </c>
      <c r="AD11" s="139">
        <v>0</v>
      </c>
      <c r="AE11" s="139">
        <v>0</v>
      </c>
      <c r="AF11" s="139">
        <v>0</v>
      </c>
      <c r="AG11" s="139">
        <v>0</v>
      </c>
      <c r="AH11" s="139">
        <v>0</v>
      </c>
      <c r="AI11" s="139">
        <v>0</v>
      </c>
      <c r="AJ11" s="139">
        <v>0</v>
      </c>
      <c r="AK11" s="139">
        <v>0</v>
      </c>
      <c r="AL11" s="139">
        <v>0</v>
      </c>
      <c r="AM11" s="139">
        <v>0</v>
      </c>
      <c r="AN11" s="139">
        <v>0</v>
      </c>
      <c r="AO11" s="139">
        <v>0</v>
      </c>
    </row>
    <row r="12" spans="1:41" customFormat="1" x14ac:dyDescent="0.15">
      <c r="A12" s="175" t="s">
        <v>202</v>
      </c>
      <c r="B12" s="139">
        <v>0</v>
      </c>
      <c r="C12" s="139">
        <v>0</v>
      </c>
      <c r="D12" s="139">
        <v>0</v>
      </c>
      <c r="E12" s="139">
        <v>0</v>
      </c>
      <c r="F12" s="139">
        <v>0</v>
      </c>
      <c r="G12" s="139">
        <v>0</v>
      </c>
      <c r="H12" s="139">
        <v>0</v>
      </c>
      <c r="I12" s="139">
        <v>0</v>
      </c>
      <c r="J12" s="139">
        <v>0</v>
      </c>
      <c r="K12" s="139">
        <v>0</v>
      </c>
      <c r="L12" s="139">
        <v>0</v>
      </c>
      <c r="M12" s="139">
        <v>0</v>
      </c>
      <c r="N12" s="139">
        <v>0</v>
      </c>
      <c r="O12" s="139">
        <v>0</v>
      </c>
      <c r="P12" s="139">
        <v>0</v>
      </c>
      <c r="Q12" s="139">
        <v>0</v>
      </c>
      <c r="R12" s="139">
        <v>0</v>
      </c>
      <c r="S12" s="139">
        <v>0</v>
      </c>
      <c r="T12" s="139">
        <v>0</v>
      </c>
      <c r="U12" s="139">
        <v>0</v>
      </c>
      <c r="V12" s="139">
        <v>0</v>
      </c>
      <c r="W12" s="139">
        <v>0</v>
      </c>
      <c r="X12" s="139">
        <v>0</v>
      </c>
      <c r="Y12" s="139">
        <v>0</v>
      </c>
      <c r="Z12" s="139">
        <v>0</v>
      </c>
      <c r="AA12" s="139">
        <v>0</v>
      </c>
      <c r="AB12" s="139">
        <v>0</v>
      </c>
      <c r="AC12" s="139">
        <v>0</v>
      </c>
      <c r="AD12" s="139">
        <v>0</v>
      </c>
      <c r="AE12" s="139">
        <v>0</v>
      </c>
      <c r="AF12" s="139">
        <v>0</v>
      </c>
      <c r="AG12" s="139">
        <v>0</v>
      </c>
      <c r="AH12" s="139">
        <v>0</v>
      </c>
      <c r="AI12" s="139">
        <v>0</v>
      </c>
      <c r="AJ12" s="139">
        <v>0</v>
      </c>
      <c r="AK12" s="139">
        <v>0</v>
      </c>
      <c r="AL12" s="139">
        <v>0</v>
      </c>
      <c r="AM12" s="139">
        <v>0</v>
      </c>
      <c r="AN12" s="139">
        <v>0</v>
      </c>
      <c r="AO12" s="139">
        <v>0</v>
      </c>
    </row>
    <row r="13" spans="1:41" customFormat="1" x14ac:dyDescent="0.15">
      <c r="A13" s="175" t="s">
        <v>203</v>
      </c>
      <c r="B13" s="139">
        <v>0</v>
      </c>
      <c r="C13" s="139">
        <v>0</v>
      </c>
      <c r="D13" s="139">
        <v>0</v>
      </c>
      <c r="E13" s="139">
        <v>0</v>
      </c>
      <c r="F13" s="139">
        <v>0</v>
      </c>
      <c r="G13" s="139">
        <v>0</v>
      </c>
      <c r="H13" s="139">
        <v>0</v>
      </c>
      <c r="I13" s="139">
        <v>0</v>
      </c>
      <c r="J13" s="139">
        <v>0</v>
      </c>
      <c r="K13" s="139">
        <v>0</v>
      </c>
      <c r="L13" s="139">
        <v>0</v>
      </c>
      <c r="M13" s="139">
        <v>0</v>
      </c>
      <c r="N13" s="139">
        <v>0</v>
      </c>
      <c r="O13" s="139">
        <v>0</v>
      </c>
      <c r="P13" s="139">
        <v>0</v>
      </c>
      <c r="Q13" s="139">
        <v>0</v>
      </c>
      <c r="R13" s="139">
        <v>0</v>
      </c>
      <c r="S13" s="139">
        <v>0</v>
      </c>
      <c r="T13" s="139">
        <v>0</v>
      </c>
      <c r="U13" s="139">
        <v>0</v>
      </c>
      <c r="V13" s="139">
        <v>0</v>
      </c>
      <c r="W13" s="139">
        <v>0</v>
      </c>
      <c r="X13" s="139">
        <v>0</v>
      </c>
      <c r="Y13" s="139">
        <v>0</v>
      </c>
      <c r="Z13" s="139">
        <v>0</v>
      </c>
      <c r="AA13" s="139">
        <v>0</v>
      </c>
      <c r="AB13" s="139">
        <v>0</v>
      </c>
      <c r="AC13" s="139">
        <v>0</v>
      </c>
      <c r="AD13" s="139">
        <v>0</v>
      </c>
      <c r="AE13" s="139">
        <v>0</v>
      </c>
      <c r="AF13" s="139">
        <v>0</v>
      </c>
      <c r="AG13" s="139">
        <v>0</v>
      </c>
      <c r="AH13" s="139">
        <v>0</v>
      </c>
      <c r="AI13" s="139">
        <v>0</v>
      </c>
      <c r="AJ13" s="139">
        <v>0</v>
      </c>
      <c r="AK13" s="139">
        <v>0</v>
      </c>
      <c r="AL13" s="139">
        <v>0</v>
      </c>
      <c r="AM13" s="139">
        <v>0</v>
      </c>
      <c r="AN13" s="139">
        <v>0</v>
      </c>
      <c r="AO13" s="139">
        <v>0</v>
      </c>
    </row>
    <row r="14" spans="1:41" customFormat="1" x14ac:dyDescent="0.15">
      <c r="A14" s="175" t="s">
        <v>204</v>
      </c>
      <c r="B14" s="139">
        <v>0</v>
      </c>
      <c r="C14" s="139">
        <v>0</v>
      </c>
      <c r="D14" s="139">
        <v>0</v>
      </c>
      <c r="E14" s="139">
        <v>0</v>
      </c>
      <c r="F14" s="139">
        <v>0</v>
      </c>
      <c r="G14" s="139">
        <v>0</v>
      </c>
      <c r="H14" s="139">
        <v>0</v>
      </c>
      <c r="I14" s="139">
        <v>0</v>
      </c>
      <c r="J14" s="139">
        <v>0</v>
      </c>
      <c r="K14" s="139">
        <v>0</v>
      </c>
      <c r="L14" s="139">
        <v>0</v>
      </c>
      <c r="M14" s="139">
        <v>0</v>
      </c>
      <c r="N14" s="139">
        <v>0</v>
      </c>
      <c r="O14" s="139">
        <v>0</v>
      </c>
      <c r="P14" s="139">
        <v>0</v>
      </c>
      <c r="Q14" s="139">
        <v>0</v>
      </c>
      <c r="R14" s="139">
        <v>0</v>
      </c>
      <c r="S14" s="139">
        <v>0</v>
      </c>
      <c r="T14" s="139">
        <v>0</v>
      </c>
      <c r="U14" s="139">
        <v>0</v>
      </c>
      <c r="V14" s="139">
        <v>0</v>
      </c>
      <c r="W14" s="139">
        <v>0</v>
      </c>
      <c r="X14" s="139">
        <v>4.9999999999999989E-2</v>
      </c>
      <c r="Y14" s="139">
        <v>0</v>
      </c>
      <c r="Z14" s="139">
        <v>0</v>
      </c>
      <c r="AA14" s="139">
        <v>0</v>
      </c>
      <c r="AB14" s="139">
        <v>0</v>
      </c>
      <c r="AC14" s="139">
        <v>0</v>
      </c>
      <c r="AD14" s="139">
        <v>0</v>
      </c>
      <c r="AE14" s="139">
        <v>0</v>
      </c>
      <c r="AF14" s="139">
        <v>0</v>
      </c>
      <c r="AG14" s="139">
        <v>0</v>
      </c>
      <c r="AH14" s="139">
        <v>0</v>
      </c>
      <c r="AI14" s="139">
        <v>0</v>
      </c>
      <c r="AJ14" s="139">
        <v>0</v>
      </c>
      <c r="AK14" s="139">
        <v>0</v>
      </c>
      <c r="AL14" s="139">
        <v>0</v>
      </c>
      <c r="AM14" s="139">
        <v>0</v>
      </c>
      <c r="AN14" s="139">
        <v>0</v>
      </c>
      <c r="AO14" s="139">
        <v>0</v>
      </c>
    </row>
    <row r="15" spans="1:41" customFormat="1" x14ac:dyDescent="0.15">
      <c r="A15" s="175" t="s">
        <v>205</v>
      </c>
      <c r="B15" s="139">
        <v>0</v>
      </c>
      <c r="C15" s="139">
        <v>0</v>
      </c>
      <c r="D15" s="139">
        <v>0</v>
      </c>
      <c r="E15" s="139">
        <v>0</v>
      </c>
      <c r="F15" s="139">
        <v>0</v>
      </c>
      <c r="G15" s="139">
        <v>0</v>
      </c>
      <c r="H15" s="139">
        <v>0</v>
      </c>
      <c r="I15" s="139">
        <v>0</v>
      </c>
      <c r="J15" s="139">
        <v>0</v>
      </c>
      <c r="K15" s="139">
        <v>0</v>
      </c>
      <c r="L15" s="139">
        <v>5.000000000000001E-3</v>
      </c>
      <c r="M15" s="139">
        <v>0</v>
      </c>
      <c r="N15" s="139">
        <v>0</v>
      </c>
      <c r="O15" s="139">
        <v>0</v>
      </c>
      <c r="P15" s="139">
        <v>0</v>
      </c>
      <c r="Q15" s="139">
        <v>0</v>
      </c>
      <c r="R15" s="139">
        <v>0</v>
      </c>
      <c r="S15" s="139">
        <v>0</v>
      </c>
      <c r="T15" s="139">
        <v>0</v>
      </c>
      <c r="U15" s="139">
        <v>0</v>
      </c>
      <c r="V15" s="139">
        <v>0</v>
      </c>
      <c r="W15" s="139">
        <v>0</v>
      </c>
      <c r="X15" s="139">
        <v>9.9999999999999985E-3</v>
      </c>
      <c r="Y15" s="139">
        <v>0</v>
      </c>
      <c r="Z15" s="139">
        <v>0</v>
      </c>
      <c r="AA15" s="139">
        <v>0</v>
      </c>
      <c r="AB15" s="139">
        <v>0</v>
      </c>
      <c r="AC15" s="139">
        <v>0</v>
      </c>
      <c r="AD15" s="139">
        <v>0</v>
      </c>
      <c r="AE15" s="139">
        <v>0</v>
      </c>
      <c r="AF15" s="139">
        <v>0</v>
      </c>
      <c r="AG15" s="139">
        <v>0</v>
      </c>
      <c r="AH15" s="139">
        <v>0</v>
      </c>
      <c r="AI15" s="139">
        <v>0</v>
      </c>
      <c r="AJ15" s="139">
        <v>0</v>
      </c>
      <c r="AK15" s="139">
        <v>0</v>
      </c>
      <c r="AL15" s="139">
        <v>0</v>
      </c>
      <c r="AM15" s="139">
        <v>0</v>
      </c>
      <c r="AN15" s="139">
        <v>0</v>
      </c>
      <c r="AO15" s="139">
        <v>0</v>
      </c>
    </row>
    <row r="16" spans="1:41" customFormat="1" x14ac:dyDescent="0.15">
      <c r="A16" s="175" t="s">
        <v>206</v>
      </c>
      <c r="B16" s="139">
        <v>0</v>
      </c>
      <c r="C16" s="139">
        <v>0</v>
      </c>
      <c r="D16" s="139">
        <v>0</v>
      </c>
      <c r="E16" s="139">
        <v>0</v>
      </c>
      <c r="F16" s="139">
        <v>0</v>
      </c>
      <c r="G16" s="139">
        <v>0</v>
      </c>
      <c r="H16" s="139">
        <v>0</v>
      </c>
      <c r="I16" s="139">
        <v>0</v>
      </c>
      <c r="J16" s="139">
        <v>0</v>
      </c>
      <c r="K16" s="139">
        <v>0</v>
      </c>
      <c r="L16" s="139">
        <v>0</v>
      </c>
      <c r="M16" s="139">
        <v>0</v>
      </c>
      <c r="N16" s="139">
        <v>0</v>
      </c>
      <c r="O16" s="139">
        <v>0</v>
      </c>
      <c r="P16" s="139">
        <v>0</v>
      </c>
      <c r="Q16" s="139">
        <v>0</v>
      </c>
      <c r="R16" s="139">
        <v>0</v>
      </c>
      <c r="S16" s="139">
        <v>0</v>
      </c>
      <c r="T16" s="139">
        <v>0</v>
      </c>
      <c r="U16" s="139">
        <v>0</v>
      </c>
      <c r="V16" s="139">
        <v>0</v>
      </c>
      <c r="W16" s="139">
        <v>0</v>
      </c>
      <c r="X16" s="139">
        <v>0</v>
      </c>
      <c r="Y16" s="139">
        <v>0</v>
      </c>
      <c r="Z16" s="139">
        <v>0</v>
      </c>
      <c r="AA16" s="139">
        <v>0</v>
      </c>
      <c r="AB16" s="139">
        <v>0</v>
      </c>
      <c r="AC16" s="139">
        <v>0</v>
      </c>
      <c r="AD16" s="139">
        <v>0</v>
      </c>
      <c r="AE16" s="139">
        <v>0</v>
      </c>
      <c r="AF16" s="139">
        <v>0</v>
      </c>
      <c r="AG16" s="139">
        <v>0</v>
      </c>
      <c r="AH16" s="139">
        <v>0</v>
      </c>
      <c r="AI16" s="139">
        <v>0</v>
      </c>
      <c r="AJ16" s="139">
        <v>0</v>
      </c>
      <c r="AK16" s="139">
        <v>0</v>
      </c>
      <c r="AL16" s="139">
        <v>0</v>
      </c>
      <c r="AM16" s="139">
        <v>0</v>
      </c>
      <c r="AN16" s="139">
        <v>0</v>
      </c>
      <c r="AO16" s="139">
        <v>0</v>
      </c>
    </row>
    <row r="17" spans="1:41" customFormat="1" x14ac:dyDescent="0.15">
      <c r="A17" s="175" t="s">
        <v>207</v>
      </c>
      <c r="B17" s="139">
        <v>0</v>
      </c>
      <c r="C17" s="139">
        <v>0</v>
      </c>
      <c r="D17" s="139">
        <v>0</v>
      </c>
      <c r="E17" s="139">
        <v>0</v>
      </c>
      <c r="F17" s="139">
        <v>0</v>
      </c>
      <c r="G17" s="139">
        <v>0</v>
      </c>
      <c r="H17" s="139">
        <v>0</v>
      </c>
      <c r="I17" s="139">
        <v>0</v>
      </c>
      <c r="J17" s="139">
        <v>0</v>
      </c>
      <c r="K17" s="139">
        <v>0</v>
      </c>
      <c r="L17" s="139">
        <v>0</v>
      </c>
      <c r="M17" s="139">
        <v>0</v>
      </c>
      <c r="N17" s="139">
        <v>0</v>
      </c>
      <c r="O17" s="139">
        <v>0</v>
      </c>
      <c r="P17" s="139">
        <v>0</v>
      </c>
      <c r="Q17" s="139">
        <v>0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</row>
    <row r="18" spans="1:41" customFormat="1" x14ac:dyDescent="0.15">
      <c r="A18" s="175" t="s">
        <v>208</v>
      </c>
      <c r="B18" s="139">
        <v>0</v>
      </c>
      <c r="C18" s="139">
        <v>0</v>
      </c>
      <c r="D18" s="139">
        <v>0</v>
      </c>
      <c r="E18" s="139">
        <v>0.04</v>
      </c>
      <c r="F18" s="139">
        <v>1E-3</v>
      </c>
      <c r="G18" s="139">
        <v>0</v>
      </c>
      <c r="H18" s="139">
        <v>0</v>
      </c>
      <c r="I18" s="139">
        <v>4.9999999999999992E-3</v>
      </c>
      <c r="J18" s="139">
        <v>0</v>
      </c>
      <c r="K18" s="139">
        <v>0.21800000796329935</v>
      </c>
      <c r="L18" s="139">
        <v>1.0000000000000002E-2</v>
      </c>
      <c r="M18" s="139">
        <v>0</v>
      </c>
      <c r="N18" s="139">
        <v>0</v>
      </c>
      <c r="O18" s="139">
        <v>4.3999999999999997E-2</v>
      </c>
      <c r="P18" s="139">
        <v>0.13900000000000001</v>
      </c>
      <c r="Q18" s="139">
        <v>0</v>
      </c>
      <c r="R18" s="139">
        <v>1E-3</v>
      </c>
      <c r="S18" s="139">
        <v>2E-3</v>
      </c>
      <c r="T18" s="139">
        <v>1E-3</v>
      </c>
      <c r="U18" s="139">
        <v>2.9999996798199874E-3</v>
      </c>
      <c r="V18" s="139">
        <v>2.0000000000000005E-3</v>
      </c>
      <c r="W18" s="139">
        <v>0</v>
      </c>
      <c r="X18" s="139">
        <v>4.9999999999999989E-2</v>
      </c>
      <c r="Y18" s="139">
        <v>6.0000000000000001E-3</v>
      </c>
      <c r="Z18" s="139">
        <v>0</v>
      </c>
      <c r="AA18" s="139">
        <v>0</v>
      </c>
      <c r="AB18" s="139">
        <v>0</v>
      </c>
      <c r="AC18" s="139">
        <v>0.12700000211402021</v>
      </c>
      <c r="AD18" s="139">
        <v>0</v>
      </c>
      <c r="AE18" s="139">
        <v>0</v>
      </c>
      <c r="AF18" s="139">
        <v>0</v>
      </c>
      <c r="AG18" s="139">
        <v>0</v>
      </c>
      <c r="AH18" s="139">
        <v>0</v>
      </c>
      <c r="AI18" s="139">
        <v>0</v>
      </c>
      <c r="AJ18" s="139">
        <v>0</v>
      </c>
      <c r="AK18" s="139">
        <v>0</v>
      </c>
      <c r="AL18" s="139">
        <v>0</v>
      </c>
      <c r="AM18" s="139">
        <v>0</v>
      </c>
      <c r="AN18" s="139">
        <v>0</v>
      </c>
      <c r="AO18" s="139">
        <v>0</v>
      </c>
    </row>
    <row r="19" spans="1:41" customFormat="1" x14ac:dyDescent="0.15">
      <c r="A19" s="175" t="s">
        <v>209</v>
      </c>
      <c r="B19" s="139">
        <v>0</v>
      </c>
      <c r="C19" s="139">
        <v>0</v>
      </c>
      <c r="D19" s="139">
        <v>0</v>
      </c>
      <c r="E19" s="139">
        <v>5.0000000000000001E-3</v>
      </c>
      <c r="F19" s="139">
        <v>0</v>
      </c>
      <c r="G19" s="139">
        <v>0</v>
      </c>
      <c r="H19" s="139">
        <v>0</v>
      </c>
      <c r="I19" s="139">
        <v>9.999999999999998E-4</v>
      </c>
      <c r="J19" s="139">
        <v>1E-3</v>
      </c>
      <c r="K19" s="139">
        <v>4.9999996092500304E-3</v>
      </c>
      <c r="L19" s="139">
        <v>0</v>
      </c>
      <c r="M19" s="139">
        <v>4.9999997685000117E-3</v>
      </c>
      <c r="N19" s="139">
        <v>0</v>
      </c>
      <c r="O19" s="139">
        <v>0</v>
      </c>
      <c r="P19" s="139">
        <v>5.0000000000000001E-3</v>
      </c>
      <c r="Q19" s="139">
        <v>0</v>
      </c>
      <c r="R19" s="139">
        <v>0</v>
      </c>
      <c r="S19" s="139">
        <v>0</v>
      </c>
      <c r="T19" s="139">
        <v>0</v>
      </c>
      <c r="U19" s="139">
        <v>0</v>
      </c>
      <c r="V19" s="139">
        <v>0</v>
      </c>
      <c r="W19" s="139">
        <v>0</v>
      </c>
      <c r="X19" s="139">
        <v>9.999999999999998E-4</v>
      </c>
      <c r="Y19" s="139">
        <v>0</v>
      </c>
      <c r="Z19" s="139">
        <v>0</v>
      </c>
      <c r="AA19" s="139">
        <v>0</v>
      </c>
      <c r="AB19" s="139">
        <v>0</v>
      </c>
      <c r="AC19" s="139">
        <v>0</v>
      </c>
      <c r="AD19" s="139">
        <v>0</v>
      </c>
      <c r="AE19" s="139">
        <v>0</v>
      </c>
      <c r="AF19" s="139">
        <v>0</v>
      </c>
      <c r="AG19" s="139">
        <v>0</v>
      </c>
      <c r="AH19" s="139">
        <v>0</v>
      </c>
      <c r="AI19" s="139">
        <v>0</v>
      </c>
      <c r="AJ19" s="139">
        <v>0</v>
      </c>
      <c r="AK19" s="139">
        <v>0</v>
      </c>
      <c r="AL19" s="139">
        <v>0</v>
      </c>
      <c r="AM19" s="139">
        <v>0</v>
      </c>
      <c r="AN19" s="139">
        <v>0</v>
      </c>
      <c r="AO19" s="139">
        <v>0</v>
      </c>
    </row>
    <row r="20" spans="1:41" customFormat="1" x14ac:dyDescent="0.15">
      <c r="A20" s="175" t="s">
        <v>210</v>
      </c>
      <c r="B20" s="139">
        <v>0</v>
      </c>
      <c r="C20" s="139">
        <v>0</v>
      </c>
      <c r="D20" s="139">
        <v>0</v>
      </c>
      <c r="E20" s="139">
        <v>0.06</v>
      </c>
      <c r="F20" s="139">
        <v>5.8000000000000003E-2</v>
      </c>
      <c r="G20" s="139">
        <v>0.01</v>
      </c>
      <c r="H20" s="139">
        <v>0</v>
      </c>
      <c r="I20" s="139">
        <v>0.54199999999999993</v>
      </c>
      <c r="J20" s="139">
        <v>0.02</v>
      </c>
      <c r="K20" s="139">
        <v>0.21999998280700134</v>
      </c>
      <c r="L20" s="139">
        <v>0.10500000000000001</v>
      </c>
      <c r="M20" s="139">
        <v>1.000000113699995E-3</v>
      </c>
      <c r="N20" s="139">
        <v>3.5000000000000003E-2</v>
      </c>
      <c r="O20" s="139">
        <v>0.22800000000000001</v>
      </c>
      <c r="P20" s="139">
        <v>5.0999999999999997E-2</v>
      </c>
      <c r="Q20" s="139">
        <v>0</v>
      </c>
      <c r="R20" s="139">
        <v>7.6999999999999999E-2</v>
      </c>
      <c r="S20" s="139">
        <v>0.1</v>
      </c>
      <c r="T20" s="139">
        <v>0.05</v>
      </c>
      <c r="U20" s="139">
        <v>2.9999996798199874E-3</v>
      </c>
      <c r="V20" s="139">
        <v>0.10000000000000002</v>
      </c>
      <c r="W20" s="139">
        <v>0</v>
      </c>
      <c r="X20" s="139">
        <v>0.20299999999999996</v>
      </c>
      <c r="Y20" s="139">
        <v>7.0999999999999994E-2</v>
      </c>
      <c r="Z20" s="139">
        <v>0</v>
      </c>
      <c r="AA20" s="139">
        <v>5.2999996389699947E-2</v>
      </c>
      <c r="AB20" s="139">
        <v>0.11899999999999999</v>
      </c>
      <c r="AC20" s="139">
        <v>4.6000001149960112E-2</v>
      </c>
      <c r="AD20" s="139">
        <v>0.08</v>
      </c>
      <c r="AE20" s="139">
        <v>0</v>
      </c>
      <c r="AF20" s="139">
        <v>0</v>
      </c>
      <c r="AG20" s="139">
        <v>0</v>
      </c>
      <c r="AH20" s="139">
        <v>0</v>
      </c>
      <c r="AI20" s="139">
        <v>0</v>
      </c>
      <c r="AJ20" s="139">
        <v>0</v>
      </c>
      <c r="AK20" s="139">
        <v>0</v>
      </c>
      <c r="AL20" s="139">
        <v>0</v>
      </c>
      <c r="AM20" s="139">
        <v>0</v>
      </c>
      <c r="AN20" s="139">
        <v>0</v>
      </c>
      <c r="AO20" s="139">
        <v>0</v>
      </c>
    </row>
    <row r="21" spans="1:41" customFormat="1" x14ac:dyDescent="0.15">
      <c r="A21" s="175" t="s">
        <v>211</v>
      </c>
      <c r="B21" s="139">
        <v>0</v>
      </c>
      <c r="C21" s="139">
        <v>0</v>
      </c>
      <c r="D21" s="139">
        <v>0</v>
      </c>
      <c r="E21" s="139">
        <v>1E-3</v>
      </c>
      <c r="F21" s="139">
        <v>0</v>
      </c>
      <c r="G21" s="139">
        <v>0</v>
      </c>
      <c r="H21" s="139">
        <v>0</v>
      </c>
      <c r="I21" s="139">
        <v>9.999999999999998E-4</v>
      </c>
      <c r="J21" s="139">
        <v>0</v>
      </c>
      <c r="K21" s="139">
        <v>6.0000005310999575E-3</v>
      </c>
      <c r="L21" s="139">
        <v>0</v>
      </c>
      <c r="M21" s="139">
        <v>1.000000113699995E-3</v>
      </c>
      <c r="N21" s="139">
        <v>1E-3</v>
      </c>
      <c r="O21" s="139">
        <v>3.0000000000000001E-3</v>
      </c>
      <c r="P21" s="139">
        <v>2E-3</v>
      </c>
      <c r="Q21" s="139">
        <v>0</v>
      </c>
      <c r="R21" s="139">
        <v>0</v>
      </c>
      <c r="S21" s="139">
        <v>0</v>
      </c>
      <c r="T21" s="139">
        <v>0</v>
      </c>
      <c r="U21" s="139">
        <v>0</v>
      </c>
      <c r="V21" s="139">
        <v>1.0000000000000002E-3</v>
      </c>
      <c r="W21" s="139">
        <v>0</v>
      </c>
      <c r="X21" s="139">
        <v>9.999999999999998E-4</v>
      </c>
      <c r="Y21" s="139">
        <v>0</v>
      </c>
      <c r="Z21" s="139">
        <v>0</v>
      </c>
      <c r="AA21" s="139">
        <v>0</v>
      </c>
      <c r="AB21" s="139">
        <v>0</v>
      </c>
      <c r="AC21" s="139">
        <v>8.999999929339992E-3</v>
      </c>
      <c r="AD21" s="139">
        <v>1E-3</v>
      </c>
      <c r="AE21" s="139">
        <v>0</v>
      </c>
      <c r="AF21" s="139">
        <v>0</v>
      </c>
      <c r="AG21" s="139">
        <v>0</v>
      </c>
      <c r="AH21" s="139">
        <v>0</v>
      </c>
      <c r="AI21" s="139">
        <v>0</v>
      </c>
      <c r="AJ21" s="139">
        <v>0</v>
      </c>
      <c r="AK21" s="139">
        <v>0</v>
      </c>
      <c r="AL21" s="139">
        <v>0</v>
      </c>
      <c r="AM21" s="139">
        <v>0</v>
      </c>
      <c r="AN21" s="139">
        <v>0</v>
      </c>
      <c r="AO21" s="139">
        <v>0</v>
      </c>
    </row>
    <row r="22" spans="1:41" customFormat="1" x14ac:dyDescent="0.15">
      <c r="A22" s="175" t="s">
        <v>212</v>
      </c>
      <c r="B22" s="139">
        <v>0</v>
      </c>
      <c r="C22" s="139">
        <v>0</v>
      </c>
      <c r="D22" s="139">
        <v>0</v>
      </c>
      <c r="E22" s="139">
        <v>5.0000000000000001E-3</v>
      </c>
      <c r="F22" s="139">
        <v>0</v>
      </c>
      <c r="G22" s="139">
        <v>0</v>
      </c>
      <c r="H22" s="139">
        <v>0</v>
      </c>
      <c r="I22" s="139">
        <v>9.999999999999998E-4</v>
      </c>
      <c r="J22" s="139">
        <v>0</v>
      </c>
      <c r="K22" s="139">
        <v>0.25099999738435019</v>
      </c>
      <c r="L22" s="139">
        <v>0</v>
      </c>
      <c r="M22" s="139">
        <v>2.1000000627699973E-2</v>
      </c>
      <c r="N22" s="139">
        <v>1.4E-2</v>
      </c>
      <c r="O22" s="139">
        <v>0.113</v>
      </c>
      <c r="P22" s="139">
        <v>9.6000000000000002E-2</v>
      </c>
      <c r="Q22" s="139">
        <v>0</v>
      </c>
      <c r="R22" s="139">
        <v>1E-3</v>
      </c>
      <c r="S22" s="139">
        <v>0</v>
      </c>
      <c r="T22" s="139">
        <v>1E-3</v>
      </c>
      <c r="U22" s="139">
        <v>0</v>
      </c>
      <c r="V22" s="139">
        <v>1.0000000000000002E-3</v>
      </c>
      <c r="W22" s="139">
        <v>0</v>
      </c>
      <c r="X22" s="139">
        <v>5.8999999999999983E-2</v>
      </c>
      <c r="Y22" s="139">
        <v>0</v>
      </c>
      <c r="Z22" s="139">
        <v>0</v>
      </c>
      <c r="AA22" s="139">
        <v>0</v>
      </c>
      <c r="AB22" s="139">
        <v>0</v>
      </c>
      <c r="AC22" s="139">
        <v>0.39699999599421953</v>
      </c>
      <c r="AD22" s="139">
        <v>8.9999999999999993E-3</v>
      </c>
      <c r="AE22" s="139">
        <v>0</v>
      </c>
      <c r="AF22" s="139">
        <v>0</v>
      </c>
      <c r="AG22" s="139">
        <v>0</v>
      </c>
      <c r="AH22" s="139">
        <v>0</v>
      </c>
      <c r="AI22" s="139">
        <v>0</v>
      </c>
      <c r="AJ22" s="139">
        <v>0</v>
      </c>
      <c r="AK22" s="139">
        <v>0</v>
      </c>
      <c r="AL22" s="139">
        <v>0</v>
      </c>
      <c r="AM22" s="139">
        <v>0</v>
      </c>
      <c r="AN22" s="139">
        <v>0</v>
      </c>
      <c r="AO22" s="139">
        <v>0</v>
      </c>
    </row>
    <row r="23" spans="1:41" customFormat="1" x14ac:dyDescent="0.15">
      <c r="A23" s="175" t="s">
        <v>213</v>
      </c>
      <c r="B23" s="139">
        <v>0</v>
      </c>
      <c r="C23" s="139">
        <v>0</v>
      </c>
      <c r="D23" s="139">
        <v>0</v>
      </c>
      <c r="E23" s="139">
        <v>0.02</v>
      </c>
      <c r="F23" s="139">
        <v>0</v>
      </c>
      <c r="G23" s="139">
        <v>0</v>
      </c>
      <c r="H23" s="139">
        <v>0</v>
      </c>
      <c r="I23" s="139">
        <v>0</v>
      </c>
      <c r="J23" s="139">
        <v>0</v>
      </c>
      <c r="K23" s="139">
        <v>0</v>
      </c>
      <c r="L23" s="139">
        <v>0</v>
      </c>
      <c r="M23" s="139">
        <v>2.2000000681399973E-2</v>
      </c>
      <c r="N23" s="139">
        <v>0</v>
      </c>
      <c r="O23" s="139">
        <v>7.0000000000000001E-3</v>
      </c>
      <c r="P23" s="139">
        <v>0.01</v>
      </c>
      <c r="Q23" s="139">
        <v>0</v>
      </c>
      <c r="R23" s="139">
        <v>0</v>
      </c>
      <c r="S23" s="139">
        <v>0</v>
      </c>
      <c r="T23" s="139">
        <v>0</v>
      </c>
      <c r="U23" s="139">
        <v>0</v>
      </c>
      <c r="V23" s="139">
        <v>0</v>
      </c>
      <c r="W23" s="139">
        <v>0</v>
      </c>
      <c r="X23" s="139">
        <v>4.9999999999999989E-2</v>
      </c>
      <c r="Y23" s="139">
        <v>0</v>
      </c>
      <c r="Z23" s="139">
        <v>0</v>
      </c>
      <c r="AA23" s="139">
        <v>0</v>
      </c>
      <c r="AB23" s="139">
        <v>0</v>
      </c>
      <c r="AC23" s="139">
        <v>8.999999929339992E-3</v>
      </c>
      <c r="AD23" s="139">
        <v>0</v>
      </c>
      <c r="AE23" s="139">
        <v>0</v>
      </c>
      <c r="AF23" s="139">
        <v>0</v>
      </c>
      <c r="AG23" s="139">
        <v>0</v>
      </c>
      <c r="AH23" s="139">
        <v>0</v>
      </c>
      <c r="AI23" s="139">
        <v>0</v>
      </c>
      <c r="AJ23" s="139">
        <v>0</v>
      </c>
      <c r="AK23" s="139">
        <v>0</v>
      </c>
      <c r="AL23" s="139">
        <v>0</v>
      </c>
      <c r="AM23" s="139">
        <v>0</v>
      </c>
      <c r="AN23" s="139">
        <v>0</v>
      </c>
      <c r="AO23" s="139">
        <v>0</v>
      </c>
    </row>
    <row r="24" spans="1:41" customFormat="1" x14ac:dyDescent="0.15">
      <c r="A24" s="175" t="s">
        <v>214</v>
      </c>
      <c r="B24" s="139">
        <v>0</v>
      </c>
      <c r="C24" s="139">
        <v>0</v>
      </c>
      <c r="D24" s="139">
        <v>0</v>
      </c>
      <c r="E24" s="139">
        <v>0</v>
      </c>
      <c r="F24" s="139">
        <v>0</v>
      </c>
      <c r="G24" s="139">
        <v>0</v>
      </c>
      <c r="H24" s="139">
        <v>0</v>
      </c>
      <c r="I24" s="139">
        <v>0</v>
      </c>
      <c r="J24" s="139">
        <v>0</v>
      </c>
      <c r="K24" s="139">
        <v>4.999999959250003E-3</v>
      </c>
      <c r="L24" s="139">
        <v>5.000000000000001E-3</v>
      </c>
      <c r="M24" s="139">
        <v>0</v>
      </c>
      <c r="N24" s="139">
        <v>0</v>
      </c>
      <c r="O24" s="139">
        <v>0</v>
      </c>
      <c r="P24" s="139">
        <v>3.0000000000000001E-3</v>
      </c>
      <c r="Q24" s="139">
        <v>0</v>
      </c>
      <c r="R24" s="139">
        <v>0</v>
      </c>
      <c r="S24" s="139">
        <v>0</v>
      </c>
      <c r="T24" s="139">
        <v>0</v>
      </c>
      <c r="U24" s="139">
        <v>0</v>
      </c>
      <c r="V24" s="139">
        <v>0</v>
      </c>
      <c r="W24" s="139">
        <v>0</v>
      </c>
      <c r="X24" s="139">
        <v>9.9999999999999985E-3</v>
      </c>
      <c r="Y24" s="139">
        <v>0</v>
      </c>
      <c r="Z24" s="139">
        <v>0</v>
      </c>
      <c r="AA24" s="139">
        <v>0</v>
      </c>
      <c r="AB24" s="139">
        <v>0</v>
      </c>
      <c r="AC24" s="139">
        <v>2.9999998697799865E-3</v>
      </c>
      <c r="AD24" s="139">
        <v>0</v>
      </c>
      <c r="AE24" s="139">
        <v>0</v>
      </c>
      <c r="AF24" s="139">
        <v>0</v>
      </c>
      <c r="AG24" s="139">
        <v>0</v>
      </c>
      <c r="AH24" s="139">
        <v>0</v>
      </c>
      <c r="AI24" s="139">
        <v>0</v>
      </c>
      <c r="AJ24" s="139">
        <v>0</v>
      </c>
      <c r="AK24" s="139">
        <v>0</v>
      </c>
      <c r="AL24" s="139">
        <v>0</v>
      </c>
      <c r="AM24" s="139">
        <v>0</v>
      </c>
      <c r="AN24" s="139">
        <v>0</v>
      </c>
      <c r="AO24" s="139">
        <v>0</v>
      </c>
    </row>
    <row r="25" spans="1:41" customFormat="1" x14ac:dyDescent="0.15">
      <c r="A25" s="175" t="s">
        <v>215</v>
      </c>
      <c r="B25" s="139">
        <v>0</v>
      </c>
      <c r="C25" s="139">
        <v>0</v>
      </c>
      <c r="D25" s="139">
        <v>0</v>
      </c>
      <c r="E25" s="139">
        <v>0</v>
      </c>
      <c r="F25" s="139">
        <v>0</v>
      </c>
      <c r="G25" s="139">
        <v>0</v>
      </c>
      <c r="H25" s="139">
        <v>0</v>
      </c>
      <c r="I25" s="139">
        <v>0</v>
      </c>
      <c r="J25" s="139">
        <v>0</v>
      </c>
      <c r="K25" s="139">
        <v>4.999999959250003E-3</v>
      </c>
      <c r="L25" s="139">
        <v>5.000000000000001E-3</v>
      </c>
      <c r="M25" s="139">
        <v>0</v>
      </c>
      <c r="N25" s="139">
        <v>0</v>
      </c>
      <c r="O25" s="139">
        <v>0</v>
      </c>
      <c r="P25" s="139">
        <v>3.0000000000000001E-3</v>
      </c>
      <c r="Q25" s="139">
        <v>0</v>
      </c>
      <c r="R25" s="139">
        <v>0</v>
      </c>
      <c r="S25" s="139">
        <v>0</v>
      </c>
      <c r="T25" s="139">
        <v>0</v>
      </c>
      <c r="U25" s="139">
        <v>0</v>
      </c>
      <c r="V25" s="139">
        <v>0</v>
      </c>
      <c r="W25" s="139">
        <v>0</v>
      </c>
      <c r="X25" s="139">
        <v>9.9999999999999985E-3</v>
      </c>
      <c r="Y25" s="139">
        <v>0</v>
      </c>
      <c r="Z25" s="139">
        <v>0</v>
      </c>
      <c r="AA25" s="139">
        <v>0</v>
      </c>
      <c r="AB25" s="139">
        <v>0</v>
      </c>
      <c r="AC25" s="139">
        <v>2.9999998697799865E-3</v>
      </c>
      <c r="AD25" s="139">
        <v>0</v>
      </c>
      <c r="AE25" s="139">
        <v>0</v>
      </c>
      <c r="AF25" s="139">
        <v>0</v>
      </c>
      <c r="AG25" s="139">
        <v>0</v>
      </c>
      <c r="AH25" s="139">
        <v>0</v>
      </c>
      <c r="AI25" s="139">
        <v>0</v>
      </c>
      <c r="AJ25" s="139">
        <v>0</v>
      </c>
      <c r="AK25" s="139">
        <v>0</v>
      </c>
      <c r="AL25" s="139">
        <v>0</v>
      </c>
      <c r="AM25" s="139">
        <v>0</v>
      </c>
      <c r="AN25" s="139">
        <v>0</v>
      </c>
      <c r="AO25" s="139">
        <v>0</v>
      </c>
    </row>
    <row r="26" spans="1:41" customFormat="1" x14ac:dyDescent="0.15">
      <c r="A26" s="175" t="s">
        <v>216</v>
      </c>
      <c r="B26" s="139">
        <v>0</v>
      </c>
      <c r="C26" s="139">
        <v>0</v>
      </c>
      <c r="D26" s="139">
        <v>0</v>
      </c>
      <c r="E26" s="139">
        <v>0</v>
      </c>
      <c r="F26" s="139">
        <v>0</v>
      </c>
      <c r="G26" s="139">
        <v>0</v>
      </c>
      <c r="H26" s="139">
        <v>0</v>
      </c>
      <c r="I26" s="139">
        <v>0</v>
      </c>
      <c r="J26" s="139">
        <v>0</v>
      </c>
      <c r="K26" s="139">
        <v>1.0000000818499936E-3</v>
      </c>
      <c r="L26" s="139">
        <v>1.0000000000000002E-3</v>
      </c>
      <c r="M26" s="139">
        <v>0</v>
      </c>
      <c r="N26" s="139">
        <v>0</v>
      </c>
      <c r="O26" s="139">
        <v>0</v>
      </c>
      <c r="P26" s="139">
        <v>1E-3</v>
      </c>
      <c r="Q26" s="139">
        <v>0</v>
      </c>
      <c r="R26" s="139">
        <v>0</v>
      </c>
      <c r="S26" s="139">
        <v>0</v>
      </c>
      <c r="T26" s="139">
        <v>0</v>
      </c>
      <c r="U26" s="139">
        <v>0</v>
      </c>
      <c r="V26" s="139">
        <v>0</v>
      </c>
      <c r="W26" s="139">
        <v>0</v>
      </c>
      <c r="X26" s="139">
        <v>9.999999999999998E-4</v>
      </c>
      <c r="Y26" s="139">
        <v>0</v>
      </c>
      <c r="Z26" s="139">
        <v>0</v>
      </c>
      <c r="AA26" s="139">
        <v>0</v>
      </c>
      <c r="AB26" s="139">
        <v>0</v>
      </c>
      <c r="AC26" s="139">
        <v>1.0000000032600001E-3</v>
      </c>
      <c r="AD26" s="139">
        <v>0</v>
      </c>
      <c r="AE26" s="139">
        <v>0</v>
      </c>
      <c r="AF26" s="139">
        <v>0</v>
      </c>
      <c r="AG26" s="139">
        <v>0</v>
      </c>
      <c r="AH26" s="139">
        <v>0</v>
      </c>
      <c r="AI26" s="139">
        <v>0</v>
      </c>
      <c r="AJ26" s="139">
        <v>0</v>
      </c>
      <c r="AK26" s="139">
        <v>0</v>
      </c>
      <c r="AL26" s="139">
        <v>0</v>
      </c>
      <c r="AM26" s="139">
        <v>0</v>
      </c>
      <c r="AN26" s="139">
        <v>0</v>
      </c>
      <c r="AO26" s="139">
        <v>0</v>
      </c>
    </row>
    <row r="27" spans="1:41" customFormat="1" x14ac:dyDescent="0.15">
      <c r="A27" s="175" t="s">
        <v>217</v>
      </c>
      <c r="B27" s="139">
        <v>0</v>
      </c>
      <c r="C27" s="139">
        <v>0</v>
      </c>
      <c r="D27" s="139">
        <v>0</v>
      </c>
      <c r="E27" s="139">
        <v>0.01</v>
      </c>
      <c r="F27" s="139">
        <v>1.0999999999999999E-2</v>
      </c>
      <c r="G27" s="139">
        <v>0</v>
      </c>
      <c r="H27" s="139">
        <v>0</v>
      </c>
      <c r="I27" s="139">
        <v>3.9999999999999992E-3</v>
      </c>
      <c r="J27" s="139">
        <v>0</v>
      </c>
      <c r="K27" s="139">
        <v>2.4000002024399843E-2</v>
      </c>
      <c r="L27" s="139">
        <v>4.6000000000000006E-2</v>
      </c>
      <c r="M27" s="139">
        <v>0</v>
      </c>
      <c r="N27" s="139">
        <v>1.7999999999999999E-2</v>
      </c>
      <c r="O27" s="139">
        <v>2.1999999999999999E-2</v>
      </c>
      <c r="P27" s="139">
        <v>1.9E-2</v>
      </c>
      <c r="Q27" s="139">
        <v>0</v>
      </c>
      <c r="R27" s="139">
        <v>0</v>
      </c>
      <c r="S27" s="139">
        <v>0</v>
      </c>
      <c r="T27" s="139">
        <v>0</v>
      </c>
      <c r="U27" s="139">
        <v>0</v>
      </c>
      <c r="V27" s="139">
        <v>0</v>
      </c>
      <c r="W27" s="139">
        <v>0</v>
      </c>
      <c r="X27" s="139">
        <v>9.9999999999999978E-2</v>
      </c>
      <c r="Y27" s="139">
        <v>3.1E-2</v>
      </c>
      <c r="Z27" s="139">
        <v>0</v>
      </c>
      <c r="AA27" s="139">
        <v>2.6999999202299989E-2</v>
      </c>
      <c r="AB27" s="139">
        <v>2.7E-2</v>
      </c>
      <c r="AC27" s="139">
        <v>1.799999925867992E-2</v>
      </c>
      <c r="AD27" s="139">
        <v>0</v>
      </c>
      <c r="AE27" s="139">
        <v>0</v>
      </c>
      <c r="AF27" s="139">
        <v>0</v>
      </c>
      <c r="AG27" s="139">
        <v>0</v>
      </c>
      <c r="AH27" s="139">
        <v>0</v>
      </c>
      <c r="AI27" s="139">
        <v>0</v>
      </c>
      <c r="AJ27" s="139">
        <v>0</v>
      </c>
      <c r="AK27" s="139">
        <v>0</v>
      </c>
      <c r="AL27" s="139">
        <v>0</v>
      </c>
      <c r="AM27" s="139">
        <v>0</v>
      </c>
      <c r="AN27" s="139">
        <v>0</v>
      </c>
      <c r="AO27" s="139">
        <v>0</v>
      </c>
    </row>
    <row r="28" spans="1:41" customFormat="1" x14ac:dyDescent="0.15">
      <c r="A28" s="175" t="s">
        <v>218</v>
      </c>
      <c r="B28" s="139">
        <v>0</v>
      </c>
      <c r="C28" s="139">
        <v>0</v>
      </c>
      <c r="D28" s="139">
        <v>0</v>
      </c>
      <c r="E28" s="139">
        <v>1.4999999999999999E-2</v>
      </c>
      <c r="F28" s="139">
        <v>0</v>
      </c>
      <c r="G28" s="139">
        <v>0</v>
      </c>
      <c r="H28" s="139">
        <v>0</v>
      </c>
      <c r="I28" s="139">
        <v>0</v>
      </c>
      <c r="J28" s="139">
        <v>0</v>
      </c>
      <c r="K28" s="139">
        <v>2.4000002024399843E-2</v>
      </c>
      <c r="L28" s="139">
        <v>3.1000000000000003E-2</v>
      </c>
      <c r="M28" s="139">
        <v>0</v>
      </c>
      <c r="N28" s="139">
        <v>0</v>
      </c>
      <c r="O28" s="139">
        <v>1E-3</v>
      </c>
      <c r="P28" s="139">
        <v>0.04</v>
      </c>
      <c r="Q28" s="139">
        <v>0</v>
      </c>
      <c r="R28" s="139">
        <v>0</v>
      </c>
      <c r="S28" s="139">
        <v>0</v>
      </c>
      <c r="T28" s="139">
        <v>0</v>
      </c>
      <c r="U28" s="139">
        <v>0</v>
      </c>
      <c r="V28" s="139">
        <v>0</v>
      </c>
      <c r="W28" s="139">
        <v>0</v>
      </c>
      <c r="X28" s="139">
        <v>4.9999999999999989E-2</v>
      </c>
      <c r="Y28" s="139">
        <v>2.1000000000000001E-2</v>
      </c>
      <c r="Z28" s="139">
        <v>0</v>
      </c>
      <c r="AA28" s="139">
        <v>0</v>
      </c>
      <c r="AB28" s="139">
        <v>0</v>
      </c>
      <c r="AC28" s="139">
        <v>3.5000000014099995E-2</v>
      </c>
      <c r="AD28" s="139">
        <v>0</v>
      </c>
      <c r="AE28" s="139">
        <v>0</v>
      </c>
      <c r="AF28" s="139">
        <v>0</v>
      </c>
      <c r="AG28" s="139">
        <v>0</v>
      </c>
      <c r="AH28" s="139">
        <v>0</v>
      </c>
      <c r="AI28" s="139">
        <v>0</v>
      </c>
      <c r="AJ28" s="139">
        <v>0</v>
      </c>
      <c r="AK28" s="139">
        <v>0</v>
      </c>
      <c r="AL28" s="139">
        <v>0</v>
      </c>
      <c r="AM28" s="139">
        <v>0</v>
      </c>
      <c r="AN28" s="139">
        <v>0</v>
      </c>
      <c r="AO28" s="139">
        <v>0</v>
      </c>
    </row>
    <row r="29" spans="1:41" customFormat="1" x14ac:dyDescent="0.15">
      <c r="A29" s="175" t="s">
        <v>219</v>
      </c>
      <c r="B29" s="139">
        <v>0</v>
      </c>
      <c r="C29" s="139">
        <v>0</v>
      </c>
      <c r="D29" s="139">
        <v>0</v>
      </c>
      <c r="E29" s="139">
        <v>0</v>
      </c>
      <c r="F29" s="139">
        <v>0</v>
      </c>
      <c r="G29" s="139">
        <v>0</v>
      </c>
      <c r="H29" s="139">
        <v>0</v>
      </c>
      <c r="I29" s="139">
        <v>0</v>
      </c>
      <c r="J29" s="139">
        <v>0</v>
      </c>
      <c r="K29" s="139">
        <v>0</v>
      </c>
      <c r="L29" s="139">
        <v>0</v>
      </c>
      <c r="M29" s="139">
        <v>0</v>
      </c>
      <c r="N29" s="139">
        <v>0</v>
      </c>
      <c r="O29" s="139">
        <v>0</v>
      </c>
      <c r="P29" s="139">
        <v>0</v>
      </c>
      <c r="Q29" s="139">
        <v>0</v>
      </c>
      <c r="R29" s="139">
        <v>0</v>
      </c>
      <c r="S29" s="139">
        <v>0</v>
      </c>
      <c r="T29" s="139">
        <v>0</v>
      </c>
      <c r="U29" s="139">
        <v>0</v>
      </c>
      <c r="V29" s="139">
        <v>0</v>
      </c>
      <c r="W29" s="139">
        <v>0</v>
      </c>
      <c r="X29" s="139">
        <v>4.9999999999999992E-3</v>
      </c>
      <c r="Y29" s="139">
        <v>0</v>
      </c>
      <c r="Z29" s="139">
        <v>0</v>
      </c>
      <c r="AA29" s="139">
        <v>0</v>
      </c>
      <c r="AB29" s="139">
        <v>0</v>
      </c>
      <c r="AC29" s="139">
        <v>0</v>
      </c>
      <c r="AD29" s="139">
        <v>0</v>
      </c>
      <c r="AE29" s="139">
        <v>0</v>
      </c>
      <c r="AF29" s="139">
        <v>0</v>
      </c>
      <c r="AG29" s="139">
        <v>0</v>
      </c>
      <c r="AH29" s="139">
        <v>0</v>
      </c>
      <c r="AI29" s="139">
        <v>0</v>
      </c>
      <c r="AJ29" s="139">
        <v>0</v>
      </c>
      <c r="AK29" s="139">
        <v>0</v>
      </c>
      <c r="AL29" s="139">
        <v>0</v>
      </c>
      <c r="AM29" s="139">
        <v>0</v>
      </c>
      <c r="AN29" s="139">
        <v>0</v>
      </c>
      <c r="AO29" s="139">
        <v>0</v>
      </c>
    </row>
    <row r="30" spans="1:41" customFormat="1" x14ac:dyDescent="0.15">
      <c r="A30" s="175" t="s">
        <v>220</v>
      </c>
      <c r="B30" s="139">
        <v>0</v>
      </c>
      <c r="C30" s="139">
        <v>0</v>
      </c>
      <c r="D30" s="139">
        <v>0</v>
      </c>
      <c r="E30" s="139">
        <v>0.05</v>
      </c>
      <c r="F30" s="139">
        <v>0.01</v>
      </c>
      <c r="G30" s="139">
        <v>0</v>
      </c>
      <c r="H30" s="139">
        <v>0</v>
      </c>
      <c r="I30" s="139">
        <v>1.6999999999999998E-2</v>
      </c>
      <c r="J30" s="139">
        <v>6.3E-2</v>
      </c>
      <c r="K30" s="139">
        <v>2.5000002146249832E-2</v>
      </c>
      <c r="L30" s="139">
        <v>0.25000000000000006</v>
      </c>
      <c r="M30" s="139">
        <v>2.0000002373999895E-3</v>
      </c>
      <c r="N30" s="139">
        <v>4.9000000000000002E-2</v>
      </c>
      <c r="O30" s="139">
        <v>5.6000000000000001E-2</v>
      </c>
      <c r="P30" s="139">
        <v>0.04</v>
      </c>
      <c r="Q30" s="139">
        <v>0</v>
      </c>
      <c r="R30" s="139">
        <v>0</v>
      </c>
      <c r="S30" s="139">
        <v>2.5999999999999999E-2</v>
      </c>
      <c r="T30" s="139">
        <v>0</v>
      </c>
      <c r="U30" s="139">
        <v>1.699999977897999E-2</v>
      </c>
      <c r="V30" s="139">
        <v>7.000000000000001E-3</v>
      </c>
      <c r="W30" s="139">
        <v>0.02</v>
      </c>
      <c r="X30" s="139">
        <v>0.14999999999999997</v>
      </c>
      <c r="Y30" s="139">
        <v>0.1</v>
      </c>
      <c r="Z30" s="139">
        <v>0</v>
      </c>
      <c r="AA30" s="139">
        <v>7.4000011102600169E-2</v>
      </c>
      <c r="AB30" s="139">
        <v>7.3999999999999996E-2</v>
      </c>
      <c r="AC30" s="139">
        <v>3.5999998417359833E-2</v>
      </c>
      <c r="AD30" s="139">
        <v>0.01</v>
      </c>
      <c r="AE30" s="139">
        <v>0</v>
      </c>
      <c r="AF30" s="139">
        <v>0</v>
      </c>
      <c r="AG30" s="139">
        <v>0</v>
      </c>
      <c r="AH30" s="139">
        <v>0</v>
      </c>
      <c r="AI30" s="139">
        <v>0</v>
      </c>
      <c r="AJ30" s="139">
        <v>0</v>
      </c>
      <c r="AK30" s="139">
        <v>0</v>
      </c>
      <c r="AL30" s="139">
        <v>0</v>
      </c>
      <c r="AM30" s="139">
        <v>0</v>
      </c>
      <c r="AN30" s="139">
        <v>0</v>
      </c>
      <c r="AO30" s="139">
        <v>0</v>
      </c>
    </row>
    <row r="31" spans="1:41" customFormat="1" x14ac:dyDescent="0.15">
      <c r="A31" s="175" t="s">
        <v>221</v>
      </c>
      <c r="B31" s="139">
        <v>0.55000000000000004</v>
      </c>
      <c r="C31" s="139">
        <v>0</v>
      </c>
      <c r="D31" s="139">
        <v>0</v>
      </c>
      <c r="E31" s="139">
        <v>0.02</v>
      </c>
      <c r="F31" s="139">
        <v>7.0000000000000007E-2</v>
      </c>
      <c r="G31" s="139">
        <v>0</v>
      </c>
      <c r="H31" s="139">
        <v>0</v>
      </c>
      <c r="I31" s="139">
        <v>4.9999999999999989E-2</v>
      </c>
      <c r="J31" s="139">
        <v>0</v>
      </c>
      <c r="K31" s="139">
        <v>6.0000005310999575E-3</v>
      </c>
      <c r="L31" s="139">
        <v>0</v>
      </c>
      <c r="M31" s="139">
        <v>0</v>
      </c>
      <c r="N31" s="139">
        <v>0.55100000000000005</v>
      </c>
      <c r="O31" s="139">
        <v>0.152</v>
      </c>
      <c r="P31" s="139">
        <v>1.0999999999999999E-2</v>
      </c>
      <c r="Q31" s="139">
        <v>0</v>
      </c>
      <c r="R31" s="139">
        <v>1.2E-2</v>
      </c>
      <c r="S31" s="139">
        <v>0.05</v>
      </c>
      <c r="T31" s="139">
        <v>0.03</v>
      </c>
      <c r="U31" s="139">
        <v>0</v>
      </c>
      <c r="V31" s="139">
        <v>7.2000000000000008E-2</v>
      </c>
      <c r="W31" s="139">
        <v>3.5000000000000003E-2</v>
      </c>
      <c r="X31" s="139">
        <v>0</v>
      </c>
      <c r="Y31" s="139">
        <v>0</v>
      </c>
      <c r="Z31" s="139">
        <v>0</v>
      </c>
      <c r="AA31" s="139">
        <v>0.43899998754109981</v>
      </c>
      <c r="AB31" s="139">
        <v>0.15</v>
      </c>
      <c r="AC31" s="139">
        <v>1.0000000032600003E-2</v>
      </c>
      <c r="AD31" s="139">
        <v>0.05</v>
      </c>
      <c r="AE31" s="139">
        <v>0</v>
      </c>
      <c r="AF31" s="139">
        <v>0</v>
      </c>
      <c r="AG31" s="139">
        <v>0</v>
      </c>
      <c r="AH31" s="139">
        <v>0.03</v>
      </c>
      <c r="AI31" s="139">
        <v>0</v>
      </c>
      <c r="AJ31" s="139">
        <v>0</v>
      </c>
      <c r="AK31" s="139">
        <v>0</v>
      </c>
      <c r="AL31" s="139">
        <v>0</v>
      </c>
      <c r="AM31" s="139">
        <v>0</v>
      </c>
      <c r="AN31" s="139">
        <v>0</v>
      </c>
      <c r="AO31" s="139">
        <v>0</v>
      </c>
    </row>
    <row r="32" spans="1:41" customFormat="1" x14ac:dyDescent="0.15">
      <c r="A32" s="175" t="s">
        <v>222</v>
      </c>
      <c r="B32" s="139">
        <v>0.05</v>
      </c>
      <c r="C32" s="139">
        <v>0.05</v>
      </c>
      <c r="D32" s="139">
        <v>0.114</v>
      </c>
      <c r="E32" s="139">
        <v>0.09</v>
      </c>
      <c r="F32" s="139">
        <v>8.7999999999999995E-2</v>
      </c>
      <c r="G32" s="139">
        <v>0.17599999999999999</v>
      </c>
      <c r="H32" s="139">
        <v>0.05</v>
      </c>
      <c r="I32" s="139">
        <v>0.28499999999999992</v>
      </c>
      <c r="J32" s="139">
        <v>9.2999999999999999E-2</v>
      </c>
      <c r="K32" s="139">
        <v>6.0000001410999891E-2</v>
      </c>
      <c r="L32" s="139">
        <v>7.3000000000000009E-2</v>
      </c>
      <c r="M32" s="139">
        <v>0.27299998736010067</v>
      </c>
      <c r="N32" s="139">
        <v>6.4000000000000001E-2</v>
      </c>
      <c r="O32" s="139">
        <v>0.13</v>
      </c>
      <c r="P32" s="139">
        <v>0.39200000000000002</v>
      </c>
      <c r="Q32" s="139">
        <v>0.15</v>
      </c>
      <c r="R32" s="139">
        <v>0.312</v>
      </c>
      <c r="S32" s="139">
        <v>0.53700000000000003</v>
      </c>
      <c r="T32" s="139">
        <v>0.25</v>
      </c>
      <c r="U32" s="139">
        <v>0.19999998098799923</v>
      </c>
      <c r="V32" s="139">
        <v>0.37200000000000005</v>
      </c>
      <c r="W32" s="139">
        <v>0.218</v>
      </c>
      <c r="X32" s="139">
        <v>0.12999999999999998</v>
      </c>
      <c r="Y32" s="139">
        <v>0.2</v>
      </c>
      <c r="Z32" s="139">
        <v>0.66</v>
      </c>
      <c r="AA32" s="139">
        <v>0.11799999475819992</v>
      </c>
      <c r="AB32" s="139">
        <v>0.48</v>
      </c>
      <c r="AC32" s="139">
        <v>0.1840000039998404</v>
      </c>
      <c r="AD32" s="139">
        <v>0.43</v>
      </c>
      <c r="AE32" s="139">
        <v>0</v>
      </c>
      <c r="AF32" s="139">
        <v>4.0000005535999854E-2</v>
      </c>
      <c r="AG32" s="139">
        <v>0</v>
      </c>
      <c r="AH32" s="139">
        <v>0.25</v>
      </c>
      <c r="AI32" s="139">
        <v>0.1</v>
      </c>
      <c r="AJ32" s="139">
        <v>0</v>
      </c>
      <c r="AK32" s="139">
        <v>0</v>
      </c>
      <c r="AL32" s="139">
        <v>0</v>
      </c>
      <c r="AM32" s="139">
        <v>0</v>
      </c>
      <c r="AN32" s="139">
        <v>0</v>
      </c>
      <c r="AO32" s="139">
        <v>0</v>
      </c>
    </row>
    <row r="33" spans="1:41" customFormat="1" x14ac:dyDescent="0.15">
      <c r="A33" s="175" t="s">
        <v>223</v>
      </c>
      <c r="B33" s="139">
        <v>0.05</v>
      </c>
      <c r="C33" s="139">
        <v>0.3</v>
      </c>
      <c r="D33" s="139">
        <v>0</v>
      </c>
      <c r="E33" s="139">
        <v>3.7999999999999999E-2</v>
      </c>
      <c r="F33" s="139">
        <v>0.158</v>
      </c>
      <c r="G33" s="139">
        <v>0.54100000000000004</v>
      </c>
      <c r="H33" s="139">
        <v>0</v>
      </c>
      <c r="I33" s="139">
        <v>4.7999999999999987E-2</v>
      </c>
      <c r="J33" s="139">
        <v>0.09</v>
      </c>
      <c r="K33" s="139">
        <v>0</v>
      </c>
      <c r="L33" s="139">
        <v>0.36900000000000005</v>
      </c>
      <c r="M33" s="139">
        <v>5.0000001184999946E-3</v>
      </c>
      <c r="N33" s="139">
        <v>0.14599999999999999</v>
      </c>
      <c r="O33" s="139">
        <v>7.2999999999999995E-2</v>
      </c>
      <c r="P33" s="139">
        <v>1.0999999999999999E-2</v>
      </c>
      <c r="Q33" s="139">
        <v>0</v>
      </c>
      <c r="R33" s="139">
        <v>0.17599999999999999</v>
      </c>
      <c r="S33" s="139">
        <v>0.01</v>
      </c>
      <c r="T33" s="139">
        <v>0.01</v>
      </c>
      <c r="U33" s="139">
        <v>0</v>
      </c>
      <c r="V33" s="139">
        <v>0.25200000000000006</v>
      </c>
      <c r="W33" s="139">
        <v>0.57499999999999996</v>
      </c>
      <c r="X33" s="139">
        <v>0</v>
      </c>
      <c r="Y33" s="139">
        <v>0.41899999999999998</v>
      </c>
      <c r="Z33" s="139">
        <v>0</v>
      </c>
      <c r="AA33" s="139">
        <v>0.12099999380289991</v>
      </c>
      <c r="AB33" s="139">
        <v>0.03</v>
      </c>
      <c r="AC33" s="139">
        <v>0</v>
      </c>
      <c r="AD33" s="139">
        <v>7.0000000000000007E-2</v>
      </c>
      <c r="AE33" s="139">
        <v>0</v>
      </c>
      <c r="AF33" s="139">
        <v>0</v>
      </c>
      <c r="AG33" s="139">
        <v>0</v>
      </c>
      <c r="AH33" s="139">
        <v>0.42</v>
      </c>
      <c r="AI33" s="139">
        <v>7.0000000000000007E-2</v>
      </c>
      <c r="AJ33" s="139">
        <v>0</v>
      </c>
      <c r="AK33" s="139">
        <v>0</v>
      </c>
      <c r="AL33" s="139">
        <v>0</v>
      </c>
      <c r="AM33" s="139">
        <v>0</v>
      </c>
      <c r="AN33" s="139">
        <v>0</v>
      </c>
      <c r="AO33" s="139">
        <v>0</v>
      </c>
    </row>
    <row r="34" spans="1:41" customFormat="1" x14ac:dyDescent="0.15">
      <c r="A34" s="175" t="s">
        <v>224</v>
      </c>
      <c r="B34" s="139">
        <v>0.35</v>
      </c>
      <c r="C34" s="139">
        <v>0</v>
      </c>
      <c r="D34" s="139">
        <v>0.02</v>
      </c>
      <c r="E34" s="139">
        <v>0.64600000000000002</v>
      </c>
      <c r="F34" s="139">
        <v>0.59699999999999998</v>
      </c>
      <c r="G34" s="139">
        <v>0.253</v>
      </c>
      <c r="H34" s="139">
        <v>0.05</v>
      </c>
      <c r="I34" s="139">
        <v>3.599999999999999E-2</v>
      </c>
      <c r="J34" s="139">
        <v>0.71299999999999997</v>
      </c>
      <c r="K34" s="139">
        <v>9.5000002575749795E-2</v>
      </c>
      <c r="L34" s="139">
        <v>9.0000000000000011E-2</v>
      </c>
      <c r="M34" s="139">
        <v>0.60400000403479992</v>
      </c>
      <c r="N34" s="139">
        <v>0.107</v>
      </c>
      <c r="O34" s="139">
        <v>0.125</v>
      </c>
      <c r="P34" s="139">
        <v>0.115</v>
      </c>
      <c r="Q34" s="139">
        <v>0.05</v>
      </c>
      <c r="R34" s="139">
        <v>0.30299999999999999</v>
      </c>
      <c r="S34" s="139">
        <v>0.25</v>
      </c>
      <c r="T34" s="139">
        <v>0.03</v>
      </c>
      <c r="U34" s="139">
        <v>6.9999995595799828E-3</v>
      </c>
      <c r="V34" s="139">
        <v>0.18000000000000002</v>
      </c>
      <c r="W34" s="139">
        <v>0.13200000000000001</v>
      </c>
      <c r="X34" s="139">
        <v>9.9999999999999978E-2</v>
      </c>
      <c r="Y34" s="139">
        <v>0.10199999999999999</v>
      </c>
      <c r="Z34" s="139">
        <v>0.23400000000000001</v>
      </c>
      <c r="AA34" s="139">
        <v>0.14600001517540023</v>
      </c>
      <c r="AB34" s="139">
        <v>0.12</v>
      </c>
      <c r="AC34" s="139">
        <v>9.7000000016219987E-2</v>
      </c>
      <c r="AD34" s="139">
        <v>0.06</v>
      </c>
      <c r="AE34" s="139">
        <v>0</v>
      </c>
      <c r="AF34" s="139">
        <v>0</v>
      </c>
      <c r="AG34" s="139">
        <v>0</v>
      </c>
      <c r="AH34" s="139">
        <v>0.15</v>
      </c>
      <c r="AI34" s="139">
        <v>0.01</v>
      </c>
      <c r="AJ34" s="139">
        <v>0</v>
      </c>
      <c r="AK34" s="139">
        <v>0</v>
      </c>
      <c r="AL34" s="139">
        <v>0</v>
      </c>
      <c r="AM34" s="139">
        <v>0</v>
      </c>
      <c r="AN34" s="139">
        <v>0</v>
      </c>
      <c r="AO34" s="139">
        <v>0</v>
      </c>
    </row>
    <row r="35" spans="1:41" customFormat="1" x14ac:dyDescent="0.15">
      <c r="A35" s="175" t="s">
        <v>225</v>
      </c>
      <c r="B35" s="139">
        <v>0</v>
      </c>
      <c r="C35" s="139">
        <v>0</v>
      </c>
      <c r="D35" s="139">
        <v>2.5999999999999999E-2</v>
      </c>
      <c r="E35" s="139">
        <v>0</v>
      </c>
      <c r="F35" s="139">
        <v>0</v>
      </c>
      <c r="G35" s="139">
        <v>0.02</v>
      </c>
      <c r="H35" s="139">
        <v>0.1</v>
      </c>
      <c r="I35" s="139">
        <v>7.9999999999999984E-3</v>
      </c>
      <c r="J35" s="139">
        <v>0.02</v>
      </c>
      <c r="K35" s="139">
        <v>0</v>
      </c>
      <c r="L35" s="139">
        <v>0</v>
      </c>
      <c r="M35" s="139">
        <v>0</v>
      </c>
      <c r="N35" s="139">
        <v>1.4999999999999999E-2</v>
      </c>
      <c r="O35" s="139">
        <v>4.5999999999999999E-2</v>
      </c>
      <c r="P35" s="139">
        <v>1.4E-2</v>
      </c>
      <c r="Q35" s="139">
        <v>0.05</v>
      </c>
      <c r="R35" s="139">
        <v>3.0000000000000001E-3</v>
      </c>
      <c r="S35" s="139">
        <v>1.6E-2</v>
      </c>
      <c r="T35" s="139">
        <v>0</v>
      </c>
      <c r="U35" s="139">
        <v>9.9999993993999753E-2</v>
      </c>
      <c r="V35" s="139">
        <v>1.0000000000000002E-2</v>
      </c>
      <c r="W35" s="139">
        <v>0.02</v>
      </c>
      <c r="X35" s="139">
        <v>0</v>
      </c>
      <c r="Y35" s="139">
        <v>0</v>
      </c>
      <c r="Z35" s="139">
        <v>0</v>
      </c>
      <c r="AA35" s="139">
        <v>2.2000002027800031E-2</v>
      </c>
      <c r="AB35" s="139">
        <v>0</v>
      </c>
      <c r="AC35" s="139">
        <v>1.1999999439119941E-2</v>
      </c>
      <c r="AD35" s="139">
        <v>0.18</v>
      </c>
      <c r="AE35" s="139">
        <v>0</v>
      </c>
      <c r="AF35" s="139">
        <v>5.0000008669999763E-3</v>
      </c>
      <c r="AG35" s="139">
        <v>0</v>
      </c>
      <c r="AH35" s="139">
        <v>0.03</v>
      </c>
      <c r="AI35" s="139">
        <v>0</v>
      </c>
      <c r="AJ35" s="139">
        <v>0</v>
      </c>
      <c r="AK35" s="139">
        <v>0</v>
      </c>
      <c r="AL35" s="139">
        <v>0</v>
      </c>
      <c r="AM35" s="139">
        <v>0</v>
      </c>
      <c r="AN35" s="139">
        <v>0</v>
      </c>
      <c r="AO35" s="139">
        <v>0</v>
      </c>
    </row>
    <row r="36" spans="1:41" customFormat="1" x14ac:dyDescent="0.15">
      <c r="A36" s="175" t="s">
        <v>226</v>
      </c>
      <c r="B36" s="139">
        <v>0</v>
      </c>
      <c r="C36" s="139">
        <v>0.39</v>
      </c>
      <c r="D36" s="139">
        <v>0.84</v>
      </c>
      <c r="E36" s="139">
        <v>0</v>
      </c>
      <c r="F36" s="139">
        <v>6.0000000000000001E-3</v>
      </c>
      <c r="G36" s="139">
        <v>0</v>
      </c>
      <c r="H36" s="139">
        <v>0.46899999999999997</v>
      </c>
      <c r="I36" s="139">
        <v>9.999999999999998E-4</v>
      </c>
      <c r="J36" s="139">
        <v>0</v>
      </c>
      <c r="K36" s="139">
        <v>0</v>
      </c>
      <c r="L36" s="139">
        <v>6.000000000000001E-3</v>
      </c>
      <c r="M36" s="139">
        <v>6.6000006944199691E-2</v>
      </c>
      <c r="N36" s="139">
        <v>0</v>
      </c>
      <c r="O36" s="139">
        <v>0</v>
      </c>
      <c r="P36" s="139">
        <v>0</v>
      </c>
      <c r="Q36" s="139">
        <v>0.45</v>
      </c>
      <c r="R36" s="139">
        <v>6.9000000000000006E-2</v>
      </c>
      <c r="S36" s="139">
        <v>8.9999999999999993E-3</v>
      </c>
      <c r="T36" s="139">
        <v>0.48199999999999998</v>
      </c>
      <c r="U36" s="139">
        <v>2.9999996798199874E-3</v>
      </c>
      <c r="V36" s="139">
        <v>2.0000000000000005E-3</v>
      </c>
      <c r="W36" s="139">
        <v>0</v>
      </c>
      <c r="X36" s="139">
        <v>0</v>
      </c>
      <c r="Y36" s="139">
        <v>0.03</v>
      </c>
      <c r="Z36" s="139">
        <v>0.106</v>
      </c>
      <c r="AA36" s="139">
        <v>0</v>
      </c>
      <c r="AB36" s="139">
        <v>0</v>
      </c>
      <c r="AC36" s="139">
        <v>0</v>
      </c>
      <c r="AD36" s="139">
        <v>6.6000000000000003E-2</v>
      </c>
      <c r="AE36" s="139">
        <v>0.60199999999999998</v>
      </c>
      <c r="AF36" s="139">
        <v>0.47499998736500032</v>
      </c>
      <c r="AG36" s="139">
        <v>0.64</v>
      </c>
      <c r="AH36" s="139">
        <v>7.1999999999999995E-2</v>
      </c>
      <c r="AI36" s="139">
        <v>0.45600000000000002</v>
      </c>
      <c r="AJ36" s="139">
        <v>0</v>
      </c>
      <c r="AK36" s="139">
        <v>0</v>
      </c>
      <c r="AL36" s="139">
        <v>0</v>
      </c>
      <c r="AM36" s="139">
        <v>0</v>
      </c>
      <c r="AN36" s="139">
        <v>0</v>
      </c>
      <c r="AO36" s="139">
        <v>0</v>
      </c>
    </row>
    <row r="37" spans="1:41" customFormat="1" x14ac:dyDescent="0.15">
      <c r="A37" s="175" t="s">
        <v>227</v>
      </c>
      <c r="B37" s="139">
        <v>0</v>
      </c>
      <c r="C37" s="139">
        <v>0.26</v>
      </c>
      <c r="D37" s="139">
        <v>0</v>
      </c>
      <c r="E37" s="139">
        <v>0</v>
      </c>
      <c r="F37" s="139">
        <v>1E-3</v>
      </c>
      <c r="G37" s="139">
        <v>0</v>
      </c>
      <c r="H37" s="139">
        <v>0.30099999999999999</v>
      </c>
      <c r="I37" s="139">
        <v>9.999999999999998E-4</v>
      </c>
      <c r="J37" s="139">
        <v>0</v>
      </c>
      <c r="K37" s="139">
        <v>0</v>
      </c>
      <c r="L37" s="139">
        <v>4.000000000000001E-3</v>
      </c>
      <c r="M37" s="139">
        <v>0</v>
      </c>
      <c r="N37" s="139">
        <v>0</v>
      </c>
      <c r="O37" s="139">
        <v>0</v>
      </c>
      <c r="P37" s="139">
        <v>0</v>
      </c>
      <c r="Q37" s="139">
        <v>0.3</v>
      </c>
      <c r="R37" s="139">
        <v>4.5999999999999999E-2</v>
      </c>
      <c r="S37" s="139">
        <v>0</v>
      </c>
      <c r="T37" s="139">
        <v>0.14599999999999999</v>
      </c>
      <c r="U37" s="139">
        <v>0</v>
      </c>
      <c r="V37" s="139">
        <v>1.0000000000000002E-3</v>
      </c>
      <c r="W37" s="139">
        <v>0</v>
      </c>
      <c r="X37" s="139">
        <v>0</v>
      </c>
      <c r="Y37" s="139">
        <v>0.02</v>
      </c>
      <c r="Z37" s="139">
        <v>0</v>
      </c>
      <c r="AA37" s="139">
        <v>0</v>
      </c>
      <c r="AB37" s="139">
        <v>0</v>
      </c>
      <c r="AC37" s="139">
        <v>0</v>
      </c>
      <c r="AD37" s="139">
        <v>4.3999999999999997E-2</v>
      </c>
      <c r="AE37" s="139">
        <v>0.39800000000000002</v>
      </c>
      <c r="AF37" s="139">
        <v>0.28000002355199938</v>
      </c>
      <c r="AG37" s="139">
        <v>0.36</v>
      </c>
      <c r="AH37" s="139">
        <v>4.8000000000000001E-2</v>
      </c>
      <c r="AI37" s="139">
        <v>0.26400000000000001</v>
      </c>
      <c r="AJ37" s="139">
        <v>0.69599999999999995</v>
      </c>
      <c r="AK37" s="139">
        <v>0</v>
      </c>
      <c r="AL37" s="139">
        <v>0</v>
      </c>
      <c r="AM37" s="139">
        <v>0</v>
      </c>
      <c r="AN37" s="139">
        <v>0</v>
      </c>
      <c r="AO37" s="139">
        <v>0</v>
      </c>
    </row>
    <row r="38" spans="1:41" customFormat="1" x14ac:dyDescent="0.15">
      <c r="A38" s="175" t="s">
        <v>228</v>
      </c>
      <c r="B38" s="139">
        <v>0</v>
      </c>
      <c r="C38" s="139">
        <v>0</v>
      </c>
      <c r="D38" s="139">
        <v>0</v>
      </c>
      <c r="E38" s="139">
        <v>0</v>
      </c>
      <c r="F38" s="139">
        <v>0</v>
      </c>
      <c r="G38" s="139">
        <v>0</v>
      </c>
      <c r="H38" s="139">
        <v>0.03</v>
      </c>
      <c r="I38" s="139">
        <v>0</v>
      </c>
      <c r="J38" s="139">
        <v>0</v>
      </c>
      <c r="K38" s="139">
        <v>0</v>
      </c>
      <c r="L38" s="139">
        <v>0</v>
      </c>
      <c r="M38" s="139">
        <v>0</v>
      </c>
      <c r="N38" s="139">
        <v>0</v>
      </c>
      <c r="O38" s="139">
        <v>0</v>
      </c>
      <c r="P38" s="139">
        <v>0</v>
      </c>
      <c r="Q38" s="139">
        <v>0</v>
      </c>
      <c r="R38" s="139">
        <v>0</v>
      </c>
      <c r="S38" s="139">
        <v>0</v>
      </c>
      <c r="T38" s="139">
        <v>0</v>
      </c>
      <c r="U38" s="139">
        <v>0</v>
      </c>
      <c r="V38" s="139">
        <v>0</v>
      </c>
      <c r="W38" s="139">
        <v>0</v>
      </c>
      <c r="X38" s="139">
        <v>0</v>
      </c>
      <c r="Y38" s="139">
        <v>0</v>
      </c>
      <c r="Z38" s="139">
        <v>0</v>
      </c>
      <c r="AA38" s="139">
        <v>0</v>
      </c>
      <c r="AB38" s="139">
        <v>0</v>
      </c>
      <c r="AC38" s="139">
        <v>0</v>
      </c>
      <c r="AD38" s="139">
        <v>0</v>
      </c>
      <c r="AE38" s="139">
        <v>0</v>
      </c>
      <c r="AF38" s="139">
        <v>0.19999998268000047</v>
      </c>
      <c r="AG38" s="139">
        <v>0</v>
      </c>
      <c r="AH38" s="139">
        <v>0</v>
      </c>
      <c r="AI38" s="139">
        <v>0.1</v>
      </c>
      <c r="AJ38" s="139">
        <v>0.30399999999999999</v>
      </c>
      <c r="AK38" s="139">
        <v>0</v>
      </c>
      <c r="AL38" s="139">
        <v>0</v>
      </c>
      <c r="AM38" s="139">
        <v>0</v>
      </c>
      <c r="AN38" s="139">
        <v>0</v>
      </c>
      <c r="AO38" s="139">
        <v>0</v>
      </c>
    </row>
    <row r="39" spans="1:41" x14ac:dyDescent="0.15">
      <c r="A39" s="175" t="s">
        <v>229</v>
      </c>
      <c r="B39" s="139">
        <v>0</v>
      </c>
      <c r="C39" s="139">
        <v>0</v>
      </c>
      <c r="D39" s="139">
        <v>0</v>
      </c>
      <c r="E39" s="139">
        <v>0</v>
      </c>
      <c r="F39" s="139">
        <v>0</v>
      </c>
      <c r="G39" s="139">
        <v>0</v>
      </c>
      <c r="H39" s="139">
        <v>0</v>
      </c>
      <c r="I39" s="139">
        <v>0</v>
      </c>
      <c r="J39" s="139">
        <v>0</v>
      </c>
      <c r="K39" s="139">
        <v>0</v>
      </c>
      <c r="L39" s="139">
        <v>0</v>
      </c>
      <c r="M39" s="139">
        <v>0</v>
      </c>
      <c r="N39" s="139">
        <v>0</v>
      </c>
      <c r="O39" s="139">
        <v>0</v>
      </c>
      <c r="P39" s="139">
        <v>0</v>
      </c>
      <c r="Q39" s="139">
        <v>0</v>
      </c>
      <c r="R39" s="139">
        <v>0</v>
      </c>
      <c r="S39" s="139">
        <v>0</v>
      </c>
      <c r="T39" s="139">
        <v>0</v>
      </c>
      <c r="U39" s="139">
        <v>0</v>
      </c>
      <c r="V39" s="139">
        <v>0</v>
      </c>
      <c r="W39" s="139">
        <v>0</v>
      </c>
      <c r="X39" s="139">
        <v>0</v>
      </c>
      <c r="Y39" s="139">
        <v>0</v>
      </c>
      <c r="Z39" s="139">
        <v>0</v>
      </c>
      <c r="AA39" s="139">
        <v>0</v>
      </c>
      <c r="AB39" s="139">
        <v>0</v>
      </c>
      <c r="AC39" s="139">
        <v>0</v>
      </c>
      <c r="AD39" s="139">
        <v>0</v>
      </c>
      <c r="AE39" s="139">
        <v>0</v>
      </c>
      <c r="AF39" s="139">
        <v>0</v>
      </c>
      <c r="AG39" s="139">
        <v>0</v>
      </c>
      <c r="AH39" s="139">
        <v>0</v>
      </c>
      <c r="AI39" s="139">
        <v>0</v>
      </c>
      <c r="AJ39" s="139">
        <v>0</v>
      </c>
      <c r="AK39" s="139">
        <v>1</v>
      </c>
      <c r="AL39" s="139">
        <v>0</v>
      </c>
      <c r="AM39" s="139">
        <v>0</v>
      </c>
      <c r="AN39" s="139">
        <v>0</v>
      </c>
      <c r="AO39" s="139">
        <v>0</v>
      </c>
    </row>
    <row r="40" spans="1:41" x14ac:dyDescent="0.15">
      <c r="A40" s="175" t="s">
        <v>230</v>
      </c>
      <c r="B40" s="139">
        <v>0</v>
      </c>
      <c r="C40" s="139">
        <v>0</v>
      </c>
      <c r="D40" s="139">
        <v>0</v>
      </c>
      <c r="E40" s="139">
        <v>0</v>
      </c>
      <c r="F40" s="139">
        <v>0</v>
      </c>
      <c r="G40" s="139">
        <v>0</v>
      </c>
      <c r="H40" s="139">
        <v>0</v>
      </c>
      <c r="I40" s="139">
        <v>0</v>
      </c>
      <c r="J40" s="139">
        <v>0</v>
      </c>
      <c r="K40" s="139">
        <v>0</v>
      </c>
      <c r="L40" s="139">
        <v>0</v>
      </c>
      <c r="M40" s="139">
        <v>0</v>
      </c>
      <c r="N40" s="139">
        <v>0</v>
      </c>
      <c r="O40" s="139">
        <v>0</v>
      </c>
      <c r="P40" s="139">
        <v>0</v>
      </c>
      <c r="Q40" s="139">
        <v>0</v>
      </c>
      <c r="R40" s="139">
        <v>0</v>
      </c>
      <c r="S40" s="139">
        <v>0</v>
      </c>
      <c r="T40" s="139">
        <v>0</v>
      </c>
      <c r="U40" s="139">
        <v>0</v>
      </c>
      <c r="V40" s="139">
        <v>0</v>
      </c>
      <c r="W40" s="139">
        <v>0</v>
      </c>
      <c r="X40" s="139">
        <v>0</v>
      </c>
      <c r="Y40" s="139">
        <v>0</v>
      </c>
      <c r="Z40" s="139">
        <v>0</v>
      </c>
      <c r="AA40" s="139">
        <v>0</v>
      </c>
      <c r="AB40" s="139">
        <v>0</v>
      </c>
      <c r="AC40" s="139">
        <v>0</v>
      </c>
      <c r="AD40" s="139">
        <v>0</v>
      </c>
      <c r="AE40" s="139">
        <v>0</v>
      </c>
      <c r="AF40" s="139">
        <v>0</v>
      </c>
      <c r="AG40" s="139">
        <v>0</v>
      </c>
      <c r="AH40" s="139">
        <v>0</v>
      </c>
      <c r="AI40" s="139">
        <v>0</v>
      </c>
      <c r="AJ40" s="139">
        <v>0</v>
      </c>
      <c r="AK40" s="139">
        <v>0</v>
      </c>
      <c r="AL40" s="139">
        <v>0</v>
      </c>
      <c r="AM40" s="139">
        <v>0</v>
      </c>
      <c r="AN40" s="139">
        <v>0</v>
      </c>
      <c r="AO40" s="139">
        <v>0</v>
      </c>
    </row>
    <row r="41" spans="1:41" x14ac:dyDescent="0.15">
      <c r="A41" s="175" t="s">
        <v>231</v>
      </c>
      <c r="B41" s="139">
        <v>0</v>
      </c>
      <c r="C41" s="139">
        <v>0</v>
      </c>
      <c r="D41" s="139">
        <v>0</v>
      </c>
      <c r="E41" s="139">
        <v>0</v>
      </c>
      <c r="F41" s="139">
        <v>0</v>
      </c>
      <c r="G41" s="139">
        <v>0</v>
      </c>
      <c r="H41" s="139">
        <v>0</v>
      </c>
      <c r="I41" s="139">
        <v>0</v>
      </c>
      <c r="J41" s="139">
        <v>0</v>
      </c>
      <c r="K41" s="139">
        <v>0</v>
      </c>
      <c r="L41" s="139">
        <v>0</v>
      </c>
      <c r="M41" s="139">
        <v>0</v>
      </c>
      <c r="N41" s="139">
        <v>0</v>
      </c>
      <c r="O41" s="139">
        <v>0</v>
      </c>
      <c r="P41" s="139">
        <v>0</v>
      </c>
      <c r="Q41" s="139">
        <v>0</v>
      </c>
      <c r="R41" s="139">
        <v>0</v>
      </c>
      <c r="S41" s="139">
        <v>0</v>
      </c>
      <c r="T41" s="139">
        <v>0</v>
      </c>
      <c r="U41" s="139">
        <v>0</v>
      </c>
      <c r="V41" s="139">
        <v>0</v>
      </c>
      <c r="W41" s="139">
        <v>0</v>
      </c>
      <c r="X41" s="139">
        <v>0</v>
      </c>
      <c r="Y41" s="139">
        <v>0</v>
      </c>
      <c r="Z41" s="139">
        <v>0</v>
      </c>
      <c r="AA41" s="139">
        <v>0</v>
      </c>
      <c r="AB41" s="139">
        <v>0</v>
      </c>
      <c r="AC41" s="139">
        <v>0</v>
      </c>
      <c r="AD41" s="139">
        <v>0</v>
      </c>
      <c r="AE41" s="139">
        <v>0</v>
      </c>
      <c r="AF41" s="139">
        <v>0</v>
      </c>
      <c r="AG41" s="139">
        <v>0</v>
      </c>
      <c r="AH41" s="139">
        <v>0</v>
      </c>
      <c r="AI41" s="139">
        <v>0</v>
      </c>
      <c r="AJ41" s="139">
        <v>0</v>
      </c>
      <c r="AK41" s="139">
        <v>0</v>
      </c>
      <c r="AL41" s="139">
        <v>0</v>
      </c>
      <c r="AM41" s="139">
        <v>0</v>
      </c>
      <c r="AN41" s="139">
        <v>0</v>
      </c>
      <c r="AO41" s="139">
        <v>0</v>
      </c>
    </row>
    <row r="42" spans="1:41" x14ac:dyDescent="0.15">
      <c r="A42" s="175" t="s">
        <v>237</v>
      </c>
      <c r="B42" s="139">
        <v>0</v>
      </c>
      <c r="C42" s="139">
        <v>0</v>
      </c>
      <c r="D42" s="139">
        <v>0</v>
      </c>
      <c r="E42" s="139">
        <v>0</v>
      </c>
      <c r="F42" s="139">
        <v>0</v>
      </c>
      <c r="G42" s="139">
        <v>0</v>
      </c>
      <c r="H42" s="139">
        <v>0</v>
      </c>
      <c r="I42" s="139">
        <v>0</v>
      </c>
      <c r="J42" s="139">
        <v>0</v>
      </c>
      <c r="K42" s="139">
        <v>0</v>
      </c>
      <c r="L42" s="139">
        <v>0</v>
      </c>
      <c r="M42" s="139">
        <v>0</v>
      </c>
      <c r="N42" s="139">
        <v>0</v>
      </c>
      <c r="O42" s="139">
        <v>0</v>
      </c>
      <c r="P42" s="139">
        <v>0</v>
      </c>
      <c r="Q42" s="139">
        <v>0</v>
      </c>
      <c r="R42" s="139">
        <v>0</v>
      </c>
      <c r="S42" s="139">
        <v>0</v>
      </c>
      <c r="T42" s="139">
        <v>0</v>
      </c>
      <c r="U42" s="139">
        <v>0.66700002663998104</v>
      </c>
      <c r="V42" s="139">
        <v>0</v>
      </c>
      <c r="W42" s="139">
        <v>0</v>
      </c>
      <c r="X42" s="139">
        <v>0</v>
      </c>
      <c r="Y42" s="139">
        <v>0</v>
      </c>
      <c r="Z42" s="139">
        <v>0</v>
      </c>
      <c r="AA42" s="139">
        <v>0</v>
      </c>
      <c r="AB42" s="139">
        <v>0</v>
      </c>
      <c r="AC42" s="139">
        <v>0</v>
      </c>
      <c r="AD42" s="139">
        <v>0</v>
      </c>
      <c r="AE42" s="139">
        <v>0</v>
      </c>
      <c r="AF42" s="139">
        <v>0</v>
      </c>
      <c r="AG42" s="139">
        <v>0</v>
      </c>
      <c r="AH42" s="139">
        <v>0</v>
      </c>
      <c r="AI42" s="139">
        <v>0</v>
      </c>
      <c r="AJ42" s="139">
        <v>0</v>
      </c>
      <c r="AK42" s="139">
        <v>0</v>
      </c>
      <c r="AL42" s="139">
        <v>0</v>
      </c>
      <c r="AM42" s="139">
        <v>0</v>
      </c>
      <c r="AN42" s="139">
        <v>0</v>
      </c>
      <c r="AO42" s="139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08" customWidth="1"/>
    <col min="5" max="6" width="2.33203125" style="107" bestFit="1" customWidth="1"/>
    <col min="7" max="8" width="8.83203125" style="108"/>
  </cols>
  <sheetData>
    <row r="1" spans="1:8" ht="70" x14ac:dyDescent="0.15">
      <c r="A1" s="5" t="s">
        <v>20</v>
      </c>
      <c r="B1" s="1" t="s">
        <v>0</v>
      </c>
      <c r="C1" s="178" t="s">
        <v>230</v>
      </c>
      <c r="D1" s="178" t="s">
        <v>231</v>
      </c>
      <c r="E1" s="178" t="s">
        <v>238</v>
      </c>
      <c r="F1" s="178" t="s">
        <v>239</v>
      </c>
      <c r="G1"/>
      <c r="H1"/>
    </row>
    <row r="2" spans="1:8" x14ac:dyDescent="0.15">
      <c r="A2">
        <v>1</v>
      </c>
      <c r="B2" s="177" t="s">
        <v>192</v>
      </c>
      <c r="C2" s="108">
        <v>1</v>
      </c>
      <c r="D2" s="108">
        <v>0</v>
      </c>
      <c r="E2" s="107">
        <v>0</v>
      </c>
      <c r="F2" s="107">
        <v>1</v>
      </c>
      <c r="G2"/>
      <c r="H2"/>
    </row>
    <row r="3" spans="1:8" x14ac:dyDescent="0.15">
      <c r="A3">
        <v>2</v>
      </c>
      <c r="B3" s="177" t="s">
        <v>193</v>
      </c>
      <c r="C3" s="108">
        <v>1</v>
      </c>
      <c r="D3" s="108">
        <v>0</v>
      </c>
      <c r="E3" s="107">
        <v>0</v>
      </c>
      <c r="F3" s="107">
        <v>1</v>
      </c>
      <c r="G3"/>
      <c r="H3"/>
    </row>
    <row r="4" spans="1:8" x14ac:dyDescent="0.15">
      <c r="A4">
        <v>3</v>
      </c>
      <c r="B4" s="177" t="s">
        <v>194</v>
      </c>
      <c r="C4" s="108">
        <v>1</v>
      </c>
      <c r="D4" s="108">
        <v>0</v>
      </c>
      <c r="E4" s="107">
        <v>0</v>
      </c>
      <c r="F4" s="107">
        <v>1</v>
      </c>
      <c r="G4"/>
      <c r="H4"/>
    </row>
    <row r="5" spans="1:8" x14ac:dyDescent="0.15">
      <c r="A5">
        <v>4</v>
      </c>
      <c r="B5" s="177" t="s">
        <v>195</v>
      </c>
      <c r="C5" s="108">
        <v>1</v>
      </c>
      <c r="D5" s="108">
        <v>0</v>
      </c>
      <c r="E5" s="107">
        <v>0</v>
      </c>
      <c r="F5" s="107">
        <v>1</v>
      </c>
      <c r="G5"/>
      <c r="H5"/>
    </row>
    <row r="6" spans="1:8" x14ac:dyDescent="0.15">
      <c r="A6">
        <v>5</v>
      </c>
      <c r="B6" s="177" t="s">
        <v>196</v>
      </c>
      <c r="C6" s="108">
        <v>1</v>
      </c>
      <c r="D6" s="108">
        <v>0</v>
      </c>
      <c r="E6" s="107">
        <v>0</v>
      </c>
      <c r="F6" s="107">
        <v>1</v>
      </c>
      <c r="G6"/>
      <c r="H6"/>
    </row>
    <row r="7" spans="1:8" x14ac:dyDescent="0.15">
      <c r="A7">
        <v>6</v>
      </c>
      <c r="B7" s="177" t="s">
        <v>197</v>
      </c>
      <c r="C7" s="108">
        <v>1</v>
      </c>
      <c r="D7" s="108">
        <v>0</v>
      </c>
      <c r="E7" s="107">
        <v>0</v>
      </c>
      <c r="F7" s="107">
        <v>1</v>
      </c>
      <c r="G7"/>
      <c r="H7"/>
    </row>
    <row r="8" spans="1:8" x14ac:dyDescent="0.15">
      <c r="A8">
        <v>7</v>
      </c>
      <c r="B8" s="177" t="s">
        <v>198</v>
      </c>
      <c r="C8" s="108">
        <v>1</v>
      </c>
      <c r="D8" s="108">
        <v>0</v>
      </c>
      <c r="E8" s="107">
        <v>0</v>
      </c>
      <c r="F8" s="107">
        <v>1</v>
      </c>
      <c r="G8"/>
      <c r="H8"/>
    </row>
    <row r="9" spans="1:8" x14ac:dyDescent="0.15">
      <c r="A9">
        <v>8</v>
      </c>
      <c r="B9" s="177" t="s">
        <v>199</v>
      </c>
      <c r="C9" s="108">
        <v>1</v>
      </c>
      <c r="D9" s="108">
        <v>0</v>
      </c>
      <c r="E9" s="107">
        <v>0</v>
      </c>
      <c r="F9" s="107">
        <v>1</v>
      </c>
      <c r="G9"/>
      <c r="H9"/>
    </row>
    <row r="10" spans="1:8" x14ac:dyDescent="0.15">
      <c r="A10">
        <v>9</v>
      </c>
      <c r="B10" s="177" t="s">
        <v>200</v>
      </c>
      <c r="C10" s="108">
        <v>1</v>
      </c>
      <c r="D10" s="108">
        <v>0</v>
      </c>
      <c r="E10" s="107">
        <v>0</v>
      </c>
      <c r="F10" s="107">
        <v>1</v>
      </c>
      <c r="G10"/>
      <c r="H10"/>
    </row>
    <row r="11" spans="1:8" x14ac:dyDescent="0.15">
      <c r="A11">
        <v>10</v>
      </c>
      <c r="B11" s="177" t="s">
        <v>201</v>
      </c>
      <c r="C11" s="108">
        <v>1</v>
      </c>
      <c r="D11" s="108">
        <v>0</v>
      </c>
      <c r="E11" s="107">
        <v>0</v>
      </c>
      <c r="F11" s="107">
        <v>1</v>
      </c>
      <c r="G11"/>
      <c r="H11"/>
    </row>
    <row r="12" spans="1:8" x14ac:dyDescent="0.15">
      <c r="A12">
        <v>11</v>
      </c>
      <c r="B12" s="177" t="s">
        <v>202</v>
      </c>
      <c r="C12" s="108">
        <v>1</v>
      </c>
      <c r="D12" s="108">
        <v>0</v>
      </c>
      <c r="E12" s="107">
        <v>0</v>
      </c>
      <c r="F12" s="107">
        <v>1</v>
      </c>
      <c r="G12"/>
      <c r="H12"/>
    </row>
    <row r="13" spans="1:8" x14ac:dyDescent="0.15">
      <c r="A13">
        <v>12</v>
      </c>
      <c r="B13" s="177" t="s">
        <v>203</v>
      </c>
      <c r="C13" s="108">
        <v>1</v>
      </c>
      <c r="D13" s="108">
        <v>0</v>
      </c>
      <c r="E13" s="107">
        <v>0</v>
      </c>
      <c r="F13" s="107">
        <v>1</v>
      </c>
      <c r="G13"/>
      <c r="H13"/>
    </row>
    <row r="14" spans="1:8" x14ac:dyDescent="0.15">
      <c r="A14">
        <v>13</v>
      </c>
      <c r="B14" s="177" t="s">
        <v>204</v>
      </c>
      <c r="C14" s="108">
        <v>1</v>
      </c>
      <c r="D14" s="108">
        <v>0</v>
      </c>
      <c r="E14" s="107">
        <v>0</v>
      </c>
      <c r="F14" s="107">
        <v>1</v>
      </c>
      <c r="G14"/>
      <c r="H14"/>
    </row>
    <row r="15" spans="1:8" x14ac:dyDescent="0.15">
      <c r="A15">
        <v>14</v>
      </c>
      <c r="B15" s="177" t="s">
        <v>205</v>
      </c>
      <c r="C15" s="108">
        <v>1</v>
      </c>
      <c r="D15" s="108">
        <v>0</v>
      </c>
      <c r="E15" s="107">
        <v>0</v>
      </c>
      <c r="F15" s="107">
        <v>1</v>
      </c>
      <c r="G15"/>
      <c r="H15"/>
    </row>
    <row r="16" spans="1:8" x14ac:dyDescent="0.15">
      <c r="A16">
        <v>15</v>
      </c>
      <c r="B16" s="177" t="s">
        <v>206</v>
      </c>
      <c r="C16" s="108">
        <v>1</v>
      </c>
      <c r="D16" s="108">
        <v>0</v>
      </c>
      <c r="E16" s="107">
        <v>0</v>
      </c>
      <c r="F16" s="107">
        <v>1</v>
      </c>
      <c r="G16"/>
      <c r="H16"/>
    </row>
    <row r="17" spans="1:8" ht="15" customHeight="1" x14ac:dyDescent="0.15">
      <c r="A17">
        <v>16</v>
      </c>
      <c r="B17" s="177" t="s">
        <v>207</v>
      </c>
      <c r="C17" s="108">
        <v>1</v>
      </c>
      <c r="D17" s="108">
        <v>0</v>
      </c>
      <c r="E17" s="107">
        <v>0</v>
      </c>
      <c r="F17" s="107">
        <v>1</v>
      </c>
      <c r="G17"/>
      <c r="H17"/>
    </row>
    <row r="18" spans="1:8" ht="15" customHeight="1" x14ac:dyDescent="0.15">
      <c r="A18">
        <v>17</v>
      </c>
      <c r="B18" s="177" t="s">
        <v>208</v>
      </c>
      <c r="C18" s="108">
        <v>1</v>
      </c>
      <c r="D18" s="108">
        <v>0</v>
      </c>
      <c r="E18" s="107">
        <v>0</v>
      </c>
      <c r="F18" s="107">
        <v>1</v>
      </c>
      <c r="G18"/>
      <c r="H18"/>
    </row>
    <row r="19" spans="1:8" ht="15" customHeight="1" x14ac:dyDescent="0.15">
      <c r="A19">
        <v>18</v>
      </c>
      <c r="B19" s="177" t="s">
        <v>209</v>
      </c>
      <c r="C19" s="108">
        <v>1</v>
      </c>
      <c r="D19" s="108">
        <v>0</v>
      </c>
      <c r="E19" s="107">
        <v>0</v>
      </c>
      <c r="F19" s="107">
        <v>1</v>
      </c>
      <c r="G19"/>
      <c r="H19"/>
    </row>
    <row r="20" spans="1:8" ht="15" customHeight="1" x14ac:dyDescent="0.15">
      <c r="A20">
        <v>19</v>
      </c>
      <c r="B20" s="177" t="s">
        <v>210</v>
      </c>
      <c r="C20" s="108">
        <v>1</v>
      </c>
      <c r="D20" s="108">
        <v>0</v>
      </c>
      <c r="E20" s="107">
        <v>0</v>
      </c>
      <c r="F20" s="107">
        <v>1</v>
      </c>
      <c r="G20"/>
      <c r="H20"/>
    </row>
    <row r="21" spans="1:8" ht="15" customHeight="1" x14ac:dyDescent="0.15">
      <c r="A21">
        <v>20</v>
      </c>
      <c r="B21" s="177" t="s">
        <v>211</v>
      </c>
      <c r="C21" s="108">
        <v>1</v>
      </c>
      <c r="D21" s="108">
        <v>0</v>
      </c>
      <c r="E21" s="107">
        <v>0</v>
      </c>
      <c r="F21" s="107">
        <v>1</v>
      </c>
      <c r="G21"/>
      <c r="H21"/>
    </row>
    <row r="22" spans="1:8" ht="15" customHeight="1" x14ac:dyDescent="0.15">
      <c r="A22">
        <v>21</v>
      </c>
      <c r="B22" s="177" t="s">
        <v>212</v>
      </c>
      <c r="C22" s="108">
        <v>1</v>
      </c>
      <c r="D22" s="108">
        <v>0</v>
      </c>
      <c r="E22" s="107">
        <v>0</v>
      </c>
      <c r="F22" s="107">
        <v>1</v>
      </c>
      <c r="G22"/>
      <c r="H22"/>
    </row>
    <row r="23" spans="1:8" ht="15" customHeight="1" x14ac:dyDescent="0.15">
      <c r="A23">
        <v>22</v>
      </c>
      <c r="B23" s="177" t="s">
        <v>213</v>
      </c>
      <c r="C23" s="108">
        <v>1</v>
      </c>
      <c r="D23" s="108">
        <v>0</v>
      </c>
      <c r="E23" s="107">
        <v>0</v>
      </c>
      <c r="F23" s="107">
        <v>1</v>
      </c>
      <c r="G23"/>
      <c r="H23"/>
    </row>
    <row r="24" spans="1:8" ht="15" customHeight="1" x14ac:dyDescent="0.15">
      <c r="A24">
        <v>23</v>
      </c>
      <c r="B24" s="177" t="s">
        <v>214</v>
      </c>
      <c r="C24" s="108">
        <v>1</v>
      </c>
      <c r="D24" s="108">
        <v>0</v>
      </c>
      <c r="E24" s="107">
        <v>0</v>
      </c>
      <c r="F24" s="107">
        <v>1</v>
      </c>
      <c r="G24"/>
      <c r="H24"/>
    </row>
    <row r="25" spans="1:8" ht="15" customHeight="1" x14ac:dyDescent="0.15">
      <c r="A25">
        <v>24</v>
      </c>
      <c r="B25" s="177" t="s">
        <v>215</v>
      </c>
      <c r="C25" s="108">
        <v>1</v>
      </c>
      <c r="D25" s="108">
        <v>0</v>
      </c>
      <c r="E25" s="107">
        <v>0</v>
      </c>
      <c r="F25" s="107">
        <v>1</v>
      </c>
      <c r="G25"/>
      <c r="H25"/>
    </row>
    <row r="26" spans="1:8" ht="15" customHeight="1" x14ac:dyDescent="0.15">
      <c r="A26">
        <v>25</v>
      </c>
      <c r="B26" s="177" t="s">
        <v>216</v>
      </c>
      <c r="C26" s="108">
        <v>1</v>
      </c>
      <c r="D26" s="108">
        <v>0</v>
      </c>
      <c r="E26" s="107">
        <v>0</v>
      </c>
      <c r="F26" s="107">
        <v>1</v>
      </c>
      <c r="G26"/>
      <c r="H26"/>
    </row>
    <row r="27" spans="1:8" ht="15" customHeight="1" x14ac:dyDescent="0.15">
      <c r="A27">
        <v>26</v>
      </c>
      <c r="B27" s="177" t="s">
        <v>217</v>
      </c>
      <c r="C27" s="108">
        <v>1</v>
      </c>
      <c r="D27" s="108">
        <v>0</v>
      </c>
      <c r="E27" s="107">
        <v>0</v>
      </c>
      <c r="F27" s="107">
        <v>1</v>
      </c>
      <c r="G27"/>
      <c r="H27"/>
    </row>
    <row r="28" spans="1:8" ht="15" customHeight="1" x14ac:dyDescent="0.15">
      <c r="A28">
        <v>27</v>
      </c>
      <c r="B28" s="177" t="s">
        <v>218</v>
      </c>
      <c r="C28" s="108">
        <v>1</v>
      </c>
      <c r="D28" s="108">
        <v>0</v>
      </c>
      <c r="E28" s="107">
        <v>0</v>
      </c>
      <c r="F28" s="107">
        <v>1</v>
      </c>
      <c r="G28"/>
      <c r="H28"/>
    </row>
    <row r="29" spans="1:8" ht="15" customHeight="1" x14ac:dyDescent="0.15">
      <c r="A29">
        <v>28</v>
      </c>
      <c r="B29" s="177" t="s">
        <v>219</v>
      </c>
      <c r="C29" s="108">
        <v>1</v>
      </c>
      <c r="D29" s="108">
        <v>0</v>
      </c>
      <c r="E29" s="107">
        <v>0</v>
      </c>
      <c r="F29" s="107">
        <v>1</v>
      </c>
      <c r="G29"/>
      <c r="H29"/>
    </row>
    <row r="30" spans="1:8" ht="15" customHeight="1" x14ac:dyDescent="0.15">
      <c r="A30">
        <v>29</v>
      </c>
      <c r="B30" s="177" t="s">
        <v>220</v>
      </c>
      <c r="C30" s="108">
        <v>1</v>
      </c>
      <c r="D30" s="108">
        <v>0</v>
      </c>
      <c r="E30" s="107">
        <v>0</v>
      </c>
      <c r="F30" s="107">
        <v>1</v>
      </c>
      <c r="G30"/>
      <c r="H30"/>
    </row>
    <row r="31" spans="1:8" ht="15" customHeight="1" x14ac:dyDescent="0.15">
      <c r="A31">
        <v>30</v>
      </c>
      <c r="B31" s="177" t="s">
        <v>221</v>
      </c>
      <c r="C31" s="108">
        <v>1</v>
      </c>
      <c r="D31" s="108">
        <v>0</v>
      </c>
      <c r="E31" s="107">
        <v>0</v>
      </c>
      <c r="F31" s="107">
        <v>1</v>
      </c>
      <c r="G31"/>
      <c r="H31"/>
    </row>
    <row r="32" spans="1:8" ht="15" customHeight="1" x14ac:dyDescent="0.15">
      <c r="A32">
        <v>31</v>
      </c>
      <c r="B32" s="177" t="s">
        <v>222</v>
      </c>
      <c r="C32" s="108">
        <v>1</v>
      </c>
      <c r="D32" s="108">
        <v>0</v>
      </c>
      <c r="E32" s="107">
        <v>0</v>
      </c>
      <c r="F32" s="107">
        <v>1</v>
      </c>
    </row>
    <row r="33" spans="1:8" ht="15" customHeight="1" x14ac:dyDescent="0.15">
      <c r="A33">
        <v>32</v>
      </c>
      <c r="B33" s="177" t="s">
        <v>223</v>
      </c>
      <c r="C33" s="108">
        <v>1</v>
      </c>
      <c r="D33" s="108">
        <v>0</v>
      </c>
      <c r="E33" s="107">
        <v>0</v>
      </c>
      <c r="F33" s="107">
        <v>1</v>
      </c>
    </row>
    <row r="34" spans="1:8" ht="15" customHeight="1" x14ac:dyDescent="0.15">
      <c r="A34">
        <v>33</v>
      </c>
      <c r="B34" s="177" t="s">
        <v>224</v>
      </c>
      <c r="C34" s="108">
        <v>1</v>
      </c>
      <c r="D34" s="108">
        <v>0</v>
      </c>
      <c r="E34" s="107">
        <v>0</v>
      </c>
      <c r="F34" s="107">
        <v>1</v>
      </c>
    </row>
    <row r="35" spans="1:8" ht="15" customHeight="1" x14ac:dyDescent="0.15">
      <c r="A35">
        <v>34</v>
      </c>
      <c r="B35" s="177" t="s">
        <v>225</v>
      </c>
      <c r="C35" s="108">
        <v>1</v>
      </c>
      <c r="D35" s="108">
        <v>0</v>
      </c>
      <c r="E35" s="107">
        <v>0</v>
      </c>
      <c r="F35" s="107">
        <v>1</v>
      </c>
    </row>
    <row r="36" spans="1:8" ht="15" customHeight="1" x14ac:dyDescent="0.15">
      <c r="A36">
        <v>35</v>
      </c>
      <c r="B36" s="177" t="s">
        <v>226</v>
      </c>
      <c r="C36" s="108">
        <v>1</v>
      </c>
      <c r="D36" s="108">
        <v>0</v>
      </c>
      <c r="E36" s="108">
        <v>0</v>
      </c>
      <c r="F36" s="108">
        <v>1</v>
      </c>
      <c r="G36"/>
      <c r="H36"/>
    </row>
    <row r="37" spans="1:8" ht="15" customHeight="1" x14ac:dyDescent="0.15">
      <c r="A37">
        <v>36</v>
      </c>
      <c r="B37" s="177" t="s">
        <v>227</v>
      </c>
      <c r="C37" s="108">
        <v>1</v>
      </c>
      <c r="D37" s="108">
        <v>0</v>
      </c>
      <c r="E37" s="108">
        <v>0</v>
      </c>
      <c r="F37" s="108">
        <v>1</v>
      </c>
      <c r="G37"/>
      <c r="H37"/>
    </row>
    <row r="38" spans="1:8" ht="15" customHeight="1" x14ac:dyDescent="0.15">
      <c r="A38">
        <v>37</v>
      </c>
      <c r="B38" s="177" t="s">
        <v>228</v>
      </c>
      <c r="C38" s="108">
        <v>1</v>
      </c>
      <c r="D38" s="108">
        <v>0</v>
      </c>
      <c r="E38" s="108">
        <v>0</v>
      </c>
      <c r="F38" s="108">
        <v>1</v>
      </c>
      <c r="G38"/>
      <c r="H38"/>
    </row>
    <row r="39" spans="1:8" ht="15" customHeight="1" x14ac:dyDescent="0.15">
      <c r="A39">
        <v>38</v>
      </c>
      <c r="B39" s="177" t="s">
        <v>229</v>
      </c>
      <c r="C39" s="108">
        <v>1</v>
      </c>
      <c r="D39" s="108">
        <v>0</v>
      </c>
      <c r="E39" s="108">
        <v>0</v>
      </c>
      <c r="F39" s="108">
        <v>1</v>
      </c>
      <c r="G39"/>
      <c r="H39"/>
    </row>
    <row r="40" spans="1:8" ht="15" customHeight="1" x14ac:dyDescent="0.15">
      <c r="A40">
        <v>39</v>
      </c>
      <c r="B40" s="177" t="s">
        <v>230</v>
      </c>
      <c r="C40" s="108">
        <v>0</v>
      </c>
      <c r="D40" s="108">
        <v>1</v>
      </c>
      <c r="E40" s="108">
        <v>0</v>
      </c>
      <c r="F40" s="108">
        <v>1</v>
      </c>
      <c r="G40"/>
      <c r="H40"/>
    </row>
    <row r="41" spans="1:8" ht="15" customHeight="1" x14ac:dyDescent="0.15">
      <c r="A41">
        <v>40</v>
      </c>
      <c r="B41" s="177" t="s">
        <v>231</v>
      </c>
      <c r="C41" s="108">
        <v>0</v>
      </c>
      <c r="D41" s="108">
        <v>0</v>
      </c>
      <c r="E41" s="108">
        <v>1</v>
      </c>
      <c r="F41" s="108">
        <v>1</v>
      </c>
      <c r="G41"/>
      <c r="H41"/>
    </row>
    <row r="42" spans="1:8" ht="15" customHeight="1" x14ac:dyDescent="0.15">
      <c r="A42">
        <v>41</v>
      </c>
      <c r="B42" s="177" t="s">
        <v>232</v>
      </c>
      <c r="C42" s="108">
        <v>0</v>
      </c>
      <c r="D42" s="108">
        <v>1</v>
      </c>
      <c r="E42" s="108">
        <v>0</v>
      </c>
      <c r="F42" s="108">
        <v>1</v>
      </c>
      <c r="G42"/>
      <c r="H42"/>
    </row>
    <row r="43" spans="1:8" ht="15" customHeight="1" x14ac:dyDescent="0.15">
      <c r="A43">
        <v>42</v>
      </c>
      <c r="B43" s="177" t="s">
        <v>233</v>
      </c>
      <c r="C43" s="108">
        <v>0</v>
      </c>
      <c r="D43" s="108">
        <v>1</v>
      </c>
      <c r="E43" s="108">
        <v>0</v>
      </c>
      <c r="F43" s="108">
        <v>1</v>
      </c>
      <c r="G43"/>
      <c r="H43"/>
    </row>
    <row r="44" spans="1:8" ht="15" customHeight="1" x14ac:dyDescent="0.15">
      <c r="A44">
        <v>43</v>
      </c>
      <c r="B44" s="177" t="s">
        <v>234</v>
      </c>
      <c r="C44" s="108">
        <v>0</v>
      </c>
      <c r="D44" s="108">
        <v>1</v>
      </c>
      <c r="E44" s="107">
        <v>0</v>
      </c>
      <c r="F44" s="107">
        <v>1</v>
      </c>
      <c r="G44"/>
      <c r="H44"/>
    </row>
    <row r="45" spans="1:8" ht="15" customHeight="1" x14ac:dyDescent="0.15">
      <c r="A45">
        <v>44</v>
      </c>
      <c r="B45" s="177" t="s">
        <v>235</v>
      </c>
      <c r="C45" s="108">
        <v>0</v>
      </c>
      <c r="D45" s="108">
        <v>1</v>
      </c>
      <c r="E45" s="107">
        <v>0</v>
      </c>
      <c r="F45" s="107">
        <v>1</v>
      </c>
      <c r="G45"/>
      <c r="H45"/>
    </row>
    <row r="46" spans="1:8" ht="15" customHeight="1" x14ac:dyDescent="0.15">
      <c r="A46">
        <v>45</v>
      </c>
      <c r="B46" s="177" t="s">
        <v>236</v>
      </c>
      <c r="C46" s="108">
        <v>0</v>
      </c>
      <c r="D46" s="108">
        <v>1</v>
      </c>
      <c r="E46" s="108">
        <v>0</v>
      </c>
      <c r="F46" s="108">
        <v>1</v>
      </c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H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3" width="5.83203125" bestFit="1" customWidth="1"/>
    <col min="4" max="4" width="6.83203125" bestFit="1" customWidth="1"/>
    <col min="5" max="5" width="5.83203125" bestFit="1" customWidth="1"/>
    <col min="6" max="6" width="5.83203125" customWidth="1"/>
    <col min="7" max="7" width="4.33203125" customWidth="1"/>
    <col min="8" max="8" width="7.83203125" customWidth="1"/>
  </cols>
  <sheetData>
    <row r="1" spans="1:8" s="109" customFormat="1" ht="112" x14ac:dyDescent="0.15">
      <c r="A1" s="5" t="s">
        <v>21</v>
      </c>
      <c r="B1" s="3" t="s">
        <v>0</v>
      </c>
      <c r="C1" s="180" t="s">
        <v>232</v>
      </c>
      <c r="D1" s="180" t="s">
        <v>233</v>
      </c>
      <c r="E1" s="180" t="s">
        <v>234</v>
      </c>
      <c r="F1" s="180" t="s">
        <v>235</v>
      </c>
      <c r="G1" s="180" t="s">
        <v>236</v>
      </c>
      <c r="H1" s="180" t="s">
        <v>240</v>
      </c>
    </row>
    <row r="2" spans="1:8" ht="15" customHeight="1" x14ac:dyDescent="0.15">
      <c r="A2">
        <v>1</v>
      </c>
      <c r="B2" s="179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ht="15" customHeight="1" x14ac:dyDescent="0.15">
      <c r="A3">
        <v>2</v>
      </c>
      <c r="B3" s="179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ht="15" customHeight="1" x14ac:dyDescent="0.15">
      <c r="A4">
        <v>3</v>
      </c>
      <c r="B4" s="179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ht="15" customHeight="1" x14ac:dyDescent="0.15">
      <c r="A5">
        <v>4</v>
      </c>
      <c r="B5" s="179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</row>
    <row r="6" spans="1:8" ht="15" customHeight="1" x14ac:dyDescent="0.15">
      <c r="A6">
        <v>5</v>
      </c>
      <c r="B6" s="179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</row>
    <row r="7" spans="1:8" ht="15" customHeight="1" x14ac:dyDescent="0.15">
      <c r="A7">
        <v>6</v>
      </c>
      <c r="B7" s="179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</row>
    <row r="8" spans="1:8" ht="15" customHeight="1" x14ac:dyDescent="0.15">
      <c r="A8">
        <v>7</v>
      </c>
      <c r="B8" s="179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8" ht="15" customHeight="1" x14ac:dyDescent="0.15">
      <c r="A9">
        <v>8</v>
      </c>
      <c r="B9" s="179" t="s">
        <v>199</v>
      </c>
      <c r="C9">
        <v>990</v>
      </c>
      <c r="D9">
        <v>520</v>
      </c>
      <c r="E9">
        <v>250</v>
      </c>
      <c r="F9">
        <v>3600</v>
      </c>
      <c r="G9">
        <v>0</v>
      </c>
      <c r="H9">
        <v>5360</v>
      </c>
    </row>
    <row r="10" spans="1:8" ht="15" customHeight="1" x14ac:dyDescent="0.15">
      <c r="A10">
        <v>9</v>
      </c>
      <c r="B10" s="179" t="s">
        <v>200</v>
      </c>
      <c r="C10">
        <v>56</v>
      </c>
      <c r="D10">
        <v>1500</v>
      </c>
      <c r="E10">
        <v>560</v>
      </c>
      <c r="F10">
        <v>0.77</v>
      </c>
      <c r="G10">
        <v>10</v>
      </c>
      <c r="H10">
        <v>2126.77</v>
      </c>
    </row>
    <row r="11" spans="1:8" ht="15" customHeight="1" x14ac:dyDescent="0.15">
      <c r="A11">
        <v>10</v>
      </c>
      <c r="B11" s="179" t="s">
        <v>201</v>
      </c>
      <c r="C11">
        <v>0</v>
      </c>
      <c r="D11">
        <v>280</v>
      </c>
      <c r="E11">
        <v>0</v>
      </c>
      <c r="F11">
        <v>0</v>
      </c>
      <c r="G11">
        <v>0</v>
      </c>
      <c r="H11">
        <v>280</v>
      </c>
    </row>
    <row r="12" spans="1:8" ht="15" customHeight="1" x14ac:dyDescent="0.15">
      <c r="A12">
        <v>11</v>
      </c>
      <c r="B12" s="179" t="s">
        <v>202</v>
      </c>
      <c r="C12">
        <v>0</v>
      </c>
      <c r="D12">
        <v>14</v>
      </c>
      <c r="E12">
        <v>0</v>
      </c>
      <c r="F12">
        <v>0</v>
      </c>
      <c r="G12">
        <v>0</v>
      </c>
      <c r="H12">
        <v>14</v>
      </c>
    </row>
    <row r="13" spans="1:8" ht="15" customHeight="1" x14ac:dyDescent="0.15">
      <c r="A13">
        <v>12</v>
      </c>
      <c r="B13" s="179" t="s">
        <v>203</v>
      </c>
      <c r="C13">
        <v>1.2999999999999999E-2</v>
      </c>
      <c r="D13">
        <v>10.92</v>
      </c>
      <c r="E13">
        <v>8.9999999999999993E-3</v>
      </c>
      <c r="F13">
        <v>4.0000000000000001E-3</v>
      </c>
      <c r="G13">
        <v>0</v>
      </c>
      <c r="H13">
        <v>10.946</v>
      </c>
    </row>
    <row r="14" spans="1:8" ht="15" customHeight="1" x14ac:dyDescent="0.15">
      <c r="A14">
        <v>13</v>
      </c>
      <c r="B14" s="179" t="s">
        <v>204</v>
      </c>
      <c r="C14">
        <v>0</v>
      </c>
      <c r="D14">
        <v>0.06</v>
      </c>
      <c r="E14">
        <v>0</v>
      </c>
      <c r="F14">
        <v>0</v>
      </c>
      <c r="G14">
        <v>0</v>
      </c>
      <c r="H14">
        <v>0.06</v>
      </c>
    </row>
    <row r="15" spans="1:8" ht="15" customHeight="1" x14ac:dyDescent="0.15">
      <c r="A15">
        <v>14</v>
      </c>
      <c r="B15" s="179" t="s">
        <v>205</v>
      </c>
      <c r="C15">
        <v>0.16</v>
      </c>
      <c r="D15">
        <v>45</v>
      </c>
      <c r="E15">
        <v>1.9</v>
      </c>
      <c r="F15">
        <v>3.0000000000000001E-3</v>
      </c>
      <c r="G15">
        <v>0</v>
      </c>
      <c r="H15">
        <v>47.062999999999995</v>
      </c>
    </row>
    <row r="16" spans="1:8" ht="15" customHeight="1" x14ac:dyDescent="0.15">
      <c r="A16">
        <v>15</v>
      </c>
      <c r="B16" s="179" t="s">
        <v>206</v>
      </c>
      <c r="C16">
        <v>1.3</v>
      </c>
      <c r="D16">
        <v>22.23</v>
      </c>
      <c r="E16">
        <v>1.3</v>
      </c>
      <c r="F16">
        <v>0.16</v>
      </c>
      <c r="G16">
        <v>0</v>
      </c>
      <c r="H16">
        <v>24.990000000000002</v>
      </c>
    </row>
    <row r="17" spans="1:8" ht="15" customHeight="1" x14ac:dyDescent="0.15">
      <c r="A17">
        <v>16</v>
      </c>
      <c r="B17" s="179" t="s">
        <v>207</v>
      </c>
      <c r="C17">
        <v>0</v>
      </c>
      <c r="D17">
        <v>7.4</v>
      </c>
      <c r="E17">
        <v>0</v>
      </c>
      <c r="F17">
        <v>0</v>
      </c>
      <c r="G17">
        <v>0</v>
      </c>
      <c r="H17">
        <v>7.4</v>
      </c>
    </row>
    <row r="18" spans="1:8" ht="15" customHeight="1" x14ac:dyDescent="0.15">
      <c r="A18">
        <v>17</v>
      </c>
      <c r="B18" s="179" t="s">
        <v>208</v>
      </c>
      <c r="C18">
        <v>1200</v>
      </c>
      <c r="D18">
        <v>67</v>
      </c>
      <c r="E18">
        <v>2000</v>
      </c>
      <c r="F18">
        <v>91</v>
      </c>
      <c r="G18">
        <v>140</v>
      </c>
      <c r="H18">
        <v>3498</v>
      </c>
    </row>
    <row r="19" spans="1:8" ht="15" customHeight="1" x14ac:dyDescent="0.15">
      <c r="A19">
        <v>18</v>
      </c>
      <c r="B19" s="179" t="s">
        <v>209</v>
      </c>
      <c r="C19">
        <v>0</v>
      </c>
      <c r="D19">
        <v>441.87</v>
      </c>
      <c r="E19">
        <v>0</v>
      </c>
      <c r="F19">
        <v>0</v>
      </c>
      <c r="G19">
        <v>0</v>
      </c>
      <c r="H19">
        <v>441.87</v>
      </c>
    </row>
    <row r="20" spans="1:8" ht="15" customHeight="1" x14ac:dyDescent="0.15">
      <c r="A20">
        <v>19</v>
      </c>
      <c r="B20" s="179" t="s">
        <v>210</v>
      </c>
      <c r="C20">
        <v>0</v>
      </c>
      <c r="D20">
        <v>0.56999999999999995</v>
      </c>
      <c r="E20">
        <v>0</v>
      </c>
      <c r="F20">
        <v>0</v>
      </c>
      <c r="G20">
        <v>0</v>
      </c>
      <c r="H20">
        <v>0.56999999999999995</v>
      </c>
    </row>
    <row r="21" spans="1:8" ht="15" customHeight="1" x14ac:dyDescent="0.15">
      <c r="A21">
        <v>20</v>
      </c>
      <c r="B21" s="179" t="s">
        <v>211</v>
      </c>
      <c r="C21">
        <v>44.94</v>
      </c>
      <c r="D21">
        <v>0.17299999999999999</v>
      </c>
      <c r="E21">
        <v>0.03</v>
      </c>
      <c r="F21">
        <v>0</v>
      </c>
      <c r="G21">
        <v>0</v>
      </c>
      <c r="H21">
        <v>45.143000000000001</v>
      </c>
    </row>
    <row r="22" spans="1:8" ht="15" customHeight="1" x14ac:dyDescent="0.15">
      <c r="A22">
        <v>21</v>
      </c>
      <c r="B22" s="179" t="s">
        <v>212</v>
      </c>
      <c r="C22">
        <v>1400</v>
      </c>
      <c r="D22">
        <v>0</v>
      </c>
      <c r="E22">
        <v>380</v>
      </c>
      <c r="F22">
        <v>780</v>
      </c>
      <c r="G22">
        <v>110</v>
      </c>
      <c r="H22">
        <v>2670</v>
      </c>
    </row>
    <row r="23" spans="1:8" ht="15" customHeight="1" x14ac:dyDescent="0.15">
      <c r="A23">
        <v>22</v>
      </c>
      <c r="B23" s="179" t="s">
        <v>213</v>
      </c>
      <c r="C23">
        <v>25</v>
      </c>
      <c r="D23">
        <v>0</v>
      </c>
      <c r="E23">
        <v>420</v>
      </c>
      <c r="F23">
        <v>0.2</v>
      </c>
      <c r="G23">
        <v>5.0999999999999996</v>
      </c>
      <c r="H23">
        <v>450.3</v>
      </c>
    </row>
    <row r="24" spans="1:8" ht="15" customHeight="1" x14ac:dyDescent="0.15">
      <c r="A24">
        <v>23</v>
      </c>
      <c r="B24" s="179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</row>
    <row r="25" spans="1:8" ht="15" customHeight="1" x14ac:dyDescent="0.15">
      <c r="A25">
        <v>24</v>
      </c>
      <c r="B25" s="179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</row>
    <row r="26" spans="1:8" ht="15" customHeight="1" x14ac:dyDescent="0.15">
      <c r="A26">
        <v>25</v>
      </c>
      <c r="B26" s="179" t="s">
        <v>216</v>
      </c>
      <c r="C26">
        <v>1E-3</v>
      </c>
      <c r="D26">
        <v>3.64</v>
      </c>
      <c r="E26">
        <v>0</v>
      </c>
      <c r="F26">
        <v>0</v>
      </c>
      <c r="G26">
        <v>0</v>
      </c>
      <c r="H26">
        <v>3.641</v>
      </c>
    </row>
    <row r="27" spans="1:8" ht="15" customHeight="1" x14ac:dyDescent="0.15">
      <c r="A27">
        <v>26</v>
      </c>
      <c r="B27" s="179" t="s">
        <v>217</v>
      </c>
      <c r="C27">
        <v>0.14000000000000001</v>
      </c>
      <c r="D27">
        <v>0</v>
      </c>
      <c r="E27">
        <v>4.0999999999999996</v>
      </c>
      <c r="F27">
        <v>0</v>
      </c>
      <c r="G27">
        <v>0</v>
      </c>
      <c r="H27">
        <v>4.2399999999999993</v>
      </c>
    </row>
    <row r="28" spans="1:8" ht="15" customHeight="1" x14ac:dyDescent="0.15">
      <c r="A28">
        <v>27</v>
      </c>
      <c r="B28" s="179" t="s">
        <v>218</v>
      </c>
      <c r="C28">
        <v>0.4</v>
      </c>
      <c r="D28">
        <v>0</v>
      </c>
      <c r="E28">
        <v>0.34</v>
      </c>
      <c r="F28">
        <v>0.01</v>
      </c>
      <c r="G28">
        <v>0</v>
      </c>
      <c r="H28">
        <v>0.75</v>
      </c>
    </row>
    <row r="29" spans="1:8" ht="15" customHeight="1" x14ac:dyDescent="0.15">
      <c r="A29">
        <v>28</v>
      </c>
      <c r="B29" s="179" t="s">
        <v>219</v>
      </c>
      <c r="C29">
        <v>0.32</v>
      </c>
      <c r="D29">
        <v>0</v>
      </c>
      <c r="E29">
        <v>0.56999999999999995</v>
      </c>
      <c r="F29">
        <v>0.04</v>
      </c>
      <c r="G29">
        <v>0</v>
      </c>
      <c r="H29">
        <v>0.92999999999999994</v>
      </c>
    </row>
    <row r="30" spans="1:8" ht="15" customHeight="1" x14ac:dyDescent="0.15">
      <c r="A30">
        <v>29</v>
      </c>
      <c r="B30" s="179" t="s">
        <v>220</v>
      </c>
      <c r="C30">
        <v>18</v>
      </c>
      <c r="D30">
        <v>0</v>
      </c>
      <c r="E30">
        <v>100</v>
      </c>
      <c r="F30">
        <v>0.4</v>
      </c>
      <c r="G30">
        <v>0</v>
      </c>
      <c r="H30">
        <v>118.4</v>
      </c>
    </row>
    <row r="31" spans="1:8" ht="15" customHeight="1" x14ac:dyDescent="0.15">
      <c r="A31">
        <v>30</v>
      </c>
      <c r="B31" s="179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ht="15" customHeight="1" x14ac:dyDescent="0.15">
      <c r="A32">
        <v>31</v>
      </c>
      <c r="B32" s="179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8" ht="15" customHeight="1" x14ac:dyDescent="0.15">
      <c r="A33">
        <v>32</v>
      </c>
      <c r="B33" s="179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ht="15" customHeight="1" x14ac:dyDescent="0.15">
      <c r="A34">
        <v>33</v>
      </c>
      <c r="B34" s="179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ht="15" customHeight="1" x14ac:dyDescent="0.15">
      <c r="A35">
        <v>34</v>
      </c>
      <c r="B35" s="179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ht="15" customHeight="1" x14ac:dyDescent="0.15">
      <c r="A36">
        <v>35</v>
      </c>
      <c r="B36" s="179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ht="15" customHeight="1" x14ac:dyDescent="0.15">
      <c r="A37">
        <v>36</v>
      </c>
      <c r="B37" s="179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ht="15" customHeight="1" x14ac:dyDescent="0.15">
      <c r="A38">
        <v>37</v>
      </c>
      <c r="B38" s="179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ht="15" customHeight="1" x14ac:dyDescent="0.15">
      <c r="A39">
        <v>38</v>
      </c>
      <c r="B39" s="179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ht="15" customHeight="1" x14ac:dyDescent="0.15">
      <c r="A40">
        <v>39</v>
      </c>
      <c r="B40" s="179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ht="15" customHeight="1" x14ac:dyDescent="0.15">
      <c r="A41">
        <v>40</v>
      </c>
      <c r="B41" s="179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  <row r="42" spans="1:8" ht="15" customHeight="1" x14ac:dyDescent="0.15"/>
    <row r="43" spans="1:8" ht="15" customHeight="1" x14ac:dyDescent="0.15"/>
    <row r="44" spans="1:8" ht="15" customHeight="1" x14ac:dyDescent="0.15"/>
    <row r="45" spans="1:8" ht="15" customHeight="1" x14ac:dyDescent="0.15"/>
    <row r="46" spans="1:8" ht="15" customHeight="1" x14ac:dyDescent="0.15"/>
    <row r="47" spans="1:8" ht="15" customHeight="1" x14ac:dyDescent="0.15"/>
    <row r="48" spans="1: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H4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5.83203125" bestFit="1" customWidth="1"/>
    <col min="3" max="3" width="4.83203125" bestFit="1" customWidth="1"/>
    <col min="4" max="4" width="5.83203125" bestFit="1" customWidth="1"/>
    <col min="5" max="5" width="4.83203125" bestFit="1" customWidth="1"/>
    <col min="6" max="7" width="4.83203125" customWidth="1"/>
    <col min="8" max="8" width="6.83203125" customWidth="1"/>
  </cols>
  <sheetData>
    <row r="1" spans="1:8" s="109" customFormat="1" ht="112" x14ac:dyDescent="0.15">
      <c r="A1" s="5" t="s">
        <v>22</v>
      </c>
      <c r="B1" s="3" t="s">
        <v>0</v>
      </c>
      <c r="C1" s="182" t="s">
        <v>232</v>
      </c>
      <c r="D1" s="182" t="s">
        <v>233</v>
      </c>
      <c r="E1" s="182" t="s">
        <v>234</v>
      </c>
      <c r="F1" s="182" t="s">
        <v>235</v>
      </c>
      <c r="G1" s="182" t="s">
        <v>236</v>
      </c>
      <c r="H1" s="182" t="s">
        <v>240</v>
      </c>
    </row>
    <row r="2" spans="1:8" x14ac:dyDescent="0.15">
      <c r="A2">
        <v>1</v>
      </c>
      <c r="B2" s="18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15">
      <c r="A3">
        <v>2</v>
      </c>
      <c r="B3" s="181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 x14ac:dyDescent="0.15">
      <c r="A4">
        <v>3</v>
      </c>
      <c r="B4" s="18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</row>
    <row r="5" spans="1:8" x14ac:dyDescent="0.15">
      <c r="A5">
        <v>4</v>
      </c>
      <c r="B5" s="181" t="s">
        <v>195</v>
      </c>
      <c r="C5">
        <v>0</v>
      </c>
      <c r="D5">
        <v>0</v>
      </c>
      <c r="E5">
        <v>0</v>
      </c>
      <c r="F5">
        <v>0.17</v>
      </c>
      <c r="G5">
        <v>0</v>
      </c>
      <c r="H5">
        <v>0.17</v>
      </c>
    </row>
    <row r="6" spans="1:8" x14ac:dyDescent="0.15">
      <c r="A6">
        <v>5</v>
      </c>
      <c r="B6" s="181" t="s">
        <v>196</v>
      </c>
      <c r="C6">
        <v>0</v>
      </c>
      <c r="D6">
        <v>0</v>
      </c>
      <c r="E6">
        <v>0</v>
      </c>
      <c r="F6">
        <v>3</v>
      </c>
      <c r="G6">
        <v>0</v>
      </c>
      <c r="H6">
        <v>3</v>
      </c>
    </row>
    <row r="7" spans="1:8" x14ac:dyDescent="0.15">
      <c r="A7">
        <v>6</v>
      </c>
      <c r="B7" s="181" t="s">
        <v>197</v>
      </c>
      <c r="C7">
        <v>0</v>
      </c>
      <c r="D7">
        <v>0</v>
      </c>
      <c r="E7">
        <v>0</v>
      </c>
      <c r="F7">
        <v>2.5</v>
      </c>
      <c r="G7">
        <v>0</v>
      </c>
      <c r="H7">
        <v>2.5</v>
      </c>
    </row>
    <row r="8" spans="1:8" x14ac:dyDescent="0.15">
      <c r="A8">
        <v>7</v>
      </c>
      <c r="B8" s="181" t="s">
        <v>198</v>
      </c>
      <c r="C8">
        <v>0.04</v>
      </c>
      <c r="D8">
        <v>0.64</v>
      </c>
      <c r="E8">
        <v>0.08</v>
      </c>
      <c r="F8">
        <v>0.03</v>
      </c>
      <c r="G8">
        <v>0</v>
      </c>
      <c r="H8">
        <v>0.79</v>
      </c>
    </row>
    <row r="9" spans="1:8" x14ac:dyDescent="0.15">
      <c r="A9">
        <v>8</v>
      </c>
      <c r="B9" s="181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8" x14ac:dyDescent="0.15">
      <c r="A10">
        <v>9</v>
      </c>
      <c r="B10" s="181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</row>
    <row r="11" spans="1:8" x14ac:dyDescent="0.15">
      <c r="A11">
        <v>10</v>
      </c>
      <c r="B11" s="181" t="s">
        <v>201</v>
      </c>
      <c r="C11">
        <v>1.8</v>
      </c>
      <c r="D11">
        <v>0</v>
      </c>
      <c r="E11">
        <v>4.2</v>
      </c>
      <c r="F11">
        <v>0.46</v>
      </c>
      <c r="G11">
        <v>0</v>
      </c>
      <c r="H11">
        <v>6.46</v>
      </c>
    </row>
    <row r="12" spans="1:8" x14ac:dyDescent="0.15">
      <c r="A12">
        <v>11</v>
      </c>
      <c r="B12" s="181" t="s">
        <v>202</v>
      </c>
      <c r="C12">
        <v>0.67</v>
      </c>
      <c r="D12">
        <v>0</v>
      </c>
      <c r="E12">
        <v>0.05</v>
      </c>
      <c r="F12">
        <v>0.28999999999999998</v>
      </c>
      <c r="G12">
        <v>0</v>
      </c>
      <c r="H12">
        <v>1.01</v>
      </c>
    </row>
    <row r="13" spans="1:8" x14ac:dyDescent="0.15">
      <c r="A13">
        <v>12</v>
      </c>
      <c r="B13" s="181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</row>
    <row r="14" spans="1:8" x14ac:dyDescent="0.15">
      <c r="A14">
        <v>13</v>
      </c>
      <c r="B14" s="181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</row>
    <row r="15" spans="1:8" x14ac:dyDescent="0.15">
      <c r="A15">
        <v>14</v>
      </c>
      <c r="B15" s="181" t="s">
        <v>205</v>
      </c>
      <c r="C15">
        <v>1.9</v>
      </c>
      <c r="D15">
        <v>0</v>
      </c>
      <c r="E15">
        <v>26</v>
      </c>
      <c r="F15">
        <v>0.03</v>
      </c>
      <c r="G15">
        <v>0</v>
      </c>
      <c r="H15">
        <v>27.93</v>
      </c>
    </row>
    <row r="16" spans="1:8" x14ac:dyDescent="0.15">
      <c r="A16">
        <v>15</v>
      </c>
      <c r="B16" s="181" t="s">
        <v>206</v>
      </c>
      <c r="C16">
        <v>16</v>
      </c>
      <c r="D16">
        <v>0</v>
      </c>
      <c r="E16">
        <v>18</v>
      </c>
      <c r="F16">
        <v>2.2999999999999998</v>
      </c>
      <c r="G16">
        <v>0</v>
      </c>
      <c r="H16">
        <v>36.299999999999997</v>
      </c>
    </row>
    <row r="17" spans="1:8" x14ac:dyDescent="0.15">
      <c r="A17">
        <v>16</v>
      </c>
      <c r="B17" s="181" t="s">
        <v>207</v>
      </c>
      <c r="C17">
        <v>11</v>
      </c>
      <c r="D17">
        <v>0.01</v>
      </c>
      <c r="E17">
        <v>0.35</v>
      </c>
      <c r="F17">
        <v>2</v>
      </c>
      <c r="G17">
        <v>0</v>
      </c>
      <c r="H17">
        <v>13.36</v>
      </c>
    </row>
    <row r="18" spans="1:8" x14ac:dyDescent="0.15">
      <c r="A18">
        <v>17</v>
      </c>
      <c r="B18" s="181" t="s">
        <v>208</v>
      </c>
      <c r="C18">
        <v>30</v>
      </c>
      <c r="D18">
        <v>0.02</v>
      </c>
      <c r="E18">
        <v>540</v>
      </c>
      <c r="F18">
        <v>4.9000000000000004</v>
      </c>
      <c r="G18">
        <v>0</v>
      </c>
      <c r="H18">
        <v>574.91999999999996</v>
      </c>
    </row>
    <row r="19" spans="1:8" x14ac:dyDescent="0.15">
      <c r="A19">
        <v>18</v>
      </c>
      <c r="B19" s="181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</row>
    <row r="20" spans="1:8" x14ac:dyDescent="0.15">
      <c r="A20">
        <v>19</v>
      </c>
      <c r="B20" s="181" t="s">
        <v>210</v>
      </c>
      <c r="C20">
        <v>38</v>
      </c>
      <c r="D20">
        <v>0</v>
      </c>
      <c r="E20">
        <v>38</v>
      </c>
      <c r="F20">
        <v>0.41</v>
      </c>
      <c r="G20">
        <v>0</v>
      </c>
      <c r="H20">
        <v>76.41</v>
      </c>
    </row>
    <row r="21" spans="1:8" x14ac:dyDescent="0.15">
      <c r="A21">
        <v>20</v>
      </c>
      <c r="B21" s="181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8" x14ac:dyDescent="0.15">
      <c r="A22">
        <v>21</v>
      </c>
      <c r="B22" s="181" t="s">
        <v>212</v>
      </c>
      <c r="C22">
        <v>24</v>
      </c>
      <c r="D22">
        <v>4.7</v>
      </c>
      <c r="E22">
        <v>110</v>
      </c>
      <c r="F22">
        <v>3</v>
      </c>
      <c r="G22">
        <v>0</v>
      </c>
      <c r="H22">
        <v>141.69999999999999</v>
      </c>
    </row>
    <row r="23" spans="1:8" x14ac:dyDescent="0.15">
      <c r="A23">
        <v>22</v>
      </c>
      <c r="B23" s="181" t="s">
        <v>213</v>
      </c>
      <c r="C23">
        <v>0.73</v>
      </c>
      <c r="D23">
        <v>14</v>
      </c>
      <c r="E23">
        <v>110</v>
      </c>
      <c r="F23">
        <v>0.01</v>
      </c>
      <c r="G23">
        <v>0</v>
      </c>
      <c r="H23">
        <v>124.74000000000001</v>
      </c>
    </row>
    <row r="24" spans="1:8" x14ac:dyDescent="0.15">
      <c r="A24">
        <v>23</v>
      </c>
      <c r="B24" s="181" t="s">
        <v>214</v>
      </c>
      <c r="C24">
        <v>0.01</v>
      </c>
      <c r="D24">
        <v>0.14000000000000001</v>
      </c>
      <c r="E24">
        <v>0.01</v>
      </c>
      <c r="F24">
        <v>0</v>
      </c>
      <c r="G24">
        <v>0</v>
      </c>
      <c r="H24">
        <v>0.16000000000000003</v>
      </c>
    </row>
    <row r="25" spans="1:8" x14ac:dyDescent="0.15">
      <c r="A25">
        <v>24</v>
      </c>
      <c r="B25" s="181" t="s">
        <v>215</v>
      </c>
      <c r="C25">
        <v>0.02</v>
      </c>
      <c r="D25">
        <v>0.02</v>
      </c>
      <c r="E25">
        <v>0</v>
      </c>
      <c r="F25">
        <v>0.01</v>
      </c>
      <c r="G25">
        <v>0</v>
      </c>
      <c r="H25">
        <v>0.05</v>
      </c>
    </row>
    <row r="26" spans="1:8" x14ac:dyDescent="0.15">
      <c r="A26">
        <v>25</v>
      </c>
      <c r="B26" s="181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</row>
    <row r="27" spans="1:8" x14ac:dyDescent="0.15">
      <c r="A27">
        <v>26</v>
      </c>
      <c r="B27" s="181" t="s">
        <v>217</v>
      </c>
      <c r="C27">
        <v>1.8</v>
      </c>
      <c r="D27">
        <v>0</v>
      </c>
      <c r="E27">
        <v>55</v>
      </c>
      <c r="F27">
        <v>0.05</v>
      </c>
      <c r="G27">
        <v>0</v>
      </c>
      <c r="H27">
        <v>56.849999999999994</v>
      </c>
    </row>
    <row r="28" spans="1:8" x14ac:dyDescent="0.15">
      <c r="A28">
        <v>27</v>
      </c>
      <c r="B28" s="181" t="s">
        <v>218</v>
      </c>
      <c r="C28">
        <v>5.3</v>
      </c>
      <c r="D28">
        <v>0</v>
      </c>
      <c r="E28">
        <v>5.4</v>
      </c>
      <c r="F28">
        <v>0.15</v>
      </c>
      <c r="G28">
        <v>0</v>
      </c>
      <c r="H28">
        <v>10.85</v>
      </c>
    </row>
    <row r="29" spans="1:8" x14ac:dyDescent="0.15">
      <c r="A29">
        <v>28</v>
      </c>
      <c r="B29" s="181" t="s">
        <v>219</v>
      </c>
      <c r="C29">
        <v>3.6</v>
      </c>
      <c r="D29">
        <v>72.349999999999994</v>
      </c>
      <c r="E29">
        <v>7.2</v>
      </c>
      <c r="F29">
        <v>0.62</v>
      </c>
      <c r="G29">
        <v>0.03</v>
      </c>
      <c r="H29">
        <v>83.8</v>
      </c>
    </row>
    <row r="30" spans="1:8" x14ac:dyDescent="0.15">
      <c r="A30">
        <v>29</v>
      </c>
      <c r="B30" s="181" t="s">
        <v>220</v>
      </c>
      <c r="C30">
        <v>18</v>
      </c>
      <c r="D30">
        <v>0</v>
      </c>
      <c r="E30">
        <v>100</v>
      </c>
      <c r="F30">
        <v>0.4</v>
      </c>
      <c r="G30">
        <v>0</v>
      </c>
      <c r="H30">
        <v>118.4</v>
      </c>
    </row>
    <row r="31" spans="1:8" x14ac:dyDescent="0.15">
      <c r="A31">
        <v>30</v>
      </c>
      <c r="B31" s="18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</row>
    <row r="32" spans="1:8" x14ac:dyDescent="0.15">
      <c r="A32">
        <v>31</v>
      </c>
      <c r="B32" s="181" t="s">
        <v>222</v>
      </c>
      <c r="C32">
        <v>0.6</v>
      </c>
      <c r="D32">
        <v>0</v>
      </c>
      <c r="E32">
        <v>10</v>
      </c>
      <c r="F32">
        <v>0.13</v>
      </c>
      <c r="G32">
        <v>0</v>
      </c>
      <c r="H32">
        <v>10.73</v>
      </c>
    </row>
    <row r="33" spans="1:8" x14ac:dyDescent="0.15">
      <c r="A33">
        <v>32</v>
      </c>
      <c r="B33" s="18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8" x14ac:dyDescent="0.15">
      <c r="A34">
        <v>33</v>
      </c>
      <c r="B34" s="18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15">
      <c r="A35">
        <v>34</v>
      </c>
      <c r="B35" s="18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</row>
    <row r="36" spans="1:8" x14ac:dyDescent="0.15">
      <c r="A36">
        <v>35</v>
      </c>
      <c r="B36" s="18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</row>
    <row r="37" spans="1:8" x14ac:dyDescent="0.15">
      <c r="A37">
        <v>36</v>
      </c>
      <c r="B37" s="18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</row>
    <row r="38" spans="1:8" x14ac:dyDescent="0.15">
      <c r="A38">
        <v>37</v>
      </c>
      <c r="B38" s="18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</row>
    <row r="39" spans="1:8" x14ac:dyDescent="0.15">
      <c r="A39">
        <v>38</v>
      </c>
      <c r="B39" s="181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</row>
    <row r="40" spans="1:8" x14ac:dyDescent="0.15">
      <c r="A40">
        <v>39</v>
      </c>
      <c r="B40" s="181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</row>
    <row r="41" spans="1:8" x14ac:dyDescent="0.15">
      <c r="A41">
        <v>40</v>
      </c>
      <c r="B41" s="181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10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0" customFormat="1" ht="14" thickBot="1" x14ac:dyDescent="0.2">
      <c r="D1" s="111" t="s">
        <v>8</v>
      </c>
      <c r="E1" s="111" t="s">
        <v>0</v>
      </c>
      <c r="F1" s="112" t="s">
        <v>99</v>
      </c>
      <c r="G1" s="113" t="s">
        <v>84</v>
      </c>
      <c r="H1" s="113" t="s">
        <v>85</v>
      </c>
      <c r="I1" s="113" t="s">
        <v>86</v>
      </c>
      <c r="J1" s="113" t="s">
        <v>87</v>
      </c>
      <c r="K1" s="113" t="s">
        <v>88</v>
      </c>
      <c r="L1" s="114" t="s">
        <v>89</v>
      </c>
      <c r="M1" s="114" t="s">
        <v>93</v>
      </c>
      <c r="N1" s="114" t="s">
        <v>92</v>
      </c>
      <c r="O1" s="114" t="s">
        <v>90</v>
      </c>
      <c r="P1" s="114" t="s">
        <v>91</v>
      </c>
      <c r="Q1" s="115" t="s">
        <v>94</v>
      </c>
      <c r="R1" s="115" t="s">
        <v>95</v>
      </c>
      <c r="S1" s="115" t="s">
        <v>96</v>
      </c>
      <c r="T1" s="115" t="s">
        <v>97</v>
      </c>
      <c r="U1" s="115" t="s">
        <v>98</v>
      </c>
      <c r="V1" s="113" t="s">
        <v>100</v>
      </c>
      <c r="W1" s="113" t="s">
        <v>101</v>
      </c>
      <c r="X1" s="113" t="s">
        <v>102</v>
      </c>
      <c r="Y1" s="113" t="s">
        <v>134</v>
      </c>
      <c r="Z1" s="114" t="s">
        <v>103</v>
      </c>
      <c r="AA1" s="114" t="s">
        <v>104</v>
      </c>
      <c r="AB1" s="114" t="s">
        <v>105</v>
      </c>
      <c r="AC1" s="116" t="s">
        <v>135</v>
      </c>
      <c r="AD1" s="115" t="s">
        <v>106</v>
      </c>
      <c r="AE1" s="115" t="s">
        <v>107</v>
      </c>
      <c r="AF1" s="115" t="s">
        <v>108</v>
      </c>
      <c r="AG1" s="115" t="s">
        <v>136</v>
      </c>
      <c r="AH1" s="113" t="s">
        <v>109</v>
      </c>
      <c r="AI1" s="113" t="s">
        <v>111</v>
      </c>
      <c r="AJ1" s="113" t="s">
        <v>110</v>
      </c>
      <c r="AK1" s="114" t="s">
        <v>115</v>
      </c>
      <c r="AL1" s="114" t="s">
        <v>116</v>
      </c>
      <c r="AM1" s="114" t="s">
        <v>117</v>
      </c>
      <c r="AN1" s="115" t="s">
        <v>112</v>
      </c>
      <c r="AO1" s="115" t="s">
        <v>113</v>
      </c>
      <c r="AP1" s="115" t="s">
        <v>114</v>
      </c>
    </row>
    <row r="2" spans="1:42" x14ac:dyDescent="0.15">
      <c r="A2" s="117" t="s">
        <v>74</v>
      </c>
      <c r="B2" s="118">
        <v>1</v>
      </c>
      <c r="D2">
        <v>1</v>
      </c>
      <c r="E2" s="183" t="s">
        <v>192</v>
      </c>
      <c r="F2">
        <v>0.98</v>
      </c>
      <c r="G2">
        <v>0.8</v>
      </c>
      <c r="H2">
        <v>0.8</v>
      </c>
      <c r="I2">
        <v>0.8</v>
      </c>
      <c r="J2" s="108">
        <v>0.25</v>
      </c>
      <c r="K2" s="108">
        <v>0.05</v>
      </c>
    </row>
    <row r="3" spans="1:42" x14ac:dyDescent="0.15">
      <c r="A3" s="117" t="s">
        <v>75</v>
      </c>
      <c r="B3" s="119">
        <v>1</v>
      </c>
      <c r="D3">
        <v>2</v>
      </c>
      <c r="E3" s="183" t="s">
        <v>193</v>
      </c>
      <c r="F3">
        <v>0.98</v>
      </c>
      <c r="G3">
        <v>0.8</v>
      </c>
      <c r="H3">
        <v>0.8</v>
      </c>
      <c r="I3">
        <v>0.8</v>
      </c>
      <c r="J3" s="108">
        <v>0.25</v>
      </c>
      <c r="K3" s="108">
        <v>0.05</v>
      </c>
    </row>
    <row r="4" spans="1:42" x14ac:dyDescent="0.15">
      <c r="A4" s="117" t="s">
        <v>76</v>
      </c>
      <c r="B4" s="119">
        <v>1</v>
      </c>
      <c r="D4">
        <v>3</v>
      </c>
      <c r="E4" s="183" t="s">
        <v>194</v>
      </c>
      <c r="F4">
        <v>0.98</v>
      </c>
      <c r="G4">
        <v>0.8</v>
      </c>
      <c r="H4">
        <v>0.8</v>
      </c>
      <c r="I4">
        <v>0.8</v>
      </c>
      <c r="J4" s="108">
        <v>0.25</v>
      </c>
      <c r="K4" s="108">
        <v>0.05</v>
      </c>
    </row>
    <row r="5" spans="1:42" x14ac:dyDescent="0.15">
      <c r="A5" s="117" t="s">
        <v>77</v>
      </c>
      <c r="B5" s="119">
        <v>1</v>
      </c>
      <c r="D5">
        <v>4</v>
      </c>
      <c r="E5" s="183" t="s">
        <v>195</v>
      </c>
      <c r="F5">
        <v>0.98</v>
      </c>
      <c r="G5">
        <v>0.8</v>
      </c>
      <c r="H5">
        <v>0.8</v>
      </c>
      <c r="I5">
        <v>0.8</v>
      </c>
      <c r="J5" s="108">
        <v>0.25</v>
      </c>
      <c r="K5" s="108">
        <v>0.05</v>
      </c>
    </row>
    <row r="6" spans="1:42" x14ac:dyDescent="0.15">
      <c r="A6" s="117" t="s">
        <v>78</v>
      </c>
      <c r="B6" s="119">
        <v>1</v>
      </c>
      <c r="D6">
        <v>5</v>
      </c>
      <c r="E6" s="183" t="s">
        <v>196</v>
      </c>
      <c r="F6">
        <v>0.98</v>
      </c>
      <c r="G6">
        <v>0.8</v>
      </c>
      <c r="H6">
        <v>0.8</v>
      </c>
      <c r="I6">
        <v>0.8</v>
      </c>
      <c r="J6" s="108">
        <v>0.25</v>
      </c>
      <c r="K6" s="108">
        <v>0.05</v>
      </c>
    </row>
    <row r="7" spans="1:42" x14ac:dyDescent="0.15">
      <c r="A7" s="117" t="s">
        <v>79</v>
      </c>
      <c r="B7" s="119">
        <v>1</v>
      </c>
      <c r="D7">
        <v>6</v>
      </c>
      <c r="E7" s="183" t="s">
        <v>197</v>
      </c>
      <c r="F7">
        <v>0.98</v>
      </c>
      <c r="G7">
        <v>0.8</v>
      </c>
      <c r="H7">
        <v>0.8</v>
      </c>
      <c r="I7">
        <v>0.8</v>
      </c>
      <c r="J7" s="108">
        <v>0.25</v>
      </c>
      <c r="K7" s="108">
        <v>0.05</v>
      </c>
    </row>
    <row r="8" spans="1:42" x14ac:dyDescent="0.15">
      <c r="A8" s="117" t="s">
        <v>80</v>
      </c>
      <c r="B8" s="119">
        <v>1</v>
      </c>
      <c r="D8">
        <v>7</v>
      </c>
      <c r="E8" s="183" t="s">
        <v>198</v>
      </c>
      <c r="F8">
        <v>0.98</v>
      </c>
      <c r="G8">
        <v>0.8</v>
      </c>
      <c r="H8">
        <v>0.8</v>
      </c>
      <c r="I8">
        <v>0.8</v>
      </c>
      <c r="J8" s="108">
        <v>0.25</v>
      </c>
      <c r="K8" s="108">
        <v>0.05</v>
      </c>
    </row>
    <row r="9" spans="1:42" x14ac:dyDescent="0.15">
      <c r="A9" s="117" t="s">
        <v>81</v>
      </c>
      <c r="B9" s="119">
        <v>0.1</v>
      </c>
      <c r="C9" s="60" t="s">
        <v>150</v>
      </c>
      <c r="D9">
        <v>8</v>
      </c>
      <c r="E9" s="183" t="s">
        <v>199</v>
      </c>
      <c r="F9">
        <v>0.98</v>
      </c>
      <c r="G9">
        <v>0.8</v>
      </c>
      <c r="H9">
        <v>0.8</v>
      </c>
      <c r="I9">
        <v>0.8</v>
      </c>
      <c r="J9" s="108">
        <v>0.25</v>
      </c>
      <c r="K9" s="108">
        <v>0.05</v>
      </c>
    </row>
    <row r="10" spans="1:42" ht="14" thickBot="1" x14ac:dyDescent="0.2">
      <c r="A10" s="117" t="s">
        <v>149</v>
      </c>
      <c r="B10" s="120">
        <f>1/3</f>
        <v>0.33333333333333331</v>
      </c>
      <c r="C10" s="60" t="s">
        <v>150</v>
      </c>
      <c r="D10">
        <v>9</v>
      </c>
      <c r="E10" s="183" t="s">
        <v>200</v>
      </c>
      <c r="F10">
        <v>0.98</v>
      </c>
      <c r="G10">
        <v>0.8</v>
      </c>
      <c r="H10">
        <v>0.8</v>
      </c>
      <c r="I10">
        <v>0.8</v>
      </c>
      <c r="J10" s="108">
        <v>0.25</v>
      </c>
      <c r="K10" s="108">
        <v>0.05</v>
      </c>
    </row>
    <row r="11" spans="1:42" x14ac:dyDescent="0.15">
      <c r="D11">
        <v>10</v>
      </c>
      <c r="E11" s="183" t="s">
        <v>201</v>
      </c>
      <c r="F11">
        <v>0.98</v>
      </c>
      <c r="G11">
        <v>0.8</v>
      </c>
      <c r="H11">
        <v>0.8</v>
      </c>
      <c r="I11">
        <v>0.8</v>
      </c>
      <c r="J11" s="108">
        <v>0.25</v>
      </c>
      <c r="K11" s="108">
        <v>0.05</v>
      </c>
    </row>
    <row r="12" spans="1:42" x14ac:dyDescent="0.15">
      <c r="D12">
        <v>11</v>
      </c>
      <c r="E12" s="183" t="s">
        <v>202</v>
      </c>
      <c r="F12">
        <v>0.98</v>
      </c>
      <c r="G12">
        <v>0.8</v>
      </c>
      <c r="H12">
        <v>0.8</v>
      </c>
      <c r="I12">
        <v>0.8</v>
      </c>
      <c r="J12" s="108">
        <v>0.25</v>
      </c>
      <c r="K12" s="108">
        <v>0.05</v>
      </c>
    </row>
    <row r="13" spans="1:42" x14ac:dyDescent="0.15">
      <c r="D13">
        <v>12</v>
      </c>
      <c r="E13" s="183" t="s">
        <v>203</v>
      </c>
      <c r="F13">
        <v>0.98</v>
      </c>
      <c r="G13">
        <v>0.8</v>
      </c>
      <c r="H13">
        <v>0.8</v>
      </c>
      <c r="I13">
        <v>0.8</v>
      </c>
      <c r="J13" s="108">
        <v>0.25</v>
      </c>
      <c r="K13" s="108">
        <v>0.05</v>
      </c>
    </row>
    <row r="14" spans="1:42" x14ac:dyDescent="0.15">
      <c r="D14">
        <v>13</v>
      </c>
      <c r="E14" s="183" t="s">
        <v>204</v>
      </c>
      <c r="F14">
        <v>0.98</v>
      </c>
      <c r="G14">
        <v>0.8</v>
      </c>
      <c r="H14">
        <v>0.8</v>
      </c>
      <c r="I14">
        <v>0.8</v>
      </c>
      <c r="J14" s="108">
        <v>0.25</v>
      </c>
      <c r="K14" s="108">
        <v>0.05</v>
      </c>
    </row>
    <row r="15" spans="1:42" x14ac:dyDescent="0.15">
      <c r="D15">
        <v>14</v>
      </c>
      <c r="E15" s="183" t="s">
        <v>205</v>
      </c>
      <c r="F15">
        <v>0.98</v>
      </c>
      <c r="G15">
        <v>0.8</v>
      </c>
      <c r="H15">
        <v>0.8</v>
      </c>
      <c r="I15">
        <v>0.8</v>
      </c>
      <c r="J15" s="108">
        <v>0.25</v>
      </c>
      <c r="K15" s="108">
        <v>0.05</v>
      </c>
    </row>
    <row r="16" spans="1:42" x14ac:dyDescent="0.15">
      <c r="D16">
        <v>15</v>
      </c>
      <c r="E16" s="183" t="s">
        <v>206</v>
      </c>
      <c r="F16">
        <v>0.98</v>
      </c>
      <c r="G16">
        <v>0.8</v>
      </c>
      <c r="H16">
        <v>0.8</v>
      </c>
      <c r="I16">
        <v>0.8</v>
      </c>
      <c r="J16" s="108">
        <v>0.25</v>
      </c>
      <c r="K16" s="108">
        <v>0.05</v>
      </c>
    </row>
    <row r="17" spans="4:33" ht="15" customHeight="1" x14ac:dyDescent="0.15">
      <c r="D17">
        <v>16</v>
      </c>
      <c r="E17" s="183" t="s">
        <v>207</v>
      </c>
      <c r="F17">
        <v>0.98</v>
      </c>
      <c r="G17">
        <v>0.8</v>
      </c>
      <c r="H17">
        <v>0.8</v>
      </c>
      <c r="I17">
        <v>0.8</v>
      </c>
      <c r="J17" s="108">
        <v>0.25</v>
      </c>
      <c r="K17" s="108">
        <v>0.05</v>
      </c>
    </row>
    <row r="18" spans="4:33" ht="15" customHeight="1" x14ac:dyDescent="0.15">
      <c r="D18">
        <v>17</v>
      </c>
      <c r="E18" s="183" t="s">
        <v>208</v>
      </c>
      <c r="F18">
        <v>0.98</v>
      </c>
      <c r="G18">
        <v>0.8</v>
      </c>
      <c r="H18">
        <v>0.8</v>
      </c>
      <c r="I18">
        <v>0.8</v>
      </c>
      <c r="J18" s="108">
        <v>0.25</v>
      </c>
      <c r="K18" s="108">
        <v>0.05</v>
      </c>
    </row>
    <row r="19" spans="4:33" ht="15" customHeight="1" x14ac:dyDescent="0.15">
      <c r="D19">
        <v>18</v>
      </c>
      <c r="E19" s="183" t="s">
        <v>209</v>
      </c>
      <c r="F19">
        <v>0.98</v>
      </c>
      <c r="G19">
        <v>0.8</v>
      </c>
      <c r="H19">
        <v>0.8</v>
      </c>
      <c r="I19">
        <v>0.8</v>
      </c>
      <c r="J19" s="108">
        <v>0.25</v>
      </c>
      <c r="K19" s="108">
        <v>0.05</v>
      </c>
    </row>
    <row r="20" spans="4:33" ht="15" customHeight="1" x14ac:dyDescent="0.15">
      <c r="D20">
        <v>19</v>
      </c>
      <c r="E20" s="183" t="s">
        <v>210</v>
      </c>
      <c r="F20">
        <v>0.98</v>
      </c>
      <c r="G20">
        <v>0.8</v>
      </c>
      <c r="H20">
        <v>0.8</v>
      </c>
      <c r="I20">
        <v>0.8</v>
      </c>
      <c r="J20" s="108">
        <v>0.25</v>
      </c>
      <c r="K20" s="108">
        <v>0.05</v>
      </c>
    </row>
    <row r="21" spans="4:33" ht="15" customHeight="1" x14ac:dyDescent="0.15">
      <c r="D21">
        <v>20</v>
      </c>
      <c r="E21" s="183" t="s">
        <v>211</v>
      </c>
      <c r="F21">
        <v>0.98</v>
      </c>
      <c r="G21">
        <v>0.8</v>
      </c>
      <c r="H21">
        <v>0.8</v>
      </c>
      <c r="I21">
        <v>0.8</v>
      </c>
      <c r="J21" s="108">
        <v>0.25</v>
      </c>
      <c r="K21" s="108">
        <v>0.05</v>
      </c>
    </row>
    <row r="22" spans="4:33" ht="15" customHeight="1" x14ac:dyDescent="0.15">
      <c r="D22">
        <v>21</v>
      </c>
      <c r="E22" s="183" t="s">
        <v>212</v>
      </c>
      <c r="F22">
        <v>0.98</v>
      </c>
      <c r="G22">
        <v>0.8</v>
      </c>
      <c r="H22">
        <v>0.8</v>
      </c>
      <c r="I22">
        <v>0.8</v>
      </c>
      <c r="J22" s="108">
        <v>0.25</v>
      </c>
      <c r="K22" s="108">
        <v>0.05</v>
      </c>
    </row>
    <row r="23" spans="4:33" ht="15" customHeight="1" x14ac:dyDescent="0.15">
      <c r="D23">
        <v>22</v>
      </c>
      <c r="E23" s="183" t="s">
        <v>213</v>
      </c>
      <c r="F23">
        <v>0.98</v>
      </c>
      <c r="G23">
        <v>0.8</v>
      </c>
      <c r="H23">
        <v>0.8</v>
      </c>
      <c r="I23">
        <v>0.8</v>
      </c>
      <c r="J23" s="108">
        <v>0.25</v>
      </c>
      <c r="K23" s="108">
        <v>0.05</v>
      </c>
    </row>
    <row r="24" spans="4:33" ht="15" customHeight="1" x14ac:dyDescent="0.15">
      <c r="D24">
        <v>23</v>
      </c>
      <c r="E24" s="183" t="s">
        <v>214</v>
      </c>
      <c r="F24">
        <v>0.98</v>
      </c>
      <c r="G24">
        <v>0.8</v>
      </c>
      <c r="H24">
        <v>0.8</v>
      </c>
      <c r="I24">
        <v>0.8</v>
      </c>
      <c r="J24" s="108">
        <v>0.25</v>
      </c>
      <c r="K24" s="108">
        <v>0.05</v>
      </c>
    </row>
    <row r="25" spans="4:33" ht="15" customHeight="1" x14ac:dyDescent="0.15">
      <c r="D25">
        <v>24</v>
      </c>
      <c r="E25" s="183" t="s">
        <v>215</v>
      </c>
      <c r="F25">
        <v>0.98</v>
      </c>
      <c r="G25">
        <v>0.8</v>
      </c>
      <c r="H25">
        <v>0.8</v>
      </c>
      <c r="I25">
        <v>0.8</v>
      </c>
      <c r="J25" s="108">
        <v>0.25</v>
      </c>
      <c r="K25" s="108">
        <v>0.05</v>
      </c>
    </row>
    <row r="26" spans="4:33" ht="15" customHeight="1" x14ac:dyDescent="0.15">
      <c r="D26">
        <v>25</v>
      </c>
      <c r="E26" s="183" t="s">
        <v>216</v>
      </c>
      <c r="F26">
        <v>0.98</v>
      </c>
      <c r="G26">
        <v>0.8</v>
      </c>
      <c r="H26">
        <v>0.8</v>
      </c>
      <c r="I26">
        <v>0.8</v>
      </c>
      <c r="J26" s="108">
        <v>0.25</v>
      </c>
      <c r="K26" s="108">
        <v>0.05</v>
      </c>
    </row>
    <row r="27" spans="4:33" ht="15" customHeight="1" x14ac:dyDescent="0.15">
      <c r="D27">
        <v>26</v>
      </c>
      <c r="E27" s="183" t="s">
        <v>217</v>
      </c>
      <c r="F27">
        <v>0.98</v>
      </c>
      <c r="G27">
        <v>0.8</v>
      </c>
      <c r="H27">
        <v>0.8</v>
      </c>
      <c r="I27">
        <v>0.8</v>
      </c>
      <c r="J27" s="108">
        <v>0.25</v>
      </c>
      <c r="K27" s="108">
        <v>0.05</v>
      </c>
    </row>
    <row r="28" spans="4:33" ht="15" customHeight="1" x14ac:dyDescent="0.15">
      <c r="D28">
        <v>27</v>
      </c>
      <c r="E28" s="183" t="s">
        <v>218</v>
      </c>
      <c r="F28">
        <v>0.98</v>
      </c>
      <c r="G28">
        <v>0.8</v>
      </c>
      <c r="H28">
        <v>0.8</v>
      </c>
      <c r="I28">
        <v>0.8</v>
      </c>
      <c r="J28" s="108">
        <v>0.25</v>
      </c>
      <c r="K28" s="108">
        <v>0.05</v>
      </c>
    </row>
    <row r="29" spans="4:33" ht="15" customHeight="1" x14ac:dyDescent="0.15">
      <c r="D29">
        <v>28</v>
      </c>
      <c r="E29" s="183" t="s">
        <v>219</v>
      </c>
      <c r="F29">
        <v>0.98</v>
      </c>
      <c r="G29">
        <v>0.8</v>
      </c>
      <c r="H29">
        <v>0.8</v>
      </c>
      <c r="I29">
        <v>0.8</v>
      </c>
      <c r="J29" s="108">
        <v>0.25</v>
      </c>
      <c r="K29" s="108">
        <v>0.05</v>
      </c>
      <c r="Y29"/>
      <c r="AC29"/>
      <c r="AG29"/>
    </row>
    <row r="30" spans="4:33" ht="15" customHeight="1" x14ac:dyDescent="0.15">
      <c r="D30">
        <v>29</v>
      </c>
      <c r="E30" s="183" t="s">
        <v>220</v>
      </c>
      <c r="F30">
        <v>0.98</v>
      </c>
      <c r="G30">
        <v>0.8</v>
      </c>
      <c r="H30">
        <v>0.8</v>
      </c>
      <c r="I30">
        <v>0.8</v>
      </c>
      <c r="J30" s="108">
        <v>0.25</v>
      </c>
      <c r="K30" s="108">
        <v>0.05</v>
      </c>
      <c r="Y30"/>
      <c r="AC30"/>
      <c r="AG30"/>
    </row>
    <row r="31" spans="4:33" ht="15" customHeight="1" x14ac:dyDescent="0.15">
      <c r="D31">
        <v>30</v>
      </c>
      <c r="E31" s="183" t="s">
        <v>221</v>
      </c>
      <c r="F31">
        <v>0.98</v>
      </c>
      <c r="G31">
        <v>0.8</v>
      </c>
      <c r="H31">
        <v>0.8</v>
      </c>
      <c r="I31">
        <v>0.8</v>
      </c>
      <c r="J31" s="108">
        <v>0.25</v>
      </c>
      <c r="K31" s="108">
        <v>0.05</v>
      </c>
      <c r="Y31"/>
      <c r="AC31"/>
      <c r="AG31"/>
    </row>
    <row r="32" spans="4:33" ht="15" customHeight="1" x14ac:dyDescent="0.15">
      <c r="D32">
        <v>31</v>
      </c>
      <c r="E32" s="183" t="s">
        <v>222</v>
      </c>
      <c r="F32">
        <v>0.98</v>
      </c>
      <c r="G32">
        <v>0.8</v>
      </c>
      <c r="H32">
        <v>0.8</v>
      </c>
      <c r="I32">
        <v>0.8</v>
      </c>
      <c r="J32" s="108">
        <v>0.25</v>
      </c>
      <c r="K32" s="108">
        <v>0.05</v>
      </c>
      <c r="Y32"/>
      <c r="AC32"/>
      <c r="AG32"/>
    </row>
    <row r="33" spans="4:33" ht="15" customHeight="1" x14ac:dyDescent="0.15">
      <c r="D33">
        <v>32</v>
      </c>
      <c r="E33" s="183" t="s">
        <v>223</v>
      </c>
      <c r="F33">
        <v>0.98</v>
      </c>
      <c r="G33">
        <v>0.8</v>
      </c>
      <c r="H33">
        <v>0.8</v>
      </c>
      <c r="I33">
        <v>0.8</v>
      </c>
      <c r="J33" s="108">
        <v>0.25</v>
      </c>
      <c r="K33" s="108">
        <v>0.05</v>
      </c>
      <c r="Y33"/>
      <c r="AC33"/>
      <c r="AG33"/>
    </row>
    <row r="34" spans="4:33" ht="15" customHeight="1" x14ac:dyDescent="0.15">
      <c r="D34">
        <v>33</v>
      </c>
      <c r="E34" s="183" t="s">
        <v>224</v>
      </c>
      <c r="F34">
        <v>0.98</v>
      </c>
      <c r="G34">
        <v>0.8</v>
      </c>
      <c r="H34">
        <v>0.8</v>
      </c>
      <c r="I34">
        <v>0.8</v>
      </c>
      <c r="J34" s="108">
        <v>0.25</v>
      </c>
      <c r="K34" s="108">
        <v>0.05</v>
      </c>
      <c r="Y34"/>
      <c r="AC34"/>
      <c r="AG34"/>
    </row>
    <row r="35" spans="4:33" ht="15" customHeight="1" x14ac:dyDescent="0.15">
      <c r="D35">
        <v>34</v>
      </c>
      <c r="E35" s="183" t="s">
        <v>225</v>
      </c>
      <c r="F35">
        <v>0.98</v>
      </c>
      <c r="G35">
        <v>0.8</v>
      </c>
      <c r="H35">
        <v>0.8</v>
      </c>
      <c r="I35">
        <v>0.8</v>
      </c>
      <c r="J35" s="108">
        <v>0.25</v>
      </c>
      <c r="K35" s="108">
        <v>0.05</v>
      </c>
      <c r="Y35"/>
      <c r="AC35"/>
      <c r="AG35"/>
    </row>
    <row r="36" spans="4:33" ht="15" customHeight="1" x14ac:dyDescent="0.15">
      <c r="D36">
        <v>35</v>
      </c>
      <c r="E36" s="183" t="s">
        <v>226</v>
      </c>
      <c r="F36">
        <v>0.98</v>
      </c>
      <c r="G36">
        <v>0.8</v>
      </c>
      <c r="H36">
        <v>0.8</v>
      </c>
      <c r="I36">
        <v>0.8</v>
      </c>
      <c r="J36" s="108">
        <v>0.25</v>
      </c>
      <c r="K36" s="108">
        <v>0.05</v>
      </c>
      <c r="Y36"/>
      <c r="AC36"/>
      <c r="AG36"/>
    </row>
    <row r="37" spans="4:33" ht="15" customHeight="1" x14ac:dyDescent="0.15">
      <c r="D37">
        <v>36</v>
      </c>
      <c r="E37" s="183" t="s">
        <v>227</v>
      </c>
      <c r="F37">
        <v>0.98</v>
      </c>
      <c r="G37">
        <v>0.8</v>
      </c>
      <c r="H37">
        <v>0.8</v>
      </c>
      <c r="I37">
        <v>0.8</v>
      </c>
      <c r="J37" s="108">
        <v>0.25</v>
      </c>
      <c r="K37" s="108">
        <v>0.05</v>
      </c>
      <c r="Y37"/>
      <c r="AC37"/>
      <c r="AG37"/>
    </row>
    <row r="38" spans="4:33" ht="15" customHeight="1" x14ac:dyDescent="0.15">
      <c r="D38">
        <v>37</v>
      </c>
      <c r="E38" s="183" t="s">
        <v>228</v>
      </c>
      <c r="F38">
        <v>0.98</v>
      </c>
      <c r="G38">
        <v>0.8</v>
      </c>
      <c r="H38">
        <v>0.8</v>
      </c>
      <c r="I38">
        <v>0</v>
      </c>
      <c r="J38" s="108">
        <v>0</v>
      </c>
      <c r="K38" s="108">
        <v>0</v>
      </c>
      <c r="Y38"/>
      <c r="AC38"/>
      <c r="AG38"/>
    </row>
    <row r="39" spans="4:33" ht="15" customHeight="1" x14ac:dyDescent="0.15">
      <c r="D39">
        <v>38</v>
      </c>
      <c r="E39" s="183" t="s">
        <v>229</v>
      </c>
      <c r="F39">
        <v>0.98</v>
      </c>
      <c r="G39">
        <v>0.8</v>
      </c>
      <c r="H39">
        <v>0.8</v>
      </c>
      <c r="I39">
        <v>0</v>
      </c>
      <c r="J39" s="108">
        <v>0</v>
      </c>
      <c r="K39" s="108">
        <v>0</v>
      </c>
    </row>
    <row r="40" spans="4:33" ht="15" customHeight="1" x14ac:dyDescent="0.15">
      <c r="D40">
        <v>39</v>
      </c>
      <c r="E40" s="183" t="s">
        <v>230</v>
      </c>
      <c r="F40">
        <v>0.98</v>
      </c>
      <c r="G40">
        <v>0.8</v>
      </c>
      <c r="H40">
        <v>0</v>
      </c>
      <c r="I40">
        <v>0</v>
      </c>
      <c r="J40" s="108">
        <v>0</v>
      </c>
      <c r="K40" s="108">
        <v>0</v>
      </c>
      <c r="Y40"/>
      <c r="AC40"/>
      <c r="AG40"/>
    </row>
    <row r="41" spans="4:33" ht="15" customHeight="1" x14ac:dyDescent="0.15">
      <c r="D41">
        <v>40</v>
      </c>
      <c r="E41" s="183" t="s">
        <v>231</v>
      </c>
      <c r="F41">
        <v>0.98</v>
      </c>
      <c r="G41">
        <v>0.8</v>
      </c>
      <c r="H41">
        <v>0</v>
      </c>
      <c r="I41">
        <v>0</v>
      </c>
      <c r="J41" s="108">
        <v>0</v>
      </c>
      <c r="K41" s="108">
        <v>0</v>
      </c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37" width="3.83203125" style="106" customWidth="1"/>
    <col min="38" max="41" width="2.33203125" style="106" customWidth="1"/>
    <col min="42" max="16384" width="10.83203125" style="106"/>
  </cols>
  <sheetData>
    <row r="1" spans="1:41" x14ac:dyDescent="0.15">
      <c r="A1" s="62" t="s">
        <v>118</v>
      </c>
      <c r="B1" s="185" t="s">
        <v>192</v>
      </c>
      <c r="C1" s="185" t="s">
        <v>193</v>
      </c>
      <c r="D1" s="185" t="s">
        <v>194</v>
      </c>
      <c r="E1" s="185" t="s">
        <v>195</v>
      </c>
      <c r="F1" s="185" t="s">
        <v>196</v>
      </c>
      <c r="G1" s="185" t="s">
        <v>197</v>
      </c>
      <c r="H1" s="185" t="s">
        <v>198</v>
      </c>
      <c r="I1" s="185" t="s">
        <v>199</v>
      </c>
      <c r="J1" s="185" t="s">
        <v>200</v>
      </c>
      <c r="K1" s="185" t="s">
        <v>201</v>
      </c>
      <c r="L1" s="185" t="s">
        <v>202</v>
      </c>
      <c r="M1" s="185" t="s">
        <v>203</v>
      </c>
      <c r="N1" s="185" t="s">
        <v>204</v>
      </c>
      <c r="O1" s="185" t="s">
        <v>205</v>
      </c>
      <c r="P1" s="185" t="s">
        <v>206</v>
      </c>
      <c r="Q1" s="185" t="s">
        <v>207</v>
      </c>
      <c r="R1" s="185" t="s">
        <v>208</v>
      </c>
      <c r="S1" s="185" t="s">
        <v>209</v>
      </c>
      <c r="T1" s="185" t="s">
        <v>210</v>
      </c>
      <c r="U1" s="185" t="s">
        <v>211</v>
      </c>
      <c r="V1" s="185" t="s">
        <v>212</v>
      </c>
      <c r="W1" s="185" t="s">
        <v>213</v>
      </c>
      <c r="X1" s="185" t="s">
        <v>214</v>
      </c>
      <c r="Y1" s="185" t="s">
        <v>215</v>
      </c>
      <c r="Z1" s="185" t="s">
        <v>216</v>
      </c>
      <c r="AA1" s="185" t="s">
        <v>217</v>
      </c>
      <c r="AB1" s="185" t="s">
        <v>218</v>
      </c>
      <c r="AC1" s="185" t="s">
        <v>219</v>
      </c>
      <c r="AD1" s="185" t="s">
        <v>220</v>
      </c>
      <c r="AE1" s="185" t="s">
        <v>221</v>
      </c>
      <c r="AF1" s="185" t="s">
        <v>222</v>
      </c>
      <c r="AG1" s="185" t="s">
        <v>223</v>
      </c>
      <c r="AH1" s="185" t="s">
        <v>224</v>
      </c>
      <c r="AI1" s="185" t="s">
        <v>225</v>
      </c>
      <c r="AJ1" s="185" t="s">
        <v>226</v>
      </c>
      <c r="AK1" s="185" t="s">
        <v>227</v>
      </c>
      <c r="AL1" s="185" t="s">
        <v>228</v>
      </c>
      <c r="AM1" s="185" t="s">
        <v>229</v>
      </c>
      <c r="AN1" s="185" t="s">
        <v>230</v>
      </c>
      <c r="AO1" s="185" t="s">
        <v>231</v>
      </c>
    </row>
    <row r="2" spans="1:41" customFormat="1" x14ac:dyDescent="0.15">
      <c r="A2" s="184" t="s">
        <v>192</v>
      </c>
      <c r="B2" s="106">
        <v>0</v>
      </c>
      <c r="C2" s="106">
        <v>0</v>
      </c>
      <c r="D2" s="106">
        <v>0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0.8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0.8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  <c r="AI2" s="106">
        <v>0</v>
      </c>
      <c r="AJ2" s="106">
        <v>0</v>
      </c>
      <c r="AK2" s="106">
        <v>0</v>
      </c>
      <c r="AL2" s="106">
        <v>0</v>
      </c>
      <c r="AM2" s="106">
        <v>0</v>
      </c>
      <c r="AN2" s="106">
        <v>0</v>
      </c>
      <c r="AO2" s="106">
        <v>0</v>
      </c>
    </row>
    <row r="3" spans="1:41" customFormat="1" x14ac:dyDescent="0.15">
      <c r="A3" s="184" t="s">
        <v>193</v>
      </c>
      <c r="B3" s="106">
        <v>0</v>
      </c>
      <c r="C3" s="106">
        <v>0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0.8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  <c r="AI3" s="106">
        <v>0</v>
      </c>
      <c r="AJ3" s="106">
        <v>0</v>
      </c>
      <c r="AK3" s="106">
        <v>0</v>
      </c>
      <c r="AL3" s="106">
        <v>0</v>
      </c>
      <c r="AM3" s="106">
        <v>0</v>
      </c>
      <c r="AN3" s="106">
        <v>0</v>
      </c>
      <c r="AO3" s="106">
        <v>0</v>
      </c>
    </row>
    <row r="4" spans="1:41" customFormat="1" x14ac:dyDescent="0.15">
      <c r="A4" s="184" t="s">
        <v>194</v>
      </c>
      <c r="B4" s="106">
        <v>0</v>
      </c>
      <c r="C4" s="106">
        <v>0</v>
      </c>
      <c r="D4" s="106">
        <v>0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  <c r="AI4" s="106">
        <v>0</v>
      </c>
      <c r="AJ4" s="106">
        <v>0</v>
      </c>
      <c r="AK4" s="106">
        <v>0</v>
      </c>
      <c r="AL4" s="106">
        <v>0</v>
      </c>
      <c r="AM4" s="106">
        <v>0</v>
      </c>
      <c r="AN4" s="106">
        <v>0</v>
      </c>
      <c r="AO4" s="106">
        <v>0</v>
      </c>
    </row>
    <row r="5" spans="1:41" customFormat="1" x14ac:dyDescent="0.15">
      <c r="A5" s="184" t="s">
        <v>195</v>
      </c>
      <c r="B5" s="106">
        <v>0</v>
      </c>
      <c r="C5" s="106">
        <v>0</v>
      </c>
      <c r="D5" s="106">
        <v>0</v>
      </c>
      <c r="E5" s="106">
        <v>0</v>
      </c>
      <c r="F5" s="106">
        <v>0</v>
      </c>
      <c r="G5" s="106">
        <v>0</v>
      </c>
      <c r="H5" s="106">
        <v>0</v>
      </c>
      <c r="I5" s="106">
        <v>0</v>
      </c>
      <c r="J5" s="106">
        <v>0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  <c r="AH5" s="106">
        <v>0</v>
      </c>
      <c r="AI5" s="106">
        <v>0</v>
      </c>
      <c r="AJ5" s="106">
        <v>0</v>
      </c>
      <c r="AK5" s="106">
        <v>0</v>
      </c>
      <c r="AL5" s="106">
        <v>0</v>
      </c>
      <c r="AM5" s="106">
        <v>0</v>
      </c>
      <c r="AN5" s="106">
        <v>0</v>
      </c>
      <c r="AO5" s="106">
        <v>0</v>
      </c>
    </row>
    <row r="6" spans="1:41" customFormat="1" x14ac:dyDescent="0.15">
      <c r="A6" s="184" t="s">
        <v>196</v>
      </c>
      <c r="B6" s="106">
        <v>0</v>
      </c>
      <c r="C6" s="106">
        <v>0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0.8</v>
      </c>
      <c r="L6" s="106">
        <v>0</v>
      </c>
      <c r="M6" s="106">
        <v>0</v>
      </c>
      <c r="N6" s="106">
        <v>0</v>
      </c>
      <c r="O6" s="106">
        <v>0</v>
      </c>
      <c r="P6" s="106">
        <v>0.8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0.8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</row>
    <row r="7" spans="1:41" customFormat="1" x14ac:dyDescent="0.15">
      <c r="A7" s="184" t="s">
        <v>197</v>
      </c>
      <c r="B7" s="106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0.8</v>
      </c>
      <c r="L7" s="106">
        <v>0</v>
      </c>
      <c r="M7" s="106">
        <v>0</v>
      </c>
      <c r="N7" s="106">
        <v>0</v>
      </c>
      <c r="O7" s="106">
        <v>0</v>
      </c>
      <c r="P7" s="106">
        <v>0.8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0.8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</row>
    <row r="8" spans="1:41" customFormat="1" x14ac:dyDescent="0.15">
      <c r="A8" s="184" t="s">
        <v>198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0.8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</row>
    <row r="9" spans="1:41" customFormat="1" x14ac:dyDescent="0.15">
      <c r="A9" s="184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0.8</v>
      </c>
      <c r="L9" s="106">
        <v>0</v>
      </c>
      <c r="M9" s="106">
        <v>0</v>
      </c>
      <c r="N9" s="106">
        <v>0</v>
      </c>
      <c r="O9" s="106">
        <v>0</v>
      </c>
      <c r="P9" s="106">
        <v>0.8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0.8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</row>
    <row r="10" spans="1:41" customFormat="1" x14ac:dyDescent="0.15">
      <c r="A10" s="184" t="s">
        <v>200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0.8</v>
      </c>
      <c r="L10" s="106">
        <v>0</v>
      </c>
      <c r="M10" s="106">
        <v>0</v>
      </c>
      <c r="N10" s="106">
        <v>0</v>
      </c>
      <c r="O10" s="106">
        <v>0</v>
      </c>
      <c r="P10" s="106">
        <v>0.8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0.8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</row>
    <row r="11" spans="1:41" customFormat="1" x14ac:dyDescent="0.15">
      <c r="A11" s="184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</row>
    <row r="12" spans="1:41" customFormat="1" x14ac:dyDescent="0.15">
      <c r="A12" s="184" t="s">
        <v>202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</row>
    <row r="13" spans="1:41" customFormat="1" x14ac:dyDescent="0.15">
      <c r="A13" s="184" t="s">
        <v>203</v>
      </c>
      <c r="B13" s="106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</row>
    <row r="14" spans="1:41" customFormat="1" x14ac:dyDescent="0.15">
      <c r="A14" s="184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0.8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</row>
    <row r="15" spans="1:41" customFormat="1" x14ac:dyDescent="0.15">
      <c r="A15" s="184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0.8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0.8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</row>
    <row r="16" spans="1:41" customFormat="1" x14ac:dyDescent="0.15">
      <c r="A16" s="184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</row>
    <row r="17" spans="1:41" customFormat="1" x14ac:dyDescent="0.15">
      <c r="A17" s="184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</row>
    <row r="18" spans="1:41" customFormat="1" x14ac:dyDescent="0.15">
      <c r="A18" s="184" t="s">
        <v>208</v>
      </c>
      <c r="B18" s="106">
        <v>0</v>
      </c>
      <c r="C18" s="106">
        <v>0</v>
      </c>
      <c r="D18" s="106">
        <v>0</v>
      </c>
      <c r="E18" s="106">
        <v>0.8</v>
      </c>
      <c r="F18" s="106">
        <v>0.8</v>
      </c>
      <c r="G18" s="106">
        <v>0</v>
      </c>
      <c r="H18" s="106">
        <v>0</v>
      </c>
      <c r="I18" s="106">
        <v>0.8</v>
      </c>
      <c r="J18" s="106">
        <v>0</v>
      </c>
      <c r="K18" s="106">
        <v>0.8</v>
      </c>
      <c r="L18" s="106">
        <v>0.8</v>
      </c>
      <c r="M18" s="106">
        <v>0</v>
      </c>
      <c r="N18" s="106">
        <v>0</v>
      </c>
      <c r="O18" s="106">
        <v>0.8</v>
      </c>
      <c r="P18" s="106">
        <v>0.8</v>
      </c>
      <c r="Q18" s="106">
        <v>0</v>
      </c>
      <c r="R18" s="106">
        <v>0.8</v>
      </c>
      <c r="S18" s="106">
        <v>0.8</v>
      </c>
      <c r="T18" s="106">
        <v>0.8</v>
      </c>
      <c r="U18" s="106">
        <v>0.8</v>
      </c>
      <c r="V18" s="106">
        <v>0.8</v>
      </c>
      <c r="W18" s="106">
        <v>0</v>
      </c>
      <c r="X18" s="106">
        <v>0.8</v>
      </c>
      <c r="Y18" s="106">
        <v>0.8</v>
      </c>
      <c r="Z18" s="106">
        <v>0</v>
      </c>
      <c r="AA18" s="106">
        <v>0</v>
      </c>
      <c r="AB18" s="106">
        <v>0</v>
      </c>
      <c r="AC18" s="106">
        <v>0.8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</row>
    <row r="19" spans="1:41" customFormat="1" x14ac:dyDescent="0.15">
      <c r="A19" s="184" t="s">
        <v>209</v>
      </c>
      <c r="B19" s="106">
        <v>0</v>
      </c>
      <c r="C19" s="106">
        <v>0</v>
      </c>
      <c r="D19" s="106">
        <v>0</v>
      </c>
      <c r="E19" s="106">
        <v>0.8</v>
      </c>
      <c r="F19" s="106">
        <v>0</v>
      </c>
      <c r="G19" s="106">
        <v>0</v>
      </c>
      <c r="H19" s="106">
        <v>0</v>
      </c>
      <c r="I19" s="106">
        <v>0.8</v>
      </c>
      <c r="J19" s="106">
        <v>0.8</v>
      </c>
      <c r="K19" s="106">
        <v>0.8</v>
      </c>
      <c r="L19" s="106">
        <v>0</v>
      </c>
      <c r="M19" s="106">
        <v>0.8</v>
      </c>
      <c r="N19" s="106">
        <v>0</v>
      </c>
      <c r="O19" s="106">
        <v>0</v>
      </c>
      <c r="P19" s="106">
        <v>0.8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0.8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</row>
    <row r="20" spans="1:41" customFormat="1" x14ac:dyDescent="0.15">
      <c r="A20" s="184" t="s">
        <v>210</v>
      </c>
      <c r="B20" s="106">
        <v>0</v>
      </c>
      <c r="C20" s="106">
        <v>0</v>
      </c>
      <c r="D20" s="106">
        <v>0</v>
      </c>
      <c r="E20" s="106">
        <v>0.8</v>
      </c>
      <c r="F20" s="106">
        <v>0.8</v>
      </c>
      <c r="G20" s="106">
        <v>0.8</v>
      </c>
      <c r="H20" s="106">
        <v>0</v>
      </c>
      <c r="I20" s="106">
        <v>0.8</v>
      </c>
      <c r="J20" s="106">
        <v>0.8</v>
      </c>
      <c r="K20" s="106">
        <v>0.8</v>
      </c>
      <c r="L20" s="106">
        <v>0.8</v>
      </c>
      <c r="M20" s="106">
        <v>0.8</v>
      </c>
      <c r="N20" s="106">
        <v>0.8</v>
      </c>
      <c r="O20" s="106">
        <v>0.8</v>
      </c>
      <c r="P20" s="106">
        <v>0.8</v>
      </c>
      <c r="Q20" s="106">
        <v>0</v>
      </c>
      <c r="R20" s="106">
        <v>0.8</v>
      </c>
      <c r="S20" s="106">
        <v>0.8</v>
      </c>
      <c r="T20" s="106">
        <v>0.8</v>
      </c>
      <c r="U20" s="106">
        <v>0.8</v>
      </c>
      <c r="V20" s="106">
        <v>0.8</v>
      </c>
      <c r="W20" s="106">
        <v>0</v>
      </c>
      <c r="X20" s="106">
        <v>0.8</v>
      </c>
      <c r="Y20" s="106">
        <v>0.8</v>
      </c>
      <c r="Z20" s="106">
        <v>0</v>
      </c>
      <c r="AA20" s="106">
        <v>0.8</v>
      </c>
      <c r="AB20" s="106">
        <v>0.8</v>
      </c>
      <c r="AC20" s="106">
        <v>0.8</v>
      </c>
      <c r="AD20" s="106">
        <v>0.8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</row>
    <row r="21" spans="1:41" customFormat="1" x14ac:dyDescent="0.15">
      <c r="A21" s="184" t="s">
        <v>211</v>
      </c>
      <c r="B21" s="106">
        <v>0</v>
      </c>
      <c r="C21" s="106">
        <v>0</v>
      </c>
      <c r="D21" s="106">
        <v>0</v>
      </c>
      <c r="E21" s="106">
        <v>0.8</v>
      </c>
      <c r="F21" s="106">
        <v>0</v>
      </c>
      <c r="G21" s="106">
        <v>0</v>
      </c>
      <c r="H21" s="106">
        <v>0</v>
      </c>
      <c r="I21" s="106">
        <v>0.8</v>
      </c>
      <c r="J21" s="106">
        <v>0</v>
      </c>
      <c r="K21" s="106">
        <v>0.8</v>
      </c>
      <c r="L21" s="106">
        <v>0</v>
      </c>
      <c r="M21" s="106">
        <v>0.8</v>
      </c>
      <c r="N21" s="106">
        <v>0.8</v>
      </c>
      <c r="O21" s="106">
        <v>0.8</v>
      </c>
      <c r="P21" s="106">
        <v>0.8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0.8</v>
      </c>
      <c r="W21" s="106">
        <v>0</v>
      </c>
      <c r="X21" s="106">
        <v>0.8</v>
      </c>
      <c r="Y21" s="106">
        <v>0</v>
      </c>
      <c r="Z21" s="106">
        <v>0</v>
      </c>
      <c r="AA21" s="106">
        <v>0</v>
      </c>
      <c r="AB21" s="106">
        <v>0</v>
      </c>
      <c r="AC21" s="106">
        <v>0.8</v>
      </c>
      <c r="AD21" s="106">
        <v>0.8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</row>
    <row r="22" spans="1:41" customFormat="1" x14ac:dyDescent="0.15">
      <c r="A22" s="184" t="s">
        <v>212</v>
      </c>
      <c r="B22" s="106">
        <v>0</v>
      </c>
      <c r="C22" s="106">
        <v>0</v>
      </c>
      <c r="D22" s="106">
        <v>0</v>
      </c>
      <c r="E22" s="106">
        <v>0.8</v>
      </c>
      <c r="F22" s="106">
        <v>0</v>
      </c>
      <c r="G22" s="106">
        <v>0</v>
      </c>
      <c r="H22" s="106">
        <v>0</v>
      </c>
      <c r="I22" s="106">
        <v>0.8</v>
      </c>
      <c r="J22" s="106">
        <v>0</v>
      </c>
      <c r="K22" s="106">
        <v>0.8</v>
      </c>
      <c r="L22" s="106">
        <v>0</v>
      </c>
      <c r="M22" s="106">
        <v>0.8</v>
      </c>
      <c r="N22" s="106">
        <v>0.8</v>
      </c>
      <c r="O22" s="106">
        <v>0.8</v>
      </c>
      <c r="P22" s="106">
        <v>0.8</v>
      </c>
      <c r="Q22" s="106">
        <v>0</v>
      </c>
      <c r="R22" s="106">
        <v>0.8</v>
      </c>
      <c r="S22" s="106">
        <v>0</v>
      </c>
      <c r="T22" s="106">
        <v>0.8</v>
      </c>
      <c r="U22" s="106">
        <v>0</v>
      </c>
      <c r="V22" s="106">
        <v>0.8</v>
      </c>
      <c r="W22" s="106">
        <v>0</v>
      </c>
      <c r="X22" s="106">
        <v>0.8</v>
      </c>
      <c r="Y22" s="106">
        <v>0</v>
      </c>
      <c r="Z22" s="106">
        <v>0</v>
      </c>
      <c r="AA22" s="106">
        <v>0</v>
      </c>
      <c r="AB22" s="106">
        <v>0</v>
      </c>
      <c r="AC22" s="106">
        <v>0.8</v>
      </c>
      <c r="AD22" s="106">
        <v>0.8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</row>
    <row r="23" spans="1:41" customFormat="1" x14ac:dyDescent="0.15">
      <c r="A23" s="184" t="s">
        <v>213</v>
      </c>
      <c r="B23" s="106">
        <v>0</v>
      </c>
      <c r="C23" s="106">
        <v>0</v>
      </c>
      <c r="D23" s="106">
        <v>0</v>
      </c>
      <c r="E23" s="106">
        <v>0.8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0.8</v>
      </c>
      <c r="N23" s="106">
        <v>0</v>
      </c>
      <c r="O23" s="106">
        <v>0.8</v>
      </c>
      <c r="P23" s="106">
        <v>0.8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0.8</v>
      </c>
      <c r="Y23" s="106">
        <v>0</v>
      </c>
      <c r="Z23" s="106">
        <v>0</v>
      </c>
      <c r="AA23" s="106">
        <v>0</v>
      </c>
      <c r="AB23" s="106">
        <v>0</v>
      </c>
      <c r="AC23" s="106">
        <v>0.8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</row>
    <row r="24" spans="1:41" customFormat="1" x14ac:dyDescent="0.15">
      <c r="A24" s="184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0.8</v>
      </c>
      <c r="L24" s="106">
        <v>0.8</v>
      </c>
      <c r="M24" s="106">
        <v>0</v>
      </c>
      <c r="N24" s="106">
        <v>0</v>
      </c>
      <c r="O24" s="106">
        <v>0</v>
      </c>
      <c r="P24" s="106">
        <v>0.8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0.8</v>
      </c>
      <c r="Y24" s="106">
        <v>0</v>
      </c>
      <c r="Z24" s="106">
        <v>0</v>
      </c>
      <c r="AA24" s="106">
        <v>0</v>
      </c>
      <c r="AB24" s="106">
        <v>0</v>
      </c>
      <c r="AC24" s="106">
        <v>0.8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</row>
    <row r="25" spans="1:41" customFormat="1" x14ac:dyDescent="0.15">
      <c r="A25" s="184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0.8</v>
      </c>
      <c r="L25" s="106">
        <v>0.8</v>
      </c>
      <c r="M25" s="106">
        <v>0</v>
      </c>
      <c r="N25" s="106">
        <v>0</v>
      </c>
      <c r="O25" s="106">
        <v>0</v>
      </c>
      <c r="P25" s="106">
        <v>0.8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0.8</v>
      </c>
      <c r="Y25" s="106">
        <v>0</v>
      </c>
      <c r="Z25" s="106">
        <v>0</v>
      </c>
      <c r="AA25" s="106">
        <v>0</v>
      </c>
      <c r="AB25" s="106">
        <v>0</v>
      </c>
      <c r="AC25" s="106">
        <v>0.8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</row>
    <row r="26" spans="1:41" customFormat="1" x14ac:dyDescent="0.15">
      <c r="A26" s="184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0.8</v>
      </c>
      <c r="L26" s="106">
        <v>0.8</v>
      </c>
      <c r="M26" s="106">
        <v>0</v>
      </c>
      <c r="N26" s="106">
        <v>0</v>
      </c>
      <c r="O26" s="106">
        <v>0</v>
      </c>
      <c r="P26" s="106">
        <v>0.8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0.8</v>
      </c>
      <c r="Y26" s="106">
        <v>0</v>
      </c>
      <c r="Z26" s="106">
        <v>0</v>
      </c>
      <c r="AA26" s="106">
        <v>0</v>
      </c>
      <c r="AB26" s="106">
        <v>0</v>
      </c>
      <c r="AC26" s="106">
        <v>0.8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</row>
    <row r="27" spans="1:41" customFormat="1" x14ac:dyDescent="0.15">
      <c r="A27" s="184" t="s">
        <v>217</v>
      </c>
      <c r="B27" s="106">
        <v>0</v>
      </c>
      <c r="C27" s="106">
        <v>0</v>
      </c>
      <c r="D27" s="106">
        <v>0</v>
      </c>
      <c r="E27" s="106">
        <v>0.8</v>
      </c>
      <c r="F27" s="106">
        <v>0.8</v>
      </c>
      <c r="G27" s="106">
        <v>0</v>
      </c>
      <c r="H27" s="106">
        <v>0</v>
      </c>
      <c r="I27" s="106">
        <v>0.8</v>
      </c>
      <c r="J27" s="106">
        <v>0</v>
      </c>
      <c r="K27" s="106">
        <v>0.8</v>
      </c>
      <c r="L27" s="106">
        <v>0.8</v>
      </c>
      <c r="M27" s="106">
        <v>0</v>
      </c>
      <c r="N27" s="106">
        <v>0.8</v>
      </c>
      <c r="O27" s="106">
        <v>0.8</v>
      </c>
      <c r="P27" s="106">
        <v>0.8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0.8</v>
      </c>
      <c r="Y27" s="106">
        <v>0.8</v>
      </c>
      <c r="Z27" s="106">
        <v>0</v>
      </c>
      <c r="AA27" s="106">
        <v>0.8</v>
      </c>
      <c r="AB27" s="106">
        <v>0.8</v>
      </c>
      <c r="AC27" s="106">
        <v>0.8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</row>
    <row r="28" spans="1:41" customFormat="1" x14ac:dyDescent="0.15">
      <c r="A28" s="184" t="s">
        <v>218</v>
      </c>
      <c r="B28" s="106">
        <v>0</v>
      </c>
      <c r="C28" s="106">
        <v>0</v>
      </c>
      <c r="D28" s="106">
        <v>0</v>
      </c>
      <c r="E28" s="106">
        <v>0.8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0.8</v>
      </c>
      <c r="L28" s="106">
        <v>0.8</v>
      </c>
      <c r="M28" s="106">
        <v>0</v>
      </c>
      <c r="N28" s="106">
        <v>0</v>
      </c>
      <c r="O28" s="106">
        <v>0.8</v>
      </c>
      <c r="P28" s="106">
        <v>0.8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0.8</v>
      </c>
      <c r="Y28" s="106">
        <v>0.8</v>
      </c>
      <c r="Z28" s="106">
        <v>0</v>
      </c>
      <c r="AA28" s="106">
        <v>0</v>
      </c>
      <c r="AB28" s="106">
        <v>0</v>
      </c>
      <c r="AC28" s="106">
        <v>0.8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</row>
    <row r="29" spans="1:41" customFormat="1" x14ac:dyDescent="0.15">
      <c r="A29" s="184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0.8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</row>
    <row r="30" spans="1:41" customFormat="1" x14ac:dyDescent="0.15">
      <c r="A30" s="184" t="s">
        <v>220</v>
      </c>
      <c r="B30" s="106">
        <v>0</v>
      </c>
      <c r="C30" s="106">
        <v>0</v>
      </c>
      <c r="D30" s="106">
        <v>0</v>
      </c>
      <c r="E30" s="106">
        <v>0.8</v>
      </c>
      <c r="F30" s="106">
        <v>0.8</v>
      </c>
      <c r="G30" s="106">
        <v>0</v>
      </c>
      <c r="H30" s="106">
        <v>0</v>
      </c>
      <c r="I30" s="106">
        <v>0.8</v>
      </c>
      <c r="J30" s="106">
        <v>0.8</v>
      </c>
      <c r="K30" s="106">
        <v>0.8</v>
      </c>
      <c r="L30" s="106">
        <v>0.8</v>
      </c>
      <c r="M30" s="106">
        <v>0.8</v>
      </c>
      <c r="N30" s="106">
        <v>0.8</v>
      </c>
      <c r="O30" s="106">
        <v>0.8</v>
      </c>
      <c r="P30" s="106">
        <v>0.8</v>
      </c>
      <c r="Q30" s="106">
        <v>0</v>
      </c>
      <c r="R30" s="106">
        <v>0</v>
      </c>
      <c r="S30" s="106">
        <v>0.8</v>
      </c>
      <c r="T30" s="106">
        <v>0</v>
      </c>
      <c r="U30" s="106">
        <v>0.8</v>
      </c>
      <c r="V30" s="106">
        <v>0.8</v>
      </c>
      <c r="W30" s="106">
        <v>0.8</v>
      </c>
      <c r="X30" s="106">
        <v>0.8</v>
      </c>
      <c r="Y30" s="106">
        <v>0.8</v>
      </c>
      <c r="Z30" s="106">
        <v>0</v>
      </c>
      <c r="AA30" s="106">
        <v>0.8</v>
      </c>
      <c r="AB30" s="106">
        <v>0.8</v>
      </c>
      <c r="AC30" s="106">
        <v>0.8</v>
      </c>
      <c r="AD30" s="106">
        <v>0.8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</row>
    <row r="31" spans="1:41" customFormat="1" x14ac:dyDescent="0.15">
      <c r="A31" s="184" t="s">
        <v>221</v>
      </c>
      <c r="B31" s="106">
        <v>0.8</v>
      </c>
      <c r="C31" s="106">
        <v>0</v>
      </c>
      <c r="D31" s="106">
        <v>0</v>
      </c>
      <c r="E31" s="106">
        <v>0.8</v>
      </c>
      <c r="F31" s="106">
        <v>0.8</v>
      </c>
      <c r="G31" s="106">
        <v>0</v>
      </c>
      <c r="H31" s="106">
        <v>0</v>
      </c>
      <c r="I31" s="106">
        <v>0.8</v>
      </c>
      <c r="J31" s="106">
        <v>0</v>
      </c>
      <c r="K31" s="106">
        <v>0.8</v>
      </c>
      <c r="L31" s="106">
        <v>0</v>
      </c>
      <c r="M31" s="106">
        <v>0</v>
      </c>
      <c r="N31" s="106">
        <v>0.8</v>
      </c>
      <c r="O31" s="106">
        <v>0.8</v>
      </c>
      <c r="P31" s="106">
        <v>0.8</v>
      </c>
      <c r="Q31" s="106">
        <v>0</v>
      </c>
      <c r="R31" s="106">
        <v>0.8</v>
      </c>
      <c r="S31" s="106">
        <v>0.8</v>
      </c>
      <c r="T31" s="106">
        <v>0.8</v>
      </c>
      <c r="U31" s="106">
        <v>0</v>
      </c>
      <c r="V31" s="106">
        <v>0.8</v>
      </c>
      <c r="W31" s="106">
        <v>0.8</v>
      </c>
      <c r="X31" s="106">
        <v>0</v>
      </c>
      <c r="Y31" s="106">
        <v>0</v>
      </c>
      <c r="Z31" s="106">
        <v>0</v>
      </c>
      <c r="AA31" s="106">
        <v>0.8</v>
      </c>
      <c r="AB31" s="106">
        <v>0.8</v>
      </c>
      <c r="AC31" s="106">
        <v>0.8</v>
      </c>
      <c r="AD31" s="106">
        <v>0.8</v>
      </c>
      <c r="AE31" s="106">
        <v>0</v>
      </c>
      <c r="AF31" s="106">
        <v>0</v>
      </c>
      <c r="AG31" s="106">
        <v>0</v>
      </c>
      <c r="AH31" s="106">
        <v>0.8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</row>
    <row r="32" spans="1:41" customFormat="1" x14ac:dyDescent="0.15">
      <c r="A32" s="184" t="s">
        <v>222</v>
      </c>
      <c r="B32" s="106">
        <v>0.8</v>
      </c>
      <c r="C32" s="106">
        <v>0.8</v>
      </c>
      <c r="D32" s="106">
        <v>0.8</v>
      </c>
      <c r="E32" s="106">
        <v>0.8</v>
      </c>
      <c r="F32" s="106">
        <v>0.8</v>
      </c>
      <c r="G32" s="106">
        <v>0.8</v>
      </c>
      <c r="H32" s="106">
        <v>0.8</v>
      </c>
      <c r="I32" s="106">
        <v>0.8</v>
      </c>
      <c r="J32" s="106">
        <v>0.8</v>
      </c>
      <c r="K32" s="106">
        <v>0.8</v>
      </c>
      <c r="L32" s="106">
        <v>0.8</v>
      </c>
      <c r="M32" s="106">
        <v>0.8</v>
      </c>
      <c r="N32" s="106">
        <v>0.8</v>
      </c>
      <c r="O32" s="106">
        <v>0.8</v>
      </c>
      <c r="P32" s="106">
        <v>0.8</v>
      </c>
      <c r="Q32" s="106">
        <v>0.8</v>
      </c>
      <c r="R32" s="106">
        <v>0.8</v>
      </c>
      <c r="S32" s="106">
        <v>0.8</v>
      </c>
      <c r="T32" s="106">
        <v>0.8</v>
      </c>
      <c r="U32" s="106">
        <v>0.8</v>
      </c>
      <c r="V32" s="106">
        <v>0.8</v>
      </c>
      <c r="W32" s="106">
        <v>0.8</v>
      </c>
      <c r="X32" s="106">
        <v>0.8</v>
      </c>
      <c r="Y32" s="106">
        <v>0.8</v>
      </c>
      <c r="Z32" s="106">
        <v>0.8</v>
      </c>
      <c r="AA32" s="106">
        <v>0.8</v>
      </c>
      <c r="AB32" s="106">
        <v>0.8</v>
      </c>
      <c r="AC32" s="106">
        <v>0.8</v>
      </c>
      <c r="AD32" s="106">
        <v>0.8</v>
      </c>
      <c r="AE32" s="106">
        <v>0</v>
      </c>
      <c r="AF32" s="106">
        <v>0.8</v>
      </c>
      <c r="AG32" s="106">
        <v>0</v>
      </c>
      <c r="AH32" s="106">
        <v>0.8</v>
      </c>
      <c r="AI32" s="106">
        <v>0.8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</row>
    <row r="33" spans="1:41" x14ac:dyDescent="0.15">
      <c r="A33" s="184" t="s">
        <v>223</v>
      </c>
      <c r="B33" s="106">
        <v>0.8</v>
      </c>
      <c r="C33" s="106">
        <v>0.8</v>
      </c>
      <c r="D33" s="106">
        <v>0</v>
      </c>
      <c r="E33" s="106">
        <v>0.8</v>
      </c>
      <c r="F33" s="106">
        <v>0.8</v>
      </c>
      <c r="G33" s="106">
        <v>0.8</v>
      </c>
      <c r="H33" s="106">
        <v>0</v>
      </c>
      <c r="I33" s="106">
        <v>0.8</v>
      </c>
      <c r="J33" s="106">
        <v>0.8</v>
      </c>
      <c r="K33" s="106">
        <v>0</v>
      </c>
      <c r="L33" s="106">
        <v>0.8</v>
      </c>
      <c r="M33" s="106">
        <v>0.8</v>
      </c>
      <c r="N33" s="106">
        <v>0.8</v>
      </c>
      <c r="O33" s="106">
        <v>0.8</v>
      </c>
      <c r="P33" s="106">
        <v>0.8</v>
      </c>
      <c r="Q33" s="106">
        <v>0</v>
      </c>
      <c r="R33" s="106">
        <v>0.8</v>
      </c>
      <c r="S33" s="106">
        <v>0.8</v>
      </c>
      <c r="T33" s="106">
        <v>0.8</v>
      </c>
      <c r="U33" s="106">
        <v>0</v>
      </c>
      <c r="V33" s="106">
        <v>0.8</v>
      </c>
      <c r="W33" s="106">
        <v>0.8</v>
      </c>
      <c r="X33" s="106">
        <v>0</v>
      </c>
      <c r="Y33" s="106">
        <v>0.8</v>
      </c>
      <c r="Z33" s="106">
        <v>0</v>
      </c>
      <c r="AA33" s="106">
        <v>0.8</v>
      </c>
      <c r="AB33" s="106">
        <v>0.8</v>
      </c>
      <c r="AC33" s="106">
        <v>0</v>
      </c>
      <c r="AD33" s="106">
        <v>0.8</v>
      </c>
      <c r="AE33" s="106">
        <v>0</v>
      </c>
      <c r="AF33" s="106">
        <v>0</v>
      </c>
      <c r="AG33" s="106">
        <v>0</v>
      </c>
      <c r="AH33" s="106">
        <v>0.8</v>
      </c>
      <c r="AI33" s="106">
        <v>0.8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</row>
    <row r="34" spans="1:41" x14ac:dyDescent="0.15">
      <c r="A34" s="184" t="s">
        <v>224</v>
      </c>
      <c r="B34" s="106">
        <v>0.8</v>
      </c>
      <c r="C34" s="106">
        <v>0</v>
      </c>
      <c r="D34" s="106">
        <v>0.8</v>
      </c>
      <c r="E34" s="106">
        <v>0.8</v>
      </c>
      <c r="F34" s="106">
        <v>0.8</v>
      </c>
      <c r="G34" s="106">
        <v>0.8</v>
      </c>
      <c r="H34" s="106">
        <v>0.8</v>
      </c>
      <c r="I34" s="106">
        <v>0.8</v>
      </c>
      <c r="J34" s="106">
        <v>0.8</v>
      </c>
      <c r="K34" s="106">
        <v>0.8</v>
      </c>
      <c r="L34" s="106">
        <v>0.8</v>
      </c>
      <c r="M34" s="106">
        <v>0.8</v>
      </c>
      <c r="N34" s="106">
        <v>0.8</v>
      </c>
      <c r="O34" s="106">
        <v>0.8</v>
      </c>
      <c r="P34" s="106">
        <v>0.8</v>
      </c>
      <c r="Q34" s="106">
        <v>0.8</v>
      </c>
      <c r="R34" s="106">
        <v>0.8</v>
      </c>
      <c r="S34" s="106">
        <v>0.8</v>
      </c>
      <c r="T34" s="106">
        <v>0.8</v>
      </c>
      <c r="U34" s="106">
        <v>0.8</v>
      </c>
      <c r="V34" s="106">
        <v>0.8</v>
      </c>
      <c r="W34" s="106">
        <v>0.8</v>
      </c>
      <c r="X34" s="106">
        <v>0.8</v>
      </c>
      <c r="Y34" s="106">
        <v>0.8</v>
      </c>
      <c r="Z34" s="106">
        <v>0.8</v>
      </c>
      <c r="AA34" s="106">
        <v>0.8</v>
      </c>
      <c r="AB34" s="106">
        <v>0.8</v>
      </c>
      <c r="AC34" s="106">
        <v>0.8</v>
      </c>
      <c r="AD34" s="106">
        <v>0.8</v>
      </c>
      <c r="AE34" s="106">
        <v>0</v>
      </c>
      <c r="AF34" s="106">
        <v>0</v>
      </c>
      <c r="AG34" s="106">
        <v>0</v>
      </c>
      <c r="AH34" s="106">
        <v>0.8</v>
      </c>
      <c r="AI34" s="106">
        <v>0.8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</row>
    <row r="35" spans="1:41" x14ac:dyDescent="0.15">
      <c r="A35" s="184" t="s">
        <v>225</v>
      </c>
      <c r="B35" s="106">
        <v>0</v>
      </c>
      <c r="C35" s="106">
        <v>0</v>
      </c>
      <c r="D35" s="106">
        <v>0.8</v>
      </c>
      <c r="E35" s="106">
        <v>0</v>
      </c>
      <c r="F35" s="106">
        <v>0</v>
      </c>
      <c r="G35" s="106">
        <v>0.8</v>
      </c>
      <c r="H35" s="106">
        <v>0.8</v>
      </c>
      <c r="I35" s="106">
        <v>0.8</v>
      </c>
      <c r="J35" s="106">
        <v>0.8</v>
      </c>
      <c r="K35" s="106">
        <v>0</v>
      </c>
      <c r="L35" s="106">
        <v>0</v>
      </c>
      <c r="M35" s="106">
        <v>0</v>
      </c>
      <c r="N35" s="106">
        <v>0.8</v>
      </c>
      <c r="O35" s="106">
        <v>0.8</v>
      </c>
      <c r="P35" s="106">
        <v>0.8</v>
      </c>
      <c r="Q35" s="106">
        <v>0.8</v>
      </c>
      <c r="R35" s="106">
        <v>0.8</v>
      </c>
      <c r="S35" s="106">
        <v>0.8</v>
      </c>
      <c r="T35" s="106">
        <v>0</v>
      </c>
      <c r="U35" s="106">
        <v>0.8</v>
      </c>
      <c r="V35" s="106">
        <v>0.8</v>
      </c>
      <c r="W35" s="106">
        <v>0.8</v>
      </c>
      <c r="X35" s="106">
        <v>0</v>
      </c>
      <c r="Y35" s="106">
        <v>0</v>
      </c>
      <c r="Z35" s="106">
        <v>0</v>
      </c>
      <c r="AA35" s="106">
        <v>0.8</v>
      </c>
      <c r="AB35" s="106">
        <v>0</v>
      </c>
      <c r="AC35" s="106">
        <v>0.8</v>
      </c>
      <c r="AD35" s="106">
        <v>0.8</v>
      </c>
      <c r="AE35" s="106">
        <v>0</v>
      </c>
      <c r="AF35" s="106">
        <v>0.8</v>
      </c>
      <c r="AG35" s="106">
        <v>0</v>
      </c>
      <c r="AH35" s="106">
        <v>0.8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</row>
    <row r="36" spans="1:41" x14ac:dyDescent="0.15">
      <c r="A36" s="184" t="s">
        <v>226</v>
      </c>
      <c r="B36" s="106">
        <v>0</v>
      </c>
      <c r="C36" s="106">
        <v>0.8</v>
      </c>
      <c r="D36" s="106">
        <v>0.8</v>
      </c>
      <c r="E36" s="106">
        <v>0</v>
      </c>
      <c r="F36" s="106">
        <v>0.8</v>
      </c>
      <c r="G36" s="106">
        <v>0</v>
      </c>
      <c r="H36" s="106">
        <v>0.8</v>
      </c>
      <c r="I36" s="106">
        <v>0.8</v>
      </c>
      <c r="J36" s="106">
        <v>0</v>
      </c>
      <c r="K36" s="106">
        <v>0</v>
      </c>
      <c r="L36" s="106">
        <v>0.8</v>
      </c>
      <c r="M36" s="106">
        <v>0.8</v>
      </c>
      <c r="N36" s="106">
        <v>0</v>
      </c>
      <c r="O36" s="106">
        <v>0</v>
      </c>
      <c r="P36" s="106">
        <v>0</v>
      </c>
      <c r="Q36" s="106">
        <v>0.8</v>
      </c>
      <c r="R36" s="106">
        <v>0.8</v>
      </c>
      <c r="S36" s="106">
        <v>0.8</v>
      </c>
      <c r="T36" s="106">
        <v>0.8</v>
      </c>
      <c r="U36" s="106">
        <v>0.8</v>
      </c>
      <c r="V36" s="106">
        <v>0.8</v>
      </c>
      <c r="W36" s="106">
        <v>0</v>
      </c>
      <c r="X36" s="106">
        <v>0</v>
      </c>
      <c r="Y36" s="106">
        <v>0.8</v>
      </c>
      <c r="Z36" s="106">
        <v>0.8</v>
      </c>
      <c r="AA36" s="106">
        <v>0</v>
      </c>
      <c r="AB36" s="106">
        <v>0</v>
      </c>
      <c r="AC36" s="106">
        <v>0</v>
      </c>
      <c r="AD36" s="106">
        <v>0.8</v>
      </c>
      <c r="AE36" s="106">
        <v>0.8</v>
      </c>
      <c r="AF36" s="106">
        <v>0.8</v>
      </c>
      <c r="AG36" s="106">
        <v>0.8</v>
      </c>
      <c r="AH36" s="106">
        <v>0.8</v>
      </c>
      <c r="AI36" s="106">
        <v>0.8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</row>
    <row r="37" spans="1:41" x14ac:dyDescent="0.15">
      <c r="A37" s="184" t="s">
        <v>227</v>
      </c>
      <c r="B37" s="106">
        <v>0</v>
      </c>
      <c r="C37" s="106">
        <v>0.8</v>
      </c>
      <c r="D37" s="106">
        <v>0</v>
      </c>
      <c r="E37" s="106">
        <v>0</v>
      </c>
      <c r="F37" s="106">
        <v>0.8</v>
      </c>
      <c r="G37" s="106">
        <v>0</v>
      </c>
      <c r="H37" s="106">
        <v>0.8</v>
      </c>
      <c r="I37" s="106">
        <v>0.8</v>
      </c>
      <c r="J37" s="106">
        <v>0</v>
      </c>
      <c r="K37" s="106">
        <v>0</v>
      </c>
      <c r="L37" s="106">
        <v>0.8</v>
      </c>
      <c r="M37" s="106">
        <v>0</v>
      </c>
      <c r="N37" s="106">
        <v>0</v>
      </c>
      <c r="O37" s="106">
        <v>0</v>
      </c>
      <c r="P37" s="106">
        <v>0</v>
      </c>
      <c r="Q37" s="106">
        <v>0.8</v>
      </c>
      <c r="R37" s="106">
        <v>0.8</v>
      </c>
      <c r="S37" s="106">
        <v>0</v>
      </c>
      <c r="T37" s="106">
        <v>0.8</v>
      </c>
      <c r="U37" s="106">
        <v>0</v>
      </c>
      <c r="V37" s="106">
        <v>0.8</v>
      </c>
      <c r="W37" s="106">
        <v>0</v>
      </c>
      <c r="X37" s="106">
        <v>0</v>
      </c>
      <c r="Y37" s="106">
        <v>0.8</v>
      </c>
      <c r="Z37" s="106">
        <v>0</v>
      </c>
      <c r="AA37" s="106">
        <v>0</v>
      </c>
      <c r="AB37" s="106">
        <v>0</v>
      </c>
      <c r="AC37" s="106">
        <v>0</v>
      </c>
      <c r="AD37" s="106">
        <v>0.8</v>
      </c>
      <c r="AE37" s="106">
        <v>0.8</v>
      </c>
      <c r="AF37" s="106">
        <v>0.8</v>
      </c>
      <c r="AG37" s="106">
        <v>0.8</v>
      </c>
      <c r="AH37" s="106">
        <v>0.8</v>
      </c>
      <c r="AI37" s="106">
        <v>0.8</v>
      </c>
      <c r="AJ37" s="106">
        <v>0.8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</row>
    <row r="38" spans="1:41" x14ac:dyDescent="0.15">
      <c r="A38" s="184" t="s">
        <v>228</v>
      </c>
      <c r="B38" s="106">
        <v>0</v>
      </c>
      <c r="C38" s="106">
        <v>0</v>
      </c>
      <c r="D38" s="106">
        <v>0</v>
      </c>
      <c r="E38" s="106">
        <v>0</v>
      </c>
      <c r="F38" s="106">
        <v>0</v>
      </c>
      <c r="G38" s="106">
        <v>0</v>
      </c>
      <c r="H38" s="106">
        <v>0.8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0.8</v>
      </c>
      <c r="AG38" s="106">
        <v>0</v>
      </c>
      <c r="AH38" s="106">
        <v>0</v>
      </c>
      <c r="AI38" s="106">
        <v>0.8</v>
      </c>
      <c r="AJ38" s="106">
        <v>0.8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</row>
    <row r="39" spans="1:41" x14ac:dyDescent="0.15">
      <c r="A39" s="184" t="s">
        <v>229</v>
      </c>
      <c r="B39" s="106">
        <v>0</v>
      </c>
      <c r="C39" s="106">
        <v>0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0.8</v>
      </c>
      <c r="AL39" s="106">
        <v>0</v>
      </c>
      <c r="AM39" s="106">
        <v>0</v>
      </c>
      <c r="AN39" s="106">
        <v>0</v>
      </c>
      <c r="AO39" s="106">
        <v>0</v>
      </c>
    </row>
    <row r="40" spans="1:41" x14ac:dyDescent="0.15">
      <c r="A40" s="184" t="s">
        <v>230</v>
      </c>
      <c r="B40" s="106">
        <v>0</v>
      </c>
      <c r="C40" s="106">
        <v>0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</row>
    <row r="41" spans="1:41" x14ac:dyDescent="0.15">
      <c r="A41" s="184" t="s">
        <v>231</v>
      </c>
      <c r="B41" s="106">
        <v>0</v>
      </c>
      <c r="C41" s="106">
        <v>0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</row>
    <row r="42" spans="1:41" x14ac:dyDescent="0.15">
      <c r="A42" s="184" t="s">
        <v>237</v>
      </c>
      <c r="B42" s="106">
        <v>0</v>
      </c>
      <c r="C42" s="106">
        <v>0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0.8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.6640625" style="106" bestFit="1" customWidth="1"/>
    <col min="2" max="41" width="2.33203125" style="106" customWidth="1"/>
    <col min="42" max="16384" width="10.83203125" style="106"/>
  </cols>
  <sheetData>
    <row r="1" spans="1:41" x14ac:dyDescent="0.15">
      <c r="A1" s="62" t="s">
        <v>139</v>
      </c>
      <c r="B1" s="187" t="s">
        <v>192</v>
      </c>
      <c r="C1" s="187" t="s">
        <v>193</v>
      </c>
      <c r="D1" s="187" t="s">
        <v>194</v>
      </c>
      <c r="E1" s="187" t="s">
        <v>195</v>
      </c>
      <c r="F1" s="187" t="s">
        <v>196</v>
      </c>
      <c r="G1" s="187" t="s">
        <v>197</v>
      </c>
      <c r="H1" s="187" t="s">
        <v>198</v>
      </c>
      <c r="I1" s="187" t="s">
        <v>199</v>
      </c>
      <c r="J1" s="187" t="s">
        <v>200</v>
      </c>
      <c r="K1" s="187" t="s">
        <v>201</v>
      </c>
      <c r="L1" s="187" t="s">
        <v>202</v>
      </c>
      <c r="M1" s="187" t="s">
        <v>203</v>
      </c>
      <c r="N1" s="187" t="s">
        <v>204</v>
      </c>
      <c r="O1" s="187" t="s">
        <v>205</v>
      </c>
      <c r="P1" s="187" t="s">
        <v>206</v>
      </c>
      <c r="Q1" s="187" t="s">
        <v>207</v>
      </c>
      <c r="R1" s="187" t="s">
        <v>208</v>
      </c>
      <c r="S1" s="187" t="s">
        <v>209</v>
      </c>
      <c r="T1" s="187" t="s">
        <v>210</v>
      </c>
      <c r="U1" s="187" t="s">
        <v>211</v>
      </c>
      <c r="V1" s="187" t="s">
        <v>212</v>
      </c>
      <c r="W1" s="187" t="s">
        <v>213</v>
      </c>
      <c r="X1" s="187" t="s">
        <v>214</v>
      </c>
      <c r="Y1" s="187" t="s">
        <v>215</v>
      </c>
      <c r="Z1" s="187" t="s">
        <v>216</v>
      </c>
      <c r="AA1" s="187" t="s">
        <v>217</v>
      </c>
      <c r="AB1" s="187" t="s">
        <v>218</v>
      </c>
      <c r="AC1" s="187" t="s">
        <v>219</v>
      </c>
      <c r="AD1" s="187" t="s">
        <v>220</v>
      </c>
      <c r="AE1" s="187" t="s">
        <v>221</v>
      </c>
      <c r="AF1" s="187" t="s">
        <v>222</v>
      </c>
      <c r="AG1" s="187" t="s">
        <v>223</v>
      </c>
      <c r="AH1" s="187" t="s">
        <v>224</v>
      </c>
      <c r="AI1" s="187" t="s">
        <v>225</v>
      </c>
      <c r="AJ1" s="187" t="s">
        <v>226</v>
      </c>
      <c r="AK1" s="187" t="s">
        <v>227</v>
      </c>
      <c r="AL1" s="187" t="s">
        <v>228</v>
      </c>
      <c r="AM1" s="187" t="s">
        <v>229</v>
      </c>
      <c r="AN1" s="187" t="s">
        <v>230</v>
      </c>
      <c r="AO1" s="187" t="s">
        <v>231</v>
      </c>
    </row>
    <row r="2" spans="1:41" customFormat="1" x14ac:dyDescent="0.15">
      <c r="A2" s="186" t="s">
        <v>192</v>
      </c>
      <c r="B2" s="106">
        <v>0</v>
      </c>
      <c r="C2" s="106">
        <v>0</v>
      </c>
      <c r="D2" s="106">
        <v>0</v>
      </c>
      <c r="E2" s="106">
        <v>0</v>
      </c>
      <c r="F2" s="106">
        <v>0</v>
      </c>
      <c r="G2" s="106">
        <v>0</v>
      </c>
      <c r="H2" s="106">
        <v>0</v>
      </c>
      <c r="I2" s="106">
        <v>0</v>
      </c>
      <c r="J2" s="106">
        <v>0</v>
      </c>
      <c r="K2" s="106">
        <v>0</v>
      </c>
      <c r="L2" s="106">
        <v>0</v>
      </c>
      <c r="M2" s="106">
        <v>0</v>
      </c>
      <c r="N2" s="106">
        <v>0</v>
      </c>
      <c r="O2" s="106">
        <v>0</v>
      </c>
      <c r="P2" s="106">
        <v>1</v>
      </c>
      <c r="Q2" s="106">
        <v>0</v>
      </c>
      <c r="R2" s="106">
        <v>0</v>
      </c>
      <c r="S2" s="106">
        <v>0</v>
      </c>
      <c r="T2" s="106">
        <v>0</v>
      </c>
      <c r="U2" s="106">
        <v>0</v>
      </c>
      <c r="V2" s="106">
        <v>0</v>
      </c>
      <c r="W2" s="106">
        <v>0</v>
      </c>
      <c r="X2" s="106">
        <v>0</v>
      </c>
      <c r="Y2" s="106">
        <v>0</v>
      </c>
      <c r="Z2" s="106">
        <v>0</v>
      </c>
      <c r="AA2" s="106">
        <v>0</v>
      </c>
      <c r="AB2" s="106">
        <v>0</v>
      </c>
      <c r="AC2" s="106">
        <v>1</v>
      </c>
      <c r="AD2" s="106">
        <v>0</v>
      </c>
      <c r="AE2" s="106">
        <v>0</v>
      </c>
      <c r="AF2" s="106">
        <v>0</v>
      </c>
      <c r="AG2" s="106">
        <v>0</v>
      </c>
      <c r="AH2" s="106">
        <v>0</v>
      </c>
      <c r="AI2" s="106">
        <v>0</v>
      </c>
      <c r="AJ2" s="106">
        <v>0</v>
      </c>
      <c r="AK2" s="106">
        <v>0</v>
      </c>
      <c r="AL2" s="106">
        <v>0</v>
      </c>
      <c r="AM2" s="106">
        <v>0</v>
      </c>
      <c r="AN2" s="106">
        <v>0</v>
      </c>
      <c r="AO2" s="106">
        <v>0</v>
      </c>
    </row>
    <row r="3" spans="1:41" customFormat="1" x14ac:dyDescent="0.15">
      <c r="A3" s="186" t="s">
        <v>193</v>
      </c>
      <c r="B3" s="106">
        <v>0</v>
      </c>
      <c r="C3" s="106">
        <v>0</v>
      </c>
      <c r="D3" s="106">
        <v>0</v>
      </c>
      <c r="E3" s="106">
        <v>0</v>
      </c>
      <c r="F3" s="106">
        <v>0</v>
      </c>
      <c r="G3" s="106">
        <v>0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0</v>
      </c>
      <c r="O3" s="106">
        <v>0</v>
      </c>
      <c r="P3" s="106">
        <v>0</v>
      </c>
      <c r="Q3" s="106">
        <v>0</v>
      </c>
      <c r="R3" s="106">
        <v>0</v>
      </c>
      <c r="S3" s="106">
        <v>0</v>
      </c>
      <c r="T3" s="106">
        <v>0</v>
      </c>
      <c r="U3" s="106">
        <v>0</v>
      </c>
      <c r="V3" s="106">
        <v>0</v>
      </c>
      <c r="W3" s="106">
        <v>0</v>
      </c>
      <c r="X3" s="106">
        <v>0</v>
      </c>
      <c r="Y3" s="106">
        <v>0</v>
      </c>
      <c r="Z3" s="106">
        <v>0</v>
      </c>
      <c r="AA3" s="106">
        <v>0</v>
      </c>
      <c r="AB3" s="106">
        <v>0</v>
      </c>
      <c r="AC3" s="106">
        <v>1</v>
      </c>
      <c r="AD3" s="106">
        <v>0</v>
      </c>
      <c r="AE3" s="106">
        <v>0</v>
      </c>
      <c r="AF3" s="106">
        <v>0</v>
      </c>
      <c r="AG3" s="106">
        <v>0</v>
      </c>
      <c r="AH3" s="106">
        <v>0</v>
      </c>
      <c r="AI3" s="106">
        <v>0</v>
      </c>
      <c r="AJ3" s="106">
        <v>0</v>
      </c>
      <c r="AK3" s="106">
        <v>0</v>
      </c>
      <c r="AL3" s="106">
        <v>0</v>
      </c>
      <c r="AM3" s="106">
        <v>0</v>
      </c>
      <c r="AN3" s="106">
        <v>0</v>
      </c>
      <c r="AO3" s="106">
        <v>0</v>
      </c>
    </row>
    <row r="4" spans="1:41" customFormat="1" x14ac:dyDescent="0.15">
      <c r="A4" s="186" t="s">
        <v>194</v>
      </c>
      <c r="B4" s="106">
        <v>0</v>
      </c>
      <c r="C4" s="106">
        <v>0</v>
      </c>
      <c r="D4" s="106">
        <v>0</v>
      </c>
      <c r="E4" s="106">
        <v>0</v>
      </c>
      <c r="F4" s="106">
        <v>0</v>
      </c>
      <c r="G4" s="106">
        <v>0</v>
      </c>
      <c r="H4" s="106">
        <v>0</v>
      </c>
      <c r="I4" s="106">
        <v>0</v>
      </c>
      <c r="J4" s="106">
        <v>0</v>
      </c>
      <c r="K4" s="106">
        <v>0</v>
      </c>
      <c r="L4" s="106">
        <v>0</v>
      </c>
      <c r="M4" s="106">
        <v>0</v>
      </c>
      <c r="N4" s="106">
        <v>0</v>
      </c>
      <c r="O4" s="106">
        <v>0</v>
      </c>
      <c r="P4" s="106">
        <v>0</v>
      </c>
      <c r="Q4" s="106">
        <v>0</v>
      </c>
      <c r="R4" s="106">
        <v>0</v>
      </c>
      <c r="S4" s="106">
        <v>0</v>
      </c>
      <c r="T4" s="106">
        <v>0</v>
      </c>
      <c r="U4" s="106">
        <v>0</v>
      </c>
      <c r="V4" s="106">
        <v>0</v>
      </c>
      <c r="W4" s="106">
        <v>0</v>
      </c>
      <c r="X4" s="106">
        <v>0</v>
      </c>
      <c r="Y4" s="106">
        <v>0</v>
      </c>
      <c r="Z4" s="106">
        <v>0</v>
      </c>
      <c r="AA4" s="106">
        <v>0</v>
      </c>
      <c r="AB4" s="106">
        <v>0</v>
      </c>
      <c r="AC4" s="106">
        <v>0</v>
      </c>
      <c r="AD4" s="106">
        <v>0</v>
      </c>
      <c r="AE4" s="106">
        <v>0</v>
      </c>
      <c r="AF4" s="106">
        <v>0</v>
      </c>
      <c r="AG4" s="106">
        <v>0</v>
      </c>
      <c r="AH4" s="106">
        <v>0</v>
      </c>
      <c r="AI4" s="106">
        <v>0</v>
      </c>
      <c r="AJ4" s="106">
        <v>0</v>
      </c>
      <c r="AK4" s="106">
        <v>0</v>
      </c>
      <c r="AL4" s="106">
        <v>0</v>
      </c>
      <c r="AM4" s="106">
        <v>0</v>
      </c>
      <c r="AN4" s="106">
        <v>0</v>
      </c>
      <c r="AO4" s="106">
        <v>0</v>
      </c>
    </row>
    <row r="5" spans="1:41" customFormat="1" x14ac:dyDescent="0.15">
      <c r="A5" s="186" t="s">
        <v>195</v>
      </c>
      <c r="B5" s="106">
        <v>0</v>
      </c>
      <c r="C5" s="106">
        <v>0</v>
      </c>
      <c r="D5" s="106">
        <v>0</v>
      </c>
      <c r="E5" s="106">
        <v>0</v>
      </c>
      <c r="F5" s="106">
        <v>0</v>
      </c>
      <c r="G5" s="106">
        <v>0</v>
      </c>
      <c r="H5" s="106">
        <v>0</v>
      </c>
      <c r="I5" s="106">
        <v>0</v>
      </c>
      <c r="J5" s="106">
        <v>0</v>
      </c>
      <c r="K5" s="106">
        <v>0</v>
      </c>
      <c r="L5" s="106">
        <v>0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  <c r="R5" s="106">
        <v>0</v>
      </c>
      <c r="S5" s="106">
        <v>0</v>
      </c>
      <c r="T5" s="106">
        <v>0</v>
      </c>
      <c r="U5" s="106">
        <v>0</v>
      </c>
      <c r="V5" s="106">
        <v>0</v>
      </c>
      <c r="W5" s="106">
        <v>0</v>
      </c>
      <c r="X5" s="106">
        <v>0</v>
      </c>
      <c r="Y5" s="106">
        <v>0</v>
      </c>
      <c r="Z5" s="106">
        <v>0</v>
      </c>
      <c r="AA5" s="106">
        <v>0</v>
      </c>
      <c r="AB5" s="106">
        <v>0</v>
      </c>
      <c r="AC5" s="106">
        <v>0</v>
      </c>
      <c r="AD5" s="106">
        <v>0</v>
      </c>
      <c r="AE5" s="106">
        <v>0</v>
      </c>
      <c r="AF5" s="106">
        <v>0</v>
      </c>
      <c r="AG5" s="106">
        <v>0</v>
      </c>
      <c r="AH5" s="106">
        <v>0</v>
      </c>
      <c r="AI5" s="106">
        <v>0</v>
      </c>
      <c r="AJ5" s="106">
        <v>0</v>
      </c>
      <c r="AK5" s="106">
        <v>0</v>
      </c>
      <c r="AL5" s="106">
        <v>0</v>
      </c>
      <c r="AM5" s="106">
        <v>0</v>
      </c>
      <c r="AN5" s="106">
        <v>0</v>
      </c>
      <c r="AO5" s="106">
        <v>0</v>
      </c>
    </row>
    <row r="6" spans="1:41" customFormat="1" x14ac:dyDescent="0.15">
      <c r="A6" s="186" t="s">
        <v>196</v>
      </c>
      <c r="B6" s="106">
        <v>0</v>
      </c>
      <c r="C6" s="106">
        <v>0</v>
      </c>
      <c r="D6" s="106">
        <v>0</v>
      </c>
      <c r="E6" s="106">
        <v>0</v>
      </c>
      <c r="F6" s="106">
        <v>0</v>
      </c>
      <c r="G6" s="106">
        <v>0</v>
      </c>
      <c r="H6" s="106">
        <v>0</v>
      </c>
      <c r="I6" s="106">
        <v>0</v>
      </c>
      <c r="J6" s="106">
        <v>0</v>
      </c>
      <c r="K6" s="106">
        <v>1</v>
      </c>
      <c r="L6" s="106">
        <v>0</v>
      </c>
      <c r="M6" s="106">
        <v>0</v>
      </c>
      <c r="N6" s="106">
        <v>0</v>
      </c>
      <c r="O6" s="106">
        <v>0</v>
      </c>
      <c r="P6" s="106">
        <v>1</v>
      </c>
      <c r="Q6" s="106">
        <v>0</v>
      </c>
      <c r="R6" s="106">
        <v>0</v>
      </c>
      <c r="S6" s="106">
        <v>0</v>
      </c>
      <c r="T6" s="106">
        <v>0</v>
      </c>
      <c r="U6" s="106">
        <v>0</v>
      </c>
      <c r="V6" s="106">
        <v>0</v>
      </c>
      <c r="W6" s="106">
        <v>0</v>
      </c>
      <c r="X6" s="106">
        <v>0</v>
      </c>
      <c r="Y6" s="106">
        <v>0</v>
      </c>
      <c r="Z6" s="106">
        <v>0</v>
      </c>
      <c r="AA6" s="106">
        <v>0</v>
      </c>
      <c r="AB6" s="106">
        <v>0</v>
      </c>
      <c r="AC6" s="106">
        <v>1</v>
      </c>
      <c r="AD6" s="106">
        <v>0</v>
      </c>
      <c r="AE6" s="106">
        <v>0</v>
      </c>
      <c r="AF6" s="106">
        <v>0</v>
      </c>
      <c r="AG6" s="106">
        <v>0</v>
      </c>
      <c r="AH6" s="106">
        <v>0</v>
      </c>
      <c r="AI6" s="106">
        <v>0</v>
      </c>
      <c r="AJ6" s="106">
        <v>0</v>
      </c>
      <c r="AK6" s="106">
        <v>0</v>
      </c>
      <c r="AL6" s="106">
        <v>0</v>
      </c>
      <c r="AM6" s="106">
        <v>0</v>
      </c>
      <c r="AN6" s="106">
        <v>0</v>
      </c>
      <c r="AO6" s="106">
        <v>0</v>
      </c>
    </row>
    <row r="7" spans="1:41" customFormat="1" x14ac:dyDescent="0.15">
      <c r="A7" s="186" t="s">
        <v>197</v>
      </c>
      <c r="B7" s="106">
        <v>0</v>
      </c>
      <c r="C7" s="106">
        <v>0</v>
      </c>
      <c r="D7" s="106">
        <v>0</v>
      </c>
      <c r="E7" s="106">
        <v>0</v>
      </c>
      <c r="F7" s="106">
        <v>0</v>
      </c>
      <c r="G7" s="106">
        <v>0</v>
      </c>
      <c r="H7" s="106">
        <v>0</v>
      </c>
      <c r="I7" s="106">
        <v>0</v>
      </c>
      <c r="J7" s="106">
        <v>0</v>
      </c>
      <c r="K7" s="106">
        <v>1</v>
      </c>
      <c r="L7" s="106">
        <v>0</v>
      </c>
      <c r="M7" s="106">
        <v>0</v>
      </c>
      <c r="N7" s="106">
        <v>0</v>
      </c>
      <c r="O7" s="106">
        <v>0</v>
      </c>
      <c r="P7" s="106">
        <v>1</v>
      </c>
      <c r="Q7" s="106">
        <v>0</v>
      </c>
      <c r="R7" s="106">
        <v>0</v>
      </c>
      <c r="S7" s="106">
        <v>0</v>
      </c>
      <c r="T7" s="106">
        <v>0</v>
      </c>
      <c r="U7" s="106">
        <v>0</v>
      </c>
      <c r="V7" s="106">
        <v>0</v>
      </c>
      <c r="W7" s="106">
        <v>0</v>
      </c>
      <c r="X7" s="106">
        <v>0</v>
      </c>
      <c r="Y7" s="106">
        <v>0</v>
      </c>
      <c r="Z7" s="106">
        <v>0</v>
      </c>
      <c r="AA7" s="106">
        <v>0</v>
      </c>
      <c r="AB7" s="106">
        <v>0</v>
      </c>
      <c r="AC7" s="106">
        <v>1</v>
      </c>
      <c r="AD7" s="106">
        <v>0</v>
      </c>
      <c r="AE7" s="106">
        <v>0</v>
      </c>
      <c r="AF7" s="106">
        <v>0</v>
      </c>
      <c r="AG7" s="106">
        <v>0</v>
      </c>
      <c r="AH7" s="106">
        <v>0</v>
      </c>
      <c r="AI7" s="106">
        <v>0</v>
      </c>
      <c r="AJ7" s="106">
        <v>0</v>
      </c>
      <c r="AK7" s="106">
        <v>0</v>
      </c>
      <c r="AL7" s="106">
        <v>0</v>
      </c>
      <c r="AM7" s="106">
        <v>0</v>
      </c>
      <c r="AN7" s="106">
        <v>0</v>
      </c>
      <c r="AO7" s="106">
        <v>0</v>
      </c>
    </row>
    <row r="8" spans="1:41" customFormat="1" x14ac:dyDescent="0.15">
      <c r="A8" s="186" t="s">
        <v>198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0</v>
      </c>
      <c r="H8" s="106">
        <v>0</v>
      </c>
      <c r="I8" s="106">
        <v>0</v>
      </c>
      <c r="J8" s="106">
        <v>0</v>
      </c>
      <c r="K8" s="106">
        <v>0</v>
      </c>
      <c r="L8" s="106">
        <v>0</v>
      </c>
      <c r="M8" s="106">
        <v>0</v>
      </c>
      <c r="N8" s="106">
        <v>0</v>
      </c>
      <c r="O8" s="106">
        <v>0</v>
      </c>
      <c r="P8" s="106">
        <v>1</v>
      </c>
      <c r="Q8" s="106">
        <v>0</v>
      </c>
      <c r="R8" s="106">
        <v>0</v>
      </c>
      <c r="S8" s="106">
        <v>0</v>
      </c>
      <c r="T8" s="106">
        <v>0</v>
      </c>
      <c r="U8" s="106">
        <v>0</v>
      </c>
      <c r="V8" s="106">
        <v>0</v>
      </c>
      <c r="W8" s="106">
        <v>0</v>
      </c>
      <c r="X8" s="106">
        <v>0</v>
      </c>
      <c r="Y8" s="106">
        <v>0</v>
      </c>
      <c r="Z8" s="106">
        <v>0</v>
      </c>
      <c r="AA8" s="106">
        <v>0</v>
      </c>
      <c r="AB8" s="106">
        <v>0</v>
      </c>
      <c r="AC8" s="106">
        <v>0</v>
      </c>
      <c r="AD8" s="106">
        <v>0</v>
      </c>
      <c r="AE8" s="106">
        <v>0</v>
      </c>
      <c r="AF8" s="106">
        <v>0</v>
      </c>
      <c r="AG8" s="106">
        <v>0</v>
      </c>
      <c r="AH8" s="106">
        <v>0</v>
      </c>
      <c r="AI8" s="106">
        <v>0</v>
      </c>
      <c r="AJ8" s="106">
        <v>0</v>
      </c>
      <c r="AK8" s="106">
        <v>0</v>
      </c>
      <c r="AL8" s="106">
        <v>0</v>
      </c>
      <c r="AM8" s="106">
        <v>0</v>
      </c>
      <c r="AN8" s="106">
        <v>0</v>
      </c>
      <c r="AO8" s="106">
        <v>0</v>
      </c>
    </row>
    <row r="9" spans="1:41" customFormat="1" x14ac:dyDescent="0.15">
      <c r="A9" s="186" t="s">
        <v>199</v>
      </c>
      <c r="B9" s="106">
        <v>0</v>
      </c>
      <c r="C9" s="106">
        <v>0</v>
      </c>
      <c r="D9" s="106">
        <v>0</v>
      </c>
      <c r="E9" s="106">
        <v>0</v>
      </c>
      <c r="F9" s="106">
        <v>0</v>
      </c>
      <c r="G9" s="106">
        <v>0</v>
      </c>
      <c r="H9" s="106">
        <v>0</v>
      </c>
      <c r="I9" s="106">
        <v>0</v>
      </c>
      <c r="J9" s="106">
        <v>0</v>
      </c>
      <c r="K9" s="106">
        <v>1</v>
      </c>
      <c r="L9" s="106">
        <v>0</v>
      </c>
      <c r="M9" s="106">
        <v>0</v>
      </c>
      <c r="N9" s="106">
        <v>0</v>
      </c>
      <c r="O9" s="106">
        <v>0</v>
      </c>
      <c r="P9" s="106">
        <v>1</v>
      </c>
      <c r="Q9" s="106">
        <v>0</v>
      </c>
      <c r="R9" s="106">
        <v>0</v>
      </c>
      <c r="S9" s="106">
        <v>0</v>
      </c>
      <c r="T9" s="106">
        <v>0</v>
      </c>
      <c r="U9" s="106">
        <v>0</v>
      </c>
      <c r="V9" s="106">
        <v>0</v>
      </c>
      <c r="W9" s="106">
        <v>0</v>
      </c>
      <c r="X9" s="106">
        <v>1</v>
      </c>
      <c r="Y9" s="106">
        <v>0</v>
      </c>
      <c r="Z9" s="106">
        <v>0</v>
      </c>
      <c r="AA9" s="106">
        <v>0</v>
      </c>
      <c r="AB9" s="106">
        <v>0</v>
      </c>
      <c r="AC9" s="106">
        <v>0</v>
      </c>
      <c r="AD9" s="106">
        <v>0</v>
      </c>
      <c r="AE9" s="106">
        <v>0</v>
      </c>
      <c r="AF9" s="106">
        <v>0</v>
      </c>
      <c r="AG9" s="106">
        <v>0</v>
      </c>
      <c r="AH9" s="106">
        <v>0</v>
      </c>
      <c r="AI9" s="106">
        <v>0</v>
      </c>
      <c r="AJ9" s="106">
        <v>0</v>
      </c>
      <c r="AK9" s="106">
        <v>0</v>
      </c>
      <c r="AL9" s="106">
        <v>0</v>
      </c>
      <c r="AM9" s="106">
        <v>0</v>
      </c>
      <c r="AN9" s="106">
        <v>0</v>
      </c>
      <c r="AO9" s="106">
        <v>0</v>
      </c>
    </row>
    <row r="10" spans="1:41" customFormat="1" x14ac:dyDescent="0.15">
      <c r="A10" s="186" t="s">
        <v>200</v>
      </c>
      <c r="B10" s="106">
        <v>0</v>
      </c>
      <c r="C10" s="106">
        <v>0</v>
      </c>
      <c r="D10" s="106">
        <v>0</v>
      </c>
      <c r="E10" s="106">
        <v>0</v>
      </c>
      <c r="F10" s="106">
        <v>0</v>
      </c>
      <c r="G10" s="106">
        <v>0</v>
      </c>
      <c r="H10" s="106">
        <v>0</v>
      </c>
      <c r="I10" s="106">
        <v>0</v>
      </c>
      <c r="J10" s="106">
        <v>0</v>
      </c>
      <c r="K10" s="106">
        <v>1</v>
      </c>
      <c r="L10" s="106">
        <v>0</v>
      </c>
      <c r="M10" s="106">
        <v>0</v>
      </c>
      <c r="N10" s="106">
        <v>0</v>
      </c>
      <c r="O10" s="106">
        <v>0</v>
      </c>
      <c r="P10" s="106">
        <v>1</v>
      </c>
      <c r="Q10" s="106">
        <v>0</v>
      </c>
      <c r="R10" s="106">
        <v>0</v>
      </c>
      <c r="S10" s="106">
        <v>0</v>
      </c>
      <c r="T10" s="106">
        <v>0</v>
      </c>
      <c r="U10" s="106">
        <v>0</v>
      </c>
      <c r="V10" s="106">
        <v>0</v>
      </c>
      <c r="W10" s="106">
        <v>0</v>
      </c>
      <c r="X10" s="106">
        <v>1</v>
      </c>
      <c r="Y10" s="106">
        <v>0</v>
      </c>
      <c r="Z10" s="106">
        <v>0</v>
      </c>
      <c r="AA10" s="106">
        <v>0</v>
      </c>
      <c r="AB10" s="106">
        <v>0</v>
      </c>
      <c r="AC10" s="106">
        <v>0</v>
      </c>
      <c r="AD10" s="106">
        <v>0</v>
      </c>
      <c r="AE10" s="106">
        <v>0</v>
      </c>
      <c r="AF10" s="106">
        <v>0</v>
      </c>
      <c r="AG10" s="106">
        <v>0</v>
      </c>
      <c r="AH10" s="106">
        <v>0</v>
      </c>
      <c r="AI10" s="106">
        <v>0</v>
      </c>
      <c r="AJ10" s="106">
        <v>0</v>
      </c>
      <c r="AK10" s="106">
        <v>0</v>
      </c>
      <c r="AL10" s="106">
        <v>0</v>
      </c>
      <c r="AM10" s="106">
        <v>0</v>
      </c>
      <c r="AN10" s="106">
        <v>0</v>
      </c>
      <c r="AO10" s="106">
        <v>0</v>
      </c>
    </row>
    <row r="11" spans="1:41" customFormat="1" x14ac:dyDescent="0.15">
      <c r="A11" s="186" t="s">
        <v>201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0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0</v>
      </c>
      <c r="S11" s="106">
        <v>0</v>
      </c>
      <c r="T11" s="106">
        <v>0</v>
      </c>
      <c r="U11" s="106">
        <v>0</v>
      </c>
      <c r="V11" s="106">
        <v>0</v>
      </c>
      <c r="W11" s="106">
        <v>0</v>
      </c>
      <c r="X11" s="106">
        <v>0</v>
      </c>
      <c r="Y11" s="106">
        <v>0</v>
      </c>
      <c r="Z11" s="106">
        <v>0</v>
      </c>
      <c r="AA11" s="106">
        <v>0</v>
      </c>
      <c r="AB11" s="106">
        <v>0</v>
      </c>
      <c r="AC11" s="106">
        <v>0</v>
      </c>
      <c r="AD11" s="106">
        <v>0</v>
      </c>
      <c r="AE11" s="106">
        <v>0</v>
      </c>
      <c r="AF11" s="106">
        <v>0</v>
      </c>
      <c r="AG11" s="106">
        <v>0</v>
      </c>
      <c r="AH11" s="106">
        <v>0</v>
      </c>
      <c r="AI11" s="106">
        <v>0</v>
      </c>
      <c r="AJ11" s="106">
        <v>0</v>
      </c>
      <c r="AK11" s="106">
        <v>0</v>
      </c>
      <c r="AL11" s="106">
        <v>0</v>
      </c>
      <c r="AM11" s="106">
        <v>0</v>
      </c>
      <c r="AN11" s="106">
        <v>0</v>
      </c>
      <c r="AO11" s="106">
        <v>0</v>
      </c>
    </row>
    <row r="12" spans="1:41" customFormat="1" x14ac:dyDescent="0.15">
      <c r="A12" s="186" t="s">
        <v>202</v>
      </c>
      <c r="B12" s="106">
        <v>0</v>
      </c>
      <c r="C12" s="106">
        <v>0</v>
      </c>
      <c r="D12" s="106">
        <v>0</v>
      </c>
      <c r="E12" s="106">
        <v>0</v>
      </c>
      <c r="F12" s="106">
        <v>0</v>
      </c>
      <c r="G12" s="106">
        <v>0</v>
      </c>
      <c r="H12" s="106">
        <v>0</v>
      </c>
      <c r="I12" s="106">
        <v>0</v>
      </c>
      <c r="J12" s="106">
        <v>0</v>
      </c>
      <c r="K12" s="106">
        <v>0</v>
      </c>
      <c r="L12" s="106">
        <v>0</v>
      </c>
      <c r="M12" s="106">
        <v>0</v>
      </c>
      <c r="N12" s="106">
        <v>0</v>
      </c>
      <c r="O12" s="106">
        <v>0</v>
      </c>
      <c r="P12" s="106">
        <v>0</v>
      </c>
      <c r="Q12" s="106">
        <v>0</v>
      </c>
      <c r="R12" s="106">
        <v>0</v>
      </c>
      <c r="S12" s="106">
        <v>0</v>
      </c>
      <c r="T12" s="106">
        <v>0</v>
      </c>
      <c r="U12" s="106">
        <v>0</v>
      </c>
      <c r="V12" s="106">
        <v>0</v>
      </c>
      <c r="W12" s="106">
        <v>0</v>
      </c>
      <c r="X12" s="106">
        <v>0</v>
      </c>
      <c r="Y12" s="106">
        <v>0</v>
      </c>
      <c r="Z12" s="106">
        <v>0</v>
      </c>
      <c r="AA12" s="106">
        <v>0</v>
      </c>
      <c r="AB12" s="106">
        <v>0</v>
      </c>
      <c r="AC12" s="106">
        <v>0</v>
      </c>
      <c r="AD12" s="106">
        <v>0</v>
      </c>
      <c r="AE12" s="106">
        <v>0</v>
      </c>
      <c r="AF12" s="106">
        <v>0</v>
      </c>
      <c r="AG12" s="106">
        <v>0</v>
      </c>
      <c r="AH12" s="106">
        <v>0</v>
      </c>
      <c r="AI12" s="106">
        <v>0</v>
      </c>
      <c r="AJ12" s="106">
        <v>0</v>
      </c>
      <c r="AK12" s="106">
        <v>0</v>
      </c>
      <c r="AL12" s="106">
        <v>0</v>
      </c>
      <c r="AM12" s="106">
        <v>0</v>
      </c>
      <c r="AN12" s="106">
        <v>0</v>
      </c>
      <c r="AO12" s="106">
        <v>0</v>
      </c>
    </row>
    <row r="13" spans="1:41" customFormat="1" x14ac:dyDescent="0.15">
      <c r="A13" s="186" t="s">
        <v>203</v>
      </c>
      <c r="B13" s="106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</v>
      </c>
      <c r="Q13" s="106">
        <v>0</v>
      </c>
      <c r="R13" s="106">
        <v>0</v>
      </c>
      <c r="S13" s="106">
        <v>0</v>
      </c>
      <c r="T13" s="106">
        <v>0</v>
      </c>
      <c r="U13" s="106">
        <v>0</v>
      </c>
      <c r="V13" s="106">
        <v>0</v>
      </c>
      <c r="W13" s="106">
        <v>0</v>
      </c>
      <c r="X13" s="106">
        <v>0</v>
      </c>
      <c r="Y13" s="106">
        <v>0</v>
      </c>
      <c r="Z13" s="106">
        <v>0</v>
      </c>
      <c r="AA13" s="106">
        <v>0</v>
      </c>
      <c r="AB13" s="106">
        <v>0</v>
      </c>
      <c r="AC13" s="106">
        <v>0</v>
      </c>
      <c r="AD13" s="106">
        <v>0</v>
      </c>
      <c r="AE13" s="106">
        <v>0</v>
      </c>
      <c r="AF13" s="106">
        <v>0</v>
      </c>
      <c r="AG13" s="106">
        <v>0</v>
      </c>
      <c r="AH13" s="106">
        <v>0</v>
      </c>
      <c r="AI13" s="106">
        <v>0</v>
      </c>
      <c r="AJ13" s="106">
        <v>0</v>
      </c>
      <c r="AK13" s="106">
        <v>0</v>
      </c>
      <c r="AL13" s="106">
        <v>0</v>
      </c>
      <c r="AM13" s="106">
        <v>0</v>
      </c>
      <c r="AN13" s="106">
        <v>0</v>
      </c>
      <c r="AO13" s="106">
        <v>0</v>
      </c>
    </row>
    <row r="14" spans="1:41" customFormat="1" x14ac:dyDescent="0.15">
      <c r="A14" s="186" t="s">
        <v>204</v>
      </c>
      <c r="B14" s="106">
        <v>0</v>
      </c>
      <c r="C14" s="106">
        <v>0</v>
      </c>
      <c r="D14" s="106">
        <v>0</v>
      </c>
      <c r="E14" s="106">
        <v>0</v>
      </c>
      <c r="F14" s="106">
        <v>0</v>
      </c>
      <c r="G14" s="106">
        <v>0</v>
      </c>
      <c r="H14" s="106">
        <v>0</v>
      </c>
      <c r="I14" s="106">
        <v>0</v>
      </c>
      <c r="J14" s="106">
        <v>0</v>
      </c>
      <c r="K14" s="106">
        <v>0</v>
      </c>
      <c r="L14" s="106">
        <v>0</v>
      </c>
      <c r="M14" s="106">
        <v>0</v>
      </c>
      <c r="N14" s="106">
        <v>0</v>
      </c>
      <c r="O14" s="106">
        <v>0</v>
      </c>
      <c r="P14" s="106">
        <v>0</v>
      </c>
      <c r="Q14" s="106">
        <v>0</v>
      </c>
      <c r="R14" s="106">
        <v>0</v>
      </c>
      <c r="S14" s="106">
        <v>0</v>
      </c>
      <c r="T14" s="106">
        <v>0</v>
      </c>
      <c r="U14" s="106">
        <v>0</v>
      </c>
      <c r="V14" s="106">
        <v>0</v>
      </c>
      <c r="W14" s="106">
        <v>0</v>
      </c>
      <c r="X14" s="106">
        <v>1</v>
      </c>
      <c r="Y14" s="106">
        <v>0</v>
      </c>
      <c r="Z14" s="106">
        <v>0</v>
      </c>
      <c r="AA14" s="106">
        <v>0</v>
      </c>
      <c r="AB14" s="106">
        <v>0</v>
      </c>
      <c r="AC14" s="106">
        <v>0</v>
      </c>
      <c r="AD14" s="106">
        <v>0</v>
      </c>
      <c r="AE14" s="106">
        <v>0</v>
      </c>
      <c r="AF14" s="106">
        <v>0</v>
      </c>
      <c r="AG14" s="106">
        <v>0</v>
      </c>
      <c r="AH14" s="106">
        <v>0</v>
      </c>
      <c r="AI14" s="106">
        <v>0</v>
      </c>
      <c r="AJ14" s="106">
        <v>0</v>
      </c>
      <c r="AK14" s="106">
        <v>0</v>
      </c>
      <c r="AL14" s="106">
        <v>0</v>
      </c>
      <c r="AM14" s="106">
        <v>0</v>
      </c>
      <c r="AN14" s="106">
        <v>0</v>
      </c>
      <c r="AO14" s="106">
        <v>0</v>
      </c>
    </row>
    <row r="15" spans="1:41" customFormat="1" x14ac:dyDescent="0.15">
      <c r="A15" s="186" t="s">
        <v>205</v>
      </c>
      <c r="B15" s="106">
        <v>0</v>
      </c>
      <c r="C15" s="106">
        <v>0</v>
      </c>
      <c r="D15" s="106">
        <v>0</v>
      </c>
      <c r="E15" s="106">
        <v>0</v>
      </c>
      <c r="F15" s="106">
        <v>0</v>
      </c>
      <c r="G15" s="106">
        <v>0</v>
      </c>
      <c r="H15" s="106">
        <v>0</v>
      </c>
      <c r="I15" s="106">
        <v>0</v>
      </c>
      <c r="J15" s="106">
        <v>0</v>
      </c>
      <c r="K15" s="106">
        <v>0</v>
      </c>
      <c r="L15" s="106">
        <v>1</v>
      </c>
      <c r="M15" s="106">
        <v>0</v>
      </c>
      <c r="N15" s="106">
        <v>0</v>
      </c>
      <c r="O15" s="106">
        <v>0</v>
      </c>
      <c r="P15" s="106">
        <v>0</v>
      </c>
      <c r="Q15" s="106">
        <v>0</v>
      </c>
      <c r="R15" s="106">
        <v>0</v>
      </c>
      <c r="S15" s="106">
        <v>0</v>
      </c>
      <c r="T15" s="106">
        <v>0</v>
      </c>
      <c r="U15" s="106">
        <v>0</v>
      </c>
      <c r="V15" s="106">
        <v>0</v>
      </c>
      <c r="W15" s="106">
        <v>0</v>
      </c>
      <c r="X15" s="106">
        <v>1</v>
      </c>
      <c r="Y15" s="106">
        <v>0</v>
      </c>
      <c r="Z15" s="106">
        <v>0</v>
      </c>
      <c r="AA15" s="106">
        <v>0</v>
      </c>
      <c r="AB15" s="106">
        <v>0</v>
      </c>
      <c r="AC15" s="106">
        <v>0</v>
      </c>
      <c r="AD15" s="106">
        <v>0</v>
      </c>
      <c r="AE15" s="106">
        <v>0</v>
      </c>
      <c r="AF15" s="106">
        <v>0</v>
      </c>
      <c r="AG15" s="106">
        <v>0</v>
      </c>
      <c r="AH15" s="106">
        <v>0</v>
      </c>
      <c r="AI15" s="106">
        <v>0</v>
      </c>
      <c r="AJ15" s="106">
        <v>0</v>
      </c>
      <c r="AK15" s="106">
        <v>0</v>
      </c>
      <c r="AL15" s="106">
        <v>0</v>
      </c>
      <c r="AM15" s="106">
        <v>0</v>
      </c>
      <c r="AN15" s="106">
        <v>0</v>
      </c>
      <c r="AO15" s="106">
        <v>0</v>
      </c>
    </row>
    <row r="16" spans="1:41" customFormat="1" x14ac:dyDescent="0.15">
      <c r="A16" s="186" t="s">
        <v>206</v>
      </c>
      <c r="B16" s="106">
        <v>0</v>
      </c>
      <c r="C16" s="106">
        <v>0</v>
      </c>
      <c r="D16" s="106">
        <v>0</v>
      </c>
      <c r="E16" s="106">
        <v>0</v>
      </c>
      <c r="F16" s="106">
        <v>0</v>
      </c>
      <c r="G16" s="106">
        <v>0</v>
      </c>
      <c r="H16" s="106">
        <v>0</v>
      </c>
      <c r="I16" s="106">
        <v>0</v>
      </c>
      <c r="J16" s="106">
        <v>0</v>
      </c>
      <c r="K16" s="106">
        <v>0</v>
      </c>
      <c r="L16" s="106">
        <v>0</v>
      </c>
      <c r="M16" s="106">
        <v>0</v>
      </c>
      <c r="N16" s="106">
        <v>0</v>
      </c>
      <c r="O16" s="106">
        <v>0</v>
      </c>
      <c r="P16" s="106">
        <v>0</v>
      </c>
      <c r="Q16" s="106">
        <v>0</v>
      </c>
      <c r="R16" s="106">
        <v>0</v>
      </c>
      <c r="S16" s="106">
        <v>0</v>
      </c>
      <c r="T16" s="106">
        <v>0</v>
      </c>
      <c r="U16" s="106">
        <v>0</v>
      </c>
      <c r="V16" s="106">
        <v>0</v>
      </c>
      <c r="W16" s="106">
        <v>0</v>
      </c>
      <c r="X16" s="106">
        <v>0</v>
      </c>
      <c r="Y16" s="106">
        <v>0</v>
      </c>
      <c r="Z16" s="106">
        <v>0</v>
      </c>
      <c r="AA16" s="106">
        <v>0</v>
      </c>
      <c r="AB16" s="106">
        <v>0</v>
      </c>
      <c r="AC16" s="106">
        <v>0</v>
      </c>
      <c r="AD16" s="106">
        <v>0</v>
      </c>
      <c r="AE16" s="106">
        <v>0</v>
      </c>
      <c r="AF16" s="106">
        <v>0</v>
      </c>
      <c r="AG16" s="106">
        <v>0</v>
      </c>
      <c r="AH16" s="106">
        <v>0</v>
      </c>
      <c r="AI16" s="106">
        <v>0</v>
      </c>
      <c r="AJ16" s="106">
        <v>0</v>
      </c>
      <c r="AK16" s="106">
        <v>0</v>
      </c>
      <c r="AL16" s="106">
        <v>0</v>
      </c>
      <c r="AM16" s="106">
        <v>0</v>
      </c>
      <c r="AN16" s="106">
        <v>0</v>
      </c>
      <c r="AO16" s="106">
        <v>0</v>
      </c>
    </row>
    <row r="17" spans="1:41" customFormat="1" x14ac:dyDescent="0.15">
      <c r="A17" s="186" t="s">
        <v>207</v>
      </c>
      <c r="B17" s="106">
        <v>0</v>
      </c>
      <c r="C17" s="106">
        <v>0</v>
      </c>
      <c r="D17" s="106">
        <v>0</v>
      </c>
      <c r="E17" s="106">
        <v>0</v>
      </c>
      <c r="F17" s="106">
        <v>0</v>
      </c>
      <c r="G17" s="106">
        <v>0</v>
      </c>
      <c r="H17" s="106">
        <v>0</v>
      </c>
      <c r="I17" s="106">
        <v>0</v>
      </c>
      <c r="J17" s="106">
        <v>0</v>
      </c>
      <c r="K17" s="106">
        <v>0</v>
      </c>
      <c r="L17" s="106">
        <v>0</v>
      </c>
      <c r="M17" s="106">
        <v>0</v>
      </c>
      <c r="N17" s="106">
        <v>0</v>
      </c>
      <c r="O17" s="106">
        <v>0</v>
      </c>
      <c r="P17" s="106">
        <v>0</v>
      </c>
      <c r="Q17" s="106">
        <v>0</v>
      </c>
      <c r="R17" s="106">
        <v>0</v>
      </c>
      <c r="S17" s="106">
        <v>0</v>
      </c>
      <c r="T17" s="106">
        <v>0</v>
      </c>
      <c r="U17" s="106">
        <v>0</v>
      </c>
      <c r="V17" s="106">
        <v>0</v>
      </c>
      <c r="W17" s="106">
        <v>0</v>
      </c>
      <c r="X17" s="106">
        <v>0</v>
      </c>
      <c r="Y17" s="106">
        <v>0</v>
      </c>
      <c r="Z17" s="106">
        <v>0</v>
      </c>
      <c r="AA17" s="106">
        <v>0</v>
      </c>
      <c r="AB17" s="106">
        <v>0</v>
      </c>
      <c r="AC17" s="106">
        <v>0</v>
      </c>
      <c r="AD17" s="106">
        <v>0</v>
      </c>
      <c r="AE17" s="106">
        <v>0</v>
      </c>
      <c r="AF17" s="106">
        <v>0</v>
      </c>
      <c r="AG17" s="106">
        <v>0</v>
      </c>
      <c r="AH17" s="106">
        <v>0</v>
      </c>
      <c r="AI17" s="106">
        <v>0</v>
      </c>
      <c r="AJ17" s="106">
        <v>0</v>
      </c>
      <c r="AK17" s="106">
        <v>0</v>
      </c>
      <c r="AL17" s="106">
        <v>0</v>
      </c>
      <c r="AM17" s="106">
        <v>0</v>
      </c>
      <c r="AN17" s="106">
        <v>0</v>
      </c>
      <c r="AO17" s="106">
        <v>0</v>
      </c>
    </row>
    <row r="18" spans="1:41" customFormat="1" x14ac:dyDescent="0.15">
      <c r="A18" s="186" t="s">
        <v>208</v>
      </c>
      <c r="B18" s="106">
        <v>0</v>
      </c>
      <c r="C18" s="106">
        <v>0</v>
      </c>
      <c r="D18" s="106">
        <v>0</v>
      </c>
      <c r="E18" s="106">
        <v>1</v>
      </c>
      <c r="F18" s="106">
        <v>1</v>
      </c>
      <c r="G18" s="106">
        <v>0</v>
      </c>
      <c r="H18" s="106">
        <v>0</v>
      </c>
      <c r="I18" s="106">
        <v>1</v>
      </c>
      <c r="J18" s="106">
        <v>0</v>
      </c>
      <c r="K18" s="106">
        <v>1</v>
      </c>
      <c r="L18" s="106">
        <v>1</v>
      </c>
      <c r="M18" s="106">
        <v>0</v>
      </c>
      <c r="N18" s="106">
        <v>0</v>
      </c>
      <c r="O18" s="106">
        <v>1</v>
      </c>
      <c r="P18" s="106">
        <v>1</v>
      </c>
      <c r="Q18" s="106">
        <v>0</v>
      </c>
      <c r="R18" s="106">
        <v>1</v>
      </c>
      <c r="S18" s="106">
        <v>1</v>
      </c>
      <c r="T18" s="106">
        <v>1</v>
      </c>
      <c r="U18" s="106">
        <v>1</v>
      </c>
      <c r="V18" s="106">
        <v>1</v>
      </c>
      <c r="W18" s="106">
        <v>0</v>
      </c>
      <c r="X18" s="106">
        <v>1</v>
      </c>
      <c r="Y18" s="106">
        <v>1</v>
      </c>
      <c r="Z18" s="106">
        <v>0</v>
      </c>
      <c r="AA18" s="106">
        <v>0</v>
      </c>
      <c r="AB18" s="106">
        <v>0</v>
      </c>
      <c r="AC18" s="106">
        <v>1</v>
      </c>
      <c r="AD18" s="106">
        <v>0</v>
      </c>
      <c r="AE18" s="106">
        <v>0</v>
      </c>
      <c r="AF18" s="106">
        <v>0</v>
      </c>
      <c r="AG18" s="106">
        <v>0</v>
      </c>
      <c r="AH18" s="106">
        <v>0</v>
      </c>
      <c r="AI18" s="106">
        <v>0</v>
      </c>
      <c r="AJ18" s="106">
        <v>0</v>
      </c>
      <c r="AK18" s="106">
        <v>0</v>
      </c>
      <c r="AL18" s="106">
        <v>0</v>
      </c>
      <c r="AM18" s="106">
        <v>0</v>
      </c>
      <c r="AN18" s="106">
        <v>0</v>
      </c>
      <c r="AO18" s="106">
        <v>0</v>
      </c>
    </row>
    <row r="19" spans="1:41" customFormat="1" x14ac:dyDescent="0.15">
      <c r="A19" s="186" t="s">
        <v>209</v>
      </c>
      <c r="B19" s="106">
        <v>0</v>
      </c>
      <c r="C19" s="106">
        <v>0</v>
      </c>
      <c r="D19" s="106">
        <v>0</v>
      </c>
      <c r="E19" s="106">
        <v>1</v>
      </c>
      <c r="F19" s="106">
        <v>0</v>
      </c>
      <c r="G19" s="106">
        <v>0</v>
      </c>
      <c r="H19" s="106">
        <v>0</v>
      </c>
      <c r="I19" s="106">
        <v>1</v>
      </c>
      <c r="J19" s="106">
        <v>1</v>
      </c>
      <c r="K19" s="106">
        <v>1</v>
      </c>
      <c r="L19" s="106">
        <v>0</v>
      </c>
      <c r="M19" s="106">
        <v>1</v>
      </c>
      <c r="N19" s="106">
        <v>0</v>
      </c>
      <c r="O19" s="106">
        <v>0</v>
      </c>
      <c r="P19" s="106">
        <v>1</v>
      </c>
      <c r="Q19" s="106">
        <v>0</v>
      </c>
      <c r="R19" s="106">
        <v>0</v>
      </c>
      <c r="S19" s="106">
        <v>0</v>
      </c>
      <c r="T19" s="106">
        <v>0</v>
      </c>
      <c r="U19" s="106">
        <v>0</v>
      </c>
      <c r="V19" s="106">
        <v>0</v>
      </c>
      <c r="W19" s="106">
        <v>0</v>
      </c>
      <c r="X19" s="106">
        <v>1</v>
      </c>
      <c r="Y19" s="106">
        <v>0</v>
      </c>
      <c r="Z19" s="106">
        <v>0</v>
      </c>
      <c r="AA19" s="106">
        <v>0</v>
      </c>
      <c r="AB19" s="106">
        <v>0</v>
      </c>
      <c r="AC19" s="106">
        <v>0</v>
      </c>
      <c r="AD19" s="106">
        <v>0</v>
      </c>
      <c r="AE19" s="106">
        <v>0</v>
      </c>
      <c r="AF19" s="106">
        <v>0</v>
      </c>
      <c r="AG19" s="106">
        <v>0</v>
      </c>
      <c r="AH19" s="106">
        <v>0</v>
      </c>
      <c r="AI19" s="106">
        <v>0</v>
      </c>
      <c r="AJ19" s="106">
        <v>0</v>
      </c>
      <c r="AK19" s="106">
        <v>0</v>
      </c>
      <c r="AL19" s="106">
        <v>0</v>
      </c>
      <c r="AM19" s="106">
        <v>0</v>
      </c>
      <c r="AN19" s="106">
        <v>0</v>
      </c>
      <c r="AO19" s="106">
        <v>0</v>
      </c>
    </row>
    <row r="20" spans="1:41" customFormat="1" x14ac:dyDescent="0.15">
      <c r="A20" s="186" t="s">
        <v>210</v>
      </c>
      <c r="B20" s="106">
        <v>0</v>
      </c>
      <c r="C20" s="106">
        <v>0</v>
      </c>
      <c r="D20" s="106">
        <v>0</v>
      </c>
      <c r="E20" s="106">
        <v>1</v>
      </c>
      <c r="F20" s="106">
        <v>1</v>
      </c>
      <c r="G20" s="106">
        <v>1</v>
      </c>
      <c r="H20" s="106">
        <v>0</v>
      </c>
      <c r="I20" s="106">
        <v>1</v>
      </c>
      <c r="J20" s="106">
        <v>1</v>
      </c>
      <c r="K20" s="106">
        <v>1</v>
      </c>
      <c r="L20" s="106">
        <v>1</v>
      </c>
      <c r="M20" s="106">
        <v>1</v>
      </c>
      <c r="N20" s="106">
        <v>1</v>
      </c>
      <c r="O20" s="106">
        <v>1</v>
      </c>
      <c r="P20" s="106">
        <v>1</v>
      </c>
      <c r="Q20" s="106">
        <v>0</v>
      </c>
      <c r="R20" s="106">
        <v>1</v>
      </c>
      <c r="S20" s="106">
        <v>1</v>
      </c>
      <c r="T20" s="106">
        <v>1</v>
      </c>
      <c r="U20" s="106">
        <v>1</v>
      </c>
      <c r="V20" s="106">
        <v>1</v>
      </c>
      <c r="W20" s="106">
        <v>0</v>
      </c>
      <c r="X20" s="106">
        <v>1</v>
      </c>
      <c r="Y20" s="106">
        <v>1</v>
      </c>
      <c r="Z20" s="106">
        <v>0</v>
      </c>
      <c r="AA20" s="106">
        <v>1</v>
      </c>
      <c r="AB20" s="106">
        <v>1</v>
      </c>
      <c r="AC20" s="106">
        <v>1</v>
      </c>
      <c r="AD20" s="106">
        <v>1</v>
      </c>
      <c r="AE20" s="106">
        <v>0</v>
      </c>
      <c r="AF20" s="106">
        <v>0</v>
      </c>
      <c r="AG20" s="106">
        <v>0</v>
      </c>
      <c r="AH20" s="106">
        <v>0</v>
      </c>
      <c r="AI20" s="106">
        <v>0</v>
      </c>
      <c r="AJ20" s="106">
        <v>0</v>
      </c>
      <c r="AK20" s="106">
        <v>0</v>
      </c>
      <c r="AL20" s="106">
        <v>0</v>
      </c>
      <c r="AM20" s="106">
        <v>0</v>
      </c>
      <c r="AN20" s="106">
        <v>0</v>
      </c>
      <c r="AO20" s="106">
        <v>0</v>
      </c>
    </row>
    <row r="21" spans="1:41" customFormat="1" x14ac:dyDescent="0.15">
      <c r="A21" s="186" t="s">
        <v>211</v>
      </c>
      <c r="B21" s="106">
        <v>0</v>
      </c>
      <c r="C21" s="106">
        <v>0</v>
      </c>
      <c r="D21" s="106">
        <v>0</v>
      </c>
      <c r="E21" s="106">
        <v>1</v>
      </c>
      <c r="F21" s="106">
        <v>0</v>
      </c>
      <c r="G21" s="106">
        <v>0</v>
      </c>
      <c r="H21" s="106">
        <v>0</v>
      </c>
      <c r="I21" s="106">
        <v>1</v>
      </c>
      <c r="J21" s="106">
        <v>0</v>
      </c>
      <c r="K21" s="106">
        <v>1</v>
      </c>
      <c r="L21" s="106">
        <v>0</v>
      </c>
      <c r="M21" s="106">
        <v>1</v>
      </c>
      <c r="N21" s="106">
        <v>1</v>
      </c>
      <c r="O21" s="106">
        <v>1</v>
      </c>
      <c r="P21" s="106">
        <v>1</v>
      </c>
      <c r="Q21" s="106">
        <v>0</v>
      </c>
      <c r="R21" s="106">
        <v>0</v>
      </c>
      <c r="S21" s="106">
        <v>0</v>
      </c>
      <c r="T21" s="106">
        <v>0</v>
      </c>
      <c r="U21" s="106">
        <v>0</v>
      </c>
      <c r="V21" s="106">
        <v>1</v>
      </c>
      <c r="W21" s="106">
        <v>0</v>
      </c>
      <c r="X21" s="106">
        <v>1</v>
      </c>
      <c r="Y21" s="106">
        <v>0</v>
      </c>
      <c r="Z21" s="106">
        <v>0</v>
      </c>
      <c r="AA21" s="106">
        <v>0</v>
      </c>
      <c r="AB21" s="106">
        <v>0</v>
      </c>
      <c r="AC21" s="106">
        <v>1</v>
      </c>
      <c r="AD21" s="106">
        <v>1</v>
      </c>
      <c r="AE21" s="106">
        <v>0</v>
      </c>
      <c r="AF21" s="106">
        <v>0</v>
      </c>
      <c r="AG21" s="106">
        <v>0</v>
      </c>
      <c r="AH21" s="106">
        <v>0</v>
      </c>
      <c r="AI21" s="106">
        <v>0</v>
      </c>
      <c r="AJ21" s="106">
        <v>0</v>
      </c>
      <c r="AK21" s="106">
        <v>0</v>
      </c>
      <c r="AL21" s="106">
        <v>0</v>
      </c>
      <c r="AM21" s="106">
        <v>0</v>
      </c>
      <c r="AN21" s="106">
        <v>0</v>
      </c>
      <c r="AO21" s="106">
        <v>0</v>
      </c>
    </row>
    <row r="22" spans="1:41" customFormat="1" x14ac:dyDescent="0.15">
      <c r="A22" s="186" t="s">
        <v>212</v>
      </c>
      <c r="B22" s="106">
        <v>0</v>
      </c>
      <c r="C22" s="106">
        <v>0</v>
      </c>
      <c r="D22" s="106">
        <v>0</v>
      </c>
      <c r="E22" s="106">
        <v>1</v>
      </c>
      <c r="F22" s="106">
        <v>0</v>
      </c>
      <c r="G22" s="106">
        <v>0</v>
      </c>
      <c r="H22" s="106">
        <v>0</v>
      </c>
      <c r="I22" s="106">
        <v>1</v>
      </c>
      <c r="J22" s="106">
        <v>0</v>
      </c>
      <c r="K22" s="106">
        <v>1</v>
      </c>
      <c r="L22" s="106">
        <v>0</v>
      </c>
      <c r="M22" s="106">
        <v>1</v>
      </c>
      <c r="N22" s="106">
        <v>1</v>
      </c>
      <c r="O22" s="106">
        <v>1</v>
      </c>
      <c r="P22" s="106">
        <v>1</v>
      </c>
      <c r="Q22" s="106">
        <v>0</v>
      </c>
      <c r="R22" s="106">
        <v>1</v>
      </c>
      <c r="S22" s="106">
        <v>0</v>
      </c>
      <c r="T22" s="106">
        <v>1</v>
      </c>
      <c r="U22" s="106">
        <v>0</v>
      </c>
      <c r="V22" s="106">
        <v>1</v>
      </c>
      <c r="W22" s="106">
        <v>0</v>
      </c>
      <c r="X22" s="106">
        <v>1</v>
      </c>
      <c r="Y22" s="106">
        <v>0</v>
      </c>
      <c r="Z22" s="106">
        <v>0</v>
      </c>
      <c r="AA22" s="106">
        <v>0</v>
      </c>
      <c r="AB22" s="106">
        <v>0</v>
      </c>
      <c r="AC22" s="106">
        <v>1</v>
      </c>
      <c r="AD22" s="106">
        <v>1</v>
      </c>
      <c r="AE22" s="106">
        <v>0</v>
      </c>
      <c r="AF22" s="106">
        <v>0</v>
      </c>
      <c r="AG22" s="106">
        <v>0</v>
      </c>
      <c r="AH22" s="106">
        <v>0</v>
      </c>
      <c r="AI22" s="106">
        <v>0</v>
      </c>
      <c r="AJ22" s="106">
        <v>0</v>
      </c>
      <c r="AK22" s="106">
        <v>0</v>
      </c>
      <c r="AL22" s="106">
        <v>0</v>
      </c>
      <c r="AM22" s="106">
        <v>0</v>
      </c>
      <c r="AN22" s="106">
        <v>0</v>
      </c>
      <c r="AO22" s="106">
        <v>0</v>
      </c>
    </row>
    <row r="23" spans="1:41" customFormat="1" x14ac:dyDescent="0.15">
      <c r="A23" s="186" t="s">
        <v>213</v>
      </c>
      <c r="B23" s="106">
        <v>0</v>
      </c>
      <c r="C23" s="106">
        <v>0</v>
      </c>
      <c r="D23" s="106">
        <v>0</v>
      </c>
      <c r="E23" s="106">
        <v>1</v>
      </c>
      <c r="F23" s="106">
        <v>0</v>
      </c>
      <c r="G23" s="106">
        <v>0</v>
      </c>
      <c r="H23" s="106">
        <v>0</v>
      </c>
      <c r="I23" s="106">
        <v>0</v>
      </c>
      <c r="J23" s="106">
        <v>0</v>
      </c>
      <c r="K23" s="106">
        <v>0</v>
      </c>
      <c r="L23" s="106">
        <v>0</v>
      </c>
      <c r="M23" s="106">
        <v>1</v>
      </c>
      <c r="N23" s="106">
        <v>0</v>
      </c>
      <c r="O23" s="106">
        <v>1</v>
      </c>
      <c r="P23" s="106">
        <v>1</v>
      </c>
      <c r="Q23" s="106">
        <v>0</v>
      </c>
      <c r="R23" s="106">
        <v>0</v>
      </c>
      <c r="S23" s="106">
        <v>0</v>
      </c>
      <c r="T23" s="106">
        <v>0</v>
      </c>
      <c r="U23" s="106">
        <v>0</v>
      </c>
      <c r="V23" s="106">
        <v>0</v>
      </c>
      <c r="W23" s="106">
        <v>0</v>
      </c>
      <c r="X23" s="106">
        <v>1</v>
      </c>
      <c r="Y23" s="106">
        <v>0</v>
      </c>
      <c r="Z23" s="106">
        <v>0</v>
      </c>
      <c r="AA23" s="106">
        <v>0</v>
      </c>
      <c r="AB23" s="106">
        <v>0</v>
      </c>
      <c r="AC23" s="106">
        <v>1</v>
      </c>
      <c r="AD23" s="106">
        <v>0</v>
      </c>
      <c r="AE23" s="106">
        <v>0</v>
      </c>
      <c r="AF23" s="106">
        <v>0</v>
      </c>
      <c r="AG23" s="106">
        <v>0</v>
      </c>
      <c r="AH23" s="106">
        <v>0</v>
      </c>
      <c r="AI23" s="106">
        <v>0</v>
      </c>
      <c r="AJ23" s="106">
        <v>0</v>
      </c>
      <c r="AK23" s="106">
        <v>0</v>
      </c>
      <c r="AL23" s="106">
        <v>0</v>
      </c>
      <c r="AM23" s="106">
        <v>0</v>
      </c>
      <c r="AN23" s="106">
        <v>0</v>
      </c>
      <c r="AO23" s="106">
        <v>0</v>
      </c>
    </row>
    <row r="24" spans="1:41" customFormat="1" x14ac:dyDescent="0.15">
      <c r="A24" s="186" t="s">
        <v>214</v>
      </c>
      <c r="B24" s="106">
        <v>0</v>
      </c>
      <c r="C24" s="106">
        <v>0</v>
      </c>
      <c r="D24" s="106">
        <v>0</v>
      </c>
      <c r="E24" s="106">
        <v>0</v>
      </c>
      <c r="F24" s="106">
        <v>0</v>
      </c>
      <c r="G24" s="106">
        <v>0</v>
      </c>
      <c r="H24" s="106">
        <v>0</v>
      </c>
      <c r="I24" s="106">
        <v>0</v>
      </c>
      <c r="J24" s="106">
        <v>0</v>
      </c>
      <c r="K24" s="106">
        <v>1</v>
      </c>
      <c r="L24" s="106">
        <v>1</v>
      </c>
      <c r="M24" s="106">
        <v>0</v>
      </c>
      <c r="N24" s="106">
        <v>0</v>
      </c>
      <c r="O24" s="106">
        <v>0</v>
      </c>
      <c r="P24" s="106">
        <v>1</v>
      </c>
      <c r="Q24" s="106">
        <v>0</v>
      </c>
      <c r="R24" s="106">
        <v>0</v>
      </c>
      <c r="S24" s="106">
        <v>0</v>
      </c>
      <c r="T24" s="106">
        <v>0</v>
      </c>
      <c r="U24" s="106">
        <v>0</v>
      </c>
      <c r="V24" s="106">
        <v>0</v>
      </c>
      <c r="W24" s="106">
        <v>0</v>
      </c>
      <c r="X24" s="106">
        <v>1</v>
      </c>
      <c r="Y24" s="106">
        <v>0</v>
      </c>
      <c r="Z24" s="106">
        <v>0</v>
      </c>
      <c r="AA24" s="106">
        <v>0</v>
      </c>
      <c r="AB24" s="106">
        <v>0</v>
      </c>
      <c r="AC24" s="106">
        <v>1</v>
      </c>
      <c r="AD24" s="106">
        <v>0</v>
      </c>
      <c r="AE24" s="106">
        <v>0</v>
      </c>
      <c r="AF24" s="106">
        <v>0</v>
      </c>
      <c r="AG24" s="106">
        <v>0</v>
      </c>
      <c r="AH24" s="106">
        <v>0</v>
      </c>
      <c r="AI24" s="106">
        <v>0</v>
      </c>
      <c r="AJ24" s="106">
        <v>0</v>
      </c>
      <c r="AK24" s="106">
        <v>0</v>
      </c>
      <c r="AL24" s="106">
        <v>0</v>
      </c>
      <c r="AM24" s="106">
        <v>0</v>
      </c>
      <c r="AN24" s="106">
        <v>0</v>
      </c>
      <c r="AO24" s="106">
        <v>0</v>
      </c>
    </row>
    <row r="25" spans="1:41" customFormat="1" x14ac:dyDescent="0.15">
      <c r="A25" s="186" t="s">
        <v>215</v>
      </c>
      <c r="B25" s="106">
        <v>0</v>
      </c>
      <c r="C25" s="106">
        <v>0</v>
      </c>
      <c r="D25" s="106">
        <v>0</v>
      </c>
      <c r="E25" s="106">
        <v>0</v>
      </c>
      <c r="F25" s="106">
        <v>0</v>
      </c>
      <c r="G25" s="106">
        <v>0</v>
      </c>
      <c r="H25" s="106">
        <v>0</v>
      </c>
      <c r="I25" s="106">
        <v>0</v>
      </c>
      <c r="J25" s="106">
        <v>0</v>
      </c>
      <c r="K25" s="106">
        <v>1</v>
      </c>
      <c r="L25" s="106">
        <v>1</v>
      </c>
      <c r="M25" s="106">
        <v>0</v>
      </c>
      <c r="N25" s="106">
        <v>0</v>
      </c>
      <c r="O25" s="106">
        <v>0</v>
      </c>
      <c r="P25" s="106">
        <v>1</v>
      </c>
      <c r="Q25" s="106">
        <v>0</v>
      </c>
      <c r="R25" s="106">
        <v>0</v>
      </c>
      <c r="S25" s="106">
        <v>0</v>
      </c>
      <c r="T25" s="106">
        <v>0</v>
      </c>
      <c r="U25" s="106">
        <v>0</v>
      </c>
      <c r="V25" s="106">
        <v>0</v>
      </c>
      <c r="W25" s="106">
        <v>0</v>
      </c>
      <c r="X25" s="106">
        <v>1</v>
      </c>
      <c r="Y25" s="106">
        <v>0</v>
      </c>
      <c r="Z25" s="106">
        <v>0</v>
      </c>
      <c r="AA25" s="106">
        <v>0</v>
      </c>
      <c r="AB25" s="106">
        <v>0</v>
      </c>
      <c r="AC25" s="106">
        <v>1</v>
      </c>
      <c r="AD25" s="106">
        <v>0</v>
      </c>
      <c r="AE25" s="106">
        <v>0</v>
      </c>
      <c r="AF25" s="106">
        <v>0</v>
      </c>
      <c r="AG25" s="106">
        <v>0</v>
      </c>
      <c r="AH25" s="106">
        <v>0</v>
      </c>
      <c r="AI25" s="106">
        <v>0</v>
      </c>
      <c r="AJ25" s="106">
        <v>0</v>
      </c>
      <c r="AK25" s="106">
        <v>0</v>
      </c>
      <c r="AL25" s="106">
        <v>0</v>
      </c>
      <c r="AM25" s="106">
        <v>0</v>
      </c>
      <c r="AN25" s="106">
        <v>0</v>
      </c>
      <c r="AO25" s="106">
        <v>0</v>
      </c>
    </row>
    <row r="26" spans="1:41" customFormat="1" x14ac:dyDescent="0.15">
      <c r="A26" s="186" t="s">
        <v>216</v>
      </c>
      <c r="B26" s="106">
        <v>0</v>
      </c>
      <c r="C26" s="106">
        <v>0</v>
      </c>
      <c r="D26" s="106">
        <v>0</v>
      </c>
      <c r="E26" s="106">
        <v>0</v>
      </c>
      <c r="F26" s="106">
        <v>0</v>
      </c>
      <c r="G26" s="106">
        <v>0</v>
      </c>
      <c r="H26" s="106">
        <v>0</v>
      </c>
      <c r="I26" s="106">
        <v>0</v>
      </c>
      <c r="J26" s="106">
        <v>0</v>
      </c>
      <c r="K26" s="106">
        <v>1</v>
      </c>
      <c r="L26" s="106">
        <v>1</v>
      </c>
      <c r="M26" s="106">
        <v>0</v>
      </c>
      <c r="N26" s="106">
        <v>0</v>
      </c>
      <c r="O26" s="106">
        <v>0</v>
      </c>
      <c r="P26" s="106">
        <v>1</v>
      </c>
      <c r="Q26" s="106">
        <v>0</v>
      </c>
      <c r="R26" s="106">
        <v>0</v>
      </c>
      <c r="S26" s="106">
        <v>0</v>
      </c>
      <c r="T26" s="106">
        <v>0</v>
      </c>
      <c r="U26" s="106">
        <v>0</v>
      </c>
      <c r="V26" s="106">
        <v>0</v>
      </c>
      <c r="W26" s="106">
        <v>0</v>
      </c>
      <c r="X26" s="106">
        <v>1</v>
      </c>
      <c r="Y26" s="106">
        <v>0</v>
      </c>
      <c r="Z26" s="106">
        <v>0</v>
      </c>
      <c r="AA26" s="106">
        <v>0</v>
      </c>
      <c r="AB26" s="106">
        <v>0</v>
      </c>
      <c r="AC26" s="106">
        <v>1</v>
      </c>
      <c r="AD26" s="106">
        <v>0</v>
      </c>
      <c r="AE26" s="106">
        <v>0</v>
      </c>
      <c r="AF26" s="106">
        <v>0</v>
      </c>
      <c r="AG26" s="106">
        <v>0</v>
      </c>
      <c r="AH26" s="106">
        <v>0</v>
      </c>
      <c r="AI26" s="106">
        <v>0</v>
      </c>
      <c r="AJ26" s="106">
        <v>0</v>
      </c>
      <c r="AK26" s="106">
        <v>0</v>
      </c>
      <c r="AL26" s="106">
        <v>0</v>
      </c>
      <c r="AM26" s="106">
        <v>0</v>
      </c>
      <c r="AN26" s="106">
        <v>0</v>
      </c>
      <c r="AO26" s="106">
        <v>0</v>
      </c>
    </row>
    <row r="27" spans="1:41" customFormat="1" x14ac:dyDescent="0.15">
      <c r="A27" s="186" t="s">
        <v>217</v>
      </c>
      <c r="B27" s="106">
        <v>0</v>
      </c>
      <c r="C27" s="106">
        <v>0</v>
      </c>
      <c r="D27" s="106">
        <v>0</v>
      </c>
      <c r="E27" s="106">
        <v>1</v>
      </c>
      <c r="F27" s="106">
        <v>1</v>
      </c>
      <c r="G27" s="106">
        <v>0</v>
      </c>
      <c r="H27" s="106">
        <v>0</v>
      </c>
      <c r="I27" s="106">
        <v>1</v>
      </c>
      <c r="J27" s="106">
        <v>0</v>
      </c>
      <c r="K27" s="106">
        <v>1</v>
      </c>
      <c r="L27" s="106">
        <v>1</v>
      </c>
      <c r="M27" s="106">
        <v>0</v>
      </c>
      <c r="N27" s="106">
        <v>1</v>
      </c>
      <c r="O27" s="106">
        <v>1</v>
      </c>
      <c r="P27" s="106">
        <v>1</v>
      </c>
      <c r="Q27" s="106">
        <v>0</v>
      </c>
      <c r="R27" s="106">
        <v>0</v>
      </c>
      <c r="S27" s="106">
        <v>0</v>
      </c>
      <c r="T27" s="106">
        <v>0</v>
      </c>
      <c r="U27" s="106">
        <v>0</v>
      </c>
      <c r="V27" s="106">
        <v>0</v>
      </c>
      <c r="W27" s="106">
        <v>0</v>
      </c>
      <c r="X27" s="106">
        <v>1</v>
      </c>
      <c r="Y27" s="106">
        <v>1</v>
      </c>
      <c r="Z27" s="106">
        <v>0</v>
      </c>
      <c r="AA27" s="106">
        <v>1</v>
      </c>
      <c r="AB27" s="106">
        <v>1</v>
      </c>
      <c r="AC27" s="106">
        <v>1</v>
      </c>
      <c r="AD27" s="106">
        <v>0</v>
      </c>
      <c r="AE27" s="106">
        <v>0</v>
      </c>
      <c r="AF27" s="106">
        <v>0</v>
      </c>
      <c r="AG27" s="106">
        <v>0</v>
      </c>
      <c r="AH27" s="106">
        <v>0</v>
      </c>
      <c r="AI27" s="106">
        <v>0</v>
      </c>
      <c r="AJ27" s="106">
        <v>0</v>
      </c>
      <c r="AK27" s="106">
        <v>0</v>
      </c>
      <c r="AL27" s="106">
        <v>0</v>
      </c>
      <c r="AM27" s="106">
        <v>0</v>
      </c>
      <c r="AN27" s="106">
        <v>0</v>
      </c>
      <c r="AO27" s="106">
        <v>0</v>
      </c>
    </row>
    <row r="28" spans="1:41" customFormat="1" x14ac:dyDescent="0.15">
      <c r="A28" s="186" t="s">
        <v>218</v>
      </c>
      <c r="B28" s="106">
        <v>0</v>
      </c>
      <c r="C28" s="106">
        <v>0</v>
      </c>
      <c r="D28" s="106">
        <v>0</v>
      </c>
      <c r="E28" s="106">
        <v>1</v>
      </c>
      <c r="F28" s="106">
        <v>0</v>
      </c>
      <c r="G28" s="106">
        <v>0</v>
      </c>
      <c r="H28" s="106">
        <v>0</v>
      </c>
      <c r="I28" s="106">
        <v>0</v>
      </c>
      <c r="J28" s="106">
        <v>0</v>
      </c>
      <c r="K28" s="106">
        <v>1</v>
      </c>
      <c r="L28" s="106">
        <v>1</v>
      </c>
      <c r="M28" s="106">
        <v>0</v>
      </c>
      <c r="N28" s="106">
        <v>0</v>
      </c>
      <c r="O28" s="106">
        <v>1</v>
      </c>
      <c r="P28" s="106">
        <v>1</v>
      </c>
      <c r="Q28" s="106">
        <v>0</v>
      </c>
      <c r="R28" s="106">
        <v>0</v>
      </c>
      <c r="S28" s="106">
        <v>0</v>
      </c>
      <c r="T28" s="106">
        <v>0</v>
      </c>
      <c r="U28" s="106">
        <v>0</v>
      </c>
      <c r="V28" s="106">
        <v>0</v>
      </c>
      <c r="W28" s="106">
        <v>0</v>
      </c>
      <c r="X28" s="106">
        <v>1</v>
      </c>
      <c r="Y28" s="106">
        <v>1</v>
      </c>
      <c r="Z28" s="106">
        <v>0</v>
      </c>
      <c r="AA28" s="106">
        <v>0</v>
      </c>
      <c r="AB28" s="106">
        <v>0</v>
      </c>
      <c r="AC28" s="106">
        <v>1</v>
      </c>
      <c r="AD28" s="106">
        <v>0</v>
      </c>
      <c r="AE28" s="106">
        <v>0</v>
      </c>
      <c r="AF28" s="106">
        <v>0</v>
      </c>
      <c r="AG28" s="106">
        <v>0</v>
      </c>
      <c r="AH28" s="106">
        <v>0</v>
      </c>
      <c r="AI28" s="106">
        <v>0</v>
      </c>
      <c r="AJ28" s="106">
        <v>0</v>
      </c>
      <c r="AK28" s="106">
        <v>0</v>
      </c>
      <c r="AL28" s="106">
        <v>0</v>
      </c>
      <c r="AM28" s="106">
        <v>0</v>
      </c>
      <c r="AN28" s="106">
        <v>0</v>
      </c>
      <c r="AO28" s="106">
        <v>0</v>
      </c>
    </row>
    <row r="29" spans="1:41" customFormat="1" x14ac:dyDescent="0.15">
      <c r="A29" s="186" t="s">
        <v>219</v>
      </c>
      <c r="B29" s="106">
        <v>0</v>
      </c>
      <c r="C29" s="106">
        <v>0</v>
      </c>
      <c r="D29" s="106">
        <v>0</v>
      </c>
      <c r="E29" s="106">
        <v>0</v>
      </c>
      <c r="F29" s="106">
        <v>0</v>
      </c>
      <c r="G29" s="106">
        <v>0</v>
      </c>
      <c r="H29" s="106">
        <v>0</v>
      </c>
      <c r="I29" s="106">
        <v>0</v>
      </c>
      <c r="J29" s="106">
        <v>0</v>
      </c>
      <c r="K29" s="106">
        <v>0</v>
      </c>
      <c r="L29" s="106">
        <v>0</v>
      </c>
      <c r="M29" s="106">
        <v>0</v>
      </c>
      <c r="N29" s="106">
        <v>0</v>
      </c>
      <c r="O29" s="106">
        <v>0</v>
      </c>
      <c r="P29" s="106">
        <v>0</v>
      </c>
      <c r="Q29" s="106">
        <v>0</v>
      </c>
      <c r="R29" s="106">
        <v>0</v>
      </c>
      <c r="S29" s="106">
        <v>0</v>
      </c>
      <c r="T29" s="106">
        <v>0</v>
      </c>
      <c r="U29" s="106">
        <v>0</v>
      </c>
      <c r="V29" s="106">
        <v>0</v>
      </c>
      <c r="W29" s="106">
        <v>0</v>
      </c>
      <c r="X29" s="106">
        <v>1</v>
      </c>
      <c r="Y29" s="106">
        <v>0</v>
      </c>
      <c r="Z29" s="106">
        <v>0</v>
      </c>
      <c r="AA29" s="106">
        <v>0</v>
      </c>
      <c r="AB29" s="106">
        <v>0</v>
      </c>
      <c r="AC29" s="106">
        <v>0</v>
      </c>
      <c r="AD29" s="106">
        <v>0</v>
      </c>
      <c r="AE29" s="106">
        <v>0</v>
      </c>
      <c r="AF29" s="106">
        <v>0</v>
      </c>
      <c r="AG29" s="106">
        <v>0</v>
      </c>
      <c r="AH29" s="106">
        <v>0</v>
      </c>
      <c r="AI29" s="106">
        <v>0</v>
      </c>
      <c r="AJ29" s="106">
        <v>0</v>
      </c>
      <c r="AK29" s="106">
        <v>0</v>
      </c>
      <c r="AL29" s="106">
        <v>0</v>
      </c>
      <c r="AM29" s="106">
        <v>0</v>
      </c>
      <c r="AN29" s="106">
        <v>0</v>
      </c>
      <c r="AO29" s="106">
        <v>0</v>
      </c>
    </row>
    <row r="30" spans="1:41" customFormat="1" x14ac:dyDescent="0.15">
      <c r="A30" s="186" t="s">
        <v>220</v>
      </c>
      <c r="B30" s="106">
        <v>0</v>
      </c>
      <c r="C30" s="106">
        <v>0</v>
      </c>
      <c r="D30" s="106">
        <v>0</v>
      </c>
      <c r="E30" s="106">
        <v>1</v>
      </c>
      <c r="F30" s="106">
        <v>1</v>
      </c>
      <c r="G30" s="106">
        <v>0</v>
      </c>
      <c r="H30" s="106">
        <v>0</v>
      </c>
      <c r="I30" s="106">
        <v>1</v>
      </c>
      <c r="J30" s="106">
        <v>1</v>
      </c>
      <c r="K30" s="106">
        <v>1</v>
      </c>
      <c r="L30" s="106">
        <v>1</v>
      </c>
      <c r="M30" s="106">
        <v>1</v>
      </c>
      <c r="N30" s="106">
        <v>1</v>
      </c>
      <c r="O30" s="106">
        <v>1</v>
      </c>
      <c r="P30" s="106">
        <v>1</v>
      </c>
      <c r="Q30" s="106">
        <v>0</v>
      </c>
      <c r="R30" s="106">
        <v>0</v>
      </c>
      <c r="S30" s="106">
        <v>1</v>
      </c>
      <c r="T30" s="106">
        <v>0</v>
      </c>
      <c r="U30" s="106">
        <v>1</v>
      </c>
      <c r="V30" s="106">
        <v>1</v>
      </c>
      <c r="W30" s="106">
        <v>1</v>
      </c>
      <c r="X30" s="106">
        <v>1</v>
      </c>
      <c r="Y30" s="106">
        <v>1</v>
      </c>
      <c r="Z30" s="106">
        <v>0</v>
      </c>
      <c r="AA30" s="106">
        <v>1</v>
      </c>
      <c r="AB30" s="106">
        <v>1</v>
      </c>
      <c r="AC30" s="106">
        <v>1</v>
      </c>
      <c r="AD30" s="106">
        <v>1</v>
      </c>
      <c r="AE30" s="106">
        <v>0</v>
      </c>
      <c r="AF30" s="106">
        <v>0</v>
      </c>
      <c r="AG30" s="106">
        <v>0</v>
      </c>
      <c r="AH30" s="106">
        <v>0</v>
      </c>
      <c r="AI30" s="106">
        <v>0</v>
      </c>
      <c r="AJ30" s="106">
        <v>0</v>
      </c>
      <c r="AK30" s="106">
        <v>0</v>
      </c>
      <c r="AL30" s="106">
        <v>0</v>
      </c>
      <c r="AM30" s="106">
        <v>0</v>
      </c>
      <c r="AN30" s="106">
        <v>0</v>
      </c>
      <c r="AO30" s="106">
        <v>0</v>
      </c>
    </row>
    <row r="31" spans="1:41" customFormat="1" x14ac:dyDescent="0.15">
      <c r="A31" s="186" t="s">
        <v>221</v>
      </c>
      <c r="B31" s="106">
        <v>1</v>
      </c>
      <c r="C31" s="106">
        <v>0</v>
      </c>
      <c r="D31" s="106">
        <v>0</v>
      </c>
      <c r="E31" s="106">
        <v>1</v>
      </c>
      <c r="F31" s="106">
        <v>1</v>
      </c>
      <c r="G31" s="106">
        <v>0</v>
      </c>
      <c r="H31" s="106">
        <v>0</v>
      </c>
      <c r="I31" s="106">
        <v>1</v>
      </c>
      <c r="J31" s="106">
        <v>0</v>
      </c>
      <c r="K31" s="106">
        <v>1</v>
      </c>
      <c r="L31" s="106">
        <v>0</v>
      </c>
      <c r="M31" s="106">
        <v>0</v>
      </c>
      <c r="N31" s="106">
        <v>1</v>
      </c>
      <c r="O31" s="106">
        <v>1</v>
      </c>
      <c r="P31" s="106">
        <v>1</v>
      </c>
      <c r="Q31" s="106">
        <v>0</v>
      </c>
      <c r="R31" s="106">
        <v>1</v>
      </c>
      <c r="S31" s="106">
        <v>1</v>
      </c>
      <c r="T31" s="106">
        <v>1</v>
      </c>
      <c r="U31" s="106">
        <v>0</v>
      </c>
      <c r="V31" s="106">
        <v>1</v>
      </c>
      <c r="W31" s="106">
        <v>1</v>
      </c>
      <c r="X31" s="106">
        <v>0</v>
      </c>
      <c r="Y31" s="106">
        <v>0</v>
      </c>
      <c r="Z31" s="106">
        <v>0</v>
      </c>
      <c r="AA31" s="106">
        <v>1</v>
      </c>
      <c r="AB31" s="106">
        <v>1</v>
      </c>
      <c r="AC31" s="106">
        <v>1</v>
      </c>
      <c r="AD31" s="106">
        <v>1</v>
      </c>
      <c r="AE31" s="106">
        <v>0</v>
      </c>
      <c r="AF31" s="106">
        <v>0</v>
      </c>
      <c r="AG31" s="106">
        <v>0</v>
      </c>
      <c r="AH31" s="106">
        <v>1</v>
      </c>
      <c r="AI31" s="106">
        <v>0</v>
      </c>
      <c r="AJ31" s="106">
        <v>0</v>
      </c>
      <c r="AK31" s="106">
        <v>0</v>
      </c>
      <c r="AL31" s="106">
        <v>0</v>
      </c>
      <c r="AM31" s="106">
        <v>0</v>
      </c>
      <c r="AN31" s="106">
        <v>0</v>
      </c>
      <c r="AO31" s="106">
        <v>0</v>
      </c>
    </row>
    <row r="32" spans="1:41" x14ac:dyDescent="0.15">
      <c r="A32" s="186" t="s">
        <v>222</v>
      </c>
      <c r="B32" s="106">
        <v>1</v>
      </c>
      <c r="C32" s="106">
        <v>1</v>
      </c>
      <c r="D32" s="106">
        <v>1</v>
      </c>
      <c r="E32" s="106">
        <v>1</v>
      </c>
      <c r="F32" s="106">
        <v>1</v>
      </c>
      <c r="G32" s="106">
        <v>1</v>
      </c>
      <c r="H32" s="106">
        <v>1</v>
      </c>
      <c r="I32" s="106">
        <v>1</v>
      </c>
      <c r="J32" s="106">
        <v>1</v>
      </c>
      <c r="K32" s="106">
        <v>1</v>
      </c>
      <c r="L32" s="106">
        <v>1</v>
      </c>
      <c r="M32" s="106">
        <v>1</v>
      </c>
      <c r="N32" s="106">
        <v>1</v>
      </c>
      <c r="O32" s="106">
        <v>1</v>
      </c>
      <c r="P32" s="106">
        <v>1</v>
      </c>
      <c r="Q32" s="106">
        <v>1</v>
      </c>
      <c r="R32" s="106">
        <v>1</v>
      </c>
      <c r="S32" s="106">
        <v>1</v>
      </c>
      <c r="T32" s="106">
        <v>1</v>
      </c>
      <c r="U32" s="106">
        <v>1</v>
      </c>
      <c r="V32" s="106">
        <v>1</v>
      </c>
      <c r="W32" s="106">
        <v>1</v>
      </c>
      <c r="X32" s="106">
        <v>1</v>
      </c>
      <c r="Y32" s="106">
        <v>1</v>
      </c>
      <c r="Z32" s="106">
        <v>1</v>
      </c>
      <c r="AA32" s="106">
        <v>1</v>
      </c>
      <c r="AB32" s="106">
        <v>1</v>
      </c>
      <c r="AC32" s="106">
        <v>1</v>
      </c>
      <c r="AD32" s="106">
        <v>1</v>
      </c>
      <c r="AE32" s="106">
        <v>0</v>
      </c>
      <c r="AF32" s="106">
        <v>1</v>
      </c>
      <c r="AG32" s="106">
        <v>0</v>
      </c>
      <c r="AH32" s="106">
        <v>1</v>
      </c>
      <c r="AI32" s="106">
        <v>1</v>
      </c>
      <c r="AJ32" s="106">
        <v>0</v>
      </c>
      <c r="AK32" s="106">
        <v>0</v>
      </c>
      <c r="AL32" s="106">
        <v>0</v>
      </c>
      <c r="AM32" s="106">
        <v>0</v>
      </c>
      <c r="AN32" s="106">
        <v>0</v>
      </c>
      <c r="AO32" s="106">
        <v>0</v>
      </c>
    </row>
    <row r="33" spans="1:41" x14ac:dyDescent="0.15">
      <c r="A33" s="186" t="s">
        <v>223</v>
      </c>
      <c r="B33" s="106">
        <v>1</v>
      </c>
      <c r="C33" s="106">
        <v>1</v>
      </c>
      <c r="D33" s="106">
        <v>0</v>
      </c>
      <c r="E33" s="106">
        <v>1</v>
      </c>
      <c r="F33" s="106">
        <v>1</v>
      </c>
      <c r="G33" s="106">
        <v>1</v>
      </c>
      <c r="H33" s="106">
        <v>0</v>
      </c>
      <c r="I33" s="106">
        <v>1</v>
      </c>
      <c r="J33" s="106">
        <v>1</v>
      </c>
      <c r="K33" s="106">
        <v>0</v>
      </c>
      <c r="L33" s="106">
        <v>1</v>
      </c>
      <c r="M33" s="106">
        <v>1</v>
      </c>
      <c r="N33" s="106">
        <v>1</v>
      </c>
      <c r="O33" s="106">
        <v>1</v>
      </c>
      <c r="P33" s="106">
        <v>1</v>
      </c>
      <c r="Q33" s="106">
        <v>0</v>
      </c>
      <c r="R33" s="106">
        <v>1</v>
      </c>
      <c r="S33" s="106">
        <v>1</v>
      </c>
      <c r="T33" s="106">
        <v>1</v>
      </c>
      <c r="U33" s="106">
        <v>0</v>
      </c>
      <c r="V33" s="106">
        <v>1</v>
      </c>
      <c r="W33" s="106">
        <v>1</v>
      </c>
      <c r="X33" s="106">
        <v>0</v>
      </c>
      <c r="Y33" s="106">
        <v>1</v>
      </c>
      <c r="Z33" s="106">
        <v>0</v>
      </c>
      <c r="AA33" s="106">
        <v>1</v>
      </c>
      <c r="AB33" s="106">
        <v>1</v>
      </c>
      <c r="AC33" s="106">
        <v>0</v>
      </c>
      <c r="AD33" s="106">
        <v>1</v>
      </c>
      <c r="AE33" s="106">
        <v>0</v>
      </c>
      <c r="AF33" s="106">
        <v>0</v>
      </c>
      <c r="AG33" s="106">
        <v>0</v>
      </c>
      <c r="AH33" s="106">
        <v>1</v>
      </c>
      <c r="AI33" s="106">
        <v>1</v>
      </c>
      <c r="AJ33" s="106">
        <v>0</v>
      </c>
      <c r="AK33" s="106">
        <v>0</v>
      </c>
      <c r="AL33" s="106">
        <v>0</v>
      </c>
      <c r="AM33" s="106">
        <v>0</v>
      </c>
      <c r="AN33" s="106">
        <v>0</v>
      </c>
      <c r="AO33" s="106">
        <v>0</v>
      </c>
    </row>
    <row r="34" spans="1:41" x14ac:dyDescent="0.15">
      <c r="A34" s="186" t="s">
        <v>224</v>
      </c>
      <c r="B34" s="106">
        <v>1</v>
      </c>
      <c r="C34" s="106">
        <v>0</v>
      </c>
      <c r="D34" s="106">
        <v>1</v>
      </c>
      <c r="E34" s="106">
        <v>1</v>
      </c>
      <c r="F34" s="106">
        <v>1</v>
      </c>
      <c r="G34" s="106">
        <v>1</v>
      </c>
      <c r="H34" s="106">
        <v>1</v>
      </c>
      <c r="I34" s="106">
        <v>1</v>
      </c>
      <c r="J34" s="106">
        <v>1</v>
      </c>
      <c r="K34" s="106">
        <v>1</v>
      </c>
      <c r="L34" s="106">
        <v>1</v>
      </c>
      <c r="M34" s="106">
        <v>1</v>
      </c>
      <c r="N34" s="106">
        <v>1</v>
      </c>
      <c r="O34" s="106">
        <v>1</v>
      </c>
      <c r="P34" s="106">
        <v>1</v>
      </c>
      <c r="Q34" s="106">
        <v>1</v>
      </c>
      <c r="R34" s="106">
        <v>1</v>
      </c>
      <c r="S34" s="106">
        <v>1</v>
      </c>
      <c r="T34" s="106">
        <v>1</v>
      </c>
      <c r="U34" s="106">
        <v>1</v>
      </c>
      <c r="V34" s="106">
        <v>1</v>
      </c>
      <c r="W34" s="106">
        <v>1</v>
      </c>
      <c r="X34" s="106">
        <v>1</v>
      </c>
      <c r="Y34" s="106">
        <v>1</v>
      </c>
      <c r="Z34" s="106">
        <v>1</v>
      </c>
      <c r="AA34" s="106">
        <v>1</v>
      </c>
      <c r="AB34" s="106">
        <v>1</v>
      </c>
      <c r="AC34" s="106">
        <v>1</v>
      </c>
      <c r="AD34" s="106">
        <v>1</v>
      </c>
      <c r="AE34" s="106">
        <v>0</v>
      </c>
      <c r="AF34" s="106">
        <v>0</v>
      </c>
      <c r="AG34" s="106">
        <v>0</v>
      </c>
      <c r="AH34" s="106">
        <v>1</v>
      </c>
      <c r="AI34" s="106">
        <v>1</v>
      </c>
      <c r="AJ34" s="106">
        <v>0</v>
      </c>
      <c r="AK34" s="106">
        <v>0</v>
      </c>
      <c r="AL34" s="106">
        <v>0</v>
      </c>
      <c r="AM34" s="106">
        <v>0</v>
      </c>
      <c r="AN34" s="106">
        <v>0</v>
      </c>
      <c r="AO34" s="106">
        <v>0</v>
      </c>
    </row>
    <row r="35" spans="1:41" x14ac:dyDescent="0.15">
      <c r="A35" s="186" t="s">
        <v>225</v>
      </c>
      <c r="B35" s="106">
        <v>0</v>
      </c>
      <c r="C35" s="106">
        <v>0</v>
      </c>
      <c r="D35" s="106">
        <v>1</v>
      </c>
      <c r="E35" s="106">
        <v>0</v>
      </c>
      <c r="F35" s="106">
        <v>0</v>
      </c>
      <c r="G35" s="106">
        <v>1</v>
      </c>
      <c r="H35" s="106">
        <v>1</v>
      </c>
      <c r="I35" s="106">
        <v>1</v>
      </c>
      <c r="J35" s="106">
        <v>1</v>
      </c>
      <c r="K35" s="106">
        <v>0</v>
      </c>
      <c r="L35" s="106">
        <v>0</v>
      </c>
      <c r="M35" s="106">
        <v>0</v>
      </c>
      <c r="N35" s="106">
        <v>1</v>
      </c>
      <c r="O35" s="106">
        <v>1</v>
      </c>
      <c r="P35" s="106">
        <v>1</v>
      </c>
      <c r="Q35" s="106">
        <v>1</v>
      </c>
      <c r="R35" s="106">
        <v>1</v>
      </c>
      <c r="S35" s="106">
        <v>1</v>
      </c>
      <c r="T35" s="106">
        <v>0</v>
      </c>
      <c r="U35" s="106">
        <v>1</v>
      </c>
      <c r="V35" s="106">
        <v>1</v>
      </c>
      <c r="W35" s="106">
        <v>1</v>
      </c>
      <c r="X35" s="106">
        <v>0</v>
      </c>
      <c r="Y35" s="106">
        <v>0</v>
      </c>
      <c r="Z35" s="106">
        <v>0</v>
      </c>
      <c r="AA35" s="106">
        <v>1</v>
      </c>
      <c r="AB35" s="106">
        <v>0</v>
      </c>
      <c r="AC35" s="106">
        <v>1</v>
      </c>
      <c r="AD35" s="106">
        <v>1</v>
      </c>
      <c r="AE35" s="106">
        <v>0</v>
      </c>
      <c r="AF35" s="106">
        <v>1</v>
      </c>
      <c r="AG35" s="106">
        <v>0</v>
      </c>
      <c r="AH35" s="106">
        <v>1</v>
      </c>
      <c r="AI35" s="106">
        <v>0</v>
      </c>
      <c r="AJ35" s="106">
        <v>0</v>
      </c>
      <c r="AK35" s="106">
        <v>0</v>
      </c>
      <c r="AL35" s="106">
        <v>0</v>
      </c>
      <c r="AM35" s="106">
        <v>0</v>
      </c>
      <c r="AN35" s="106">
        <v>0</v>
      </c>
      <c r="AO35" s="106">
        <v>0</v>
      </c>
    </row>
    <row r="36" spans="1:41" x14ac:dyDescent="0.15">
      <c r="A36" s="186" t="s">
        <v>226</v>
      </c>
      <c r="B36" s="106">
        <v>0</v>
      </c>
      <c r="C36" s="106">
        <v>1</v>
      </c>
      <c r="D36" s="106">
        <v>1</v>
      </c>
      <c r="E36" s="106">
        <v>0</v>
      </c>
      <c r="F36" s="106">
        <v>1</v>
      </c>
      <c r="G36" s="106">
        <v>0</v>
      </c>
      <c r="H36" s="106">
        <v>1</v>
      </c>
      <c r="I36" s="106">
        <v>1</v>
      </c>
      <c r="J36" s="106">
        <v>0</v>
      </c>
      <c r="K36" s="106">
        <v>0</v>
      </c>
      <c r="L36" s="106">
        <v>1</v>
      </c>
      <c r="M36" s="106">
        <v>1</v>
      </c>
      <c r="N36" s="106">
        <v>0</v>
      </c>
      <c r="O36" s="106">
        <v>0</v>
      </c>
      <c r="P36" s="106">
        <v>0</v>
      </c>
      <c r="Q36" s="106">
        <v>1</v>
      </c>
      <c r="R36" s="106">
        <v>1</v>
      </c>
      <c r="S36" s="106">
        <v>1</v>
      </c>
      <c r="T36" s="106">
        <v>1</v>
      </c>
      <c r="U36" s="106">
        <v>1</v>
      </c>
      <c r="V36" s="106">
        <v>1</v>
      </c>
      <c r="W36" s="106">
        <v>0</v>
      </c>
      <c r="X36" s="106">
        <v>0</v>
      </c>
      <c r="Y36" s="106">
        <v>1</v>
      </c>
      <c r="Z36" s="106">
        <v>1</v>
      </c>
      <c r="AA36" s="106">
        <v>0</v>
      </c>
      <c r="AB36" s="106">
        <v>0</v>
      </c>
      <c r="AC36" s="106">
        <v>0</v>
      </c>
      <c r="AD36" s="106">
        <v>1</v>
      </c>
      <c r="AE36" s="106">
        <v>1</v>
      </c>
      <c r="AF36" s="106">
        <v>1</v>
      </c>
      <c r="AG36" s="106">
        <v>1</v>
      </c>
      <c r="AH36" s="106">
        <v>1</v>
      </c>
      <c r="AI36" s="106">
        <v>1</v>
      </c>
      <c r="AJ36" s="106">
        <v>0</v>
      </c>
      <c r="AK36" s="106">
        <v>0</v>
      </c>
      <c r="AL36" s="106">
        <v>0</v>
      </c>
      <c r="AM36" s="106">
        <v>0</v>
      </c>
      <c r="AN36" s="106">
        <v>0</v>
      </c>
      <c r="AO36" s="106">
        <v>0</v>
      </c>
    </row>
    <row r="37" spans="1:41" x14ac:dyDescent="0.15">
      <c r="A37" s="186" t="s">
        <v>227</v>
      </c>
      <c r="B37" s="106">
        <v>0</v>
      </c>
      <c r="C37" s="106">
        <v>1</v>
      </c>
      <c r="D37" s="106">
        <v>0</v>
      </c>
      <c r="E37" s="106">
        <v>0</v>
      </c>
      <c r="F37" s="106">
        <v>1</v>
      </c>
      <c r="G37" s="106">
        <v>0</v>
      </c>
      <c r="H37" s="106">
        <v>1</v>
      </c>
      <c r="I37" s="106">
        <v>1</v>
      </c>
      <c r="J37" s="106">
        <v>0</v>
      </c>
      <c r="K37" s="106">
        <v>0</v>
      </c>
      <c r="L37" s="106">
        <v>1</v>
      </c>
      <c r="M37" s="106">
        <v>0</v>
      </c>
      <c r="N37" s="106">
        <v>0</v>
      </c>
      <c r="O37" s="106">
        <v>0</v>
      </c>
      <c r="P37" s="106">
        <v>0</v>
      </c>
      <c r="Q37" s="106">
        <v>1</v>
      </c>
      <c r="R37" s="106">
        <v>1</v>
      </c>
      <c r="S37" s="106">
        <v>0</v>
      </c>
      <c r="T37" s="106">
        <v>1</v>
      </c>
      <c r="U37" s="106">
        <v>0</v>
      </c>
      <c r="V37" s="106">
        <v>1</v>
      </c>
      <c r="W37" s="106">
        <v>0</v>
      </c>
      <c r="X37" s="106">
        <v>0</v>
      </c>
      <c r="Y37" s="106">
        <v>1</v>
      </c>
      <c r="Z37" s="106">
        <v>0</v>
      </c>
      <c r="AA37" s="106">
        <v>0</v>
      </c>
      <c r="AB37" s="106">
        <v>0</v>
      </c>
      <c r="AC37" s="106">
        <v>0</v>
      </c>
      <c r="AD37" s="106">
        <v>1</v>
      </c>
      <c r="AE37" s="106">
        <v>1</v>
      </c>
      <c r="AF37" s="106">
        <v>1</v>
      </c>
      <c r="AG37" s="106">
        <v>1</v>
      </c>
      <c r="AH37" s="106">
        <v>1</v>
      </c>
      <c r="AI37" s="106">
        <v>1</v>
      </c>
      <c r="AJ37" s="106">
        <v>1</v>
      </c>
      <c r="AK37" s="106">
        <v>0</v>
      </c>
      <c r="AL37" s="106">
        <v>0</v>
      </c>
      <c r="AM37" s="106">
        <v>0</v>
      </c>
      <c r="AN37" s="106">
        <v>0</v>
      </c>
      <c r="AO37" s="106">
        <v>0</v>
      </c>
    </row>
    <row r="38" spans="1:41" x14ac:dyDescent="0.15">
      <c r="A38" s="186" t="s">
        <v>228</v>
      </c>
      <c r="B38" s="106">
        <v>0</v>
      </c>
      <c r="C38" s="106">
        <v>0</v>
      </c>
      <c r="D38" s="106">
        <v>0</v>
      </c>
      <c r="E38" s="106">
        <v>0</v>
      </c>
      <c r="F38" s="106">
        <v>0</v>
      </c>
      <c r="G38" s="106">
        <v>0</v>
      </c>
      <c r="H38" s="106">
        <v>1</v>
      </c>
      <c r="I38" s="106">
        <v>0</v>
      </c>
      <c r="J38" s="106">
        <v>0</v>
      </c>
      <c r="K38" s="106">
        <v>0</v>
      </c>
      <c r="L38" s="106">
        <v>0</v>
      </c>
      <c r="M38" s="106">
        <v>0</v>
      </c>
      <c r="N38" s="106">
        <v>0</v>
      </c>
      <c r="O38" s="106">
        <v>0</v>
      </c>
      <c r="P38" s="106">
        <v>0</v>
      </c>
      <c r="Q38" s="106">
        <v>0</v>
      </c>
      <c r="R38" s="106">
        <v>0</v>
      </c>
      <c r="S38" s="106">
        <v>0</v>
      </c>
      <c r="T38" s="106">
        <v>0</v>
      </c>
      <c r="U38" s="106">
        <v>0</v>
      </c>
      <c r="V38" s="106">
        <v>0</v>
      </c>
      <c r="W38" s="106">
        <v>0</v>
      </c>
      <c r="X38" s="106">
        <v>0</v>
      </c>
      <c r="Y38" s="106">
        <v>0</v>
      </c>
      <c r="Z38" s="106">
        <v>0</v>
      </c>
      <c r="AA38" s="106">
        <v>0</v>
      </c>
      <c r="AB38" s="106">
        <v>0</v>
      </c>
      <c r="AC38" s="106">
        <v>0</v>
      </c>
      <c r="AD38" s="106">
        <v>0</v>
      </c>
      <c r="AE38" s="106">
        <v>0</v>
      </c>
      <c r="AF38" s="106">
        <v>1</v>
      </c>
      <c r="AG38" s="106">
        <v>0</v>
      </c>
      <c r="AH38" s="106">
        <v>0</v>
      </c>
      <c r="AI38" s="106">
        <v>1</v>
      </c>
      <c r="AJ38" s="106">
        <v>1</v>
      </c>
      <c r="AK38" s="106">
        <v>0</v>
      </c>
      <c r="AL38" s="106">
        <v>0</v>
      </c>
      <c r="AM38" s="106">
        <v>0</v>
      </c>
      <c r="AN38" s="106">
        <v>0</v>
      </c>
      <c r="AO38" s="106">
        <v>0</v>
      </c>
    </row>
    <row r="39" spans="1:41" x14ac:dyDescent="0.15">
      <c r="A39" s="186" t="s">
        <v>229</v>
      </c>
      <c r="B39" s="106">
        <v>0</v>
      </c>
      <c r="C39" s="106">
        <v>0</v>
      </c>
      <c r="D39" s="106">
        <v>0</v>
      </c>
      <c r="E39" s="106">
        <v>0</v>
      </c>
      <c r="F39" s="106">
        <v>0</v>
      </c>
      <c r="G39" s="106">
        <v>0</v>
      </c>
      <c r="H39" s="106">
        <v>0</v>
      </c>
      <c r="I39" s="106">
        <v>0</v>
      </c>
      <c r="J39" s="106">
        <v>0</v>
      </c>
      <c r="K39" s="106">
        <v>0</v>
      </c>
      <c r="L39" s="106">
        <v>0</v>
      </c>
      <c r="M39" s="106">
        <v>0</v>
      </c>
      <c r="N39" s="106">
        <v>0</v>
      </c>
      <c r="O39" s="106">
        <v>0</v>
      </c>
      <c r="P39" s="106">
        <v>0</v>
      </c>
      <c r="Q39" s="106">
        <v>0</v>
      </c>
      <c r="R39" s="106">
        <v>0</v>
      </c>
      <c r="S39" s="106">
        <v>0</v>
      </c>
      <c r="T39" s="106">
        <v>0</v>
      </c>
      <c r="U39" s="106">
        <v>0</v>
      </c>
      <c r="V39" s="106">
        <v>0</v>
      </c>
      <c r="W39" s="106">
        <v>0</v>
      </c>
      <c r="X39" s="106">
        <v>0</v>
      </c>
      <c r="Y39" s="106">
        <v>0</v>
      </c>
      <c r="Z39" s="106">
        <v>0</v>
      </c>
      <c r="AA39" s="106">
        <v>0</v>
      </c>
      <c r="AB39" s="106">
        <v>0</v>
      </c>
      <c r="AC39" s="106">
        <v>0</v>
      </c>
      <c r="AD39" s="106">
        <v>0</v>
      </c>
      <c r="AE39" s="106">
        <v>0</v>
      </c>
      <c r="AF39" s="106">
        <v>0</v>
      </c>
      <c r="AG39" s="106">
        <v>0</v>
      </c>
      <c r="AH39" s="106">
        <v>0</v>
      </c>
      <c r="AI39" s="106">
        <v>0</v>
      </c>
      <c r="AJ39" s="106">
        <v>0</v>
      </c>
      <c r="AK39" s="106">
        <v>1</v>
      </c>
      <c r="AL39" s="106">
        <v>0</v>
      </c>
      <c r="AM39" s="106">
        <v>0</v>
      </c>
      <c r="AN39" s="106">
        <v>0</v>
      </c>
      <c r="AO39" s="106">
        <v>0</v>
      </c>
    </row>
    <row r="40" spans="1:41" x14ac:dyDescent="0.15">
      <c r="A40" s="186" t="s">
        <v>230</v>
      </c>
      <c r="B40" s="106">
        <v>0</v>
      </c>
      <c r="C40" s="106">
        <v>0</v>
      </c>
      <c r="D40" s="106">
        <v>0</v>
      </c>
      <c r="E40" s="106">
        <v>0</v>
      </c>
      <c r="F40" s="106">
        <v>0</v>
      </c>
      <c r="G40" s="106">
        <v>0</v>
      </c>
      <c r="H40" s="106">
        <v>0</v>
      </c>
      <c r="I40" s="106">
        <v>0</v>
      </c>
      <c r="J40" s="106">
        <v>0</v>
      </c>
      <c r="K40" s="106">
        <v>0</v>
      </c>
      <c r="L40" s="106">
        <v>0</v>
      </c>
      <c r="M40" s="106">
        <v>0</v>
      </c>
      <c r="N40" s="106">
        <v>0</v>
      </c>
      <c r="O40" s="106">
        <v>0</v>
      </c>
      <c r="P40" s="106">
        <v>0</v>
      </c>
      <c r="Q40" s="106">
        <v>0</v>
      </c>
      <c r="R40" s="106">
        <v>0</v>
      </c>
      <c r="S40" s="106">
        <v>0</v>
      </c>
      <c r="T40" s="106">
        <v>0</v>
      </c>
      <c r="U40" s="106">
        <v>0</v>
      </c>
      <c r="V40" s="106">
        <v>0</v>
      </c>
      <c r="W40" s="106">
        <v>0</v>
      </c>
      <c r="X40" s="106">
        <v>0</v>
      </c>
      <c r="Y40" s="106">
        <v>0</v>
      </c>
      <c r="Z40" s="106">
        <v>0</v>
      </c>
      <c r="AA40" s="106">
        <v>0</v>
      </c>
      <c r="AB40" s="106">
        <v>0</v>
      </c>
      <c r="AC40" s="106">
        <v>0</v>
      </c>
      <c r="AD40" s="106">
        <v>0</v>
      </c>
      <c r="AE40" s="106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</row>
    <row r="41" spans="1:41" x14ac:dyDescent="0.15">
      <c r="A41" s="186" t="s">
        <v>231</v>
      </c>
      <c r="B41" s="106">
        <v>0</v>
      </c>
      <c r="C41" s="106">
        <v>0</v>
      </c>
      <c r="D41" s="106">
        <v>0</v>
      </c>
      <c r="E41" s="106">
        <v>0</v>
      </c>
      <c r="F41" s="106">
        <v>0</v>
      </c>
      <c r="G41" s="106">
        <v>0</v>
      </c>
      <c r="H41" s="106">
        <v>0</v>
      </c>
      <c r="I41" s="106">
        <v>0</v>
      </c>
      <c r="J41" s="106">
        <v>0</v>
      </c>
      <c r="K41" s="106">
        <v>0</v>
      </c>
      <c r="L41" s="106">
        <v>0</v>
      </c>
      <c r="M41" s="106">
        <v>0</v>
      </c>
      <c r="N41" s="106">
        <v>0</v>
      </c>
      <c r="O41" s="106">
        <v>0</v>
      </c>
      <c r="P41" s="106">
        <v>0</v>
      </c>
      <c r="Q41" s="106">
        <v>0</v>
      </c>
      <c r="R41" s="106">
        <v>0</v>
      </c>
      <c r="S41" s="106">
        <v>0</v>
      </c>
      <c r="T41" s="106">
        <v>0</v>
      </c>
      <c r="U41" s="106">
        <v>0</v>
      </c>
      <c r="V41" s="106">
        <v>0</v>
      </c>
      <c r="W41" s="106">
        <v>0</v>
      </c>
      <c r="X41" s="106">
        <v>0</v>
      </c>
      <c r="Y41" s="106">
        <v>0</v>
      </c>
      <c r="Z41" s="106">
        <v>0</v>
      </c>
      <c r="AA41" s="106">
        <v>0</v>
      </c>
      <c r="AB41" s="106">
        <v>0</v>
      </c>
      <c r="AC41" s="106">
        <v>0</v>
      </c>
      <c r="AD41" s="106">
        <v>0</v>
      </c>
      <c r="AE41" s="106">
        <v>0</v>
      </c>
      <c r="AF41" s="106">
        <v>0</v>
      </c>
      <c r="AG41" s="106">
        <v>0</v>
      </c>
      <c r="AH41" s="106">
        <v>0</v>
      </c>
      <c r="AI41" s="106">
        <v>0</v>
      </c>
      <c r="AJ41" s="106">
        <v>0</v>
      </c>
      <c r="AK41" s="106">
        <v>0</v>
      </c>
      <c r="AL41" s="106">
        <v>0</v>
      </c>
      <c r="AM41" s="106">
        <v>0</v>
      </c>
      <c r="AN41" s="106">
        <v>0</v>
      </c>
      <c r="AO41" s="106">
        <v>0</v>
      </c>
    </row>
    <row r="42" spans="1:41" x14ac:dyDescent="0.15">
      <c r="A42" s="186" t="s">
        <v>237</v>
      </c>
      <c r="B42" s="106">
        <v>0</v>
      </c>
      <c r="C42" s="106">
        <v>0</v>
      </c>
      <c r="D42" s="106">
        <v>0</v>
      </c>
      <c r="E42" s="106">
        <v>0</v>
      </c>
      <c r="F42" s="106">
        <v>0</v>
      </c>
      <c r="G42" s="106">
        <v>0</v>
      </c>
      <c r="H42" s="106">
        <v>0</v>
      </c>
      <c r="I42" s="106">
        <v>0</v>
      </c>
      <c r="J42" s="106">
        <v>0</v>
      </c>
      <c r="K42" s="106">
        <v>0</v>
      </c>
      <c r="L42" s="106">
        <v>0</v>
      </c>
      <c r="M42" s="106">
        <v>0</v>
      </c>
      <c r="N42" s="106">
        <v>0</v>
      </c>
      <c r="O42" s="106">
        <v>0</v>
      </c>
      <c r="P42" s="106">
        <v>0</v>
      </c>
      <c r="Q42" s="106">
        <v>0</v>
      </c>
      <c r="R42" s="106">
        <v>0</v>
      </c>
      <c r="S42" s="106">
        <v>0</v>
      </c>
      <c r="T42" s="106">
        <v>0</v>
      </c>
      <c r="U42" s="106">
        <v>1</v>
      </c>
      <c r="V42" s="106">
        <v>0</v>
      </c>
      <c r="W42" s="106">
        <v>0</v>
      </c>
      <c r="X42" s="106">
        <v>0</v>
      </c>
      <c r="Y42" s="106">
        <v>0</v>
      </c>
      <c r="Z42" s="106">
        <v>0</v>
      </c>
      <c r="AA42" s="106">
        <v>0</v>
      </c>
      <c r="AB42" s="106">
        <v>0</v>
      </c>
      <c r="AC42" s="106">
        <v>0</v>
      </c>
      <c r="AD42" s="106">
        <v>0</v>
      </c>
      <c r="AE42" s="106">
        <v>0</v>
      </c>
      <c r="AF42" s="106">
        <v>0</v>
      </c>
      <c r="AG42" s="106">
        <v>0</v>
      </c>
      <c r="AH42" s="106">
        <v>0</v>
      </c>
      <c r="AI42" s="106">
        <v>0</v>
      </c>
      <c r="AJ42" s="106">
        <v>0</v>
      </c>
      <c r="AK42" s="106">
        <v>0</v>
      </c>
      <c r="AL42" s="106">
        <v>0</v>
      </c>
      <c r="AM42" s="106">
        <v>0</v>
      </c>
      <c r="AN42" s="106">
        <v>0</v>
      </c>
      <c r="AO42" s="106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G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83</v>
      </c>
      <c r="B1" s="3" t="s">
        <v>0</v>
      </c>
      <c r="C1" s="189" t="s">
        <v>232</v>
      </c>
      <c r="D1" s="189" t="s">
        <v>233</v>
      </c>
      <c r="E1" s="189" t="s">
        <v>234</v>
      </c>
      <c r="F1" s="189" t="s">
        <v>235</v>
      </c>
      <c r="G1" s="189" t="s">
        <v>236</v>
      </c>
    </row>
    <row r="2" spans="1:7" x14ac:dyDescent="0.15">
      <c r="A2">
        <v>1</v>
      </c>
      <c r="B2" s="188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88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88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88" t="s">
        <v>195</v>
      </c>
      <c r="C5">
        <v>0</v>
      </c>
      <c r="D5">
        <v>0</v>
      </c>
      <c r="E5">
        <v>0</v>
      </c>
      <c r="F5">
        <v>0.8</v>
      </c>
      <c r="G5">
        <v>0</v>
      </c>
    </row>
    <row r="6" spans="1:7" x14ac:dyDescent="0.15">
      <c r="A6">
        <v>5</v>
      </c>
      <c r="B6" s="188" t="s">
        <v>196</v>
      </c>
      <c r="C6">
        <v>0</v>
      </c>
      <c r="D6">
        <v>0</v>
      </c>
      <c r="E6">
        <v>0</v>
      </c>
      <c r="F6">
        <v>0.8</v>
      </c>
      <c r="G6">
        <v>0</v>
      </c>
    </row>
    <row r="7" spans="1:7" x14ac:dyDescent="0.15">
      <c r="A7">
        <v>6</v>
      </c>
      <c r="B7" s="188" t="s">
        <v>197</v>
      </c>
      <c r="C7">
        <v>0</v>
      </c>
      <c r="D7">
        <v>0</v>
      </c>
      <c r="E7">
        <v>0</v>
      </c>
      <c r="F7">
        <v>0.8</v>
      </c>
      <c r="G7">
        <v>0</v>
      </c>
    </row>
    <row r="8" spans="1:7" x14ac:dyDescent="0.15">
      <c r="A8">
        <v>7</v>
      </c>
      <c r="B8" s="188" t="s">
        <v>198</v>
      </c>
      <c r="C8">
        <v>0.8</v>
      </c>
      <c r="D8">
        <v>0.8</v>
      </c>
      <c r="E8">
        <v>0.8</v>
      </c>
      <c r="F8">
        <v>0.8</v>
      </c>
      <c r="G8">
        <v>0</v>
      </c>
    </row>
    <row r="9" spans="1:7" x14ac:dyDescent="0.15">
      <c r="A9">
        <v>8</v>
      </c>
      <c r="B9" s="188" t="s">
        <v>199</v>
      </c>
      <c r="C9">
        <v>0.8</v>
      </c>
      <c r="D9">
        <v>0.8</v>
      </c>
      <c r="E9">
        <v>0.8</v>
      </c>
      <c r="F9">
        <v>0.8</v>
      </c>
      <c r="G9">
        <v>0</v>
      </c>
    </row>
    <row r="10" spans="1:7" x14ac:dyDescent="0.15">
      <c r="A10">
        <v>9</v>
      </c>
      <c r="B10" s="188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</row>
    <row r="11" spans="1:7" x14ac:dyDescent="0.15">
      <c r="A11">
        <v>10</v>
      </c>
      <c r="B11" s="188" t="s">
        <v>201</v>
      </c>
      <c r="C11">
        <v>0.8</v>
      </c>
      <c r="D11">
        <v>0.8</v>
      </c>
      <c r="E11">
        <v>0.8</v>
      </c>
      <c r="F11">
        <v>0.8</v>
      </c>
      <c r="G11">
        <v>0</v>
      </c>
    </row>
    <row r="12" spans="1:7" x14ac:dyDescent="0.15">
      <c r="A12">
        <v>11</v>
      </c>
      <c r="B12" s="188" t="s">
        <v>202</v>
      </c>
      <c r="C12">
        <v>0.8</v>
      </c>
      <c r="D12">
        <v>0.8</v>
      </c>
      <c r="E12">
        <v>0.8</v>
      </c>
      <c r="F12">
        <v>0.8</v>
      </c>
      <c r="G12">
        <v>0</v>
      </c>
    </row>
    <row r="13" spans="1:7" x14ac:dyDescent="0.15">
      <c r="A13">
        <v>12</v>
      </c>
      <c r="B13" s="188" t="s">
        <v>203</v>
      </c>
      <c r="C13">
        <v>0.8</v>
      </c>
      <c r="D13">
        <v>0.8</v>
      </c>
      <c r="E13">
        <v>0.8</v>
      </c>
      <c r="F13">
        <v>0.8</v>
      </c>
      <c r="G13">
        <v>0</v>
      </c>
    </row>
    <row r="14" spans="1:7" x14ac:dyDescent="0.15">
      <c r="A14">
        <v>13</v>
      </c>
      <c r="B14" s="188" t="s">
        <v>204</v>
      </c>
      <c r="C14">
        <v>0</v>
      </c>
      <c r="D14">
        <v>0.8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88" t="s">
        <v>205</v>
      </c>
      <c r="C15">
        <v>0.8</v>
      </c>
      <c r="D15">
        <v>0.8</v>
      </c>
      <c r="E15">
        <v>0.8</v>
      </c>
      <c r="F15">
        <v>0.8</v>
      </c>
      <c r="G15">
        <v>0</v>
      </c>
    </row>
    <row r="16" spans="1:7" x14ac:dyDescent="0.15">
      <c r="A16">
        <v>15</v>
      </c>
      <c r="B16" s="188" t="s">
        <v>206</v>
      </c>
      <c r="C16">
        <v>0.8</v>
      </c>
      <c r="D16">
        <v>0.8</v>
      </c>
      <c r="E16">
        <v>0.8</v>
      </c>
      <c r="F16">
        <v>0.8</v>
      </c>
      <c r="G16">
        <v>0</v>
      </c>
    </row>
    <row r="17" spans="1:7" x14ac:dyDescent="0.15">
      <c r="A17">
        <v>16</v>
      </c>
      <c r="B17" s="188" t="s">
        <v>207</v>
      </c>
      <c r="C17">
        <v>0.8</v>
      </c>
      <c r="D17">
        <v>0.8</v>
      </c>
      <c r="E17">
        <v>0.8</v>
      </c>
      <c r="F17">
        <v>0.8</v>
      </c>
      <c r="G17">
        <v>0</v>
      </c>
    </row>
    <row r="18" spans="1:7" x14ac:dyDescent="0.15">
      <c r="A18">
        <v>17</v>
      </c>
      <c r="B18" s="188" t="s">
        <v>208</v>
      </c>
      <c r="C18">
        <v>0.8</v>
      </c>
      <c r="D18">
        <v>0.8</v>
      </c>
      <c r="E18">
        <v>0.8</v>
      </c>
      <c r="F18">
        <v>0.8</v>
      </c>
      <c r="G18">
        <v>0.8</v>
      </c>
    </row>
    <row r="19" spans="1:7" x14ac:dyDescent="0.15">
      <c r="A19">
        <v>18</v>
      </c>
      <c r="B19" s="188" t="s">
        <v>209</v>
      </c>
      <c r="C19">
        <v>0</v>
      </c>
      <c r="D19">
        <v>0.8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88" t="s">
        <v>210</v>
      </c>
      <c r="C20">
        <v>0.8</v>
      </c>
      <c r="D20">
        <v>0.8</v>
      </c>
      <c r="E20">
        <v>0.8</v>
      </c>
      <c r="F20">
        <v>0.8</v>
      </c>
      <c r="G20">
        <v>0</v>
      </c>
    </row>
    <row r="21" spans="1:7" x14ac:dyDescent="0.15">
      <c r="A21">
        <v>20</v>
      </c>
      <c r="B21" s="188" t="s">
        <v>211</v>
      </c>
      <c r="C21">
        <v>0.8</v>
      </c>
      <c r="D21">
        <v>0.8</v>
      </c>
      <c r="E21">
        <v>0.8</v>
      </c>
      <c r="F21">
        <v>0</v>
      </c>
      <c r="G21">
        <v>0</v>
      </c>
    </row>
    <row r="22" spans="1:7" x14ac:dyDescent="0.15">
      <c r="A22">
        <v>21</v>
      </c>
      <c r="B22" s="188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</row>
    <row r="23" spans="1:7" x14ac:dyDescent="0.15">
      <c r="A23">
        <v>22</v>
      </c>
      <c r="B23" s="188" t="s">
        <v>213</v>
      </c>
      <c r="C23">
        <v>0.8</v>
      </c>
      <c r="D23">
        <v>0.8</v>
      </c>
      <c r="E23">
        <v>0.8</v>
      </c>
      <c r="F23">
        <v>0.8</v>
      </c>
      <c r="G23">
        <v>0.8</v>
      </c>
    </row>
    <row r="24" spans="1:7" x14ac:dyDescent="0.15">
      <c r="A24">
        <v>23</v>
      </c>
      <c r="B24" s="188" t="s">
        <v>214</v>
      </c>
      <c r="C24">
        <v>0.8</v>
      </c>
      <c r="D24">
        <v>0.8</v>
      </c>
      <c r="E24">
        <v>0.8</v>
      </c>
      <c r="F24">
        <v>0</v>
      </c>
      <c r="G24">
        <v>0</v>
      </c>
    </row>
    <row r="25" spans="1:7" x14ac:dyDescent="0.15">
      <c r="A25">
        <v>24</v>
      </c>
      <c r="B25" s="188" t="s">
        <v>215</v>
      </c>
      <c r="C25">
        <v>0.8</v>
      </c>
      <c r="D25">
        <v>0.8</v>
      </c>
      <c r="E25">
        <v>0</v>
      </c>
      <c r="F25">
        <v>0.8</v>
      </c>
      <c r="G25">
        <v>0</v>
      </c>
    </row>
    <row r="26" spans="1:7" x14ac:dyDescent="0.15">
      <c r="A26">
        <v>25</v>
      </c>
      <c r="B26" s="188" t="s">
        <v>216</v>
      </c>
      <c r="C26">
        <v>0.8</v>
      </c>
      <c r="D26">
        <v>0.8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88" t="s">
        <v>217</v>
      </c>
      <c r="C27">
        <v>0.8</v>
      </c>
      <c r="D27">
        <v>0</v>
      </c>
      <c r="E27">
        <v>0.8</v>
      </c>
      <c r="F27">
        <v>0.8</v>
      </c>
      <c r="G27">
        <v>0</v>
      </c>
    </row>
    <row r="28" spans="1:7" x14ac:dyDescent="0.15">
      <c r="A28">
        <v>27</v>
      </c>
      <c r="B28" s="188" t="s">
        <v>218</v>
      </c>
      <c r="C28">
        <v>0.8</v>
      </c>
      <c r="D28">
        <v>0</v>
      </c>
      <c r="E28">
        <v>0.8</v>
      </c>
      <c r="F28">
        <v>0.8</v>
      </c>
      <c r="G28">
        <v>0</v>
      </c>
    </row>
    <row r="29" spans="1:7" x14ac:dyDescent="0.15">
      <c r="A29">
        <v>28</v>
      </c>
      <c r="B29" s="188" t="s">
        <v>219</v>
      </c>
      <c r="C29">
        <v>0.8</v>
      </c>
      <c r="D29">
        <v>0.8</v>
      </c>
      <c r="E29">
        <v>0.8</v>
      </c>
      <c r="F29">
        <v>0.8</v>
      </c>
      <c r="G29">
        <v>0.8</v>
      </c>
    </row>
    <row r="30" spans="1:7" x14ac:dyDescent="0.15">
      <c r="A30">
        <v>29</v>
      </c>
      <c r="B30" s="188" t="s">
        <v>220</v>
      </c>
      <c r="C30">
        <v>0.8</v>
      </c>
      <c r="D30">
        <v>0</v>
      </c>
      <c r="E30">
        <v>0.8</v>
      </c>
      <c r="F30">
        <v>0.8</v>
      </c>
      <c r="G30">
        <v>0</v>
      </c>
    </row>
    <row r="31" spans="1:7" x14ac:dyDescent="0.15">
      <c r="A31">
        <v>30</v>
      </c>
      <c r="B31" s="188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88" t="s">
        <v>222</v>
      </c>
      <c r="C32">
        <v>0.8</v>
      </c>
      <c r="D32">
        <v>0</v>
      </c>
      <c r="E32">
        <v>0.8</v>
      </c>
      <c r="F32">
        <v>0.8</v>
      </c>
      <c r="G32">
        <v>0</v>
      </c>
    </row>
    <row r="33" spans="1:7" x14ac:dyDescent="0.15">
      <c r="A33">
        <v>32</v>
      </c>
      <c r="B33" s="188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88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88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88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88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88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88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15">
      <c r="A40">
        <v>39</v>
      </c>
      <c r="B40" s="188" t="s">
        <v>230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15">
      <c r="A41">
        <v>40</v>
      </c>
      <c r="B41" s="188" t="s">
        <v>231</v>
      </c>
      <c r="C41">
        <v>0</v>
      </c>
      <c r="D41">
        <v>0</v>
      </c>
      <c r="E41">
        <v>0</v>
      </c>
      <c r="F41">
        <v>0</v>
      </c>
      <c r="G4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G4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5.83203125" bestFit="1" customWidth="1"/>
    <col min="3" max="4" width="3.83203125" bestFit="1" customWidth="1"/>
    <col min="5" max="7" width="3.83203125" customWidth="1"/>
  </cols>
  <sheetData>
    <row r="1" spans="1:7" ht="112" x14ac:dyDescent="0.15">
      <c r="A1" s="5" t="s">
        <v>82</v>
      </c>
      <c r="B1" s="3" t="s">
        <v>0</v>
      </c>
      <c r="C1" s="191" t="s">
        <v>232</v>
      </c>
      <c r="D1" s="191" t="s">
        <v>233</v>
      </c>
      <c r="E1" s="191" t="s">
        <v>234</v>
      </c>
      <c r="F1" s="191" t="s">
        <v>235</v>
      </c>
      <c r="G1" s="191" t="s">
        <v>236</v>
      </c>
    </row>
    <row r="2" spans="1:7" x14ac:dyDescent="0.15">
      <c r="A2">
        <v>1</v>
      </c>
      <c r="B2" s="190" t="s">
        <v>192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15">
      <c r="A3">
        <v>2</v>
      </c>
      <c r="B3" s="190" t="s">
        <v>193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15">
      <c r="A4">
        <v>3</v>
      </c>
      <c r="B4" s="190" t="s">
        <v>194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15">
      <c r="A5">
        <v>4</v>
      </c>
      <c r="B5" s="190" t="s">
        <v>195</v>
      </c>
      <c r="C5">
        <v>0</v>
      </c>
      <c r="D5">
        <v>0</v>
      </c>
      <c r="E5">
        <v>0</v>
      </c>
      <c r="F5">
        <v>0.8</v>
      </c>
      <c r="G5">
        <v>0</v>
      </c>
    </row>
    <row r="6" spans="1:7" x14ac:dyDescent="0.15">
      <c r="A6">
        <v>5</v>
      </c>
      <c r="B6" s="190" t="s">
        <v>196</v>
      </c>
      <c r="C6">
        <v>0</v>
      </c>
      <c r="D6">
        <v>0</v>
      </c>
      <c r="E6">
        <v>0</v>
      </c>
      <c r="F6">
        <v>0.8</v>
      </c>
      <c r="G6">
        <v>0</v>
      </c>
    </row>
    <row r="7" spans="1:7" x14ac:dyDescent="0.15">
      <c r="A7">
        <v>6</v>
      </c>
      <c r="B7" s="190" t="s">
        <v>197</v>
      </c>
      <c r="C7">
        <v>0</v>
      </c>
      <c r="D7">
        <v>0</v>
      </c>
      <c r="E7">
        <v>0</v>
      </c>
      <c r="F7">
        <v>0.8</v>
      </c>
      <c r="G7">
        <v>0</v>
      </c>
    </row>
    <row r="8" spans="1:7" x14ac:dyDescent="0.15">
      <c r="A8">
        <v>7</v>
      </c>
      <c r="B8" s="190" t="s">
        <v>198</v>
      </c>
      <c r="C8">
        <v>0.8</v>
      </c>
      <c r="D8">
        <v>0.8</v>
      </c>
      <c r="E8">
        <v>0.8</v>
      </c>
      <c r="F8">
        <v>0.8</v>
      </c>
      <c r="G8">
        <v>0</v>
      </c>
    </row>
    <row r="9" spans="1:7" x14ac:dyDescent="0.15">
      <c r="A9">
        <v>8</v>
      </c>
      <c r="B9" s="190" t="s">
        <v>199</v>
      </c>
      <c r="C9">
        <v>0.8</v>
      </c>
      <c r="D9">
        <v>0.8</v>
      </c>
      <c r="E9">
        <v>0.8</v>
      </c>
      <c r="F9">
        <v>0.8</v>
      </c>
      <c r="G9">
        <v>0</v>
      </c>
    </row>
    <row r="10" spans="1:7" x14ac:dyDescent="0.15">
      <c r="A10">
        <v>9</v>
      </c>
      <c r="B10" s="190" t="s">
        <v>200</v>
      </c>
      <c r="C10">
        <v>0.8</v>
      </c>
      <c r="D10">
        <v>0.8</v>
      </c>
      <c r="E10">
        <v>0.8</v>
      </c>
      <c r="F10">
        <v>0.8</v>
      </c>
      <c r="G10">
        <v>0.8</v>
      </c>
    </row>
    <row r="11" spans="1:7" x14ac:dyDescent="0.15">
      <c r="A11">
        <v>10</v>
      </c>
      <c r="B11" s="190" t="s">
        <v>201</v>
      </c>
      <c r="C11">
        <v>0.8</v>
      </c>
      <c r="D11">
        <v>0.8</v>
      </c>
      <c r="E11">
        <v>0.8</v>
      </c>
      <c r="F11">
        <v>0.8</v>
      </c>
      <c r="G11">
        <v>0</v>
      </c>
    </row>
    <row r="12" spans="1:7" x14ac:dyDescent="0.15">
      <c r="A12">
        <v>11</v>
      </c>
      <c r="B12" s="190" t="s">
        <v>202</v>
      </c>
      <c r="C12">
        <v>0.8</v>
      </c>
      <c r="D12">
        <v>0.8</v>
      </c>
      <c r="E12">
        <v>0.8</v>
      </c>
      <c r="F12">
        <v>0.8</v>
      </c>
      <c r="G12">
        <v>0</v>
      </c>
    </row>
    <row r="13" spans="1:7" x14ac:dyDescent="0.15">
      <c r="A13">
        <v>12</v>
      </c>
      <c r="B13" s="190" t="s">
        <v>203</v>
      </c>
      <c r="C13">
        <v>0.8</v>
      </c>
      <c r="D13">
        <v>0.8</v>
      </c>
      <c r="E13">
        <v>0.8</v>
      </c>
      <c r="F13">
        <v>0.8</v>
      </c>
      <c r="G13">
        <v>0</v>
      </c>
    </row>
    <row r="14" spans="1:7" x14ac:dyDescent="0.15">
      <c r="A14">
        <v>13</v>
      </c>
      <c r="B14" s="190" t="s">
        <v>204</v>
      </c>
      <c r="C14">
        <v>0</v>
      </c>
      <c r="D14">
        <v>0.8</v>
      </c>
      <c r="E14">
        <v>0</v>
      </c>
      <c r="F14">
        <v>0</v>
      </c>
      <c r="G14">
        <v>0</v>
      </c>
    </row>
    <row r="15" spans="1:7" x14ac:dyDescent="0.15">
      <c r="A15">
        <v>14</v>
      </c>
      <c r="B15" s="190" t="s">
        <v>205</v>
      </c>
      <c r="C15">
        <v>0.8</v>
      </c>
      <c r="D15">
        <v>0.8</v>
      </c>
      <c r="E15">
        <v>0.8</v>
      </c>
      <c r="F15">
        <v>0.8</v>
      </c>
      <c r="G15">
        <v>0</v>
      </c>
    </row>
    <row r="16" spans="1:7" x14ac:dyDescent="0.15">
      <c r="A16">
        <v>15</v>
      </c>
      <c r="B16" s="190" t="s">
        <v>206</v>
      </c>
      <c r="C16">
        <v>0.8</v>
      </c>
      <c r="D16">
        <v>0.8</v>
      </c>
      <c r="E16">
        <v>0.8</v>
      </c>
      <c r="F16">
        <v>0.8</v>
      </c>
      <c r="G16">
        <v>0</v>
      </c>
    </row>
    <row r="17" spans="1:7" x14ac:dyDescent="0.15">
      <c r="A17">
        <v>16</v>
      </c>
      <c r="B17" s="190" t="s">
        <v>207</v>
      </c>
      <c r="C17">
        <v>0.8</v>
      </c>
      <c r="D17">
        <v>0.8</v>
      </c>
      <c r="E17">
        <v>0.8</v>
      </c>
      <c r="F17">
        <v>0.8</v>
      </c>
      <c r="G17">
        <v>0</v>
      </c>
    </row>
    <row r="18" spans="1:7" x14ac:dyDescent="0.15">
      <c r="A18">
        <v>17</v>
      </c>
      <c r="B18" s="190" t="s">
        <v>208</v>
      </c>
      <c r="C18">
        <v>0.8</v>
      </c>
      <c r="D18">
        <v>0.8</v>
      </c>
      <c r="E18">
        <v>0.8</v>
      </c>
      <c r="F18">
        <v>0.8</v>
      </c>
      <c r="G18">
        <v>0.8</v>
      </c>
    </row>
    <row r="19" spans="1:7" x14ac:dyDescent="0.15">
      <c r="A19">
        <v>18</v>
      </c>
      <c r="B19" s="190" t="s">
        <v>209</v>
      </c>
      <c r="C19">
        <v>0</v>
      </c>
      <c r="D19">
        <v>0.8</v>
      </c>
      <c r="E19">
        <v>0</v>
      </c>
      <c r="F19">
        <v>0</v>
      </c>
      <c r="G19">
        <v>0</v>
      </c>
    </row>
    <row r="20" spans="1:7" x14ac:dyDescent="0.15">
      <c r="A20">
        <v>19</v>
      </c>
      <c r="B20" s="190" t="s">
        <v>210</v>
      </c>
      <c r="C20">
        <v>0.8</v>
      </c>
      <c r="D20">
        <v>0.8</v>
      </c>
      <c r="E20">
        <v>0.8</v>
      </c>
      <c r="F20">
        <v>0.8</v>
      </c>
      <c r="G20">
        <v>0</v>
      </c>
    </row>
    <row r="21" spans="1:7" x14ac:dyDescent="0.15">
      <c r="A21">
        <v>20</v>
      </c>
      <c r="B21" s="190" t="s">
        <v>211</v>
      </c>
      <c r="C21">
        <v>0.8</v>
      </c>
      <c r="D21">
        <v>0.8</v>
      </c>
      <c r="E21">
        <v>0.8</v>
      </c>
      <c r="F21">
        <v>0</v>
      </c>
      <c r="G21">
        <v>0</v>
      </c>
    </row>
    <row r="22" spans="1:7" x14ac:dyDescent="0.15">
      <c r="A22">
        <v>21</v>
      </c>
      <c r="B22" s="190" t="s">
        <v>212</v>
      </c>
      <c r="C22">
        <v>0.8</v>
      </c>
      <c r="D22">
        <v>0.8</v>
      </c>
      <c r="E22">
        <v>0.8</v>
      </c>
      <c r="F22">
        <v>0.8</v>
      </c>
      <c r="G22">
        <v>0.8</v>
      </c>
    </row>
    <row r="23" spans="1:7" x14ac:dyDescent="0.15">
      <c r="A23">
        <v>22</v>
      </c>
      <c r="B23" s="190" t="s">
        <v>213</v>
      </c>
      <c r="C23">
        <v>0.8</v>
      </c>
      <c r="D23">
        <v>0.8</v>
      </c>
      <c r="E23">
        <v>0.8</v>
      </c>
      <c r="F23">
        <v>0.8</v>
      </c>
      <c r="G23">
        <v>0.8</v>
      </c>
    </row>
    <row r="24" spans="1:7" x14ac:dyDescent="0.15">
      <c r="A24">
        <v>23</v>
      </c>
      <c r="B24" s="190" t="s">
        <v>214</v>
      </c>
      <c r="C24">
        <v>0.8</v>
      </c>
      <c r="D24">
        <v>0.8</v>
      </c>
      <c r="E24">
        <v>0.8</v>
      </c>
      <c r="F24">
        <v>0</v>
      </c>
      <c r="G24">
        <v>0</v>
      </c>
    </row>
    <row r="25" spans="1:7" x14ac:dyDescent="0.15">
      <c r="A25">
        <v>24</v>
      </c>
      <c r="B25" s="190" t="s">
        <v>215</v>
      </c>
      <c r="C25">
        <v>0.8</v>
      </c>
      <c r="D25">
        <v>0.8</v>
      </c>
      <c r="E25">
        <v>0</v>
      </c>
      <c r="F25">
        <v>0.8</v>
      </c>
      <c r="G25">
        <v>0</v>
      </c>
    </row>
    <row r="26" spans="1:7" x14ac:dyDescent="0.15">
      <c r="A26">
        <v>25</v>
      </c>
      <c r="B26" s="190" t="s">
        <v>216</v>
      </c>
      <c r="C26">
        <v>0.8</v>
      </c>
      <c r="D26">
        <v>0.8</v>
      </c>
      <c r="E26">
        <v>0</v>
      </c>
      <c r="F26">
        <v>0</v>
      </c>
      <c r="G26">
        <v>0</v>
      </c>
    </row>
    <row r="27" spans="1:7" x14ac:dyDescent="0.15">
      <c r="A27">
        <v>26</v>
      </c>
      <c r="B27" s="190" t="s">
        <v>217</v>
      </c>
      <c r="C27">
        <v>0.8</v>
      </c>
      <c r="D27">
        <v>0</v>
      </c>
      <c r="E27">
        <v>0.8</v>
      </c>
      <c r="F27">
        <v>0.8</v>
      </c>
      <c r="G27">
        <v>0</v>
      </c>
    </row>
    <row r="28" spans="1:7" x14ac:dyDescent="0.15">
      <c r="A28">
        <v>27</v>
      </c>
      <c r="B28" s="190" t="s">
        <v>218</v>
      </c>
      <c r="C28">
        <v>0.8</v>
      </c>
      <c r="D28">
        <v>0</v>
      </c>
      <c r="E28">
        <v>0.8</v>
      </c>
      <c r="F28">
        <v>0.8</v>
      </c>
      <c r="G28">
        <v>0</v>
      </c>
    </row>
    <row r="29" spans="1:7" x14ac:dyDescent="0.15">
      <c r="A29">
        <v>28</v>
      </c>
      <c r="B29" s="190" t="s">
        <v>219</v>
      </c>
      <c r="C29">
        <v>0.8</v>
      </c>
      <c r="D29">
        <v>0.8</v>
      </c>
      <c r="E29">
        <v>0.8</v>
      </c>
      <c r="F29">
        <v>0.8</v>
      </c>
      <c r="G29">
        <v>0.8</v>
      </c>
    </row>
    <row r="30" spans="1:7" x14ac:dyDescent="0.15">
      <c r="A30">
        <v>29</v>
      </c>
      <c r="B30" s="190" t="s">
        <v>220</v>
      </c>
      <c r="C30">
        <v>0.8</v>
      </c>
      <c r="D30">
        <v>0</v>
      </c>
      <c r="E30">
        <v>0.8</v>
      </c>
      <c r="F30">
        <v>0.8</v>
      </c>
      <c r="G30">
        <v>0</v>
      </c>
    </row>
    <row r="31" spans="1:7" x14ac:dyDescent="0.15">
      <c r="A31">
        <v>30</v>
      </c>
      <c r="B31" s="190" t="s">
        <v>221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15">
      <c r="A32">
        <v>31</v>
      </c>
      <c r="B32" s="190" t="s">
        <v>222</v>
      </c>
      <c r="C32">
        <v>0.8</v>
      </c>
      <c r="D32">
        <v>0</v>
      </c>
      <c r="E32">
        <v>0.8</v>
      </c>
      <c r="F32">
        <v>0.8</v>
      </c>
      <c r="G32">
        <v>0</v>
      </c>
    </row>
    <row r="33" spans="1:7" x14ac:dyDescent="0.15">
      <c r="A33">
        <v>32</v>
      </c>
      <c r="B33" s="190" t="s">
        <v>223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15">
      <c r="A34">
        <v>33</v>
      </c>
      <c r="B34" s="190" t="s">
        <v>224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15">
      <c r="A35">
        <v>34</v>
      </c>
      <c r="B35" s="190" t="s">
        <v>225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15">
      <c r="A36">
        <v>35</v>
      </c>
      <c r="B36" s="190" t="s">
        <v>226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15">
      <c r="A37">
        <v>36</v>
      </c>
      <c r="B37" s="190" t="s">
        <v>227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15">
      <c r="A38">
        <v>37</v>
      </c>
      <c r="B38" s="190" t="s">
        <v>228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15">
      <c r="A39">
        <v>38</v>
      </c>
      <c r="B39" s="190" t="s">
        <v>229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15">
      <c r="A40">
        <v>39</v>
      </c>
      <c r="B40" s="190" t="s">
        <v>230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15">
      <c r="A41">
        <v>40</v>
      </c>
      <c r="B41" s="190" t="s">
        <v>231</v>
      </c>
      <c r="C41">
        <v>0</v>
      </c>
      <c r="D41">
        <v>0</v>
      </c>
      <c r="E41">
        <v>0</v>
      </c>
      <c r="F41">
        <v>0</v>
      </c>
      <c r="G4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0"/>
    <col min="2" max="2" width="41.83203125" style="80" bestFit="1" customWidth="1"/>
    <col min="3" max="3" width="9.33203125" style="80" bestFit="1" customWidth="1"/>
    <col min="4" max="4" width="13" style="80" bestFit="1" customWidth="1"/>
    <col min="5" max="6" width="9.33203125" style="80" bestFit="1" customWidth="1"/>
    <col min="7" max="7" width="9.33203125" style="96" bestFit="1" customWidth="1"/>
    <col min="8" max="8" width="9.33203125" style="80" bestFit="1" customWidth="1"/>
    <col min="9" max="9" width="11" style="80" customWidth="1"/>
    <col min="10" max="10" width="8.83203125" style="80"/>
    <col min="15" max="16384" width="8.83203125" style="8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3">
        <v>1</v>
      </c>
      <c r="B2" s="143" t="s">
        <v>192</v>
      </c>
      <c r="C2" s="8">
        <v>4.7519540786743164</v>
      </c>
      <c r="D2" s="9">
        <v>600</v>
      </c>
      <c r="E2" s="9">
        <v>7.9999998211860657E-2</v>
      </c>
      <c r="F2" s="9">
        <v>65.699996948242188</v>
      </c>
      <c r="G2" s="9">
        <v>0.23321668803691864</v>
      </c>
      <c r="H2" s="9">
        <v>1.2176560703665018E-3</v>
      </c>
      <c r="I2">
        <v>0</v>
      </c>
      <c r="J2"/>
    </row>
    <row r="3" spans="1:10" ht="15" customHeight="1" x14ac:dyDescent="0.15">
      <c r="A3" s="144">
        <v>2</v>
      </c>
      <c r="B3" s="144" t="s">
        <v>193</v>
      </c>
      <c r="C3" s="8">
        <v>3.7643380165100098</v>
      </c>
      <c r="D3" s="9">
        <v>123</v>
      </c>
      <c r="E3" s="9">
        <v>0.15000000596046448</v>
      </c>
      <c r="F3" s="9">
        <v>65.699996948242188</v>
      </c>
      <c r="G3" s="9">
        <v>0.13404877483844757</v>
      </c>
      <c r="H3" s="9">
        <v>2.2831051610410213E-3</v>
      </c>
      <c r="I3">
        <v>0</v>
      </c>
      <c r="J3"/>
    </row>
    <row r="4" spans="1:10" ht="15" customHeight="1" x14ac:dyDescent="0.15">
      <c r="A4" s="145">
        <v>3</v>
      </c>
      <c r="B4" s="145" t="s">
        <v>194</v>
      </c>
      <c r="C4" s="8">
        <v>3.8057525157928467</v>
      </c>
      <c r="D4" s="9">
        <v>9100</v>
      </c>
      <c r="E4" s="9">
        <v>1.7999999225139618E-2</v>
      </c>
      <c r="F4" s="9">
        <v>9.1000003814697266</v>
      </c>
      <c r="G4" s="7">
        <v>0</v>
      </c>
      <c r="H4" s="9">
        <v>1.9780218135565519E-3</v>
      </c>
      <c r="I4">
        <v>0</v>
      </c>
      <c r="J4"/>
    </row>
    <row r="5" spans="1:10" ht="15" customHeight="1" x14ac:dyDescent="0.15">
      <c r="A5" s="146">
        <v>4</v>
      </c>
      <c r="B5" s="146" t="s">
        <v>195</v>
      </c>
      <c r="C5" s="8">
        <v>5.2154145240783691</v>
      </c>
      <c r="D5" s="9">
        <v>31000</v>
      </c>
      <c r="E5" s="9">
        <v>1.9999999552965164E-2</v>
      </c>
      <c r="F5" s="9">
        <v>6.75</v>
      </c>
      <c r="G5" s="9">
        <v>2.7419356047175825E-4</v>
      </c>
      <c r="H5" s="9">
        <v>2.9629629570990801E-3</v>
      </c>
      <c r="I5">
        <v>0.17000000178813934</v>
      </c>
      <c r="J5"/>
    </row>
    <row r="6" spans="1:10" ht="15" customHeight="1" x14ac:dyDescent="0.15">
      <c r="A6" s="147">
        <v>5</v>
      </c>
      <c r="B6" s="147" t="s">
        <v>196</v>
      </c>
      <c r="C6" s="8">
        <v>5.031947135925293</v>
      </c>
      <c r="D6" s="9">
        <v>3500</v>
      </c>
      <c r="E6" s="9">
        <v>3.9999999105930328E-2</v>
      </c>
      <c r="F6" s="9">
        <v>16.5</v>
      </c>
      <c r="G6" s="9">
        <v>0.21946236491203308</v>
      </c>
      <c r="H6" s="9">
        <v>2.424242440611124E-3</v>
      </c>
      <c r="I6">
        <v>3</v>
      </c>
      <c r="J6"/>
    </row>
    <row r="7" spans="1:10" ht="15" customHeight="1" x14ac:dyDescent="0.15">
      <c r="A7" s="148">
        <v>6</v>
      </c>
      <c r="B7" s="148" t="s">
        <v>197</v>
      </c>
      <c r="C7" s="8">
        <v>4.6455888748168945</v>
      </c>
      <c r="D7" s="9">
        <v>17000</v>
      </c>
      <c r="E7" s="9">
        <v>3.9999999105930328E-2</v>
      </c>
      <c r="F7" s="9">
        <v>16.5</v>
      </c>
      <c r="G7" s="9">
        <v>0.18973371386528015</v>
      </c>
      <c r="H7" s="9">
        <v>2.424242440611124E-3</v>
      </c>
      <c r="I7">
        <v>2.5</v>
      </c>
      <c r="J7"/>
    </row>
    <row r="8" spans="1:10" ht="15" customHeight="1" x14ac:dyDescent="0.15">
      <c r="A8" s="149">
        <v>7</v>
      </c>
      <c r="B8" s="149" t="s">
        <v>198</v>
      </c>
      <c r="C8" s="8">
        <v>3.6217944622039795</v>
      </c>
      <c r="D8" s="9">
        <v>260.45330810546875</v>
      </c>
      <c r="E8" s="9">
        <v>0.15000000596046448</v>
      </c>
      <c r="F8" s="9">
        <v>3.5</v>
      </c>
      <c r="G8" s="9">
        <v>0.50000005960464478</v>
      </c>
      <c r="H8" s="9">
        <v>4.285714402794838E-2</v>
      </c>
      <c r="I8">
        <v>0.78999996185302734</v>
      </c>
      <c r="J8"/>
    </row>
    <row r="9" spans="1:10" ht="15" customHeight="1" x14ac:dyDescent="0.15">
      <c r="A9" s="150">
        <v>8</v>
      </c>
      <c r="B9" s="150" t="s">
        <v>199</v>
      </c>
      <c r="C9" s="8">
        <v>4.6551384925842285</v>
      </c>
      <c r="D9" s="9">
        <v>6500</v>
      </c>
      <c r="E9" s="9">
        <v>2.3499999046325684</v>
      </c>
      <c r="F9" s="9">
        <v>15.600000381469727</v>
      </c>
      <c r="G9" s="9">
        <v>0.35965090990066528</v>
      </c>
      <c r="H9" s="9">
        <v>0.15064100921154022</v>
      </c>
      <c r="I9">
        <v>5360</v>
      </c>
      <c r="J9"/>
    </row>
    <row r="10" spans="1:10" ht="15" customHeight="1" x14ac:dyDescent="0.15">
      <c r="A10" s="151">
        <v>9</v>
      </c>
      <c r="B10" s="151" t="s">
        <v>200</v>
      </c>
      <c r="C10" s="8">
        <v>5.1673994064331055</v>
      </c>
      <c r="D10" s="9">
        <v>9000</v>
      </c>
      <c r="E10" s="9">
        <v>0.75999999046325684</v>
      </c>
      <c r="F10" s="9">
        <v>13.029999732971191</v>
      </c>
      <c r="G10" s="9">
        <v>0.33047333359718323</v>
      </c>
      <c r="H10" s="9">
        <v>5.8326937258243561E-2</v>
      </c>
      <c r="I10">
        <v>2126.77001953125</v>
      </c>
      <c r="J10"/>
    </row>
    <row r="11" spans="1:10" ht="15" customHeight="1" x14ac:dyDescent="0.15">
      <c r="A11" s="152">
        <v>10</v>
      </c>
      <c r="B11" s="152" t="s">
        <v>201</v>
      </c>
      <c r="C11" s="8">
        <v>5.3214092254638672</v>
      </c>
      <c r="D11" s="9">
        <v>572.91998291015625</v>
      </c>
      <c r="E11" s="9">
        <v>1</v>
      </c>
      <c r="F11" s="9">
        <v>7.8000001907348633</v>
      </c>
      <c r="G11" s="9">
        <v>0.5</v>
      </c>
      <c r="H11" s="9">
        <v>0.12820512056350708</v>
      </c>
      <c r="I11">
        <v>286.45999145507812</v>
      </c>
      <c r="J11"/>
    </row>
    <row r="12" spans="1:10" ht="15" customHeight="1" x14ac:dyDescent="0.15">
      <c r="A12" s="153">
        <v>11</v>
      </c>
      <c r="B12" s="153" t="s">
        <v>202</v>
      </c>
      <c r="C12" s="8">
        <v>4.8925490379333496</v>
      </c>
      <c r="D12" s="9">
        <v>52.208698272705078</v>
      </c>
      <c r="E12" s="9">
        <v>1.1499999761581421</v>
      </c>
      <c r="F12" s="9">
        <v>7.8000001907348633</v>
      </c>
      <c r="G12" s="9">
        <v>0.25</v>
      </c>
      <c r="H12" s="9">
        <v>0.14743588864803314</v>
      </c>
      <c r="I12">
        <v>15.010000228881836</v>
      </c>
      <c r="J12"/>
    </row>
    <row r="13" spans="1:10" ht="15" customHeight="1" x14ac:dyDescent="0.15">
      <c r="A13" s="154">
        <v>12</v>
      </c>
      <c r="B13" s="154" t="s">
        <v>203</v>
      </c>
      <c r="C13" s="8">
        <v>4.9578304290771484</v>
      </c>
      <c r="D13" s="9">
        <v>33.169692993164062</v>
      </c>
      <c r="E13" s="9">
        <v>0.43999999761581421</v>
      </c>
      <c r="F13" s="9">
        <v>7.8000001907348633</v>
      </c>
      <c r="G13" s="9">
        <v>0.75000005960464478</v>
      </c>
      <c r="H13" s="9">
        <v>5.6410253047943115E-2</v>
      </c>
      <c r="I13">
        <v>10.945999145507812</v>
      </c>
      <c r="J13"/>
    </row>
    <row r="14" spans="1:10" ht="15" customHeight="1" x14ac:dyDescent="0.15">
      <c r="A14" s="155">
        <v>13</v>
      </c>
      <c r="B14" s="155" t="s">
        <v>204</v>
      </c>
      <c r="C14" s="8">
        <v>4.613060474395752</v>
      </c>
      <c r="D14" s="9">
        <v>217.73483276367188</v>
      </c>
      <c r="E14" s="9">
        <v>1.2000000476837158</v>
      </c>
      <c r="F14" s="9">
        <v>21.899999618530273</v>
      </c>
      <c r="G14" s="9">
        <v>0.25</v>
      </c>
      <c r="H14" s="9">
        <v>5.4794523864984512E-2</v>
      </c>
      <c r="I14">
        <v>5.9999998658895493E-2</v>
      </c>
      <c r="J14"/>
    </row>
    <row r="15" spans="1:10" ht="15" customHeight="1" x14ac:dyDescent="0.15">
      <c r="A15" s="156">
        <v>14</v>
      </c>
      <c r="B15" s="156" t="s">
        <v>205</v>
      </c>
      <c r="C15" s="8">
        <v>4.886106014251709</v>
      </c>
      <c r="D15" s="9">
        <v>1100</v>
      </c>
      <c r="E15" s="9">
        <v>1.2000000476837158</v>
      </c>
      <c r="F15" s="9">
        <v>9.7600002288818359</v>
      </c>
      <c r="G15" s="9">
        <v>6.8243347108364105E-2</v>
      </c>
      <c r="H15" s="9">
        <v>0.12295082211494446</v>
      </c>
      <c r="I15">
        <v>74.992996215820312</v>
      </c>
      <c r="J15"/>
    </row>
    <row r="16" spans="1:10" ht="15" customHeight="1" x14ac:dyDescent="0.15">
      <c r="A16" s="157">
        <v>15</v>
      </c>
      <c r="B16" s="157" t="s">
        <v>206</v>
      </c>
      <c r="C16" s="8">
        <v>4.9286093711853027</v>
      </c>
      <c r="D16" s="9">
        <v>400</v>
      </c>
      <c r="E16" s="9">
        <v>0.31999999284744263</v>
      </c>
      <c r="F16" s="9">
        <v>7.809999942779541</v>
      </c>
      <c r="G16" s="9">
        <v>0.47882810235023499</v>
      </c>
      <c r="H16" s="9">
        <v>4.0973111987113953E-2</v>
      </c>
      <c r="I16">
        <v>61.289997100830078</v>
      </c>
      <c r="J16"/>
    </row>
    <row r="17" spans="1:10" ht="15" customHeight="1" x14ac:dyDescent="0.15">
      <c r="A17" s="158">
        <v>16</v>
      </c>
      <c r="B17" s="158" t="s">
        <v>207</v>
      </c>
      <c r="C17" s="8">
        <v>3.6840481758117676</v>
      </c>
      <c r="D17" s="9">
        <v>230</v>
      </c>
      <c r="E17" s="9">
        <v>0.25</v>
      </c>
      <c r="F17" s="9">
        <v>3.9100000858306885</v>
      </c>
      <c r="G17" s="9">
        <v>0.36104348301887512</v>
      </c>
      <c r="H17" s="9">
        <v>6.3938617706298828E-2</v>
      </c>
      <c r="I17">
        <v>20.760000228881836</v>
      </c>
      <c r="J17"/>
    </row>
    <row r="18" spans="1:10" ht="15" customHeight="1" x14ac:dyDescent="0.15">
      <c r="A18" s="159">
        <v>17</v>
      </c>
      <c r="B18" s="159" t="s">
        <v>208</v>
      </c>
      <c r="C18" s="8">
        <v>4.569098949432373</v>
      </c>
      <c r="D18" s="9">
        <v>26443.65625</v>
      </c>
      <c r="E18" s="9">
        <v>1.8799999952316284</v>
      </c>
      <c r="F18" s="9">
        <v>21.5</v>
      </c>
      <c r="G18" s="9">
        <v>0.40000000596046448</v>
      </c>
      <c r="H18" s="9">
        <v>8.7441861629486084E-2</v>
      </c>
      <c r="I18">
        <v>4072.919921875</v>
      </c>
      <c r="J18"/>
    </row>
    <row r="19" spans="1:10" ht="15" customHeight="1" x14ac:dyDescent="0.15">
      <c r="A19" s="160">
        <v>18</v>
      </c>
      <c r="B19" s="160" t="s">
        <v>209</v>
      </c>
      <c r="C19" s="8">
        <v>4.6032075881958008</v>
      </c>
      <c r="D19" s="9">
        <v>3025.718994140625</v>
      </c>
      <c r="E19" s="9">
        <v>0.76999998092651367</v>
      </c>
      <c r="F19" s="9">
        <v>16.950000762939453</v>
      </c>
      <c r="G19" s="9">
        <v>0.75</v>
      </c>
      <c r="H19" s="9">
        <v>4.5427724719047546E-2</v>
      </c>
      <c r="I19">
        <v>441.8699951171875</v>
      </c>
      <c r="J19"/>
    </row>
    <row r="20" spans="1:10" ht="15" customHeight="1" x14ac:dyDescent="0.15">
      <c r="A20" s="161">
        <v>19</v>
      </c>
      <c r="B20" s="161" t="s">
        <v>210</v>
      </c>
      <c r="C20" s="8">
        <v>3.8589050769805908</v>
      </c>
      <c r="D20" s="9">
        <v>143251.625</v>
      </c>
      <c r="E20" s="9">
        <v>2.5</v>
      </c>
      <c r="F20" s="9">
        <v>25</v>
      </c>
      <c r="G20" s="9">
        <v>0.95000004768371582</v>
      </c>
      <c r="H20" s="9">
        <v>0.10000000149011612</v>
      </c>
      <c r="I20">
        <v>76.980003356933594</v>
      </c>
      <c r="J20"/>
    </row>
    <row r="21" spans="1:10" ht="15" customHeight="1" x14ac:dyDescent="0.15">
      <c r="A21" s="162">
        <v>20</v>
      </c>
      <c r="B21" s="162" t="s">
        <v>211</v>
      </c>
      <c r="C21" s="8">
        <v>4.3663430213928223</v>
      </c>
      <c r="D21" s="9">
        <v>1400</v>
      </c>
      <c r="E21" s="9">
        <v>0.64999997615814209</v>
      </c>
      <c r="F21" s="9">
        <v>12.800000190734863</v>
      </c>
      <c r="G21" s="9">
        <v>0.79949384927749634</v>
      </c>
      <c r="H21" s="9">
        <v>5.0781246274709702E-2</v>
      </c>
      <c r="I21">
        <v>45.142997741699219</v>
      </c>
      <c r="J21"/>
    </row>
    <row r="22" spans="1:10" ht="15" customHeight="1" x14ac:dyDescent="0.15">
      <c r="A22" s="163">
        <v>21</v>
      </c>
      <c r="B22" s="163" t="s">
        <v>212</v>
      </c>
      <c r="C22" s="8">
        <v>4.5676326751708984</v>
      </c>
      <c r="D22" s="9">
        <v>8200</v>
      </c>
      <c r="E22" s="9">
        <v>1.75</v>
      </c>
      <c r="F22" s="9">
        <v>18.299999237060547</v>
      </c>
      <c r="G22" s="9">
        <v>0.91815131902694702</v>
      </c>
      <c r="H22" s="9">
        <v>9.5628418028354645E-2</v>
      </c>
      <c r="I22">
        <v>2811.699951171875</v>
      </c>
      <c r="J22"/>
    </row>
    <row r="23" spans="1:10" ht="15" customHeight="1" x14ac:dyDescent="0.15">
      <c r="A23" s="164">
        <v>22</v>
      </c>
      <c r="B23" s="164" t="s">
        <v>213</v>
      </c>
      <c r="C23" s="8">
        <v>4.5318474769592285</v>
      </c>
      <c r="D23" s="9">
        <v>10000</v>
      </c>
      <c r="E23" s="9">
        <v>0.72000002861022949</v>
      </c>
      <c r="F23" s="9">
        <v>15.25</v>
      </c>
      <c r="G23" s="9">
        <v>0.68883925676345825</v>
      </c>
      <c r="H23" s="9">
        <v>4.7213114798069E-2</v>
      </c>
      <c r="I23">
        <v>575.03997802734375</v>
      </c>
      <c r="J23"/>
    </row>
    <row r="24" spans="1:10" ht="15" customHeight="1" x14ac:dyDescent="0.15">
      <c r="A24" s="165">
        <v>23</v>
      </c>
      <c r="B24" s="165" t="s">
        <v>214</v>
      </c>
      <c r="C24" s="8">
        <v>5.2228689193725586</v>
      </c>
      <c r="D24" s="9">
        <v>145.02322387695312</v>
      </c>
      <c r="E24" s="9">
        <v>0.5</v>
      </c>
      <c r="F24" s="9">
        <v>9</v>
      </c>
      <c r="G24" s="9">
        <v>0.74999994039535522</v>
      </c>
      <c r="H24" s="9">
        <v>5.55555559694767E-2</v>
      </c>
      <c r="I24">
        <v>0.16000001132488251</v>
      </c>
      <c r="J24"/>
    </row>
    <row r="25" spans="1:10" ht="15" customHeight="1" x14ac:dyDescent="0.15">
      <c r="A25" s="166">
        <v>24</v>
      </c>
      <c r="B25" s="166" t="s">
        <v>215</v>
      </c>
      <c r="C25" s="8">
        <v>4.6257133483886719</v>
      </c>
      <c r="D25" s="9">
        <v>126.95604705810547</v>
      </c>
      <c r="E25" s="9">
        <v>0.56999999284744263</v>
      </c>
      <c r="F25" s="9">
        <v>9.7600002288818359</v>
      </c>
      <c r="G25" s="9">
        <v>0.74999994039535522</v>
      </c>
      <c r="H25" s="9">
        <v>5.8401636779308319E-2</v>
      </c>
      <c r="I25">
        <v>4.9999997019767761E-2</v>
      </c>
      <c r="J25"/>
    </row>
    <row r="26" spans="1:10" ht="15" customHeight="1" x14ac:dyDescent="0.15">
      <c r="A26" s="167">
        <v>25</v>
      </c>
      <c r="B26" s="167" t="s">
        <v>216</v>
      </c>
      <c r="C26" s="8">
        <v>4.4176664352416992</v>
      </c>
      <c r="D26" s="9">
        <v>97.901039123535156</v>
      </c>
      <c r="E26" s="9">
        <v>0.20999999344348907</v>
      </c>
      <c r="F26" s="9">
        <v>9</v>
      </c>
      <c r="G26" s="9">
        <v>0.75000005960464478</v>
      </c>
      <c r="H26" s="9">
        <v>2.3333333432674408E-2</v>
      </c>
      <c r="I26">
        <v>3.6410000324249268</v>
      </c>
      <c r="J26"/>
    </row>
    <row r="27" spans="1:10" ht="15" customHeight="1" x14ac:dyDescent="0.15">
      <c r="A27" s="168">
        <v>26</v>
      </c>
      <c r="B27" s="168" t="s">
        <v>217</v>
      </c>
      <c r="C27" s="8">
        <v>4.6632513999938965</v>
      </c>
      <c r="D27" s="9">
        <v>2000</v>
      </c>
      <c r="E27" s="9">
        <v>3.1500000953674316</v>
      </c>
      <c r="F27" s="9">
        <v>27.399999618530273</v>
      </c>
      <c r="G27" s="9">
        <v>0.98972958326339722</v>
      </c>
      <c r="H27" s="9">
        <v>0.11496350914239883</v>
      </c>
      <c r="I27">
        <v>61.090000152587891</v>
      </c>
      <c r="J27"/>
    </row>
    <row r="28" spans="1:10" ht="15" customHeight="1" x14ac:dyDescent="0.15">
      <c r="A28" s="169">
        <v>27</v>
      </c>
      <c r="B28" s="169" t="s">
        <v>218</v>
      </c>
      <c r="C28" s="8">
        <v>4.5788583755493164</v>
      </c>
      <c r="D28" s="9">
        <v>2730.48681640625</v>
      </c>
      <c r="E28" s="9">
        <v>1.75</v>
      </c>
      <c r="F28" s="9">
        <v>11.399999618530273</v>
      </c>
      <c r="G28" s="9">
        <v>0.75000005960464478</v>
      </c>
      <c r="H28" s="9">
        <v>0.15350878238677979</v>
      </c>
      <c r="I28">
        <v>11.600000381469727</v>
      </c>
      <c r="J28"/>
    </row>
    <row r="29" spans="1:10" ht="15" customHeight="1" x14ac:dyDescent="0.15">
      <c r="A29" s="170">
        <v>28</v>
      </c>
      <c r="B29" s="170" t="s">
        <v>219</v>
      </c>
      <c r="C29" s="8">
        <v>5.2344522476196289</v>
      </c>
      <c r="D29" s="9">
        <v>270</v>
      </c>
      <c r="E29" s="9">
        <v>0.57999998331069946</v>
      </c>
      <c r="F29" s="9">
        <v>9.1599998474121094</v>
      </c>
      <c r="G29" s="9">
        <v>0.58273333311080933</v>
      </c>
      <c r="H29" s="9">
        <v>6.3318774104118347E-2</v>
      </c>
      <c r="I29">
        <v>84.729995727539062</v>
      </c>
      <c r="J29"/>
    </row>
    <row r="30" spans="1:10" ht="15" customHeight="1" x14ac:dyDescent="0.15">
      <c r="A30" s="171">
        <v>29</v>
      </c>
      <c r="B30" s="171" t="s">
        <v>220</v>
      </c>
      <c r="C30" s="8">
        <v>4.3322534561157227</v>
      </c>
      <c r="D30" s="9">
        <v>16536.423828125</v>
      </c>
      <c r="E30" s="9">
        <v>2.25</v>
      </c>
      <c r="F30" s="9">
        <v>7.7300000190734863</v>
      </c>
      <c r="G30" s="9">
        <v>0.94999998807907104</v>
      </c>
      <c r="H30" s="9">
        <v>0.29107373952865601</v>
      </c>
      <c r="I30">
        <v>236.80000305175781</v>
      </c>
      <c r="J30"/>
    </row>
    <row r="31" spans="1:10" ht="15" customHeight="1" x14ac:dyDescent="0.15">
      <c r="A31" s="172">
        <v>30</v>
      </c>
      <c r="B31" s="172" t="s">
        <v>221</v>
      </c>
      <c r="C31" s="8">
        <v>3.4189920425415039</v>
      </c>
      <c r="D31" s="9">
        <v>160606.328125</v>
      </c>
      <c r="E31" s="9">
        <v>2.880000114440918</v>
      </c>
      <c r="F31" s="9">
        <v>25.780000686645508</v>
      </c>
      <c r="G31" s="9">
        <v>0.94999992847442627</v>
      </c>
      <c r="H31" s="9">
        <v>0.11171451210975647</v>
      </c>
      <c r="I31">
        <v>0</v>
      </c>
      <c r="J31"/>
    </row>
    <row r="32" spans="1:10" ht="15" customHeight="1" x14ac:dyDescent="0.15">
      <c r="A32" s="200">
        <v>31</v>
      </c>
      <c r="B32" s="200" t="s">
        <v>222</v>
      </c>
      <c r="C32" s="8">
        <v>3.1853182315826416</v>
      </c>
      <c r="D32" s="9">
        <v>2248569.5</v>
      </c>
      <c r="E32" s="9">
        <v>2.0699999332427979</v>
      </c>
      <c r="F32" s="9">
        <v>10.779999732971191</v>
      </c>
      <c r="G32" s="9">
        <v>0.94999998807907104</v>
      </c>
      <c r="H32" s="9">
        <v>0.19202226400375366</v>
      </c>
      <c r="I32">
        <v>10.730000495910645</v>
      </c>
      <c r="J32"/>
    </row>
    <row r="33" spans="1:10" ht="15" customHeight="1" x14ac:dyDescent="0.15">
      <c r="A33" s="201">
        <v>32</v>
      </c>
      <c r="B33" s="201" t="s">
        <v>223</v>
      </c>
      <c r="C33" s="8">
        <v>3.4454400539398193</v>
      </c>
      <c r="D33" s="9">
        <v>2000000</v>
      </c>
      <c r="E33" s="9">
        <v>2</v>
      </c>
      <c r="F33" s="9">
        <v>10.779999732971191</v>
      </c>
      <c r="G33" s="9">
        <v>0.95029067993164062</v>
      </c>
      <c r="H33" s="9">
        <v>0.18552875518798828</v>
      </c>
      <c r="I33">
        <v>0</v>
      </c>
      <c r="J33"/>
    </row>
    <row r="34" spans="1:10" ht="15" customHeight="1" x14ac:dyDescent="0.15">
      <c r="A34" s="202">
        <v>33</v>
      </c>
      <c r="B34" s="202" t="s">
        <v>224</v>
      </c>
      <c r="C34" s="8">
        <v>4.3999161720275879</v>
      </c>
      <c r="D34" s="9">
        <v>1104811</v>
      </c>
      <c r="E34" s="9">
        <v>2</v>
      </c>
      <c r="F34" s="9">
        <v>7</v>
      </c>
      <c r="G34" s="9">
        <v>0.84999996423721313</v>
      </c>
      <c r="H34" s="9">
        <v>0.28571429848670959</v>
      </c>
      <c r="I34">
        <v>0</v>
      </c>
      <c r="J34"/>
    </row>
    <row r="35" spans="1:10" ht="15" customHeight="1" x14ac:dyDescent="0.15">
      <c r="A35" s="203">
        <v>34</v>
      </c>
      <c r="B35" s="203" t="s">
        <v>225</v>
      </c>
      <c r="C35" s="8">
        <v>3.4610874652862549</v>
      </c>
      <c r="D35" s="9">
        <v>119695.0234375</v>
      </c>
      <c r="E35" s="9">
        <v>3.5</v>
      </c>
      <c r="F35" s="9">
        <v>10</v>
      </c>
      <c r="G35" s="9">
        <v>0.95000004768371582</v>
      </c>
      <c r="H35" s="9">
        <v>0.34999999403953552</v>
      </c>
      <c r="I35">
        <v>0</v>
      </c>
      <c r="J35"/>
    </row>
    <row r="36" spans="1:10" ht="15" customHeight="1" x14ac:dyDescent="0.15">
      <c r="A36" s="204">
        <v>35</v>
      </c>
      <c r="B36" s="204" t="s">
        <v>226</v>
      </c>
      <c r="C36" s="8">
        <v>2.6960000991821289</v>
      </c>
      <c r="D36" s="9">
        <v>706713.625</v>
      </c>
      <c r="E36" s="9">
        <v>64</v>
      </c>
      <c r="F36" s="9">
        <v>200</v>
      </c>
      <c r="G36" s="9">
        <v>0.68000000715255737</v>
      </c>
      <c r="H36" s="9">
        <v>0.31999999284744263</v>
      </c>
      <c r="I36">
        <v>0</v>
      </c>
      <c r="J36"/>
    </row>
    <row r="37" spans="1:10" ht="15" customHeight="1" x14ac:dyDescent="0.15">
      <c r="A37" s="205">
        <v>36</v>
      </c>
      <c r="B37" s="205" t="s">
        <v>227</v>
      </c>
      <c r="C37" s="8">
        <v>2</v>
      </c>
      <c r="D37" s="9">
        <v>826430.3125</v>
      </c>
      <c r="E37" s="9">
        <v>143</v>
      </c>
      <c r="F37" s="9">
        <v>600</v>
      </c>
      <c r="G37" s="9">
        <v>0.98000001907348633</v>
      </c>
      <c r="H37" s="9">
        <v>0.2383333295583725</v>
      </c>
      <c r="I37">
        <v>0</v>
      </c>
      <c r="J37"/>
    </row>
    <row r="38" spans="1:10" ht="15" customHeight="1" x14ac:dyDescent="0.15">
      <c r="A38" s="206">
        <v>37</v>
      </c>
      <c r="B38" s="206" t="s">
        <v>228</v>
      </c>
      <c r="C38" s="8">
        <v>1</v>
      </c>
      <c r="D38" s="9">
        <v>426096.21875</v>
      </c>
      <c r="E38" s="9">
        <v>125</v>
      </c>
      <c r="F38" s="10"/>
      <c r="G38" s="9">
        <v>0.89999997615814209</v>
      </c>
      <c r="H38" s="10"/>
      <c r="I38">
        <v>0</v>
      </c>
      <c r="J38"/>
    </row>
    <row r="39" spans="1:10" ht="15" customHeight="1" x14ac:dyDescent="0.15">
      <c r="A39" s="207">
        <v>38</v>
      </c>
      <c r="B39" s="207" t="s">
        <v>229</v>
      </c>
      <c r="C39" s="8">
        <v>1</v>
      </c>
      <c r="D39" s="9">
        <v>2999202.75</v>
      </c>
      <c r="E39" s="9">
        <v>167</v>
      </c>
      <c r="F39" s="10"/>
      <c r="G39" s="9">
        <v>0.98999994993209839</v>
      </c>
      <c r="H39" s="10"/>
      <c r="I39">
        <v>0</v>
      </c>
      <c r="J39"/>
    </row>
    <row r="40" spans="1:10" ht="15" customHeight="1" x14ac:dyDescent="0.15">
      <c r="A40" s="208">
        <v>39</v>
      </c>
      <c r="B40" s="208" t="s">
        <v>230</v>
      </c>
      <c r="C40" s="8">
        <v>1</v>
      </c>
      <c r="D40" s="9">
        <v>2000000</v>
      </c>
      <c r="E40" s="10"/>
      <c r="F40" s="10"/>
      <c r="G40" s="7">
        <v>0</v>
      </c>
      <c r="H40" s="10"/>
      <c r="I40">
        <v>0</v>
      </c>
      <c r="J40"/>
    </row>
    <row r="41" spans="1:10" ht="15" customHeight="1" x14ac:dyDescent="0.15">
      <c r="A41" s="209">
        <v>40</v>
      </c>
      <c r="B41" s="209" t="s">
        <v>231</v>
      </c>
      <c r="C41" s="8">
        <v>1</v>
      </c>
      <c r="D41" s="9">
        <v>5</v>
      </c>
      <c r="E41" s="10"/>
      <c r="F41" s="10"/>
      <c r="G41" s="7">
        <v>0</v>
      </c>
      <c r="H41" s="10"/>
      <c r="I41">
        <v>0</v>
      </c>
      <c r="J41"/>
    </row>
    <row r="42" spans="1:10" ht="15" customHeight="1" x14ac:dyDescent="0.15">
      <c r="A42" s="210">
        <v>41</v>
      </c>
      <c r="B42" s="210" t="s">
        <v>232</v>
      </c>
      <c r="C42" s="8">
        <v>5.5875344276428223</v>
      </c>
      <c r="D42" s="10"/>
      <c r="E42" s="10"/>
      <c r="F42" s="10"/>
      <c r="G42" s="10"/>
      <c r="H42" s="10"/>
      <c r="I42">
        <v>3889.744140625</v>
      </c>
      <c r="J42"/>
    </row>
    <row r="43" spans="1:10" ht="15" customHeight="1" x14ac:dyDescent="0.15">
      <c r="A43" s="211">
        <v>42</v>
      </c>
      <c r="B43" s="211" t="s">
        <v>233</v>
      </c>
      <c r="C43" s="8">
        <v>5.9812765121459961</v>
      </c>
      <c r="D43" s="10"/>
      <c r="E43" s="10"/>
      <c r="F43" s="10"/>
      <c r="G43" s="10"/>
      <c r="H43" s="10"/>
      <c r="I43">
        <v>3004.742919921875</v>
      </c>
      <c r="J43"/>
    </row>
    <row r="44" spans="1:10" ht="15" customHeight="1" x14ac:dyDescent="0.15">
      <c r="A44" s="212">
        <v>43</v>
      </c>
      <c r="B44" s="212" t="s">
        <v>234</v>
      </c>
      <c r="C44" s="8">
        <v>5.6275629997253418</v>
      </c>
      <c r="D44" s="10"/>
      <c r="E44" s="10"/>
      <c r="F44" s="10"/>
      <c r="G44" s="10"/>
      <c r="H44" s="10"/>
      <c r="I44">
        <v>4742.5390625</v>
      </c>
      <c r="J44"/>
    </row>
    <row r="45" spans="1:10" ht="15" customHeight="1" x14ac:dyDescent="0.15">
      <c r="A45" s="213">
        <v>44</v>
      </c>
      <c r="B45" s="213" t="s">
        <v>235</v>
      </c>
      <c r="C45" s="8">
        <v>5.6381092071533203</v>
      </c>
      <c r="D45" s="10"/>
      <c r="E45" s="10"/>
      <c r="F45" s="10"/>
      <c r="G45" s="10"/>
      <c r="H45" s="10"/>
      <c r="I45">
        <v>4493.0458984375</v>
      </c>
      <c r="J45"/>
    </row>
    <row r="46" spans="1:10" ht="15" customHeight="1" x14ac:dyDescent="0.15">
      <c r="A46" s="214">
        <v>45</v>
      </c>
      <c r="B46" s="214" t="s">
        <v>236</v>
      </c>
      <c r="C46" s="8">
        <v>5.5904154777526855</v>
      </c>
      <c r="D46" s="10"/>
      <c r="E46" s="10"/>
      <c r="F46" s="10"/>
      <c r="G46" s="10"/>
      <c r="H46" s="10"/>
      <c r="I46">
        <v>265.1300048828125</v>
      </c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0" bestFit="1" customWidth="1"/>
    <col min="2" max="4" width="9.5" style="80" bestFit="1" customWidth="1"/>
    <col min="5" max="7" width="9" style="80" bestFit="1" customWidth="1"/>
    <col min="8" max="16" width="12.6640625" style="80" bestFit="1" customWidth="1"/>
    <col min="17" max="17" width="12.33203125" style="80" bestFit="1" customWidth="1"/>
    <col min="18" max="18" width="8.83203125" style="80"/>
    <col min="19" max="21" width="9.33203125" style="80" bestFit="1" customWidth="1"/>
    <col min="22" max="23" width="8.83203125" style="80"/>
    <col min="24" max="24" width="9.33203125" style="80" bestFit="1" customWidth="1"/>
    <col min="25" max="27" width="8.83203125" style="80"/>
    <col min="28" max="58" width="9" style="80" bestFit="1" customWidth="1"/>
    <col min="59" max="59" width="12.33203125" style="80" bestFit="1" customWidth="1"/>
    <col min="60" max="60" width="9" style="80" bestFit="1" customWidth="1"/>
    <col min="61" max="61" width="11.33203125" style="80" bestFit="1" customWidth="1"/>
    <col min="62" max="77" width="9" style="80" bestFit="1" customWidth="1"/>
    <col min="78" max="78" width="12.33203125" style="80" bestFit="1" customWidth="1"/>
    <col min="79" max="79" width="9" style="80" bestFit="1" customWidth="1"/>
    <col min="80" max="80" width="12.33203125" style="80" bestFit="1" customWidth="1"/>
    <col min="81" max="107" width="9" style="80" bestFit="1" customWidth="1"/>
    <col min="108" max="108" width="11.33203125" style="80" bestFit="1" customWidth="1"/>
    <col min="109" max="124" width="9" style="80" bestFit="1" customWidth="1"/>
    <col min="125" max="125" width="10.33203125" style="80" bestFit="1" customWidth="1"/>
    <col min="126" max="129" width="9.33203125" style="80" bestFit="1" customWidth="1"/>
    <col min="130" max="130" width="9" style="80" bestFit="1" customWidth="1"/>
    <col min="131" max="134" width="9.33203125" style="80" bestFit="1" customWidth="1"/>
    <col min="135" max="165" width="9" style="80" bestFit="1" customWidth="1"/>
    <col min="166" max="166" width="12.33203125" style="80" bestFit="1" customWidth="1"/>
    <col min="167" max="170" width="9" style="80" bestFit="1" customWidth="1"/>
    <col min="171" max="176" width="8.83203125" style="80"/>
    <col min="177" max="177" width="13.83203125" style="80" bestFit="1" customWidth="1"/>
    <col min="178" max="16384" width="8.83203125" style="8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241</v>
      </c>
      <c r="E1" t="s">
        <v>242</v>
      </c>
      <c r="F1" t="s">
        <v>243</v>
      </c>
      <c r="G1" t="s">
        <v>244</v>
      </c>
      <c r="H1" t="s">
        <v>245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  <c r="U1" t="s">
        <v>204</v>
      </c>
      <c r="V1" t="s">
        <v>205</v>
      </c>
      <c r="W1" t="s">
        <v>206</v>
      </c>
      <c r="X1" t="s">
        <v>207</v>
      </c>
      <c r="Y1" t="s">
        <v>208</v>
      </c>
      <c r="Z1" t="s">
        <v>209</v>
      </c>
      <c r="AA1" t="s">
        <v>210</v>
      </c>
      <c r="AB1" t="s">
        <v>211</v>
      </c>
      <c r="AC1" t="s">
        <v>212</v>
      </c>
      <c r="AD1" t="s">
        <v>213</v>
      </c>
      <c r="AE1" t="s">
        <v>214</v>
      </c>
      <c r="AF1" t="s">
        <v>215</v>
      </c>
      <c r="AG1" t="s">
        <v>216</v>
      </c>
      <c r="AH1" t="s">
        <v>217</v>
      </c>
      <c r="AI1" t="s">
        <v>218</v>
      </c>
      <c r="AJ1" t="s">
        <v>219</v>
      </c>
      <c r="AK1" t="s">
        <v>220</v>
      </c>
      <c r="AL1" t="s">
        <v>221</v>
      </c>
      <c r="AM1" t="s">
        <v>222</v>
      </c>
      <c r="AN1" t="s">
        <v>223</v>
      </c>
      <c r="AO1" t="s">
        <v>224</v>
      </c>
      <c r="AP1" t="s">
        <v>225</v>
      </c>
      <c r="AQ1" t="s">
        <v>226</v>
      </c>
      <c r="AR1" t="s">
        <v>227</v>
      </c>
      <c r="AS1" t="s">
        <v>228</v>
      </c>
      <c r="AT1" t="s">
        <v>229</v>
      </c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7.9999998211860657E-2</v>
      </c>
      <c r="C2">
        <v>6.1342664062976837E-2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 s="135">
        <v>1.0413334704935551E-2</v>
      </c>
      <c r="X2"/>
      <c r="Y2"/>
      <c r="Z2"/>
      <c r="AA2"/>
      <c r="AB2"/>
      <c r="AC2"/>
      <c r="AD2"/>
      <c r="AE2"/>
      <c r="AF2"/>
      <c r="AG2"/>
      <c r="AH2"/>
      <c r="AI2"/>
      <c r="AJ2" s="233">
        <v>8.2440003752708435E-3</v>
      </c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0.15000000596046448</v>
      </c>
      <c r="C3">
        <v>0.12989269196987152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 s="231">
        <v>2.0107317715883255E-2</v>
      </c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1.7999999225139618E-2</v>
      </c>
      <c r="C4">
        <v>1.7999999225139618E-2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1.9999999552965164E-2</v>
      </c>
      <c r="C5">
        <v>1.9994515925645828E-2</v>
      </c>
      <c r="D5"/>
      <c r="E5"/>
      <c r="F5"/>
      <c r="G5" s="11">
        <v>5.4838710639160126E-6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3.9999999105930328E-2</v>
      </c>
      <c r="C6">
        <v>3.1221505254507065E-2</v>
      </c>
      <c r="D6"/>
      <c r="E6"/>
      <c r="F6"/>
      <c r="G6" s="64">
        <v>8.5714284796267748E-4</v>
      </c>
      <c r="H6"/>
      <c r="I6"/>
      <c r="J6"/>
      <c r="K6"/>
      <c r="L6"/>
      <c r="M6"/>
      <c r="N6"/>
      <c r="O6"/>
      <c r="P6"/>
      <c r="Q6"/>
      <c r="R6" s="236">
        <v>3.83037980645895E-3</v>
      </c>
      <c r="S6"/>
      <c r="T6"/>
      <c r="U6"/>
      <c r="V6"/>
      <c r="W6" s="105">
        <v>2.6777144521474838E-3</v>
      </c>
      <c r="X6"/>
      <c r="Y6"/>
      <c r="Z6"/>
      <c r="AA6"/>
      <c r="AB6"/>
      <c r="AC6"/>
      <c r="AD6"/>
      <c r="AE6"/>
      <c r="AF6"/>
      <c r="AG6"/>
      <c r="AH6"/>
      <c r="AI6"/>
      <c r="AJ6" s="27">
        <v>1.4132572105154395E-3</v>
      </c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3.9999999105930328E-2</v>
      </c>
      <c r="C7">
        <v>3.2410651445388794E-2</v>
      </c>
      <c r="D7"/>
      <c r="E7"/>
      <c r="F7"/>
      <c r="G7" s="12">
        <v>1.4705881767440587E-4</v>
      </c>
      <c r="H7"/>
      <c r="I7"/>
      <c r="J7"/>
      <c r="K7"/>
      <c r="L7"/>
      <c r="M7"/>
      <c r="N7"/>
      <c r="O7"/>
      <c r="P7"/>
      <c r="Q7"/>
      <c r="R7" s="71">
        <v>3.1544303055852652E-3</v>
      </c>
      <c r="S7"/>
      <c r="T7"/>
      <c r="U7"/>
      <c r="V7"/>
      <c r="W7" s="71">
        <v>3.1240005046129227E-3</v>
      </c>
      <c r="X7"/>
      <c r="Y7"/>
      <c r="Z7"/>
      <c r="AA7"/>
      <c r="AB7"/>
      <c r="AC7"/>
      <c r="AD7"/>
      <c r="AE7"/>
      <c r="AF7"/>
      <c r="AG7"/>
      <c r="AH7"/>
      <c r="AI7"/>
      <c r="AJ7" s="140">
        <v>1.1638588039204478E-3</v>
      </c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0.15000000596046448</v>
      </c>
      <c r="C8">
        <v>7.4999995529651642E-2</v>
      </c>
      <c r="D8" s="14">
        <v>1.5357838128693402E-4</v>
      </c>
      <c r="E8" s="16">
        <v>2.4572541005909443E-3</v>
      </c>
      <c r="F8" s="14">
        <v>3.0715676257386804E-4</v>
      </c>
      <c r="G8" s="11">
        <v>1.1518379324115813E-4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 s="237">
        <v>7.1966841816902161E-2</v>
      </c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2.3499999046325684</v>
      </c>
      <c r="C9">
        <v>1.5048203468322754</v>
      </c>
      <c r="D9" s="73">
        <v>0.15230768918991089</v>
      </c>
      <c r="E9" s="218">
        <v>7.9999998211860657E-2</v>
      </c>
      <c r="F9" s="16">
        <v>3.8461539894342422E-2</v>
      </c>
      <c r="G9" s="230">
        <v>0.55384618043899536</v>
      </c>
      <c r="H9"/>
      <c r="I9"/>
      <c r="J9"/>
      <c r="K9"/>
      <c r="L9"/>
      <c r="M9"/>
      <c r="N9"/>
      <c r="O9"/>
      <c r="P9"/>
      <c r="Q9"/>
      <c r="R9" s="23">
        <v>1.3750080019235611E-2</v>
      </c>
      <c r="S9"/>
      <c r="T9"/>
      <c r="U9"/>
      <c r="V9"/>
      <c r="W9" s="14">
        <v>4.806153941899538E-3</v>
      </c>
      <c r="X9"/>
      <c r="Y9"/>
      <c r="Z9"/>
      <c r="AA9"/>
      <c r="AB9"/>
      <c r="AC9"/>
      <c r="AD9"/>
      <c r="AE9" s="11">
        <v>2.0080138929188251E-3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0.75999999046325684</v>
      </c>
      <c r="C10">
        <v>0.50884026288986206</v>
      </c>
      <c r="D10" s="22">
        <v>6.2222220003604889E-3</v>
      </c>
      <c r="E10" s="219">
        <v>0.1666666716337204</v>
      </c>
      <c r="F10" s="227">
        <v>6.2222223728895187E-2</v>
      </c>
      <c r="G10" s="11">
        <v>8.5555555415339768E-5</v>
      </c>
      <c r="H10" s="14">
        <v>1.1111111380159855E-3</v>
      </c>
      <c r="I10"/>
      <c r="J10"/>
      <c r="K10"/>
      <c r="L10"/>
      <c r="M10"/>
      <c r="N10"/>
      <c r="O10"/>
      <c r="P10"/>
      <c r="Q10"/>
      <c r="R10" s="17">
        <v>9.9306134507060051E-3</v>
      </c>
      <c r="S10"/>
      <c r="T10"/>
      <c r="U10"/>
      <c r="V10"/>
      <c r="W10" s="12">
        <v>3.4711114130914211E-3</v>
      </c>
      <c r="X10"/>
      <c r="Y10"/>
      <c r="Z10"/>
      <c r="AA10"/>
      <c r="AB10"/>
      <c r="AC10"/>
      <c r="AD10"/>
      <c r="AE10" s="14">
        <v>1.4502322301268578E-3</v>
      </c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1</v>
      </c>
      <c r="C11">
        <v>0.5</v>
      </c>
      <c r="D11" s="12">
        <v>3.1417999416589737E-3</v>
      </c>
      <c r="E11" s="220">
        <v>0.48872444033622742</v>
      </c>
      <c r="F11" s="22">
        <v>7.3308665305376053E-3</v>
      </c>
      <c r="G11" s="11">
        <v>8.0290448386222124E-4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1.1499999761581421</v>
      </c>
      <c r="C12">
        <v>0.86249995231628418</v>
      </c>
      <c r="D12" s="18">
        <v>1.2833110988140106E-2</v>
      </c>
      <c r="E12" s="221">
        <v>0.2681545615196228</v>
      </c>
      <c r="F12" s="11">
        <v>9.5769483596086502E-4</v>
      </c>
      <c r="G12" s="12">
        <v>5.5546299554407597E-3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0.43999999761581421</v>
      </c>
      <c r="C13">
        <v>0.10999996960163116</v>
      </c>
      <c r="D13" s="11">
        <v>3.919240552932024E-4</v>
      </c>
      <c r="E13" s="222">
        <v>0.32921618223190308</v>
      </c>
      <c r="F13" s="11">
        <v>2.7133201365359128E-4</v>
      </c>
      <c r="G13" s="11">
        <v>1.2059201981173828E-4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1.2000000476837158</v>
      </c>
      <c r="C14">
        <v>0.90000003576278687</v>
      </c>
      <c r="D14"/>
      <c r="E14" s="11">
        <v>2.7556452550925314E-4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 s="240">
        <v>0.29972445964813232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1.2000000476837158</v>
      </c>
      <c r="C15">
        <v>1.1181080341339111</v>
      </c>
      <c r="D15" s="14">
        <v>1.8727272981777787E-3</v>
      </c>
      <c r="E15" s="218">
        <v>4.0909089148044586E-2</v>
      </c>
      <c r="F15" s="64">
        <v>2.5363637134432793E-2</v>
      </c>
      <c r="G15" s="11">
        <v>2.9999999242136255E-5</v>
      </c>
      <c r="H15"/>
      <c r="I15"/>
      <c r="J15"/>
      <c r="K15"/>
      <c r="L15"/>
      <c r="M15"/>
      <c r="N15"/>
      <c r="O15"/>
      <c r="P15"/>
      <c r="Q15"/>
      <c r="R15"/>
      <c r="S15" s="14">
        <v>1.851035631261766E-3</v>
      </c>
      <c r="T15"/>
      <c r="U15"/>
      <c r="V15"/>
      <c r="W15"/>
      <c r="X15"/>
      <c r="Y15"/>
      <c r="Z15"/>
      <c r="AA15"/>
      <c r="AB15"/>
      <c r="AC15"/>
      <c r="AD15"/>
      <c r="AE15" s="15">
        <v>1.1865535750985146E-2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0.31999999284744263</v>
      </c>
      <c r="C16">
        <v>0.16677500307559967</v>
      </c>
      <c r="D16" s="215">
        <v>4.3249998241662979E-2</v>
      </c>
      <c r="E16" s="223">
        <v>5.5574998259544373E-2</v>
      </c>
      <c r="F16" s="228">
        <v>4.8250000923871994E-2</v>
      </c>
      <c r="G16" s="21">
        <v>6.1499997973442078E-3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0.25</v>
      </c>
      <c r="C17">
        <v>0.15973913669586182</v>
      </c>
      <c r="D17" s="216">
        <v>4.7826085239648819E-2</v>
      </c>
      <c r="E17" s="135">
        <v>3.2217390835285187E-2</v>
      </c>
      <c r="F17" s="23">
        <v>1.5217390609905124E-3</v>
      </c>
      <c r="G17" s="27">
        <v>8.6956517770886421E-3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1.8799999952316284</v>
      </c>
      <c r="C18">
        <v>1.128000020980835</v>
      </c>
      <c r="D18" s="26">
        <v>4.6513989567756653E-2</v>
      </c>
      <c r="E18" s="14">
        <v>2.5344453752040863E-3</v>
      </c>
      <c r="F18" s="67">
        <v>9.6053279936313629E-2</v>
      </c>
      <c r="G18" s="14">
        <v>3.6265787202864885E-3</v>
      </c>
      <c r="H18" s="14">
        <v>5.2942754700779915E-3</v>
      </c>
      <c r="I18"/>
      <c r="J18"/>
      <c r="K18"/>
      <c r="L18" s="75">
        <v>0.3165220320224762</v>
      </c>
      <c r="M18" s="14">
        <v>2.1838888060301542E-3</v>
      </c>
      <c r="N18"/>
      <c r="O18"/>
      <c r="P18" s="15">
        <v>1.9172839820384979E-2</v>
      </c>
      <c r="Q18"/>
      <c r="R18" s="21">
        <v>3.6840334534645081E-2</v>
      </c>
      <c r="S18" s="11">
        <v>1.5399832045659423E-4</v>
      </c>
      <c r="T18"/>
      <c r="U18"/>
      <c r="V18" s="15">
        <v>1.7863793298602104E-2</v>
      </c>
      <c r="W18" s="22">
        <v>1.6421180218458176E-2</v>
      </c>
      <c r="X18"/>
      <c r="Y18" s="18">
        <v>2.1500000730156898E-2</v>
      </c>
      <c r="Z18" s="14">
        <v>3.8788842502981424E-3</v>
      </c>
      <c r="AA18" s="246">
        <v>0.13543099164962769</v>
      </c>
      <c r="AB18" s="14">
        <v>2.0330017432570457E-3</v>
      </c>
      <c r="AC18" s="23">
        <v>1.134941354393959E-2</v>
      </c>
      <c r="AD18"/>
      <c r="AE18" s="14">
        <v>2.4679058697074652E-3</v>
      </c>
      <c r="AF18" s="11">
        <v>2.8114669839851558E-4</v>
      </c>
      <c r="AG18"/>
      <c r="AH18"/>
      <c r="AI18"/>
      <c r="AJ18" s="23">
        <v>1.1877949349582195E-2</v>
      </c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0.76999998092651367</v>
      </c>
      <c r="C19">
        <v>0.19249999523162842</v>
      </c>
      <c r="D19"/>
      <c r="E19" s="224">
        <v>0.14603801071643829</v>
      </c>
      <c r="F19"/>
      <c r="G19"/>
      <c r="H19"/>
      <c r="I19"/>
      <c r="J19"/>
      <c r="K19"/>
      <c r="L19" s="247">
        <v>0.34578558802604675</v>
      </c>
      <c r="M19"/>
      <c r="N19"/>
      <c r="O19"/>
      <c r="P19" s="20">
        <v>3.3512700349092484E-2</v>
      </c>
      <c r="Q19" s="67">
        <v>3.8757730275392532E-2</v>
      </c>
      <c r="R19" s="15">
        <v>7.3846508748829365E-3</v>
      </c>
      <c r="S19"/>
      <c r="T19" s="11">
        <v>4.2754071182571352E-4</v>
      </c>
      <c r="U19"/>
      <c r="V19"/>
      <c r="W19" s="23">
        <v>5.1624095067381859E-3</v>
      </c>
      <c r="X19"/>
      <c r="Y19"/>
      <c r="Z19"/>
      <c r="AA19"/>
      <c r="AB19"/>
      <c r="AC19"/>
      <c r="AD19"/>
      <c r="AE19" s="11">
        <v>4.3137153261341155E-4</v>
      </c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2.5</v>
      </c>
      <c r="C20">
        <v>0.12499988079071045</v>
      </c>
      <c r="D20" s="11">
        <v>2.6526750298216939E-4</v>
      </c>
      <c r="E20" s="11">
        <v>3.9790124901628587E-6</v>
      </c>
      <c r="F20" s="11">
        <v>2.6526750298216939E-4</v>
      </c>
      <c r="G20" s="11">
        <v>2.8620966077141929E-6</v>
      </c>
      <c r="H20"/>
      <c r="I20"/>
      <c r="J20"/>
      <c r="K20"/>
      <c r="L20" s="27">
        <v>8.7642982602119446E-2</v>
      </c>
      <c r="M20" s="15">
        <v>2.3381933569908142E-2</v>
      </c>
      <c r="N20" s="22">
        <v>1.9580930471420288E-2</v>
      </c>
      <c r="O20"/>
      <c r="P20" s="258">
        <v>0.3836522102355957</v>
      </c>
      <c r="Q20" s="23">
        <v>1.6372587531805038E-2</v>
      </c>
      <c r="R20" s="14">
        <v>6.8629630841314793E-3</v>
      </c>
      <c r="S20" s="11">
        <v>2.9848821577616036E-4</v>
      </c>
      <c r="T20" s="11">
        <v>1.806078216759488E-6</v>
      </c>
      <c r="U20" s="11">
        <v>1.1650391388684511E-3</v>
      </c>
      <c r="V20" s="23">
        <v>1.7087472602725029E-2</v>
      </c>
      <c r="W20" s="11">
        <v>1.1121968273073435E-3</v>
      </c>
      <c r="X20"/>
      <c r="Y20" s="257">
        <v>0.30559843778610229</v>
      </c>
      <c r="Z20" s="17">
        <v>3.5801295191049576E-2</v>
      </c>
      <c r="AA20" s="260">
        <v>1.25</v>
      </c>
      <c r="AB20" s="11">
        <v>3.7528367829509079E-4</v>
      </c>
      <c r="AC20" s="65">
        <v>0.10475274175405502</v>
      </c>
      <c r="AD20"/>
      <c r="AE20" s="11">
        <v>1.8495945259928703E-3</v>
      </c>
      <c r="AF20" s="11">
        <v>6.1413238290697336E-4</v>
      </c>
      <c r="AG20"/>
      <c r="AH20" s="22">
        <v>2.0274810492992401E-2</v>
      </c>
      <c r="AI20" s="15">
        <v>2.5857845321297646E-2</v>
      </c>
      <c r="AJ20" s="11">
        <v>7.9417735105380416E-4</v>
      </c>
      <c r="AK20" s="140">
        <v>7.1385748684406281E-2</v>
      </c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0.64999997615814209</v>
      </c>
      <c r="C21">
        <v>0.13032899796962738</v>
      </c>
      <c r="D21" s="217">
        <v>3.2099999487400055E-2</v>
      </c>
      <c r="E21" s="11">
        <v>1.2357142986729741E-4</v>
      </c>
      <c r="F21" s="11">
        <v>2.1428570107673295E-5</v>
      </c>
      <c r="G21"/>
      <c r="H21"/>
      <c r="I21"/>
      <c r="J21"/>
      <c r="K21"/>
      <c r="L21" s="243">
        <v>0.14946429431438446</v>
      </c>
      <c r="M21"/>
      <c r="N21"/>
      <c r="O21"/>
      <c r="P21" s="241">
        <v>7.2428576648235321E-2</v>
      </c>
      <c r="Q21"/>
      <c r="R21" s="140">
        <v>1.9151898100972176E-2</v>
      </c>
      <c r="S21"/>
      <c r="T21" s="11">
        <v>1.8480260041542351E-4</v>
      </c>
      <c r="U21" s="23">
        <v>3.4059949684888124E-3</v>
      </c>
      <c r="V21" s="27">
        <v>2.3005714640021324E-2</v>
      </c>
      <c r="W21" s="22">
        <v>4.4628577306866646E-3</v>
      </c>
      <c r="X21"/>
      <c r="Y21"/>
      <c r="Z21"/>
      <c r="AA21"/>
      <c r="AB21"/>
      <c r="AC21" s="242">
        <v>0.10718571394681931</v>
      </c>
      <c r="AD21"/>
      <c r="AE21" s="14">
        <v>9.3229219783097506E-4</v>
      </c>
      <c r="AF21"/>
      <c r="AG21"/>
      <c r="AH21"/>
      <c r="AI21"/>
      <c r="AJ21" s="238">
        <v>1.5899142250418663E-2</v>
      </c>
      <c r="AK21" s="74">
        <v>9.1304689645767212E-2</v>
      </c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1.75</v>
      </c>
      <c r="C22">
        <v>0.14323519170284271</v>
      </c>
      <c r="D22" s="137">
        <v>0.17365853488445282</v>
      </c>
      <c r="E22" s="11">
        <v>5.7317072059959173E-4</v>
      </c>
      <c r="F22" s="218">
        <v>5.9756096452474594E-2</v>
      </c>
      <c r="G22" s="63">
        <v>9.5487803220748901E-2</v>
      </c>
      <c r="H22" s="22">
        <v>1.3414634391665459E-2</v>
      </c>
      <c r="I22"/>
      <c r="J22"/>
      <c r="K22"/>
      <c r="L22" s="246">
        <v>0.12759146094322205</v>
      </c>
      <c r="M22"/>
      <c r="N22"/>
      <c r="O22"/>
      <c r="P22" s="22">
        <v>1.2365854345262051E-2</v>
      </c>
      <c r="Q22"/>
      <c r="R22" s="71">
        <v>0.13678812980651855</v>
      </c>
      <c r="S22"/>
      <c r="T22" s="11">
        <v>6.6258484730497003E-4</v>
      </c>
      <c r="U22" s="12">
        <v>8.1411581486463547E-3</v>
      </c>
      <c r="V22" s="249">
        <v>0.14794731140136719</v>
      </c>
      <c r="W22" s="64">
        <v>3.6573659628629684E-2</v>
      </c>
      <c r="X22"/>
      <c r="Y22" s="244">
        <v>6.9333977997303009E-2</v>
      </c>
      <c r="Z22"/>
      <c r="AA22" s="240">
        <v>0.43674278259277344</v>
      </c>
      <c r="AB22"/>
      <c r="AC22" s="15">
        <v>1.8300000578165054E-2</v>
      </c>
      <c r="AD22"/>
      <c r="AE22" s="23">
        <v>9.3911383301019669E-3</v>
      </c>
      <c r="AF22"/>
      <c r="AG22"/>
      <c r="AH22"/>
      <c r="AI22"/>
      <c r="AJ22" s="245">
        <v>0.11973906308412552</v>
      </c>
      <c r="AK22" s="248">
        <v>0.14029742777347565</v>
      </c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0.72000002861022949</v>
      </c>
      <c r="C23">
        <v>0.22403573989868164</v>
      </c>
      <c r="D23" s="12">
        <v>2.5730000343173742E-3</v>
      </c>
      <c r="E23" s="14">
        <v>1.39999995008111E-3</v>
      </c>
      <c r="F23" s="229">
        <v>5.299999937415123E-2</v>
      </c>
      <c r="G23" s="11">
        <v>2.0999999833293259E-5</v>
      </c>
      <c r="H23" s="11">
        <v>5.0999998347833753E-4</v>
      </c>
      <c r="I23"/>
      <c r="J23"/>
      <c r="K23"/>
      <c r="L23" s="253">
        <v>0.41850000619888306</v>
      </c>
      <c r="M23"/>
      <c r="N23"/>
      <c r="O23"/>
      <c r="P23"/>
      <c r="Q23"/>
      <c r="R23"/>
      <c r="S23"/>
      <c r="T23" s="11">
        <v>5.6919193593785167E-4</v>
      </c>
      <c r="U23"/>
      <c r="V23" s="15">
        <v>7.5151999481022358E-3</v>
      </c>
      <c r="W23" s="12">
        <v>3.124000271782279E-3</v>
      </c>
      <c r="X23"/>
      <c r="Y23"/>
      <c r="Z23"/>
      <c r="AA23"/>
      <c r="AB23"/>
      <c r="AC23"/>
      <c r="AD23"/>
      <c r="AE23" s="15">
        <v>6.5260450355708599E-3</v>
      </c>
      <c r="AF23"/>
      <c r="AG23"/>
      <c r="AH23"/>
      <c r="AI23"/>
      <c r="AJ23" s="12">
        <v>2.2258798126131296E-3</v>
      </c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0.5</v>
      </c>
      <c r="C24">
        <v>0.12500002980232239</v>
      </c>
      <c r="D24" s="11">
        <v>6.8954468588344753E-5</v>
      </c>
      <c r="E24" s="14">
        <v>9.6536264754831791E-4</v>
      </c>
      <c r="F24" s="11">
        <v>6.8954468588344753E-5</v>
      </c>
      <c r="G24"/>
      <c r="H24"/>
      <c r="I24"/>
      <c r="J24"/>
      <c r="K24"/>
      <c r="L24"/>
      <c r="M24"/>
      <c r="N24"/>
      <c r="O24"/>
      <c r="P24"/>
      <c r="Q24"/>
      <c r="R24" s="239">
        <v>0.15407104790210724</v>
      </c>
      <c r="S24" s="24">
        <v>1.4040091075003147E-2</v>
      </c>
      <c r="T24"/>
      <c r="U24"/>
      <c r="V24"/>
      <c r="W24" s="135">
        <v>6.4624138176441193E-2</v>
      </c>
      <c r="X24"/>
      <c r="Y24"/>
      <c r="Z24"/>
      <c r="AA24"/>
      <c r="AB24"/>
      <c r="AC24"/>
      <c r="AD24"/>
      <c r="AE24" s="235">
        <v>8.999999612569809E-2</v>
      </c>
      <c r="AF24"/>
      <c r="AG24"/>
      <c r="AH24"/>
      <c r="AI24"/>
      <c r="AJ24" s="234">
        <v>5.1161449402570724E-2</v>
      </c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0.56999999284744263</v>
      </c>
      <c r="C25">
        <v>0.14250002801418304</v>
      </c>
      <c r="D25" s="11">
        <v>1.5753482875879854E-4</v>
      </c>
      <c r="E25" s="11">
        <v>1.5753482875879854E-4</v>
      </c>
      <c r="F25"/>
      <c r="G25" s="11">
        <v>7.876741437939927E-5</v>
      </c>
      <c r="H25"/>
      <c r="I25"/>
      <c r="J25"/>
      <c r="K25"/>
      <c r="L25"/>
      <c r="M25"/>
      <c r="N25"/>
      <c r="O25"/>
      <c r="P25"/>
      <c r="Q25"/>
      <c r="R25" s="239">
        <v>0.17599697411060333</v>
      </c>
      <c r="S25" s="24">
        <v>1.6038144007325172E-2</v>
      </c>
      <c r="T25"/>
      <c r="U25"/>
      <c r="V25"/>
      <c r="W25" s="135">
        <v>7.3820829391479492E-2</v>
      </c>
      <c r="X25"/>
      <c r="Y25"/>
      <c r="Z25"/>
      <c r="AA25"/>
      <c r="AB25"/>
      <c r="AC25"/>
      <c r="AD25"/>
      <c r="AE25" s="235">
        <v>0.10280793905258179</v>
      </c>
      <c r="AF25"/>
      <c r="AG25"/>
      <c r="AH25"/>
      <c r="AI25"/>
      <c r="AJ25" s="234">
        <v>5.8442261070013046E-2</v>
      </c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0.20999999344348907</v>
      </c>
      <c r="C26">
        <v>5.2499987185001373E-2</v>
      </c>
      <c r="D26" s="11">
        <v>1.0214396752417088E-5</v>
      </c>
      <c r="E26" s="225">
        <v>3.7180401384830475E-2</v>
      </c>
      <c r="F26"/>
      <c r="G26"/>
      <c r="H26"/>
      <c r="I26"/>
      <c r="J26"/>
      <c r="K26"/>
      <c r="L26"/>
      <c r="M26"/>
      <c r="N26"/>
      <c r="O26"/>
      <c r="P26"/>
      <c r="Q26"/>
      <c r="R26" s="232">
        <v>4.5645851641893387E-2</v>
      </c>
      <c r="S26" s="21">
        <v>4.1595869697630405E-3</v>
      </c>
      <c r="T26"/>
      <c r="U26"/>
      <c r="V26"/>
      <c r="W26" s="228">
        <v>3.1909778714179993E-2</v>
      </c>
      <c r="X26"/>
      <c r="Y26"/>
      <c r="Z26"/>
      <c r="AA26"/>
      <c r="AB26"/>
      <c r="AC26"/>
      <c r="AD26"/>
      <c r="AE26" s="66">
        <v>1.3331922702491283E-2</v>
      </c>
      <c r="AF26"/>
      <c r="AG26"/>
      <c r="AH26"/>
      <c r="AI26"/>
      <c r="AJ26" s="136">
        <v>2.5262245908379555E-2</v>
      </c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3.1500000953674316</v>
      </c>
      <c r="C27">
        <v>3.2351814210414886E-2</v>
      </c>
      <c r="D27" s="11">
        <v>9.6999999368563294E-4</v>
      </c>
      <c r="E27"/>
      <c r="F27" s="15">
        <v>2.9549999162554741E-2</v>
      </c>
      <c r="G27" s="11">
        <v>2.5000001187436283E-5</v>
      </c>
      <c r="H27"/>
      <c r="I27"/>
      <c r="J27"/>
      <c r="K27"/>
      <c r="L27" s="250">
        <v>1.0462499856948853</v>
      </c>
      <c r="M27" s="137">
        <v>0.31762498617172241</v>
      </c>
      <c r="N27"/>
      <c r="O27"/>
      <c r="P27" s="73">
        <v>0.20280002057552338</v>
      </c>
      <c r="Q27"/>
      <c r="R27" s="19">
        <v>5.3625315427780151E-2</v>
      </c>
      <c r="S27" s="12">
        <v>9.3662403523921967E-3</v>
      </c>
      <c r="T27"/>
      <c r="U27" s="17">
        <v>4.2915530502796173E-2</v>
      </c>
      <c r="V27" s="13">
        <v>0.1180960014462471</v>
      </c>
      <c r="W27" s="15">
        <v>2.9678001999855042E-2</v>
      </c>
      <c r="X27"/>
      <c r="Y27"/>
      <c r="Z27"/>
      <c r="AA27"/>
      <c r="AB27"/>
      <c r="AC27"/>
      <c r="AD27"/>
      <c r="AE27" s="64">
        <v>6.5260455012321472E-2</v>
      </c>
      <c r="AF27" s="23">
        <v>1.9205911085009575E-2</v>
      </c>
      <c r="AG27"/>
      <c r="AH27" s="230">
        <v>0.73979997634887695</v>
      </c>
      <c r="AI27" s="231">
        <v>0.42022192478179932</v>
      </c>
      <c r="AJ27" s="22">
        <v>2.2258799523115158E-2</v>
      </c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1.75</v>
      </c>
      <c r="C28">
        <v>0.43749988079071045</v>
      </c>
      <c r="D28" s="14">
        <v>2.0875399932265282E-3</v>
      </c>
      <c r="E28"/>
      <c r="F28" s="14">
        <v>2.1021892316639423E-3</v>
      </c>
      <c r="G28" s="11">
        <v>5.8597612223820761E-5</v>
      </c>
      <c r="H28"/>
      <c r="I28"/>
      <c r="J28"/>
      <c r="K28"/>
      <c r="L28" s="251">
        <v>1.1495202779769897</v>
      </c>
      <c r="M28"/>
      <c r="N28"/>
      <c r="O28"/>
      <c r="P28"/>
      <c r="Q28"/>
      <c r="R28" s="64">
        <v>3.9278943091630936E-2</v>
      </c>
      <c r="S28" s="14">
        <v>4.6233744360506535E-3</v>
      </c>
      <c r="T28"/>
      <c r="U28"/>
      <c r="V28" s="14">
        <v>3.9319000206887722E-3</v>
      </c>
      <c r="W28" s="26">
        <v>4.5764736831188202E-2</v>
      </c>
      <c r="X28"/>
      <c r="Y28"/>
      <c r="Z28"/>
      <c r="AA28"/>
      <c r="AB28"/>
      <c r="AC28"/>
      <c r="AD28"/>
      <c r="AE28" s="17">
        <v>2.390066534280777E-2</v>
      </c>
      <c r="AF28" s="23">
        <v>9.5297703519463539E-3</v>
      </c>
      <c r="AG28"/>
      <c r="AH28"/>
      <c r="AI28"/>
      <c r="AJ28" s="19">
        <v>3.1702037900686264E-2</v>
      </c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0.57999998331069946</v>
      </c>
      <c r="C29">
        <v>0.24201466143131256</v>
      </c>
      <c r="D29" s="26">
        <v>1.4518518000841141E-2</v>
      </c>
      <c r="E29" s="226">
        <v>0.26796296238899231</v>
      </c>
      <c r="F29" s="217">
        <v>2.8777776286005974E-2</v>
      </c>
      <c r="G29" s="12">
        <v>2.4444444570690393E-3</v>
      </c>
      <c r="H29" s="11">
        <v>1.1111110507044941E-4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 s="65">
        <v>2.4170536547899246E-2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2.25</v>
      </c>
      <c r="C30">
        <v>0.11250002682209015</v>
      </c>
      <c r="D30" s="11">
        <v>2.1770123858004808E-3</v>
      </c>
      <c r="E30"/>
      <c r="F30" s="23">
        <v>1.2094513513147831E-2</v>
      </c>
      <c r="G30" s="11">
        <v>4.837805317947641E-5</v>
      </c>
      <c r="H30"/>
      <c r="I30"/>
      <c r="J30"/>
      <c r="K30"/>
      <c r="L30" s="255">
        <v>0.63269424438476562</v>
      </c>
      <c r="M30" s="16">
        <v>3.4922908991575241E-2</v>
      </c>
      <c r="N30"/>
      <c r="O30"/>
      <c r="P30" s="28">
        <v>0.10424262285232544</v>
      </c>
      <c r="Q30" s="254">
        <v>0.44677191972732544</v>
      </c>
      <c r="R30" s="12">
        <v>6.7559592425823212E-3</v>
      </c>
      <c r="S30" s="14">
        <v>6.1565283685922623E-3</v>
      </c>
      <c r="T30" s="11">
        <v>3.1291365303331986E-5</v>
      </c>
      <c r="U30" s="23">
        <v>1.4129490591585636E-2</v>
      </c>
      <c r="V30" s="16">
        <v>3.6357074975967407E-2</v>
      </c>
      <c r="W30" s="12">
        <v>7.5566521845757961E-3</v>
      </c>
      <c r="X30"/>
      <c r="Y30"/>
      <c r="Z30" s="27">
        <v>8.0636195838451385E-2</v>
      </c>
      <c r="AA30"/>
      <c r="AB30" s="22">
        <v>1.8422361463308334E-2</v>
      </c>
      <c r="AC30" s="24">
        <v>6.3521593809127808E-2</v>
      </c>
      <c r="AD30" s="227">
        <v>0.18444132804870605</v>
      </c>
      <c r="AE30" s="23">
        <v>1.1839400976896286E-2</v>
      </c>
      <c r="AF30" s="12">
        <v>7.4931015260517597E-3</v>
      </c>
      <c r="AG30"/>
      <c r="AH30" s="252">
        <v>0.24522837996482849</v>
      </c>
      <c r="AI30" s="66">
        <v>0.13929484784603119</v>
      </c>
      <c r="AJ30" s="14">
        <v>5.3841867484152317E-3</v>
      </c>
      <c r="AK30" s="27">
        <v>7.7299997210502625E-2</v>
      </c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2.880000114440918</v>
      </c>
      <c r="C31">
        <v>0.14400021731853485</v>
      </c>
      <c r="D31"/>
      <c r="E31"/>
      <c r="F31"/>
      <c r="G31"/>
      <c r="H31"/>
      <c r="I31" s="28">
        <v>0.13499468564987183</v>
      </c>
      <c r="J31"/>
      <c r="K31"/>
      <c r="L31" s="15">
        <v>2.6057504117488861E-2</v>
      </c>
      <c r="M31" s="22">
        <v>2.5170240551233292E-2</v>
      </c>
      <c r="N31"/>
      <c r="O31"/>
      <c r="P31" s="18">
        <v>3.1567871570587158E-2</v>
      </c>
      <c r="Q31"/>
      <c r="R31" s="11">
        <v>1.6694646910764277E-4</v>
      </c>
      <c r="S31"/>
      <c r="T31"/>
      <c r="U31" s="23">
        <v>1.6359159722924232E-2</v>
      </c>
      <c r="V31" s="12">
        <v>1.016069483011961E-2</v>
      </c>
      <c r="W31" s="11">
        <v>2.139641874236986E-4</v>
      </c>
      <c r="X31"/>
      <c r="Y31" s="16">
        <v>4.2479418218135834E-2</v>
      </c>
      <c r="Z31" s="23">
        <v>1.5966350212693214E-2</v>
      </c>
      <c r="AA31" s="259">
        <v>0.6689569354057312</v>
      </c>
      <c r="AB31"/>
      <c r="AC31" s="238">
        <v>6.7272067070007324E-2</v>
      </c>
      <c r="AD31" s="18">
        <v>3.3233433961868286E-2</v>
      </c>
      <c r="AE31"/>
      <c r="AF31"/>
      <c r="AG31"/>
      <c r="AH31" s="256">
        <v>0.14978985488414764</v>
      </c>
      <c r="AI31" s="15">
        <v>2.9071908444166183E-2</v>
      </c>
      <c r="AJ31" s="11">
        <v>1.5399143740069121E-4</v>
      </c>
      <c r="AK31" s="17">
        <v>3.9794996380805969E-2</v>
      </c>
      <c r="AL31"/>
      <c r="AM31"/>
      <c r="AN31"/>
      <c r="AO31" s="262">
        <v>1.4445900917053223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2.0699999332427979</v>
      </c>
      <c r="C32">
        <v>0.10350002348423004</v>
      </c>
      <c r="D32" s="11">
        <v>2.6683633791435568E-7</v>
      </c>
      <c r="E32"/>
      <c r="F32" s="11">
        <v>4.4472717490862124E-6</v>
      </c>
      <c r="G32" s="11">
        <v>5.7814531828626059E-8</v>
      </c>
      <c r="H32"/>
      <c r="I32" s="11">
        <v>8.7655725656077266E-4</v>
      </c>
      <c r="J32" s="11">
        <v>1.796942378859967E-4</v>
      </c>
      <c r="K32" s="14">
        <v>4.1983760893344879E-3</v>
      </c>
      <c r="L32" s="12">
        <v>8.3753252401947975E-3</v>
      </c>
      <c r="M32" s="14">
        <v>2.2601035889238119E-3</v>
      </c>
      <c r="N32" s="15">
        <v>2.1955292671918869E-2</v>
      </c>
      <c r="O32" s="11">
        <v>2.0270366803742945E-5</v>
      </c>
      <c r="P32" s="23">
        <v>1.2852171435952187E-2</v>
      </c>
      <c r="Q32" s="14">
        <v>4.8502436839044094E-3</v>
      </c>
      <c r="R32" s="11">
        <v>1.192431736853905E-4</v>
      </c>
      <c r="S32" s="11">
        <v>1.3220686923887115E-5</v>
      </c>
      <c r="T32" s="11">
        <v>3.1411767849931493E-5</v>
      </c>
      <c r="U32" s="11">
        <v>1.3572057650890201E-4</v>
      </c>
      <c r="V32" s="11">
        <v>6.2069681007415056E-4</v>
      </c>
      <c r="W32" s="11">
        <v>5.4461648687720299E-4</v>
      </c>
      <c r="X32" s="11">
        <v>5.9991474699927494E-5</v>
      </c>
      <c r="Y32" s="13">
        <v>7.8887507319450378E-2</v>
      </c>
      <c r="Z32" s="23">
        <v>1.2248030863702297E-2</v>
      </c>
      <c r="AA32" s="216">
        <v>0.39817431569099426</v>
      </c>
      <c r="AB32" s="11">
        <v>1.5939021250233054E-3</v>
      </c>
      <c r="AC32" s="18">
        <v>2.4825703352689743E-2</v>
      </c>
      <c r="AD32" s="22">
        <v>1.478495541960001E-2</v>
      </c>
      <c r="AE32" s="11">
        <v>7.5460047810338438E-5</v>
      </c>
      <c r="AF32" s="11">
        <v>1.1021149839507416E-4</v>
      </c>
      <c r="AG32" s="11">
        <v>2.58623156696558E-4</v>
      </c>
      <c r="AH32" s="14">
        <v>2.8757837135344744E-3</v>
      </c>
      <c r="AI32" s="12">
        <v>6.6447681747376919E-3</v>
      </c>
      <c r="AJ32" s="11">
        <v>2.0238145953044295E-4</v>
      </c>
      <c r="AK32" s="18">
        <v>2.4444617331027985E-2</v>
      </c>
      <c r="AL32"/>
      <c r="AM32" s="263">
        <v>0.4312000572681427</v>
      </c>
      <c r="AN32"/>
      <c r="AO32" s="265">
        <v>0.85984408855438232</v>
      </c>
      <c r="AP32" s="26">
        <v>5.3231630474328995E-2</v>
      </c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2</v>
      </c>
      <c r="C33">
        <v>9.941864013671875E-2</v>
      </c>
      <c r="D33"/>
      <c r="E33"/>
      <c r="F33"/>
      <c r="G33"/>
      <c r="H33"/>
      <c r="I33" s="11">
        <v>9.8549993708729744E-4</v>
      </c>
      <c r="J33" s="11">
        <v>1.2121649924665689E-3</v>
      </c>
      <c r="K33"/>
      <c r="L33" s="14">
        <v>3.9757499471306801E-3</v>
      </c>
      <c r="M33" s="14">
        <v>4.5622498728334904E-3</v>
      </c>
      <c r="N33" s="13">
        <v>7.5875252485275269E-2</v>
      </c>
      <c r="O33"/>
      <c r="P33" s="14">
        <v>2.4336001370102167E-3</v>
      </c>
      <c r="Q33" s="14">
        <v>5.2771498449146748E-3</v>
      </c>
      <c r="R33"/>
      <c r="S33" s="11">
        <v>7.5133539212401956E-5</v>
      </c>
      <c r="T33" s="11">
        <v>6.4680904188207933E-7</v>
      </c>
      <c r="U33" s="11">
        <v>3.48092638887465E-4</v>
      </c>
      <c r="V33" s="11">
        <v>3.9186401409097016E-4</v>
      </c>
      <c r="W33" s="11">
        <v>1.7182001101900823E-5</v>
      </c>
      <c r="X33"/>
      <c r="Y33" s="26">
        <v>5.0031397491693497E-2</v>
      </c>
      <c r="Z33" s="11">
        <v>2.5642968830652535E-4</v>
      </c>
      <c r="AA33" s="15">
        <v>1.7906453460454941E-2</v>
      </c>
      <c r="AB33"/>
      <c r="AC33" s="15">
        <v>1.8907558172941208E-2</v>
      </c>
      <c r="AD33" s="64">
        <v>4.3843749910593033E-2</v>
      </c>
      <c r="AE33"/>
      <c r="AF33" s="11">
        <v>2.595895784907043E-4</v>
      </c>
      <c r="AG33"/>
      <c r="AH33" s="14">
        <v>3.3153996337205172E-3</v>
      </c>
      <c r="AI33" s="11">
        <v>4.6691321767866611E-4</v>
      </c>
      <c r="AJ33"/>
      <c r="AK33" s="14">
        <v>4.4739297591149807E-3</v>
      </c>
      <c r="AL33"/>
      <c r="AM33"/>
      <c r="AN33"/>
      <c r="AO33" s="266">
        <v>1.6240720748901367</v>
      </c>
      <c r="AP33" s="64">
        <v>4.1893258690834045E-2</v>
      </c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2</v>
      </c>
      <c r="C34">
        <v>0.30000007152557373</v>
      </c>
      <c r="D34"/>
      <c r="E34"/>
      <c r="F34"/>
      <c r="G34"/>
      <c r="H34"/>
      <c r="I34" s="23">
        <v>1.248810812830925E-2</v>
      </c>
      <c r="J34"/>
      <c r="K34" s="11">
        <v>1.4990799827501178E-3</v>
      </c>
      <c r="L34" s="141">
        <v>0.12235169857740402</v>
      </c>
      <c r="M34" s="16">
        <v>3.120601549744606E-2</v>
      </c>
      <c r="N34" s="25">
        <v>6.4234063029289246E-2</v>
      </c>
      <c r="O34" s="11">
        <v>4.1255319956690073E-5</v>
      </c>
      <c r="P34" s="14">
        <v>3.3040945418179035E-3</v>
      </c>
      <c r="Q34" s="13">
        <v>7.5681276619434357E-2</v>
      </c>
      <c r="R34" s="11">
        <v>3.8425915408879519E-4</v>
      </c>
      <c r="S34" s="11">
        <v>3.317355367471464E-5</v>
      </c>
      <c r="T34" s="11">
        <v>1.4144416491035372E-4</v>
      </c>
      <c r="U34" s="11">
        <v>4.6181475045159459E-4</v>
      </c>
      <c r="V34" s="11">
        <v>1.2146873632445931E-3</v>
      </c>
      <c r="W34" s="11">
        <v>3.2517782528884709E-4</v>
      </c>
      <c r="X34" s="11">
        <v>4.0699269447941333E-5</v>
      </c>
      <c r="Y34" s="71">
        <v>0.15592458844184875</v>
      </c>
      <c r="Z34" s="23">
        <v>1.1605137959122658E-2</v>
      </c>
      <c r="AA34" s="217">
        <v>9.7246244549751282E-2</v>
      </c>
      <c r="AB34" s="11">
        <v>1.1353977606631815E-4</v>
      </c>
      <c r="AC34" s="18">
        <v>2.4448344483971596E-2</v>
      </c>
      <c r="AD34" s="15">
        <v>1.8220311030745506E-2</v>
      </c>
      <c r="AE34" s="11">
        <v>1.1813866876764223E-4</v>
      </c>
      <c r="AF34" s="11">
        <v>1.1439719673944637E-4</v>
      </c>
      <c r="AG34" s="11">
        <v>1.8661977082956582E-4</v>
      </c>
      <c r="AH34" s="12">
        <v>7.2417822666466236E-3</v>
      </c>
      <c r="AI34" s="14">
        <v>3.3809454180300236E-3</v>
      </c>
      <c r="AJ34" s="11">
        <v>2.1714156900998205E-4</v>
      </c>
      <c r="AK34" s="12">
        <v>6.9419955834746361E-3</v>
      </c>
      <c r="AL34"/>
      <c r="AM34"/>
      <c r="AN34"/>
      <c r="AO34" s="264">
        <v>1.0500000715255737</v>
      </c>
      <c r="AP34" s="23">
        <v>1.0833981446921825E-2</v>
      </c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3.5</v>
      </c>
      <c r="C35">
        <v>0.17499983310699463</v>
      </c>
      <c r="D35"/>
      <c r="E35"/>
      <c r="F35"/>
      <c r="G35"/>
      <c r="H35"/>
      <c r="I35"/>
      <c r="J35"/>
      <c r="K35" s="23">
        <v>1.7987882718443871E-2</v>
      </c>
      <c r="L35"/>
      <c r="M35"/>
      <c r="N35" s="17">
        <v>4.6869117766618729E-2</v>
      </c>
      <c r="O35" s="11">
        <v>7.6159107265993953E-4</v>
      </c>
      <c r="P35" s="14">
        <v>6.7772245965898037E-3</v>
      </c>
      <c r="Q35" s="23">
        <v>1.9594799727201462E-2</v>
      </c>
      <c r="R35"/>
      <c r="S35"/>
      <c r="T35"/>
      <c r="U35" s="11">
        <v>5.9756776317954063E-4</v>
      </c>
      <c r="V35" s="14">
        <v>4.1259527206420898E-3</v>
      </c>
      <c r="W35" s="11">
        <v>3.6539533175528049E-4</v>
      </c>
      <c r="X35" s="11">
        <v>3.7566307582892478E-4</v>
      </c>
      <c r="Y35" s="12">
        <v>1.4249680563807487E-2</v>
      </c>
      <c r="Z35" s="14">
        <v>6.8555488251149654E-3</v>
      </c>
      <c r="AA35"/>
      <c r="AB35" s="12">
        <v>1.4971381984651089E-2</v>
      </c>
      <c r="AC35" s="12">
        <v>1.2536861002445221E-2</v>
      </c>
      <c r="AD35" s="22">
        <v>2.548142708837986E-2</v>
      </c>
      <c r="AE35"/>
      <c r="AF35"/>
      <c r="AG35"/>
      <c r="AH35" s="14">
        <v>1.007226575165987E-2</v>
      </c>
      <c r="AI35"/>
      <c r="AJ35" s="11">
        <v>2.4795011267997324E-4</v>
      </c>
      <c r="AK35" s="63">
        <v>0.19222839176654816</v>
      </c>
      <c r="AL35"/>
      <c r="AM35" s="104">
        <v>1.0125559568405151</v>
      </c>
      <c r="AN35"/>
      <c r="AO35" s="261">
        <v>1.9383455514907837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64</v>
      </c>
      <c r="C36">
        <v>20.479999542236328</v>
      </c>
      <c r="D36"/>
      <c r="E36"/>
      <c r="F36"/>
      <c r="G36"/>
      <c r="H36"/>
      <c r="I36"/>
      <c r="J36" s="11">
        <v>4.4595557264983654E-3</v>
      </c>
      <c r="K36" s="14">
        <v>9.8427988588809967E-2</v>
      </c>
      <c r="L36"/>
      <c r="M36" s="11">
        <v>4.9029762158170342E-4</v>
      </c>
      <c r="N36"/>
      <c r="O36" s="11">
        <v>6.0496089281514287E-4</v>
      </c>
      <c r="P36" s="11">
        <v>1.4348104014061391E-4</v>
      </c>
      <c r="Q36"/>
      <c r="R36"/>
      <c r="S36" s="11">
        <v>3.4573654374980833E-6</v>
      </c>
      <c r="T36" s="11">
        <v>2.4162205590982921E-5</v>
      </c>
      <c r="U36"/>
      <c r="V36"/>
      <c r="W36"/>
      <c r="X36" s="11">
        <v>5.7262938935309649E-4</v>
      </c>
      <c r="Y36" s="11">
        <v>5.5509280413389206E-2</v>
      </c>
      <c r="Z36" s="11">
        <v>6.5312656806781888E-4</v>
      </c>
      <c r="AA36" s="13">
        <v>2.4425480365753174</v>
      </c>
      <c r="AB36" s="11">
        <v>7.6070413342677057E-5</v>
      </c>
      <c r="AC36" s="11">
        <v>4.2466988088563085E-4</v>
      </c>
      <c r="AD36"/>
      <c r="AE36"/>
      <c r="AF36" s="11">
        <v>5.2599425544030964E-5</v>
      </c>
      <c r="AG36" s="11">
        <v>1.3215761282481253E-4</v>
      </c>
      <c r="AH36"/>
      <c r="AI36"/>
      <c r="AJ36"/>
      <c r="AK36" s="11">
        <v>1.1937724426388741E-2</v>
      </c>
      <c r="AL36" s="63">
        <v>3.5269441604614258</v>
      </c>
      <c r="AM36" s="142">
        <v>16.292030334472656</v>
      </c>
      <c r="AN36" s="269">
        <v>19.524738311767578</v>
      </c>
      <c r="AO36" s="18">
        <v>0.7879071831703186</v>
      </c>
      <c r="AP36" s="18">
        <v>0.77232033014297485</v>
      </c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143</v>
      </c>
      <c r="C37">
        <v>2.8599972724914551</v>
      </c>
      <c r="D37"/>
      <c r="E37"/>
      <c r="F37"/>
      <c r="G37"/>
      <c r="H37"/>
      <c r="I37"/>
      <c r="J37" s="11">
        <v>2.5423630140721798E-3</v>
      </c>
      <c r="K37"/>
      <c r="L37"/>
      <c r="M37" s="11">
        <v>6.9878857175353914E-5</v>
      </c>
      <c r="N37"/>
      <c r="O37" s="11">
        <v>3.3201539190486073E-4</v>
      </c>
      <c r="P37" s="11">
        <v>1.2269637954887003E-4</v>
      </c>
      <c r="Q37"/>
      <c r="R37"/>
      <c r="S37" s="11">
        <v>1.97102099264157E-6</v>
      </c>
      <c r="T37"/>
      <c r="U37"/>
      <c r="V37"/>
      <c r="W37"/>
      <c r="X37" s="11">
        <v>3.2645222381688654E-4</v>
      </c>
      <c r="Y37" s="11">
        <v>3.164546936750412E-2</v>
      </c>
      <c r="Z37"/>
      <c r="AA37" s="12">
        <v>0.63268303871154785</v>
      </c>
      <c r="AB37"/>
      <c r="AC37" s="11">
        <v>1.8157610611524433E-4</v>
      </c>
      <c r="AD37"/>
      <c r="AE37"/>
      <c r="AF37" s="11">
        <v>2.9986582376295701E-5</v>
      </c>
      <c r="AG37"/>
      <c r="AH37"/>
      <c r="AI37"/>
      <c r="AJ37"/>
      <c r="AK37" s="11">
        <v>6.8056173622608185E-3</v>
      </c>
      <c r="AL37" s="17">
        <v>1.9939874410629272</v>
      </c>
      <c r="AM37" s="268">
        <v>8.212529182434082</v>
      </c>
      <c r="AN37" s="73">
        <v>9.3917179107666016</v>
      </c>
      <c r="AO37" s="12">
        <v>0.44918063282966614</v>
      </c>
      <c r="AP37" s="14">
        <v>0.38236117362976074</v>
      </c>
      <c r="AQ37" s="271">
        <v>119.03549194335938</v>
      </c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125</v>
      </c>
      <c r="C38">
        <v>12.500002861022949</v>
      </c>
      <c r="D38"/>
      <c r="E38"/>
      <c r="F38"/>
      <c r="G38"/>
      <c r="H38"/>
      <c r="I38"/>
      <c r="J38"/>
      <c r="K38"/>
      <c r="L38"/>
      <c r="M38"/>
      <c r="N38"/>
      <c r="O38" s="11">
        <v>6.4181738707702607E-5</v>
      </c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 s="267">
        <v>11.377513885498047</v>
      </c>
      <c r="AN38"/>
      <c r="AO38"/>
      <c r="AP38" s="14">
        <v>0.28091078996658325</v>
      </c>
      <c r="AQ38" s="270">
        <v>100.84151458740234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167</v>
      </c>
      <c r="C39">
        <v>1.6700084209442139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 s="272">
        <v>165.33000183105469</v>
      </c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</v>
      </c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/>
      <c r="C41">
        <v>0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2" t="s">
        <v>192</v>
      </c>
      <c r="E5">
        <v>4</v>
      </c>
      <c r="F5">
        <v>3.13</v>
      </c>
      <c r="G5">
        <v>4</v>
      </c>
      <c r="H5" s="193" t="s">
        <v>192</v>
      </c>
      <c r="J5" s="56"/>
      <c r="K5" s="57"/>
    </row>
    <row r="6" spans="1:12" ht="14" thickBot="1" x14ac:dyDescent="0.2">
      <c r="A6" s="40" t="s">
        <v>121</v>
      </c>
      <c r="D6" s="192" t="s">
        <v>193</v>
      </c>
      <c r="E6">
        <v>5</v>
      </c>
      <c r="F6">
        <v>3.13</v>
      </c>
      <c r="G6">
        <v>5</v>
      </c>
      <c r="H6" s="193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2" t="s">
        <v>194</v>
      </c>
      <c r="E7">
        <v>6</v>
      </c>
      <c r="F7">
        <v>3.13</v>
      </c>
      <c r="G7">
        <v>6</v>
      </c>
      <c r="H7" s="193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2" t="s">
        <v>195</v>
      </c>
      <c r="E8">
        <v>7</v>
      </c>
      <c r="F8">
        <v>3.13</v>
      </c>
      <c r="G8">
        <v>7</v>
      </c>
      <c r="H8" s="193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2" t="s">
        <v>196</v>
      </c>
      <c r="E9">
        <v>8</v>
      </c>
      <c r="F9">
        <v>3.13</v>
      </c>
      <c r="G9">
        <v>8</v>
      </c>
      <c r="H9" s="193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2" t="s">
        <v>197</v>
      </c>
      <c r="E10">
        <v>9</v>
      </c>
      <c r="F10">
        <v>3.13</v>
      </c>
      <c r="G10">
        <v>9</v>
      </c>
      <c r="H10" s="193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2" t="s">
        <v>198</v>
      </c>
      <c r="E11">
        <v>10</v>
      </c>
      <c r="F11">
        <v>3.12</v>
      </c>
      <c r="G11">
        <v>10</v>
      </c>
      <c r="H11" s="193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2" t="s">
        <v>199</v>
      </c>
      <c r="E12">
        <v>11</v>
      </c>
      <c r="F12">
        <v>3.12</v>
      </c>
      <c r="G12">
        <v>11</v>
      </c>
      <c r="H12" s="193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2" t="s">
        <v>200</v>
      </c>
      <c r="E13">
        <v>12</v>
      </c>
      <c r="F13">
        <v>3.12</v>
      </c>
      <c r="G13">
        <v>12</v>
      </c>
      <c r="H13" s="193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2" t="s">
        <v>201</v>
      </c>
      <c r="E14">
        <v>13</v>
      </c>
      <c r="F14">
        <v>3.12</v>
      </c>
      <c r="G14">
        <v>13</v>
      </c>
      <c r="H14" s="193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2" t="s">
        <v>202</v>
      </c>
      <c r="E15">
        <v>14</v>
      </c>
      <c r="F15">
        <v>3.12</v>
      </c>
      <c r="G15">
        <v>14</v>
      </c>
      <c r="H15" s="193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2" t="s">
        <v>203</v>
      </c>
      <c r="E16">
        <v>15</v>
      </c>
      <c r="F16">
        <v>3.12</v>
      </c>
      <c r="G16">
        <v>15</v>
      </c>
      <c r="H16" s="193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2" t="s">
        <v>204</v>
      </c>
      <c r="E17">
        <v>16</v>
      </c>
      <c r="F17">
        <v>3.12</v>
      </c>
      <c r="G17">
        <v>16</v>
      </c>
      <c r="H17" s="193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2" t="s">
        <v>205</v>
      </c>
      <c r="E18">
        <v>17</v>
      </c>
      <c r="F18">
        <v>3.12</v>
      </c>
      <c r="G18">
        <v>17</v>
      </c>
      <c r="H18" s="193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2" t="s">
        <v>206</v>
      </c>
      <c r="E19">
        <v>18</v>
      </c>
      <c r="F19">
        <v>3.12</v>
      </c>
      <c r="G19">
        <v>18</v>
      </c>
      <c r="H19" s="193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2" t="s">
        <v>207</v>
      </c>
      <c r="E20">
        <v>19</v>
      </c>
      <c r="F20">
        <v>3.22</v>
      </c>
      <c r="G20">
        <v>19</v>
      </c>
      <c r="H20" s="193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2" t="s">
        <v>208</v>
      </c>
      <c r="E21">
        <v>20</v>
      </c>
      <c r="F21">
        <v>3.12</v>
      </c>
      <c r="G21">
        <v>20</v>
      </c>
      <c r="H21" s="193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2" t="s">
        <v>209</v>
      </c>
      <c r="E22">
        <v>21</v>
      </c>
      <c r="F22">
        <v>3.12</v>
      </c>
      <c r="G22">
        <v>21</v>
      </c>
      <c r="H22" s="193" t="s">
        <v>209</v>
      </c>
    </row>
    <row r="23" spans="1:12" x14ac:dyDescent="0.15">
      <c r="A23" s="35" t="s">
        <v>129</v>
      </c>
      <c r="B23" s="43">
        <v>4</v>
      </c>
      <c r="C23" s="37"/>
      <c r="D23" s="192" t="s">
        <v>210</v>
      </c>
      <c r="E23">
        <v>22</v>
      </c>
      <c r="F23">
        <v>3.12</v>
      </c>
      <c r="G23">
        <v>22</v>
      </c>
      <c r="H23" s="193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2" t="s">
        <v>211</v>
      </c>
      <c r="E24">
        <v>23</v>
      </c>
      <c r="F24">
        <v>3.12</v>
      </c>
      <c r="G24">
        <v>23</v>
      </c>
      <c r="H24" s="193" t="s">
        <v>211</v>
      </c>
    </row>
    <row r="25" spans="1:12" x14ac:dyDescent="0.15">
      <c r="A25" s="35" t="s">
        <v>70</v>
      </c>
      <c r="B25" s="43">
        <v>4.2</v>
      </c>
      <c r="C25" s="37"/>
      <c r="D25" s="192" t="s">
        <v>212</v>
      </c>
      <c r="E25">
        <v>24</v>
      </c>
      <c r="F25">
        <v>3.12</v>
      </c>
      <c r="G25">
        <v>24</v>
      </c>
      <c r="H25" s="193" t="s">
        <v>212</v>
      </c>
    </row>
    <row r="26" spans="1:12" x14ac:dyDescent="0.15">
      <c r="A26" s="35" t="s">
        <v>123</v>
      </c>
      <c r="B26" s="43">
        <v>4.3</v>
      </c>
      <c r="C26" s="37"/>
      <c r="D26" s="192" t="s">
        <v>213</v>
      </c>
      <c r="E26">
        <v>25</v>
      </c>
      <c r="F26">
        <v>3.12</v>
      </c>
      <c r="G26">
        <v>25</v>
      </c>
      <c r="H26" s="193" t="s">
        <v>213</v>
      </c>
    </row>
    <row r="27" spans="1:12" x14ac:dyDescent="0.15">
      <c r="A27" s="35" t="s">
        <v>125</v>
      </c>
      <c r="B27" s="43">
        <v>6.1</v>
      </c>
      <c r="D27" s="192" t="s">
        <v>214</v>
      </c>
      <c r="E27">
        <v>26</v>
      </c>
      <c r="F27">
        <v>3.12</v>
      </c>
      <c r="G27">
        <v>26</v>
      </c>
      <c r="H27" s="193" t="s">
        <v>214</v>
      </c>
    </row>
    <row r="28" spans="1:12" x14ac:dyDescent="0.15">
      <c r="A28" s="35" t="s">
        <v>124</v>
      </c>
      <c r="B28" s="43">
        <v>6.2</v>
      </c>
      <c r="D28" s="192" t="s">
        <v>215</v>
      </c>
      <c r="E28">
        <v>27</v>
      </c>
      <c r="F28">
        <v>3.12</v>
      </c>
      <c r="G28">
        <v>27</v>
      </c>
      <c r="H28" s="193" t="s">
        <v>215</v>
      </c>
    </row>
    <row r="29" spans="1:12" x14ac:dyDescent="0.15">
      <c r="A29" s="35" t="s">
        <v>44</v>
      </c>
      <c r="B29" s="43">
        <v>5</v>
      </c>
      <c r="D29" s="192" t="s">
        <v>216</v>
      </c>
      <c r="E29">
        <v>28</v>
      </c>
      <c r="F29">
        <v>3.12</v>
      </c>
      <c r="G29">
        <v>28</v>
      </c>
      <c r="H29" s="193" t="s">
        <v>216</v>
      </c>
    </row>
    <row r="30" spans="1:12" x14ac:dyDescent="0.15">
      <c r="A30" s="35" t="s">
        <v>73</v>
      </c>
      <c r="B30" s="43">
        <v>7</v>
      </c>
      <c r="D30" s="192" t="s">
        <v>217</v>
      </c>
      <c r="E30">
        <v>29</v>
      </c>
      <c r="F30">
        <v>3.12</v>
      </c>
      <c r="G30">
        <v>29</v>
      </c>
      <c r="H30" s="193" t="s">
        <v>217</v>
      </c>
    </row>
    <row r="31" spans="1:12" x14ac:dyDescent="0.15">
      <c r="A31" s="35" t="s">
        <v>169</v>
      </c>
      <c r="B31" s="43">
        <v>3.14</v>
      </c>
      <c r="D31" s="192" t="s">
        <v>218</v>
      </c>
      <c r="E31">
        <v>30</v>
      </c>
      <c r="F31">
        <v>3.12</v>
      </c>
      <c r="G31">
        <v>30</v>
      </c>
      <c r="H31" s="193" t="s">
        <v>218</v>
      </c>
    </row>
    <row r="32" spans="1:12" ht="12" customHeight="1" thickBot="1" x14ac:dyDescent="0.2">
      <c r="A32" s="41" t="s">
        <v>170</v>
      </c>
      <c r="B32" s="44">
        <v>9</v>
      </c>
      <c r="D32" s="192" t="s">
        <v>219</v>
      </c>
      <c r="E32">
        <v>31</v>
      </c>
      <c r="F32">
        <v>3.12</v>
      </c>
      <c r="G32">
        <v>31</v>
      </c>
      <c r="H32" s="193" t="s">
        <v>219</v>
      </c>
    </row>
    <row r="33" spans="4:8" customFormat="1" ht="12" customHeight="1" x14ac:dyDescent="0.15">
      <c r="D33" s="192" t="s">
        <v>220</v>
      </c>
      <c r="E33">
        <v>32</v>
      </c>
      <c r="F33">
        <v>3</v>
      </c>
      <c r="G33">
        <v>32</v>
      </c>
      <c r="H33" s="193" t="s">
        <v>220</v>
      </c>
    </row>
    <row r="34" spans="4:8" customFormat="1" ht="12" customHeight="1" x14ac:dyDescent="0.15">
      <c r="D34" s="192" t="s">
        <v>221</v>
      </c>
      <c r="E34">
        <v>33</v>
      </c>
      <c r="F34">
        <v>3.12</v>
      </c>
      <c r="G34">
        <v>33</v>
      </c>
      <c r="H34" s="193" t="s">
        <v>221</v>
      </c>
    </row>
    <row r="35" spans="4:8" customFormat="1" x14ac:dyDescent="0.15">
      <c r="D35" s="192" t="s">
        <v>222</v>
      </c>
      <c r="E35">
        <v>34</v>
      </c>
      <c r="F35">
        <v>3.12</v>
      </c>
      <c r="G35">
        <v>34</v>
      </c>
      <c r="H35" s="193" t="s">
        <v>222</v>
      </c>
    </row>
    <row r="36" spans="4:8" customFormat="1" x14ac:dyDescent="0.15">
      <c r="D36" s="192" t="s">
        <v>223</v>
      </c>
      <c r="E36">
        <v>35</v>
      </c>
      <c r="F36">
        <v>3.12</v>
      </c>
      <c r="G36">
        <v>35</v>
      </c>
      <c r="H36" s="193" t="s">
        <v>223</v>
      </c>
    </row>
    <row r="37" spans="4:8" customFormat="1" ht="12" customHeight="1" x14ac:dyDescent="0.15">
      <c r="D37" s="192" t="s">
        <v>224</v>
      </c>
      <c r="E37">
        <v>36</v>
      </c>
      <c r="F37">
        <v>3.12</v>
      </c>
      <c r="G37">
        <v>36</v>
      </c>
      <c r="H37" s="193" t="s">
        <v>224</v>
      </c>
    </row>
    <row r="38" spans="4:8" customFormat="1" x14ac:dyDescent="0.15">
      <c r="D38" s="192" t="s">
        <v>225</v>
      </c>
      <c r="E38">
        <v>37</v>
      </c>
      <c r="F38">
        <v>3.21</v>
      </c>
      <c r="G38">
        <v>37</v>
      </c>
      <c r="H38" s="193" t="s">
        <v>225</v>
      </c>
    </row>
    <row r="39" spans="4:8" customFormat="1" x14ac:dyDescent="0.15">
      <c r="D39" s="192" t="s">
        <v>226</v>
      </c>
      <c r="E39">
        <v>38</v>
      </c>
      <c r="F39">
        <v>3.11</v>
      </c>
      <c r="G39">
        <v>38</v>
      </c>
      <c r="H39" s="193" t="s">
        <v>226</v>
      </c>
    </row>
    <row r="40" spans="4:8" customFormat="1" x14ac:dyDescent="0.15">
      <c r="D40" s="192" t="s">
        <v>227</v>
      </c>
      <c r="E40">
        <v>39</v>
      </c>
      <c r="F40">
        <v>3.14</v>
      </c>
      <c r="G40">
        <v>39</v>
      </c>
      <c r="H40" s="193" t="s">
        <v>227</v>
      </c>
    </row>
    <row r="41" spans="4:8" customFormat="1" x14ac:dyDescent="0.15">
      <c r="D41" s="192" t="s">
        <v>228</v>
      </c>
      <c r="E41">
        <v>40</v>
      </c>
      <c r="F41">
        <v>2.1</v>
      </c>
      <c r="G41">
        <v>40</v>
      </c>
      <c r="H41" s="193" t="s">
        <v>228</v>
      </c>
    </row>
    <row r="42" spans="4:8" customFormat="1" x14ac:dyDescent="0.15">
      <c r="D42" s="192" t="s">
        <v>229</v>
      </c>
      <c r="E42">
        <v>41</v>
      </c>
      <c r="F42">
        <v>2.2000000000000002</v>
      </c>
      <c r="G42">
        <v>41</v>
      </c>
      <c r="H42" s="193" t="s">
        <v>229</v>
      </c>
    </row>
    <row r="43" spans="4:8" customFormat="1" x14ac:dyDescent="0.15">
      <c r="D43" s="192" t="s">
        <v>230</v>
      </c>
      <c r="E43">
        <v>42</v>
      </c>
      <c r="F43">
        <v>4.0999999999999996</v>
      </c>
      <c r="G43">
        <v>42</v>
      </c>
      <c r="H43" s="193" t="s">
        <v>230</v>
      </c>
    </row>
    <row r="44" spans="4:8" customFormat="1" x14ac:dyDescent="0.15">
      <c r="D44" s="192" t="s">
        <v>231</v>
      </c>
      <c r="E44">
        <v>43</v>
      </c>
      <c r="F44">
        <v>4.3</v>
      </c>
      <c r="G44">
        <v>43</v>
      </c>
      <c r="H44" s="193" t="s">
        <v>231</v>
      </c>
    </row>
    <row r="45" spans="4:8" customFormat="1" x14ac:dyDescent="0.15">
      <c r="D45" s="192" t="s">
        <v>232</v>
      </c>
      <c r="E45">
        <v>44</v>
      </c>
      <c r="F45">
        <v>5</v>
      </c>
      <c r="G45">
        <v>44</v>
      </c>
      <c r="H45" s="193" t="s">
        <v>232</v>
      </c>
    </row>
    <row r="46" spans="4:8" customFormat="1" x14ac:dyDescent="0.15">
      <c r="D46" s="192" t="s">
        <v>233</v>
      </c>
      <c r="E46">
        <v>45</v>
      </c>
      <c r="F46">
        <v>5</v>
      </c>
      <c r="G46">
        <v>45</v>
      </c>
      <c r="H46" s="193" t="s">
        <v>233</v>
      </c>
    </row>
    <row r="47" spans="4:8" customFormat="1" x14ac:dyDescent="0.15">
      <c r="D47" s="192" t="s">
        <v>234</v>
      </c>
      <c r="E47">
        <v>46</v>
      </c>
      <c r="F47">
        <v>5</v>
      </c>
      <c r="G47">
        <v>46</v>
      </c>
      <c r="H47" s="193" t="s">
        <v>234</v>
      </c>
    </row>
    <row r="48" spans="4:8" customFormat="1" x14ac:dyDescent="0.15">
      <c r="D48" s="192" t="s">
        <v>235</v>
      </c>
      <c r="E48">
        <v>47</v>
      </c>
      <c r="F48">
        <v>5</v>
      </c>
      <c r="G48">
        <v>47</v>
      </c>
      <c r="H48" s="193" t="s">
        <v>235</v>
      </c>
    </row>
    <row r="49" spans="4:8" customFormat="1" x14ac:dyDescent="0.15">
      <c r="D49" s="192" t="s">
        <v>236</v>
      </c>
      <c r="E49">
        <v>48</v>
      </c>
      <c r="F49">
        <v>5</v>
      </c>
      <c r="G49">
        <v>48</v>
      </c>
      <c r="H49" s="193" t="s">
        <v>236</v>
      </c>
    </row>
    <row r="50" spans="4:8" customFormat="1" ht="12" customHeight="1" x14ac:dyDescent="0.15">
      <c r="D50" s="192" t="s">
        <v>138</v>
      </c>
      <c r="E50">
        <v>49</v>
      </c>
      <c r="F50">
        <v>6.1</v>
      </c>
      <c r="G50">
        <v>49</v>
      </c>
      <c r="H50" s="193" t="s">
        <v>138</v>
      </c>
    </row>
    <row r="51" spans="4:8" customFormat="1" x14ac:dyDescent="0.15">
      <c r="D51" s="192" t="s">
        <v>45</v>
      </c>
      <c r="E51">
        <v>50</v>
      </c>
      <c r="F51">
        <v>6.2</v>
      </c>
      <c r="G51">
        <v>50</v>
      </c>
      <c r="H51" s="193" t="s">
        <v>45</v>
      </c>
    </row>
    <row r="52" spans="4:8" customFormat="1" ht="12" customHeight="1" x14ac:dyDescent="0.15"/>
    <row r="53" spans="4:8" customFormat="1" x14ac:dyDescent="0.15"/>
    <row r="54" spans="4:8" customFormat="1" ht="12" customHeight="1" x14ac:dyDescent="0.15"/>
    <row r="55" spans="4:8" customFormat="1" ht="12" customHeight="1" x14ac:dyDescent="0.15"/>
    <row r="56" spans="4:8" customFormat="1" x14ac:dyDescent="0.15"/>
    <row r="57" spans="4:8" customFormat="1" x14ac:dyDescent="0.15"/>
    <row r="58" spans="4:8" customFormat="1" x14ac:dyDescent="0.15"/>
    <row r="59" spans="4:8" customFormat="1" x14ac:dyDescent="0.15"/>
    <row r="60" spans="4:8" customFormat="1" x14ac:dyDescent="0.15"/>
    <row r="61" spans="4:8" customFormat="1" x14ac:dyDescent="0.15"/>
    <row r="62" spans="4:8" customFormat="1" x14ac:dyDescent="0.15"/>
    <row r="63" spans="4:8" customFormat="1" x14ac:dyDescent="0.15"/>
    <row r="64" spans="4:8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5.6640625" style="81" bestFit="1" customWidth="1"/>
    <col min="2" max="2" width="13.83203125" style="80" customWidth="1"/>
    <col min="3" max="3" width="15.6640625" style="80" customWidth="1"/>
    <col min="4" max="4" width="11.83203125" style="80" customWidth="1"/>
    <col min="5" max="5" width="13.83203125" style="80" customWidth="1"/>
    <col min="6" max="6" width="21.6640625" style="80" bestFit="1" customWidth="1"/>
    <col min="7" max="9" width="2.33203125" style="80" customWidth="1"/>
    <col min="10" max="10" width="2.33203125" style="80" bestFit="1" customWidth="1"/>
    <col min="11" max="15" width="2.33203125" style="80" customWidth="1"/>
    <col min="16" max="16" width="2.33203125" style="69" customWidth="1"/>
    <col min="17" max="17" width="2.33203125" style="80" customWidth="1"/>
    <col min="18" max="18" width="2.33203125" style="70" customWidth="1"/>
    <col min="19" max="16384" width="11.5" style="80"/>
  </cols>
  <sheetData>
    <row r="1" spans="1:23" ht="15" customHeight="1" thickBot="1" x14ac:dyDescent="0.2">
      <c r="F1" s="1"/>
      <c r="G1" s="68" t="s">
        <v>46</v>
      </c>
      <c r="H1" s="68" t="s">
        <v>47</v>
      </c>
      <c r="I1" s="68" t="s">
        <v>120</v>
      </c>
      <c r="J1" s="68" t="s">
        <v>132</v>
      </c>
      <c r="K1" s="82" t="s">
        <v>48</v>
      </c>
      <c r="L1" s="70"/>
      <c r="M1" s="82" t="s">
        <v>119</v>
      </c>
      <c r="N1" s="70"/>
      <c r="O1" s="82" t="s">
        <v>49</v>
      </c>
      <c r="P1" s="72"/>
      <c r="Q1" s="82" t="s">
        <v>50</v>
      </c>
      <c r="R1" s="68" t="s">
        <v>154</v>
      </c>
    </row>
    <row r="2" spans="1:23" ht="15" customHeight="1" x14ac:dyDescent="0.15">
      <c r="A2" s="82" t="s">
        <v>51</v>
      </c>
      <c r="B2" s="83">
        <v>0.5</v>
      </c>
      <c r="C2" s="81" t="s">
        <v>52</v>
      </c>
      <c r="D2" s="84"/>
      <c r="F2" s="1"/>
      <c r="G2" s="85"/>
      <c r="H2" s="85"/>
      <c r="I2" s="85" t="s">
        <v>133</v>
      </c>
      <c r="J2" s="85" t="s">
        <v>133</v>
      </c>
      <c r="K2" s="85" t="s">
        <v>52</v>
      </c>
      <c r="L2" s="85" t="s">
        <v>53</v>
      </c>
      <c r="M2" s="85" t="s">
        <v>52</v>
      </c>
      <c r="N2" s="85" t="s">
        <v>53</v>
      </c>
      <c r="O2" s="85" t="s">
        <v>52</v>
      </c>
      <c r="P2" s="86" t="s">
        <v>53</v>
      </c>
      <c r="Q2" s="85"/>
      <c r="R2" s="87" t="s">
        <v>155</v>
      </c>
    </row>
    <row r="3" spans="1:23" ht="15" customHeight="1" thickBot="1" x14ac:dyDescent="0.2">
      <c r="A3" s="82" t="s">
        <v>54</v>
      </c>
      <c r="B3" s="88">
        <v>0.5</v>
      </c>
      <c r="C3" s="81" t="s">
        <v>53</v>
      </c>
      <c r="D3" s="8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4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4">
        <v>0</v>
      </c>
      <c r="R4" s="107">
        <v>0</v>
      </c>
    </row>
    <row r="5" spans="1:23" ht="15" customHeight="1" x14ac:dyDescent="0.15">
      <c r="A5" s="82" t="s">
        <v>55</v>
      </c>
      <c r="B5" s="89">
        <v>0.5</v>
      </c>
      <c r="C5" s="81" t="s">
        <v>52</v>
      </c>
      <c r="D5" s="8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4">
        <v>0</v>
      </c>
      <c r="R5" s="107">
        <v>0</v>
      </c>
    </row>
    <row r="6" spans="1:23" ht="15" customHeight="1" thickBot="1" x14ac:dyDescent="0.2">
      <c r="A6" s="82"/>
      <c r="B6" s="90">
        <v>0.5</v>
      </c>
      <c r="C6" s="81" t="s">
        <v>53</v>
      </c>
      <c r="D6" s="84"/>
      <c r="F6" s="194" t="s">
        <v>192</v>
      </c>
      <c r="G6" s="80">
        <v>0</v>
      </c>
      <c r="H6" s="80">
        <v>0</v>
      </c>
      <c r="I6" s="80">
        <v>0</v>
      </c>
      <c r="J6" s="80">
        <v>0</v>
      </c>
      <c r="K6" s="80">
        <v>1</v>
      </c>
      <c r="L6" s="80">
        <v>0</v>
      </c>
      <c r="M6" s="80">
        <v>1</v>
      </c>
      <c r="N6" s="80">
        <v>0</v>
      </c>
      <c r="O6" s="80">
        <v>1</v>
      </c>
      <c r="P6" s="69">
        <v>0</v>
      </c>
      <c r="Q6" s="80">
        <v>0</v>
      </c>
      <c r="R6" s="70">
        <v>1</v>
      </c>
      <c r="S6"/>
      <c r="T6"/>
    </row>
    <row r="7" spans="1:23" ht="15" customHeight="1" thickBot="1" x14ac:dyDescent="0.2">
      <c r="F7" s="194" t="s">
        <v>193</v>
      </c>
      <c r="G7" s="80">
        <v>0</v>
      </c>
      <c r="H7" s="80">
        <v>0</v>
      </c>
      <c r="I7" s="80">
        <v>0</v>
      </c>
      <c r="J7" s="80">
        <v>0</v>
      </c>
      <c r="K7" s="80">
        <v>1</v>
      </c>
      <c r="L7" s="80">
        <v>0</v>
      </c>
      <c r="M7" s="80">
        <v>1</v>
      </c>
      <c r="N7" s="80">
        <v>0</v>
      </c>
      <c r="O7" s="80">
        <v>1</v>
      </c>
      <c r="P7" s="69">
        <v>0</v>
      </c>
      <c r="Q7" s="80">
        <v>0</v>
      </c>
      <c r="R7" s="70">
        <v>1</v>
      </c>
      <c r="S7"/>
      <c r="T7"/>
    </row>
    <row r="8" spans="1:23" ht="15" customHeight="1" x14ac:dyDescent="0.15">
      <c r="A8" s="82" t="s">
        <v>56</v>
      </c>
      <c r="B8" s="89">
        <v>9.6118481928274629E-2</v>
      </c>
      <c r="C8" s="195" t="s">
        <v>228</v>
      </c>
      <c r="D8" s="84" t="s">
        <v>160</v>
      </c>
      <c r="F8" s="194" t="s">
        <v>194</v>
      </c>
      <c r="G8" s="80">
        <v>0</v>
      </c>
      <c r="H8" s="80">
        <v>0</v>
      </c>
      <c r="I8" s="80">
        <v>0</v>
      </c>
      <c r="J8" s="80">
        <v>0</v>
      </c>
      <c r="K8" s="80">
        <v>1</v>
      </c>
      <c r="L8" s="80">
        <v>0</v>
      </c>
      <c r="M8" s="80">
        <v>1</v>
      </c>
      <c r="N8" s="80">
        <v>0</v>
      </c>
      <c r="O8" s="80">
        <v>1</v>
      </c>
      <c r="P8" s="69">
        <v>0</v>
      </c>
      <c r="Q8" s="80">
        <v>0</v>
      </c>
      <c r="R8" s="70">
        <v>1</v>
      </c>
      <c r="S8"/>
      <c r="T8"/>
      <c r="W8"/>
    </row>
    <row r="9" spans="1:23" ht="15" customHeight="1" x14ac:dyDescent="0.15">
      <c r="A9" s="121" t="s">
        <v>168</v>
      </c>
      <c r="B9" s="91">
        <v>0.90388151807172534</v>
      </c>
      <c r="C9" s="195" t="s">
        <v>229</v>
      </c>
      <c r="D9" s="84" t="s">
        <v>160</v>
      </c>
      <c r="F9" s="194" t="s">
        <v>195</v>
      </c>
      <c r="G9" s="80">
        <v>0</v>
      </c>
      <c r="H9" s="80">
        <v>0</v>
      </c>
      <c r="I9" s="80">
        <v>0</v>
      </c>
      <c r="J9" s="80">
        <v>0</v>
      </c>
      <c r="K9" s="80">
        <v>1</v>
      </c>
      <c r="L9" s="80">
        <v>0</v>
      </c>
      <c r="M9" s="80">
        <v>1</v>
      </c>
      <c r="N9" s="80">
        <v>0</v>
      </c>
      <c r="O9" s="80">
        <v>1</v>
      </c>
      <c r="P9" s="69">
        <v>0</v>
      </c>
      <c r="Q9" s="80">
        <v>0</v>
      </c>
      <c r="R9" s="70">
        <v>1</v>
      </c>
      <c r="S9"/>
      <c r="T9"/>
      <c r="W9"/>
    </row>
    <row r="10" spans="1:23" ht="15" customHeight="1" x14ac:dyDescent="0.15">
      <c r="B10" s="91"/>
      <c r="C10" s="79"/>
      <c r="D10" s="84" t="s">
        <v>160</v>
      </c>
      <c r="F10" s="194" t="s">
        <v>196</v>
      </c>
      <c r="G10" s="80">
        <v>0</v>
      </c>
      <c r="H10" s="80">
        <v>0</v>
      </c>
      <c r="I10" s="80">
        <v>0</v>
      </c>
      <c r="J10" s="80">
        <v>0</v>
      </c>
      <c r="K10" s="80">
        <v>1</v>
      </c>
      <c r="L10" s="80">
        <v>0</v>
      </c>
      <c r="M10" s="80">
        <v>1</v>
      </c>
      <c r="N10" s="80">
        <v>0</v>
      </c>
      <c r="O10" s="80">
        <v>1</v>
      </c>
      <c r="P10" s="69">
        <v>0</v>
      </c>
      <c r="Q10" s="80">
        <v>0</v>
      </c>
      <c r="R10" s="70">
        <v>1</v>
      </c>
      <c r="S10"/>
      <c r="T10"/>
      <c r="W10"/>
    </row>
    <row r="11" spans="1:23" ht="15" customHeight="1" x14ac:dyDescent="0.15">
      <c r="A11" s="82"/>
      <c r="B11" s="91"/>
      <c r="C11" s="94"/>
      <c r="D11" s="84" t="s">
        <v>160</v>
      </c>
      <c r="F11" s="194" t="s">
        <v>197</v>
      </c>
      <c r="G11" s="80">
        <v>0</v>
      </c>
      <c r="H11" s="80">
        <v>0</v>
      </c>
      <c r="I11" s="80">
        <v>0</v>
      </c>
      <c r="J11" s="80">
        <v>0</v>
      </c>
      <c r="K11" s="80">
        <v>1</v>
      </c>
      <c r="L11" s="80">
        <v>0</v>
      </c>
      <c r="M11" s="80">
        <v>1</v>
      </c>
      <c r="N11" s="80">
        <v>0</v>
      </c>
      <c r="O11" s="80">
        <v>1</v>
      </c>
      <c r="P11" s="69">
        <v>0</v>
      </c>
      <c r="Q11" s="80">
        <v>0</v>
      </c>
      <c r="R11" s="70">
        <v>1</v>
      </c>
      <c r="S11"/>
      <c r="T11"/>
      <c r="W11"/>
    </row>
    <row r="12" spans="1:23" ht="15" customHeight="1" x14ac:dyDescent="0.15">
      <c r="B12" s="91"/>
      <c r="C12" s="95"/>
      <c r="D12" s="84" t="s">
        <v>160</v>
      </c>
      <c r="F12" s="194" t="s">
        <v>198</v>
      </c>
      <c r="G12" s="80">
        <v>0</v>
      </c>
      <c r="H12" s="80">
        <v>0</v>
      </c>
      <c r="I12" s="80">
        <v>0</v>
      </c>
      <c r="J12" s="80">
        <v>0</v>
      </c>
      <c r="K12" s="80">
        <v>1</v>
      </c>
      <c r="L12" s="80">
        <v>0</v>
      </c>
      <c r="M12" s="80">
        <v>1</v>
      </c>
      <c r="N12" s="80">
        <v>0</v>
      </c>
      <c r="O12" s="80">
        <v>1</v>
      </c>
      <c r="P12" s="69">
        <v>0</v>
      </c>
      <c r="Q12" s="80">
        <v>0</v>
      </c>
      <c r="R12" s="70">
        <v>1</v>
      </c>
      <c r="S12"/>
      <c r="T12"/>
      <c r="W12"/>
    </row>
    <row r="13" spans="1:23" ht="15" customHeight="1" x14ac:dyDescent="0.15">
      <c r="B13" s="91"/>
      <c r="C13" s="95"/>
      <c r="D13" s="84" t="s">
        <v>160</v>
      </c>
      <c r="F13" s="194" t="s">
        <v>199</v>
      </c>
      <c r="G13" s="80">
        <v>0</v>
      </c>
      <c r="H13" s="80">
        <v>0</v>
      </c>
      <c r="I13" s="80">
        <v>0</v>
      </c>
      <c r="J13" s="80">
        <v>0</v>
      </c>
      <c r="K13" s="80">
        <v>1</v>
      </c>
      <c r="L13" s="80">
        <v>0</v>
      </c>
      <c r="M13" s="80">
        <v>1</v>
      </c>
      <c r="N13" s="80">
        <v>0</v>
      </c>
      <c r="O13" s="80">
        <v>1</v>
      </c>
      <c r="P13" s="69">
        <v>0</v>
      </c>
      <c r="Q13" s="80">
        <v>0</v>
      </c>
      <c r="R13" s="70">
        <v>1</v>
      </c>
      <c r="S13"/>
      <c r="T13"/>
      <c r="W13"/>
    </row>
    <row r="14" spans="1:23" ht="15" customHeight="1" x14ac:dyDescent="0.15">
      <c r="B14" s="91"/>
      <c r="C14" s="79"/>
      <c r="D14" s="84" t="s">
        <v>160</v>
      </c>
      <c r="F14" s="194" t="s">
        <v>200</v>
      </c>
      <c r="G14" s="80">
        <v>0</v>
      </c>
      <c r="H14" s="80">
        <v>0</v>
      </c>
      <c r="I14" s="80">
        <v>0</v>
      </c>
      <c r="J14" s="80">
        <v>0</v>
      </c>
      <c r="K14" s="80">
        <v>1</v>
      </c>
      <c r="L14" s="80">
        <v>0</v>
      </c>
      <c r="M14" s="80">
        <v>1</v>
      </c>
      <c r="N14" s="80">
        <v>0</v>
      </c>
      <c r="O14" s="80">
        <v>1</v>
      </c>
      <c r="P14" s="69">
        <v>0</v>
      </c>
      <c r="Q14" s="80">
        <v>0</v>
      </c>
      <c r="R14" s="70">
        <v>1</v>
      </c>
      <c r="S14"/>
      <c r="T14"/>
      <c r="W14"/>
    </row>
    <row r="15" spans="1:23" ht="15" customHeight="1" x14ac:dyDescent="0.15">
      <c r="B15" s="91"/>
      <c r="C15" s="79"/>
      <c r="D15" s="84" t="s">
        <v>160</v>
      </c>
      <c r="F15" s="194" t="s">
        <v>201</v>
      </c>
      <c r="G15" s="80">
        <v>0</v>
      </c>
      <c r="H15" s="80">
        <v>0</v>
      </c>
      <c r="I15" s="80">
        <v>0</v>
      </c>
      <c r="J15" s="80">
        <v>0</v>
      </c>
      <c r="K15" s="80">
        <v>1</v>
      </c>
      <c r="L15" s="80">
        <v>0</v>
      </c>
      <c r="M15" s="80">
        <v>1</v>
      </c>
      <c r="N15" s="80">
        <v>0</v>
      </c>
      <c r="O15" s="80">
        <v>1</v>
      </c>
      <c r="P15" s="69">
        <v>0</v>
      </c>
      <c r="Q15" s="80">
        <v>0</v>
      </c>
      <c r="R15" s="70">
        <v>1</v>
      </c>
      <c r="S15"/>
      <c r="T15"/>
      <c r="W15"/>
    </row>
    <row r="16" spans="1:23" ht="15" customHeight="1" x14ac:dyDescent="0.15">
      <c r="B16" s="91"/>
      <c r="C16" s="79"/>
      <c r="D16" s="84" t="s">
        <v>160</v>
      </c>
      <c r="F16" s="194" t="s">
        <v>202</v>
      </c>
      <c r="G16" s="80">
        <v>0</v>
      </c>
      <c r="H16" s="80">
        <v>0</v>
      </c>
      <c r="I16" s="80">
        <v>0</v>
      </c>
      <c r="J16" s="80">
        <v>0</v>
      </c>
      <c r="K16" s="80">
        <v>1</v>
      </c>
      <c r="L16" s="80">
        <v>0</v>
      </c>
      <c r="M16" s="80">
        <v>1</v>
      </c>
      <c r="N16" s="80">
        <v>0</v>
      </c>
      <c r="O16" s="80">
        <v>1</v>
      </c>
      <c r="P16" s="69">
        <v>0</v>
      </c>
      <c r="Q16" s="80">
        <v>0</v>
      </c>
      <c r="R16" s="70">
        <v>1</v>
      </c>
      <c r="S16"/>
      <c r="T16"/>
    </row>
    <row r="17" spans="1:20" ht="15" customHeight="1" thickBot="1" x14ac:dyDescent="0.2">
      <c r="B17" s="90"/>
      <c r="C17" s="79"/>
      <c r="D17" s="84" t="s">
        <v>160</v>
      </c>
      <c r="F17" s="194" t="s">
        <v>203</v>
      </c>
      <c r="G17" s="80">
        <v>0</v>
      </c>
      <c r="H17" s="80">
        <v>0</v>
      </c>
      <c r="I17" s="80">
        <v>0</v>
      </c>
      <c r="J17" s="80">
        <v>0</v>
      </c>
      <c r="K17" s="80">
        <v>1</v>
      </c>
      <c r="L17" s="80">
        <v>0</v>
      </c>
      <c r="M17" s="80">
        <v>1</v>
      </c>
      <c r="N17" s="80">
        <v>0</v>
      </c>
      <c r="O17" s="80">
        <v>1</v>
      </c>
      <c r="P17" s="69">
        <v>0</v>
      </c>
      <c r="Q17" s="80">
        <v>0</v>
      </c>
      <c r="R17" s="70">
        <v>1</v>
      </c>
      <c r="S17"/>
      <c r="T17"/>
    </row>
    <row r="18" spans="1:20" ht="15" customHeight="1" thickBot="1" x14ac:dyDescent="0.2">
      <c r="B18" s="92"/>
      <c r="F18" s="194" t="s">
        <v>204</v>
      </c>
      <c r="G18" s="80">
        <v>0</v>
      </c>
      <c r="H18" s="80">
        <v>0</v>
      </c>
      <c r="I18" s="80">
        <v>0</v>
      </c>
      <c r="J18" s="80">
        <v>0</v>
      </c>
      <c r="K18" s="80">
        <v>1</v>
      </c>
      <c r="L18" s="80">
        <v>0</v>
      </c>
      <c r="M18" s="80">
        <v>1</v>
      </c>
      <c r="N18" s="80">
        <v>0</v>
      </c>
      <c r="O18" s="80">
        <v>1</v>
      </c>
      <c r="P18" s="69">
        <v>0</v>
      </c>
      <c r="Q18" s="80">
        <v>0</v>
      </c>
      <c r="R18" s="70">
        <v>1</v>
      </c>
      <c r="S18"/>
      <c r="T18"/>
    </row>
    <row r="19" spans="1:20" ht="15" customHeight="1" x14ac:dyDescent="0.15">
      <c r="A19" s="82" t="s">
        <v>57</v>
      </c>
      <c r="B19" s="89">
        <v>9.6118481928274629E-2</v>
      </c>
      <c r="C19" s="196" t="s">
        <v>228</v>
      </c>
      <c r="D19" s="84" t="s">
        <v>160</v>
      </c>
      <c r="F19" s="194" t="s">
        <v>205</v>
      </c>
      <c r="G19" s="80">
        <v>0</v>
      </c>
      <c r="H19" s="80">
        <v>0</v>
      </c>
      <c r="I19" s="80">
        <v>0</v>
      </c>
      <c r="J19" s="80">
        <v>0</v>
      </c>
      <c r="K19" s="80">
        <v>1</v>
      </c>
      <c r="L19" s="80">
        <v>0</v>
      </c>
      <c r="M19" s="80">
        <v>1</v>
      </c>
      <c r="N19" s="80">
        <v>0</v>
      </c>
      <c r="O19" s="80">
        <v>1</v>
      </c>
      <c r="P19" s="69">
        <v>0</v>
      </c>
      <c r="Q19" s="80">
        <v>0</v>
      </c>
      <c r="R19" s="70">
        <v>1</v>
      </c>
      <c r="S19"/>
      <c r="T19"/>
    </row>
    <row r="20" spans="1:20" ht="15" customHeight="1" x14ac:dyDescent="0.15">
      <c r="A20" s="121" t="s">
        <v>168</v>
      </c>
      <c r="B20" s="91">
        <v>0.90388151807172534</v>
      </c>
      <c r="C20" s="196" t="s">
        <v>229</v>
      </c>
      <c r="D20" s="84" t="s">
        <v>160</v>
      </c>
      <c r="F20" s="194" t="s">
        <v>206</v>
      </c>
      <c r="G20" s="80">
        <v>0</v>
      </c>
      <c r="H20" s="80">
        <v>0</v>
      </c>
      <c r="I20" s="80">
        <v>0</v>
      </c>
      <c r="J20" s="80">
        <v>0</v>
      </c>
      <c r="K20" s="80">
        <v>1</v>
      </c>
      <c r="L20" s="80">
        <v>0</v>
      </c>
      <c r="M20" s="80">
        <v>1</v>
      </c>
      <c r="N20" s="80">
        <v>0</v>
      </c>
      <c r="O20" s="80">
        <v>1</v>
      </c>
      <c r="P20" s="69">
        <v>0</v>
      </c>
      <c r="Q20" s="80">
        <v>0</v>
      </c>
      <c r="R20" s="70">
        <v>1</v>
      </c>
      <c r="S20"/>
      <c r="T20"/>
    </row>
    <row r="21" spans="1:20" ht="15" customHeight="1" x14ac:dyDescent="0.15">
      <c r="B21" s="91"/>
      <c r="C21" s="79"/>
      <c r="D21" s="84" t="s">
        <v>160</v>
      </c>
      <c r="F21" s="194" t="s">
        <v>207</v>
      </c>
      <c r="G21" s="80">
        <v>0</v>
      </c>
      <c r="H21" s="80">
        <v>0</v>
      </c>
      <c r="I21" s="80">
        <v>0</v>
      </c>
      <c r="J21" s="80">
        <v>0</v>
      </c>
      <c r="K21" s="80">
        <v>1</v>
      </c>
      <c r="L21" s="80">
        <v>0</v>
      </c>
      <c r="M21" s="80">
        <v>1</v>
      </c>
      <c r="N21" s="80">
        <v>0</v>
      </c>
      <c r="O21" s="80">
        <v>1</v>
      </c>
      <c r="P21" s="69">
        <v>0</v>
      </c>
      <c r="Q21" s="80">
        <v>0</v>
      </c>
      <c r="R21" s="70">
        <v>1</v>
      </c>
      <c r="S21"/>
      <c r="T21"/>
    </row>
    <row r="22" spans="1:20" ht="15" customHeight="1" x14ac:dyDescent="0.15">
      <c r="A22" s="80"/>
      <c r="B22" s="91"/>
      <c r="C22" s="94"/>
      <c r="D22" s="84" t="s">
        <v>160</v>
      </c>
      <c r="F22" s="194" t="s">
        <v>208</v>
      </c>
      <c r="G22" s="80">
        <v>0</v>
      </c>
      <c r="H22" s="80">
        <v>0</v>
      </c>
      <c r="I22" s="80">
        <v>0</v>
      </c>
      <c r="J22" s="80">
        <v>0</v>
      </c>
      <c r="K22" s="80">
        <v>1</v>
      </c>
      <c r="L22" s="80">
        <v>0</v>
      </c>
      <c r="M22" s="80">
        <v>1</v>
      </c>
      <c r="N22" s="80">
        <v>0</v>
      </c>
      <c r="O22" s="80">
        <v>1</v>
      </c>
      <c r="P22" s="69">
        <v>0</v>
      </c>
      <c r="Q22" s="80">
        <v>0</v>
      </c>
      <c r="R22" s="70">
        <v>1</v>
      </c>
      <c r="S22"/>
      <c r="T22"/>
    </row>
    <row r="23" spans="1:20" ht="15" customHeight="1" x14ac:dyDescent="0.15">
      <c r="A23" s="80"/>
      <c r="B23" s="91"/>
      <c r="C23" s="95"/>
      <c r="D23" s="84" t="s">
        <v>160</v>
      </c>
      <c r="F23" s="194" t="s">
        <v>209</v>
      </c>
      <c r="G23" s="80">
        <v>0</v>
      </c>
      <c r="H23" s="80">
        <v>0</v>
      </c>
      <c r="I23" s="80">
        <v>0</v>
      </c>
      <c r="J23" s="80">
        <v>0</v>
      </c>
      <c r="K23" s="80">
        <v>1</v>
      </c>
      <c r="L23" s="80">
        <v>0</v>
      </c>
      <c r="M23" s="80">
        <v>1</v>
      </c>
      <c r="N23" s="80">
        <v>0</v>
      </c>
      <c r="O23" s="80">
        <v>1</v>
      </c>
      <c r="P23" s="69">
        <v>0</v>
      </c>
      <c r="Q23" s="80">
        <v>0</v>
      </c>
      <c r="R23" s="70">
        <v>1</v>
      </c>
      <c r="S23"/>
      <c r="T23"/>
    </row>
    <row r="24" spans="1:20" ht="15" customHeight="1" x14ac:dyDescent="0.15">
      <c r="A24" s="80"/>
      <c r="B24" s="91"/>
      <c r="C24" s="95"/>
      <c r="D24" s="84" t="s">
        <v>160</v>
      </c>
      <c r="F24" s="194" t="s">
        <v>210</v>
      </c>
      <c r="G24" s="80">
        <v>0</v>
      </c>
      <c r="H24" s="80">
        <v>0</v>
      </c>
      <c r="I24" s="80">
        <v>0</v>
      </c>
      <c r="J24" s="80">
        <v>0</v>
      </c>
      <c r="K24" s="80">
        <v>1</v>
      </c>
      <c r="L24" s="80">
        <v>0</v>
      </c>
      <c r="M24" s="80">
        <v>1</v>
      </c>
      <c r="N24" s="80">
        <v>0</v>
      </c>
      <c r="O24" s="80">
        <v>1</v>
      </c>
      <c r="P24" s="69">
        <v>0</v>
      </c>
      <c r="Q24" s="80">
        <v>0</v>
      </c>
      <c r="R24" s="70">
        <v>1</v>
      </c>
      <c r="S24"/>
      <c r="T24"/>
    </row>
    <row r="25" spans="1:20" ht="15" customHeight="1" x14ac:dyDescent="0.15">
      <c r="A25" s="80"/>
      <c r="B25" s="91"/>
      <c r="C25" s="79"/>
      <c r="D25" s="84" t="s">
        <v>160</v>
      </c>
      <c r="F25" s="194" t="s">
        <v>211</v>
      </c>
      <c r="G25" s="80">
        <v>0</v>
      </c>
      <c r="H25" s="80">
        <v>0</v>
      </c>
      <c r="I25" s="80">
        <v>0</v>
      </c>
      <c r="J25" s="80">
        <v>0</v>
      </c>
      <c r="K25" s="80">
        <v>1</v>
      </c>
      <c r="L25" s="80">
        <v>0</v>
      </c>
      <c r="M25" s="80">
        <v>1</v>
      </c>
      <c r="N25" s="80">
        <v>0</v>
      </c>
      <c r="O25" s="80">
        <v>1</v>
      </c>
      <c r="P25" s="69">
        <v>0</v>
      </c>
      <c r="Q25" s="80">
        <v>0</v>
      </c>
      <c r="R25" s="70">
        <v>1</v>
      </c>
      <c r="S25"/>
      <c r="T25"/>
    </row>
    <row r="26" spans="1:20" ht="15" customHeight="1" x14ac:dyDescent="0.15">
      <c r="B26" s="91"/>
      <c r="C26" s="79"/>
      <c r="D26" s="84" t="s">
        <v>160</v>
      </c>
      <c r="F26" s="194" t="s">
        <v>212</v>
      </c>
      <c r="G26" s="80">
        <v>0</v>
      </c>
      <c r="H26" s="80">
        <v>0</v>
      </c>
      <c r="I26" s="80">
        <v>0</v>
      </c>
      <c r="J26" s="80">
        <v>0</v>
      </c>
      <c r="K26" s="80">
        <v>1</v>
      </c>
      <c r="L26" s="80">
        <v>0</v>
      </c>
      <c r="M26" s="80">
        <v>1</v>
      </c>
      <c r="N26" s="80">
        <v>0</v>
      </c>
      <c r="O26" s="80">
        <v>1</v>
      </c>
      <c r="P26" s="69">
        <v>0</v>
      </c>
      <c r="Q26" s="80">
        <v>0</v>
      </c>
      <c r="R26" s="70">
        <v>1</v>
      </c>
      <c r="S26"/>
      <c r="T26"/>
    </row>
    <row r="27" spans="1:20" ht="15" customHeight="1" x14ac:dyDescent="0.15">
      <c r="B27" s="91"/>
      <c r="C27" s="79"/>
      <c r="D27" s="84" t="s">
        <v>160</v>
      </c>
      <c r="F27" s="194" t="s">
        <v>213</v>
      </c>
      <c r="G27" s="80">
        <v>0</v>
      </c>
      <c r="H27" s="80">
        <v>0</v>
      </c>
      <c r="I27" s="80">
        <v>0</v>
      </c>
      <c r="J27" s="80">
        <v>0</v>
      </c>
      <c r="K27" s="80">
        <v>1</v>
      </c>
      <c r="L27" s="80">
        <v>0</v>
      </c>
      <c r="M27" s="80">
        <v>1</v>
      </c>
      <c r="N27" s="80">
        <v>0</v>
      </c>
      <c r="O27" s="80">
        <v>1</v>
      </c>
      <c r="P27" s="69">
        <v>0</v>
      </c>
      <c r="Q27" s="80">
        <v>0</v>
      </c>
      <c r="R27" s="70">
        <v>1</v>
      </c>
      <c r="S27"/>
      <c r="T27"/>
    </row>
    <row r="28" spans="1:20" ht="15" customHeight="1" thickBot="1" x14ac:dyDescent="0.2">
      <c r="B28" s="90"/>
      <c r="C28" s="79"/>
      <c r="D28" s="84" t="s">
        <v>160</v>
      </c>
      <c r="F28" s="194" t="s">
        <v>214</v>
      </c>
      <c r="G28" s="80">
        <v>0</v>
      </c>
      <c r="H28" s="80">
        <v>0</v>
      </c>
      <c r="I28" s="80">
        <v>0</v>
      </c>
      <c r="J28" s="80">
        <v>0</v>
      </c>
      <c r="K28" s="80">
        <v>1</v>
      </c>
      <c r="L28" s="80">
        <v>0</v>
      </c>
      <c r="M28" s="80">
        <v>1</v>
      </c>
      <c r="N28" s="80">
        <v>0</v>
      </c>
      <c r="O28" s="80">
        <v>1</v>
      </c>
      <c r="P28" s="69">
        <v>0</v>
      </c>
      <c r="Q28" s="80">
        <v>0</v>
      </c>
      <c r="R28" s="70">
        <v>1</v>
      </c>
      <c r="S28"/>
      <c r="T28"/>
    </row>
    <row r="29" spans="1:20" ht="15" customHeight="1" x14ac:dyDescent="0.15">
      <c r="F29" s="194" t="s">
        <v>215</v>
      </c>
      <c r="G29" s="80">
        <v>0</v>
      </c>
      <c r="H29" s="80">
        <v>0</v>
      </c>
      <c r="I29" s="80">
        <v>0</v>
      </c>
      <c r="J29" s="80">
        <v>0</v>
      </c>
      <c r="K29" s="80">
        <v>1</v>
      </c>
      <c r="L29" s="80">
        <v>0</v>
      </c>
      <c r="M29" s="80">
        <v>1</v>
      </c>
      <c r="N29" s="80">
        <v>0</v>
      </c>
      <c r="O29" s="80">
        <v>1</v>
      </c>
      <c r="P29" s="69">
        <v>0</v>
      </c>
      <c r="Q29" s="80">
        <v>0</v>
      </c>
      <c r="R29" s="70">
        <v>1</v>
      </c>
      <c r="S29"/>
      <c r="T29"/>
    </row>
    <row r="30" spans="1:20" ht="15" customHeight="1" x14ac:dyDescent="0.15">
      <c r="F30" s="194" t="s">
        <v>216</v>
      </c>
      <c r="G30" s="80">
        <v>0</v>
      </c>
      <c r="H30" s="80">
        <v>0</v>
      </c>
      <c r="I30" s="80">
        <v>0</v>
      </c>
      <c r="J30" s="80">
        <v>0</v>
      </c>
      <c r="K30" s="80">
        <v>1</v>
      </c>
      <c r="L30" s="80">
        <v>0</v>
      </c>
      <c r="M30" s="80">
        <v>1</v>
      </c>
      <c r="N30" s="80">
        <v>0</v>
      </c>
      <c r="O30" s="80">
        <v>1</v>
      </c>
      <c r="P30" s="69">
        <v>0</v>
      </c>
      <c r="Q30" s="80">
        <v>0</v>
      </c>
      <c r="R30" s="70">
        <v>1</v>
      </c>
      <c r="S30"/>
      <c r="T30"/>
    </row>
    <row r="31" spans="1:20" ht="15" customHeight="1" x14ac:dyDescent="0.15">
      <c r="A31" s="122"/>
      <c r="B31" s="132" t="s">
        <v>17</v>
      </c>
      <c r="C31" s="132" t="s">
        <v>1</v>
      </c>
      <c r="D31" s="132" t="s">
        <v>161</v>
      </c>
      <c r="E31" s="133" t="s">
        <v>163</v>
      </c>
      <c r="F31" s="194" t="s">
        <v>217</v>
      </c>
      <c r="G31" s="80">
        <v>0</v>
      </c>
      <c r="H31" s="80">
        <v>0</v>
      </c>
      <c r="I31" s="80">
        <v>0</v>
      </c>
      <c r="J31" s="80">
        <v>0</v>
      </c>
      <c r="K31" s="80">
        <v>1</v>
      </c>
      <c r="L31" s="80">
        <v>0</v>
      </c>
      <c r="M31" s="80">
        <v>1</v>
      </c>
      <c r="N31" s="80">
        <v>0</v>
      </c>
      <c r="O31" s="80">
        <v>1</v>
      </c>
      <c r="P31" s="69">
        <v>0</v>
      </c>
      <c r="Q31" s="80">
        <v>0</v>
      </c>
      <c r="R31" s="70">
        <v>1</v>
      </c>
      <c r="S31"/>
      <c r="T31"/>
    </row>
    <row r="32" spans="1:20" ht="15" customHeight="1" x14ac:dyDescent="0.15">
      <c r="A32" s="197" t="s">
        <v>228</v>
      </c>
      <c r="B32" s="92">
        <v>426096.21899999998</v>
      </c>
      <c r="C32" s="92">
        <v>125</v>
      </c>
      <c r="D32" s="92">
        <v>53262027.375</v>
      </c>
      <c r="E32" s="123">
        <v>9.6118481928274629E-2</v>
      </c>
      <c r="F32" s="194" t="s">
        <v>218</v>
      </c>
      <c r="G32" s="80">
        <v>0</v>
      </c>
      <c r="H32" s="80">
        <v>0</v>
      </c>
      <c r="I32" s="80">
        <v>0</v>
      </c>
      <c r="J32" s="80">
        <v>0</v>
      </c>
      <c r="K32" s="80">
        <v>1</v>
      </c>
      <c r="L32" s="80">
        <v>0</v>
      </c>
      <c r="M32" s="80">
        <v>1</v>
      </c>
      <c r="N32" s="80">
        <v>0</v>
      </c>
      <c r="O32" s="80">
        <v>1</v>
      </c>
      <c r="P32" s="69">
        <v>0</v>
      </c>
      <c r="Q32" s="80">
        <v>0</v>
      </c>
      <c r="R32" s="70">
        <v>1</v>
      </c>
      <c r="S32"/>
      <c r="T32"/>
    </row>
    <row r="33" spans="1:20" ht="15" customHeight="1" x14ac:dyDescent="0.15">
      <c r="A33" s="197" t="s">
        <v>229</v>
      </c>
      <c r="B33" s="92">
        <v>2999202.75</v>
      </c>
      <c r="C33" s="92">
        <v>167</v>
      </c>
      <c r="D33" s="92">
        <v>500866859.25</v>
      </c>
      <c r="E33" s="123">
        <v>0.90388151807172534</v>
      </c>
      <c r="F33" s="194" t="s">
        <v>219</v>
      </c>
      <c r="G33" s="80">
        <v>0</v>
      </c>
      <c r="H33" s="80">
        <v>0</v>
      </c>
      <c r="I33" s="80">
        <v>0</v>
      </c>
      <c r="J33" s="80">
        <v>0</v>
      </c>
      <c r="K33" s="80">
        <v>1</v>
      </c>
      <c r="L33" s="80">
        <v>0</v>
      </c>
      <c r="M33" s="80">
        <v>1</v>
      </c>
      <c r="N33" s="80">
        <v>0</v>
      </c>
      <c r="O33" s="80">
        <v>1</v>
      </c>
      <c r="P33" s="69">
        <v>0</v>
      </c>
      <c r="Q33" s="80">
        <v>0</v>
      </c>
      <c r="R33" s="70">
        <v>1</v>
      </c>
      <c r="S33"/>
      <c r="T33"/>
    </row>
    <row r="34" spans="1:20" ht="15" customHeight="1" x14ac:dyDescent="0.15">
      <c r="A34" s="124"/>
      <c r="B34" s="92"/>
      <c r="C34" s="92"/>
      <c r="D34" s="92"/>
      <c r="E34" s="123"/>
      <c r="F34" s="194" t="s">
        <v>220</v>
      </c>
      <c r="G34" s="80">
        <v>0</v>
      </c>
      <c r="H34" s="80">
        <v>0</v>
      </c>
      <c r="I34" s="80">
        <v>0</v>
      </c>
      <c r="J34" s="80">
        <v>0</v>
      </c>
      <c r="K34" s="80">
        <v>1</v>
      </c>
      <c r="L34" s="80">
        <v>0</v>
      </c>
      <c r="M34" s="80">
        <v>1</v>
      </c>
      <c r="N34" s="80">
        <v>0</v>
      </c>
      <c r="O34" s="80">
        <v>1</v>
      </c>
      <c r="P34" s="69">
        <v>0</v>
      </c>
      <c r="Q34" s="80">
        <v>0</v>
      </c>
      <c r="R34" s="70">
        <v>1</v>
      </c>
      <c r="S34"/>
      <c r="T34"/>
    </row>
    <row r="35" spans="1:20" ht="15" customHeight="1" x14ac:dyDescent="0.15">
      <c r="A35" s="125"/>
      <c r="B35" s="92"/>
      <c r="C35" s="92"/>
      <c r="D35" s="92"/>
      <c r="E35" s="123"/>
      <c r="F35" s="194" t="s">
        <v>221</v>
      </c>
      <c r="G35" s="80">
        <v>0</v>
      </c>
      <c r="H35" s="80">
        <v>0</v>
      </c>
      <c r="I35" s="80">
        <v>0</v>
      </c>
      <c r="J35" s="80">
        <v>0</v>
      </c>
      <c r="K35" s="80">
        <v>1</v>
      </c>
      <c r="L35" s="80">
        <v>0</v>
      </c>
      <c r="M35" s="80">
        <v>1</v>
      </c>
      <c r="N35" s="80">
        <v>0</v>
      </c>
      <c r="O35" s="80">
        <v>1</v>
      </c>
      <c r="P35" s="69">
        <v>0</v>
      </c>
      <c r="Q35" s="80">
        <v>0</v>
      </c>
      <c r="R35" s="70">
        <v>1</v>
      </c>
      <c r="S35"/>
      <c r="T35"/>
    </row>
    <row r="36" spans="1:20" ht="15" customHeight="1" x14ac:dyDescent="0.15">
      <c r="A36" s="126"/>
      <c r="B36" s="92"/>
      <c r="C36" s="92"/>
      <c r="D36" s="92"/>
      <c r="E36" s="123"/>
      <c r="F36" s="194" t="s">
        <v>222</v>
      </c>
      <c r="G36" s="80">
        <v>0</v>
      </c>
      <c r="H36" s="80">
        <v>0</v>
      </c>
      <c r="I36" s="80">
        <v>0</v>
      </c>
      <c r="J36" s="80">
        <v>0</v>
      </c>
      <c r="K36" s="80">
        <v>1</v>
      </c>
      <c r="L36" s="80">
        <v>0</v>
      </c>
      <c r="M36" s="80">
        <v>1</v>
      </c>
      <c r="N36" s="80">
        <v>0</v>
      </c>
      <c r="O36" s="80">
        <v>1</v>
      </c>
      <c r="P36" s="69">
        <v>0</v>
      </c>
      <c r="Q36" s="80">
        <v>0</v>
      </c>
      <c r="R36" s="70">
        <v>1</v>
      </c>
      <c r="S36"/>
      <c r="T36"/>
    </row>
    <row r="37" spans="1:20" ht="15" customHeight="1" x14ac:dyDescent="0.15">
      <c r="A37" s="126"/>
      <c r="B37" s="92"/>
      <c r="C37" s="92"/>
      <c r="D37" s="92"/>
      <c r="E37" s="123"/>
      <c r="F37" s="194" t="s">
        <v>223</v>
      </c>
      <c r="G37" s="80">
        <v>0</v>
      </c>
      <c r="H37" s="80">
        <v>0</v>
      </c>
      <c r="I37" s="80">
        <v>0</v>
      </c>
      <c r="J37" s="80">
        <v>0</v>
      </c>
      <c r="K37" s="80">
        <v>1</v>
      </c>
      <c r="L37" s="80">
        <v>0</v>
      </c>
      <c r="M37" s="80">
        <v>1</v>
      </c>
      <c r="N37" s="80">
        <v>0</v>
      </c>
      <c r="O37" s="80">
        <v>1</v>
      </c>
      <c r="P37" s="69">
        <v>0</v>
      </c>
      <c r="Q37" s="80">
        <v>0</v>
      </c>
      <c r="R37" s="70">
        <v>1</v>
      </c>
      <c r="S37"/>
      <c r="T37"/>
    </row>
    <row r="38" spans="1:20" ht="15" customHeight="1" x14ac:dyDescent="0.15">
      <c r="A38" s="127"/>
      <c r="B38" s="92"/>
      <c r="C38" s="92"/>
      <c r="D38" s="92"/>
      <c r="E38" s="123"/>
      <c r="F38" s="194" t="s">
        <v>224</v>
      </c>
      <c r="G38" s="80">
        <v>0</v>
      </c>
      <c r="H38" s="80">
        <v>0</v>
      </c>
      <c r="I38" s="80">
        <v>0</v>
      </c>
      <c r="J38" s="80">
        <v>0</v>
      </c>
      <c r="K38" s="80">
        <v>1</v>
      </c>
      <c r="L38" s="80">
        <v>0</v>
      </c>
      <c r="M38" s="80">
        <v>1</v>
      </c>
      <c r="N38" s="80">
        <v>0</v>
      </c>
      <c r="O38" s="80">
        <v>1</v>
      </c>
      <c r="P38" s="69">
        <v>0</v>
      </c>
      <c r="Q38" s="80">
        <v>0</v>
      </c>
      <c r="R38" s="70">
        <v>1</v>
      </c>
      <c r="S38"/>
      <c r="T38"/>
    </row>
    <row r="39" spans="1:20" ht="15" customHeight="1" x14ac:dyDescent="0.15">
      <c r="A39" s="127"/>
      <c r="B39" s="92"/>
      <c r="C39" s="92"/>
      <c r="D39" s="92"/>
      <c r="E39" s="123"/>
      <c r="F39" s="194" t="s">
        <v>225</v>
      </c>
      <c r="G39" s="80">
        <v>0</v>
      </c>
      <c r="H39" s="80">
        <v>0</v>
      </c>
      <c r="I39" s="80">
        <v>0</v>
      </c>
      <c r="J39" s="80">
        <v>0</v>
      </c>
      <c r="K39" s="80">
        <v>1</v>
      </c>
      <c r="L39" s="80">
        <v>0</v>
      </c>
      <c r="M39" s="80">
        <v>1</v>
      </c>
      <c r="N39" s="80">
        <v>0</v>
      </c>
      <c r="O39" s="80">
        <v>1</v>
      </c>
      <c r="P39" s="69">
        <v>0</v>
      </c>
      <c r="Q39" s="80">
        <v>0</v>
      </c>
      <c r="R39" s="70">
        <v>1</v>
      </c>
      <c r="S39"/>
      <c r="T39"/>
    </row>
    <row r="40" spans="1:20" ht="15" customHeight="1" x14ac:dyDescent="0.15">
      <c r="A40" s="127"/>
      <c r="B40" s="92"/>
      <c r="C40" s="92"/>
      <c r="D40" s="92"/>
      <c r="E40" s="123"/>
      <c r="F40" s="194" t="s">
        <v>226</v>
      </c>
      <c r="G40" s="80">
        <v>0</v>
      </c>
      <c r="H40" s="80">
        <v>0</v>
      </c>
      <c r="I40" s="80">
        <v>0</v>
      </c>
      <c r="J40" s="80">
        <v>0</v>
      </c>
      <c r="K40" s="80">
        <v>1</v>
      </c>
      <c r="L40" s="80">
        <v>0</v>
      </c>
      <c r="M40" s="80">
        <v>1</v>
      </c>
      <c r="N40" s="80">
        <v>0</v>
      </c>
      <c r="O40" s="80">
        <v>1</v>
      </c>
      <c r="P40" s="69">
        <v>0</v>
      </c>
      <c r="Q40" s="80">
        <v>0</v>
      </c>
      <c r="R40" s="70">
        <v>1</v>
      </c>
      <c r="S40"/>
      <c r="T40"/>
    </row>
    <row r="41" spans="1:20" ht="15" customHeight="1" thickBot="1" x14ac:dyDescent="0.2">
      <c r="A41" s="127"/>
      <c r="B41" s="92"/>
      <c r="C41" s="92"/>
      <c r="D41" s="93"/>
      <c r="E41" s="128"/>
      <c r="F41" s="194" t="s">
        <v>227</v>
      </c>
      <c r="G41" s="80">
        <v>0</v>
      </c>
      <c r="H41" s="80">
        <v>0</v>
      </c>
      <c r="I41" s="80">
        <v>0</v>
      </c>
      <c r="J41" s="80">
        <v>0</v>
      </c>
      <c r="K41" s="80">
        <v>1</v>
      </c>
      <c r="L41" s="80">
        <v>0</v>
      </c>
      <c r="M41" s="80">
        <v>1</v>
      </c>
      <c r="N41" s="80">
        <v>0</v>
      </c>
      <c r="O41" s="80">
        <v>1</v>
      </c>
      <c r="P41" s="69">
        <v>0</v>
      </c>
      <c r="Q41" s="80">
        <v>0</v>
      </c>
      <c r="R41" s="70">
        <v>1</v>
      </c>
      <c r="S41"/>
      <c r="T41"/>
    </row>
    <row r="42" spans="1:20" ht="15" customHeight="1" x14ac:dyDescent="0.15">
      <c r="A42" s="129"/>
      <c r="B42" s="130"/>
      <c r="C42" s="130" t="s">
        <v>162</v>
      </c>
      <c r="D42" s="130">
        <f>SUM(D32:D41)</f>
        <v>554128886.625</v>
      </c>
      <c r="E42" s="131">
        <f>SUM(E32:E41)</f>
        <v>1</v>
      </c>
      <c r="F42" s="194" t="s">
        <v>228</v>
      </c>
      <c r="G42" s="80">
        <v>0</v>
      </c>
      <c r="H42" s="80">
        <v>0</v>
      </c>
      <c r="I42" s="80">
        <v>0</v>
      </c>
      <c r="J42" s="80">
        <v>0</v>
      </c>
      <c r="K42" s="80">
        <v>0</v>
      </c>
      <c r="L42" s="80">
        <v>0</v>
      </c>
      <c r="M42" s="80">
        <v>1</v>
      </c>
      <c r="N42" s="80">
        <v>0</v>
      </c>
      <c r="O42" s="80">
        <v>0</v>
      </c>
      <c r="P42" s="69">
        <v>0</v>
      </c>
      <c r="Q42" s="80">
        <v>0</v>
      </c>
      <c r="R42" s="70">
        <v>1</v>
      </c>
      <c r="S42"/>
      <c r="T42"/>
    </row>
    <row r="43" spans="1:20" ht="15" customHeight="1" x14ac:dyDescent="0.15">
      <c r="A43" s="80"/>
      <c r="F43" s="194" t="s">
        <v>229</v>
      </c>
      <c r="G43" s="80">
        <v>0</v>
      </c>
      <c r="H43" s="80">
        <v>0</v>
      </c>
      <c r="I43" s="80">
        <v>0</v>
      </c>
      <c r="J43" s="80">
        <v>0</v>
      </c>
      <c r="K43" s="80">
        <v>0</v>
      </c>
      <c r="L43" s="80">
        <v>0</v>
      </c>
      <c r="M43" s="80">
        <v>1</v>
      </c>
      <c r="N43" s="80">
        <v>0</v>
      </c>
      <c r="O43" s="80">
        <v>0</v>
      </c>
      <c r="P43" s="69">
        <v>0</v>
      </c>
      <c r="Q43" s="80">
        <v>0</v>
      </c>
      <c r="R43" s="70">
        <v>1</v>
      </c>
      <c r="S43"/>
      <c r="T43"/>
    </row>
    <row r="44" spans="1:20" ht="15" customHeight="1" x14ac:dyDescent="0.15">
      <c r="A44" s="80"/>
      <c r="F44" s="194" t="s">
        <v>230</v>
      </c>
      <c r="G44" s="80">
        <v>0</v>
      </c>
      <c r="H44" s="80">
        <v>0</v>
      </c>
      <c r="I44" s="80">
        <v>0</v>
      </c>
      <c r="J44" s="80">
        <v>0</v>
      </c>
      <c r="K44" s="80">
        <v>0</v>
      </c>
      <c r="L44" s="80">
        <v>1</v>
      </c>
      <c r="M44" s="80">
        <v>0</v>
      </c>
      <c r="N44" s="80">
        <v>1</v>
      </c>
      <c r="O44" s="80">
        <v>0</v>
      </c>
      <c r="P44" s="69">
        <v>1</v>
      </c>
      <c r="Q44" s="80">
        <v>0</v>
      </c>
      <c r="R44" s="70">
        <v>1</v>
      </c>
    </row>
    <row r="45" spans="1:20" ht="15" customHeight="1" x14ac:dyDescent="0.15">
      <c r="A45" s="80"/>
      <c r="F45" s="194" t="s">
        <v>231</v>
      </c>
      <c r="G45" s="80">
        <v>0</v>
      </c>
      <c r="H45" s="80">
        <v>0</v>
      </c>
      <c r="I45" s="80">
        <v>0</v>
      </c>
      <c r="J45" s="80">
        <v>0</v>
      </c>
      <c r="K45" s="80">
        <v>0</v>
      </c>
      <c r="L45" s="80">
        <v>1</v>
      </c>
      <c r="M45" s="80">
        <v>0</v>
      </c>
      <c r="N45" s="80">
        <v>1</v>
      </c>
      <c r="O45" s="80">
        <v>0</v>
      </c>
      <c r="P45" s="69">
        <v>1</v>
      </c>
      <c r="Q45" s="80">
        <v>0</v>
      </c>
      <c r="R45" s="70">
        <v>1</v>
      </c>
    </row>
    <row r="46" spans="1:20" ht="15" customHeight="1" x14ac:dyDescent="0.15">
      <c r="A46" s="80"/>
      <c r="F46" s="194" t="s">
        <v>232</v>
      </c>
      <c r="G46" s="80">
        <v>0</v>
      </c>
      <c r="H46" s="80">
        <v>0</v>
      </c>
      <c r="I46" s="80">
        <v>0</v>
      </c>
      <c r="J46" s="80">
        <v>0</v>
      </c>
      <c r="K46" s="80">
        <v>0</v>
      </c>
      <c r="L46" s="80">
        <v>1</v>
      </c>
      <c r="M46" s="80">
        <v>0</v>
      </c>
      <c r="N46" s="80">
        <v>0</v>
      </c>
      <c r="O46" s="80">
        <v>0</v>
      </c>
      <c r="P46" s="69">
        <v>0</v>
      </c>
      <c r="Q46" s="80">
        <v>0</v>
      </c>
      <c r="R46" s="70">
        <v>1</v>
      </c>
    </row>
    <row r="47" spans="1:20" ht="15" customHeight="1" x14ac:dyDescent="0.15">
      <c r="A47" s="80"/>
      <c r="F47" s="194" t="s">
        <v>233</v>
      </c>
      <c r="G47" s="80">
        <v>0</v>
      </c>
      <c r="H47" s="80">
        <v>0</v>
      </c>
      <c r="I47" s="80">
        <v>0</v>
      </c>
      <c r="J47" s="80">
        <v>0</v>
      </c>
      <c r="K47" s="80">
        <v>0</v>
      </c>
      <c r="L47" s="80">
        <v>1</v>
      </c>
      <c r="M47" s="80">
        <v>0</v>
      </c>
      <c r="N47" s="80">
        <v>0</v>
      </c>
      <c r="O47" s="80">
        <v>0</v>
      </c>
      <c r="P47" s="69">
        <v>0</v>
      </c>
      <c r="Q47" s="80">
        <v>0</v>
      </c>
      <c r="R47" s="70">
        <v>1</v>
      </c>
    </row>
    <row r="48" spans="1:20" ht="15" customHeight="1" x14ac:dyDescent="0.15">
      <c r="A48" s="80"/>
      <c r="F48" s="194" t="s">
        <v>234</v>
      </c>
      <c r="G48" s="80">
        <v>0</v>
      </c>
      <c r="H48" s="80">
        <v>0</v>
      </c>
      <c r="I48" s="80">
        <v>0</v>
      </c>
      <c r="J48" s="80">
        <v>0</v>
      </c>
      <c r="K48" s="80">
        <v>0</v>
      </c>
      <c r="L48" s="80">
        <v>1</v>
      </c>
      <c r="M48" s="80">
        <v>0</v>
      </c>
      <c r="N48" s="80">
        <v>0</v>
      </c>
      <c r="O48" s="80">
        <v>0</v>
      </c>
      <c r="P48" s="69">
        <v>0</v>
      </c>
      <c r="Q48" s="80">
        <v>0</v>
      </c>
      <c r="R48" s="70">
        <v>1</v>
      </c>
    </row>
    <row r="49" spans="6:18" s="80" customFormat="1" ht="15" customHeight="1" x14ac:dyDescent="0.15">
      <c r="F49" s="194" t="s">
        <v>235</v>
      </c>
      <c r="G49" s="80">
        <v>0</v>
      </c>
      <c r="H49" s="80">
        <v>0</v>
      </c>
      <c r="I49" s="80">
        <v>0</v>
      </c>
      <c r="J49" s="80">
        <v>0</v>
      </c>
      <c r="K49" s="80">
        <v>0</v>
      </c>
      <c r="L49" s="80">
        <v>1</v>
      </c>
      <c r="M49" s="80">
        <v>0</v>
      </c>
      <c r="N49" s="80">
        <v>0</v>
      </c>
      <c r="O49" s="80">
        <v>0</v>
      </c>
      <c r="P49" s="69">
        <v>0</v>
      </c>
      <c r="Q49" s="80">
        <v>0</v>
      </c>
      <c r="R49" s="70">
        <v>1</v>
      </c>
    </row>
    <row r="50" spans="6:18" s="80" customFormat="1" ht="15" customHeight="1" x14ac:dyDescent="0.15">
      <c r="F50" s="194" t="s">
        <v>236</v>
      </c>
      <c r="G50" s="80">
        <v>0</v>
      </c>
      <c r="H50" s="80">
        <v>0</v>
      </c>
      <c r="I50" s="80">
        <v>0</v>
      </c>
      <c r="J50" s="80">
        <v>0</v>
      </c>
      <c r="K50" s="80">
        <v>0</v>
      </c>
      <c r="L50" s="80">
        <v>1</v>
      </c>
      <c r="M50" s="80">
        <v>0</v>
      </c>
      <c r="N50" s="80">
        <v>0</v>
      </c>
      <c r="O50" s="80">
        <v>0</v>
      </c>
      <c r="P50" s="69">
        <v>0</v>
      </c>
      <c r="Q50" s="80">
        <v>0</v>
      </c>
      <c r="R50" s="70">
        <v>1</v>
      </c>
    </row>
    <row r="51" spans="6:18" s="8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A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7" customWidth="1"/>
    <col min="3" max="5" width="7.83203125" style="107" customWidth="1"/>
    <col min="6" max="8" width="8.83203125" style="6"/>
    <col min="9" max="9" width="12" style="6" customWidth="1"/>
    <col min="10" max="10" width="12.5" style="6" customWidth="1"/>
    <col min="11" max="11" width="13.83203125" style="6" customWidth="1"/>
    <col min="12" max="12" width="14.6640625" style="6" customWidth="1"/>
    <col min="13" max="13" width="14.5" style="6" customWidth="1"/>
    <col min="14" max="14" width="12.5" style="6" customWidth="1"/>
    <col min="15" max="15" width="10.6640625" style="6" customWidth="1"/>
    <col min="16" max="16" width="11.1640625" style="6" customWidth="1"/>
    <col min="17" max="17" width="9.5" style="6" customWidth="1"/>
    <col min="18" max="19" width="9.83203125" style="6" customWidth="1"/>
    <col min="20" max="20" width="11.83203125" style="6" customWidth="1"/>
    <col min="21" max="23" width="9.6640625" style="6" customWidth="1"/>
    <col min="24" max="24" width="5.5" style="6" customWidth="1"/>
    <col min="25" max="26" width="8.5" style="6" customWidth="1"/>
    <col min="27" max="27" width="6" style="6" customWidth="1"/>
    <col min="28" max="28" width="6.83203125" style="6" customWidth="1"/>
    <col min="29" max="29" width="12" style="6" customWidth="1"/>
    <col min="30" max="30" width="10.5" style="6" customWidth="1"/>
    <col min="31" max="32" width="10.6640625" style="6" customWidth="1"/>
    <col min="33" max="33" width="12.6640625" style="6" customWidth="1"/>
    <col min="34" max="36" width="10.5" style="6" customWidth="1"/>
    <col min="37" max="37" width="10.1640625" style="6" customWidth="1"/>
    <col min="38" max="38" width="9.6640625" style="6" customWidth="1"/>
    <col min="39" max="39" width="12.6640625" customWidth="1"/>
    <col min="40" max="40" width="14.5" customWidth="1"/>
    <col min="41" max="41" width="12" customWidth="1"/>
    <col min="42" max="42" width="6.1640625" customWidth="1"/>
    <col min="43" max="44" width="15.83203125" customWidth="1"/>
    <col min="45" max="45" width="15.6640625" customWidth="1"/>
    <col min="46" max="46" width="13.1640625" customWidth="1"/>
    <col min="47" max="47" width="7.6640625" customWidth="1"/>
    <col min="48" max="48" width="21.6640625" customWidth="1"/>
    <col min="49" max="49" width="11.5" customWidth="1"/>
    <col min="50" max="50" width="9.6640625" customWidth="1"/>
    <col min="51" max="51" width="18.33203125" customWidth="1"/>
    <col min="52" max="52" width="11.83203125" customWidth="1"/>
    <col min="53" max="53" width="10" customWidth="1"/>
    <col min="81" max="81" width="22.1640625" bestFit="1" customWidth="1"/>
  </cols>
  <sheetData>
    <row r="1" spans="1:53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199" t="s">
        <v>192</v>
      </c>
      <c r="J1" s="199" t="s">
        <v>193</v>
      </c>
      <c r="K1" s="199" t="s">
        <v>194</v>
      </c>
      <c r="L1" s="199" t="s">
        <v>195</v>
      </c>
      <c r="M1" s="199" t="s">
        <v>196</v>
      </c>
      <c r="N1" s="199" t="s">
        <v>197</v>
      </c>
      <c r="O1" s="199" t="s">
        <v>198</v>
      </c>
      <c r="P1" s="199" t="s">
        <v>199</v>
      </c>
      <c r="Q1" s="199" t="s">
        <v>200</v>
      </c>
      <c r="R1" s="199" t="s">
        <v>201</v>
      </c>
      <c r="S1" s="199" t="s">
        <v>202</v>
      </c>
      <c r="T1" s="199" t="s">
        <v>203</v>
      </c>
      <c r="U1" s="199" t="s">
        <v>204</v>
      </c>
      <c r="V1" s="199" t="s">
        <v>205</v>
      </c>
      <c r="W1" s="199" t="s">
        <v>206</v>
      </c>
      <c r="X1" s="199" t="s">
        <v>207</v>
      </c>
      <c r="Y1" s="199" t="s">
        <v>208</v>
      </c>
      <c r="Z1" s="199" t="s">
        <v>209</v>
      </c>
      <c r="AA1" s="199" t="s">
        <v>210</v>
      </c>
      <c r="AB1" s="199" t="s">
        <v>211</v>
      </c>
      <c r="AC1" s="199" t="s">
        <v>212</v>
      </c>
      <c r="AD1" s="199" t="s">
        <v>213</v>
      </c>
      <c r="AE1" s="199" t="s">
        <v>214</v>
      </c>
      <c r="AF1" s="199" t="s">
        <v>215</v>
      </c>
      <c r="AG1" s="199" t="s">
        <v>216</v>
      </c>
      <c r="AH1" s="199" t="s">
        <v>217</v>
      </c>
      <c r="AI1" s="199" t="s">
        <v>218</v>
      </c>
      <c r="AJ1" s="199" t="s">
        <v>219</v>
      </c>
      <c r="AK1" s="199" t="s">
        <v>220</v>
      </c>
      <c r="AL1" s="199" t="s">
        <v>221</v>
      </c>
      <c r="AM1" s="199" t="s">
        <v>222</v>
      </c>
      <c r="AN1" s="199" t="s">
        <v>223</v>
      </c>
      <c r="AO1" s="199" t="s">
        <v>224</v>
      </c>
      <c r="AP1" s="199" t="s">
        <v>225</v>
      </c>
      <c r="AQ1" s="199" t="s">
        <v>226</v>
      </c>
      <c r="AR1" s="199" t="s">
        <v>227</v>
      </c>
      <c r="AS1" s="199" t="s">
        <v>228</v>
      </c>
      <c r="AT1" s="199" t="s">
        <v>229</v>
      </c>
      <c r="AU1" s="199" t="s">
        <v>230</v>
      </c>
      <c r="AV1" s="199" t="s">
        <v>231</v>
      </c>
      <c r="AW1" s="199" t="s">
        <v>232</v>
      </c>
      <c r="AX1" s="199" t="s">
        <v>233</v>
      </c>
      <c r="AY1" s="199" t="s">
        <v>234</v>
      </c>
      <c r="AZ1" s="199" t="s">
        <v>235</v>
      </c>
      <c r="BA1" s="199" t="s">
        <v>236</v>
      </c>
    </row>
    <row r="2" spans="1:53" x14ac:dyDescent="0.15">
      <c r="A2" t="s">
        <v>38</v>
      </c>
      <c r="B2" s="10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53" x14ac:dyDescent="0.15">
      <c r="A3" t="s">
        <v>40</v>
      </c>
      <c r="B3" s="10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53" x14ac:dyDescent="0.15">
      <c r="A4" t="s">
        <v>41</v>
      </c>
      <c r="B4" s="10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53" x14ac:dyDescent="0.15">
      <c r="A5" s="198" t="s">
        <v>192</v>
      </c>
      <c r="B5" s="10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53" x14ac:dyDescent="0.15">
      <c r="A6" s="198" t="s">
        <v>193</v>
      </c>
      <c r="B6" s="10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53" x14ac:dyDescent="0.15">
      <c r="A7" s="198" t="s">
        <v>194</v>
      </c>
      <c r="B7" s="10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53" x14ac:dyDescent="0.15">
      <c r="A8" s="198" t="s">
        <v>195</v>
      </c>
      <c r="B8" s="10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53" x14ac:dyDescent="0.15">
      <c r="A9" s="198" t="s">
        <v>196</v>
      </c>
      <c r="B9" s="10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53" x14ac:dyDescent="0.15">
      <c r="A10" s="198" t="s">
        <v>197</v>
      </c>
      <c r="B10" s="10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53" x14ac:dyDescent="0.15">
      <c r="A11" s="198" t="s">
        <v>198</v>
      </c>
      <c r="B11" s="10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53" x14ac:dyDescent="0.15">
      <c r="A12" s="198" t="s">
        <v>199</v>
      </c>
      <c r="B12" s="10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53" x14ac:dyDescent="0.15">
      <c r="A13" s="198" t="s">
        <v>200</v>
      </c>
      <c r="B13" s="10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53" x14ac:dyDescent="0.15">
      <c r="A14" s="198" t="s">
        <v>201</v>
      </c>
      <c r="B14" s="10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53" x14ac:dyDescent="0.15">
      <c r="A15" s="198" t="s">
        <v>202</v>
      </c>
      <c r="B15" s="10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53" x14ac:dyDescent="0.15">
      <c r="A16" s="198" t="s">
        <v>203</v>
      </c>
      <c r="B16" s="10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8" t="s">
        <v>204</v>
      </c>
      <c r="B17" s="10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8" t="s">
        <v>205</v>
      </c>
      <c r="B18" s="10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8" t="s">
        <v>206</v>
      </c>
      <c r="B19" s="10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8" t="s">
        <v>207</v>
      </c>
      <c r="B20" s="10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8" t="s">
        <v>208</v>
      </c>
      <c r="B21" s="10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8" t="s">
        <v>209</v>
      </c>
      <c r="B22" s="10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8" t="s">
        <v>210</v>
      </c>
      <c r="B23" s="10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8" t="s">
        <v>211</v>
      </c>
      <c r="B24" s="107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8" t="s">
        <v>212</v>
      </c>
      <c r="B25" s="107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8" t="s">
        <v>213</v>
      </c>
      <c r="B26" s="107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8" t="s">
        <v>214</v>
      </c>
      <c r="B27" s="107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8" t="s">
        <v>215</v>
      </c>
      <c r="B28" s="107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8" t="s">
        <v>216</v>
      </c>
      <c r="B29" s="107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8" t="s">
        <v>217</v>
      </c>
      <c r="B30" s="107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8" t="s">
        <v>218</v>
      </c>
      <c r="B31" s="107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8" t="s">
        <v>219</v>
      </c>
      <c r="B32" s="107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8" t="s">
        <v>220</v>
      </c>
      <c r="B33" s="107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8" t="s">
        <v>221</v>
      </c>
      <c r="B34" s="107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8" t="s">
        <v>222</v>
      </c>
      <c r="B35" s="107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8" t="s">
        <v>223</v>
      </c>
      <c r="B36" s="107">
        <v>0</v>
      </c>
      <c r="C36"/>
      <c r="D36"/>
    </row>
    <row r="37" spans="1:38" ht="15" customHeight="1" x14ac:dyDescent="0.15">
      <c r="A37" s="198" t="s">
        <v>224</v>
      </c>
      <c r="B37" s="107">
        <v>0</v>
      </c>
      <c r="C37"/>
      <c r="D37"/>
    </row>
    <row r="38" spans="1:38" ht="15" customHeight="1" x14ac:dyDescent="0.15">
      <c r="A38" s="198" t="s">
        <v>225</v>
      </c>
      <c r="B38" s="107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8" t="s">
        <v>226</v>
      </c>
      <c r="B39" s="107">
        <v>0</v>
      </c>
      <c r="C39"/>
      <c r="D39"/>
    </row>
    <row r="40" spans="1:38" ht="15" customHeight="1" x14ac:dyDescent="0.15">
      <c r="A40" s="198" t="s">
        <v>227</v>
      </c>
      <c r="B40" s="107">
        <v>0</v>
      </c>
      <c r="C40"/>
      <c r="D40"/>
    </row>
    <row r="41" spans="1:38" ht="15" customHeight="1" x14ac:dyDescent="0.15">
      <c r="A41" s="198" t="s">
        <v>228</v>
      </c>
      <c r="B41" s="107">
        <v>0</v>
      </c>
      <c r="C41"/>
      <c r="D41"/>
    </row>
    <row r="42" spans="1:38" ht="15" customHeight="1" x14ac:dyDescent="0.15">
      <c r="A42" s="198" t="s">
        <v>229</v>
      </c>
      <c r="B42" s="107">
        <v>0</v>
      </c>
    </row>
    <row r="43" spans="1:38" ht="15" customHeight="1" x14ac:dyDescent="0.15">
      <c r="A43" s="198" t="s">
        <v>230</v>
      </c>
      <c r="B43" s="107">
        <v>0</v>
      </c>
    </row>
    <row r="44" spans="1:38" ht="15" customHeight="1" x14ac:dyDescent="0.15">
      <c r="A44" s="198" t="s">
        <v>231</v>
      </c>
      <c r="B44" s="107">
        <v>0</v>
      </c>
    </row>
    <row r="45" spans="1:38" ht="15" customHeight="1" x14ac:dyDescent="0.15">
      <c r="A45" s="198" t="s">
        <v>232</v>
      </c>
      <c r="B45" s="107">
        <v>0</v>
      </c>
    </row>
    <row r="46" spans="1:38" ht="15" customHeight="1" x14ac:dyDescent="0.15">
      <c r="A46" s="198" t="s">
        <v>233</v>
      </c>
      <c r="B46" s="107">
        <v>0</v>
      </c>
    </row>
    <row r="47" spans="1:38" ht="15" customHeight="1" x14ac:dyDescent="0.15">
      <c r="A47" s="198" t="s">
        <v>234</v>
      </c>
      <c r="B47" s="107">
        <v>0</v>
      </c>
    </row>
    <row r="48" spans="1:38" ht="15" customHeight="1" x14ac:dyDescent="0.15">
      <c r="A48" s="198" t="s">
        <v>235</v>
      </c>
      <c r="B48" s="107">
        <v>0</v>
      </c>
    </row>
    <row r="49" spans="1:38" ht="15" customHeight="1" x14ac:dyDescent="0.15">
      <c r="A49" s="198" t="s">
        <v>236</v>
      </c>
      <c r="B49" s="107">
        <v>0</v>
      </c>
    </row>
    <row r="50" spans="1:38" ht="15" customHeight="1" x14ac:dyDescent="0.15"/>
    <row r="51" spans="1:38" ht="15" customHeight="1" x14ac:dyDescent="0.15"/>
    <row r="52" spans="1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2022-10-23T22:35:54Z</dcterms:modified>
</cp:coreProperties>
</file>