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Pacific/Pacific_ECOTRAN_K-path_versions/"/>
    </mc:Choice>
  </mc:AlternateContent>
  <xr:revisionPtr revIDLastSave="0" documentId="13_ncr:1_{D2461A41-A13D-1647-AB37-7890BA56348A}" xr6:coauthVersionLast="45" xr6:coauthVersionMax="45" xr10:uidLastSave="{00000000-0000-0000-0000-000000000000}"/>
  <bookViews>
    <workbookView xWindow="0" yWindow="460" windowWidth="25600" windowHeight="14240" tabRatio="728" firstSheet="3" activeTab="11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Main!$C$2:$N$36</definedName>
    <definedName name="matDetritus">Detritus!$C$2:$E$36</definedName>
    <definedName name="matDiet">Diets!$B$2:$AG$36</definedName>
    <definedName name="matDiscards">Discards!$C$2:$C$35</definedName>
    <definedName name="matFishery">Fishing!$C$2:$C$35</definedName>
    <definedName name="matFishing">Fishing!#REF!</definedName>
    <definedName name="matMort">Mortalities!$A$1:$AL$35</definedName>
    <definedName name="matOut">MainOutputs!$A$2:$I$36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<sst xmlns="http://schemas.openxmlformats.org/spreadsheetml/2006/main" count="1019" uniqueCount="232">
  <si>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</si>
  <si>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</si>
  <si>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</si>
  <si>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</si>
  <si>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</si>
  <si>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</si>
  <si>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</si>
  <si>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</si>
  <si>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</si>
  <si>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</si>
  <si>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</si>
  <si>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</si>
  <si>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</si>
  <si>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</si>
  <si>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</si>
  <si>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</si>
  <si>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</si>
  <si>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</si>
  <si>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</si>
  <si>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</si>
  <si>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</si>
  <si>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</si>
  <si>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</si>
  <si>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</si>
  <si>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</si>
  <si>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</si>
  <si>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</si>
  <si>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</si>
  <si>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</si>
  <si>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</si>
  <si>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</si>
  <si>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</si>
  <si>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</si>
  <si>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</si>
  <si>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</si>
  <si>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</si>
  <si>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</si>
  <si>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</si>
  <si>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</si>
  <si>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</si>
  <si>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</si>
  <si>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</si>
  <si>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</si>
  <si>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</si>
  <si>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</si>
  <si>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</si>
  <si>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</si>
  <si>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</si>
  <si>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</si>
  <si>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</si>
  <si>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</si>
  <si>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</si>
  <si>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</si>
  <si>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</si>
  <si>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</si>
  <si>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</si>
  <si>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</si>
  <si>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</si>
  <si>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</si>
  <si>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</si>
  <si>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</si>
  <si>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</si>
  <si>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</si>
  <si>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</si>
  <si>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</si>
  <si>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</si>
  <si>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</si>
  <si>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</si>
  <si>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</si>
  <si>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</si>
  <si>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</si>
  <si>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</si>
  <si>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</si>
  <si>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</si>
  <si>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</si>
  <si>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</si>
  <si>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</si>
  <si>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</si>
  <si>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</si>
  <si>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</si>
  <si>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</si>
  <si>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</si>
  <si>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</si>
  <si>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</si>
  <si>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</si>
  <si>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</si>
  <si>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</si>
  <si>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</si>
  <si>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</si>
  <si>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</si>
  <si>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</si>
  <si>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</si>
  <si>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</si>
  <si>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</si>
  <si>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</si>
  <si>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</si>
  <si>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</si>
  <si>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</si>
  <si>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</si>
  <si>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</si>
  <si>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</si>
  <si>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</si>
  <si>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</si>
  <si>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</si>
  <si>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</si>
  <si>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</si>
  <si>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</si>
  <si>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</si>
  <si>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</si>
  <si>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</si>
  <si>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</si>
  <si>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</si>
  <si>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</si>
  <si>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</si>
  <si>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</si>
  <si>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</si>
  <si>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</si>
  <si>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</si>
  <si>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</si>
  <si>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</si>
  <si>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</si>
  <si>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</si>
  <si>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</si>
  <si>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</si>
  <si>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</si>
  <si>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</si>
  <si>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</si>
  <si>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</si>
  <si>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</si>
  <si>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</si>
  <si>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</si>
  <si>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</si>
  <si>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</si>
  <si>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</si>
  <si>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</si>
  <si>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</si>
  <si>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</si>
  <si>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</si>
  <si>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</si>
  <si>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</si>
  <si>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</si>
  <si>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</si>
  <si>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</si>
  <si>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</si>
  <si>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</si>
  <si>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</si>
  <si>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</si>
  <si>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</si>
  <si>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</si>
  <si>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</si>
  <si>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</si>
  <si>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</si>
  <si>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</si>
  <si>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</si>
  <si>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</si>
  <si>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</si>
  <si>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</si>
  <si>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</si>
  <si>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</si>
  <si>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</si>
  <si>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</si>
  <si>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</si>
  <si>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</si>
  <si>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</si>
  <si>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</si>
  <si>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</si>
  <si>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</si>
  <si>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</si>
  <si>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</si>
  <si>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</si>
  <si>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</si>
  <si>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</si>
  <si>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</si>
  <si>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</si>
  <si>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</si>
  <si>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</si>
  <si>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</si>
  <si>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</si>
  <si>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</si>
  <si>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</si>
  <si>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</si>
  <si>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</si>
  <si>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</si>
  <si>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</si>
  <si>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</si>
  <si>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Northern Humboldt Current</t>
  </si>
  <si>
    <t>Peru</t>
  </si>
  <si>
    <t>BOX(-82.6471405413645 -15.9998525657425,-73.1972596449322 -3.99990612981994)</t>
  </si>
  <si>
    <t>upwelling</t>
  </si>
  <si>
    <t>WetWeight</t>
  </si>
  <si>
    <t xml:space="preserve">No description </t>
  </si>
  <si>
    <t>Tam J.,Taylor M.H.,Blaskovic V.,Espinoza P.,Michael Ballón R.,Díaz E.,Wosnitza-Mendo C.,Argüelles J.,Purca S.,Ayón P.(2008). Trophic modeling of the Northern Humboldt current ecosystem, Part I: comparing trophic linkages under La Niña and El Niño conditions Progress in Oceanography. pp 352-365</t>
  </si>
  <si>
    <t>Diatoms</t>
  </si>
  <si>
    <t>Dino and silicoflagellates</t>
  </si>
  <si>
    <t>Microzooplankton</t>
  </si>
  <si>
    <t>mesozooplankton</t>
  </si>
  <si>
    <t>macrozooplankton</t>
  </si>
  <si>
    <t>gelatinous zooplankton</t>
  </si>
  <si>
    <t>macrobenthos</t>
  </si>
  <si>
    <t>sardine</t>
  </si>
  <si>
    <t>anchovy</t>
  </si>
  <si>
    <t>mesopelagics</t>
  </si>
  <si>
    <t>jumbo squid</t>
  </si>
  <si>
    <t>other cephalopods</t>
  </si>
  <si>
    <t>other small pelagics</t>
  </si>
  <si>
    <t>horse mackerels</t>
  </si>
  <si>
    <t>mackerels</t>
  </si>
  <si>
    <t>other large pelagics</t>
  </si>
  <si>
    <t>small hake</t>
  </si>
  <si>
    <t>medium hake</t>
  </si>
  <si>
    <t>large hake</t>
  </si>
  <si>
    <t>flatfishes</t>
  </si>
  <si>
    <t>small demersals</t>
  </si>
  <si>
    <t>benthic elasmobranchs</t>
  </si>
  <si>
    <t>butter fishes</t>
  </si>
  <si>
    <t>conger</t>
  </si>
  <si>
    <t>medium demersal fish</t>
  </si>
  <si>
    <t>medium sciaenids</t>
  </si>
  <si>
    <t>sea robin</t>
  </si>
  <si>
    <t>catfish</t>
  </si>
  <si>
    <t>chondrichtlyans</t>
  </si>
  <si>
    <t>seabirds</t>
  </si>
  <si>
    <t>pinnipeds</t>
  </si>
  <si>
    <t>cetaceans</t>
  </si>
  <si>
    <t>Detritus</t>
  </si>
  <si>
    <t>detritus_TerminalBenthic</t>
  </si>
  <si>
    <t>Fleet1</t>
  </si>
  <si>
    <t>Import</t>
  </si>
  <si>
    <t>export</t>
  </si>
  <si>
    <t>sum</t>
  </si>
  <si>
    <t>TOTAL</t>
  </si>
  <si>
    <t>F Fleet1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</si>
</sst>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133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2F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3FFF00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5DFF00"/>
        <bgColor indexed="64"/>
      </patternFill>
    </fill>
    <fill>
      <patternFill patternType="solid">
        <fgColor rgb="FF3DFF00"/>
        <bgColor indexed="64"/>
      </patternFill>
    </fill>
    <fill>
      <patternFill patternType="solid">
        <fgColor rgb="FFAD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81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3EFA10"/>
        <bgColor indexed="64"/>
      </patternFill>
    </fill>
    <fill>
      <patternFill patternType="solid">
        <fgColor rgb="FF645D7D"/>
        <bgColor indexed="64"/>
      </patternFill>
    </fill>
    <fill>
      <patternFill patternType="solid">
        <fgColor rgb="FF287942"/>
        <bgColor indexed="64"/>
      </patternFill>
    </fill>
    <fill>
      <patternFill patternType="solid">
        <fgColor rgb="FF9AFF00"/>
        <bgColor indexed="64"/>
      </patternFill>
    </fill>
    <fill>
      <patternFill patternType="solid">
        <fgColor rgb="FF6FFF00"/>
        <bgColor indexed="64"/>
      </patternFill>
    </fill>
    <fill>
      <patternFill patternType="solid">
        <fgColor rgb="FF38FF00"/>
        <bgColor indexed="64"/>
      </patternFill>
    </fill>
    <fill>
      <patternFill patternType="solid">
        <fgColor rgb="FFFFEE00"/>
        <bgColor indexed="64"/>
      </patternFill>
    </fill>
    <fill>
      <patternFill patternType="solid">
        <fgColor rgb="FF75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CFF00"/>
        <bgColor indexed="64"/>
      </patternFill>
    </fill>
    <fill>
      <patternFill patternType="solid">
        <fgColor rgb="FF90FF00"/>
        <bgColor indexed="64"/>
      </patternFill>
    </fill>
    <fill>
      <patternFill patternType="solid">
        <fgColor rgb="FFA8FF00"/>
        <bgColor indexed="64"/>
      </patternFill>
    </fill>
    <fill>
      <patternFill patternType="solid">
        <fgColor rgb="FFFF2200"/>
        <bgColor indexed="64"/>
      </patternFill>
    </fill>
    <fill>
      <patternFill patternType="solid">
        <fgColor rgb="FF8CFF00"/>
        <bgColor indexed="64"/>
      </patternFill>
    </fill>
    <fill>
      <patternFill patternType="solid">
        <fgColor rgb="FFFF2400"/>
        <bgColor indexed="64"/>
      </patternFill>
    </fill>
    <fill>
      <patternFill patternType="solid">
        <fgColor rgb="FFFFFE00"/>
        <bgColor indexed="64"/>
      </patternFill>
    </fill>
    <fill>
      <patternFill patternType="solid">
        <fgColor rgb="FF66FF00"/>
        <bgColor indexed="64"/>
      </patternFill>
    </fill>
    <fill>
      <patternFill patternType="solid">
        <fgColor rgb="FF60FF0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FCFF00"/>
        <bgColor indexed="64"/>
      </patternFill>
    </fill>
    <fill>
      <patternFill patternType="solid">
        <fgColor rgb="FFFFA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32FF00"/>
        <bgColor indexed="64"/>
      </patternFill>
    </fill>
    <fill>
      <patternFill patternType="solid">
        <fgColor rgb="FF34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93FF00"/>
        <bgColor indexed="64"/>
      </patternFill>
    </fill>
    <fill>
      <patternFill patternType="solid">
        <fgColor rgb="FF45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36FF00"/>
        <bgColor indexed="64"/>
      </patternFill>
    </fill>
    <fill>
      <patternFill patternType="solid">
        <fgColor rgb="FF3EFF00"/>
        <bgColor indexed="64"/>
      </patternFill>
    </fill>
    <fill>
      <patternFill patternType="solid">
        <fgColor rgb="FFD5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61FF00"/>
        <bgColor indexed="64"/>
      </patternFill>
    </fill>
    <fill>
      <patternFill patternType="solid">
        <fgColor rgb="FFC8FF00"/>
        <bgColor indexed="64"/>
      </patternFill>
    </fill>
    <fill>
      <patternFill patternType="solid">
        <fgColor rgb="FFDFFF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35FF00"/>
        <bgColor indexed="64"/>
      </patternFill>
    </fill>
    <fill>
      <patternFill patternType="solid">
        <fgColor rgb="FFFF9D00"/>
        <bgColor indexed="64"/>
      </patternFill>
    </fill>
    <fill>
      <patternFill patternType="solid">
        <fgColor rgb="FF4AF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F7FF00"/>
        <bgColor indexed="64"/>
      </patternFill>
    </fill>
    <fill>
      <patternFill patternType="solid">
        <fgColor rgb="FFFFE800"/>
        <bgColor indexed="64"/>
      </patternFill>
    </fill>
    <fill>
      <patternFill patternType="solid">
        <fgColor rgb="FFFFD500"/>
        <bgColor indexed="64"/>
      </patternFill>
    </fill>
    <fill>
      <patternFill patternType="solid">
        <fgColor rgb="FFB4FF00"/>
        <bgColor indexed="64"/>
      </patternFill>
    </fill>
    <fill>
      <patternFill patternType="solid">
        <fgColor rgb="FF68FF00"/>
        <bgColor indexed="64"/>
      </patternFill>
    </fill>
    <fill>
      <patternFill patternType="solid">
        <fgColor rgb="FF31FF00"/>
        <bgColor indexed="64"/>
      </patternFill>
    </fill>
    <fill>
      <patternFill patternType="solid">
        <fgColor rgb="FFC2FF00"/>
        <bgColor indexed="64"/>
      </patternFill>
    </fill>
    <fill>
      <patternFill patternType="solid">
        <fgColor rgb="FFECFF00"/>
        <bgColor indexed="64"/>
      </patternFill>
    </fill>
    <fill>
      <patternFill patternType="solid">
        <fgColor rgb="FFFFD100"/>
        <bgColor indexed="64"/>
      </patternFill>
    </fill>
    <fill>
      <patternFill patternType="solid">
        <fgColor rgb="FF69FF00"/>
        <bgColor indexed="64"/>
      </patternFill>
    </fill>
    <fill>
      <patternFill patternType="solid">
        <fgColor rgb="FF5BFF00"/>
        <bgColor indexed="64"/>
      </patternFill>
    </fill>
    <fill>
      <patternFill patternType="solid">
        <fgColor rgb="FF85FF00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95FF00"/>
        <bgColor indexed="64"/>
      </patternFill>
    </fill>
    <fill>
      <patternFill patternType="solid">
        <fgColor rgb="FFDDFF00"/>
        <bgColor indexed="64"/>
      </patternFill>
    </fill>
    <fill>
      <patternFill patternType="solid">
        <fgColor rgb="FFBDFF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55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1" borderId="2" xfId="0" applyFont="1" applyFill="1" applyBorder="1" applyAlignment="1">
      <alignment horizontal="center"/>
    </xf>
    <xf numFmtId="0" fontId="1" fillId="21" borderId="4" xfId="0" applyFont="1" applyFill="1" applyBorder="1" applyAlignment="1">
      <alignment horizontal="center"/>
    </xf>
    <xf numFmtId="0" fontId="1" fillId="21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1" borderId="5" xfId="0" applyFill="1" applyBorder="1"/>
    <xf numFmtId="0" fontId="0" fillId="21" borderId="6" xfId="0" applyFill="1" applyBorder="1"/>
    <xf numFmtId="0" fontId="0" fillId="21" borderId="7" xfId="0" applyFill="1" applyBorder="1"/>
    <xf numFmtId="0" fontId="0" fillId="21" borderId="8" xfId="0" applyFill="1" applyBorder="1"/>
    <xf numFmtId="0" fontId="0" fillId="21" borderId="9" xfId="0" applyFill="1" applyBorder="1"/>
    <xf numFmtId="0" fontId="0" fillId="21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1" fillId="0" borderId="0" xfId="0" applyFont="1" applyAlignment="1">
      <alignment horizontal="center"/>
    </xf>
    <xf numFmtId="0" fontId="0" fillId="32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0" borderId="0" xfId="0" applyFont="1" applyFill="1" applyAlignment="1">
      <alignment horizontal="center"/>
    </xf>
    <xf numFmtId="0" fontId="0" fillId="34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3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3" borderId="3" xfId="0" applyNumberFormat="1" applyFont="1" applyFill="1" applyBorder="1"/>
    <xf numFmtId="0" fontId="0" fillId="33" borderId="2" xfId="0" applyFont="1" applyFill="1" applyBorder="1"/>
    <xf numFmtId="0" fontId="0" fillId="33" borderId="3" xfId="0" applyFont="1" applyFill="1" applyBorder="1"/>
    <xf numFmtId="0" fontId="0" fillId="33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24" borderId="0" xfId="0" applyFont="1" applyFill="1" applyAlignment="1">
      <alignment horizontal="center"/>
    </xf>
    <xf numFmtId="0" fontId="12" fillId="25" borderId="0" xfId="0" applyFont="1" applyFill="1" applyAlignment="1">
      <alignment horizontal="center"/>
    </xf>
    <xf numFmtId="0" fontId="12" fillId="22" borderId="0" xfId="0" applyFont="1" applyFill="1" applyAlignment="1">
      <alignment horizontal="center"/>
    </xf>
    <xf numFmtId="0" fontId="12" fillId="23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1" borderId="2" xfId="0" applyFill="1" applyBorder="1" applyAlignment="1">
      <alignment horizontal="center"/>
    </xf>
    <xf numFmtId="0" fontId="0" fillId="21" borderId="4" xfId="0" applyFill="1" applyBorder="1" applyAlignment="1">
      <alignment horizontal="center"/>
    </xf>
    <xf numFmtId="0" fontId="0" fillId="21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38" borderId="0" xfId="0" applyFill="1"/>
    <xf numFmtId="0" fontId="0" fillId="39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253.164062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58" t="s">
        <v>164</v>
      </c>
    </row>
    <row r="6" spans="2:4" ht="14" thickBot="1" x14ac:dyDescent="0.2">
      <c r="B6" s="42" t="s">
        <v>141</v>
      </c>
    </row>
    <row r="7" spans="2:4" x14ac:dyDescent="0.15">
      <c r="B7" s="58" t="s">
        <v>143</v>
      </c>
    </row>
    <row r="8" spans="2:4" x14ac:dyDescent="0.15">
      <c r="B8" s="58" t="s">
        <v>142</v>
      </c>
    </row>
    <row r="9" spans="2:4" x14ac:dyDescent="0.15">
      <c r="B9" s="58" t="s">
        <v>144</v>
      </c>
    </row>
    <row r="10" spans="2:4" x14ac:dyDescent="0.15">
      <c r="B10" s="58" t="s">
        <v>147</v>
      </c>
    </row>
    <row r="11" spans="2:4" x14ac:dyDescent="0.15">
      <c r="B11" s="58" t="s">
        <v>151</v>
      </c>
    </row>
    <row r="12" spans="2:4" x14ac:dyDescent="0.15">
      <c r="B12" s="58" t="s">
        <v>153</v>
      </c>
    </row>
    <row r="13" spans="2:4" x14ac:dyDescent="0.15">
      <c r="B13" s="58" t="s">
        <v>165</v>
      </c>
    </row>
    <row r="15" spans="2:4" ht="14" thickBot="1" x14ac:dyDescent="0.2"/>
    <row r="16" spans="2:4" ht="14" thickBot="1" x14ac:dyDescent="0.2">
      <c r="B16" s="43" t="s">
        <v>137</v>
      </c>
      <c r="C16" s="44"/>
      <c r="D16" s="26">
        <v>41373</v>
      </c>
    </row>
    <row r="17" spans="2:4" x14ac:dyDescent="0.15">
      <c r="B17" s="45" t="s">
        <v>58</v>
      </c>
      <c r="C17" s="29">
        <v>0</v>
      </c>
    </row>
    <row r="18" spans="2:4" x14ac:dyDescent="0.15">
      <c r="B18" s="45" t="s">
        <v>59</v>
      </c>
      <c r="C18" s="29">
        <v>1</v>
      </c>
    </row>
    <row r="19" spans="2:4" x14ac:dyDescent="0.15">
      <c r="B19" s="45" t="s">
        <v>60</v>
      </c>
      <c r="C19" s="29">
        <v>2</v>
      </c>
    </row>
    <row r="20" spans="2:4" ht="14" thickBot="1" x14ac:dyDescent="0.2">
      <c r="B20" s="46" t="s">
        <v>44</v>
      </c>
      <c r="C20" s="30">
        <v>3</v>
      </c>
    </row>
    <row r="21" spans="2:4" x14ac:dyDescent="0.15">
      <c r="B21" s="47" t="s">
        <v>140</v>
      </c>
    </row>
    <row r="22" spans="2:4" ht="14" thickBot="1" x14ac:dyDescent="0.2"/>
    <row r="23" spans="2:4" ht="14" thickBot="1" x14ac:dyDescent="0.2">
      <c r="B23" s="43" t="s">
        <v>65</v>
      </c>
      <c r="C23" s="44"/>
      <c r="D23" s="26" t="s">
        <v>148</v>
      </c>
    </row>
    <row r="24" spans="2:4" x14ac:dyDescent="0.15">
      <c r="B24" s="49" t="s">
        <v>38</v>
      </c>
      <c r="C24" s="27">
        <v>1</v>
      </c>
    </row>
    <row r="25" spans="2:4" x14ac:dyDescent="0.15">
      <c r="B25" s="45" t="s">
        <v>40</v>
      </c>
      <c r="C25" s="29">
        <v>1.1000000000000001</v>
      </c>
    </row>
    <row r="26" spans="2:4" x14ac:dyDescent="0.15">
      <c r="B26" s="45" t="s">
        <v>41</v>
      </c>
      <c r="C26" s="29">
        <v>1.2</v>
      </c>
    </row>
    <row r="27" spans="2:4" x14ac:dyDescent="0.15">
      <c r="B27" s="45"/>
      <c r="C27" s="29"/>
    </row>
    <row r="28" spans="2:4" x14ac:dyDescent="0.15">
      <c r="B28" s="45" t="s">
        <v>42</v>
      </c>
      <c r="C28" s="29">
        <v>2.1</v>
      </c>
    </row>
    <row r="29" spans="2:4" x14ac:dyDescent="0.15">
      <c r="B29" s="45" t="s">
        <v>43</v>
      </c>
      <c r="C29" s="29">
        <v>2.2000000000000002</v>
      </c>
    </row>
    <row r="30" spans="2:4" x14ac:dyDescent="0.15">
      <c r="B30" s="45" t="s">
        <v>67</v>
      </c>
      <c r="C30" s="29">
        <v>2.2999999999999998</v>
      </c>
    </row>
    <row r="31" spans="2:4" x14ac:dyDescent="0.15">
      <c r="B31" s="45"/>
      <c r="C31" s="29"/>
    </row>
    <row r="32" spans="2:4" x14ac:dyDescent="0.15">
      <c r="B32" s="45" t="s">
        <v>62</v>
      </c>
      <c r="C32" s="29">
        <v>3.11</v>
      </c>
    </row>
    <row r="33" spans="2:3" x14ac:dyDescent="0.15">
      <c r="B33" s="45" t="s">
        <v>61</v>
      </c>
      <c r="C33" s="29">
        <v>3.12</v>
      </c>
    </row>
    <row r="34" spans="2:3" x14ac:dyDescent="0.15">
      <c r="B34" s="45" t="s">
        <v>68</v>
      </c>
      <c r="C34" s="29">
        <v>3.13</v>
      </c>
    </row>
    <row r="35" spans="2:3" x14ac:dyDescent="0.15">
      <c r="B35" s="45"/>
      <c r="C35" s="29"/>
    </row>
    <row r="36" spans="2:3" x14ac:dyDescent="0.15">
      <c r="B36" s="45" t="s">
        <v>66</v>
      </c>
      <c r="C36" s="29">
        <v>3.21</v>
      </c>
    </row>
    <row r="37" spans="2:3" x14ac:dyDescent="0.15">
      <c r="B37" s="45" t="s">
        <v>63</v>
      </c>
      <c r="C37" s="29">
        <v>3.22</v>
      </c>
    </row>
    <row r="38" spans="2:3" x14ac:dyDescent="0.15">
      <c r="B38" s="45" t="s">
        <v>69</v>
      </c>
      <c r="C38" s="29">
        <v>3.23</v>
      </c>
    </row>
    <row r="39" spans="2:3" x14ac:dyDescent="0.15">
      <c r="B39" s="45"/>
      <c r="C39" s="29"/>
    </row>
    <row r="40" spans="2:3" x14ac:dyDescent="0.15">
      <c r="B40" s="45" t="s">
        <v>64</v>
      </c>
      <c r="C40" s="29">
        <v>8</v>
      </c>
    </row>
    <row r="41" spans="2:3" x14ac:dyDescent="0.15">
      <c r="B41" s="45"/>
      <c r="C41" s="29"/>
    </row>
    <row r="42" spans="2:3" x14ac:dyDescent="0.15">
      <c r="B42" s="45" t="s">
        <v>71</v>
      </c>
      <c r="C42" s="29">
        <v>4.0999999999999996</v>
      </c>
    </row>
    <row r="43" spans="2:3" x14ac:dyDescent="0.15">
      <c r="B43" s="45" t="s">
        <v>70</v>
      </c>
      <c r="C43" s="29">
        <v>4.2</v>
      </c>
    </row>
    <row r="44" spans="2:3" x14ac:dyDescent="0.15">
      <c r="B44" s="45" t="s">
        <v>72</v>
      </c>
      <c r="C44" s="29">
        <v>4.3</v>
      </c>
    </row>
    <row r="45" spans="2:3" x14ac:dyDescent="0.15">
      <c r="B45" s="28"/>
      <c r="C45" s="29"/>
    </row>
    <row r="46" spans="2:3" x14ac:dyDescent="0.15">
      <c r="B46" s="45" t="s">
        <v>138</v>
      </c>
      <c r="C46" s="29">
        <v>6.1</v>
      </c>
    </row>
    <row r="47" spans="2:3" x14ac:dyDescent="0.15">
      <c r="B47" s="45" t="s">
        <v>45</v>
      </c>
      <c r="C47" s="29">
        <v>6.2</v>
      </c>
    </row>
    <row r="48" spans="2:3" x14ac:dyDescent="0.15">
      <c r="B48" s="45"/>
      <c r="C48" s="29"/>
    </row>
    <row r="49" spans="2:4" x14ac:dyDescent="0.15">
      <c r="B49" s="45" t="s">
        <v>44</v>
      </c>
      <c r="C49" s="29">
        <v>5</v>
      </c>
    </row>
    <row r="50" spans="2:4" x14ac:dyDescent="0.15">
      <c r="B50" s="45"/>
      <c r="C50" s="29"/>
    </row>
    <row r="51" spans="2:4" ht="14" thickBot="1" x14ac:dyDescent="0.2">
      <c r="B51" s="46" t="s">
        <v>73</v>
      </c>
      <c r="C51" s="30">
        <v>7</v>
      </c>
    </row>
    <row r="53" spans="2:4" x14ac:dyDescent="0.15">
      <c r="B53" s="167" t="s">
        <v>171</v>
      </c>
      <c r="C53" s="102">
        <v>488</v>
      </c>
      <c r="D53" s="102"/>
    </row>
    <row r="54" spans="2:4" x14ac:dyDescent="0.15">
      <c r="B54" s="167" t="s">
        <v>172</v>
      </c>
      <c r="C54" s="167" t="s">
        <v>185</v>
      </c>
      <c r="D54" s="102"/>
    </row>
    <row r="55" spans="2:4" x14ac:dyDescent="0.15">
      <c r="B55" s="167" t="s">
        <v>173</v>
      </c>
      <c r="C55" s="167" t="s">
        <v>186</v>
      </c>
      <c r="D55" s="102"/>
    </row>
    <row r="56" spans="2:4" x14ac:dyDescent="0.15">
      <c r="B56" s="167" t="s">
        <v>174</v>
      </c>
      <c r="C56" s="102">
        <v>165000</v>
      </c>
      <c r="D56" s="102"/>
    </row>
    <row r="57" spans="2:4" x14ac:dyDescent="0.15">
      <c r="B57" s="167" t="s">
        <v>175</v>
      </c>
      <c r="C57" s="167" t="s">
        <v>187</v>
      </c>
      <c r="D57" s="102"/>
    </row>
    <row r="58" spans="2:4" x14ac:dyDescent="0.15">
      <c r="B58" s="167" t="s">
        <v>176</v>
      </c>
      <c r="C58" s="167" t="s">
        <v>188</v>
      </c>
      <c r="D58" s="102"/>
    </row>
    <row r="59" spans="2:4" x14ac:dyDescent="0.15">
      <c r="B59" s="167" t="s">
        <v>177</v>
      </c>
      <c r="C59" s="167" t="s">
        <v>189</v>
      </c>
      <c r="D59" s="102"/>
    </row>
    <row r="60" spans="2:4" x14ac:dyDescent="0.15">
      <c r="B60" s="167" t="s">
        <v>178</v>
      </c>
      <c r="C60" s="167" t="s">
        <v>190</v>
      </c>
      <c r="D60" s="102"/>
    </row>
    <row r="61" spans="2:4" x14ac:dyDescent="0.15">
      <c r="B61" s="167" t="s">
        <v>179</v>
      </c>
      <c r="C61" s="102">
        <v>33</v>
      </c>
      <c r="D61" s="102"/>
    </row>
    <row r="62" spans="2:4" x14ac:dyDescent="0.15">
      <c r="B62" s="167" t="s">
        <v>180</v>
      </c>
      <c r="C62" s="102">
        <v>1</v>
      </c>
      <c r="D62" s="102"/>
    </row>
    <row r="63" spans="2:4" x14ac:dyDescent="0.15">
      <c r="B63" s="167" t="s">
        <v>181</v>
      </c>
      <c r="C63" s="102">
        <v>1997</v>
      </c>
      <c r="D63" s="102"/>
    </row>
    <row r="64" spans="2:4" x14ac:dyDescent="0.15">
      <c r="B64" s="167" t="s">
        <v>182</v>
      </c>
      <c r="C64" s="102">
        <v>1</v>
      </c>
      <c r="D64" s="102"/>
    </row>
    <row r="65" spans="2:4" x14ac:dyDescent="0.15">
      <c r="B65" s="167" t="s">
        <v>183</v>
      </c>
      <c r="C65" s="167" t="s">
        <v>191</v>
      </c>
      <c r="D65" s="102"/>
    </row>
    <row r="66" spans="2:4" x14ac:dyDescent="0.15">
      <c r="B66" s="167" t="s">
        <v>184</v>
      </c>
      <c r="D66" s="102"/>
    </row>
    <row r="67" spans="2:4" x14ac:dyDescent="0.15">
      <c r="B67" s="102"/>
      <c r="C67" s="102"/>
      <c r="D67" s="102"/>
    </row>
    <row r="68" spans="2:4" x14ac:dyDescent="0.15">
      <c r="B68" s="102"/>
      <c r="C68" s="102"/>
      <c r="D68" s="102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Q3" sqref="Q3"/>
    </sheetView>
  </sheetViews>
  <sheetFormatPr baseColWidth="10" defaultColWidth="8.83203125" defaultRowHeight="15" customHeight="1" x14ac:dyDescent="0.15"/>
  <cols>
    <col min="1" max="1" width="22.5" style="75" customWidth="1"/>
    <col min="2" max="3" width="3.33203125" style="75" customWidth="1"/>
    <col min="4" max="4" width="14.33203125" style="75" customWidth="1"/>
    <col min="5" max="5" width="21.6640625" style="75" bestFit="1" customWidth="1"/>
    <col min="6" max="6" width="2.33203125" style="75" bestFit="1" customWidth="1"/>
    <col min="7" max="7" width="13.83203125" style="75" bestFit="1" customWidth="1"/>
    <col min="8" max="9" width="10.83203125" style="75" customWidth="1"/>
    <col min="10" max="10" width="11.83203125" style="75" customWidth="1"/>
    <col min="11" max="11" width="13.83203125" style="75" customWidth="1"/>
    <col min="12" max="12" width="2.33203125" style="75" customWidth="1"/>
    <col min="13" max="13" width="4.83203125" style="75" customWidth="1"/>
    <col min="14" max="14" width="2.33203125" style="75" customWidth="1"/>
    <col min="16" max="25" width="8.83203125" style="75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75"/>
  </cols>
  <sheetData>
    <row r="1" spans="1:46" s="92" customFormat="1" ht="15" customHeight="1" x14ac:dyDescent="0.15">
      <c r="A1" s="71" t="s">
        <v>18</v>
      </c>
      <c r="C1" s="72" t="s">
        <v>8</v>
      </c>
      <c r="D1" s="71" t="s">
        <v>23</v>
      </c>
      <c r="E1" s="71" t="s">
        <v>0</v>
      </c>
      <c r="F1" s="71" t="s">
        <v>7</v>
      </c>
      <c r="G1" s="73" t="s">
        <v>13</v>
      </c>
      <c r="H1" s="71" t="s">
        <v>1</v>
      </c>
      <c r="I1" s="71" t="s">
        <v>2</v>
      </c>
      <c r="J1" s="71" t="s">
        <v>14</v>
      </c>
      <c r="K1" s="71" t="s">
        <v>3</v>
      </c>
      <c r="L1" s="71" t="s">
        <v>4</v>
      </c>
      <c r="M1" s="71" t="s">
        <v>5</v>
      </c>
      <c r="N1" s="71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92">
        <v>1</v>
      </c>
      <c r="D2"/>
      <c r="E2" s="168" t="s">
        <v>192</v>
      </c>
      <c r="F2" s="75">
        <v>1</v>
      </c>
      <c r="G2" s="75">
        <v>14.760999999999999</v>
      </c>
      <c r="H2" s="75">
        <v>210</v>
      </c>
      <c r="I2" s="6">
        <v>0</v>
      </c>
      <c r="J2" s="6">
        <v>0.94339424400000005</v>
      </c>
      <c r="K2" s="6">
        <v>0</v>
      </c>
      <c r="L2" s="6">
        <v>0</v>
      </c>
      <c r="M2" s="75">
        <v>0</v>
      </c>
      <c r="N2" s="75">
        <v>0</v>
      </c>
    </row>
    <row r="3" spans="1:46" ht="15" customHeight="1" x14ac:dyDescent="0.15">
      <c r="A3" s="1" t="s">
        <v>9</v>
      </c>
      <c r="B3" s="4">
        <v>32</v>
      </c>
      <c r="C3" s="75">
        <v>2</v>
      </c>
      <c r="D3"/>
      <c r="E3" s="168" t="s">
        <v>193</v>
      </c>
      <c r="F3" s="75">
        <v>1</v>
      </c>
      <c r="G3" s="75">
        <v>17.327999999999999</v>
      </c>
      <c r="H3" s="75">
        <v>210</v>
      </c>
      <c r="I3" s="75">
        <v>0</v>
      </c>
      <c r="J3" s="75">
        <v>0.84076094599999995</v>
      </c>
      <c r="K3" s="75">
        <v>0</v>
      </c>
      <c r="L3" s="75">
        <v>0</v>
      </c>
      <c r="M3" s="75">
        <v>0</v>
      </c>
      <c r="N3" s="75">
        <v>0</v>
      </c>
    </row>
    <row r="4" spans="1:46" ht="15" customHeight="1" x14ac:dyDescent="0.15">
      <c r="A4" s="1" t="s">
        <v>10</v>
      </c>
      <c r="B4" s="4">
        <v>2</v>
      </c>
      <c r="C4" s="75">
        <v>3</v>
      </c>
      <c r="D4"/>
      <c r="E4" s="168" t="s">
        <v>194</v>
      </c>
      <c r="F4" s="75">
        <v>0</v>
      </c>
      <c r="G4" s="75">
        <v>6.5679610000000004</v>
      </c>
      <c r="H4" s="75">
        <v>256</v>
      </c>
      <c r="I4" s="75">
        <v>1024</v>
      </c>
      <c r="J4" s="75">
        <v>0.95</v>
      </c>
      <c r="K4" s="75">
        <v>0.25</v>
      </c>
      <c r="L4" s="75">
        <v>0</v>
      </c>
      <c r="M4" s="75">
        <v>0.2</v>
      </c>
      <c r="N4" s="75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1</v>
      </c>
      <c r="C5" s="75">
        <v>4</v>
      </c>
      <c r="D5"/>
      <c r="E5" s="168" t="s">
        <v>195</v>
      </c>
      <c r="F5" s="75">
        <v>0</v>
      </c>
      <c r="G5" s="75">
        <v>17</v>
      </c>
      <c r="H5" s="75">
        <v>40</v>
      </c>
      <c r="I5" s="75">
        <v>125</v>
      </c>
      <c r="J5" s="75">
        <v>0.94263774199999995</v>
      </c>
      <c r="K5" s="75">
        <v>0.32</v>
      </c>
      <c r="L5" s="75">
        <v>0</v>
      </c>
      <c r="M5" s="75">
        <v>0.35</v>
      </c>
      <c r="N5" s="75">
        <v>0</v>
      </c>
      <c r="P5" s="67"/>
      <c r="Q5" s="67"/>
      <c r="R5" s="67"/>
    </row>
    <row r="6" spans="1:46" ht="15" customHeight="1" thickBot="1" x14ac:dyDescent="0.2">
      <c r="B6" s="1"/>
      <c r="C6" s="75">
        <v>5</v>
      </c>
      <c r="D6"/>
      <c r="E6" s="168" t="s">
        <v>196</v>
      </c>
      <c r="F6" s="75">
        <v>0</v>
      </c>
      <c r="G6" s="75">
        <v>34.691486400000002</v>
      </c>
      <c r="H6" s="75">
        <v>19.0854988</v>
      </c>
      <c r="I6" s="75">
        <v>46.55</v>
      </c>
      <c r="J6" s="75">
        <v>0.95</v>
      </c>
      <c r="K6" s="75">
        <v>0.41</v>
      </c>
      <c r="L6" s="75">
        <v>0</v>
      </c>
      <c r="M6" s="75">
        <v>0.2</v>
      </c>
      <c r="N6" s="75">
        <v>0</v>
      </c>
      <c r="P6" s="67"/>
      <c r="Q6" s="67"/>
      <c r="R6" s="67"/>
      <c r="W6" s="32" t="s">
        <v>31</v>
      </c>
      <c r="X6" s="48">
        <f>MAX(MainOutputs!G:G)</f>
        <v>0.99520325660705566</v>
      </c>
    </row>
    <row r="7" spans="1:46" ht="15" customHeight="1" x14ac:dyDescent="0.15">
      <c r="A7" s="2" t="s">
        <v>27</v>
      </c>
      <c r="B7" s="75">
        <f ca="1">COUNTIF(OFFSET(cornerDiets,1,1,NumLiving+NumDead+1,NumLiving+NumDead),"&gt;0")+NumLiving+NumDead+1</f>
        <v>216</v>
      </c>
      <c r="C7" s="75">
        <v>6</v>
      </c>
      <c r="D7"/>
      <c r="E7" s="168" t="s">
        <v>197</v>
      </c>
      <c r="F7" s="75">
        <v>0</v>
      </c>
      <c r="G7" s="75">
        <v>2.9041096600000002E-3</v>
      </c>
      <c r="H7" s="75">
        <v>0.58399999999999996</v>
      </c>
      <c r="I7" s="75">
        <v>2.91999984</v>
      </c>
      <c r="J7" s="75">
        <v>0.95</v>
      </c>
      <c r="K7" s="75">
        <v>0.2</v>
      </c>
      <c r="L7" s="75">
        <v>0</v>
      </c>
      <c r="M7" s="75">
        <v>0.35</v>
      </c>
      <c r="N7" s="75">
        <v>0</v>
      </c>
      <c r="P7" s="67"/>
      <c r="Q7" s="67"/>
      <c r="R7" s="67"/>
    </row>
    <row r="8" spans="1:46" ht="15" customHeight="1" x14ac:dyDescent="0.15">
      <c r="A8" s="2" t="s">
        <v>28</v>
      </c>
      <c r="B8" s="75">
        <f ca="1">COUNTIF(OFFSET(cornerFishing,1,2,NumLiving+NumDead,NumGears),"&gt;0")+NumDead*COUNTIF(OFFSET(cornerDiscards,1,2,NumLiving+NumDead,NumGears),"&gt;0")+NumLiving+NumDead+1</f>
        <v>53</v>
      </c>
      <c r="C8" s="75">
        <v>7</v>
      </c>
      <c r="D8"/>
      <c r="E8" s="168" t="s">
        <v>198</v>
      </c>
      <c r="F8" s="75">
        <v>0</v>
      </c>
      <c r="G8" s="75">
        <v>25.605</v>
      </c>
      <c r="H8" s="75">
        <v>1.2</v>
      </c>
      <c r="I8" s="75">
        <v>10</v>
      </c>
      <c r="J8" s="75">
        <v>0.99523884100000004</v>
      </c>
      <c r="K8" s="75">
        <v>0.12000000500000001</v>
      </c>
      <c r="L8" s="75">
        <v>0</v>
      </c>
      <c r="M8" s="75">
        <v>0.2</v>
      </c>
      <c r="N8" s="75">
        <v>0</v>
      </c>
      <c r="P8" s="67"/>
      <c r="Q8" s="67"/>
      <c r="R8" s="67"/>
    </row>
    <row r="9" spans="1:46" ht="15" customHeight="1" x14ac:dyDescent="0.15">
      <c r="B9" s="1"/>
      <c r="C9" s="75">
        <v>8</v>
      </c>
      <c r="D9"/>
      <c r="E9" s="168" t="s">
        <v>199</v>
      </c>
      <c r="F9" s="75">
        <v>0</v>
      </c>
      <c r="G9" s="75">
        <v>7.9089999999999998</v>
      </c>
      <c r="H9" s="75">
        <v>1.4</v>
      </c>
      <c r="I9" s="75">
        <v>14</v>
      </c>
      <c r="J9" s="75">
        <v>0.41629806200000002</v>
      </c>
      <c r="K9" s="75">
        <v>0.1</v>
      </c>
      <c r="L9" s="75">
        <v>0</v>
      </c>
      <c r="M9" s="75">
        <v>0.35</v>
      </c>
      <c r="N9" s="75">
        <v>0</v>
      </c>
      <c r="P9" s="67"/>
      <c r="Q9" s="67"/>
      <c r="R9" s="67"/>
    </row>
    <row r="10" spans="1:46" ht="15" customHeight="1" x14ac:dyDescent="0.15">
      <c r="B10" s="1"/>
      <c r="C10" s="75">
        <v>9</v>
      </c>
      <c r="D10"/>
      <c r="E10" s="168" t="s">
        <v>200</v>
      </c>
      <c r="F10" s="75">
        <v>0</v>
      </c>
      <c r="G10" s="75">
        <v>33.340000000000003</v>
      </c>
      <c r="H10" s="75">
        <v>2</v>
      </c>
      <c r="I10" s="75">
        <v>20</v>
      </c>
      <c r="J10" s="75">
        <v>0.67903375600000004</v>
      </c>
      <c r="K10" s="75">
        <v>0.1</v>
      </c>
      <c r="L10" s="75">
        <v>0</v>
      </c>
      <c r="M10" s="75">
        <v>0.35</v>
      </c>
      <c r="N10" s="75">
        <v>0</v>
      </c>
    </row>
    <row r="11" spans="1:46" ht="15" customHeight="1" x14ac:dyDescent="0.15">
      <c r="C11" s="75">
        <v>10</v>
      </c>
      <c r="D11"/>
      <c r="E11" s="168" t="s">
        <v>201</v>
      </c>
      <c r="F11" s="75">
        <v>0</v>
      </c>
      <c r="G11" s="75">
        <v>22.375</v>
      </c>
      <c r="H11" s="75">
        <v>1.4</v>
      </c>
      <c r="I11" s="75">
        <v>14</v>
      </c>
      <c r="J11" s="75">
        <v>0.13729611</v>
      </c>
      <c r="K11" s="75">
        <v>0.1</v>
      </c>
      <c r="L11" s="75">
        <v>0</v>
      </c>
      <c r="M11" s="75">
        <v>0.35</v>
      </c>
      <c r="N11" s="75">
        <v>0</v>
      </c>
    </row>
    <row r="12" spans="1:46" ht="15" customHeight="1" x14ac:dyDescent="0.15">
      <c r="C12" s="75">
        <v>11</v>
      </c>
      <c r="D12"/>
      <c r="E12" s="168" t="s">
        <v>202</v>
      </c>
      <c r="F12" s="75">
        <v>0</v>
      </c>
      <c r="G12" s="75">
        <v>0.24299999999999999</v>
      </c>
      <c r="H12" s="75">
        <v>8.91</v>
      </c>
      <c r="I12" s="75">
        <v>25.457143800000001</v>
      </c>
      <c r="J12" s="75">
        <v>0.85349816099999998</v>
      </c>
      <c r="K12" s="75">
        <v>0.35</v>
      </c>
      <c r="L12" s="75">
        <v>0</v>
      </c>
      <c r="M12" s="75">
        <v>0.2</v>
      </c>
      <c r="N12" s="75">
        <v>0</v>
      </c>
    </row>
    <row r="13" spans="1:46" ht="15" customHeight="1" x14ac:dyDescent="0.15">
      <c r="C13" s="75">
        <v>12</v>
      </c>
      <c r="D13"/>
      <c r="E13" s="168" t="s">
        <v>203</v>
      </c>
      <c r="F13" s="75">
        <v>0</v>
      </c>
      <c r="G13" s="75">
        <v>0.22670905299999999</v>
      </c>
      <c r="H13" s="75">
        <v>4.3</v>
      </c>
      <c r="I13" s="75">
        <v>12.285715100000001</v>
      </c>
      <c r="J13" s="75">
        <v>0.95</v>
      </c>
      <c r="K13" s="75">
        <v>0.35</v>
      </c>
      <c r="L13" s="75">
        <v>0</v>
      </c>
      <c r="M13" s="75">
        <v>0.2</v>
      </c>
      <c r="N13" s="75">
        <v>0</v>
      </c>
    </row>
    <row r="14" spans="1:46" ht="15" customHeight="1" x14ac:dyDescent="0.15">
      <c r="C14" s="75">
        <v>13</v>
      </c>
      <c r="D14"/>
      <c r="E14" s="168" t="s">
        <v>204</v>
      </c>
      <c r="F14" s="75">
        <v>0</v>
      </c>
      <c r="G14" s="75">
        <v>21.41947</v>
      </c>
      <c r="H14" s="75">
        <v>1</v>
      </c>
      <c r="I14" s="75">
        <v>10</v>
      </c>
      <c r="J14" s="75">
        <v>0.95</v>
      </c>
      <c r="K14" s="75">
        <v>0.1</v>
      </c>
      <c r="L14" s="75">
        <v>0</v>
      </c>
      <c r="M14" s="75">
        <v>0.35</v>
      </c>
      <c r="N14" s="75">
        <v>0</v>
      </c>
    </row>
    <row r="15" spans="1:46" ht="15" customHeight="1" x14ac:dyDescent="0.15">
      <c r="C15" s="75">
        <v>14</v>
      </c>
      <c r="D15"/>
      <c r="E15" s="168" t="s">
        <v>205</v>
      </c>
      <c r="F15" s="75">
        <v>0</v>
      </c>
      <c r="G15" s="75">
        <v>3.03</v>
      </c>
      <c r="H15" s="75">
        <v>1.2</v>
      </c>
      <c r="I15" s="75">
        <v>12</v>
      </c>
      <c r="J15" s="75">
        <v>0.61605656099999995</v>
      </c>
      <c r="K15" s="75">
        <v>0.1</v>
      </c>
      <c r="L15" s="75">
        <v>0</v>
      </c>
      <c r="M15" s="75">
        <v>0.35</v>
      </c>
      <c r="N15" s="75">
        <v>0</v>
      </c>
    </row>
    <row r="16" spans="1:46" ht="15" customHeight="1" x14ac:dyDescent="0.15">
      <c r="C16" s="75">
        <v>15</v>
      </c>
      <c r="D16"/>
      <c r="E16" s="168" t="s">
        <v>206</v>
      </c>
      <c r="F16" s="75">
        <v>0</v>
      </c>
      <c r="G16" s="75">
        <v>6.8920000000000003</v>
      </c>
      <c r="H16" s="75">
        <v>0.85</v>
      </c>
      <c r="I16" s="75">
        <v>8.5</v>
      </c>
      <c r="J16" s="75">
        <v>0.27901181600000002</v>
      </c>
      <c r="K16" s="75">
        <v>0.1</v>
      </c>
      <c r="L16" s="75">
        <v>0</v>
      </c>
      <c r="M16" s="75">
        <v>0.25</v>
      </c>
      <c r="N16" s="75">
        <v>0</v>
      </c>
    </row>
    <row r="17" spans="1:22" ht="15" customHeight="1" x14ac:dyDescent="0.15">
      <c r="C17" s="75">
        <v>16</v>
      </c>
      <c r="D17"/>
      <c r="E17" s="168" t="s">
        <v>207</v>
      </c>
      <c r="F17" s="75">
        <v>0</v>
      </c>
      <c r="G17" s="75">
        <v>1.7569999999999999</v>
      </c>
      <c r="H17" s="75">
        <v>0.4</v>
      </c>
      <c r="I17" s="75">
        <v>4</v>
      </c>
      <c r="J17" s="75">
        <v>0.68734410000000001</v>
      </c>
      <c r="K17" s="75">
        <v>0.1</v>
      </c>
      <c r="L17" s="75">
        <v>0</v>
      </c>
      <c r="M17" s="75">
        <v>0.2</v>
      </c>
      <c r="N17" s="75">
        <v>0</v>
      </c>
      <c r="V17" s="1" t="s">
        <v>30</v>
      </c>
    </row>
    <row r="18" spans="1:22" ht="15" customHeight="1" x14ac:dyDescent="0.15">
      <c r="C18" s="75">
        <v>17</v>
      </c>
      <c r="D18"/>
      <c r="E18" s="168" t="s">
        <v>208</v>
      </c>
      <c r="F18" s="75">
        <v>0</v>
      </c>
      <c r="G18" s="75">
        <v>1.2450000000000001</v>
      </c>
      <c r="H18" s="75">
        <v>1.3169999999999999</v>
      </c>
      <c r="I18" s="75">
        <v>8.7799999999999994</v>
      </c>
      <c r="J18" s="75">
        <v>0.90919703200000002</v>
      </c>
      <c r="K18" s="75">
        <v>0.15</v>
      </c>
      <c r="L18" s="75">
        <v>0</v>
      </c>
      <c r="M18" s="75">
        <v>0.35</v>
      </c>
      <c r="N18" s="75">
        <v>0</v>
      </c>
      <c r="V18" s="1"/>
    </row>
    <row r="19" spans="1:22" ht="15" customHeight="1" x14ac:dyDescent="0.15">
      <c r="C19" s="75">
        <v>18</v>
      </c>
      <c r="D19"/>
      <c r="E19" s="168" t="s">
        <v>209</v>
      </c>
      <c r="F19" s="75">
        <v>0</v>
      </c>
      <c r="G19" s="75">
        <v>0.16300000000000001</v>
      </c>
      <c r="H19" s="75">
        <v>1.946</v>
      </c>
      <c r="I19" s="75">
        <v>12.9733324</v>
      </c>
      <c r="J19" s="75">
        <v>0.35413489999999997</v>
      </c>
      <c r="K19" s="75">
        <v>0.15</v>
      </c>
      <c r="L19" s="75">
        <v>0</v>
      </c>
      <c r="M19" s="75">
        <v>0.2</v>
      </c>
      <c r="N19" s="75">
        <v>0</v>
      </c>
    </row>
    <row r="20" spans="1:22" ht="15" customHeight="1" thickBot="1" x14ac:dyDescent="0.2">
      <c r="C20" s="75">
        <v>19</v>
      </c>
      <c r="D20"/>
      <c r="E20" s="168" t="s">
        <v>210</v>
      </c>
      <c r="F20" s="75">
        <v>0</v>
      </c>
      <c r="G20" s="75">
        <v>2.8000000000000001E-2</v>
      </c>
      <c r="H20" s="75">
        <v>1.516</v>
      </c>
      <c r="I20" s="75">
        <v>10.1066666</v>
      </c>
      <c r="J20" s="75">
        <v>0.28615191600000001</v>
      </c>
      <c r="K20" s="75">
        <v>0.15</v>
      </c>
      <c r="L20" s="75">
        <v>0</v>
      </c>
      <c r="M20" s="75">
        <v>0.2</v>
      </c>
      <c r="N20" s="75">
        <v>0</v>
      </c>
    </row>
    <row r="21" spans="1:22" ht="15" customHeight="1" thickBot="1" x14ac:dyDescent="0.2">
      <c r="A21" s="43" t="s">
        <v>137</v>
      </c>
      <c r="B21" s="93"/>
      <c r="C21" s="75">
        <v>20</v>
      </c>
      <c r="D21"/>
      <c r="E21" s="168" t="s">
        <v>211</v>
      </c>
      <c r="F21" s="75">
        <v>0</v>
      </c>
      <c r="G21" s="75">
        <v>0.01</v>
      </c>
      <c r="H21" s="75">
        <v>0.30399999999999999</v>
      </c>
      <c r="I21" s="75">
        <v>2.0266663999999999</v>
      </c>
      <c r="J21" s="75">
        <v>0.881579</v>
      </c>
      <c r="K21" s="75">
        <v>0.15</v>
      </c>
      <c r="L21" s="75">
        <v>0</v>
      </c>
      <c r="M21" s="75">
        <v>0.2</v>
      </c>
      <c r="N21" s="75">
        <v>0</v>
      </c>
    </row>
    <row r="22" spans="1:22" ht="15" customHeight="1" x14ac:dyDescent="0.15">
      <c r="A22" s="94" t="s">
        <v>58</v>
      </c>
      <c r="B22" s="95">
        <v>0</v>
      </c>
      <c r="C22" s="75">
        <v>21</v>
      </c>
      <c r="D22"/>
      <c r="E22" s="168" t="s">
        <v>212</v>
      </c>
      <c r="F22" s="75">
        <v>0</v>
      </c>
      <c r="G22" s="75">
        <v>4.8973899999999997</v>
      </c>
      <c r="H22" s="75">
        <v>2.2999999999999998</v>
      </c>
      <c r="I22" s="75">
        <v>15.3333321</v>
      </c>
      <c r="J22" s="75">
        <v>0.95</v>
      </c>
      <c r="K22" s="75">
        <v>0.15</v>
      </c>
      <c r="L22" s="75">
        <v>0</v>
      </c>
      <c r="M22" s="75">
        <v>0.2</v>
      </c>
      <c r="N22" s="75">
        <v>0</v>
      </c>
    </row>
    <row r="23" spans="1:22" ht="15" customHeight="1" x14ac:dyDescent="0.15">
      <c r="A23" s="94" t="s">
        <v>59</v>
      </c>
      <c r="B23" s="95">
        <v>1</v>
      </c>
      <c r="C23" s="75">
        <v>22</v>
      </c>
      <c r="D23"/>
      <c r="E23" s="168" t="s">
        <v>213</v>
      </c>
      <c r="F23" s="75">
        <v>0</v>
      </c>
      <c r="G23" s="75">
        <v>4.4999999999999998E-2</v>
      </c>
      <c r="H23" s="75">
        <v>1</v>
      </c>
      <c r="I23" s="75">
        <v>6.6666665099999998</v>
      </c>
      <c r="J23" s="75">
        <v>0.93333330000000003</v>
      </c>
      <c r="K23" s="75">
        <v>0.15</v>
      </c>
      <c r="L23" s="75">
        <v>0</v>
      </c>
      <c r="M23" s="75">
        <v>0.2</v>
      </c>
      <c r="N23" s="75">
        <v>0</v>
      </c>
    </row>
    <row r="24" spans="1:22" ht="15" customHeight="1" x14ac:dyDescent="0.15">
      <c r="A24" s="94" t="s">
        <v>60</v>
      </c>
      <c r="B24" s="95">
        <v>2</v>
      </c>
      <c r="C24" s="75">
        <v>23</v>
      </c>
      <c r="D24"/>
      <c r="E24" s="168" t="s">
        <v>214</v>
      </c>
      <c r="F24" s="75">
        <v>0</v>
      </c>
      <c r="G24" s="75">
        <v>6.0000000000000001E-3</v>
      </c>
      <c r="H24" s="75">
        <v>0.8</v>
      </c>
      <c r="I24" s="75">
        <v>4</v>
      </c>
      <c r="J24" s="75">
        <v>0.84452780000000005</v>
      </c>
      <c r="K24" s="75">
        <v>0.2</v>
      </c>
      <c r="L24" s="75">
        <v>0</v>
      </c>
      <c r="M24" s="75">
        <v>0.2</v>
      </c>
      <c r="N24" s="75">
        <v>0</v>
      </c>
    </row>
    <row r="25" spans="1:22" ht="15" customHeight="1" thickBot="1" x14ac:dyDescent="0.2">
      <c r="A25" s="96" t="s">
        <v>44</v>
      </c>
      <c r="B25" s="97">
        <v>3</v>
      </c>
      <c r="C25" s="75">
        <v>24</v>
      </c>
      <c r="D25"/>
      <c r="E25" s="168" t="s">
        <v>215</v>
      </c>
      <c r="F25" s="75">
        <v>0</v>
      </c>
      <c r="G25" s="75">
        <v>4.0000000000000001E-3</v>
      </c>
      <c r="H25" s="75">
        <v>0.75</v>
      </c>
      <c r="I25" s="75">
        <v>5</v>
      </c>
      <c r="J25" s="75">
        <v>0</v>
      </c>
      <c r="K25" s="75">
        <v>0.15</v>
      </c>
      <c r="L25" s="75">
        <v>0</v>
      </c>
      <c r="M25" s="75">
        <v>0.2</v>
      </c>
      <c r="N25" s="75">
        <v>0</v>
      </c>
    </row>
    <row r="26" spans="1:22" ht="15" customHeight="1" x14ac:dyDescent="0.15">
      <c r="A26" s="98" t="s">
        <v>140</v>
      </c>
      <c r="C26" s="75">
        <v>25</v>
      </c>
      <c r="D26"/>
      <c r="E26" s="168" t="s">
        <v>216</v>
      </c>
      <c r="F26" s="75">
        <v>0</v>
      </c>
      <c r="G26" s="75">
        <v>0.21099999999999999</v>
      </c>
      <c r="H26" s="75">
        <v>2.48</v>
      </c>
      <c r="I26" s="75">
        <v>16.5333328</v>
      </c>
      <c r="J26" s="75">
        <v>0.90463990000000005</v>
      </c>
      <c r="K26" s="75">
        <v>0.15</v>
      </c>
      <c r="L26" s="75">
        <v>0</v>
      </c>
      <c r="M26" s="75">
        <v>0.2</v>
      </c>
      <c r="N26" s="75">
        <v>0</v>
      </c>
    </row>
    <row r="27" spans="1:22" ht="15" customHeight="1" x14ac:dyDescent="0.15">
      <c r="C27" s="75">
        <v>26</v>
      </c>
      <c r="D27"/>
      <c r="E27" s="168" t="s">
        <v>217</v>
      </c>
      <c r="F27" s="75">
        <v>0</v>
      </c>
      <c r="G27" s="75">
        <v>0.218</v>
      </c>
      <c r="H27" s="75">
        <v>1.085</v>
      </c>
      <c r="I27" s="75">
        <v>7.233333</v>
      </c>
      <c r="J27" s="75">
        <v>0.97742620000000002</v>
      </c>
      <c r="K27" s="75">
        <v>0.15</v>
      </c>
      <c r="L27" s="75">
        <v>0</v>
      </c>
      <c r="M27" s="75">
        <v>0.2</v>
      </c>
      <c r="N27" s="75">
        <v>0</v>
      </c>
    </row>
    <row r="28" spans="1:22" ht="15" customHeight="1" x14ac:dyDescent="0.15">
      <c r="C28" s="75">
        <v>27</v>
      </c>
      <c r="D28"/>
      <c r="E28" s="168" t="s">
        <v>218</v>
      </c>
      <c r="F28" s="75">
        <v>0</v>
      </c>
      <c r="G28" s="75">
        <v>0.31900000000000001</v>
      </c>
      <c r="H28" s="75">
        <v>3.22</v>
      </c>
      <c r="I28" s="75">
        <v>16.100000000000001</v>
      </c>
      <c r="J28" s="75">
        <v>5.1675110000000003E-2</v>
      </c>
      <c r="K28" s="75">
        <v>0.2</v>
      </c>
      <c r="L28" s="75">
        <v>0</v>
      </c>
      <c r="M28" s="75">
        <v>0.2</v>
      </c>
      <c r="N28" s="75">
        <v>0</v>
      </c>
    </row>
    <row r="29" spans="1:22" customFormat="1" ht="15" customHeight="1" x14ac:dyDescent="0.15">
      <c r="C29" s="75">
        <v>28</v>
      </c>
      <c r="E29" s="168" t="s">
        <v>219</v>
      </c>
      <c r="F29" s="75">
        <v>0</v>
      </c>
      <c r="G29" s="75">
        <v>0.65</v>
      </c>
      <c r="H29" s="75">
        <v>0.9</v>
      </c>
      <c r="I29" s="75">
        <v>5.9999995200000003</v>
      </c>
      <c r="J29" s="75">
        <v>0.93709415200000001</v>
      </c>
      <c r="K29" s="75">
        <v>0.15</v>
      </c>
      <c r="L29" s="75">
        <v>0</v>
      </c>
      <c r="M29" s="75">
        <v>0.2</v>
      </c>
      <c r="N29" s="75">
        <v>0</v>
      </c>
    </row>
    <row r="30" spans="1:22" customFormat="1" ht="15" customHeight="1" x14ac:dyDescent="0.15">
      <c r="C30" s="75">
        <v>29</v>
      </c>
      <c r="E30" s="168" t="s">
        <v>220</v>
      </c>
      <c r="F30" s="75">
        <v>0</v>
      </c>
      <c r="G30" s="75">
        <v>7.8E-2</v>
      </c>
      <c r="H30" s="75">
        <v>0.48599999999999999</v>
      </c>
      <c r="I30" s="75">
        <v>3.2399997699999998</v>
      </c>
      <c r="J30" s="75">
        <v>0.50121343100000004</v>
      </c>
      <c r="K30" s="75">
        <v>0.15</v>
      </c>
      <c r="L30" s="75">
        <v>0</v>
      </c>
      <c r="M30" s="75">
        <v>0.2</v>
      </c>
      <c r="N30" s="75">
        <v>0</v>
      </c>
    </row>
    <row r="31" spans="1:22" customFormat="1" ht="15" customHeight="1" x14ac:dyDescent="0.15">
      <c r="C31" s="75">
        <v>30</v>
      </c>
      <c r="E31" s="168" t="s">
        <v>221</v>
      </c>
      <c r="F31" s="75">
        <v>0</v>
      </c>
      <c r="G31" s="75">
        <v>0.01</v>
      </c>
      <c r="H31" s="75">
        <v>0.04</v>
      </c>
      <c r="I31" s="75">
        <v>60</v>
      </c>
      <c r="J31" s="75">
        <v>0</v>
      </c>
      <c r="K31" s="75">
        <v>6.6666665999999997E-4</v>
      </c>
      <c r="L31" s="75">
        <v>0</v>
      </c>
      <c r="M31" s="75">
        <v>0.2</v>
      </c>
      <c r="N31" s="75">
        <v>0</v>
      </c>
    </row>
    <row r="32" spans="1:22" customFormat="1" ht="15" customHeight="1" x14ac:dyDescent="0.15">
      <c r="C32" s="75">
        <v>31</v>
      </c>
      <c r="E32" s="168" t="s">
        <v>222</v>
      </c>
      <c r="F32" s="75">
        <v>0</v>
      </c>
      <c r="G32" s="75">
        <v>5.2999999999999999E-2</v>
      </c>
      <c r="H32" s="75">
        <v>0.1</v>
      </c>
      <c r="I32" s="75">
        <v>45.9</v>
      </c>
      <c r="J32" s="75">
        <v>0</v>
      </c>
      <c r="K32" s="75">
        <v>2.1786491900000001E-3</v>
      </c>
      <c r="L32" s="75">
        <v>0</v>
      </c>
      <c r="M32" s="75">
        <v>0.26</v>
      </c>
      <c r="N32" s="75">
        <v>0</v>
      </c>
    </row>
    <row r="33" spans="3:14" customFormat="1" ht="15" customHeight="1" x14ac:dyDescent="0.15">
      <c r="C33" s="75">
        <v>32</v>
      </c>
      <c r="E33" s="168" t="s">
        <v>223</v>
      </c>
      <c r="F33" s="75">
        <v>0</v>
      </c>
      <c r="G33" s="75">
        <v>6.7000000000000004E-2</v>
      </c>
      <c r="H33" s="75">
        <v>0.1</v>
      </c>
      <c r="I33" s="75">
        <v>20</v>
      </c>
      <c r="J33" s="75">
        <v>0</v>
      </c>
      <c r="K33" s="75">
        <v>5.0000000000000001E-3</v>
      </c>
      <c r="L33" s="75">
        <v>0</v>
      </c>
      <c r="M33" s="75">
        <v>0.2</v>
      </c>
      <c r="N33" s="75">
        <v>0</v>
      </c>
    </row>
    <row r="34" spans="3:14" customFormat="1" ht="15" customHeight="1" x14ac:dyDescent="0.15">
      <c r="C34" s="75">
        <v>33</v>
      </c>
      <c r="E34" s="168" t="s">
        <v>224</v>
      </c>
      <c r="F34" s="75">
        <v>2</v>
      </c>
      <c r="G34" s="75">
        <v>1</v>
      </c>
      <c r="H34" s="75">
        <v>0</v>
      </c>
      <c r="I34" s="75">
        <v>0</v>
      </c>
      <c r="J34" s="75">
        <v>0</v>
      </c>
      <c r="K34" s="75">
        <v>0</v>
      </c>
      <c r="L34" s="75">
        <v>0</v>
      </c>
      <c r="M34" s="75">
        <v>0</v>
      </c>
      <c r="N34" s="75">
        <v>0</v>
      </c>
    </row>
    <row r="35" spans="3:14" customFormat="1" ht="15" customHeight="1" x14ac:dyDescent="0.15">
      <c r="C35" s="75">
        <v>34</v>
      </c>
      <c r="E35" s="168" t="s">
        <v>225</v>
      </c>
      <c r="F35" s="75">
        <v>2</v>
      </c>
      <c r="G35" s="75">
        <v>5</v>
      </c>
      <c r="H35" s="75">
        <v>0</v>
      </c>
      <c r="I35" s="75">
        <v>0</v>
      </c>
      <c r="J35" s="75">
        <v>0</v>
      </c>
      <c r="K35" s="75">
        <v>0</v>
      </c>
      <c r="L35" s="75">
        <v>0</v>
      </c>
      <c r="M35" s="75">
        <v>0</v>
      </c>
      <c r="N35" s="75">
        <v>0</v>
      </c>
    </row>
    <row r="36" spans="3:14" customFormat="1" ht="15" customHeight="1" x14ac:dyDescent="0.15">
      <c r="C36" s="75">
        <v>35</v>
      </c>
      <c r="E36" s="168" t="s">
        <v>226</v>
      </c>
      <c r="F36" s="75">
        <v>3</v>
      </c>
      <c r="G36" s="75">
        <v>0</v>
      </c>
      <c r="H36" s="75">
        <v>0</v>
      </c>
      <c r="I36" s="75">
        <v>0</v>
      </c>
      <c r="J36" s="75">
        <v>0</v>
      </c>
      <c r="K36" s="75">
        <v>0</v>
      </c>
      <c r="L36" s="75">
        <v>0</v>
      </c>
      <c r="M36" s="75">
        <v>0</v>
      </c>
      <c r="N36" s="75">
        <v>0</v>
      </c>
    </row>
    <row r="37" spans="3:14" customFormat="1" ht="15" customHeight="1" x14ac:dyDescent="0.15"/>
    <row r="38" spans="3:14" customFormat="1" ht="15" customHeight="1" x14ac:dyDescent="0.15"/>
    <row r="39" spans="3:14" customFormat="1" ht="15" customHeight="1" x14ac:dyDescent="0.15"/>
    <row r="40" spans="3:14" customFormat="1" ht="15" customHeight="1" x14ac:dyDescent="0.15"/>
    <row r="41" spans="3:14" customFormat="1" ht="15" customHeight="1" x14ac:dyDescent="0.15"/>
    <row r="42" spans="3:14" customFormat="1" ht="15" customHeight="1" x14ac:dyDescent="0.15"/>
    <row r="43" spans="3:14" customFormat="1" ht="15" customHeight="1" x14ac:dyDescent="0.15"/>
    <row r="44" spans="3:14" customFormat="1" ht="15" customHeight="1" x14ac:dyDescent="0.15"/>
    <row r="45" spans="3:14" customFormat="1" ht="15" customHeight="1" x14ac:dyDescent="0.15"/>
    <row r="46" spans="3:14" customFormat="1" ht="15" customHeight="1" x14ac:dyDescent="0.15"/>
    <row r="47" spans="3:14" customFormat="1" ht="15" customHeight="1" x14ac:dyDescent="0.15"/>
    <row r="48" spans="3:14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I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1.6640625" style="134" bestFit="1" customWidth="1"/>
    <col min="2" max="3" width="2.33203125" style="134" bestFit="1" customWidth="1"/>
    <col min="4" max="4" width="4.83203125" style="134" bestFit="1" customWidth="1"/>
    <col min="5" max="6" width="3.83203125" style="134" bestFit="1" customWidth="1"/>
    <col min="7" max="8" width="4.83203125" style="134" bestFit="1" customWidth="1"/>
    <col min="9" max="9" width="5.83203125" style="134" bestFit="1" customWidth="1"/>
    <col min="10" max="10" width="12.83203125" style="134" bestFit="1" customWidth="1"/>
    <col min="11" max="12" width="5.83203125" style="134" bestFit="1" customWidth="1"/>
    <col min="13" max="14" width="4.83203125" style="134" bestFit="1" customWidth="1"/>
    <col min="15" max="16" width="15.83203125" style="134" bestFit="1" customWidth="1"/>
    <col min="17" max="17" width="5.83203125" style="134" bestFit="1" customWidth="1"/>
    <col min="18" max="18" width="14.83203125" style="134" bestFit="1" customWidth="1"/>
    <col min="19" max="20" width="15.83203125" style="134" bestFit="1" customWidth="1"/>
    <col min="21" max="21" width="5.83203125" style="134" bestFit="1" customWidth="1"/>
    <col min="22" max="22" width="3.83203125" style="134" bestFit="1" customWidth="1"/>
    <col min="23" max="26" width="5.83203125" style="134" bestFit="1" customWidth="1"/>
    <col min="27" max="27" width="15.83203125" style="134" bestFit="1" customWidth="1"/>
    <col min="28" max="28" width="5.83203125" style="134" bestFit="1" customWidth="1"/>
    <col min="29" max="29" width="4.83203125" style="134" bestFit="1" customWidth="1"/>
    <col min="30" max="30" width="15.83203125" style="134" customWidth="1"/>
    <col min="31" max="32" width="5.83203125" style="134" customWidth="1"/>
    <col min="33" max="33" width="3.83203125" style="134" customWidth="1"/>
    <col min="34" max="35" width="2.33203125" style="134" customWidth="1"/>
    <col min="36" max="16384" width="8.83203125" style="134"/>
  </cols>
  <sheetData>
    <row r="1" spans="1:35" x14ac:dyDescent="0.15">
      <c r="A1" s="133" t="s">
        <v>19</v>
      </c>
      <c r="B1" s="170" t="s">
        <v>192</v>
      </c>
      <c r="C1" s="170" t="s">
        <v>193</v>
      </c>
      <c r="D1" s="170" t="s">
        <v>194</v>
      </c>
      <c r="E1" s="170" t="s">
        <v>195</v>
      </c>
      <c r="F1" s="170" t="s">
        <v>196</v>
      </c>
      <c r="G1" s="170" t="s">
        <v>197</v>
      </c>
      <c r="H1" s="170" t="s">
        <v>198</v>
      </c>
      <c r="I1" s="170" t="s">
        <v>199</v>
      </c>
      <c r="J1" s="170" t="s">
        <v>200</v>
      </c>
      <c r="K1" s="170" t="s">
        <v>201</v>
      </c>
      <c r="L1" s="170" t="s">
        <v>202</v>
      </c>
      <c r="M1" s="170" t="s">
        <v>203</v>
      </c>
      <c r="N1" s="170" t="s">
        <v>204</v>
      </c>
      <c r="O1" s="170" t="s">
        <v>205</v>
      </c>
      <c r="P1" s="170" t="s">
        <v>206</v>
      </c>
      <c r="Q1" s="170" t="s">
        <v>207</v>
      </c>
      <c r="R1" s="170" t="s">
        <v>208</v>
      </c>
      <c r="S1" s="170" t="s">
        <v>209</v>
      </c>
      <c r="T1" s="170" t="s">
        <v>210</v>
      </c>
      <c r="U1" s="170" t="s">
        <v>211</v>
      </c>
      <c r="V1" s="170" t="s">
        <v>212</v>
      </c>
      <c r="W1" s="170" t="s">
        <v>213</v>
      </c>
      <c r="X1" s="170" t="s">
        <v>214</v>
      </c>
      <c r="Y1" s="170" t="s">
        <v>215</v>
      </c>
      <c r="Z1" s="170" t="s">
        <v>216</v>
      </c>
      <c r="AA1" s="170" t="s">
        <v>217</v>
      </c>
      <c r="AB1" s="170" t="s">
        <v>218</v>
      </c>
      <c r="AC1" s="170" t="s">
        <v>219</v>
      </c>
      <c r="AD1" s="170" t="s">
        <v>220</v>
      </c>
      <c r="AE1" s="170" t="s">
        <v>221</v>
      </c>
      <c r="AF1" s="170" t="s">
        <v>222</v>
      </c>
      <c r="AG1" s="170" t="s">
        <v>223</v>
      </c>
      <c r="AH1" s="170" t="s">
        <v>224</v>
      </c>
      <c r="AI1" s="170" t="s">
        <v>225</v>
      </c>
    </row>
    <row r="2" spans="1:35" customFormat="1" x14ac:dyDescent="0.15">
      <c r="A2" s="169" t="s">
        <v>192</v>
      </c>
      <c r="B2" s="134">
        <v>0</v>
      </c>
      <c r="C2" s="134">
        <v>0</v>
      </c>
      <c r="D2" s="134">
        <v>0.2</v>
      </c>
      <c r="E2" s="134">
        <v>0.3</v>
      </c>
      <c r="F2" s="134">
        <v>0.5</v>
      </c>
      <c r="G2" s="134">
        <v>0</v>
      </c>
      <c r="H2" s="134">
        <v>0</v>
      </c>
      <c r="I2" s="134">
        <v>0.123</v>
      </c>
      <c r="J2" s="134">
        <v>1.6999830001699984E-2</v>
      </c>
      <c r="K2" s="134">
        <v>0</v>
      </c>
      <c r="L2" s="134">
        <v>0</v>
      </c>
      <c r="M2" s="134">
        <v>0</v>
      </c>
      <c r="N2" s="134">
        <v>0.3</v>
      </c>
      <c r="O2" s="134">
        <v>0</v>
      </c>
      <c r="P2" s="134">
        <v>0</v>
      </c>
      <c r="Q2" s="134">
        <v>0</v>
      </c>
      <c r="R2" s="134">
        <v>0</v>
      </c>
      <c r="S2" s="134">
        <v>0</v>
      </c>
      <c r="T2" s="134">
        <v>0</v>
      </c>
      <c r="U2" s="134">
        <v>0</v>
      </c>
      <c r="V2" s="134">
        <v>0.6</v>
      </c>
      <c r="W2" s="134">
        <v>0</v>
      </c>
      <c r="X2" s="134">
        <v>0.44700000000000001</v>
      </c>
      <c r="Y2" s="134">
        <v>0</v>
      </c>
      <c r="Z2" s="134">
        <v>0</v>
      </c>
      <c r="AA2" s="134">
        <v>0</v>
      </c>
      <c r="AB2" s="134">
        <v>0</v>
      </c>
      <c r="AC2" s="134">
        <v>0</v>
      </c>
      <c r="AD2" s="134">
        <v>0</v>
      </c>
      <c r="AE2" s="134">
        <v>0</v>
      </c>
      <c r="AF2" s="134">
        <v>0</v>
      </c>
      <c r="AG2" s="134">
        <v>0</v>
      </c>
      <c r="AH2" s="134">
        <v>0</v>
      </c>
      <c r="AI2" s="134">
        <v>0</v>
      </c>
    </row>
    <row r="3" spans="1:35" customFormat="1" x14ac:dyDescent="0.15">
      <c r="A3" s="169" t="s">
        <v>193</v>
      </c>
      <c r="B3" s="134">
        <v>0</v>
      </c>
      <c r="C3" s="134">
        <v>0</v>
      </c>
      <c r="D3" s="134">
        <v>0.2</v>
      </c>
      <c r="E3" s="134">
        <v>0.5</v>
      </c>
      <c r="F3" s="134">
        <v>0.4</v>
      </c>
      <c r="G3" s="134">
        <v>0</v>
      </c>
      <c r="H3" s="134">
        <v>0</v>
      </c>
      <c r="I3" s="134">
        <v>5.0999999999999997E-2</v>
      </c>
      <c r="J3" s="134">
        <v>3.0999690003099964E-4</v>
      </c>
      <c r="K3" s="134">
        <v>0</v>
      </c>
      <c r="L3" s="134">
        <v>0</v>
      </c>
      <c r="M3" s="134">
        <v>0</v>
      </c>
      <c r="N3" s="134">
        <v>0</v>
      </c>
      <c r="O3" s="134">
        <v>0</v>
      </c>
      <c r="P3" s="134">
        <v>0</v>
      </c>
      <c r="Q3" s="134">
        <v>0</v>
      </c>
      <c r="R3" s="134">
        <v>0</v>
      </c>
      <c r="S3" s="134">
        <v>0</v>
      </c>
      <c r="T3" s="134">
        <v>0</v>
      </c>
      <c r="U3" s="134">
        <v>0</v>
      </c>
      <c r="V3" s="134">
        <v>0</v>
      </c>
      <c r="W3" s="134">
        <v>0</v>
      </c>
      <c r="X3" s="134">
        <v>0</v>
      </c>
      <c r="Y3" s="134">
        <v>0</v>
      </c>
      <c r="Z3" s="134">
        <v>0</v>
      </c>
      <c r="AA3" s="134">
        <v>0</v>
      </c>
      <c r="AB3" s="134">
        <v>0</v>
      </c>
      <c r="AC3" s="134">
        <v>0</v>
      </c>
      <c r="AD3" s="134">
        <v>0</v>
      </c>
      <c r="AE3" s="134">
        <v>0</v>
      </c>
      <c r="AF3" s="134">
        <v>0</v>
      </c>
      <c r="AG3" s="134">
        <v>0</v>
      </c>
      <c r="AH3" s="134">
        <v>0</v>
      </c>
      <c r="AI3" s="134">
        <v>0</v>
      </c>
    </row>
    <row r="4" spans="1:35" customFormat="1" x14ac:dyDescent="0.15">
      <c r="A4" s="169" t="s">
        <v>194</v>
      </c>
      <c r="B4" s="134">
        <v>0</v>
      </c>
      <c r="C4" s="134">
        <v>0</v>
      </c>
      <c r="D4" s="134">
        <v>0.15</v>
      </c>
      <c r="E4" s="134">
        <v>0.2</v>
      </c>
      <c r="F4" s="134">
        <v>0.1</v>
      </c>
      <c r="G4" s="134">
        <v>0</v>
      </c>
      <c r="H4" s="134">
        <v>0</v>
      </c>
      <c r="I4" s="134">
        <v>0</v>
      </c>
      <c r="J4" s="134">
        <v>2.9999700002999968E-3</v>
      </c>
      <c r="K4" s="134">
        <v>0</v>
      </c>
      <c r="L4" s="134">
        <v>0</v>
      </c>
      <c r="M4" s="134">
        <v>0</v>
      </c>
      <c r="N4" s="134">
        <v>0</v>
      </c>
      <c r="O4" s="134">
        <v>0</v>
      </c>
      <c r="P4" s="134">
        <v>0</v>
      </c>
      <c r="Q4" s="134">
        <v>0</v>
      </c>
      <c r="R4" s="134">
        <v>0</v>
      </c>
      <c r="S4" s="134">
        <v>0</v>
      </c>
      <c r="T4" s="134">
        <v>0</v>
      </c>
      <c r="U4" s="134">
        <v>0</v>
      </c>
      <c r="V4" s="134">
        <v>0</v>
      </c>
      <c r="W4" s="134">
        <v>0</v>
      </c>
      <c r="X4" s="134">
        <v>0</v>
      </c>
      <c r="Y4" s="134">
        <v>0</v>
      </c>
      <c r="Z4" s="134">
        <v>0</v>
      </c>
      <c r="AA4" s="134">
        <v>0</v>
      </c>
      <c r="AB4" s="134">
        <v>0</v>
      </c>
      <c r="AC4" s="134">
        <v>0</v>
      </c>
      <c r="AD4" s="134">
        <v>0</v>
      </c>
      <c r="AE4" s="134">
        <v>0</v>
      </c>
      <c r="AF4" s="134">
        <v>0</v>
      </c>
      <c r="AG4" s="134">
        <v>0</v>
      </c>
      <c r="AH4" s="134">
        <v>0</v>
      </c>
      <c r="AI4" s="134">
        <v>0</v>
      </c>
    </row>
    <row r="5" spans="1:35" customFormat="1" x14ac:dyDescent="0.15">
      <c r="A5" s="169" t="s">
        <v>195</v>
      </c>
      <c r="B5" s="134">
        <v>0</v>
      </c>
      <c r="C5" s="134">
        <v>0</v>
      </c>
      <c r="D5" s="134">
        <v>0</v>
      </c>
      <c r="E5" s="134">
        <v>0</v>
      </c>
      <c r="F5" s="134">
        <v>0</v>
      </c>
      <c r="G5" s="134">
        <v>0.64</v>
      </c>
      <c r="H5" s="134">
        <v>0</v>
      </c>
      <c r="I5" s="134">
        <v>0.56599999999999995</v>
      </c>
      <c r="J5" s="134">
        <v>0.60269397306026939</v>
      </c>
      <c r="K5" s="134">
        <v>2.1000000000000001E-2</v>
      </c>
      <c r="L5" s="134">
        <v>5.6000000000000001E-2</v>
      </c>
      <c r="M5" s="134">
        <v>0</v>
      </c>
      <c r="N5" s="134">
        <v>0.65</v>
      </c>
      <c r="O5" s="134">
        <v>1.999940001799946E-3</v>
      </c>
      <c r="P5" s="134">
        <v>2.9999700002999968E-3</v>
      </c>
      <c r="Q5" s="134">
        <v>0</v>
      </c>
      <c r="R5" s="134">
        <v>0</v>
      </c>
      <c r="S5" s="134">
        <v>0</v>
      </c>
      <c r="T5" s="134">
        <v>0</v>
      </c>
      <c r="U5" s="134">
        <v>0</v>
      </c>
      <c r="V5" s="134">
        <v>0.4</v>
      </c>
      <c r="W5" s="134">
        <v>0</v>
      </c>
      <c r="X5" s="134">
        <v>0</v>
      </c>
      <c r="Y5" s="134">
        <v>0</v>
      </c>
      <c r="Z5" s="134">
        <v>0</v>
      </c>
      <c r="AA5" s="134">
        <v>0</v>
      </c>
      <c r="AB5" s="134">
        <v>0</v>
      </c>
      <c r="AC5" s="134">
        <v>0</v>
      </c>
      <c r="AD5" s="134">
        <v>0</v>
      </c>
      <c r="AE5" s="134">
        <v>0</v>
      </c>
      <c r="AF5" s="134">
        <v>0</v>
      </c>
      <c r="AG5" s="134">
        <v>0</v>
      </c>
      <c r="AH5" s="134">
        <v>0</v>
      </c>
      <c r="AI5" s="134">
        <v>0</v>
      </c>
    </row>
    <row r="6" spans="1:35" customFormat="1" x14ac:dyDescent="0.15">
      <c r="A6" s="169" t="s">
        <v>196</v>
      </c>
      <c r="B6" s="134">
        <v>0</v>
      </c>
      <c r="C6" s="134">
        <v>0</v>
      </c>
      <c r="D6" s="134">
        <v>0</v>
      </c>
      <c r="E6" s="134">
        <v>0</v>
      </c>
      <c r="F6" s="134">
        <v>0</v>
      </c>
      <c r="G6" s="134">
        <v>0.12</v>
      </c>
      <c r="H6" s="134">
        <v>0</v>
      </c>
      <c r="I6" s="134">
        <v>0.26</v>
      </c>
      <c r="J6" s="134">
        <v>0.37699623003769961</v>
      </c>
      <c r="K6" s="134">
        <v>0.97899999999999998</v>
      </c>
      <c r="L6" s="134">
        <v>0.184</v>
      </c>
      <c r="M6" s="134">
        <v>0.85</v>
      </c>
      <c r="N6" s="134">
        <v>0</v>
      </c>
      <c r="O6" s="134">
        <v>0.46918592442226736</v>
      </c>
      <c r="P6" s="134">
        <v>0.26499735002649971</v>
      </c>
      <c r="Q6" s="134">
        <v>2E-3</v>
      </c>
      <c r="R6" s="134">
        <v>0.20189905047476259</v>
      </c>
      <c r="S6" s="134">
        <v>6.0001200024000475E-3</v>
      </c>
      <c r="T6" s="134">
        <v>4.1999160016799672E-4</v>
      </c>
      <c r="U6" s="134">
        <v>0</v>
      </c>
      <c r="V6" s="134">
        <v>0</v>
      </c>
      <c r="W6" s="134">
        <v>6.0999999999999999E-2</v>
      </c>
      <c r="X6" s="134">
        <v>0</v>
      </c>
      <c r="Y6" s="134">
        <v>0</v>
      </c>
      <c r="Z6" s="134">
        <v>7.5999999999999998E-2</v>
      </c>
      <c r="AA6" s="134">
        <v>1.3999440022399102E-4</v>
      </c>
      <c r="AB6" s="134">
        <v>0.61099999999999999</v>
      </c>
      <c r="AC6" s="134">
        <v>0</v>
      </c>
      <c r="AD6" s="134">
        <v>2.1000420008400165E-2</v>
      </c>
      <c r="AE6" s="134">
        <v>0</v>
      </c>
      <c r="AF6" s="134">
        <v>0</v>
      </c>
      <c r="AG6" s="134">
        <v>0.3</v>
      </c>
      <c r="AH6" s="134">
        <v>0</v>
      </c>
      <c r="AI6" s="134">
        <v>0</v>
      </c>
    </row>
    <row r="7" spans="1:35" customFormat="1" x14ac:dyDescent="0.15">
      <c r="A7" s="169" t="s">
        <v>197</v>
      </c>
      <c r="B7" s="134">
        <v>0</v>
      </c>
      <c r="C7" s="134">
        <v>0</v>
      </c>
      <c r="D7" s="134">
        <v>0</v>
      </c>
      <c r="E7" s="134">
        <v>0</v>
      </c>
      <c r="F7" s="134">
        <v>0</v>
      </c>
      <c r="G7" s="134">
        <v>0.04</v>
      </c>
      <c r="H7" s="134">
        <v>0</v>
      </c>
      <c r="I7" s="134">
        <v>0</v>
      </c>
      <c r="J7" s="134">
        <v>0</v>
      </c>
      <c r="K7" s="134">
        <v>0</v>
      </c>
      <c r="L7" s="134">
        <v>0</v>
      </c>
      <c r="M7" s="134">
        <v>0</v>
      </c>
      <c r="N7" s="134">
        <v>0</v>
      </c>
      <c r="O7" s="134">
        <v>0</v>
      </c>
      <c r="P7" s="134">
        <v>0</v>
      </c>
      <c r="Q7" s="134">
        <v>0</v>
      </c>
      <c r="R7" s="134">
        <v>0</v>
      </c>
      <c r="S7" s="134">
        <v>0</v>
      </c>
      <c r="T7" s="134">
        <v>0</v>
      </c>
      <c r="U7" s="134">
        <v>0</v>
      </c>
      <c r="V7" s="134">
        <v>0</v>
      </c>
      <c r="W7" s="134">
        <v>0</v>
      </c>
      <c r="X7" s="134">
        <v>5.2999999999999999E-2</v>
      </c>
      <c r="Y7" s="134">
        <v>0</v>
      </c>
      <c r="Z7" s="134">
        <v>0</v>
      </c>
      <c r="AA7" s="134">
        <v>0</v>
      </c>
      <c r="AB7" s="134">
        <v>0</v>
      </c>
      <c r="AC7" s="134">
        <v>0</v>
      </c>
      <c r="AD7" s="134">
        <v>0</v>
      </c>
      <c r="AE7" s="134">
        <v>0</v>
      </c>
      <c r="AF7" s="134">
        <v>0</v>
      </c>
      <c r="AG7" s="134">
        <v>0</v>
      </c>
      <c r="AH7" s="134">
        <v>0</v>
      </c>
      <c r="AI7" s="134">
        <v>0</v>
      </c>
    </row>
    <row r="8" spans="1:35" customFormat="1" x14ac:dyDescent="0.15">
      <c r="A8" s="169" t="s">
        <v>198</v>
      </c>
      <c r="B8" s="134">
        <v>0</v>
      </c>
      <c r="C8" s="134">
        <v>0</v>
      </c>
      <c r="D8" s="134">
        <v>0</v>
      </c>
      <c r="E8" s="134">
        <v>0</v>
      </c>
      <c r="F8" s="134">
        <v>0</v>
      </c>
      <c r="G8" s="134">
        <v>0</v>
      </c>
      <c r="H8" s="134">
        <v>7.0000000000000007E-2</v>
      </c>
      <c r="I8" s="134">
        <v>0</v>
      </c>
      <c r="J8" s="134">
        <v>0</v>
      </c>
      <c r="K8" s="134">
        <v>0</v>
      </c>
      <c r="L8" s="134">
        <v>0</v>
      </c>
      <c r="M8" s="134">
        <v>0</v>
      </c>
      <c r="N8" s="134">
        <v>0</v>
      </c>
      <c r="O8" s="134">
        <v>1.999940001799946E-2</v>
      </c>
      <c r="P8" s="134">
        <v>1.9999800001999978E-2</v>
      </c>
      <c r="Q8" s="134">
        <v>0</v>
      </c>
      <c r="R8" s="134">
        <v>0.18990504747626183</v>
      </c>
      <c r="S8" s="134">
        <v>6.9001380027600548E-2</v>
      </c>
      <c r="T8" s="134">
        <v>3.9999200015999681E-3</v>
      </c>
      <c r="U8" s="134">
        <v>0</v>
      </c>
      <c r="V8" s="134">
        <v>0</v>
      </c>
      <c r="W8" s="134">
        <v>0.55200000000000005</v>
      </c>
      <c r="X8" s="134">
        <v>0.5</v>
      </c>
      <c r="Y8" s="134">
        <v>0.114</v>
      </c>
      <c r="Z8" s="134">
        <v>0.86099999999999999</v>
      </c>
      <c r="AA8" s="134">
        <v>0.47288108475660973</v>
      </c>
      <c r="AB8" s="134">
        <v>0.17100000000000001</v>
      </c>
      <c r="AC8" s="134">
        <v>0.95</v>
      </c>
      <c r="AD8" s="134">
        <v>8.3001660033200655E-2</v>
      </c>
      <c r="AE8" s="134">
        <v>0</v>
      </c>
      <c r="AF8" s="134">
        <v>0</v>
      </c>
      <c r="AG8" s="134">
        <v>0</v>
      </c>
      <c r="AH8" s="134">
        <v>0</v>
      </c>
      <c r="AI8" s="134">
        <v>0</v>
      </c>
    </row>
    <row r="9" spans="1:35" customFormat="1" x14ac:dyDescent="0.15">
      <c r="A9" s="169" t="s">
        <v>199</v>
      </c>
      <c r="B9" s="134">
        <v>0</v>
      </c>
      <c r="C9" s="134">
        <v>0</v>
      </c>
      <c r="D9" s="134">
        <v>0</v>
      </c>
      <c r="E9" s="134">
        <v>0</v>
      </c>
      <c r="F9" s="134">
        <v>0</v>
      </c>
      <c r="G9" s="134">
        <v>0</v>
      </c>
      <c r="H9" s="134">
        <v>0</v>
      </c>
      <c r="I9" s="134">
        <v>0</v>
      </c>
      <c r="J9" s="134">
        <v>0</v>
      </c>
      <c r="K9" s="134">
        <v>0</v>
      </c>
      <c r="L9" s="134">
        <v>0</v>
      </c>
      <c r="M9" s="134">
        <v>0</v>
      </c>
      <c r="N9" s="134">
        <v>0</v>
      </c>
      <c r="O9" s="134">
        <v>0</v>
      </c>
      <c r="P9" s="134">
        <v>1.6999830001699984E-2</v>
      </c>
      <c r="Q9" s="134">
        <v>0</v>
      </c>
      <c r="R9" s="134">
        <v>0</v>
      </c>
      <c r="S9" s="134">
        <v>0</v>
      </c>
      <c r="T9" s="134">
        <v>0</v>
      </c>
      <c r="U9" s="134">
        <v>0</v>
      </c>
      <c r="V9" s="134">
        <v>0</v>
      </c>
      <c r="W9" s="134">
        <v>1.7000000000000001E-2</v>
      </c>
      <c r="X9" s="134">
        <v>0</v>
      </c>
      <c r="Y9" s="134">
        <v>0</v>
      </c>
      <c r="Z9" s="134">
        <v>0</v>
      </c>
      <c r="AA9" s="134">
        <v>3.9998400063997437E-3</v>
      </c>
      <c r="AB9" s="134">
        <v>0</v>
      </c>
      <c r="AC9" s="134">
        <v>0</v>
      </c>
      <c r="AD9" s="134">
        <v>0</v>
      </c>
      <c r="AE9" s="134">
        <v>0.44700000000000001</v>
      </c>
      <c r="AF9" s="134">
        <v>0</v>
      </c>
      <c r="AG9" s="134">
        <v>0</v>
      </c>
      <c r="AH9" s="134">
        <v>0</v>
      </c>
      <c r="AI9" s="134">
        <v>0</v>
      </c>
    </row>
    <row r="10" spans="1:35" customFormat="1" x14ac:dyDescent="0.15">
      <c r="A10" s="169" t="s">
        <v>200</v>
      </c>
      <c r="B10" s="134">
        <v>0</v>
      </c>
      <c r="C10" s="134">
        <v>0</v>
      </c>
      <c r="D10" s="134">
        <v>0</v>
      </c>
      <c r="E10" s="134">
        <v>0</v>
      </c>
      <c r="F10" s="134">
        <v>0</v>
      </c>
      <c r="G10" s="134">
        <v>0</v>
      </c>
      <c r="H10" s="134">
        <v>0</v>
      </c>
      <c r="I10" s="134">
        <v>0</v>
      </c>
      <c r="J10" s="134">
        <v>0</v>
      </c>
      <c r="K10" s="134">
        <v>0</v>
      </c>
      <c r="L10" s="134">
        <v>0.04</v>
      </c>
      <c r="M10" s="134">
        <v>0</v>
      </c>
      <c r="N10" s="134">
        <v>0</v>
      </c>
      <c r="O10" s="134">
        <v>0</v>
      </c>
      <c r="P10" s="134">
        <v>0.40139598604013954</v>
      </c>
      <c r="Q10" s="134">
        <v>0.623</v>
      </c>
      <c r="R10" s="134">
        <v>6.8965517241379309E-2</v>
      </c>
      <c r="S10" s="134">
        <v>8.2001640032800652E-2</v>
      </c>
      <c r="T10" s="134">
        <v>2.2999540009199817E-2</v>
      </c>
      <c r="U10" s="134">
        <v>0.45500000000000002</v>
      </c>
      <c r="V10" s="134">
        <v>0</v>
      </c>
      <c r="W10" s="134">
        <v>8.2000000000000003E-2</v>
      </c>
      <c r="X10" s="134">
        <v>0</v>
      </c>
      <c r="Y10" s="134">
        <v>0</v>
      </c>
      <c r="Z10" s="134">
        <v>1.7999999999999999E-2</v>
      </c>
      <c r="AA10" s="134">
        <v>0.18999240030398784</v>
      </c>
      <c r="AB10" s="134">
        <v>0</v>
      </c>
      <c r="AC10" s="134">
        <v>0</v>
      </c>
      <c r="AD10" s="134">
        <v>0.20800416008320161</v>
      </c>
      <c r="AE10" s="134">
        <v>0.377</v>
      </c>
      <c r="AF10" s="134">
        <v>0.377</v>
      </c>
      <c r="AG10" s="134">
        <v>0.1</v>
      </c>
      <c r="AH10" s="134">
        <v>0</v>
      </c>
      <c r="AI10" s="134">
        <v>0</v>
      </c>
    </row>
    <row r="11" spans="1:35" customFormat="1" x14ac:dyDescent="0.15">
      <c r="A11" s="169" t="s">
        <v>201</v>
      </c>
      <c r="B11" s="134">
        <v>0</v>
      </c>
      <c r="C11" s="134">
        <v>0</v>
      </c>
      <c r="D11" s="134">
        <v>0</v>
      </c>
      <c r="E11" s="134">
        <v>0</v>
      </c>
      <c r="F11" s="134">
        <v>0</v>
      </c>
      <c r="G11" s="134">
        <v>0</v>
      </c>
      <c r="H11" s="134">
        <v>0</v>
      </c>
      <c r="I11" s="134">
        <v>0</v>
      </c>
      <c r="J11" s="134">
        <v>0</v>
      </c>
      <c r="K11" s="134">
        <v>0</v>
      </c>
      <c r="L11" s="134">
        <v>0.33700000000000002</v>
      </c>
      <c r="M11" s="134">
        <v>0</v>
      </c>
      <c r="N11" s="134">
        <v>0</v>
      </c>
      <c r="O11" s="134">
        <v>0</v>
      </c>
      <c r="P11" s="134">
        <v>9.8999010009899902E-4</v>
      </c>
      <c r="Q11" s="134">
        <v>0</v>
      </c>
      <c r="R11" s="134">
        <v>0.1509245377311344</v>
      </c>
      <c r="S11" s="134">
        <v>0.17300346006920136</v>
      </c>
      <c r="T11" s="134">
        <v>1.9999600007999841E-3</v>
      </c>
      <c r="U11" s="134">
        <v>0</v>
      </c>
      <c r="V11" s="134">
        <v>0</v>
      </c>
      <c r="W11" s="134">
        <v>0</v>
      </c>
      <c r="X11" s="134">
        <v>0</v>
      </c>
      <c r="Y11" s="134">
        <v>0</v>
      </c>
      <c r="Z11" s="134">
        <v>0</v>
      </c>
      <c r="AA11" s="134">
        <v>0</v>
      </c>
      <c r="AB11" s="134">
        <v>0</v>
      </c>
      <c r="AC11" s="134">
        <v>0</v>
      </c>
      <c r="AD11" s="134">
        <v>0</v>
      </c>
      <c r="AE11" s="134">
        <v>0</v>
      </c>
      <c r="AF11" s="134">
        <v>5.8000000000000003E-2</v>
      </c>
      <c r="AG11" s="134">
        <v>0</v>
      </c>
      <c r="AH11" s="134">
        <v>0</v>
      </c>
      <c r="AI11" s="134">
        <v>0</v>
      </c>
    </row>
    <row r="12" spans="1:35" customFormat="1" x14ac:dyDescent="0.15">
      <c r="A12" s="169" t="s">
        <v>202</v>
      </c>
      <c r="B12" s="134">
        <v>0</v>
      </c>
      <c r="C12" s="134">
        <v>0</v>
      </c>
      <c r="D12" s="134">
        <v>0</v>
      </c>
      <c r="E12" s="134">
        <v>0</v>
      </c>
      <c r="F12" s="134">
        <v>0</v>
      </c>
      <c r="G12" s="134">
        <v>0</v>
      </c>
      <c r="H12" s="134">
        <v>0</v>
      </c>
      <c r="I12" s="134">
        <v>0</v>
      </c>
      <c r="J12" s="134">
        <v>0</v>
      </c>
      <c r="K12" s="134">
        <v>0</v>
      </c>
      <c r="L12" s="134">
        <v>0.24199999999999999</v>
      </c>
      <c r="M12" s="134">
        <v>0</v>
      </c>
      <c r="N12" s="134">
        <v>0</v>
      </c>
      <c r="O12" s="134">
        <v>0</v>
      </c>
      <c r="P12" s="134">
        <v>0</v>
      </c>
      <c r="Q12" s="134">
        <v>0</v>
      </c>
      <c r="R12" s="134">
        <v>0</v>
      </c>
      <c r="S12" s="134">
        <v>1.2000240004800095E-2</v>
      </c>
      <c r="T12" s="134">
        <v>0.11099778004439913</v>
      </c>
      <c r="U12" s="134">
        <v>0</v>
      </c>
      <c r="V12" s="134">
        <v>0</v>
      </c>
      <c r="W12" s="134">
        <v>5.0000000000000001E-3</v>
      </c>
      <c r="X12" s="134">
        <v>0</v>
      </c>
      <c r="Y12" s="134">
        <v>0</v>
      </c>
      <c r="Z12" s="134">
        <v>0</v>
      </c>
      <c r="AA12" s="134">
        <v>0</v>
      </c>
      <c r="AB12" s="134">
        <v>0</v>
      </c>
      <c r="AC12" s="134">
        <v>0</v>
      </c>
      <c r="AD12" s="134">
        <v>4.200084001680033E-2</v>
      </c>
      <c r="AE12" s="134">
        <v>0</v>
      </c>
      <c r="AF12" s="134">
        <v>0</v>
      </c>
      <c r="AG12" s="134">
        <v>0.2</v>
      </c>
      <c r="AH12" s="134">
        <v>0</v>
      </c>
      <c r="AI12" s="134">
        <v>0</v>
      </c>
    </row>
    <row r="13" spans="1:35" customFormat="1" x14ac:dyDescent="0.15">
      <c r="A13" s="169" t="s">
        <v>203</v>
      </c>
      <c r="B13" s="134">
        <v>0</v>
      </c>
      <c r="C13" s="134">
        <v>0</v>
      </c>
      <c r="D13" s="134">
        <v>0</v>
      </c>
      <c r="E13" s="134">
        <v>0</v>
      </c>
      <c r="F13" s="134">
        <v>0</v>
      </c>
      <c r="G13" s="134">
        <v>0</v>
      </c>
      <c r="H13" s="134">
        <v>0</v>
      </c>
      <c r="I13" s="134">
        <v>0</v>
      </c>
      <c r="J13" s="134">
        <v>0</v>
      </c>
      <c r="K13" s="134">
        <v>0</v>
      </c>
      <c r="L13" s="134">
        <v>6.9000000000000006E-2</v>
      </c>
      <c r="M13" s="134">
        <v>0</v>
      </c>
      <c r="N13" s="134">
        <v>0</v>
      </c>
      <c r="O13" s="134">
        <v>0</v>
      </c>
      <c r="P13" s="134">
        <v>0</v>
      </c>
      <c r="Q13" s="134">
        <v>0</v>
      </c>
      <c r="R13" s="134">
        <v>3.498250874562718E-2</v>
      </c>
      <c r="S13" s="134">
        <v>5.0001000020000394E-3</v>
      </c>
      <c r="T13" s="134">
        <v>4.9999000019999608E-3</v>
      </c>
      <c r="U13" s="134">
        <v>0</v>
      </c>
      <c r="V13" s="134">
        <v>0</v>
      </c>
      <c r="W13" s="134">
        <v>1.4999999999999999E-2</v>
      </c>
      <c r="X13" s="134">
        <v>0</v>
      </c>
      <c r="Y13" s="134">
        <v>3.6999999999999998E-2</v>
      </c>
      <c r="Z13" s="134">
        <v>2E-3</v>
      </c>
      <c r="AA13" s="134">
        <v>3.0998760049598013E-2</v>
      </c>
      <c r="AB13" s="134">
        <v>0</v>
      </c>
      <c r="AC13" s="134">
        <v>0</v>
      </c>
      <c r="AD13" s="134">
        <v>0.12500250005000096</v>
      </c>
      <c r="AE13" s="134">
        <v>0</v>
      </c>
      <c r="AF13" s="134">
        <v>0</v>
      </c>
      <c r="AG13" s="134">
        <v>0</v>
      </c>
      <c r="AH13" s="134">
        <v>0</v>
      </c>
      <c r="AI13" s="134">
        <v>0</v>
      </c>
    </row>
    <row r="14" spans="1:35" customFormat="1" x14ac:dyDescent="0.15">
      <c r="A14" s="169" t="s">
        <v>204</v>
      </c>
      <c r="B14" s="134">
        <v>0</v>
      </c>
      <c r="C14" s="134">
        <v>0</v>
      </c>
      <c r="D14" s="134">
        <v>0</v>
      </c>
      <c r="E14" s="134">
        <v>0</v>
      </c>
      <c r="F14" s="134">
        <v>0</v>
      </c>
      <c r="G14" s="134">
        <v>0</v>
      </c>
      <c r="H14" s="134">
        <v>0</v>
      </c>
      <c r="I14" s="134">
        <v>0</v>
      </c>
      <c r="J14" s="134">
        <v>0</v>
      </c>
      <c r="K14" s="134">
        <v>0</v>
      </c>
      <c r="L14" s="134">
        <v>0.04</v>
      </c>
      <c r="M14" s="134">
        <v>0</v>
      </c>
      <c r="N14" s="134">
        <v>0</v>
      </c>
      <c r="O14" s="134">
        <v>2.8999130026099218E-2</v>
      </c>
      <c r="P14" s="134">
        <v>0.19899801001989981</v>
      </c>
      <c r="Q14" s="134">
        <v>0.21</v>
      </c>
      <c r="R14" s="134">
        <v>0.16291854072963516</v>
      </c>
      <c r="S14" s="134">
        <v>0.20500410008200162</v>
      </c>
      <c r="T14" s="134">
        <v>1.9999600007999843E-2</v>
      </c>
      <c r="U14" s="134">
        <v>0</v>
      </c>
      <c r="V14" s="134">
        <v>0</v>
      </c>
      <c r="W14" s="134">
        <v>5.0000000000000001E-3</v>
      </c>
      <c r="X14" s="134">
        <v>0</v>
      </c>
      <c r="Y14" s="134">
        <v>0</v>
      </c>
      <c r="Z14" s="134">
        <v>1.0999999999999999E-2</v>
      </c>
      <c r="AA14" s="134">
        <v>5.0997960081596731E-2</v>
      </c>
      <c r="AB14" s="134">
        <v>0.218</v>
      </c>
      <c r="AC14" s="134">
        <v>0</v>
      </c>
      <c r="AD14" s="134">
        <v>0</v>
      </c>
      <c r="AE14" s="134">
        <v>0.126</v>
      </c>
      <c r="AF14" s="134">
        <v>8.0000000000000002E-3</v>
      </c>
      <c r="AG14" s="134">
        <v>0</v>
      </c>
      <c r="AH14" s="134">
        <v>0</v>
      </c>
      <c r="AI14" s="134">
        <v>0</v>
      </c>
    </row>
    <row r="15" spans="1:35" customFormat="1" x14ac:dyDescent="0.15">
      <c r="A15" s="169" t="s">
        <v>205</v>
      </c>
      <c r="B15" s="134">
        <v>0</v>
      </c>
      <c r="C15" s="134">
        <v>0</v>
      </c>
      <c r="D15" s="134">
        <v>0</v>
      </c>
      <c r="E15" s="134">
        <v>0</v>
      </c>
      <c r="F15" s="134">
        <v>0</v>
      </c>
      <c r="G15" s="134">
        <v>0</v>
      </c>
      <c r="H15" s="134">
        <v>0</v>
      </c>
      <c r="I15" s="134">
        <v>0</v>
      </c>
      <c r="J15" s="134">
        <v>0</v>
      </c>
      <c r="K15" s="134">
        <v>0</v>
      </c>
      <c r="L15" s="134">
        <v>0</v>
      </c>
      <c r="M15" s="134">
        <v>0</v>
      </c>
      <c r="N15" s="134">
        <v>0</v>
      </c>
      <c r="O15" s="134">
        <v>0</v>
      </c>
      <c r="P15" s="134">
        <v>0</v>
      </c>
      <c r="Q15" s="134">
        <v>0</v>
      </c>
      <c r="R15" s="134">
        <v>0</v>
      </c>
      <c r="S15" s="134">
        <v>0</v>
      </c>
      <c r="T15" s="134">
        <v>4.9999000019999608E-3</v>
      </c>
      <c r="U15" s="134">
        <v>0</v>
      </c>
      <c r="V15" s="134">
        <v>0</v>
      </c>
      <c r="W15" s="134">
        <v>5.0000000000000001E-3</v>
      </c>
      <c r="X15" s="134">
        <v>0</v>
      </c>
      <c r="Y15" s="134">
        <v>0</v>
      </c>
      <c r="Z15" s="134">
        <v>0</v>
      </c>
      <c r="AA15" s="134">
        <v>0</v>
      </c>
      <c r="AB15" s="134">
        <v>0</v>
      </c>
      <c r="AC15" s="134">
        <v>0</v>
      </c>
      <c r="AD15" s="134">
        <v>2.1000420008400165E-2</v>
      </c>
      <c r="AE15" s="134">
        <v>0</v>
      </c>
      <c r="AF15" s="134">
        <v>1.0999999999999999E-2</v>
      </c>
      <c r="AG15" s="134">
        <v>0.2</v>
      </c>
      <c r="AH15" s="134">
        <v>0</v>
      </c>
      <c r="AI15" s="134">
        <v>0</v>
      </c>
    </row>
    <row r="16" spans="1:35" customFormat="1" x14ac:dyDescent="0.15">
      <c r="A16" s="169" t="s">
        <v>206</v>
      </c>
      <c r="B16" s="134">
        <v>0</v>
      </c>
      <c r="C16" s="134">
        <v>0</v>
      </c>
      <c r="D16" s="134">
        <v>0</v>
      </c>
      <c r="E16" s="134">
        <v>0</v>
      </c>
      <c r="F16" s="134">
        <v>0</v>
      </c>
      <c r="G16" s="134">
        <v>0</v>
      </c>
      <c r="H16" s="134">
        <v>0</v>
      </c>
      <c r="I16" s="134">
        <v>0</v>
      </c>
      <c r="J16" s="134">
        <v>0</v>
      </c>
      <c r="K16" s="134">
        <v>0</v>
      </c>
      <c r="L16" s="134">
        <v>0</v>
      </c>
      <c r="M16" s="134">
        <v>0</v>
      </c>
      <c r="N16" s="134">
        <v>0</v>
      </c>
      <c r="O16" s="134">
        <v>0</v>
      </c>
      <c r="P16" s="134">
        <v>0</v>
      </c>
      <c r="Q16" s="134">
        <v>0</v>
      </c>
      <c r="R16" s="134">
        <v>0</v>
      </c>
      <c r="S16" s="134">
        <v>0</v>
      </c>
      <c r="T16" s="134">
        <v>7.5998480030399398E-2</v>
      </c>
      <c r="U16" s="134">
        <v>0</v>
      </c>
      <c r="V16" s="134">
        <v>0</v>
      </c>
      <c r="W16" s="134">
        <v>0</v>
      </c>
      <c r="X16" s="134">
        <v>0</v>
      </c>
      <c r="Y16" s="134">
        <v>0</v>
      </c>
      <c r="Z16" s="134">
        <v>0</v>
      </c>
      <c r="AA16" s="134">
        <v>0</v>
      </c>
      <c r="AB16" s="134">
        <v>0</v>
      </c>
      <c r="AC16" s="134">
        <v>0</v>
      </c>
      <c r="AD16" s="134">
        <v>0</v>
      </c>
      <c r="AE16" s="134">
        <v>0</v>
      </c>
      <c r="AF16" s="134">
        <v>0</v>
      </c>
      <c r="AG16" s="134">
        <v>0.2</v>
      </c>
      <c r="AH16" s="134">
        <v>0</v>
      </c>
      <c r="AI16" s="134">
        <v>0</v>
      </c>
    </row>
    <row r="17" spans="1:35" customFormat="1" x14ac:dyDescent="0.15">
      <c r="A17" s="169" t="s">
        <v>207</v>
      </c>
      <c r="B17" s="134">
        <v>0</v>
      </c>
      <c r="C17" s="134">
        <v>0</v>
      </c>
      <c r="D17" s="134">
        <v>0</v>
      </c>
      <c r="E17" s="134">
        <v>0</v>
      </c>
      <c r="F17" s="134">
        <v>0</v>
      </c>
      <c r="G17" s="134">
        <v>0</v>
      </c>
      <c r="H17" s="134">
        <v>0</v>
      </c>
      <c r="I17" s="134">
        <v>0</v>
      </c>
      <c r="J17" s="134">
        <v>0</v>
      </c>
      <c r="K17" s="134">
        <v>0</v>
      </c>
      <c r="L17" s="134">
        <v>0</v>
      </c>
      <c r="M17" s="134">
        <v>0</v>
      </c>
      <c r="N17" s="134">
        <v>0</v>
      </c>
      <c r="O17" s="134">
        <v>0</v>
      </c>
      <c r="P17" s="134">
        <v>0</v>
      </c>
      <c r="Q17" s="134">
        <v>0</v>
      </c>
      <c r="R17" s="134">
        <v>2.9985007496251869E-3</v>
      </c>
      <c r="S17" s="134">
        <v>0</v>
      </c>
      <c r="T17" s="134">
        <v>0</v>
      </c>
      <c r="U17" s="134">
        <v>0</v>
      </c>
      <c r="V17" s="134">
        <v>0</v>
      </c>
      <c r="W17" s="134">
        <v>5.0000000000000001E-3</v>
      </c>
      <c r="X17" s="134">
        <v>0</v>
      </c>
      <c r="Y17" s="134">
        <v>0</v>
      </c>
      <c r="Z17" s="134">
        <v>0</v>
      </c>
      <c r="AA17" s="134">
        <v>1.9999200031998719E-3</v>
      </c>
      <c r="AB17" s="134">
        <v>0</v>
      </c>
      <c r="AC17" s="134">
        <v>0</v>
      </c>
      <c r="AD17" s="134">
        <v>0.37440748814976293</v>
      </c>
      <c r="AE17" s="134">
        <v>0</v>
      </c>
      <c r="AF17" s="134">
        <v>0</v>
      </c>
      <c r="AG17" s="134">
        <v>0</v>
      </c>
      <c r="AH17" s="134">
        <v>0</v>
      </c>
      <c r="AI17" s="134">
        <v>0</v>
      </c>
    </row>
    <row r="18" spans="1:35" customFormat="1" x14ac:dyDescent="0.15">
      <c r="A18" s="169" t="s">
        <v>208</v>
      </c>
      <c r="B18" s="134">
        <v>0</v>
      </c>
      <c r="C18" s="134">
        <v>0</v>
      </c>
      <c r="D18" s="134">
        <v>0</v>
      </c>
      <c r="E18" s="134">
        <v>0</v>
      </c>
      <c r="F18" s="134">
        <v>0</v>
      </c>
      <c r="G18" s="134">
        <v>0</v>
      </c>
      <c r="H18" s="134">
        <v>0</v>
      </c>
      <c r="I18" s="134">
        <v>0</v>
      </c>
      <c r="J18" s="134">
        <v>0</v>
      </c>
      <c r="K18" s="134">
        <v>0</v>
      </c>
      <c r="L18" s="134">
        <v>3.2000000000000001E-2</v>
      </c>
      <c r="M18" s="134">
        <v>0</v>
      </c>
      <c r="N18" s="134">
        <v>0</v>
      </c>
      <c r="O18" s="134">
        <v>0</v>
      </c>
      <c r="P18" s="134">
        <v>0</v>
      </c>
      <c r="Q18" s="134">
        <v>0</v>
      </c>
      <c r="R18" s="134">
        <v>1.5992003998000996E-2</v>
      </c>
      <c r="S18" s="134">
        <v>0.14700294005880116</v>
      </c>
      <c r="T18" s="134">
        <v>0.40559188816223679</v>
      </c>
      <c r="U18" s="134">
        <v>0</v>
      </c>
      <c r="V18" s="134">
        <v>0</v>
      </c>
      <c r="W18" s="134">
        <v>0</v>
      </c>
      <c r="X18" s="134">
        <v>0</v>
      </c>
      <c r="Y18" s="134">
        <v>0</v>
      </c>
      <c r="Z18" s="134">
        <v>0</v>
      </c>
      <c r="AA18" s="134">
        <v>0</v>
      </c>
      <c r="AB18" s="134">
        <v>0</v>
      </c>
      <c r="AC18" s="134">
        <v>0</v>
      </c>
      <c r="AD18" s="134">
        <v>5.8001160023200458E-2</v>
      </c>
      <c r="AE18" s="134">
        <v>0</v>
      </c>
      <c r="AF18" s="134">
        <v>0.05</v>
      </c>
      <c r="AG18" s="134">
        <v>0</v>
      </c>
      <c r="AH18" s="134">
        <v>0</v>
      </c>
      <c r="AI18" s="134">
        <v>0</v>
      </c>
    </row>
    <row r="19" spans="1:35" customFormat="1" x14ac:dyDescent="0.15">
      <c r="A19" s="169" t="s">
        <v>209</v>
      </c>
      <c r="B19" s="134">
        <v>0</v>
      </c>
      <c r="C19" s="134">
        <v>0</v>
      </c>
      <c r="D19" s="134">
        <v>0</v>
      </c>
      <c r="E19" s="134">
        <v>0</v>
      </c>
      <c r="F19" s="134">
        <v>0</v>
      </c>
      <c r="G19" s="134">
        <v>0</v>
      </c>
      <c r="H19" s="134">
        <v>0</v>
      </c>
      <c r="I19" s="134">
        <v>0</v>
      </c>
      <c r="J19" s="134">
        <v>0</v>
      </c>
      <c r="K19" s="134">
        <v>0</v>
      </c>
      <c r="L19" s="134">
        <v>0</v>
      </c>
      <c r="M19" s="134">
        <v>0</v>
      </c>
      <c r="N19" s="134">
        <v>0</v>
      </c>
      <c r="O19" s="134">
        <v>0</v>
      </c>
      <c r="P19" s="134">
        <v>0</v>
      </c>
      <c r="Q19" s="134">
        <v>0</v>
      </c>
      <c r="R19" s="134">
        <v>0</v>
      </c>
      <c r="S19" s="134">
        <v>0</v>
      </c>
      <c r="T19" s="134">
        <v>0</v>
      </c>
      <c r="U19" s="134">
        <v>0</v>
      </c>
      <c r="V19" s="134">
        <v>0</v>
      </c>
      <c r="W19" s="134">
        <v>0</v>
      </c>
      <c r="X19" s="134">
        <v>0</v>
      </c>
      <c r="Y19" s="134">
        <v>0.216</v>
      </c>
      <c r="Z19" s="134">
        <v>0</v>
      </c>
      <c r="AA19" s="134">
        <v>0</v>
      </c>
      <c r="AB19" s="134">
        <v>0</v>
      </c>
      <c r="AC19" s="134">
        <v>0</v>
      </c>
      <c r="AD19" s="134">
        <v>4.0000800016000313E-3</v>
      </c>
      <c r="AE19" s="134">
        <v>0</v>
      </c>
      <c r="AF19" s="134">
        <v>0</v>
      </c>
      <c r="AG19" s="134">
        <v>0</v>
      </c>
      <c r="AH19" s="134">
        <v>0</v>
      </c>
      <c r="AI19" s="134">
        <v>0</v>
      </c>
    </row>
    <row r="20" spans="1:35" customFormat="1" x14ac:dyDescent="0.15">
      <c r="A20" s="169" t="s">
        <v>210</v>
      </c>
      <c r="B20" s="134">
        <v>0</v>
      </c>
      <c r="C20" s="134">
        <v>0</v>
      </c>
      <c r="D20" s="134">
        <v>0</v>
      </c>
      <c r="E20" s="134">
        <v>0</v>
      </c>
      <c r="F20" s="134">
        <v>0</v>
      </c>
      <c r="G20" s="134">
        <v>0</v>
      </c>
      <c r="H20" s="134">
        <v>0</v>
      </c>
      <c r="I20" s="134">
        <v>0</v>
      </c>
      <c r="J20" s="134">
        <v>0</v>
      </c>
      <c r="K20" s="134">
        <v>0</v>
      </c>
      <c r="L20" s="134">
        <v>0</v>
      </c>
      <c r="M20" s="134">
        <v>0</v>
      </c>
      <c r="N20" s="134">
        <v>0</v>
      </c>
      <c r="O20" s="134">
        <v>0</v>
      </c>
      <c r="P20" s="134">
        <v>0</v>
      </c>
      <c r="Q20" s="134">
        <v>0</v>
      </c>
      <c r="R20" s="134">
        <v>0</v>
      </c>
      <c r="S20" s="134">
        <v>0</v>
      </c>
      <c r="T20" s="134">
        <v>0</v>
      </c>
      <c r="U20" s="134">
        <v>0</v>
      </c>
      <c r="V20" s="134">
        <v>0</v>
      </c>
      <c r="W20" s="134">
        <v>0</v>
      </c>
      <c r="X20" s="134">
        <v>0</v>
      </c>
      <c r="Y20" s="134">
        <v>0</v>
      </c>
      <c r="Z20" s="134">
        <v>0</v>
      </c>
      <c r="AA20" s="134">
        <v>0</v>
      </c>
      <c r="AB20" s="134">
        <v>0</v>
      </c>
      <c r="AC20" s="134">
        <v>0</v>
      </c>
      <c r="AD20" s="134">
        <v>5.8001160023200458E-4</v>
      </c>
      <c r="AE20" s="134">
        <v>0</v>
      </c>
      <c r="AF20" s="134">
        <v>0</v>
      </c>
      <c r="AG20" s="134">
        <v>0</v>
      </c>
      <c r="AH20" s="134">
        <v>0</v>
      </c>
      <c r="AI20" s="134">
        <v>0</v>
      </c>
    </row>
    <row r="21" spans="1:35" customFormat="1" x14ac:dyDescent="0.15">
      <c r="A21" s="169" t="s">
        <v>211</v>
      </c>
      <c r="B21" s="134">
        <v>0</v>
      </c>
      <c r="C21" s="134">
        <v>0</v>
      </c>
      <c r="D21" s="134">
        <v>0</v>
      </c>
      <c r="E21" s="134">
        <v>0</v>
      </c>
      <c r="F21" s="134">
        <v>0</v>
      </c>
      <c r="G21" s="134">
        <v>0</v>
      </c>
      <c r="H21" s="134">
        <v>0</v>
      </c>
      <c r="I21" s="134">
        <v>0</v>
      </c>
      <c r="J21" s="134">
        <v>0</v>
      </c>
      <c r="K21" s="134">
        <v>0</v>
      </c>
      <c r="L21" s="134">
        <v>0</v>
      </c>
      <c r="M21" s="134">
        <v>0</v>
      </c>
      <c r="N21" s="134">
        <v>0</v>
      </c>
      <c r="O21" s="134">
        <v>0</v>
      </c>
      <c r="P21" s="134">
        <v>0</v>
      </c>
      <c r="Q21" s="134">
        <v>0</v>
      </c>
      <c r="R21" s="134">
        <v>0</v>
      </c>
      <c r="S21" s="134">
        <v>0</v>
      </c>
      <c r="T21" s="134">
        <v>0</v>
      </c>
      <c r="U21" s="134">
        <v>0</v>
      </c>
      <c r="V21" s="134">
        <v>0</v>
      </c>
      <c r="W21" s="134">
        <v>5.0000000000000001E-3</v>
      </c>
      <c r="X21" s="134">
        <v>0</v>
      </c>
      <c r="Y21" s="134">
        <v>8.9999999999999993E-3</v>
      </c>
      <c r="Z21" s="134">
        <v>0</v>
      </c>
      <c r="AA21" s="134">
        <v>0</v>
      </c>
      <c r="AB21" s="134">
        <v>0</v>
      </c>
      <c r="AC21" s="134">
        <v>0</v>
      </c>
      <c r="AD21" s="134">
        <v>0</v>
      </c>
      <c r="AE21" s="134">
        <v>0</v>
      </c>
      <c r="AF21" s="134">
        <v>0</v>
      </c>
      <c r="AG21" s="134">
        <v>0</v>
      </c>
      <c r="AH21" s="134">
        <v>0</v>
      </c>
      <c r="AI21" s="134">
        <v>0</v>
      </c>
    </row>
    <row r="22" spans="1:35" customFormat="1" x14ac:dyDescent="0.15">
      <c r="A22" s="169" t="s">
        <v>212</v>
      </c>
      <c r="B22" s="134">
        <v>0</v>
      </c>
      <c r="C22" s="134">
        <v>0</v>
      </c>
      <c r="D22" s="134">
        <v>0</v>
      </c>
      <c r="E22" s="134">
        <v>0</v>
      </c>
      <c r="F22" s="134">
        <v>0</v>
      </c>
      <c r="G22" s="134">
        <v>0</v>
      </c>
      <c r="H22" s="134">
        <v>0</v>
      </c>
      <c r="I22" s="134">
        <v>0</v>
      </c>
      <c r="J22" s="134">
        <v>0</v>
      </c>
      <c r="K22" s="134">
        <v>0</v>
      </c>
      <c r="L22" s="134">
        <v>0</v>
      </c>
      <c r="M22" s="134">
        <v>0.05</v>
      </c>
      <c r="N22" s="134">
        <v>0</v>
      </c>
      <c r="O22" s="134">
        <v>8.2997510074697765E-4</v>
      </c>
      <c r="P22" s="134">
        <v>9.2999070009299897E-2</v>
      </c>
      <c r="Q22" s="134">
        <v>0.16500000000000001</v>
      </c>
      <c r="R22" s="134">
        <v>0.14992503748125935</v>
      </c>
      <c r="S22" s="134">
        <v>0.28920578411568232</v>
      </c>
      <c r="T22" s="134">
        <v>6.8998620027599461E-2</v>
      </c>
      <c r="U22" s="134">
        <v>0</v>
      </c>
      <c r="V22" s="134">
        <v>0</v>
      </c>
      <c r="W22" s="134">
        <v>0.11700000000000001</v>
      </c>
      <c r="X22" s="134">
        <v>0</v>
      </c>
      <c r="Y22" s="134">
        <v>3.1E-2</v>
      </c>
      <c r="Z22" s="134">
        <v>0.03</v>
      </c>
      <c r="AA22" s="134">
        <v>0.19999200031998721</v>
      </c>
      <c r="AB22" s="134">
        <v>0</v>
      </c>
      <c r="AC22" s="134">
        <v>0</v>
      </c>
      <c r="AD22" s="134">
        <v>2.1000420008400165E-2</v>
      </c>
      <c r="AE22" s="134">
        <v>0.05</v>
      </c>
      <c r="AF22" s="134">
        <v>0.47099999999999997</v>
      </c>
      <c r="AG22" s="134">
        <v>0</v>
      </c>
      <c r="AH22" s="134">
        <v>0</v>
      </c>
      <c r="AI22" s="134">
        <v>0</v>
      </c>
    </row>
    <row r="23" spans="1:35" customFormat="1" x14ac:dyDescent="0.15">
      <c r="A23" s="169" t="s">
        <v>213</v>
      </c>
      <c r="B23" s="134">
        <v>0</v>
      </c>
      <c r="C23" s="134">
        <v>0</v>
      </c>
      <c r="D23" s="134">
        <v>0</v>
      </c>
      <c r="E23" s="134">
        <v>0</v>
      </c>
      <c r="F23" s="134">
        <v>0</v>
      </c>
      <c r="G23" s="134">
        <v>0</v>
      </c>
      <c r="H23" s="134">
        <v>0</v>
      </c>
      <c r="I23" s="134">
        <v>0</v>
      </c>
      <c r="J23" s="134">
        <v>0</v>
      </c>
      <c r="K23" s="134">
        <v>0</v>
      </c>
      <c r="L23" s="134">
        <v>0</v>
      </c>
      <c r="M23" s="134">
        <v>0</v>
      </c>
      <c r="N23" s="134">
        <v>0</v>
      </c>
      <c r="O23" s="134">
        <v>0</v>
      </c>
      <c r="P23" s="134">
        <v>0</v>
      </c>
      <c r="Q23" s="134">
        <v>0</v>
      </c>
      <c r="R23" s="134">
        <v>0</v>
      </c>
      <c r="S23" s="134">
        <v>0</v>
      </c>
      <c r="T23" s="134">
        <v>0</v>
      </c>
      <c r="U23" s="134">
        <v>0</v>
      </c>
      <c r="V23" s="134">
        <v>0</v>
      </c>
      <c r="W23" s="134">
        <v>0</v>
      </c>
      <c r="X23" s="134">
        <v>0</v>
      </c>
      <c r="Y23" s="134">
        <v>0</v>
      </c>
      <c r="Z23" s="134">
        <v>0</v>
      </c>
      <c r="AA23" s="134">
        <v>0</v>
      </c>
      <c r="AB23" s="134">
        <v>0</v>
      </c>
      <c r="AC23" s="134">
        <v>0</v>
      </c>
      <c r="AD23" s="134">
        <v>0</v>
      </c>
      <c r="AE23" s="134">
        <v>0</v>
      </c>
      <c r="AF23" s="134">
        <v>0</v>
      </c>
      <c r="AG23" s="134">
        <v>0</v>
      </c>
      <c r="AH23" s="134">
        <v>0</v>
      </c>
      <c r="AI23" s="134">
        <v>0</v>
      </c>
    </row>
    <row r="24" spans="1:35" customFormat="1" x14ac:dyDescent="0.15">
      <c r="A24" s="169" t="s">
        <v>214</v>
      </c>
      <c r="B24" s="134">
        <v>0</v>
      </c>
      <c r="C24" s="134">
        <v>0</v>
      </c>
      <c r="D24" s="134">
        <v>0</v>
      </c>
      <c r="E24" s="134">
        <v>0</v>
      </c>
      <c r="F24" s="134">
        <v>0</v>
      </c>
      <c r="G24" s="134">
        <v>0</v>
      </c>
      <c r="H24" s="134">
        <v>0</v>
      </c>
      <c r="I24" s="134">
        <v>0</v>
      </c>
      <c r="J24" s="134">
        <v>0</v>
      </c>
      <c r="K24" s="134">
        <v>0</v>
      </c>
      <c r="L24" s="134">
        <v>0</v>
      </c>
      <c r="M24" s="134">
        <v>0</v>
      </c>
      <c r="N24" s="134">
        <v>0</v>
      </c>
      <c r="O24" s="134">
        <v>0</v>
      </c>
      <c r="P24" s="134">
        <v>0</v>
      </c>
      <c r="Q24" s="134">
        <v>0</v>
      </c>
      <c r="R24" s="134">
        <v>0</v>
      </c>
      <c r="S24" s="134">
        <v>0</v>
      </c>
      <c r="T24" s="134">
        <v>0</v>
      </c>
      <c r="U24" s="134">
        <v>0</v>
      </c>
      <c r="V24" s="134">
        <v>0</v>
      </c>
      <c r="W24" s="134">
        <v>3.0000000000000001E-3</v>
      </c>
      <c r="X24" s="134">
        <v>0</v>
      </c>
      <c r="Y24" s="134">
        <v>0</v>
      </c>
      <c r="Z24" s="134">
        <v>0</v>
      </c>
      <c r="AA24" s="134">
        <v>1.9999200031998719E-3</v>
      </c>
      <c r="AB24" s="134">
        <v>0</v>
      </c>
      <c r="AC24" s="134">
        <v>0</v>
      </c>
      <c r="AD24" s="134">
        <v>0</v>
      </c>
      <c r="AE24" s="134">
        <v>0</v>
      </c>
      <c r="AF24" s="134">
        <v>0</v>
      </c>
      <c r="AG24" s="134">
        <v>0</v>
      </c>
      <c r="AH24" s="134">
        <v>0</v>
      </c>
      <c r="AI24" s="134">
        <v>0</v>
      </c>
    </row>
    <row r="25" spans="1:35" customFormat="1" x14ac:dyDescent="0.15">
      <c r="A25" s="169" t="s">
        <v>215</v>
      </c>
      <c r="B25" s="134">
        <v>0</v>
      </c>
      <c r="C25" s="134">
        <v>0</v>
      </c>
      <c r="D25" s="134">
        <v>0</v>
      </c>
      <c r="E25" s="134">
        <v>0</v>
      </c>
      <c r="F25" s="134">
        <v>0</v>
      </c>
      <c r="G25" s="134">
        <v>0</v>
      </c>
      <c r="H25" s="134">
        <v>0</v>
      </c>
      <c r="I25" s="134">
        <v>0</v>
      </c>
      <c r="J25" s="134">
        <v>0</v>
      </c>
      <c r="K25" s="134">
        <v>0</v>
      </c>
      <c r="L25" s="134">
        <v>0</v>
      </c>
      <c r="M25" s="134">
        <v>0</v>
      </c>
      <c r="N25" s="134">
        <v>0</v>
      </c>
      <c r="O25" s="134">
        <v>0</v>
      </c>
      <c r="P25" s="134">
        <v>0</v>
      </c>
      <c r="Q25" s="134">
        <v>0</v>
      </c>
      <c r="R25" s="134">
        <v>0</v>
      </c>
      <c r="S25" s="134">
        <v>0</v>
      </c>
      <c r="T25" s="134">
        <v>0</v>
      </c>
      <c r="U25" s="134">
        <v>0</v>
      </c>
      <c r="V25" s="134">
        <v>0</v>
      </c>
      <c r="W25" s="134">
        <v>0</v>
      </c>
      <c r="X25" s="134">
        <v>0</v>
      </c>
      <c r="Y25" s="134">
        <v>0</v>
      </c>
      <c r="Z25" s="134">
        <v>0</v>
      </c>
      <c r="AA25" s="134">
        <v>0</v>
      </c>
      <c r="AB25" s="134">
        <v>0</v>
      </c>
      <c r="AC25" s="134">
        <v>0</v>
      </c>
      <c r="AD25" s="134">
        <v>0</v>
      </c>
      <c r="AE25" s="134">
        <v>0</v>
      </c>
      <c r="AF25" s="134">
        <v>0</v>
      </c>
      <c r="AG25" s="134">
        <v>0</v>
      </c>
      <c r="AH25" s="134">
        <v>0</v>
      </c>
      <c r="AI25" s="134">
        <v>0</v>
      </c>
    </row>
    <row r="26" spans="1:35" customFormat="1" x14ac:dyDescent="0.15">
      <c r="A26" s="169" t="s">
        <v>216</v>
      </c>
      <c r="B26" s="134">
        <v>0</v>
      </c>
      <c r="C26" s="134">
        <v>0</v>
      </c>
      <c r="D26" s="134">
        <v>0</v>
      </c>
      <c r="E26" s="134">
        <v>0</v>
      </c>
      <c r="F26" s="134">
        <v>0</v>
      </c>
      <c r="G26" s="134">
        <v>0</v>
      </c>
      <c r="H26" s="134">
        <v>0</v>
      </c>
      <c r="I26" s="134">
        <v>0</v>
      </c>
      <c r="J26" s="134">
        <v>0</v>
      </c>
      <c r="K26" s="134">
        <v>0</v>
      </c>
      <c r="L26" s="134">
        <v>0</v>
      </c>
      <c r="M26" s="134">
        <v>0</v>
      </c>
      <c r="N26" s="134">
        <v>0</v>
      </c>
      <c r="O26" s="134">
        <v>0</v>
      </c>
      <c r="P26" s="134">
        <v>0</v>
      </c>
      <c r="Q26" s="134">
        <v>0</v>
      </c>
      <c r="R26" s="134">
        <v>1.9990004997501247E-2</v>
      </c>
      <c r="S26" s="134">
        <v>7.8001560031200616E-4</v>
      </c>
      <c r="T26" s="134">
        <v>1.3999720005599889E-2</v>
      </c>
      <c r="U26" s="134">
        <v>0.54500000000000004</v>
      </c>
      <c r="V26" s="134">
        <v>0</v>
      </c>
      <c r="W26" s="134">
        <v>0.04</v>
      </c>
      <c r="X26" s="134">
        <v>0</v>
      </c>
      <c r="Y26" s="134">
        <v>0.32600000000000001</v>
      </c>
      <c r="Z26" s="134">
        <v>2E-3</v>
      </c>
      <c r="AA26" s="134">
        <v>1.6999320027198912E-2</v>
      </c>
      <c r="AB26" s="134">
        <v>0</v>
      </c>
      <c r="AC26" s="134">
        <v>0</v>
      </c>
      <c r="AD26" s="134">
        <v>2.1000420008400165E-2</v>
      </c>
      <c r="AE26" s="134">
        <v>0</v>
      </c>
      <c r="AF26" s="134">
        <v>1.4999999999999999E-2</v>
      </c>
      <c r="AG26" s="134">
        <v>0</v>
      </c>
      <c r="AH26" s="134">
        <v>0</v>
      </c>
      <c r="AI26" s="134">
        <v>0</v>
      </c>
    </row>
    <row r="27" spans="1:35" customFormat="1" x14ac:dyDescent="0.15">
      <c r="A27" s="169" t="s">
        <v>217</v>
      </c>
      <c r="B27" s="134">
        <v>0</v>
      </c>
      <c r="C27" s="134">
        <v>0</v>
      </c>
      <c r="D27" s="134">
        <v>0</v>
      </c>
      <c r="E27" s="134">
        <v>0</v>
      </c>
      <c r="F27" s="134">
        <v>0</v>
      </c>
      <c r="G27" s="134">
        <v>0</v>
      </c>
      <c r="H27" s="134">
        <v>0</v>
      </c>
      <c r="I27" s="134">
        <v>0</v>
      </c>
      <c r="J27" s="134">
        <v>0</v>
      </c>
      <c r="K27" s="134">
        <v>0</v>
      </c>
      <c r="L27" s="134">
        <v>0</v>
      </c>
      <c r="M27" s="134">
        <v>0</v>
      </c>
      <c r="N27" s="134">
        <v>0</v>
      </c>
      <c r="O27" s="134">
        <v>0</v>
      </c>
      <c r="P27" s="134">
        <v>0</v>
      </c>
      <c r="Q27" s="134">
        <v>0</v>
      </c>
      <c r="R27" s="134">
        <v>1.4992503748125934E-3</v>
      </c>
      <c r="S27" s="134">
        <v>1.1000220004400086E-2</v>
      </c>
      <c r="T27" s="134">
        <v>0.24099518009639809</v>
      </c>
      <c r="U27" s="134">
        <v>0</v>
      </c>
      <c r="V27" s="134">
        <v>0</v>
      </c>
      <c r="W27" s="134">
        <v>2.9000000000000001E-2</v>
      </c>
      <c r="X27" s="134">
        <v>0</v>
      </c>
      <c r="Y27" s="134">
        <v>0</v>
      </c>
      <c r="Z27" s="134">
        <v>0</v>
      </c>
      <c r="AA27" s="134">
        <v>2.9998800047998077E-2</v>
      </c>
      <c r="AB27" s="134">
        <v>0</v>
      </c>
      <c r="AC27" s="134">
        <v>0</v>
      </c>
      <c r="AD27" s="134">
        <v>0</v>
      </c>
      <c r="AE27" s="134">
        <v>0</v>
      </c>
      <c r="AF27" s="134">
        <v>0.01</v>
      </c>
      <c r="AG27" s="134">
        <v>0</v>
      </c>
      <c r="AH27" s="134">
        <v>0</v>
      </c>
      <c r="AI27" s="134">
        <v>0</v>
      </c>
    </row>
    <row r="28" spans="1:35" customFormat="1" x14ac:dyDescent="0.15">
      <c r="A28" s="169" t="s">
        <v>218</v>
      </c>
      <c r="B28" s="134">
        <v>0</v>
      </c>
      <c r="C28" s="134">
        <v>0</v>
      </c>
      <c r="D28" s="134">
        <v>0</v>
      </c>
      <c r="E28" s="134">
        <v>0</v>
      </c>
      <c r="F28" s="134">
        <v>0</v>
      </c>
      <c r="G28" s="134">
        <v>0</v>
      </c>
      <c r="H28" s="134">
        <v>0</v>
      </c>
      <c r="I28" s="134">
        <v>0</v>
      </c>
      <c r="J28" s="134">
        <v>0</v>
      </c>
      <c r="K28" s="134">
        <v>0</v>
      </c>
      <c r="L28" s="134">
        <v>0</v>
      </c>
      <c r="M28" s="134">
        <v>0</v>
      </c>
      <c r="N28" s="134">
        <v>0</v>
      </c>
      <c r="O28" s="134">
        <v>0</v>
      </c>
      <c r="P28" s="134">
        <v>6.1999380006199929E-4</v>
      </c>
      <c r="Q28" s="134">
        <v>0</v>
      </c>
      <c r="R28" s="134">
        <v>0</v>
      </c>
      <c r="S28" s="134">
        <v>0</v>
      </c>
      <c r="T28" s="134">
        <v>2.399952000959981E-2</v>
      </c>
      <c r="U28" s="134">
        <v>0</v>
      </c>
      <c r="V28" s="134">
        <v>0</v>
      </c>
      <c r="W28" s="134">
        <v>0</v>
      </c>
      <c r="X28" s="134">
        <v>0</v>
      </c>
      <c r="Y28" s="134">
        <v>0.23300000000000001</v>
      </c>
      <c r="Z28" s="134">
        <v>0</v>
      </c>
      <c r="AA28" s="134">
        <v>0</v>
      </c>
      <c r="AB28" s="134">
        <v>0</v>
      </c>
      <c r="AC28" s="134">
        <v>0</v>
      </c>
      <c r="AD28" s="134">
        <v>2.1000420008400165E-2</v>
      </c>
      <c r="AE28" s="134">
        <v>0</v>
      </c>
      <c r="AF28" s="134">
        <v>0</v>
      </c>
      <c r="AG28" s="134">
        <v>0</v>
      </c>
      <c r="AH28" s="134">
        <v>0</v>
      </c>
      <c r="AI28" s="134">
        <v>0</v>
      </c>
    </row>
    <row r="29" spans="1:35" customFormat="1" x14ac:dyDescent="0.15">
      <c r="A29" s="169" t="s">
        <v>219</v>
      </c>
      <c r="B29" s="134">
        <v>0</v>
      </c>
      <c r="C29" s="134">
        <v>0</v>
      </c>
      <c r="D29" s="134">
        <v>0</v>
      </c>
      <c r="E29" s="134">
        <v>0</v>
      </c>
      <c r="F29" s="134">
        <v>0</v>
      </c>
      <c r="G29" s="134">
        <v>0</v>
      </c>
      <c r="H29" s="134">
        <v>0</v>
      </c>
      <c r="I29" s="134">
        <v>0</v>
      </c>
      <c r="J29" s="134">
        <v>0</v>
      </c>
      <c r="K29" s="134">
        <v>0</v>
      </c>
      <c r="L29" s="134">
        <v>0</v>
      </c>
      <c r="M29" s="134">
        <v>0</v>
      </c>
      <c r="N29" s="134">
        <v>0</v>
      </c>
      <c r="O29" s="134">
        <v>0</v>
      </c>
      <c r="P29" s="134">
        <v>0</v>
      </c>
      <c r="Q29" s="134">
        <v>0</v>
      </c>
      <c r="R29" s="134">
        <v>0</v>
      </c>
      <c r="S29" s="134">
        <v>0</v>
      </c>
      <c r="T29" s="134">
        <v>0</v>
      </c>
      <c r="U29" s="134">
        <v>0</v>
      </c>
      <c r="V29" s="134">
        <v>0</v>
      </c>
      <c r="W29" s="134">
        <v>1.4E-2</v>
      </c>
      <c r="X29" s="134">
        <v>0</v>
      </c>
      <c r="Y29" s="134">
        <v>0</v>
      </c>
      <c r="Z29" s="134">
        <v>0</v>
      </c>
      <c r="AA29" s="134">
        <v>0</v>
      </c>
      <c r="AB29" s="134">
        <v>0</v>
      </c>
      <c r="AC29" s="134">
        <v>0</v>
      </c>
      <c r="AD29" s="134">
        <v>0</v>
      </c>
      <c r="AE29" s="134">
        <v>0</v>
      </c>
      <c r="AF29" s="134">
        <v>0</v>
      </c>
      <c r="AG29" s="134">
        <v>0</v>
      </c>
      <c r="AH29" s="134">
        <v>0</v>
      </c>
      <c r="AI29" s="134">
        <v>0</v>
      </c>
    </row>
    <row r="30" spans="1:35" customFormat="1" x14ac:dyDescent="0.15">
      <c r="A30" s="169" t="s">
        <v>220</v>
      </c>
      <c r="B30" s="134">
        <v>0</v>
      </c>
      <c r="C30" s="134">
        <v>0</v>
      </c>
      <c r="D30" s="134">
        <v>0</v>
      </c>
      <c r="E30" s="134">
        <v>0</v>
      </c>
      <c r="F30" s="134">
        <v>0</v>
      </c>
      <c r="G30" s="134">
        <v>0</v>
      </c>
      <c r="H30" s="134">
        <v>0</v>
      </c>
      <c r="I30" s="134">
        <v>0</v>
      </c>
      <c r="J30" s="134">
        <v>0</v>
      </c>
      <c r="K30" s="134">
        <v>0</v>
      </c>
      <c r="L30" s="134">
        <v>0</v>
      </c>
      <c r="M30" s="134">
        <v>0</v>
      </c>
      <c r="N30" s="134">
        <v>0</v>
      </c>
      <c r="O30" s="134">
        <v>0</v>
      </c>
      <c r="P30" s="134">
        <v>0</v>
      </c>
      <c r="Q30" s="134">
        <v>0</v>
      </c>
      <c r="R30" s="134">
        <v>0</v>
      </c>
      <c r="S30" s="134">
        <v>0</v>
      </c>
      <c r="T30" s="134">
        <v>0</v>
      </c>
      <c r="U30" s="134">
        <v>0</v>
      </c>
      <c r="V30" s="134">
        <v>0</v>
      </c>
      <c r="W30" s="134">
        <v>0</v>
      </c>
      <c r="X30" s="134">
        <v>0</v>
      </c>
      <c r="Y30" s="134">
        <v>0</v>
      </c>
      <c r="Z30" s="134">
        <v>0</v>
      </c>
      <c r="AA30" s="134">
        <v>0</v>
      </c>
      <c r="AB30" s="134">
        <v>0</v>
      </c>
      <c r="AC30" s="134">
        <v>0</v>
      </c>
      <c r="AD30" s="134">
        <v>0</v>
      </c>
      <c r="AE30" s="134">
        <v>0</v>
      </c>
      <c r="AF30" s="134">
        <v>0</v>
      </c>
      <c r="AG30" s="134">
        <v>0</v>
      </c>
      <c r="AH30" s="134">
        <v>0</v>
      </c>
      <c r="AI30" s="134">
        <v>0</v>
      </c>
    </row>
    <row r="31" spans="1:35" customFormat="1" x14ac:dyDescent="0.15">
      <c r="A31" s="169" t="s">
        <v>221</v>
      </c>
      <c r="B31" s="134">
        <v>0</v>
      </c>
      <c r="C31" s="134">
        <v>0</v>
      </c>
      <c r="D31" s="134">
        <v>0</v>
      </c>
      <c r="E31" s="134">
        <v>0</v>
      </c>
      <c r="F31" s="134">
        <v>0</v>
      </c>
      <c r="G31" s="134">
        <v>0</v>
      </c>
      <c r="H31" s="134">
        <v>0</v>
      </c>
      <c r="I31" s="134">
        <v>0</v>
      </c>
      <c r="J31" s="134">
        <v>0</v>
      </c>
      <c r="K31" s="134">
        <v>0</v>
      </c>
      <c r="L31" s="134">
        <v>0</v>
      </c>
      <c r="M31" s="134">
        <v>0</v>
      </c>
      <c r="N31" s="134">
        <v>0</v>
      </c>
      <c r="O31" s="134">
        <v>0</v>
      </c>
      <c r="P31" s="134">
        <v>0</v>
      </c>
      <c r="Q31" s="134">
        <v>0</v>
      </c>
      <c r="R31" s="134">
        <v>0</v>
      </c>
      <c r="S31" s="134">
        <v>0</v>
      </c>
      <c r="T31" s="134">
        <v>0</v>
      </c>
      <c r="U31" s="134">
        <v>0</v>
      </c>
      <c r="V31" s="134">
        <v>0</v>
      </c>
      <c r="W31" s="134">
        <v>0</v>
      </c>
      <c r="X31" s="134">
        <v>0</v>
      </c>
      <c r="Y31" s="134">
        <v>0</v>
      </c>
      <c r="Z31" s="134">
        <v>0</v>
      </c>
      <c r="AA31" s="134">
        <v>0</v>
      </c>
      <c r="AB31" s="134">
        <v>0</v>
      </c>
      <c r="AC31" s="134">
        <v>0</v>
      </c>
      <c r="AD31" s="134">
        <v>0</v>
      </c>
      <c r="AE31" s="134">
        <v>0</v>
      </c>
      <c r="AF31" s="134">
        <v>0</v>
      </c>
      <c r="AG31" s="134">
        <v>0</v>
      </c>
      <c r="AH31" s="134">
        <v>0</v>
      </c>
      <c r="AI31" s="134">
        <v>0</v>
      </c>
    </row>
    <row r="32" spans="1:35" customFormat="1" x14ac:dyDescent="0.15">
      <c r="A32" s="169" t="s">
        <v>222</v>
      </c>
      <c r="B32" s="134">
        <v>0</v>
      </c>
      <c r="C32" s="134">
        <v>0</v>
      </c>
      <c r="D32" s="134">
        <v>0</v>
      </c>
      <c r="E32" s="134">
        <v>0</v>
      </c>
      <c r="F32" s="134">
        <v>0</v>
      </c>
      <c r="G32" s="134">
        <v>0</v>
      </c>
      <c r="H32" s="134">
        <v>0</v>
      </c>
      <c r="I32" s="134">
        <v>0</v>
      </c>
      <c r="J32" s="134">
        <v>0</v>
      </c>
      <c r="K32" s="134">
        <v>0</v>
      </c>
      <c r="L32" s="134">
        <v>0</v>
      </c>
      <c r="M32" s="134">
        <v>0</v>
      </c>
      <c r="N32" s="134">
        <v>0</v>
      </c>
      <c r="O32" s="134">
        <v>0</v>
      </c>
      <c r="P32" s="134">
        <v>0</v>
      </c>
      <c r="Q32" s="134">
        <v>0</v>
      </c>
      <c r="R32" s="134">
        <v>0</v>
      </c>
      <c r="S32" s="134">
        <v>0</v>
      </c>
      <c r="T32" s="134">
        <v>0</v>
      </c>
      <c r="U32" s="134">
        <v>0</v>
      </c>
      <c r="V32" s="134">
        <v>0</v>
      </c>
      <c r="W32" s="134">
        <v>0</v>
      </c>
      <c r="X32" s="134">
        <v>0</v>
      </c>
      <c r="Y32" s="134">
        <v>0</v>
      </c>
      <c r="Z32" s="134">
        <v>0</v>
      </c>
      <c r="AA32" s="134">
        <v>0</v>
      </c>
      <c r="AB32" s="134">
        <v>0</v>
      </c>
      <c r="AC32" s="134">
        <v>0</v>
      </c>
      <c r="AD32" s="134">
        <v>0</v>
      </c>
      <c r="AE32" s="134">
        <v>0</v>
      </c>
      <c r="AF32" s="134">
        <v>0</v>
      </c>
      <c r="AG32" s="134">
        <v>0</v>
      </c>
      <c r="AH32" s="134">
        <v>0</v>
      </c>
      <c r="AI32" s="134">
        <v>0</v>
      </c>
    </row>
    <row r="33" spans="1:35" customFormat="1" x14ac:dyDescent="0.15">
      <c r="A33" s="169" t="s">
        <v>223</v>
      </c>
      <c r="B33" s="134">
        <v>0</v>
      </c>
      <c r="C33" s="134">
        <v>0</v>
      </c>
      <c r="D33" s="134">
        <v>0</v>
      </c>
      <c r="E33" s="134">
        <v>0</v>
      </c>
      <c r="F33" s="134">
        <v>0</v>
      </c>
      <c r="G33" s="134">
        <v>0</v>
      </c>
      <c r="H33" s="134">
        <v>0</v>
      </c>
      <c r="I33" s="134">
        <v>0</v>
      </c>
      <c r="J33" s="134">
        <v>0</v>
      </c>
      <c r="K33" s="134">
        <v>0</v>
      </c>
      <c r="L33" s="134">
        <v>0</v>
      </c>
      <c r="M33" s="134">
        <v>0</v>
      </c>
      <c r="N33" s="134">
        <v>0</v>
      </c>
      <c r="O33" s="134">
        <v>0</v>
      </c>
      <c r="P33" s="134">
        <v>0</v>
      </c>
      <c r="Q33" s="134">
        <v>0</v>
      </c>
      <c r="R33" s="134">
        <v>0</v>
      </c>
      <c r="S33" s="134">
        <v>0</v>
      </c>
      <c r="T33" s="134">
        <v>0</v>
      </c>
      <c r="U33" s="134">
        <v>0</v>
      </c>
      <c r="V33" s="134">
        <v>0</v>
      </c>
      <c r="W33" s="134">
        <v>0</v>
      </c>
      <c r="X33" s="134">
        <v>0</v>
      </c>
      <c r="Y33" s="134">
        <v>0</v>
      </c>
      <c r="Z33" s="134">
        <v>0</v>
      </c>
      <c r="AA33" s="134">
        <v>0</v>
      </c>
      <c r="AB33" s="134">
        <v>0</v>
      </c>
      <c r="AC33" s="134">
        <v>0</v>
      </c>
      <c r="AD33" s="134">
        <v>0</v>
      </c>
      <c r="AE33" s="134">
        <v>0</v>
      </c>
      <c r="AF33" s="134">
        <v>0</v>
      </c>
      <c r="AG33" s="134">
        <v>0</v>
      </c>
      <c r="AH33" s="134">
        <v>0</v>
      </c>
      <c r="AI33" s="134">
        <v>0</v>
      </c>
    </row>
    <row r="34" spans="1:35" customFormat="1" x14ac:dyDescent="0.15">
      <c r="A34" s="169" t="s">
        <v>224</v>
      </c>
      <c r="B34" s="134">
        <v>0</v>
      </c>
      <c r="C34" s="134">
        <v>0</v>
      </c>
      <c r="D34" s="134">
        <v>0.45</v>
      </c>
      <c r="E34" s="134">
        <v>0</v>
      </c>
      <c r="F34" s="134">
        <v>0</v>
      </c>
      <c r="G34" s="134">
        <v>0.2</v>
      </c>
      <c r="H34" s="134">
        <v>0.8</v>
      </c>
      <c r="I34" s="134">
        <v>0</v>
      </c>
      <c r="J34" s="134">
        <v>0</v>
      </c>
      <c r="K34" s="134">
        <v>0</v>
      </c>
      <c r="L34" s="134">
        <v>0</v>
      </c>
      <c r="M34" s="134">
        <v>0</v>
      </c>
      <c r="N34" s="134">
        <v>0</v>
      </c>
      <c r="O34" s="134">
        <v>0.47898563043108705</v>
      </c>
      <c r="P34" s="134">
        <v>0</v>
      </c>
      <c r="Q34" s="134">
        <v>0</v>
      </c>
      <c r="R34" s="134">
        <v>0</v>
      </c>
      <c r="S34" s="134">
        <v>0</v>
      </c>
      <c r="T34" s="134">
        <v>0</v>
      </c>
      <c r="U34" s="134">
        <v>0</v>
      </c>
      <c r="V34" s="134">
        <v>0</v>
      </c>
      <c r="W34" s="134">
        <v>4.4999999999999998E-2</v>
      </c>
      <c r="X34" s="134">
        <v>0</v>
      </c>
      <c r="Y34" s="134">
        <v>3.4000000000000002E-2</v>
      </c>
      <c r="Z34" s="134">
        <v>0</v>
      </c>
      <c r="AA34" s="134">
        <v>0</v>
      </c>
      <c r="AB34" s="134">
        <v>0</v>
      </c>
      <c r="AC34" s="134">
        <v>0.05</v>
      </c>
      <c r="AD34" s="134">
        <v>0</v>
      </c>
      <c r="AE34" s="134">
        <v>0</v>
      </c>
      <c r="AF34" s="134">
        <v>0</v>
      </c>
      <c r="AG34" s="134">
        <v>0</v>
      </c>
      <c r="AH34" s="134">
        <v>0</v>
      </c>
      <c r="AI34" s="134">
        <v>0</v>
      </c>
    </row>
    <row r="35" spans="1:35" customFormat="1" x14ac:dyDescent="0.15">
      <c r="A35" s="169" t="s">
        <v>225</v>
      </c>
      <c r="B35" s="134">
        <v>0</v>
      </c>
      <c r="C35" s="134">
        <v>0</v>
      </c>
      <c r="D35" s="134">
        <v>0</v>
      </c>
      <c r="E35" s="134">
        <v>0</v>
      </c>
      <c r="F35" s="134">
        <v>0</v>
      </c>
      <c r="G35" s="134">
        <v>0</v>
      </c>
      <c r="H35" s="134">
        <v>0</v>
      </c>
      <c r="I35" s="134">
        <v>0</v>
      </c>
      <c r="J35" s="134">
        <v>0</v>
      </c>
      <c r="K35" s="134">
        <v>0</v>
      </c>
      <c r="L35" s="134">
        <v>0</v>
      </c>
      <c r="M35" s="134">
        <v>0</v>
      </c>
      <c r="N35" s="134">
        <v>0</v>
      </c>
      <c r="O35" s="134">
        <v>0</v>
      </c>
      <c r="P35" s="134">
        <v>0</v>
      </c>
      <c r="Q35" s="134">
        <v>0</v>
      </c>
      <c r="R35" s="134">
        <v>0</v>
      </c>
      <c r="S35" s="134">
        <v>0</v>
      </c>
      <c r="T35" s="134">
        <v>0</v>
      </c>
      <c r="U35" s="134">
        <v>0</v>
      </c>
      <c r="V35" s="134">
        <v>0</v>
      </c>
      <c r="W35" s="134">
        <v>0</v>
      </c>
      <c r="X35" s="134">
        <v>0</v>
      </c>
      <c r="Y35" s="134">
        <v>0</v>
      </c>
      <c r="Z35" s="134">
        <v>0</v>
      </c>
      <c r="AA35" s="134">
        <v>0</v>
      </c>
      <c r="AB35" s="134">
        <v>0</v>
      </c>
      <c r="AC35" s="134">
        <v>0</v>
      </c>
      <c r="AD35" s="134">
        <v>0</v>
      </c>
      <c r="AE35" s="134">
        <v>0</v>
      </c>
      <c r="AF35" s="134">
        <v>0</v>
      </c>
      <c r="AG35" s="134">
        <v>0</v>
      </c>
      <c r="AH35" s="134">
        <v>0</v>
      </c>
      <c r="AI35" s="134">
        <v>0</v>
      </c>
    </row>
    <row r="36" spans="1:35" customFormat="1" x14ac:dyDescent="0.15">
      <c r="A36" s="169" t="s">
        <v>227</v>
      </c>
      <c r="B36" s="134">
        <v>0</v>
      </c>
      <c r="C36" s="134">
        <v>0</v>
      </c>
      <c r="D36" s="134">
        <v>0</v>
      </c>
      <c r="E36" s="134">
        <v>0</v>
      </c>
      <c r="F36" s="134">
        <v>0</v>
      </c>
      <c r="G36" s="134">
        <v>0</v>
      </c>
      <c r="H36" s="134">
        <v>0.13</v>
      </c>
      <c r="I36" s="134">
        <v>0</v>
      </c>
      <c r="J36" s="134">
        <v>0</v>
      </c>
      <c r="K36" s="134">
        <v>0</v>
      </c>
      <c r="L36" s="134">
        <v>0</v>
      </c>
      <c r="M36" s="134">
        <v>0.1</v>
      </c>
      <c r="N36" s="134">
        <v>0.05</v>
      </c>
      <c r="O36" s="134">
        <v>0</v>
      </c>
      <c r="P36" s="134">
        <v>0</v>
      </c>
      <c r="Q36" s="134">
        <v>0</v>
      </c>
      <c r="R36" s="134">
        <v>0</v>
      </c>
      <c r="S36" s="134">
        <v>0</v>
      </c>
      <c r="T36" s="134">
        <v>0</v>
      </c>
      <c r="U36" s="134">
        <v>0</v>
      </c>
      <c r="V36" s="134">
        <v>0</v>
      </c>
      <c r="W36" s="134">
        <v>0</v>
      </c>
      <c r="X36" s="134">
        <v>0</v>
      </c>
      <c r="Y36" s="134">
        <v>0</v>
      </c>
      <c r="Z36" s="134">
        <v>0</v>
      </c>
      <c r="AA36" s="134">
        <v>0</v>
      </c>
      <c r="AB36" s="134">
        <v>0</v>
      </c>
      <c r="AC36" s="134">
        <v>0</v>
      </c>
      <c r="AD36" s="134">
        <v>0</v>
      </c>
      <c r="AE36" s="134">
        <v>0</v>
      </c>
      <c r="AF36" s="134">
        <v>0</v>
      </c>
      <c r="AG36" s="134">
        <v>0</v>
      </c>
      <c r="AH36" s="134">
        <v>0</v>
      </c>
      <c r="AI36" s="134">
        <v>0</v>
      </c>
    </row>
    <row r="37" spans="1:35" customFormat="1" x14ac:dyDescent="0.15"/>
    <row r="38" spans="1:35" customForma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1.6640625" customWidth="1"/>
    <col min="3" max="4" width="2.33203125" style="104" customWidth="1"/>
    <col min="5" max="6" width="2.33203125" style="103" bestFit="1" customWidth="1"/>
    <col min="7" max="8" width="8.83203125" style="104"/>
  </cols>
  <sheetData>
    <row r="1" spans="1:8" ht="70" x14ac:dyDescent="0.15">
      <c r="A1" s="5" t="s">
        <v>20</v>
      </c>
      <c r="B1" s="1" t="s">
        <v>0</v>
      </c>
      <c r="C1" s="172" t="s">
        <v>224</v>
      </c>
      <c r="D1" s="172" t="s">
        <v>225</v>
      </c>
      <c r="E1" s="172" t="s">
        <v>228</v>
      </c>
      <c r="F1" s="172" t="s">
        <v>229</v>
      </c>
      <c r="G1"/>
      <c r="H1"/>
    </row>
    <row r="2" spans="1:8" x14ac:dyDescent="0.15">
      <c r="A2">
        <v>1</v>
      </c>
      <c r="B2" s="171" t="s">
        <v>192</v>
      </c>
      <c r="C2" s="104">
        <v>1</v>
      </c>
      <c r="D2" s="104">
        <v>0</v>
      </c>
      <c r="E2" s="103">
        <v>0</v>
      </c>
      <c r="F2" s="103">
        <v>1</v>
      </c>
      <c r="G2"/>
      <c r="H2"/>
    </row>
    <row r="3" spans="1:8" x14ac:dyDescent="0.15">
      <c r="A3">
        <v>2</v>
      </c>
      <c r="B3" s="171" t="s">
        <v>193</v>
      </c>
      <c r="C3" s="104">
        <v>1</v>
      </c>
      <c r="D3" s="104">
        <v>0</v>
      </c>
      <c r="E3" s="103">
        <v>0</v>
      </c>
      <c r="F3" s="103">
        <v>1</v>
      </c>
      <c r="G3"/>
      <c r="H3"/>
    </row>
    <row r="4" spans="1:8" x14ac:dyDescent="0.15">
      <c r="A4">
        <v>3</v>
      </c>
      <c r="B4" s="171" t="s">
        <v>194</v>
      </c>
      <c r="C4" s="104">
        <v>1</v>
      </c>
      <c r="D4" s="104">
        <v>0</v>
      </c>
      <c r="E4" s="103">
        <v>0</v>
      </c>
      <c r="F4" s="103">
        <v>1</v>
      </c>
      <c r="G4"/>
      <c r="H4"/>
    </row>
    <row r="5" spans="1:8" x14ac:dyDescent="0.15">
      <c r="A5">
        <v>4</v>
      </c>
      <c r="B5" s="171" t="s">
        <v>195</v>
      </c>
      <c r="C5" s="104">
        <v>1</v>
      </c>
      <c r="D5" s="104">
        <v>0</v>
      </c>
      <c r="E5" s="103">
        <v>0</v>
      </c>
      <c r="F5" s="103">
        <v>1</v>
      </c>
      <c r="G5"/>
      <c r="H5"/>
    </row>
    <row r="6" spans="1:8" x14ac:dyDescent="0.15">
      <c r="A6">
        <v>5</v>
      </c>
      <c r="B6" s="171" t="s">
        <v>196</v>
      </c>
      <c r="C6" s="104">
        <v>1</v>
      </c>
      <c r="D6" s="104">
        <v>0</v>
      </c>
      <c r="E6" s="103">
        <v>0</v>
      </c>
      <c r="F6" s="103">
        <v>1</v>
      </c>
      <c r="G6"/>
      <c r="H6"/>
    </row>
    <row r="7" spans="1:8" x14ac:dyDescent="0.15">
      <c r="A7">
        <v>6</v>
      </c>
      <c r="B7" s="171" t="s">
        <v>197</v>
      </c>
      <c r="C7" s="104">
        <v>1</v>
      </c>
      <c r="D7" s="104">
        <v>0</v>
      </c>
      <c r="E7" s="103">
        <v>0</v>
      </c>
      <c r="F7" s="103">
        <v>1</v>
      </c>
      <c r="G7"/>
      <c r="H7"/>
    </row>
    <row r="8" spans="1:8" x14ac:dyDescent="0.15">
      <c r="A8">
        <v>7</v>
      </c>
      <c r="B8" s="171" t="s">
        <v>198</v>
      </c>
      <c r="C8" s="104">
        <v>1</v>
      </c>
      <c r="D8" s="104">
        <v>0</v>
      </c>
      <c r="E8" s="103">
        <v>0</v>
      </c>
      <c r="F8" s="103">
        <v>1</v>
      </c>
      <c r="G8"/>
      <c r="H8"/>
    </row>
    <row r="9" spans="1:8" x14ac:dyDescent="0.15">
      <c r="A9">
        <v>8</v>
      </c>
      <c r="B9" s="171" t="s">
        <v>199</v>
      </c>
      <c r="C9" s="104">
        <v>1</v>
      </c>
      <c r="D9" s="104">
        <v>0</v>
      </c>
      <c r="E9" s="103">
        <v>0</v>
      </c>
      <c r="F9" s="103">
        <v>1</v>
      </c>
      <c r="G9"/>
      <c r="H9"/>
    </row>
    <row r="10" spans="1:8" x14ac:dyDescent="0.15">
      <c r="A10">
        <v>9</v>
      </c>
      <c r="B10" s="171" t="s">
        <v>200</v>
      </c>
      <c r="C10" s="104">
        <v>1</v>
      </c>
      <c r="D10" s="104">
        <v>0</v>
      </c>
      <c r="E10" s="103">
        <v>0</v>
      </c>
      <c r="F10" s="103">
        <v>1</v>
      </c>
      <c r="G10"/>
      <c r="H10"/>
    </row>
    <row r="11" spans="1:8" x14ac:dyDescent="0.15">
      <c r="A11">
        <v>10</v>
      </c>
      <c r="B11" s="171" t="s">
        <v>201</v>
      </c>
      <c r="C11" s="104">
        <v>1</v>
      </c>
      <c r="D11" s="104">
        <v>0</v>
      </c>
      <c r="E11" s="103">
        <v>0</v>
      </c>
      <c r="F11" s="103">
        <v>1</v>
      </c>
      <c r="G11"/>
      <c r="H11"/>
    </row>
    <row r="12" spans="1:8" x14ac:dyDescent="0.15">
      <c r="A12">
        <v>11</v>
      </c>
      <c r="B12" s="171" t="s">
        <v>202</v>
      </c>
      <c r="C12" s="104">
        <v>1</v>
      </c>
      <c r="D12" s="104">
        <v>0</v>
      </c>
      <c r="E12" s="103">
        <v>0</v>
      </c>
      <c r="F12" s="103">
        <v>1</v>
      </c>
      <c r="G12"/>
      <c r="H12"/>
    </row>
    <row r="13" spans="1:8" x14ac:dyDescent="0.15">
      <c r="A13">
        <v>12</v>
      </c>
      <c r="B13" s="171" t="s">
        <v>203</v>
      </c>
      <c r="C13" s="104">
        <v>1</v>
      </c>
      <c r="D13" s="104">
        <v>0</v>
      </c>
      <c r="E13" s="103">
        <v>0</v>
      </c>
      <c r="F13" s="103">
        <v>1</v>
      </c>
      <c r="G13"/>
      <c r="H13"/>
    </row>
    <row r="14" spans="1:8" x14ac:dyDescent="0.15">
      <c r="A14">
        <v>13</v>
      </c>
      <c r="B14" s="171" t="s">
        <v>204</v>
      </c>
      <c r="C14" s="104">
        <v>1</v>
      </c>
      <c r="D14" s="104">
        <v>0</v>
      </c>
      <c r="E14" s="103">
        <v>0</v>
      </c>
      <c r="F14" s="103">
        <v>1</v>
      </c>
      <c r="G14"/>
      <c r="H14"/>
    </row>
    <row r="15" spans="1:8" x14ac:dyDescent="0.15">
      <c r="A15">
        <v>14</v>
      </c>
      <c r="B15" s="171" t="s">
        <v>205</v>
      </c>
      <c r="C15" s="104">
        <v>1</v>
      </c>
      <c r="D15" s="104">
        <v>0</v>
      </c>
      <c r="E15" s="103">
        <v>0</v>
      </c>
      <c r="F15" s="103">
        <v>1</v>
      </c>
      <c r="G15"/>
      <c r="H15"/>
    </row>
    <row r="16" spans="1:8" x14ac:dyDescent="0.15">
      <c r="A16">
        <v>15</v>
      </c>
      <c r="B16" s="171" t="s">
        <v>206</v>
      </c>
      <c r="C16" s="104">
        <v>1</v>
      </c>
      <c r="D16" s="104">
        <v>0</v>
      </c>
      <c r="E16" s="103">
        <v>0</v>
      </c>
      <c r="F16" s="103">
        <v>1</v>
      </c>
      <c r="G16"/>
      <c r="H16"/>
    </row>
    <row r="17" spans="1:8" ht="15" customHeight="1" x14ac:dyDescent="0.15">
      <c r="A17">
        <v>16</v>
      </c>
      <c r="B17" s="171" t="s">
        <v>207</v>
      </c>
      <c r="C17" s="104">
        <v>1</v>
      </c>
      <c r="D17" s="104">
        <v>0</v>
      </c>
      <c r="E17" s="103">
        <v>0</v>
      </c>
      <c r="F17" s="103">
        <v>1</v>
      </c>
      <c r="G17"/>
      <c r="H17"/>
    </row>
    <row r="18" spans="1:8" ht="15" customHeight="1" x14ac:dyDescent="0.15">
      <c r="A18">
        <v>17</v>
      </c>
      <c r="B18" s="171" t="s">
        <v>208</v>
      </c>
      <c r="C18" s="104">
        <v>1</v>
      </c>
      <c r="D18" s="104">
        <v>0</v>
      </c>
      <c r="E18" s="103">
        <v>0</v>
      </c>
      <c r="F18" s="103">
        <v>1</v>
      </c>
      <c r="G18"/>
      <c r="H18"/>
    </row>
    <row r="19" spans="1:8" ht="15" customHeight="1" x14ac:dyDescent="0.15">
      <c r="A19">
        <v>18</v>
      </c>
      <c r="B19" s="171" t="s">
        <v>209</v>
      </c>
      <c r="C19" s="104">
        <v>1</v>
      </c>
      <c r="D19" s="104">
        <v>0</v>
      </c>
      <c r="E19" s="103">
        <v>0</v>
      </c>
      <c r="F19" s="103">
        <v>1</v>
      </c>
      <c r="G19"/>
      <c r="H19"/>
    </row>
    <row r="20" spans="1:8" ht="15" customHeight="1" x14ac:dyDescent="0.15">
      <c r="A20">
        <v>19</v>
      </c>
      <c r="B20" s="171" t="s">
        <v>210</v>
      </c>
      <c r="C20" s="104">
        <v>1</v>
      </c>
      <c r="D20" s="104">
        <v>0</v>
      </c>
      <c r="E20" s="103">
        <v>0</v>
      </c>
      <c r="F20" s="103">
        <v>1</v>
      </c>
      <c r="G20"/>
      <c r="H20"/>
    </row>
    <row r="21" spans="1:8" ht="15" customHeight="1" x14ac:dyDescent="0.15">
      <c r="A21">
        <v>20</v>
      </c>
      <c r="B21" s="171" t="s">
        <v>211</v>
      </c>
      <c r="C21" s="104">
        <v>1</v>
      </c>
      <c r="D21" s="104">
        <v>0</v>
      </c>
      <c r="E21" s="103">
        <v>0</v>
      </c>
      <c r="F21" s="103">
        <v>1</v>
      </c>
      <c r="G21"/>
      <c r="H21"/>
    </row>
    <row r="22" spans="1:8" ht="15" customHeight="1" x14ac:dyDescent="0.15">
      <c r="A22">
        <v>21</v>
      </c>
      <c r="B22" s="171" t="s">
        <v>212</v>
      </c>
      <c r="C22" s="104">
        <v>1</v>
      </c>
      <c r="D22" s="104">
        <v>0</v>
      </c>
      <c r="E22" s="103">
        <v>0</v>
      </c>
      <c r="F22" s="103">
        <v>1</v>
      </c>
      <c r="G22"/>
      <c r="H22"/>
    </row>
    <row r="23" spans="1:8" ht="15" customHeight="1" x14ac:dyDescent="0.15">
      <c r="A23">
        <v>22</v>
      </c>
      <c r="B23" s="171" t="s">
        <v>213</v>
      </c>
      <c r="C23" s="104">
        <v>1</v>
      </c>
      <c r="D23" s="104">
        <v>0</v>
      </c>
      <c r="E23" s="103">
        <v>0</v>
      </c>
      <c r="F23" s="103">
        <v>1</v>
      </c>
      <c r="G23"/>
      <c r="H23"/>
    </row>
    <row r="24" spans="1:8" ht="15" customHeight="1" x14ac:dyDescent="0.15">
      <c r="A24">
        <v>23</v>
      </c>
      <c r="B24" s="171" t="s">
        <v>214</v>
      </c>
      <c r="C24" s="104">
        <v>1</v>
      </c>
      <c r="D24" s="104">
        <v>0</v>
      </c>
      <c r="E24" s="103">
        <v>0</v>
      </c>
      <c r="F24" s="103">
        <v>1</v>
      </c>
      <c r="G24"/>
      <c r="H24"/>
    </row>
    <row r="25" spans="1:8" ht="15" customHeight="1" x14ac:dyDescent="0.15">
      <c r="A25">
        <v>24</v>
      </c>
      <c r="B25" s="171" t="s">
        <v>215</v>
      </c>
      <c r="C25" s="104">
        <v>1</v>
      </c>
      <c r="D25" s="104">
        <v>0</v>
      </c>
      <c r="E25" s="103">
        <v>0</v>
      </c>
      <c r="F25" s="103">
        <v>1</v>
      </c>
      <c r="G25"/>
      <c r="H25"/>
    </row>
    <row r="26" spans="1:8" ht="15" customHeight="1" x14ac:dyDescent="0.15">
      <c r="A26">
        <v>25</v>
      </c>
      <c r="B26" s="171" t="s">
        <v>216</v>
      </c>
      <c r="C26" s="104">
        <v>1</v>
      </c>
      <c r="D26" s="104">
        <v>0</v>
      </c>
      <c r="E26" s="103">
        <v>0</v>
      </c>
      <c r="F26" s="103">
        <v>1</v>
      </c>
      <c r="G26"/>
      <c r="H26"/>
    </row>
    <row r="27" spans="1:8" ht="15" customHeight="1" x14ac:dyDescent="0.15">
      <c r="A27">
        <v>26</v>
      </c>
      <c r="B27" s="171" t="s">
        <v>217</v>
      </c>
      <c r="C27" s="104">
        <v>1</v>
      </c>
      <c r="D27" s="104">
        <v>0</v>
      </c>
      <c r="E27" s="103">
        <v>0</v>
      </c>
      <c r="F27" s="103">
        <v>1</v>
      </c>
      <c r="G27"/>
      <c r="H27"/>
    </row>
    <row r="28" spans="1:8" ht="15" customHeight="1" x14ac:dyDescent="0.15">
      <c r="A28">
        <v>27</v>
      </c>
      <c r="B28" s="171" t="s">
        <v>218</v>
      </c>
      <c r="C28" s="104">
        <v>1</v>
      </c>
      <c r="D28" s="104">
        <v>0</v>
      </c>
      <c r="E28" s="103">
        <v>0</v>
      </c>
      <c r="F28" s="103">
        <v>1</v>
      </c>
      <c r="G28"/>
      <c r="H28"/>
    </row>
    <row r="29" spans="1:8" ht="15" customHeight="1" x14ac:dyDescent="0.15">
      <c r="A29">
        <v>28</v>
      </c>
      <c r="B29" s="171" t="s">
        <v>219</v>
      </c>
      <c r="C29" s="104">
        <v>1</v>
      </c>
      <c r="D29" s="104">
        <v>0</v>
      </c>
      <c r="E29" s="103">
        <v>0</v>
      </c>
      <c r="F29" s="103">
        <v>1</v>
      </c>
      <c r="G29"/>
      <c r="H29"/>
    </row>
    <row r="30" spans="1:8" ht="15" customHeight="1" x14ac:dyDescent="0.15">
      <c r="A30">
        <v>29</v>
      </c>
      <c r="B30" s="171" t="s">
        <v>220</v>
      </c>
      <c r="C30" s="104">
        <v>1</v>
      </c>
      <c r="D30" s="104">
        <v>0</v>
      </c>
      <c r="E30" s="103">
        <v>0</v>
      </c>
      <c r="F30" s="103">
        <v>1</v>
      </c>
      <c r="G30"/>
      <c r="H30"/>
    </row>
    <row r="31" spans="1:8" ht="15" customHeight="1" x14ac:dyDescent="0.15">
      <c r="A31">
        <v>30</v>
      </c>
      <c r="B31" s="171" t="s">
        <v>221</v>
      </c>
      <c r="C31" s="104">
        <v>1</v>
      </c>
      <c r="D31" s="104">
        <v>0</v>
      </c>
      <c r="E31" s="103">
        <v>0</v>
      </c>
      <c r="F31" s="103">
        <v>1</v>
      </c>
      <c r="G31"/>
      <c r="H31"/>
    </row>
    <row r="32" spans="1:8" ht="15" customHeight="1" x14ac:dyDescent="0.15">
      <c r="A32">
        <v>31</v>
      </c>
      <c r="B32" s="171" t="s">
        <v>222</v>
      </c>
      <c r="C32" s="104">
        <v>1</v>
      </c>
      <c r="D32" s="104">
        <v>0</v>
      </c>
      <c r="E32" s="103">
        <v>0</v>
      </c>
      <c r="F32" s="103">
        <v>1</v>
      </c>
    </row>
    <row r="33" spans="1:8" ht="15" customHeight="1" x14ac:dyDescent="0.15">
      <c r="A33">
        <v>32</v>
      </c>
      <c r="B33" s="171" t="s">
        <v>223</v>
      </c>
      <c r="C33" s="104">
        <v>1</v>
      </c>
      <c r="D33" s="104">
        <v>0</v>
      </c>
      <c r="E33" s="103">
        <v>0</v>
      </c>
      <c r="F33" s="103">
        <v>1</v>
      </c>
    </row>
    <row r="34" spans="1:8" ht="15" customHeight="1" x14ac:dyDescent="0.15">
      <c r="A34">
        <v>33</v>
      </c>
      <c r="B34" s="171" t="s">
        <v>224</v>
      </c>
      <c r="C34" s="104">
        <v>0</v>
      </c>
      <c r="D34" s="104">
        <v>1</v>
      </c>
      <c r="E34" s="103">
        <v>0</v>
      </c>
      <c r="F34" s="103">
        <v>1</v>
      </c>
    </row>
    <row r="35" spans="1:8" ht="15" customHeight="1" x14ac:dyDescent="0.15">
      <c r="A35">
        <v>34</v>
      </c>
      <c r="B35" s="171" t="s">
        <v>225</v>
      </c>
      <c r="C35" s="104">
        <v>0</v>
      </c>
      <c r="D35" s="104">
        <v>0</v>
      </c>
      <c r="E35" s="103">
        <v>1</v>
      </c>
      <c r="F35" s="103">
        <v>1</v>
      </c>
    </row>
    <row r="36" spans="1:8" ht="15" customHeight="1" x14ac:dyDescent="0.15">
      <c r="A36">
        <v>35</v>
      </c>
      <c r="B36" s="171" t="s">
        <v>226</v>
      </c>
      <c r="C36" s="104">
        <v>0</v>
      </c>
      <c r="D36" s="104">
        <v>1</v>
      </c>
      <c r="E36" s="104">
        <v>0</v>
      </c>
      <c r="F36" s="104">
        <v>1</v>
      </c>
      <c r="G36"/>
      <c r="H36"/>
    </row>
    <row r="37" spans="1:8" ht="15" customHeight="1" x14ac:dyDescent="0.15">
      <c r="C37"/>
      <c r="D37"/>
      <c r="E37" s="104"/>
      <c r="F37" s="104"/>
      <c r="G37"/>
      <c r="H37"/>
    </row>
    <row r="38" spans="1:8" ht="15" customHeight="1" x14ac:dyDescent="0.15">
      <c r="C38"/>
      <c r="D38"/>
      <c r="E38" s="104"/>
      <c r="F38" s="104"/>
      <c r="G38"/>
      <c r="H38"/>
    </row>
    <row r="39" spans="1:8" ht="15" customHeight="1" x14ac:dyDescent="0.15">
      <c r="C39"/>
      <c r="D39"/>
      <c r="E39" s="104"/>
      <c r="F39" s="104"/>
      <c r="G39"/>
      <c r="H39"/>
    </row>
    <row r="40" spans="1:8" ht="15" customHeight="1" x14ac:dyDescent="0.15">
      <c r="C40"/>
      <c r="D40"/>
      <c r="E40" s="104"/>
      <c r="F40" s="104"/>
      <c r="G40"/>
      <c r="H40"/>
    </row>
    <row r="41" spans="1:8" ht="15" customHeight="1" x14ac:dyDescent="0.15">
      <c r="C41"/>
      <c r="D41"/>
      <c r="E41" s="104"/>
      <c r="F41" s="104"/>
      <c r="G41"/>
      <c r="H41"/>
    </row>
    <row r="42" spans="1:8" ht="15" customHeight="1" x14ac:dyDescent="0.15">
      <c r="C42"/>
      <c r="D42"/>
      <c r="E42" s="104"/>
      <c r="F42" s="104"/>
      <c r="G42"/>
      <c r="H42"/>
    </row>
    <row r="43" spans="1:8" ht="15" customHeight="1" x14ac:dyDescent="0.15">
      <c r="C43"/>
      <c r="D43"/>
      <c r="E43" s="104"/>
      <c r="F43" s="104"/>
      <c r="G43"/>
      <c r="H43"/>
    </row>
    <row r="44" spans="1:8" ht="15" customHeight="1" x14ac:dyDescent="0.15">
      <c r="C44"/>
      <c r="D44"/>
      <c r="G44"/>
      <c r="H44"/>
    </row>
    <row r="45" spans="1:8" ht="15" customHeight="1" x14ac:dyDescent="0.15">
      <c r="C45"/>
      <c r="D45"/>
      <c r="G45"/>
      <c r="H45"/>
    </row>
    <row r="46" spans="1:8" ht="15" customHeight="1" x14ac:dyDescent="0.15">
      <c r="C46"/>
      <c r="D46"/>
      <c r="E46" s="104"/>
      <c r="F46" s="104"/>
      <c r="G46"/>
      <c r="H46"/>
    </row>
    <row r="47" spans="1:8" ht="15" customHeight="1" x14ac:dyDescent="0.15">
      <c r="C47"/>
      <c r="D47"/>
      <c r="G47"/>
      <c r="H47"/>
    </row>
    <row r="48" spans="1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E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1.6640625" bestFit="1" customWidth="1"/>
    <col min="3" max="4" width="6.83203125" bestFit="1" customWidth="1"/>
    <col min="5" max="5" width="12.1640625" bestFit="1" customWidth="1"/>
  </cols>
  <sheetData>
    <row r="1" spans="1:5" s="105" customFormat="1" ht="112" x14ac:dyDescent="0.15">
      <c r="A1" s="5" t="s">
        <v>21</v>
      </c>
      <c r="B1" s="3" t="s">
        <v>0</v>
      </c>
      <c r="C1" s="174" t="s">
        <v>226</v>
      </c>
      <c r="D1" s="174" t="s">
        <v>230</v>
      </c>
      <c r="E1"/>
    </row>
    <row r="2" spans="1:5" ht="15" customHeight="1" x14ac:dyDescent="0.15">
      <c r="A2">
        <v>1</v>
      </c>
      <c r="B2" s="173" t="s">
        <v>192</v>
      </c>
      <c r="C2">
        <v>0</v>
      </c>
      <c r="D2">
        <v>0</v>
      </c>
    </row>
    <row r="3" spans="1:5" ht="15" customHeight="1" x14ac:dyDescent="0.15">
      <c r="A3">
        <v>2</v>
      </c>
      <c r="B3" s="173" t="s">
        <v>193</v>
      </c>
      <c r="C3">
        <v>0</v>
      </c>
      <c r="D3">
        <v>0</v>
      </c>
    </row>
    <row r="4" spans="1:5" ht="15" customHeight="1" x14ac:dyDescent="0.15">
      <c r="A4">
        <v>3</v>
      </c>
      <c r="B4" s="173" t="s">
        <v>194</v>
      </c>
      <c r="C4">
        <v>0</v>
      </c>
      <c r="D4">
        <v>0</v>
      </c>
    </row>
    <row r="5" spans="1:5" ht="15" customHeight="1" x14ac:dyDescent="0.15">
      <c r="A5">
        <v>4</v>
      </c>
      <c r="B5" s="173" t="s">
        <v>195</v>
      </c>
      <c r="C5">
        <v>0</v>
      </c>
      <c r="D5">
        <v>0</v>
      </c>
    </row>
    <row r="6" spans="1:5" ht="15" customHeight="1" x14ac:dyDescent="0.15">
      <c r="A6">
        <v>5</v>
      </c>
      <c r="B6" s="173" t="s">
        <v>196</v>
      </c>
      <c r="C6">
        <v>0</v>
      </c>
      <c r="D6">
        <v>0</v>
      </c>
    </row>
    <row r="7" spans="1:5" ht="15" customHeight="1" x14ac:dyDescent="0.15">
      <c r="A7">
        <v>6</v>
      </c>
      <c r="B7" s="173" t="s">
        <v>197</v>
      </c>
      <c r="C7">
        <v>0</v>
      </c>
      <c r="D7">
        <v>0</v>
      </c>
    </row>
    <row r="8" spans="1:5" ht="15" customHeight="1" x14ac:dyDescent="0.15">
      <c r="A8">
        <v>7</v>
      </c>
      <c r="B8" s="173" t="s">
        <v>198</v>
      </c>
      <c r="C8">
        <v>0</v>
      </c>
      <c r="D8">
        <v>0</v>
      </c>
    </row>
    <row r="9" spans="1:5" ht="15" customHeight="1" x14ac:dyDescent="0.15">
      <c r="A9">
        <v>8</v>
      </c>
      <c r="B9" s="173" t="s">
        <v>199</v>
      </c>
      <c r="C9">
        <v>3.3340000000000001</v>
      </c>
      <c r="D9">
        <v>3.3340000000000001</v>
      </c>
    </row>
    <row r="10" spans="1:5" ht="15" customHeight="1" x14ac:dyDescent="0.15">
      <c r="A10">
        <v>9</v>
      </c>
      <c r="B10" s="173" t="s">
        <v>200</v>
      </c>
      <c r="C10">
        <v>14.477</v>
      </c>
      <c r="D10">
        <v>14.477</v>
      </c>
    </row>
    <row r="11" spans="1:5" ht="15" customHeight="1" x14ac:dyDescent="0.15">
      <c r="A11">
        <v>10</v>
      </c>
      <c r="B11" s="173" t="s">
        <v>201</v>
      </c>
      <c r="C11">
        <v>0</v>
      </c>
      <c r="D11">
        <v>0</v>
      </c>
    </row>
    <row r="12" spans="1:5" ht="15" customHeight="1" x14ac:dyDescent="0.15">
      <c r="A12">
        <v>11</v>
      </c>
      <c r="B12" s="173" t="s">
        <v>202</v>
      </c>
      <c r="C12">
        <v>1.4E-2</v>
      </c>
      <c r="D12">
        <v>1.4E-2</v>
      </c>
    </row>
    <row r="13" spans="1:5" ht="15" customHeight="1" x14ac:dyDescent="0.15">
      <c r="A13">
        <v>12</v>
      </c>
      <c r="B13" s="173" t="s">
        <v>203</v>
      </c>
      <c r="C13">
        <v>1.2E-2</v>
      </c>
      <c r="D13">
        <v>1.2E-2</v>
      </c>
    </row>
    <row r="14" spans="1:5" ht="15" customHeight="1" x14ac:dyDescent="0.15">
      <c r="A14">
        <v>13</v>
      </c>
      <c r="B14" s="173" t="s">
        <v>204</v>
      </c>
      <c r="C14">
        <v>2.3570000000000002</v>
      </c>
      <c r="D14">
        <v>2.3570000000000002</v>
      </c>
    </row>
    <row r="15" spans="1:5" ht="15" customHeight="1" x14ac:dyDescent="0.15">
      <c r="A15">
        <v>14</v>
      </c>
      <c r="B15" s="173" t="s">
        <v>205</v>
      </c>
      <c r="C15">
        <v>1.9370000000000001</v>
      </c>
      <c r="D15">
        <v>1.9370000000000001</v>
      </c>
    </row>
    <row r="16" spans="1:5" ht="15" customHeight="1" x14ac:dyDescent="0.15">
      <c r="A16">
        <v>15</v>
      </c>
      <c r="B16" s="173" t="s">
        <v>206</v>
      </c>
      <c r="C16">
        <v>1.345</v>
      </c>
      <c r="D16">
        <v>1.345</v>
      </c>
    </row>
    <row r="17" spans="1:4" ht="15" customHeight="1" x14ac:dyDescent="0.15">
      <c r="A17">
        <v>16</v>
      </c>
      <c r="B17" s="173" t="s">
        <v>207</v>
      </c>
      <c r="C17">
        <v>0.35099999999999998</v>
      </c>
      <c r="D17">
        <v>0.35099999999999998</v>
      </c>
    </row>
    <row r="18" spans="1:4" ht="15" customHeight="1" x14ac:dyDescent="0.15">
      <c r="A18">
        <v>17</v>
      </c>
      <c r="B18" s="173" t="s">
        <v>208</v>
      </c>
      <c r="C18">
        <v>0.55600000000000005</v>
      </c>
      <c r="D18">
        <v>0.55600000000000005</v>
      </c>
    </row>
    <row r="19" spans="1:4" ht="15" customHeight="1" x14ac:dyDescent="0.15">
      <c r="A19">
        <v>18</v>
      </c>
      <c r="B19" s="173" t="s">
        <v>209</v>
      </c>
      <c r="C19">
        <v>0.107</v>
      </c>
      <c r="D19">
        <v>0.107</v>
      </c>
    </row>
    <row r="20" spans="1:4" ht="15" customHeight="1" x14ac:dyDescent="0.15">
      <c r="A20">
        <v>19</v>
      </c>
      <c r="B20" s="173" t="s">
        <v>210</v>
      </c>
      <c r="C20">
        <v>1.2E-2</v>
      </c>
      <c r="D20">
        <v>1.2E-2</v>
      </c>
    </row>
    <row r="21" spans="1:4" ht="15" customHeight="1" x14ac:dyDescent="0.15">
      <c r="A21">
        <v>20</v>
      </c>
      <c r="B21" s="173" t="s">
        <v>211</v>
      </c>
      <c r="C21">
        <v>1E-3</v>
      </c>
      <c r="D21">
        <v>1E-3</v>
      </c>
    </row>
    <row r="22" spans="1:4" ht="15" customHeight="1" x14ac:dyDescent="0.15">
      <c r="A22">
        <v>21</v>
      </c>
      <c r="B22" s="173" t="s">
        <v>212</v>
      </c>
      <c r="C22">
        <v>1.6E-2</v>
      </c>
      <c r="D22">
        <v>1.6E-2</v>
      </c>
    </row>
    <row r="23" spans="1:4" ht="15" customHeight="1" x14ac:dyDescent="0.15">
      <c r="A23">
        <v>22</v>
      </c>
      <c r="B23" s="173" t="s">
        <v>213</v>
      </c>
      <c r="C23">
        <v>4.2000000000000003E-2</v>
      </c>
      <c r="D23">
        <v>4.2000000000000003E-2</v>
      </c>
    </row>
    <row r="24" spans="1:4" ht="15" customHeight="1" x14ac:dyDescent="0.15">
      <c r="A24">
        <v>23</v>
      </c>
      <c r="B24" s="173" t="s">
        <v>214</v>
      </c>
      <c r="C24">
        <v>0</v>
      </c>
      <c r="D24">
        <v>0</v>
      </c>
    </row>
    <row r="25" spans="1:4" ht="15" customHeight="1" x14ac:dyDescent="0.15">
      <c r="A25">
        <v>24</v>
      </c>
      <c r="B25" s="173" t="s">
        <v>215</v>
      </c>
      <c r="C25">
        <v>0</v>
      </c>
      <c r="D25">
        <v>0</v>
      </c>
    </row>
    <row r="26" spans="1:4" ht="15" customHeight="1" x14ac:dyDescent="0.15">
      <c r="A26">
        <v>25</v>
      </c>
      <c r="B26" s="173" t="s">
        <v>216</v>
      </c>
      <c r="C26">
        <v>0.14399999999999999</v>
      </c>
      <c r="D26">
        <v>0.14399999999999999</v>
      </c>
    </row>
    <row r="27" spans="1:4" ht="15" customHeight="1" x14ac:dyDescent="0.15">
      <c r="A27">
        <v>26</v>
      </c>
      <c r="B27" s="173" t="s">
        <v>217</v>
      </c>
      <c r="C27">
        <v>4.2999999999999997E-2</v>
      </c>
      <c r="D27">
        <v>4.2999999999999997E-2</v>
      </c>
    </row>
    <row r="28" spans="1:4" ht="15" customHeight="1" x14ac:dyDescent="0.15">
      <c r="A28">
        <v>27</v>
      </c>
      <c r="B28" s="173" t="s">
        <v>218</v>
      </c>
      <c r="C28">
        <v>0</v>
      </c>
      <c r="D28">
        <v>0</v>
      </c>
    </row>
    <row r="29" spans="1:4" ht="15" customHeight="1" x14ac:dyDescent="0.15">
      <c r="A29">
        <v>28</v>
      </c>
      <c r="B29" s="173" t="s">
        <v>219</v>
      </c>
      <c r="C29">
        <v>0.54400000000000004</v>
      </c>
      <c r="D29">
        <v>0.54400000000000004</v>
      </c>
    </row>
    <row r="30" spans="1:4" ht="15" customHeight="1" x14ac:dyDescent="0.15">
      <c r="A30">
        <v>29</v>
      </c>
      <c r="B30" s="173" t="s">
        <v>220</v>
      </c>
      <c r="C30">
        <v>1.9E-2</v>
      </c>
      <c r="D30">
        <v>1.9E-2</v>
      </c>
    </row>
    <row r="31" spans="1:4" ht="15" customHeight="1" x14ac:dyDescent="0.15">
      <c r="A31">
        <v>30</v>
      </c>
      <c r="B31" s="173" t="s">
        <v>221</v>
      </c>
      <c r="C31">
        <v>0</v>
      </c>
      <c r="D31">
        <v>0</v>
      </c>
    </row>
    <row r="32" spans="1:4" ht="15" customHeight="1" x14ac:dyDescent="0.15">
      <c r="A32">
        <v>31</v>
      </c>
      <c r="B32" s="173" t="s">
        <v>222</v>
      </c>
      <c r="C32">
        <v>0</v>
      </c>
      <c r="D32">
        <v>0</v>
      </c>
    </row>
    <row r="33" spans="1:4" ht="15" customHeight="1" x14ac:dyDescent="0.15">
      <c r="A33">
        <v>32</v>
      </c>
      <c r="B33" s="173" t="s">
        <v>223</v>
      </c>
      <c r="C33">
        <v>0</v>
      </c>
      <c r="D33">
        <v>0</v>
      </c>
    </row>
    <row r="34" spans="1:4" ht="15" customHeight="1" x14ac:dyDescent="0.15">
      <c r="A34">
        <v>33</v>
      </c>
      <c r="B34" s="173" t="s">
        <v>224</v>
      </c>
      <c r="C34">
        <v>0</v>
      </c>
      <c r="D34">
        <v>0</v>
      </c>
    </row>
    <row r="35" spans="1:4" ht="15" customHeight="1" x14ac:dyDescent="0.15">
      <c r="A35">
        <v>34</v>
      </c>
      <c r="B35" s="173" t="s">
        <v>225</v>
      </c>
      <c r="C35">
        <v>0</v>
      </c>
      <c r="D35">
        <v>0</v>
      </c>
    </row>
    <row r="36" spans="1:4" ht="15" customHeight="1" x14ac:dyDescent="0.15"/>
    <row r="37" spans="1:4" ht="15" customHeight="1" x14ac:dyDescent="0.15"/>
    <row r="38" spans="1:4" ht="15" customHeight="1" x14ac:dyDescent="0.15"/>
    <row r="39" spans="1:4" ht="15" customHeight="1" x14ac:dyDescent="0.15"/>
    <row r="40" spans="1:4" ht="15" customHeight="1" x14ac:dyDescent="0.15"/>
    <row r="41" spans="1:4" ht="15" customHeight="1" x14ac:dyDescent="0.15"/>
    <row r="42" spans="1:4" ht="15" customHeight="1" x14ac:dyDescent="0.15"/>
    <row r="43" spans="1:4" ht="15" customHeight="1" x14ac:dyDescent="0.15"/>
    <row r="44" spans="1:4" ht="15" customHeight="1" x14ac:dyDescent="0.15"/>
    <row r="45" spans="1:4" ht="15" customHeight="1" x14ac:dyDescent="0.15"/>
    <row r="46" spans="1:4" ht="15" customHeight="1" x14ac:dyDescent="0.15"/>
    <row r="47" spans="1:4" ht="15" customHeight="1" x14ac:dyDescent="0.15"/>
    <row r="48" spans="1:4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D35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1.6640625" bestFit="1" customWidth="1"/>
    <col min="3" max="4" width="2.33203125" bestFit="1" customWidth="1"/>
    <col min="5" max="5" width="12.1640625" bestFit="1" customWidth="1"/>
  </cols>
  <sheetData>
    <row r="1" spans="1:4" s="105" customFormat="1" ht="112" x14ac:dyDescent="0.15">
      <c r="A1" s="5" t="s">
        <v>22</v>
      </c>
      <c r="B1" s="3" t="s">
        <v>0</v>
      </c>
      <c r="C1" s="176" t="s">
        <v>226</v>
      </c>
      <c r="D1" s="176" t="s">
        <v>230</v>
      </c>
    </row>
    <row r="2" spans="1:4" x14ac:dyDescent="0.15">
      <c r="A2">
        <v>1</v>
      </c>
      <c r="B2" s="175" t="s">
        <v>192</v>
      </c>
      <c r="C2">
        <v>0</v>
      </c>
      <c r="D2">
        <v>0</v>
      </c>
    </row>
    <row r="3" spans="1:4" x14ac:dyDescent="0.15">
      <c r="A3">
        <v>2</v>
      </c>
      <c r="B3" s="175" t="s">
        <v>193</v>
      </c>
      <c r="C3">
        <v>0</v>
      </c>
      <c r="D3">
        <v>0</v>
      </c>
    </row>
    <row r="4" spans="1:4" x14ac:dyDescent="0.15">
      <c r="A4">
        <v>3</v>
      </c>
      <c r="B4" s="175" t="s">
        <v>194</v>
      </c>
      <c r="C4">
        <v>0</v>
      </c>
      <c r="D4">
        <v>0</v>
      </c>
    </row>
    <row r="5" spans="1:4" x14ac:dyDescent="0.15">
      <c r="A5">
        <v>4</v>
      </c>
      <c r="B5" s="175" t="s">
        <v>195</v>
      </c>
      <c r="C5">
        <v>0</v>
      </c>
      <c r="D5">
        <v>0</v>
      </c>
    </row>
    <row r="6" spans="1:4" x14ac:dyDescent="0.15">
      <c r="A6">
        <v>5</v>
      </c>
      <c r="B6" s="175" t="s">
        <v>196</v>
      </c>
      <c r="C6">
        <v>0</v>
      </c>
      <c r="D6">
        <v>0</v>
      </c>
    </row>
    <row r="7" spans="1:4" x14ac:dyDescent="0.15">
      <c r="A7">
        <v>6</v>
      </c>
      <c r="B7" s="175" t="s">
        <v>197</v>
      </c>
      <c r="C7">
        <v>0</v>
      </c>
      <c r="D7">
        <v>0</v>
      </c>
    </row>
    <row r="8" spans="1:4" x14ac:dyDescent="0.15">
      <c r="A8">
        <v>7</v>
      </c>
      <c r="B8" s="175" t="s">
        <v>198</v>
      </c>
      <c r="C8">
        <v>0</v>
      </c>
      <c r="D8">
        <v>0</v>
      </c>
    </row>
    <row r="9" spans="1:4" x14ac:dyDescent="0.15">
      <c r="A9">
        <v>8</v>
      </c>
      <c r="B9" s="175" t="s">
        <v>199</v>
      </c>
      <c r="C9">
        <v>0</v>
      </c>
      <c r="D9">
        <v>0</v>
      </c>
    </row>
    <row r="10" spans="1:4" x14ac:dyDescent="0.15">
      <c r="A10">
        <v>9</v>
      </c>
      <c r="B10" s="175" t="s">
        <v>200</v>
      </c>
      <c r="C10">
        <v>0</v>
      </c>
      <c r="D10">
        <v>0</v>
      </c>
    </row>
    <row r="11" spans="1:4" x14ac:dyDescent="0.15">
      <c r="A11">
        <v>10</v>
      </c>
      <c r="B11" s="175" t="s">
        <v>201</v>
      </c>
      <c r="C11">
        <v>0</v>
      </c>
      <c r="D11">
        <v>0</v>
      </c>
    </row>
    <row r="12" spans="1:4" x14ac:dyDescent="0.15">
      <c r="A12">
        <v>11</v>
      </c>
      <c r="B12" s="175" t="s">
        <v>202</v>
      </c>
      <c r="C12">
        <v>0</v>
      </c>
      <c r="D12">
        <v>0</v>
      </c>
    </row>
    <row r="13" spans="1:4" x14ac:dyDescent="0.15">
      <c r="A13">
        <v>12</v>
      </c>
      <c r="B13" s="175" t="s">
        <v>203</v>
      </c>
      <c r="C13">
        <v>0</v>
      </c>
      <c r="D13">
        <v>0</v>
      </c>
    </row>
    <row r="14" spans="1:4" x14ac:dyDescent="0.15">
      <c r="A14">
        <v>13</v>
      </c>
      <c r="B14" s="175" t="s">
        <v>204</v>
      </c>
      <c r="C14">
        <v>0</v>
      </c>
      <c r="D14">
        <v>0</v>
      </c>
    </row>
    <row r="15" spans="1:4" x14ac:dyDescent="0.15">
      <c r="A15">
        <v>14</v>
      </c>
      <c r="B15" s="175" t="s">
        <v>205</v>
      </c>
      <c r="C15">
        <v>0</v>
      </c>
      <c r="D15">
        <v>0</v>
      </c>
    </row>
    <row r="16" spans="1:4" x14ac:dyDescent="0.15">
      <c r="A16">
        <v>15</v>
      </c>
      <c r="B16" s="175" t="s">
        <v>206</v>
      </c>
      <c r="C16">
        <v>0</v>
      </c>
      <c r="D16">
        <v>0</v>
      </c>
    </row>
    <row r="17" spans="1:4" x14ac:dyDescent="0.15">
      <c r="A17">
        <v>16</v>
      </c>
      <c r="B17" s="175" t="s">
        <v>207</v>
      </c>
      <c r="C17">
        <v>0</v>
      </c>
      <c r="D17">
        <v>0</v>
      </c>
    </row>
    <row r="18" spans="1:4" x14ac:dyDescent="0.15">
      <c r="A18">
        <v>17</v>
      </c>
      <c r="B18" s="175" t="s">
        <v>208</v>
      </c>
      <c r="C18">
        <v>0</v>
      </c>
      <c r="D18">
        <v>0</v>
      </c>
    </row>
    <row r="19" spans="1:4" x14ac:dyDescent="0.15">
      <c r="A19">
        <v>18</v>
      </c>
      <c r="B19" s="175" t="s">
        <v>209</v>
      </c>
      <c r="C19">
        <v>0</v>
      </c>
      <c r="D19">
        <v>0</v>
      </c>
    </row>
    <row r="20" spans="1:4" x14ac:dyDescent="0.15">
      <c r="A20">
        <v>19</v>
      </c>
      <c r="B20" s="175" t="s">
        <v>210</v>
      </c>
      <c r="C20">
        <v>0</v>
      </c>
      <c r="D20">
        <v>0</v>
      </c>
    </row>
    <row r="21" spans="1:4" x14ac:dyDescent="0.15">
      <c r="A21">
        <v>20</v>
      </c>
      <c r="B21" s="175" t="s">
        <v>211</v>
      </c>
      <c r="C21">
        <v>0</v>
      </c>
      <c r="D21">
        <v>0</v>
      </c>
    </row>
    <row r="22" spans="1:4" x14ac:dyDescent="0.15">
      <c r="A22">
        <v>21</v>
      </c>
      <c r="B22" s="175" t="s">
        <v>212</v>
      </c>
      <c r="C22">
        <v>0</v>
      </c>
      <c r="D22">
        <v>0</v>
      </c>
    </row>
    <row r="23" spans="1:4" x14ac:dyDescent="0.15">
      <c r="A23">
        <v>22</v>
      </c>
      <c r="B23" s="175" t="s">
        <v>213</v>
      </c>
      <c r="C23">
        <v>0</v>
      </c>
      <c r="D23">
        <v>0</v>
      </c>
    </row>
    <row r="24" spans="1:4" x14ac:dyDescent="0.15">
      <c r="A24">
        <v>23</v>
      </c>
      <c r="B24" s="175" t="s">
        <v>214</v>
      </c>
      <c r="C24">
        <v>0</v>
      </c>
      <c r="D24">
        <v>0</v>
      </c>
    </row>
    <row r="25" spans="1:4" x14ac:dyDescent="0.15">
      <c r="A25">
        <v>24</v>
      </c>
      <c r="B25" s="175" t="s">
        <v>215</v>
      </c>
      <c r="C25">
        <v>0</v>
      </c>
      <c r="D25">
        <v>0</v>
      </c>
    </row>
    <row r="26" spans="1:4" x14ac:dyDescent="0.15">
      <c r="A26">
        <v>25</v>
      </c>
      <c r="B26" s="175" t="s">
        <v>216</v>
      </c>
      <c r="C26">
        <v>0</v>
      </c>
      <c r="D26">
        <v>0</v>
      </c>
    </row>
    <row r="27" spans="1:4" x14ac:dyDescent="0.15">
      <c r="A27">
        <v>26</v>
      </c>
      <c r="B27" s="175" t="s">
        <v>217</v>
      </c>
      <c r="C27">
        <v>0</v>
      </c>
      <c r="D27">
        <v>0</v>
      </c>
    </row>
    <row r="28" spans="1:4" x14ac:dyDescent="0.15">
      <c r="A28">
        <v>27</v>
      </c>
      <c r="B28" s="175" t="s">
        <v>218</v>
      </c>
      <c r="C28">
        <v>0</v>
      </c>
      <c r="D28">
        <v>0</v>
      </c>
    </row>
    <row r="29" spans="1:4" x14ac:dyDescent="0.15">
      <c r="A29">
        <v>28</v>
      </c>
      <c r="B29" s="175" t="s">
        <v>219</v>
      </c>
      <c r="C29">
        <v>0</v>
      </c>
      <c r="D29">
        <v>0</v>
      </c>
    </row>
    <row r="30" spans="1:4" x14ac:dyDescent="0.15">
      <c r="A30">
        <v>29</v>
      </c>
      <c r="B30" s="175" t="s">
        <v>220</v>
      </c>
      <c r="C30">
        <v>0</v>
      </c>
      <c r="D30">
        <v>0</v>
      </c>
    </row>
    <row r="31" spans="1:4" x14ac:dyDescent="0.15">
      <c r="A31">
        <v>30</v>
      </c>
      <c r="B31" s="175" t="s">
        <v>221</v>
      </c>
      <c r="C31">
        <v>0</v>
      </c>
      <c r="D31">
        <v>0</v>
      </c>
    </row>
    <row r="32" spans="1:4" x14ac:dyDescent="0.15">
      <c r="A32">
        <v>31</v>
      </c>
      <c r="B32" s="175" t="s">
        <v>222</v>
      </c>
      <c r="C32">
        <v>0</v>
      </c>
      <c r="D32">
        <v>0</v>
      </c>
    </row>
    <row r="33" spans="1:4" x14ac:dyDescent="0.15">
      <c r="A33">
        <v>32</v>
      </c>
      <c r="B33" s="175" t="s">
        <v>223</v>
      </c>
      <c r="C33">
        <v>0</v>
      </c>
      <c r="D33">
        <v>0</v>
      </c>
    </row>
    <row r="34" spans="1:4" x14ac:dyDescent="0.15">
      <c r="A34">
        <v>33</v>
      </c>
      <c r="B34" s="175" t="s">
        <v>224</v>
      </c>
      <c r="C34">
        <v>0</v>
      </c>
      <c r="D34">
        <v>0</v>
      </c>
    </row>
    <row r="35" spans="1:4" x14ac:dyDescent="0.15">
      <c r="A35">
        <v>34</v>
      </c>
      <c r="B35" s="175" t="s">
        <v>225</v>
      </c>
      <c r="C35">
        <v>0</v>
      </c>
      <c r="D35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21.6640625" bestFit="1" customWidth="1"/>
    <col min="6" max="6" width="4.83203125" bestFit="1" customWidth="1"/>
    <col min="7" max="9" width="3.83203125" bestFit="1" customWidth="1"/>
    <col min="10" max="11" width="4.83203125" style="104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06" customFormat="1" ht="14" thickBot="1" x14ac:dyDescent="0.2">
      <c r="D1" s="107" t="s">
        <v>8</v>
      </c>
      <c r="E1" s="107" t="s">
        <v>0</v>
      </c>
      <c r="F1" s="108" t="s">
        <v>99</v>
      </c>
      <c r="G1" s="109" t="s">
        <v>84</v>
      </c>
      <c r="H1" s="109" t="s">
        <v>85</v>
      </c>
      <c r="I1" s="109" t="s">
        <v>86</v>
      </c>
      <c r="J1" s="109" t="s">
        <v>87</v>
      </c>
      <c r="K1" s="109" t="s">
        <v>88</v>
      </c>
      <c r="L1" s="110" t="s">
        <v>89</v>
      </c>
      <c r="M1" s="110" t="s">
        <v>93</v>
      </c>
      <c r="N1" s="110" t="s">
        <v>92</v>
      </c>
      <c r="O1" s="110" t="s">
        <v>90</v>
      </c>
      <c r="P1" s="110" t="s">
        <v>91</v>
      </c>
      <c r="Q1" s="111" t="s">
        <v>94</v>
      </c>
      <c r="R1" s="111" t="s">
        <v>95</v>
      </c>
      <c r="S1" s="111" t="s">
        <v>96</v>
      </c>
      <c r="T1" s="111" t="s">
        <v>97</v>
      </c>
      <c r="U1" s="111" t="s">
        <v>98</v>
      </c>
      <c r="V1" s="109" t="s">
        <v>100</v>
      </c>
      <c r="W1" s="109" t="s">
        <v>101</v>
      </c>
      <c r="X1" s="109" t="s">
        <v>102</v>
      </c>
      <c r="Y1" s="109" t="s">
        <v>134</v>
      </c>
      <c r="Z1" s="110" t="s">
        <v>103</v>
      </c>
      <c r="AA1" s="110" t="s">
        <v>104</v>
      </c>
      <c r="AB1" s="110" t="s">
        <v>105</v>
      </c>
      <c r="AC1" s="112" t="s">
        <v>135</v>
      </c>
      <c r="AD1" s="111" t="s">
        <v>106</v>
      </c>
      <c r="AE1" s="111" t="s">
        <v>107</v>
      </c>
      <c r="AF1" s="111" t="s">
        <v>108</v>
      </c>
      <c r="AG1" s="111" t="s">
        <v>136</v>
      </c>
      <c r="AH1" s="109" t="s">
        <v>109</v>
      </c>
      <c r="AI1" s="109" t="s">
        <v>111</v>
      </c>
      <c r="AJ1" s="109" t="s">
        <v>110</v>
      </c>
      <c r="AK1" s="110" t="s">
        <v>115</v>
      </c>
      <c r="AL1" s="110" t="s">
        <v>116</v>
      </c>
      <c r="AM1" s="110" t="s">
        <v>117</v>
      </c>
      <c r="AN1" s="111" t="s">
        <v>112</v>
      </c>
      <c r="AO1" s="111" t="s">
        <v>113</v>
      </c>
      <c r="AP1" s="111" t="s">
        <v>114</v>
      </c>
    </row>
    <row r="2" spans="1:42" x14ac:dyDescent="0.15">
      <c r="A2" s="113" t="s">
        <v>74</v>
      </c>
      <c r="B2" s="114">
        <v>1</v>
      </c>
      <c r="D2">
        <v>1</v>
      </c>
      <c r="E2" s="177" t="s">
        <v>192</v>
      </c>
      <c r="F2">
        <v>0.98</v>
      </c>
      <c r="G2">
        <v>0.8</v>
      </c>
      <c r="H2">
        <v>0.8</v>
      </c>
      <c r="I2">
        <v>0</v>
      </c>
      <c r="J2" s="104">
        <v>0</v>
      </c>
      <c r="K2" s="104">
        <v>0</v>
      </c>
    </row>
    <row r="3" spans="1:42" x14ac:dyDescent="0.15">
      <c r="A3" s="113" t="s">
        <v>75</v>
      </c>
      <c r="B3" s="115">
        <v>1</v>
      </c>
      <c r="D3">
        <v>2</v>
      </c>
      <c r="E3" s="177" t="s">
        <v>193</v>
      </c>
      <c r="F3">
        <v>0.98</v>
      </c>
      <c r="G3">
        <v>0.8</v>
      </c>
      <c r="H3">
        <v>0.8</v>
      </c>
      <c r="I3">
        <v>0</v>
      </c>
      <c r="J3" s="104">
        <v>0</v>
      </c>
      <c r="K3" s="104">
        <v>0</v>
      </c>
    </row>
    <row r="4" spans="1:42" x14ac:dyDescent="0.15">
      <c r="A4" s="113" t="s">
        <v>76</v>
      </c>
      <c r="B4" s="115">
        <v>1</v>
      </c>
      <c r="D4">
        <v>3</v>
      </c>
      <c r="E4" s="177" t="s">
        <v>194</v>
      </c>
      <c r="F4">
        <v>0.98</v>
      </c>
      <c r="G4">
        <v>0.8</v>
      </c>
      <c r="H4">
        <v>0.8</v>
      </c>
      <c r="I4">
        <v>0.8</v>
      </c>
      <c r="J4" s="104">
        <v>0.25</v>
      </c>
      <c r="K4" s="104">
        <v>0.05</v>
      </c>
    </row>
    <row r="5" spans="1:42" x14ac:dyDescent="0.15">
      <c r="A5" s="113" t="s">
        <v>77</v>
      </c>
      <c r="B5" s="115">
        <v>1</v>
      </c>
      <c r="D5">
        <v>4</v>
      </c>
      <c r="E5" s="177" t="s">
        <v>195</v>
      </c>
      <c r="F5">
        <v>0.98</v>
      </c>
      <c r="G5">
        <v>0.8</v>
      </c>
      <c r="H5">
        <v>0.8</v>
      </c>
      <c r="I5">
        <v>0.8</v>
      </c>
      <c r="J5" s="104">
        <v>0.25</v>
      </c>
      <c r="K5" s="104">
        <v>0.05</v>
      </c>
    </row>
    <row r="6" spans="1:42" x14ac:dyDescent="0.15">
      <c r="A6" s="113" t="s">
        <v>78</v>
      </c>
      <c r="B6" s="115">
        <v>1</v>
      </c>
      <c r="D6">
        <v>5</v>
      </c>
      <c r="E6" s="177" t="s">
        <v>196</v>
      </c>
      <c r="F6">
        <v>0.98</v>
      </c>
      <c r="G6">
        <v>0.8</v>
      </c>
      <c r="H6">
        <v>0.8</v>
      </c>
      <c r="I6">
        <v>0.8</v>
      </c>
      <c r="J6" s="104">
        <v>0.25</v>
      </c>
      <c r="K6" s="104">
        <v>0.05</v>
      </c>
    </row>
    <row r="7" spans="1:42" x14ac:dyDescent="0.15">
      <c r="A7" s="113" t="s">
        <v>79</v>
      </c>
      <c r="B7" s="115">
        <v>1</v>
      </c>
      <c r="D7">
        <v>6</v>
      </c>
      <c r="E7" s="177" t="s">
        <v>197</v>
      </c>
      <c r="F7">
        <v>0.98</v>
      </c>
      <c r="G7">
        <v>0.8</v>
      </c>
      <c r="H7">
        <v>0.8</v>
      </c>
      <c r="I7">
        <v>0.8</v>
      </c>
      <c r="J7" s="104">
        <v>0.25</v>
      </c>
      <c r="K7" s="104">
        <v>0.05</v>
      </c>
    </row>
    <row r="8" spans="1:42" x14ac:dyDescent="0.15">
      <c r="A8" s="113" t="s">
        <v>80</v>
      </c>
      <c r="B8" s="115">
        <v>1</v>
      </c>
      <c r="D8">
        <v>7</v>
      </c>
      <c r="E8" s="177" t="s">
        <v>198</v>
      </c>
      <c r="F8">
        <v>0.98</v>
      </c>
      <c r="G8">
        <v>0.8</v>
      </c>
      <c r="H8">
        <v>0.8</v>
      </c>
      <c r="I8">
        <v>0.8</v>
      </c>
      <c r="J8" s="104">
        <v>0.25</v>
      </c>
      <c r="K8" s="104">
        <v>0.05</v>
      </c>
    </row>
    <row r="9" spans="1:42" x14ac:dyDescent="0.15">
      <c r="A9" s="113" t="s">
        <v>81</v>
      </c>
      <c r="B9" s="115">
        <v>0.1</v>
      </c>
      <c r="C9" s="57" t="s">
        <v>150</v>
      </c>
      <c r="D9">
        <v>8</v>
      </c>
      <c r="E9" s="177" t="s">
        <v>199</v>
      </c>
      <c r="F9">
        <v>0.98</v>
      </c>
      <c r="G9">
        <v>0.8</v>
      </c>
      <c r="H9">
        <v>0.8</v>
      </c>
      <c r="I9">
        <v>0.8</v>
      </c>
      <c r="J9" s="104">
        <v>0.25</v>
      </c>
      <c r="K9" s="104">
        <v>0.05</v>
      </c>
    </row>
    <row r="10" spans="1:42" ht="14" thickBot="1" x14ac:dyDescent="0.2">
      <c r="A10" s="113" t="s">
        <v>149</v>
      </c>
      <c r="B10" s="116">
        <f>1/3</f>
        <v>0.33333333333333331</v>
      </c>
      <c r="C10" s="57" t="s">
        <v>150</v>
      </c>
      <c r="D10">
        <v>9</v>
      </c>
      <c r="E10" s="177" t="s">
        <v>200</v>
      </c>
      <c r="F10">
        <v>0.98</v>
      </c>
      <c r="G10">
        <v>0.8</v>
      </c>
      <c r="H10">
        <v>0.8</v>
      </c>
      <c r="I10">
        <v>0.8</v>
      </c>
      <c r="J10" s="104">
        <v>0.25</v>
      </c>
      <c r="K10" s="104">
        <v>0.05</v>
      </c>
    </row>
    <row r="11" spans="1:42" x14ac:dyDescent="0.15">
      <c r="D11">
        <v>10</v>
      </c>
      <c r="E11" s="177" t="s">
        <v>201</v>
      </c>
      <c r="F11">
        <v>0.98</v>
      </c>
      <c r="G11">
        <v>0.8</v>
      </c>
      <c r="H11">
        <v>0.8</v>
      </c>
      <c r="I11">
        <v>0.8</v>
      </c>
      <c r="J11" s="104">
        <v>0.25</v>
      </c>
      <c r="K11" s="104">
        <v>0.05</v>
      </c>
    </row>
    <row r="12" spans="1:42" x14ac:dyDescent="0.15">
      <c r="D12">
        <v>11</v>
      </c>
      <c r="E12" s="177" t="s">
        <v>202</v>
      </c>
      <c r="F12">
        <v>0.98</v>
      </c>
      <c r="G12">
        <v>0.8</v>
      </c>
      <c r="H12">
        <v>0.8</v>
      </c>
      <c r="I12">
        <v>0.8</v>
      </c>
      <c r="J12" s="104">
        <v>0.25</v>
      </c>
      <c r="K12" s="104">
        <v>0.05</v>
      </c>
    </row>
    <row r="13" spans="1:42" x14ac:dyDescent="0.15">
      <c r="D13">
        <v>12</v>
      </c>
      <c r="E13" s="177" t="s">
        <v>203</v>
      </c>
      <c r="F13">
        <v>0.98</v>
      </c>
      <c r="G13">
        <v>0.8</v>
      </c>
      <c r="H13">
        <v>0.8</v>
      </c>
      <c r="I13">
        <v>0.8</v>
      </c>
      <c r="J13" s="104">
        <v>0.25</v>
      </c>
      <c r="K13" s="104">
        <v>0.05</v>
      </c>
    </row>
    <row r="14" spans="1:42" x14ac:dyDescent="0.15">
      <c r="D14">
        <v>13</v>
      </c>
      <c r="E14" s="177" t="s">
        <v>204</v>
      </c>
      <c r="F14">
        <v>0.98</v>
      </c>
      <c r="G14">
        <v>0.8</v>
      </c>
      <c r="H14">
        <v>0.8</v>
      </c>
      <c r="I14">
        <v>0.8</v>
      </c>
      <c r="J14" s="104">
        <v>0.25</v>
      </c>
      <c r="K14" s="104">
        <v>0.05</v>
      </c>
    </row>
    <row r="15" spans="1:42" x14ac:dyDescent="0.15">
      <c r="D15">
        <v>14</v>
      </c>
      <c r="E15" s="177" t="s">
        <v>205</v>
      </c>
      <c r="F15">
        <v>0.98</v>
      </c>
      <c r="G15">
        <v>0.8</v>
      </c>
      <c r="H15">
        <v>0.8</v>
      </c>
      <c r="I15">
        <v>0.8</v>
      </c>
      <c r="J15" s="104">
        <v>0.25</v>
      </c>
      <c r="K15" s="104">
        <v>0.05</v>
      </c>
    </row>
    <row r="16" spans="1:42" x14ac:dyDescent="0.15">
      <c r="D16">
        <v>15</v>
      </c>
      <c r="E16" s="177" t="s">
        <v>206</v>
      </c>
      <c r="F16">
        <v>0.98</v>
      </c>
      <c r="G16">
        <v>0.8</v>
      </c>
      <c r="H16">
        <v>0.8</v>
      </c>
      <c r="I16">
        <v>0.8</v>
      </c>
      <c r="J16" s="104">
        <v>0.25</v>
      </c>
      <c r="K16" s="104">
        <v>0.05</v>
      </c>
    </row>
    <row r="17" spans="4:33" ht="15" customHeight="1" x14ac:dyDescent="0.15">
      <c r="D17">
        <v>16</v>
      </c>
      <c r="E17" s="177" t="s">
        <v>207</v>
      </c>
      <c r="F17">
        <v>0.98</v>
      </c>
      <c r="G17">
        <v>0.8</v>
      </c>
      <c r="H17">
        <v>0.8</v>
      </c>
      <c r="I17">
        <v>0.8</v>
      </c>
      <c r="J17" s="104">
        <v>0.25</v>
      </c>
      <c r="K17" s="104">
        <v>0.05</v>
      </c>
    </row>
    <row r="18" spans="4:33" ht="15" customHeight="1" x14ac:dyDescent="0.15">
      <c r="D18">
        <v>17</v>
      </c>
      <c r="E18" s="177" t="s">
        <v>208</v>
      </c>
      <c r="F18">
        <v>0.98</v>
      </c>
      <c r="G18">
        <v>0.8</v>
      </c>
      <c r="H18">
        <v>0.8</v>
      </c>
      <c r="I18">
        <v>0.8</v>
      </c>
      <c r="J18" s="104">
        <v>0.25</v>
      </c>
      <c r="K18" s="104">
        <v>0.05</v>
      </c>
    </row>
    <row r="19" spans="4:33" ht="15" customHeight="1" x14ac:dyDescent="0.15">
      <c r="D19">
        <v>18</v>
      </c>
      <c r="E19" s="177" t="s">
        <v>209</v>
      </c>
      <c r="F19">
        <v>0.98</v>
      </c>
      <c r="G19">
        <v>0.8</v>
      </c>
      <c r="H19">
        <v>0.8</v>
      </c>
      <c r="I19">
        <v>0.8</v>
      </c>
      <c r="J19" s="104">
        <v>0.25</v>
      </c>
      <c r="K19" s="104">
        <v>0.05</v>
      </c>
    </row>
    <row r="20" spans="4:33" ht="15" customHeight="1" x14ac:dyDescent="0.15">
      <c r="D20">
        <v>19</v>
      </c>
      <c r="E20" s="177" t="s">
        <v>210</v>
      </c>
      <c r="F20">
        <v>0.98</v>
      </c>
      <c r="G20">
        <v>0.8</v>
      </c>
      <c r="H20">
        <v>0.8</v>
      </c>
      <c r="I20">
        <v>0.8</v>
      </c>
      <c r="J20" s="104">
        <v>0.25</v>
      </c>
      <c r="K20" s="104">
        <v>0.05</v>
      </c>
    </row>
    <row r="21" spans="4:33" ht="15" customHeight="1" x14ac:dyDescent="0.15">
      <c r="D21">
        <v>20</v>
      </c>
      <c r="E21" s="177" t="s">
        <v>211</v>
      </c>
      <c r="F21">
        <v>0.98</v>
      </c>
      <c r="G21">
        <v>0.8</v>
      </c>
      <c r="H21">
        <v>0.8</v>
      </c>
      <c r="I21">
        <v>0.8</v>
      </c>
      <c r="J21" s="104">
        <v>0.25</v>
      </c>
      <c r="K21" s="104">
        <v>0.05</v>
      </c>
    </row>
    <row r="22" spans="4:33" ht="15" customHeight="1" x14ac:dyDescent="0.15">
      <c r="D22">
        <v>21</v>
      </c>
      <c r="E22" s="177" t="s">
        <v>212</v>
      </c>
      <c r="F22">
        <v>0.98</v>
      </c>
      <c r="G22">
        <v>0.8</v>
      </c>
      <c r="H22">
        <v>0.8</v>
      </c>
      <c r="I22">
        <v>0.8</v>
      </c>
      <c r="J22" s="104">
        <v>0.25</v>
      </c>
      <c r="K22" s="104">
        <v>0.05</v>
      </c>
    </row>
    <row r="23" spans="4:33" ht="15" customHeight="1" x14ac:dyDescent="0.15">
      <c r="D23">
        <v>22</v>
      </c>
      <c r="E23" s="177" t="s">
        <v>213</v>
      </c>
      <c r="F23">
        <v>0.98</v>
      </c>
      <c r="G23">
        <v>0.8</v>
      </c>
      <c r="H23">
        <v>0.8</v>
      </c>
      <c r="I23">
        <v>0.8</v>
      </c>
      <c r="J23" s="104">
        <v>0.25</v>
      </c>
      <c r="K23" s="104">
        <v>0.05</v>
      </c>
    </row>
    <row r="24" spans="4:33" ht="15" customHeight="1" x14ac:dyDescent="0.15">
      <c r="D24">
        <v>23</v>
      </c>
      <c r="E24" s="177" t="s">
        <v>214</v>
      </c>
      <c r="F24">
        <v>0.98</v>
      </c>
      <c r="G24">
        <v>0.8</v>
      </c>
      <c r="H24">
        <v>0.8</v>
      </c>
      <c r="I24">
        <v>0.8</v>
      </c>
      <c r="J24" s="104">
        <v>0.25</v>
      </c>
      <c r="K24" s="104">
        <v>0.05</v>
      </c>
    </row>
    <row r="25" spans="4:33" ht="15" customHeight="1" x14ac:dyDescent="0.15">
      <c r="D25">
        <v>24</v>
      </c>
      <c r="E25" s="177" t="s">
        <v>215</v>
      </c>
      <c r="F25">
        <v>0.98</v>
      </c>
      <c r="G25">
        <v>0.8</v>
      </c>
      <c r="H25">
        <v>0.8</v>
      </c>
      <c r="I25">
        <v>0.8</v>
      </c>
      <c r="J25" s="104">
        <v>0.25</v>
      </c>
      <c r="K25" s="104">
        <v>0.05</v>
      </c>
    </row>
    <row r="26" spans="4:33" ht="15" customHeight="1" x14ac:dyDescent="0.15">
      <c r="D26">
        <v>25</v>
      </c>
      <c r="E26" s="177" t="s">
        <v>216</v>
      </c>
      <c r="F26">
        <v>0.98</v>
      </c>
      <c r="G26">
        <v>0.8</v>
      </c>
      <c r="H26">
        <v>0.8</v>
      </c>
      <c r="I26">
        <v>0.8</v>
      </c>
      <c r="J26" s="104">
        <v>0.25</v>
      </c>
      <c r="K26" s="104">
        <v>0.05</v>
      </c>
    </row>
    <row r="27" spans="4:33" ht="15" customHeight="1" x14ac:dyDescent="0.15">
      <c r="D27">
        <v>26</v>
      </c>
      <c r="E27" s="177" t="s">
        <v>217</v>
      </c>
      <c r="F27">
        <v>0.98</v>
      </c>
      <c r="G27">
        <v>0.8</v>
      </c>
      <c r="H27">
        <v>0.8</v>
      </c>
      <c r="I27">
        <v>0.8</v>
      </c>
      <c r="J27" s="104">
        <v>0.25</v>
      </c>
      <c r="K27" s="104">
        <v>0.05</v>
      </c>
    </row>
    <row r="28" spans="4:33" ht="15" customHeight="1" x14ac:dyDescent="0.15">
      <c r="D28">
        <v>27</v>
      </c>
      <c r="E28" s="177" t="s">
        <v>218</v>
      </c>
      <c r="F28">
        <v>0.98</v>
      </c>
      <c r="G28">
        <v>0.8</v>
      </c>
      <c r="H28">
        <v>0.8</v>
      </c>
      <c r="I28">
        <v>0.8</v>
      </c>
      <c r="J28" s="104">
        <v>0.25</v>
      </c>
      <c r="K28" s="104">
        <v>0.05</v>
      </c>
    </row>
    <row r="29" spans="4:33" ht="15" customHeight="1" x14ac:dyDescent="0.15">
      <c r="D29">
        <v>28</v>
      </c>
      <c r="E29" s="177" t="s">
        <v>219</v>
      </c>
      <c r="F29">
        <v>0.98</v>
      </c>
      <c r="G29">
        <v>0.8</v>
      </c>
      <c r="H29">
        <v>0.8</v>
      </c>
      <c r="I29">
        <v>0.8</v>
      </c>
      <c r="J29" s="104">
        <v>0.25</v>
      </c>
      <c r="K29" s="104">
        <v>0.05</v>
      </c>
      <c r="Y29"/>
      <c r="AC29"/>
      <c r="AG29"/>
    </row>
    <row r="30" spans="4:33" ht="15" customHeight="1" x14ac:dyDescent="0.15">
      <c r="D30">
        <v>29</v>
      </c>
      <c r="E30" s="177" t="s">
        <v>220</v>
      </c>
      <c r="F30">
        <v>0.98</v>
      </c>
      <c r="G30">
        <v>0.8</v>
      </c>
      <c r="H30">
        <v>0.8</v>
      </c>
      <c r="I30">
        <v>0.8</v>
      </c>
      <c r="J30" s="104">
        <v>0.25</v>
      </c>
      <c r="K30" s="104">
        <v>0.05</v>
      </c>
      <c r="Y30"/>
      <c r="AC30"/>
      <c r="AG30"/>
    </row>
    <row r="31" spans="4:33" ht="15" customHeight="1" x14ac:dyDescent="0.15">
      <c r="D31">
        <v>30</v>
      </c>
      <c r="E31" s="177" t="s">
        <v>221</v>
      </c>
      <c r="F31">
        <v>0.98</v>
      </c>
      <c r="G31">
        <v>0.8</v>
      </c>
      <c r="H31">
        <v>0.8</v>
      </c>
      <c r="I31">
        <v>0.8</v>
      </c>
      <c r="J31" s="104">
        <v>0.25</v>
      </c>
      <c r="K31" s="104">
        <v>0.05</v>
      </c>
      <c r="Y31"/>
      <c r="AC31"/>
      <c r="AG31"/>
    </row>
    <row r="32" spans="4:33" ht="15" customHeight="1" x14ac:dyDescent="0.15">
      <c r="D32">
        <v>31</v>
      </c>
      <c r="E32" s="177" t="s">
        <v>222</v>
      </c>
      <c r="F32">
        <v>0.98</v>
      </c>
      <c r="G32">
        <v>0.8</v>
      </c>
      <c r="H32">
        <v>0.8</v>
      </c>
      <c r="I32">
        <v>0.8</v>
      </c>
      <c r="J32" s="104">
        <v>0.25</v>
      </c>
      <c r="K32" s="104">
        <v>0.05</v>
      </c>
      <c r="Y32"/>
      <c r="AC32"/>
      <c r="AG32"/>
    </row>
    <row r="33" spans="4:33" ht="15" customHeight="1" x14ac:dyDescent="0.15">
      <c r="D33">
        <v>32</v>
      </c>
      <c r="E33" s="177" t="s">
        <v>223</v>
      </c>
      <c r="F33">
        <v>0.98</v>
      </c>
      <c r="G33">
        <v>0.8</v>
      </c>
      <c r="H33">
        <v>0.8</v>
      </c>
      <c r="I33">
        <v>0.8</v>
      </c>
      <c r="J33" s="104">
        <v>0.25</v>
      </c>
      <c r="K33" s="104">
        <v>0.05</v>
      </c>
      <c r="Y33"/>
      <c r="AC33"/>
      <c r="AG33"/>
    </row>
    <row r="34" spans="4:33" ht="15" customHeight="1" x14ac:dyDescent="0.15">
      <c r="D34">
        <v>33</v>
      </c>
      <c r="E34" s="177" t="s">
        <v>224</v>
      </c>
      <c r="F34">
        <v>0.98</v>
      </c>
      <c r="G34">
        <v>0.8</v>
      </c>
      <c r="H34">
        <v>0</v>
      </c>
      <c r="I34">
        <v>0</v>
      </c>
      <c r="J34" s="104">
        <v>0</v>
      </c>
      <c r="K34" s="104">
        <v>0</v>
      </c>
      <c r="Y34"/>
      <c r="AC34"/>
      <c r="AG34"/>
    </row>
    <row r="35" spans="4:33" ht="15" customHeight="1" x14ac:dyDescent="0.15">
      <c r="D35">
        <v>34</v>
      </c>
      <c r="E35" s="177" t="s">
        <v>225</v>
      </c>
      <c r="F35">
        <v>0.98</v>
      </c>
      <c r="G35">
        <v>0.8</v>
      </c>
      <c r="H35">
        <v>0</v>
      </c>
      <c r="I35">
        <v>0</v>
      </c>
      <c r="J35" s="104">
        <v>0</v>
      </c>
      <c r="K35" s="104">
        <v>0</v>
      </c>
      <c r="Y35"/>
      <c r="AC35"/>
      <c r="AG35"/>
    </row>
    <row r="36" spans="4:33" ht="15" customHeight="1" x14ac:dyDescent="0.15">
      <c r="J36"/>
      <c r="K36"/>
      <c r="Y36"/>
      <c r="AC36"/>
      <c r="AG36"/>
    </row>
    <row r="37" spans="4:33" ht="15" customHeight="1" x14ac:dyDescent="0.15">
      <c r="J37"/>
      <c r="K37"/>
      <c r="Y37"/>
      <c r="AC37"/>
      <c r="AG37"/>
    </row>
    <row r="38" spans="4:33" ht="15" customHeight="1" x14ac:dyDescent="0.15">
      <c r="J38"/>
      <c r="K38"/>
      <c r="Y38"/>
      <c r="AC38"/>
      <c r="AG38"/>
    </row>
    <row r="39" spans="4:33" ht="15" customHeight="1" x14ac:dyDescent="0.15">
      <c r="J39"/>
      <c r="K39"/>
    </row>
    <row r="40" spans="4:33" ht="15" customHeight="1" x14ac:dyDescent="0.15">
      <c r="J40"/>
      <c r="K40"/>
      <c r="Y40"/>
      <c r="AC40"/>
      <c r="AG40"/>
    </row>
    <row r="41" spans="4:33" ht="15" customHeight="1" x14ac:dyDescent="0.15">
      <c r="J41"/>
      <c r="K41"/>
      <c r="Y41"/>
      <c r="AC41"/>
      <c r="AG41"/>
    </row>
    <row r="42" spans="4:33" ht="15" customHeight="1" x14ac:dyDescent="0.15">
      <c r="J42"/>
      <c r="K42"/>
      <c r="Y42"/>
      <c r="AC42"/>
      <c r="AG42"/>
    </row>
    <row r="43" spans="4:33" ht="15" customHeight="1" x14ac:dyDescent="0.15">
      <c r="J43"/>
      <c r="K43"/>
      <c r="Y43"/>
      <c r="AC43"/>
      <c r="AG43"/>
    </row>
    <row r="44" spans="4:33" ht="15" customHeight="1" x14ac:dyDescent="0.15">
      <c r="J44"/>
      <c r="K44"/>
      <c r="Y44"/>
      <c r="AC44"/>
      <c r="AG44"/>
    </row>
    <row r="45" spans="4:33" ht="15" customHeight="1" x14ac:dyDescent="0.15">
      <c r="J45"/>
      <c r="K45"/>
      <c r="Y45"/>
      <c r="AC45"/>
      <c r="AG45"/>
    </row>
    <row r="46" spans="4:33" ht="15" customHeight="1" x14ac:dyDescent="0.15">
      <c r="J46"/>
      <c r="K46"/>
      <c r="Y46"/>
      <c r="AC46"/>
      <c r="AG46"/>
    </row>
    <row r="47" spans="4:33" ht="15" customHeight="1" x14ac:dyDescent="0.15">
      <c r="J47"/>
      <c r="K47"/>
      <c r="Y47"/>
      <c r="AC47"/>
      <c r="AG47"/>
    </row>
    <row r="48" spans="4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I36"/>
  <sheetViews>
    <sheetView workbookViewId="0">
      <selection activeCell="A3" sqref="A3"/>
    </sheetView>
  </sheetViews>
  <sheetFormatPr baseColWidth="10" defaultRowHeight="13" x14ac:dyDescent="0.15"/>
  <cols>
    <col min="1" max="1" width="21.6640625" style="102" bestFit="1" customWidth="1"/>
    <col min="2" max="3" width="2.33203125" style="102" customWidth="1"/>
    <col min="4" max="33" width="3.83203125" style="102" customWidth="1"/>
    <col min="34" max="35" width="2.33203125" style="102" customWidth="1"/>
    <col min="36" max="16384" width="10.83203125" style="102"/>
  </cols>
  <sheetData>
    <row r="1" spans="1:35" x14ac:dyDescent="0.15">
      <c r="A1" s="59" t="s">
        <v>118</v>
      </c>
      <c r="B1" s="179" t="s">
        <v>192</v>
      </c>
      <c r="C1" s="179" t="s">
        <v>193</v>
      </c>
      <c r="D1" s="179" t="s">
        <v>194</v>
      </c>
      <c r="E1" s="179" t="s">
        <v>195</v>
      </c>
      <c r="F1" s="179" t="s">
        <v>196</v>
      </c>
      <c r="G1" s="179" t="s">
        <v>197</v>
      </c>
      <c r="H1" s="179" t="s">
        <v>198</v>
      </c>
      <c r="I1" s="179" t="s">
        <v>199</v>
      </c>
      <c r="J1" s="179" t="s">
        <v>200</v>
      </c>
      <c r="K1" s="179" t="s">
        <v>201</v>
      </c>
      <c r="L1" s="179" t="s">
        <v>202</v>
      </c>
      <c r="M1" s="179" t="s">
        <v>203</v>
      </c>
      <c r="N1" s="179" t="s">
        <v>204</v>
      </c>
      <c r="O1" s="179" t="s">
        <v>205</v>
      </c>
      <c r="P1" s="179" t="s">
        <v>206</v>
      </c>
      <c r="Q1" s="179" t="s">
        <v>207</v>
      </c>
      <c r="R1" s="179" t="s">
        <v>208</v>
      </c>
      <c r="S1" s="179" t="s">
        <v>209</v>
      </c>
      <c r="T1" s="179" t="s">
        <v>210</v>
      </c>
      <c r="U1" s="179" t="s">
        <v>211</v>
      </c>
      <c r="V1" s="179" t="s">
        <v>212</v>
      </c>
      <c r="W1" s="179" t="s">
        <v>213</v>
      </c>
      <c r="X1" s="179" t="s">
        <v>214</v>
      </c>
      <c r="Y1" s="179" t="s">
        <v>215</v>
      </c>
      <c r="Z1" s="179" t="s">
        <v>216</v>
      </c>
      <c r="AA1" s="179" t="s">
        <v>217</v>
      </c>
      <c r="AB1" s="179" t="s">
        <v>218</v>
      </c>
      <c r="AC1" s="179" t="s">
        <v>219</v>
      </c>
      <c r="AD1" s="179" t="s">
        <v>220</v>
      </c>
      <c r="AE1" s="179" t="s">
        <v>221</v>
      </c>
      <c r="AF1" s="179" t="s">
        <v>222</v>
      </c>
      <c r="AG1" s="179" t="s">
        <v>223</v>
      </c>
      <c r="AH1" s="179" t="s">
        <v>224</v>
      </c>
      <c r="AI1" s="179" t="s">
        <v>225</v>
      </c>
    </row>
    <row r="2" spans="1:35" customFormat="1" x14ac:dyDescent="0.15">
      <c r="A2" s="178" t="s">
        <v>192</v>
      </c>
      <c r="B2" s="102">
        <v>0</v>
      </c>
      <c r="C2" s="102">
        <v>0</v>
      </c>
      <c r="D2" s="102">
        <v>0.8</v>
      </c>
      <c r="E2" s="102">
        <v>0.8</v>
      </c>
      <c r="F2" s="102">
        <v>0.8</v>
      </c>
      <c r="G2" s="102">
        <v>0</v>
      </c>
      <c r="H2" s="102">
        <v>0</v>
      </c>
      <c r="I2" s="102">
        <v>0.8</v>
      </c>
      <c r="J2" s="102">
        <v>0.8</v>
      </c>
      <c r="K2" s="102">
        <v>0</v>
      </c>
      <c r="L2" s="102">
        <v>0</v>
      </c>
      <c r="M2" s="102">
        <v>0</v>
      </c>
      <c r="N2" s="102">
        <v>0.8</v>
      </c>
      <c r="O2" s="102">
        <v>0</v>
      </c>
      <c r="P2" s="102">
        <v>0</v>
      </c>
      <c r="Q2" s="102">
        <v>0</v>
      </c>
      <c r="R2" s="102">
        <v>0</v>
      </c>
      <c r="S2" s="102">
        <v>0</v>
      </c>
      <c r="T2" s="102">
        <v>0</v>
      </c>
      <c r="U2" s="102">
        <v>0</v>
      </c>
      <c r="V2" s="102">
        <v>0.8</v>
      </c>
      <c r="W2" s="102">
        <v>0</v>
      </c>
      <c r="X2" s="102">
        <v>0.8</v>
      </c>
      <c r="Y2" s="102">
        <v>0</v>
      </c>
      <c r="Z2" s="102">
        <v>0</v>
      </c>
      <c r="AA2" s="102">
        <v>0</v>
      </c>
      <c r="AB2" s="102">
        <v>0</v>
      </c>
      <c r="AC2" s="102">
        <v>0</v>
      </c>
      <c r="AD2" s="102">
        <v>0</v>
      </c>
      <c r="AE2" s="102">
        <v>0</v>
      </c>
      <c r="AF2" s="102">
        <v>0</v>
      </c>
      <c r="AG2" s="102">
        <v>0</v>
      </c>
      <c r="AH2" s="102">
        <v>0</v>
      </c>
      <c r="AI2" s="102">
        <v>0</v>
      </c>
    </row>
    <row r="3" spans="1:35" customFormat="1" x14ac:dyDescent="0.15">
      <c r="A3" s="178" t="s">
        <v>193</v>
      </c>
      <c r="B3" s="102">
        <v>0</v>
      </c>
      <c r="C3" s="102">
        <v>0</v>
      </c>
      <c r="D3" s="102">
        <v>0.8</v>
      </c>
      <c r="E3" s="102">
        <v>0.8</v>
      </c>
      <c r="F3" s="102">
        <v>0.8</v>
      </c>
      <c r="G3" s="102">
        <v>0</v>
      </c>
      <c r="H3" s="102">
        <v>0</v>
      </c>
      <c r="I3" s="102">
        <v>0.8</v>
      </c>
      <c r="J3" s="102">
        <v>0.8</v>
      </c>
      <c r="K3" s="102">
        <v>0</v>
      </c>
      <c r="L3" s="102">
        <v>0</v>
      </c>
      <c r="M3" s="102">
        <v>0</v>
      </c>
      <c r="N3" s="102">
        <v>0</v>
      </c>
      <c r="O3" s="102">
        <v>0</v>
      </c>
      <c r="P3" s="102">
        <v>0</v>
      </c>
      <c r="Q3" s="102">
        <v>0</v>
      </c>
      <c r="R3" s="102">
        <v>0</v>
      </c>
      <c r="S3" s="102">
        <v>0</v>
      </c>
      <c r="T3" s="102">
        <v>0</v>
      </c>
      <c r="U3" s="102">
        <v>0</v>
      </c>
      <c r="V3" s="102">
        <v>0</v>
      </c>
      <c r="W3" s="102">
        <v>0</v>
      </c>
      <c r="X3" s="102">
        <v>0</v>
      </c>
      <c r="Y3" s="102">
        <v>0</v>
      </c>
      <c r="Z3" s="102">
        <v>0</v>
      </c>
      <c r="AA3" s="102">
        <v>0</v>
      </c>
      <c r="AB3" s="102">
        <v>0</v>
      </c>
      <c r="AC3" s="102">
        <v>0</v>
      </c>
      <c r="AD3" s="102">
        <v>0</v>
      </c>
      <c r="AE3" s="102">
        <v>0</v>
      </c>
      <c r="AF3" s="102">
        <v>0</v>
      </c>
      <c r="AG3" s="102">
        <v>0</v>
      </c>
      <c r="AH3" s="102">
        <v>0</v>
      </c>
      <c r="AI3" s="102">
        <v>0</v>
      </c>
    </row>
    <row r="4" spans="1:35" customFormat="1" x14ac:dyDescent="0.15">
      <c r="A4" s="178" t="s">
        <v>194</v>
      </c>
      <c r="B4" s="102">
        <v>0</v>
      </c>
      <c r="C4" s="102">
        <v>0</v>
      </c>
      <c r="D4" s="102">
        <v>0.8</v>
      </c>
      <c r="E4" s="102">
        <v>0.8</v>
      </c>
      <c r="F4" s="102">
        <v>0.8</v>
      </c>
      <c r="G4" s="102">
        <v>0</v>
      </c>
      <c r="H4" s="102">
        <v>0</v>
      </c>
      <c r="I4" s="102">
        <v>0</v>
      </c>
      <c r="J4" s="102">
        <v>0.8</v>
      </c>
      <c r="K4" s="102">
        <v>0</v>
      </c>
      <c r="L4" s="102">
        <v>0</v>
      </c>
      <c r="M4" s="102">
        <v>0</v>
      </c>
      <c r="N4" s="102">
        <v>0</v>
      </c>
      <c r="O4" s="102">
        <v>0</v>
      </c>
      <c r="P4" s="102">
        <v>0</v>
      </c>
      <c r="Q4" s="102">
        <v>0</v>
      </c>
      <c r="R4" s="102">
        <v>0</v>
      </c>
      <c r="S4" s="102">
        <v>0</v>
      </c>
      <c r="T4" s="102">
        <v>0</v>
      </c>
      <c r="U4" s="102">
        <v>0</v>
      </c>
      <c r="V4" s="102">
        <v>0</v>
      </c>
      <c r="W4" s="102">
        <v>0</v>
      </c>
      <c r="X4" s="102">
        <v>0</v>
      </c>
      <c r="Y4" s="102">
        <v>0</v>
      </c>
      <c r="Z4" s="102">
        <v>0</v>
      </c>
      <c r="AA4" s="102">
        <v>0</v>
      </c>
      <c r="AB4" s="102">
        <v>0</v>
      </c>
      <c r="AC4" s="102">
        <v>0</v>
      </c>
      <c r="AD4" s="102">
        <v>0</v>
      </c>
      <c r="AE4" s="102">
        <v>0</v>
      </c>
      <c r="AF4" s="102">
        <v>0</v>
      </c>
      <c r="AG4" s="102">
        <v>0</v>
      </c>
      <c r="AH4" s="102">
        <v>0</v>
      </c>
      <c r="AI4" s="102">
        <v>0</v>
      </c>
    </row>
    <row r="5" spans="1:35" customFormat="1" x14ac:dyDescent="0.15">
      <c r="A5" s="178" t="s">
        <v>195</v>
      </c>
      <c r="B5" s="102">
        <v>0</v>
      </c>
      <c r="C5" s="102">
        <v>0</v>
      </c>
      <c r="D5" s="102">
        <v>0</v>
      </c>
      <c r="E5" s="102">
        <v>0</v>
      </c>
      <c r="F5" s="102">
        <v>0</v>
      </c>
      <c r="G5" s="102">
        <v>0.8</v>
      </c>
      <c r="H5" s="102">
        <v>0</v>
      </c>
      <c r="I5" s="102">
        <v>0.8</v>
      </c>
      <c r="J5" s="102">
        <v>0.8</v>
      </c>
      <c r="K5" s="102">
        <v>0.8</v>
      </c>
      <c r="L5" s="102">
        <v>0.8</v>
      </c>
      <c r="M5" s="102">
        <v>0</v>
      </c>
      <c r="N5" s="102">
        <v>0.8</v>
      </c>
      <c r="O5" s="102">
        <v>0.8</v>
      </c>
      <c r="P5" s="102">
        <v>0.8</v>
      </c>
      <c r="Q5" s="102">
        <v>0</v>
      </c>
      <c r="R5" s="102">
        <v>0</v>
      </c>
      <c r="S5" s="102">
        <v>0</v>
      </c>
      <c r="T5" s="102">
        <v>0</v>
      </c>
      <c r="U5" s="102">
        <v>0</v>
      </c>
      <c r="V5" s="102">
        <v>0.8</v>
      </c>
      <c r="W5" s="102">
        <v>0</v>
      </c>
      <c r="X5" s="102">
        <v>0</v>
      </c>
      <c r="Y5" s="102">
        <v>0</v>
      </c>
      <c r="Z5" s="102">
        <v>0</v>
      </c>
      <c r="AA5" s="102">
        <v>0</v>
      </c>
      <c r="AB5" s="102">
        <v>0</v>
      </c>
      <c r="AC5" s="102">
        <v>0</v>
      </c>
      <c r="AD5" s="102">
        <v>0</v>
      </c>
      <c r="AE5" s="102">
        <v>0</v>
      </c>
      <c r="AF5" s="102">
        <v>0</v>
      </c>
      <c r="AG5" s="102">
        <v>0</v>
      </c>
      <c r="AH5" s="102">
        <v>0</v>
      </c>
      <c r="AI5" s="102">
        <v>0</v>
      </c>
    </row>
    <row r="6" spans="1:35" customFormat="1" x14ac:dyDescent="0.15">
      <c r="A6" s="178" t="s">
        <v>196</v>
      </c>
      <c r="B6" s="102">
        <v>0</v>
      </c>
      <c r="C6" s="102">
        <v>0</v>
      </c>
      <c r="D6" s="102">
        <v>0</v>
      </c>
      <c r="E6" s="102">
        <v>0</v>
      </c>
      <c r="F6" s="102">
        <v>0</v>
      </c>
      <c r="G6" s="102">
        <v>0.8</v>
      </c>
      <c r="H6" s="102">
        <v>0</v>
      </c>
      <c r="I6" s="102">
        <v>0.8</v>
      </c>
      <c r="J6" s="102">
        <v>0.8</v>
      </c>
      <c r="K6" s="102">
        <v>0.8</v>
      </c>
      <c r="L6" s="102">
        <v>0.8</v>
      </c>
      <c r="M6" s="102">
        <v>0.8</v>
      </c>
      <c r="N6" s="102">
        <v>0</v>
      </c>
      <c r="O6" s="102">
        <v>0.8</v>
      </c>
      <c r="P6" s="102">
        <v>0.8</v>
      </c>
      <c r="Q6" s="102">
        <v>0.8</v>
      </c>
      <c r="R6" s="102">
        <v>0.8</v>
      </c>
      <c r="S6" s="102">
        <v>0.8</v>
      </c>
      <c r="T6" s="102">
        <v>0.8</v>
      </c>
      <c r="U6" s="102">
        <v>0</v>
      </c>
      <c r="V6" s="102">
        <v>0</v>
      </c>
      <c r="W6" s="102">
        <v>0.8</v>
      </c>
      <c r="X6" s="102">
        <v>0</v>
      </c>
      <c r="Y6" s="102">
        <v>0</v>
      </c>
      <c r="Z6" s="102">
        <v>0.8</v>
      </c>
      <c r="AA6" s="102">
        <v>0.8</v>
      </c>
      <c r="AB6" s="102">
        <v>0.8</v>
      </c>
      <c r="AC6" s="102">
        <v>0</v>
      </c>
      <c r="AD6" s="102">
        <v>0.8</v>
      </c>
      <c r="AE6" s="102">
        <v>0</v>
      </c>
      <c r="AF6" s="102">
        <v>0</v>
      </c>
      <c r="AG6" s="102">
        <v>0.8</v>
      </c>
      <c r="AH6" s="102">
        <v>0</v>
      </c>
      <c r="AI6" s="102">
        <v>0</v>
      </c>
    </row>
    <row r="7" spans="1:35" customFormat="1" x14ac:dyDescent="0.15">
      <c r="A7" s="178" t="s">
        <v>197</v>
      </c>
      <c r="B7" s="102">
        <v>0</v>
      </c>
      <c r="C7" s="102">
        <v>0</v>
      </c>
      <c r="D7" s="102">
        <v>0</v>
      </c>
      <c r="E7" s="102">
        <v>0</v>
      </c>
      <c r="F7" s="102">
        <v>0</v>
      </c>
      <c r="G7" s="102">
        <v>0.8</v>
      </c>
      <c r="H7" s="102">
        <v>0</v>
      </c>
      <c r="I7" s="102">
        <v>0</v>
      </c>
      <c r="J7" s="102">
        <v>0</v>
      </c>
      <c r="K7" s="102">
        <v>0</v>
      </c>
      <c r="L7" s="102">
        <v>0</v>
      </c>
      <c r="M7" s="102">
        <v>0</v>
      </c>
      <c r="N7" s="102">
        <v>0</v>
      </c>
      <c r="O7" s="102">
        <v>0</v>
      </c>
      <c r="P7" s="102">
        <v>0</v>
      </c>
      <c r="Q7" s="102">
        <v>0</v>
      </c>
      <c r="R7" s="102">
        <v>0</v>
      </c>
      <c r="S7" s="102">
        <v>0</v>
      </c>
      <c r="T7" s="102">
        <v>0</v>
      </c>
      <c r="U7" s="102">
        <v>0</v>
      </c>
      <c r="V7" s="102">
        <v>0</v>
      </c>
      <c r="W7" s="102">
        <v>0</v>
      </c>
      <c r="X7" s="102">
        <v>0.8</v>
      </c>
      <c r="Y7" s="102">
        <v>0</v>
      </c>
      <c r="Z7" s="102">
        <v>0</v>
      </c>
      <c r="AA7" s="102">
        <v>0</v>
      </c>
      <c r="AB7" s="102">
        <v>0</v>
      </c>
      <c r="AC7" s="102">
        <v>0</v>
      </c>
      <c r="AD7" s="102">
        <v>0</v>
      </c>
      <c r="AE7" s="102">
        <v>0</v>
      </c>
      <c r="AF7" s="102">
        <v>0</v>
      </c>
      <c r="AG7" s="102">
        <v>0</v>
      </c>
      <c r="AH7" s="102">
        <v>0</v>
      </c>
      <c r="AI7" s="102">
        <v>0</v>
      </c>
    </row>
    <row r="8" spans="1:35" customFormat="1" x14ac:dyDescent="0.15">
      <c r="A8" s="178" t="s">
        <v>198</v>
      </c>
      <c r="B8" s="102">
        <v>0</v>
      </c>
      <c r="C8" s="102">
        <v>0</v>
      </c>
      <c r="D8" s="102">
        <v>0</v>
      </c>
      <c r="E8" s="102">
        <v>0</v>
      </c>
      <c r="F8" s="102">
        <v>0</v>
      </c>
      <c r="G8" s="102">
        <v>0</v>
      </c>
      <c r="H8" s="102">
        <v>0.8</v>
      </c>
      <c r="I8" s="102">
        <v>0</v>
      </c>
      <c r="J8" s="102">
        <v>0</v>
      </c>
      <c r="K8" s="102">
        <v>0</v>
      </c>
      <c r="L8" s="102">
        <v>0</v>
      </c>
      <c r="M8" s="102">
        <v>0</v>
      </c>
      <c r="N8" s="102">
        <v>0</v>
      </c>
      <c r="O8" s="102">
        <v>0.8</v>
      </c>
      <c r="P8" s="102">
        <v>0.8</v>
      </c>
      <c r="Q8" s="102">
        <v>0</v>
      </c>
      <c r="R8" s="102">
        <v>0.8</v>
      </c>
      <c r="S8" s="102">
        <v>0.8</v>
      </c>
      <c r="T8" s="102">
        <v>0.8</v>
      </c>
      <c r="U8" s="102">
        <v>0</v>
      </c>
      <c r="V8" s="102">
        <v>0</v>
      </c>
      <c r="W8" s="102">
        <v>0.8</v>
      </c>
      <c r="X8" s="102">
        <v>0.8</v>
      </c>
      <c r="Y8" s="102">
        <v>0.8</v>
      </c>
      <c r="Z8" s="102">
        <v>0.8</v>
      </c>
      <c r="AA8" s="102">
        <v>0.8</v>
      </c>
      <c r="AB8" s="102">
        <v>0.8</v>
      </c>
      <c r="AC8" s="102">
        <v>0.8</v>
      </c>
      <c r="AD8" s="102">
        <v>0.8</v>
      </c>
      <c r="AE8" s="102">
        <v>0</v>
      </c>
      <c r="AF8" s="102">
        <v>0</v>
      </c>
      <c r="AG8" s="102">
        <v>0</v>
      </c>
      <c r="AH8" s="102">
        <v>0</v>
      </c>
      <c r="AI8" s="102">
        <v>0</v>
      </c>
    </row>
    <row r="9" spans="1:35" customFormat="1" x14ac:dyDescent="0.15">
      <c r="A9" s="178" t="s">
        <v>199</v>
      </c>
      <c r="B9" s="102">
        <v>0</v>
      </c>
      <c r="C9" s="102">
        <v>0</v>
      </c>
      <c r="D9" s="102">
        <v>0</v>
      </c>
      <c r="E9" s="102">
        <v>0</v>
      </c>
      <c r="F9" s="102">
        <v>0</v>
      </c>
      <c r="G9" s="102">
        <v>0</v>
      </c>
      <c r="H9" s="102">
        <v>0</v>
      </c>
      <c r="I9" s="102">
        <v>0</v>
      </c>
      <c r="J9" s="102">
        <v>0</v>
      </c>
      <c r="K9" s="102">
        <v>0</v>
      </c>
      <c r="L9" s="102">
        <v>0</v>
      </c>
      <c r="M9" s="102">
        <v>0</v>
      </c>
      <c r="N9" s="102">
        <v>0</v>
      </c>
      <c r="O9" s="102">
        <v>0</v>
      </c>
      <c r="P9" s="102">
        <v>0.8</v>
      </c>
      <c r="Q9" s="102">
        <v>0</v>
      </c>
      <c r="R9" s="102">
        <v>0</v>
      </c>
      <c r="S9" s="102">
        <v>0</v>
      </c>
      <c r="T9" s="102">
        <v>0</v>
      </c>
      <c r="U9" s="102">
        <v>0</v>
      </c>
      <c r="V9" s="102">
        <v>0</v>
      </c>
      <c r="W9" s="102">
        <v>0.8</v>
      </c>
      <c r="X9" s="102">
        <v>0</v>
      </c>
      <c r="Y9" s="102">
        <v>0</v>
      </c>
      <c r="Z9" s="102">
        <v>0</v>
      </c>
      <c r="AA9" s="102">
        <v>0.8</v>
      </c>
      <c r="AB9" s="102">
        <v>0</v>
      </c>
      <c r="AC9" s="102">
        <v>0</v>
      </c>
      <c r="AD9" s="102">
        <v>0</v>
      </c>
      <c r="AE9" s="102">
        <v>0.8</v>
      </c>
      <c r="AF9" s="102">
        <v>0</v>
      </c>
      <c r="AG9" s="102">
        <v>0</v>
      </c>
      <c r="AH9" s="102">
        <v>0</v>
      </c>
      <c r="AI9" s="102">
        <v>0</v>
      </c>
    </row>
    <row r="10" spans="1:35" customFormat="1" x14ac:dyDescent="0.15">
      <c r="A10" s="178" t="s">
        <v>200</v>
      </c>
      <c r="B10" s="102">
        <v>0</v>
      </c>
      <c r="C10" s="102">
        <v>0</v>
      </c>
      <c r="D10" s="102">
        <v>0</v>
      </c>
      <c r="E10" s="102">
        <v>0</v>
      </c>
      <c r="F10" s="102">
        <v>0</v>
      </c>
      <c r="G10" s="102">
        <v>0</v>
      </c>
      <c r="H10" s="102">
        <v>0</v>
      </c>
      <c r="I10" s="102">
        <v>0</v>
      </c>
      <c r="J10" s="102">
        <v>0</v>
      </c>
      <c r="K10" s="102">
        <v>0</v>
      </c>
      <c r="L10" s="102">
        <v>0.8</v>
      </c>
      <c r="M10" s="102">
        <v>0</v>
      </c>
      <c r="N10" s="102">
        <v>0</v>
      </c>
      <c r="O10" s="102">
        <v>0</v>
      </c>
      <c r="P10" s="102">
        <v>0.8</v>
      </c>
      <c r="Q10" s="102">
        <v>0.8</v>
      </c>
      <c r="R10" s="102">
        <v>0.8</v>
      </c>
      <c r="S10" s="102">
        <v>0.8</v>
      </c>
      <c r="T10" s="102">
        <v>0.8</v>
      </c>
      <c r="U10" s="102">
        <v>0.8</v>
      </c>
      <c r="V10" s="102">
        <v>0</v>
      </c>
      <c r="W10" s="102">
        <v>0.8</v>
      </c>
      <c r="X10" s="102">
        <v>0</v>
      </c>
      <c r="Y10" s="102">
        <v>0</v>
      </c>
      <c r="Z10" s="102">
        <v>0.8</v>
      </c>
      <c r="AA10" s="102">
        <v>0.8</v>
      </c>
      <c r="AB10" s="102">
        <v>0</v>
      </c>
      <c r="AC10" s="102">
        <v>0</v>
      </c>
      <c r="AD10" s="102">
        <v>0.8</v>
      </c>
      <c r="AE10" s="102">
        <v>0.8</v>
      </c>
      <c r="AF10" s="102">
        <v>0.8</v>
      </c>
      <c r="AG10" s="102">
        <v>0.8</v>
      </c>
      <c r="AH10" s="102">
        <v>0</v>
      </c>
      <c r="AI10" s="102">
        <v>0</v>
      </c>
    </row>
    <row r="11" spans="1:35" customFormat="1" x14ac:dyDescent="0.15">
      <c r="A11" s="178" t="s">
        <v>201</v>
      </c>
      <c r="B11" s="102">
        <v>0</v>
      </c>
      <c r="C11" s="102">
        <v>0</v>
      </c>
      <c r="D11" s="102">
        <v>0</v>
      </c>
      <c r="E11" s="102">
        <v>0</v>
      </c>
      <c r="F11" s="102">
        <v>0</v>
      </c>
      <c r="G11" s="102">
        <v>0</v>
      </c>
      <c r="H11" s="102">
        <v>0</v>
      </c>
      <c r="I11" s="102">
        <v>0</v>
      </c>
      <c r="J11" s="102">
        <v>0</v>
      </c>
      <c r="K11" s="102">
        <v>0</v>
      </c>
      <c r="L11" s="102">
        <v>0.8</v>
      </c>
      <c r="M11" s="102">
        <v>0</v>
      </c>
      <c r="N11" s="102">
        <v>0</v>
      </c>
      <c r="O11" s="102">
        <v>0</v>
      </c>
      <c r="P11" s="102">
        <v>0.8</v>
      </c>
      <c r="Q11" s="102">
        <v>0</v>
      </c>
      <c r="R11" s="102">
        <v>0.8</v>
      </c>
      <c r="S11" s="102">
        <v>0.8</v>
      </c>
      <c r="T11" s="102">
        <v>0.8</v>
      </c>
      <c r="U11" s="102">
        <v>0</v>
      </c>
      <c r="V11" s="102">
        <v>0</v>
      </c>
      <c r="W11" s="102">
        <v>0</v>
      </c>
      <c r="X11" s="102">
        <v>0</v>
      </c>
      <c r="Y11" s="102">
        <v>0</v>
      </c>
      <c r="Z11" s="102">
        <v>0</v>
      </c>
      <c r="AA11" s="102">
        <v>0</v>
      </c>
      <c r="AB11" s="102">
        <v>0</v>
      </c>
      <c r="AC11" s="102">
        <v>0</v>
      </c>
      <c r="AD11" s="102">
        <v>0</v>
      </c>
      <c r="AE11" s="102">
        <v>0</v>
      </c>
      <c r="AF11" s="102">
        <v>0.8</v>
      </c>
      <c r="AG11" s="102">
        <v>0</v>
      </c>
      <c r="AH11" s="102">
        <v>0</v>
      </c>
      <c r="AI11" s="102">
        <v>0</v>
      </c>
    </row>
    <row r="12" spans="1:35" customFormat="1" x14ac:dyDescent="0.15">
      <c r="A12" s="178" t="s">
        <v>202</v>
      </c>
      <c r="B12" s="102">
        <v>0</v>
      </c>
      <c r="C12" s="102">
        <v>0</v>
      </c>
      <c r="D12" s="102">
        <v>0</v>
      </c>
      <c r="E12" s="102">
        <v>0</v>
      </c>
      <c r="F12" s="102">
        <v>0</v>
      </c>
      <c r="G12" s="102">
        <v>0</v>
      </c>
      <c r="H12" s="102">
        <v>0</v>
      </c>
      <c r="I12" s="102">
        <v>0</v>
      </c>
      <c r="J12" s="102">
        <v>0</v>
      </c>
      <c r="K12" s="102">
        <v>0</v>
      </c>
      <c r="L12" s="102">
        <v>0.8</v>
      </c>
      <c r="M12" s="102">
        <v>0</v>
      </c>
      <c r="N12" s="102">
        <v>0</v>
      </c>
      <c r="O12" s="102">
        <v>0</v>
      </c>
      <c r="P12" s="102">
        <v>0</v>
      </c>
      <c r="Q12" s="102">
        <v>0</v>
      </c>
      <c r="R12" s="102">
        <v>0</v>
      </c>
      <c r="S12" s="102">
        <v>0.8</v>
      </c>
      <c r="T12" s="102">
        <v>0.8</v>
      </c>
      <c r="U12" s="102">
        <v>0</v>
      </c>
      <c r="V12" s="102">
        <v>0</v>
      </c>
      <c r="W12" s="102">
        <v>0.8</v>
      </c>
      <c r="X12" s="102">
        <v>0</v>
      </c>
      <c r="Y12" s="102">
        <v>0</v>
      </c>
      <c r="Z12" s="102">
        <v>0</v>
      </c>
      <c r="AA12" s="102">
        <v>0</v>
      </c>
      <c r="AB12" s="102">
        <v>0</v>
      </c>
      <c r="AC12" s="102">
        <v>0</v>
      </c>
      <c r="AD12" s="102">
        <v>0.8</v>
      </c>
      <c r="AE12" s="102">
        <v>0</v>
      </c>
      <c r="AF12" s="102">
        <v>0</v>
      </c>
      <c r="AG12" s="102">
        <v>0.8</v>
      </c>
      <c r="AH12" s="102">
        <v>0</v>
      </c>
      <c r="AI12" s="102">
        <v>0</v>
      </c>
    </row>
    <row r="13" spans="1:35" customFormat="1" x14ac:dyDescent="0.15">
      <c r="A13" s="178" t="s">
        <v>203</v>
      </c>
      <c r="B13" s="102">
        <v>0</v>
      </c>
      <c r="C13" s="102">
        <v>0</v>
      </c>
      <c r="D13" s="102">
        <v>0</v>
      </c>
      <c r="E13" s="102">
        <v>0</v>
      </c>
      <c r="F13" s="102">
        <v>0</v>
      </c>
      <c r="G13" s="102">
        <v>0</v>
      </c>
      <c r="H13" s="102">
        <v>0</v>
      </c>
      <c r="I13" s="102">
        <v>0</v>
      </c>
      <c r="J13" s="102">
        <v>0</v>
      </c>
      <c r="K13" s="102">
        <v>0</v>
      </c>
      <c r="L13" s="102">
        <v>0.8</v>
      </c>
      <c r="M13" s="102">
        <v>0</v>
      </c>
      <c r="N13" s="102">
        <v>0</v>
      </c>
      <c r="O13" s="102">
        <v>0</v>
      </c>
      <c r="P13" s="102">
        <v>0</v>
      </c>
      <c r="Q13" s="102">
        <v>0</v>
      </c>
      <c r="R13" s="102">
        <v>0.8</v>
      </c>
      <c r="S13" s="102">
        <v>0.8</v>
      </c>
      <c r="T13" s="102">
        <v>0.8</v>
      </c>
      <c r="U13" s="102">
        <v>0</v>
      </c>
      <c r="V13" s="102">
        <v>0</v>
      </c>
      <c r="W13" s="102">
        <v>0.8</v>
      </c>
      <c r="X13" s="102">
        <v>0</v>
      </c>
      <c r="Y13" s="102">
        <v>0.8</v>
      </c>
      <c r="Z13" s="102">
        <v>0.8</v>
      </c>
      <c r="AA13" s="102">
        <v>0.8</v>
      </c>
      <c r="AB13" s="102">
        <v>0</v>
      </c>
      <c r="AC13" s="102">
        <v>0</v>
      </c>
      <c r="AD13" s="102">
        <v>0.8</v>
      </c>
      <c r="AE13" s="102">
        <v>0</v>
      </c>
      <c r="AF13" s="102">
        <v>0</v>
      </c>
      <c r="AG13" s="102">
        <v>0</v>
      </c>
      <c r="AH13" s="102">
        <v>0</v>
      </c>
      <c r="AI13" s="102">
        <v>0</v>
      </c>
    </row>
    <row r="14" spans="1:35" customFormat="1" x14ac:dyDescent="0.15">
      <c r="A14" s="178" t="s">
        <v>204</v>
      </c>
      <c r="B14" s="102">
        <v>0</v>
      </c>
      <c r="C14" s="102">
        <v>0</v>
      </c>
      <c r="D14" s="102">
        <v>0</v>
      </c>
      <c r="E14" s="102">
        <v>0</v>
      </c>
      <c r="F14" s="102">
        <v>0</v>
      </c>
      <c r="G14" s="102">
        <v>0</v>
      </c>
      <c r="H14" s="102">
        <v>0</v>
      </c>
      <c r="I14" s="102">
        <v>0</v>
      </c>
      <c r="J14" s="102">
        <v>0</v>
      </c>
      <c r="K14" s="102">
        <v>0</v>
      </c>
      <c r="L14" s="102">
        <v>0.8</v>
      </c>
      <c r="M14" s="102">
        <v>0</v>
      </c>
      <c r="N14" s="102">
        <v>0</v>
      </c>
      <c r="O14" s="102">
        <v>0.8</v>
      </c>
      <c r="P14" s="102">
        <v>0.8</v>
      </c>
      <c r="Q14" s="102">
        <v>0.8</v>
      </c>
      <c r="R14" s="102">
        <v>0.8</v>
      </c>
      <c r="S14" s="102">
        <v>0.8</v>
      </c>
      <c r="T14" s="102">
        <v>0.8</v>
      </c>
      <c r="U14" s="102">
        <v>0</v>
      </c>
      <c r="V14" s="102">
        <v>0</v>
      </c>
      <c r="W14" s="102">
        <v>0.8</v>
      </c>
      <c r="X14" s="102">
        <v>0</v>
      </c>
      <c r="Y14" s="102">
        <v>0</v>
      </c>
      <c r="Z14" s="102">
        <v>0.8</v>
      </c>
      <c r="AA14" s="102">
        <v>0.8</v>
      </c>
      <c r="AB14" s="102">
        <v>0.8</v>
      </c>
      <c r="AC14" s="102">
        <v>0</v>
      </c>
      <c r="AD14" s="102">
        <v>0</v>
      </c>
      <c r="AE14" s="102">
        <v>0.8</v>
      </c>
      <c r="AF14" s="102">
        <v>0.8</v>
      </c>
      <c r="AG14" s="102">
        <v>0</v>
      </c>
      <c r="AH14" s="102">
        <v>0</v>
      </c>
      <c r="AI14" s="102">
        <v>0</v>
      </c>
    </row>
    <row r="15" spans="1:35" customFormat="1" x14ac:dyDescent="0.15">
      <c r="A15" s="178" t="s">
        <v>205</v>
      </c>
      <c r="B15" s="102">
        <v>0</v>
      </c>
      <c r="C15" s="102">
        <v>0</v>
      </c>
      <c r="D15" s="102">
        <v>0</v>
      </c>
      <c r="E15" s="102">
        <v>0</v>
      </c>
      <c r="F15" s="102">
        <v>0</v>
      </c>
      <c r="G15" s="102">
        <v>0</v>
      </c>
      <c r="H15" s="102">
        <v>0</v>
      </c>
      <c r="I15" s="102">
        <v>0</v>
      </c>
      <c r="J15" s="102">
        <v>0</v>
      </c>
      <c r="K15" s="102">
        <v>0</v>
      </c>
      <c r="L15" s="102">
        <v>0</v>
      </c>
      <c r="M15" s="102">
        <v>0</v>
      </c>
      <c r="N15" s="102">
        <v>0</v>
      </c>
      <c r="O15" s="102">
        <v>0</v>
      </c>
      <c r="P15" s="102">
        <v>0</v>
      </c>
      <c r="Q15" s="102">
        <v>0</v>
      </c>
      <c r="R15" s="102">
        <v>0</v>
      </c>
      <c r="S15" s="102">
        <v>0</v>
      </c>
      <c r="T15" s="102">
        <v>0.8</v>
      </c>
      <c r="U15" s="102">
        <v>0</v>
      </c>
      <c r="V15" s="102">
        <v>0</v>
      </c>
      <c r="W15" s="102">
        <v>0.8</v>
      </c>
      <c r="X15" s="102">
        <v>0</v>
      </c>
      <c r="Y15" s="102">
        <v>0</v>
      </c>
      <c r="Z15" s="102">
        <v>0</v>
      </c>
      <c r="AA15" s="102">
        <v>0</v>
      </c>
      <c r="AB15" s="102">
        <v>0</v>
      </c>
      <c r="AC15" s="102">
        <v>0</v>
      </c>
      <c r="AD15" s="102">
        <v>0.8</v>
      </c>
      <c r="AE15" s="102">
        <v>0</v>
      </c>
      <c r="AF15" s="102">
        <v>0.8</v>
      </c>
      <c r="AG15" s="102">
        <v>0.8</v>
      </c>
      <c r="AH15" s="102">
        <v>0</v>
      </c>
      <c r="AI15" s="102">
        <v>0</v>
      </c>
    </row>
    <row r="16" spans="1:35" customFormat="1" x14ac:dyDescent="0.15">
      <c r="A16" s="178" t="s">
        <v>206</v>
      </c>
      <c r="B16" s="102">
        <v>0</v>
      </c>
      <c r="C16" s="102">
        <v>0</v>
      </c>
      <c r="D16" s="102">
        <v>0</v>
      </c>
      <c r="E16" s="102">
        <v>0</v>
      </c>
      <c r="F16" s="102">
        <v>0</v>
      </c>
      <c r="G16" s="102">
        <v>0</v>
      </c>
      <c r="H16" s="102">
        <v>0</v>
      </c>
      <c r="I16" s="102">
        <v>0</v>
      </c>
      <c r="J16" s="102">
        <v>0</v>
      </c>
      <c r="K16" s="102">
        <v>0</v>
      </c>
      <c r="L16" s="102">
        <v>0</v>
      </c>
      <c r="M16" s="102">
        <v>0</v>
      </c>
      <c r="N16" s="102">
        <v>0</v>
      </c>
      <c r="O16" s="102">
        <v>0</v>
      </c>
      <c r="P16" s="102">
        <v>0</v>
      </c>
      <c r="Q16" s="102">
        <v>0</v>
      </c>
      <c r="R16" s="102">
        <v>0</v>
      </c>
      <c r="S16" s="102">
        <v>0</v>
      </c>
      <c r="T16" s="102">
        <v>0.8</v>
      </c>
      <c r="U16" s="102">
        <v>0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0</v>
      </c>
      <c r="AC16" s="102">
        <v>0</v>
      </c>
      <c r="AD16" s="102">
        <v>0</v>
      </c>
      <c r="AE16" s="102">
        <v>0</v>
      </c>
      <c r="AF16" s="102">
        <v>0</v>
      </c>
      <c r="AG16" s="102">
        <v>0.8</v>
      </c>
      <c r="AH16" s="102">
        <v>0</v>
      </c>
      <c r="AI16" s="102">
        <v>0</v>
      </c>
    </row>
    <row r="17" spans="1:35" customFormat="1" x14ac:dyDescent="0.15">
      <c r="A17" s="178" t="s">
        <v>207</v>
      </c>
      <c r="B17" s="102">
        <v>0</v>
      </c>
      <c r="C17" s="102">
        <v>0</v>
      </c>
      <c r="D17" s="102">
        <v>0</v>
      </c>
      <c r="E17" s="102">
        <v>0</v>
      </c>
      <c r="F17" s="102">
        <v>0</v>
      </c>
      <c r="G17" s="102">
        <v>0</v>
      </c>
      <c r="H17" s="102">
        <v>0</v>
      </c>
      <c r="I17" s="102">
        <v>0</v>
      </c>
      <c r="J17" s="102">
        <v>0</v>
      </c>
      <c r="K17" s="102">
        <v>0</v>
      </c>
      <c r="L17" s="102">
        <v>0</v>
      </c>
      <c r="M17" s="102">
        <v>0</v>
      </c>
      <c r="N17" s="102">
        <v>0</v>
      </c>
      <c r="O17" s="102">
        <v>0</v>
      </c>
      <c r="P17" s="102">
        <v>0</v>
      </c>
      <c r="Q17" s="102">
        <v>0</v>
      </c>
      <c r="R17" s="102">
        <v>0.8</v>
      </c>
      <c r="S17" s="102">
        <v>0</v>
      </c>
      <c r="T17" s="102">
        <v>0</v>
      </c>
      <c r="U17" s="102">
        <v>0</v>
      </c>
      <c r="V17" s="102">
        <v>0</v>
      </c>
      <c r="W17" s="102">
        <v>0.8</v>
      </c>
      <c r="X17" s="102">
        <v>0</v>
      </c>
      <c r="Y17" s="102">
        <v>0</v>
      </c>
      <c r="Z17" s="102">
        <v>0</v>
      </c>
      <c r="AA17" s="102">
        <v>0.8</v>
      </c>
      <c r="AB17" s="102">
        <v>0</v>
      </c>
      <c r="AC17" s="102">
        <v>0</v>
      </c>
      <c r="AD17" s="102">
        <v>0.8</v>
      </c>
      <c r="AE17" s="102">
        <v>0</v>
      </c>
      <c r="AF17" s="102">
        <v>0</v>
      </c>
      <c r="AG17" s="102">
        <v>0</v>
      </c>
      <c r="AH17" s="102">
        <v>0</v>
      </c>
      <c r="AI17" s="102">
        <v>0</v>
      </c>
    </row>
    <row r="18" spans="1:35" customFormat="1" x14ac:dyDescent="0.15">
      <c r="A18" s="178" t="s">
        <v>208</v>
      </c>
      <c r="B18" s="102">
        <v>0</v>
      </c>
      <c r="C18" s="102">
        <v>0</v>
      </c>
      <c r="D18" s="102">
        <v>0</v>
      </c>
      <c r="E18" s="102">
        <v>0</v>
      </c>
      <c r="F18" s="102">
        <v>0</v>
      </c>
      <c r="G18" s="102">
        <v>0</v>
      </c>
      <c r="H18" s="102">
        <v>0</v>
      </c>
      <c r="I18" s="102">
        <v>0</v>
      </c>
      <c r="J18" s="102">
        <v>0</v>
      </c>
      <c r="K18" s="102">
        <v>0</v>
      </c>
      <c r="L18" s="102">
        <v>0.8</v>
      </c>
      <c r="M18" s="102">
        <v>0</v>
      </c>
      <c r="N18" s="102">
        <v>0</v>
      </c>
      <c r="O18" s="102">
        <v>0</v>
      </c>
      <c r="P18" s="102">
        <v>0</v>
      </c>
      <c r="Q18" s="102">
        <v>0</v>
      </c>
      <c r="R18" s="102">
        <v>0.8</v>
      </c>
      <c r="S18" s="102">
        <v>0.8</v>
      </c>
      <c r="T18" s="102">
        <v>0.8</v>
      </c>
      <c r="U18" s="102">
        <v>0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>
        <v>0</v>
      </c>
      <c r="AD18" s="102">
        <v>0.8</v>
      </c>
      <c r="AE18" s="102">
        <v>0</v>
      </c>
      <c r="AF18" s="102">
        <v>0.8</v>
      </c>
      <c r="AG18" s="102">
        <v>0</v>
      </c>
      <c r="AH18" s="102">
        <v>0</v>
      </c>
      <c r="AI18" s="102">
        <v>0</v>
      </c>
    </row>
    <row r="19" spans="1:35" customFormat="1" x14ac:dyDescent="0.15">
      <c r="A19" s="178" t="s">
        <v>209</v>
      </c>
      <c r="B19" s="102">
        <v>0</v>
      </c>
      <c r="C19" s="102">
        <v>0</v>
      </c>
      <c r="D19" s="102">
        <v>0</v>
      </c>
      <c r="E19" s="102">
        <v>0</v>
      </c>
      <c r="F19" s="102">
        <v>0</v>
      </c>
      <c r="G19" s="102">
        <v>0</v>
      </c>
      <c r="H19" s="102">
        <v>0</v>
      </c>
      <c r="I19" s="102">
        <v>0</v>
      </c>
      <c r="J19" s="102">
        <v>0</v>
      </c>
      <c r="K19" s="102">
        <v>0</v>
      </c>
      <c r="L19" s="102">
        <v>0</v>
      </c>
      <c r="M19" s="102">
        <v>0</v>
      </c>
      <c r="N19" s="102">
        <v>0</v>
      </c>
      <c r="O19" s="102">
        <v>0</v>
      </c>
      <c r="P19" s="102">
        <v>0</v>
      </c>
      <c r="Q19" s="102">
        <v>0</v>
      </c>
      <c r="R19" s="102">
        <v>0</v>
      </c>
      <c r="S19" s="102">
        <v>0</v>
      </c>
      <c r="T19" s="102">
        <v>0</v>
      </c>
      <c r="U19" s="102">
        <v>0</v>
      </c>
      <c r="V19" s="102">
        <v>0</v>
      </c>
      <c r="W19" s="102">
        <v>0</v>
      </c>
      <c r="X19" s="102">
        <v>0</v>
      </c>
      <c r="Y19" s="102">
        <v>0.8</v>
      </c>
      <c r="Z19" s="102">
        <v>0</v>
      </c>
      <c r="AA19" s="102">
        <v>0</v>
      </c>
      <c r="AB19" s="102">
        <v>0</v>
      </c>
      <c r="AC19" s="102">
        <v>0</v>
      </c>
      <c r="AD19" s="102">
        <v>0.8</v>
      </c>
      <c r="AE19" s="102">
        <v>0</v>
      </c>
      <c r="AF19" s="102">
        <v>0</v>
      </c>
      <c r="AG19" s="102">
        <v>0</v>
      </c>
      <c r="AH19" s="102">
        <v>0</v>
      </c>
      <c r="AI19" s="102">
        <v>0</v>
      </c>
    </row>
    <row r="20" spans="1:35" customFormat="1" x14ac:dyDescent="0.15">
      <c r="A20" s="178" t="s">
        <v>210</v>
      </c>
      <c r="B20" s="102">
        <v>0</v>
      </c>
      <c r="C20" s="102">
        <v>0</v>
      </c>
      <c r="D20" s="102">
        <v>0</v>
      </c>
      <c r="E20" s="102">
        <v>0</v>
      </c>
      <c r="F20" s="102">
        <v>0</v>
      </c>
      <c r="G20" s="102">
        <v>0</v>
      </c>
      <c r="H20" s="102">
        <v>0</v>
      </c>
      <c r="I20" s="102">
        <v>0</v>
      </c>
      <c r="J20" s="102">
        <v>0</v>
      </c>
      <c r="K20" s="102">
        <v>0</v>
      </c>
      <c r="L20" s="102">
        <v>0</v>
      </c>
      <c r="M20" s="102">
        <v>0</v>
      </c>
      <c r="N20" s="102">
        <v>0</v>
      </c>
      <c r="O20" s="102">
        <v>0</v>
      </c>
      <c r="P20" s="102">
        <v>0</v>
      </c>
      <c r="Q20" s="102">
        <v>0</v>
      </c>
      <c r="R20" s="102">
        <v>0</v>
      </c>
      <c r="S20" s="102">
        <v>0</v>
      </c>
      <c r="T20" s="102">
        <v>0</v>
      </c>
      <c r="U20" s="102">
        <v>0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>
        <v>0</v>
      </c>
      <c r="AD20" s="102">
        <v>0.8</v>
      </c>
      <c r="AE20" s="102">
        <v>0</v>
      </c>
      <c r="AF20" s="102">
        <v>0</v>
      </c>
      <c r="AG20" s="102">
        <v>0</v>
      </c>
      <c r="AH20" s="102">
        <v>0</v>
      </c>
      <c r="AI20" s="102">
        <v>0</v>
      </c>
    </row>
    <row r="21" spans="1:35" customFormat="1" x14ac:dyDescent="0.15">
      <c r="A21" s="178" t="s">
        <v>211</v>
      </c>
      <c r="B21" s="102">
        <v>0</v>
      </c>
      <c r="C21" s="102">
        <v>0</v>
      </c>
      <c r="D21" s="102">
        <v>0</v>
      </c>
      <c r="E21" s="102">
        <v>0</v>
      </c>
      <c r="F21" s="102">
        <v>0</v>
      </c>
      <c r="G21" s="102">
        <v>0</v>
      </c>
      <c r="H21" s="102">
        <v>0</v>
      </c>
      <c r="I21" s="102">
        <v>0</v>
      </c>
      <c r="J21" s="102">
        <v>0</v>
      </c>
      <c r="K21" s="102">
        <v>0</v>
      </c>
      <c r="L21" s="102">
        <v>0</v>
      </c>
      <c r="M21" s="102">
        <v>0</v>
      </c>
      <c r="N21" s="102">
        <v>0</v>
      </c>
      <c r="O21" s="102">
        <v>0</v>
      </c>
      <c r="P21" s="102">
        <v>0</v>
      </c>
      <c r="Q21" s="102">
        <v>0</v>
      </c>
      <c r="R21" s="102">
        <v>0</v>
      </c>
      <c r="S21" s="102">
        <v>0</v>
      </c>
      <c r="T21" s="102">
        <v>0</v>
      </c>
      <c r="U21" s="102">
        <v>0</v>
      </c>
      <c r="V21" s="102">
        <v>0</v>
      </c>
      <c r="W21" s="102">
        <v>0.8</v>
      </c>
      <c r="X21" s="102">
        <v>0</v>
      </c>
      <c r="Y21" s="102">
        <v>0.8</v>
      </c>
      <c r="Z21" s="102">
        <v>0</v>
      </c>
      <c r="AA21" s="102">
        <v>0</v>
      </c>
      <c r="AB21" s="102">
        <v>0</v>
      </c>
      <c r="AC21" s="102">
        <v>0</v>
      </c>
      <c r="AD21" s="102">
        <v>0</v>
      </c>
      <c r="AE21" s="102">
        <v>0</v>
      </c>
      <c r="AF21" s="102">
        <v>0</v>
      </c>
      <c r="AG21" s="102">
        <v>0</v>
      </c>
      <c r="AH21" s="102">
        <v>0</v>
      </c>
      <c r="AI21" s="102">
        <v>0</v>
      </c>
    </row>
    <row r="22" spans="1:35" customFormat="1" x14ac:dyDescent="0.15">
      <c r="A22" s="178" t="s">
        <v>212</v>
      </c>
      <c r="B22" s="102">
        <v>0</v>
      </c>
      <c r="C22" s="102">
        <v>0</v>
      </c>
      <c r="D22" s="102">
        <v>0</v>
      </c>
      <c r="E22" s="102">
        <v>0</v>
      </c>
      <c r="F22" s="102">
        <v>0</v>
      </c>
      <c r="G22" s="102">
        <v>0</v>
      </c>
      <c r="H22" s="102">
        <v>0</v>
      </c>
      <c r="I22" s="102">
        <v>0</v>
      </c>
      <c r="J22" s="102">
        <v>0</v>
      </c>
      <c r="K22" s="102">
        <v>0</v>
      </c>
      <c r="L22" s="102">
        <v>0</v>
      </c>
      <c r="M22" s="102">
        <v>0.8</v>
      </c>
      <c r="N22" s="102">
        <v>0</v>
      </c>
      <c r="O22" s="102">
        <v>0.8</v>
      </c>
      <c r="P22" s="102">
        <v>0.8</v>
      </c>
      <c r="Q22" s="102">
        <v>0.8</v>
      </c>
      <c r="R22" s="102">
        <v>0.8</v>
      </c>
      <c r="S22" s="102">
        <v>0.8</v>
      </c>
      <c r="T22" s="102">
        <v>0.8</v>
      </c>
      <c r="U22" s="102">
        <v>0</v>
      </c>
      <c r="V22" s="102">
        <v>0</v>
      </c>
      <c r="W22" s="102">
        <v>0.8</v>
      </c>
      <c r="X22" s="102">
        <v>0</v>
      </c>
      <c r="Y22" s="102">
        <v>0.8</v>
      </c>
      <c r="Z22" s="102">
        <v>0.8</v>
      </c>
      <c r="AA22" s="102">
        <v>0.8</v>
      </c>
      <c r="AB22" s="102">
        <v>0</v>
      </c>
      <c r="AC22" s="102">
        <v>0</v>
      </c>
      <c r="AD22" s="102">
        <v>0.8</v>
      </c>
      <c r="AE22" s="102">
        <v>0.8</v>
      </c>
      <c r="AF22" s="102">
        <v>0.8</v>
      </c>
      <c r="AG22" s="102">
        <v>0</v>
      </c>
      <c r="AH22" s="102">
        <v>0</v>
      </c>
      <c r="AI22" s="102">
        <v>0</v>
      </c>
    </row>
    <row r="23" spans="1:35" customFormat="1" x14ac:dyDescent="0.15">
      <c r="A23" s="178" t="s">
        <v>213</v>
      </c>
      <c r="B23" s="102">
        <v>0</v>
      </c>
      <c r="C23" s="102">
        <v>0</v>
      </c>
      <c r="D23" s="102">
        <v>0</v>
      </c>
      <c r="E23" s="102">
        <v>0</v>
      </c>
      <c r="F23" s="102">
        <v>0</v>
      </c>
      <c r="G23" s="102">
        <v>0</v>
      </c>
      <c r="H23" s="102">
        <v>0</v>
      </c>
      <c r="I23" s="102">
        <v>0</v>
      </c>
      <c r="J23" s="102">
        <v>0</v>
      </c>
      <c r="K23" s="102">
        <v>0</v>
      </c>
      <c r="L23" s="102">
        <v>0</v>
      </c>
      <c r="M23" s="102">
        <v>0</v>
      </c>
      <c r="N23" s="102">
        <v>0</v>
      </c>
      <c r="O23" s="102">
        <v>0</v>
      </c>
      <c r="P23" s="102">
        <v>0</v>
      </c>
      <c r="Q23" s="102">
        <v>0</v>
      </c>
      <c r="R23" s="102">
        <v>0</v>
      </c>
      <c r="S23" s="102">
        <v>0</v>
      </c>
      <c r="T23" s="102">
        <v>0</v>
      </c>
      <c r="U23" s="102">
        <v>0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>
        <v>0</v>
      </c>
      <c r="AD23" s="102">
        <v>0</v>
      </c>
      <c r="AE23" s="102">
        <v>0</v>
      </c>
      <c r="AF23" s="102">
        <v>0</v>
      </c>
      <c r="AG23" s="102">
        <v>0</v>
      </c>
      <c r="AH23" s="102">
        <v>0</v>
      </c>
      <c r="AI23" s="102">
        <v>0</v>
      </c>
    </row>
    <row r="24" spans="1:35" customFormat="1" x14ac:dyDescent="0.15">
      <c r="A24" s="178" t="s">
        <v>214</v>
      </c>
      <c r="B24" s="102">
        <v>0</v>
      </c>
      <c r="C24" s="102">
        <v>0</v>
      </c>
      <c r="D24" s="102">
        <v>0</v>
      </c>
      <c r="E24" s="102">
        <v>0</v>
      </c>
      <c r="F24" s="102">
        <v>0</v>
      </c>
      <c r="G24" s="102">
        <v>0</v>
      </c>
      <c r="H24" s="102">
        <v>0</v>
      </c>
      <c r="I24" s="102">
        <v>0</v>
      </c>
      <c r="J24" s="102">
        <v>0</v>
      </c>
      <c r="K24" s="102">
        <v>0</v>
      </c>
      <c r="L24" s="102">
        <v>0</v>
      </c>
      <c r="M24" s="102">
        <v>0</v>
      </c>
      <c r="N24" s="102">
        <v>0</v>
      </c>
      <c r="O24" s="102">
        <v>0</v>
      </c>
      <c r="P24" s="102">
        <v>0</v>
      </c>
      <c r="Q24" s="102">
        <v>0</v>
      </c>
      <c r="R24" s="102">
        <v>0</v>
      </c>
      <c r="S24" s="102">
        <v>0</v>
      </c>
      <c r="T24" s="102">
        <v>0</v>
      </c>
      <c r="U24" s="102">
        <v>0</v>
      </c>
      <c r="V24" s="102">
        <v>0</v>
      </c>
      <c r="W24" s="102">
        <v>0.8</v>
      </c>
      <c r="X24" s="102">
        <v>0</v>
      </c>
      <c r="Y24" s="102">
        <v>0</v>
      </c>
      <c r="Z24" s="102">
        <v>0</v>
      </c>
      <c r="AA24" s="102">
        <v>0.8</v>
      </c>
      <c r="AB24" s="102">
        <v>0</v>
      </c>
      <c r="AC24" s="102">
        <v>0</v>
      </c>
      <c r="AD24" s="102">
        <v>0</v>
      </c>
      <c r="AE24" s="102">
        <v>0</v>
      </c>
      <c r="AF24" s="102">
        <v>0</v>
      </c>
      <c r="AG24" s="102">
        <v>0</v>
      </c>
      <c r="AH24" s="102">
        <v>0</v>
      </c>
      <c r="AI24" s="102">
        <v>0</v>
      </c>
    </row>
    <row r="25" spans="1:35" customFormat="1" x14ac:dyDescent="0.15">
      <c r="A25" s="178" t="s">
        <v>215</v>
      </c>
      <c r="B25" s="102">
        <v>0</v>
      </c>
      <c r="C25" s="102">
        <v>0</v>
      </c>
      <c r="D25" s="102">
        <v>0</v>
      </c>
      <c r="E25" s="102">
        <v>0</v>
      </c>
      <c r="F25" s="102">
        <v>0</v>
      </c>
      <c r="G25" s="102">
        <v>0</v>
      </c>
      <c r="H25" s="102">
        <v>0</v>
      </c>
      <c r="I25" s="102">
        <v>0</v>
      </c>
      <c r="J25" s="102">
        <v>0</v>
      </c>
      <c r="K25" s="102">
        <v>0</v>
      </c>
      <c r="L25" s="102">
        <v>0</v>
      </c>
      <c r="M25" s="102">
        <v>0</v>
      </c>
      <c r="N25" s="102">
        <v>0</v>
      </c>
      <c r="O25" s="102">
        <v>0</v>
      </c>
      <c r="P25" s="102">
        <v>0</v>
      </c>
      <c r="Q25" s="102">
        <v>0</v>
      </c>
      <c r="R25" s="102">
        <v>0</v>
      </c>
      <c r="S25" s="102">
        <v>0</v>
      </c>
      <c r="T25" s="102">
        <v>0</v>
      </c>
      <c r="U25" s="102">
        <v>0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0</v>
      </c>
      <c r="AC25" s="102">
        <v>0</v>
      </c>
      <c r="AD25" s="102">
        <v>0</v>
      </c>
      <c r="AE25" s="102">
        <v>0</v>
      </c>
      <c r="AF25" s="102">
        <v>0</v>
      </c>
      <c r="AG25" s="102">
        <v>0</v>
      </c>
      <c r="AH25" s="102">
        <v>0</v>
      </c>
      <c r="AI25" s="102">
        <v>0</v>
      </c>
    </row>
    <row r="26" spans="1:35" customFormat="1" x14ac:dyDescent="0.15">
      <c r="A26" s="178" t="s">
        <v>216</v>
      </c>
      <c r="B26" s="102">
        <v>0</v>
      </c>
      <c r="C26" s="102">
        <v>0</v>
      </c>
      <c r="D26" s="102">
        <v>0</v>
      </c>
      <c r="E26" s="102">
        <v>0</v>
      </c>
      <c r="F26" s="102">
        <v>0</v>
      </c>
      <c r="G26" s="102">
        <v>0</v>
      </c>
      <c r="H26" s="102">
        <v>0</v>
      </c>
      <c r="I26" s="102">
        <v>0</v>
      </c>
      <c r="J26" s="102">
        <v>0</v>
      </c>
      <c r="K26" s="102">
        <v>0</v>
      </c>
      <c r="L26" s="102">
        <v>0</v>
      </c>
      <c r="M26" s="102">
        <v>0</v>
      </c>
      <c r="N26" s="102">
        <v>0</v>
      </c>
      <c r="O26" s="102">
        <v>0</v>
      </c>
      <c r="P26" s="102">
        <v>0</v>
      </c>
      <c r="Q26" s="102">
        <v>0</v>
      </c>
      <c r="R26" s="102">
        <v>0.8</v>
      </c>
      <c r="S26" s="102">
        <v>0.8</v>
      </c>
      <c r="T26" s="102">
        <v>0.8</v>
      </c>
      <c r="U26" s="102">
        <v>0.8</v>
      </c>
      <c r="V26" s="102">
        <v>0</v>
      </c>
      <c r="W26" s="102">
        <v>0.8</v>
      </c>
      <c r="X26" s="102">
        <v>0</v>
      </c>
      <c r="Y26" s="102">
        <v>0.8</v>
      </c>
      <c r="Z26" s="102">
        <v>0.8</v>
      </c>
      <c r="AA26" s="102">
        <v>0.8</v>
      </c>
      <c r="AB26" s="102">
        <v>0</v>
      </c>
      <c r="AC26" s="102">
        <v>0</v>
      </c>
      <c r="AD26" s="102">
        <v>0.8</v>
      </c>
      <c r="AE26" s="102">
        <v>0</v>
      </c>
      <c r="AF26" s="102">
        <v>0.8</v>
      </c>
      <c r="AG26" s="102">
        <v>0</v>
      </c>
      <c r="AH26" s="102">
        <v>0</v>
      </c>
      <c r="AI26" s="102">
        <v>0</v>
      </c>
    </row>
    <row r="27" spans="1:35" customFormat="1" x14ac:dyDescent="0.15">
      <c r="A27" s="178" t="s">
        <v>217</v>
      </c>
      <c r="B27" s="102">
        <v>0</v>
      </c>
      <c r="C27" s="102">
        <v>0</v>
      </c>
      <c r="D27" s="102">
        <v>0</v>
      </c>
      <c r="E27" s="102">
        <v>0</v>
      </c>
      <c r="F27" s="102">
        <v>0</v>
      </c>
      <c r="G27" s="102">
        <v>0</v>
      </c>
      <c r="H27" s="102">
        <v>0</v>
      </c>
      <c r="I27" s="102">
        <v>0</v>
      </c>
      <c r="J27" s="102">
        <v>0</v>
      </c>
      <c r="K27" s="102">
        <v>0</v>
      </c>
      <c r="L27" s="102">
        <v>0</v>
      </c>
      <c r="M27" s="102">
        <v>0</v>
      </c>
      <c r="N27" s="102">
        <v>0</v>
      </c>
      <c r="O27" s="102">
        <v>0</v>
      </c>
      <c r="P27" s="102">
        <v>0</v>
      </c>
      <c r="Q27" s="102">
        <v>0</v>
      </c>
      <c r="R27" s="102">
        <v>0.8</v>
      </c>
      <c r="S27" s="102">
        <v>0.8</v>
      </c>
      <c r="T27" s="102">
        <v>0.8</v>
      </c>
      <c r="U27" s="102">
        <v>0</v>
      </c>
      <c r="V27" s="102">
        <v>0</v>
      </c>
      <c r="W27" s="102">
        <v>0.8</v>
      </c>
      <c r="X27" s="102">
        <v>0</v>
      </c>
      <c r="Y27" s="102">
        <v>0</v>
      </c>
      <c r="Z27" s="102">
        <v>0</v>
      </c>
      <c r="AA27" s="102">
        <v>0.8</v>
      </c>
      <c r="AB27" s="102">
        <v>0</v>
      </c>
      <c r="AC27" s="102">
        <v>0</v>
      </c>
      <c r="AD27" s="102">
        <v>0</v>
      </c>
      <c r="AE27" s="102">
        <v>0</v>
      </c>
      <c r="AF27" s="102">
        <v>0.8</v>
      </c>
      <c r="AG27" s="102">
        <v>0</v>
      </c>
      <c r="AH27" s="102">
        <v>0</v>
      </c>
      <c r="AI27" s="102">
        <v>0</v>
      </c>
    </row>
    <row r="28" spans="1:35" customFormat="1" x14ac:dyDescent="0.15">
      <c r="A28" s="178" t="s">
        <v>218</v>
      </c>
      <c r="B28" s="102">
        <v>0</v>
      </c>
      <c r="C28" s="102">
        <v>0</v>
      </c>
      <c r="D28" s="102">
        <v>0</v>
      </c>
      <c r="E28" s="102">
        <v>0</v>
      </c>
      <c r="F28" s="102">
        <v>0</v>
      </c>
      <c r="G28" s="102">
        <v>0</v>
      </c>
      <c r="H28" s="102">
        <v>0</v>
      </c>
      <c r="I28" s="102">
        <v>0</v>
      </c>
      <c r="J28" s="102">
        <v>0</v>
      </c>
      <c r="K28" s="102">
        <v>0</v>
      </c>
      <c r="L28" s="102">
        <v>0</v>
      </c>
      <c r="M28" s="102">
        <v>0</v>
      </c>
      <c r="N28" s="102">
        <v>0</v>
      </c>
      <c r="O28" s="102">
        <v>0</v>
      </c>
      <c r="P28" s="102">
        <v>0.8</v>
      </c>
      <c r="Q28" s="102">
        <v>0</v>
      </c>
      <c r="R28" s="102">
        <v>0</v>
      </c>
      <c r="S28" s="102">
        <v>0</v>
      </c>
      <c r="T28" s="102">
        <v>0.8</v>
      </c>
      <c r="U28" s="102">
        <v>0</v>
      </c>
      <c r="V28" s="102">
        <v>0</v>
      </c>
      <c r="W28" s="102">
        <v>0</v>
      </c>
      <c r="X28" s="102">
        <v>0</v>
      </c>
      <c r="Y28" s="102">
        <v>0.8</v>
      </c>
      <c r="Z28" s="102">
        <v>0</v>
      </c>
      <c r="AA28" s="102">
        <v>0</v>
      </c>
      <c r="AB28" s="102">
        <v>0</v>
      </c>
      <c r="AC28" s="102">
        <v>0</v>
      </c>
      <c r="AD28" s="102">
        <v>0.8</v>
      </c>
      <c r="AE28" s="102">
        <v>0</v>
      </c>
      <c r="AF28" s="102">
        <v>0</v>
      </c>
      <c r="AG28" s="102">
        <v>0</v>
      </c>
      <c r="AH28" s="102">
        <v>0</v>
      </c>
      <c r="AI28" s="102">
        <v>0</v>
      </c>
    </row>
    <row r="29" spans="1:35" customFormat="1" x14ac:dyDescent="0.15">
      <c r="A29" s="178" t="s">
        <v>219</v>
      </c>
      <c r="B29" s="102">
        <v>0</v>
      </c>
      <c r="C29" s="102">
        <v>0</v>
      </c>
      <c r="D29" s="102">
        <v>0</v>
      </c>
      <c r="E29" s="102">
        <v>0</v>
      </c>
      <c r="F29" s="102">
        <v>0</v>
      </c>
      <c r="G29" s="102">
        <v>0</v>
      </c>
      <c r="H29" s="102">
        <v>0</v>
      </c>
      <c r="I29" s="102">
        <v>0</v>
      </c>
      <c r="J29" s="102">
        <v>0</v>
      </c>
      <c r="K29" s="102">
        <v>0</v>
      </c>
      <c r="L29" s="102">
        <v>0</v>
      </c>
      <c r="M29" s="102">
        <v>0</v>
      </c>
      <c r="N29" s="102">
        <v>0</v>
      </c>
      <c r="O29" s="102">
        <v>0</v>
      </c>
      <c r="P29" s="102">
        <v>0</v>
      </c>
      <c r="Q29" s="102">
        <v>0</v>
      </c>
      <c r="R29" s="102">
        <v>0</v>
      </c>
      <c r="S29" s="102">
        <v>0</v>
      </c>
      <c r="T29" s="102">
        <v>0</v>
      </c>
      <c r="U29" s="102">
        <v>0</v>
      </c>
      <c r="V29" s="102">
        <v>0</v>
      </c>
      <c r="W29" s="102">
        <v>0.8</v>
      </c>
      <c r="X29" s="102">
        <v>0</v>
      </c>
      <c r="Y29" s="102">
        <v>0</v>
      </c>
      <c r="Z29" s="102">
        <v>0</v>
      </c>
      <c r="AA29" s="102">
        <v>0</v>
      </c>
      <c r="AB29" s="102">
        <v>0</v>
      </c>
      <c r="AC29" s="102">
        <v>0</v>
      </c>
      <c r="AD29" s="102">
        <v>0</v>
      </c>
      <c r="AE29" s="102">
        <v>0</v>
      </c>
      <c r="AF29" s="102">
        <v>0</v>
      </c>
      <c r="AG29" s="102">
        <v>0</v>
      </c>
      <c r="AH29" s="102">
        <v>0</v>
      </c>
      <c r="AI29" s="102">
        <v>0</v>
      </c>
    </row>
    <row r="30" spans="1:35" customFormat="1" x14ac:dyDescent="0.15">
      <c r="A30" s="178" t="s">
        <v>220</v>
      </c>
      <c r="B30" s="102">
        <v>0</v>
      </c>
      <c r="C30" s="102">
        <v>0</v>
      </c>
      <c r="D30" s="102">
        <v>0</v>
      </c>
      <c r="E30" s="102">
        <v>0</v>
      </c>
      <c r="F30" s="102">
        <v>0</v>
      </c>
      <c r="G30" s="102">
        <v>0</v>
      </c>
      <c r="H30" s="102">
        <v>0</v>
      </c>
      <c r="I30" s="102">
        <v>0</v>
      </c>
      <c r="J30" s="102">
        <v>0</v>
      </c>
      <c r="K30" s="102">
        <v>0</v>
      </c>
      <c r="L30" s="102">
        <v>0</v>
      </c>
      <c r="M30" s="102">
        <v>0</v>
      </c>
      <c r="N30" s="102">
        <v>0</v>
      </c>
      <c r="O30" s="102">
        <v>0</v>
      </c>
      <c r="P30" s="102">
        <v>0</v>
      </c>
      <c r="Q30" s="102">
        <v>0</v>
      </c>
      <c r="R30" s="102">
        <v>0</v>
      </c>
      <c r="S30" s="102">
        <v>0</v>
      </c>
      <c r="T30" s="102">
        <v>0</v>
      </c>
      <c r="U30" s="102">
        <v>0</v>
      </c>
      <c r="V30" s="102">
        <v>0</v>
      </c>
      <c r="W30" s="102">
        <v>0</v>
      </c>
      <c r="X30" s="102">
        <v>0</v>
      </c>
      <c r="Y30" s="102">
        <v>0</v>
      </c>
      <c r="Z30" s="102">
        <v>0</v>
      </c>
      <c r="AA30" s="102">
        <v>0</v>
      </c>
      <c r="AB30" s="102">
        <v>0</v>
      </c>
      <c r="AC30" s="102">
        <v>0</v>
      </c>
      <c r="AD30" s="102">
        <v>0</v>
      </c>
      <c r="AE30" s="102">
        <v>0</v>
      </c>
      <c r="AF30" s="102">
        <v>0</v>
      </c>
      <c r="AG30" s="102">
        <v>0</v>
      </c>
      <c r="AH30" s="102">
        <v>0</v>
      </c>
      <c r="AI30" s="102">
        <v>0</v>
      </c>
    </row>
    <row r="31" spans="1:35" customFormat="1" x14ac:dyDescent="0.15">
      <c r="A31" s="178" t="s">
        <v>221</v>
      </c>
      <c r="B31" s="102">
        <v>0</v>
      </c>
      <c r="C31" s="102">
        <v>0</v>
      </c>
      <c r="D31" s="102">
        <v>0</v>
      </c>
      <c r="E31" s="102">
        <v>0</v>
      </c>
      <c r="F31" s="102">
        <v>0</v>
      </c>
      <c r="G31" s="102">
        <v>0</v>
      </c>
      <c r="H31" s="102">
        <v>0</v>
      </c>
      <c r="I31" s="102">
        <v>0</v>
      </c>
      <c r="J31" s="102">
        <v>0</v>
      </c>
      <c r="K31" s="102">
        <v>0</v>
      </c>
      <c r="L31" s="102">
        <v>0</v>
      </c>
      <c r="M31" s="102">
        <v>0</v>
      </c>
      <c r="N31" s="102">
        <v>0</v>
      </c>
      <c r="O31" s="102">
        <v>0</v>
      </c>
      <c r="P31" s="102">
        <v>0</v>
      </c>
      <c r="Q31" s="102">
        <v>0</v>
      </c>
      <c r="R31" s="102">
        <v>0</v>
      </c>
      <c r="S31" s="102">
        <v>0</v>
      </c>
      <c r="T31" s="102">
        <v>0</v>
      </c>
      <c r="U31" s="102">
        <v>0</v>
      </c>
      <c r="V31" s="102">
        <v>0</v>
      </c>
      <c r="W31" s="102">
        <v>0</v>
      </c>
      <c r="X31" s="102">
        <v>0</v>
      </c>
      <c r="Y31" s="102">
        <v>0</v>
      </c>
      <c r="Z31" s="102">
        <v>0</v>
      </c>
      <c r="AA31" s="102">
        <v>0</v>
      </c>
      <c r="AB31" s="102">
        <v>0</v>
      </c>
      <c r="AC31" s="102">
        <v>0</v>
      </c>
      <c r="AD31" s="102">
        <v>0</v>
      </c>
      <c r="AE31" s="102">
        <v>0</v>
      </c>
      <c r="AF31" s="102">
        <v>0</v>
      </c>
      <c r="AG31" s="102">
        <v>0</v>
      </c>
      <c r="AH31" s="102">
        <v>0</v>
      </c>
      <c r="AI31" s="102">
        <v>0</v>
      </c>
    </row>
    <row r="32" spans="1:35" customFormat="1" x14ac:dyDescent="0.15">
      <c r="A32" s="178" t="s">
        <v>222</v>
      </c>
      <c r="B32" s="102">
        <v>0</v>
      </c>
      <c r="C32" s="102">
        <v>0</v>
      </c>
      <c r="D32" s="102">
        <v>0</v>
      </c>
      <c r="E32" s="102">
        <v>0</v>
      </c>
      <c r="F32" s="102">
        <v>0</v>
      </c>
      <c r="G32" s="102">
        <v>0</v>
      </c>
      <c r="H32" s="102">
        <v>0</v>
      </c>
      <c r="I32" s="102">
        <v>0</v>
      </c>
      <c r="J32" s="102">
        <v>0</v>
      </c>
      <c r="K32" s="102">
        <v>0</v>
      </c>
      <c r="L32" s="102">
        <v>0</v>
      </c>
      <c r="M32" s="102">
        <v>0</v>
      </c>
      <c r="N32" s="102">
        <v>0</v>
      </c>
      <c r="O32" s="102">
        <v>0</v>
      </c>
      <c r="P32" s="102">
        <v>0</v>
      </c>
      <c r="Q32" s="102">
        <v>0</v>
      </c>
      <c r="R32" s="102">
        <v>0</v>
      </c>
      <c r="S32" s="102">
        <v>0</v>
      </c>
      <c r="T32" s="102">
        <v>0</v>
      </c>
      <c r="U32" s="102">
        <v>0</v>
      </c>
      <c r="V32" s="102">
        <v>0</v>
      </c>
      <c r="W32" s="102">
        <v>0</v>
      </c>
      <c r="X32" s="102">
        <v>0</v>
      </c>
      <c r="Y32" s="102">
        <v>0</v>
      </c>
      <c r="Z32" s="102">
        <v>0</v>
      </c>
      <c r="AA32" s="102">
        <v>0</v>
      </c>
      <c r="AB32" s="102">
        <v>0</v>
      </c>
      <c r="AC32" s="102">
        <v>0</v>
      </c>
      <c r="AD32" s="102">
        <v>0</v>
      </c>
      <c r="AE32" s="102">
        <v>0</v>
      </c>
      <c r="AF32" s="102">
        <v>0</v>
      </c>
      <c r="AG32" s="102">
        <v>0</v>
      </c>
      <c r="AH32" s="102">
        <v>0</v>
      </c>
      <c r="AI32" s="102">
        <v>0</v>
      </c>
    </row>
    <row r="33" spans="1:35" x14ac:dyDescent="0.15">
      <c r="A33" s="178" t="s">
        <v>223</v>
      </c>
      <c r="B33" s="102">
        <v>0</v>
      </c>
      <c r="C33" s="102">
        <v>0</v>
      </c>
      <c r="D33" s="102">
        <v>0</v>
      </c>
      <c r="E33" s="102">
        <v>0</v>
      </c>
      <c r="F33" s="102">
        <v>0</v>
      </c>
      <c r="G33" s="102">
        <v>0</v>
      </c>
      <c r="H33" s="102">
        <v>0</v>
      </c>
      <c r="I33" s="102">
        <v>0</v>
      </c>
      <c r="J33" s="102">
        <v>0</v>
      </c>
      <c r="K33" s="102">
        <v>0</v>
      </c>
      <c r="L33" s="102">
        <v>0</v>
      </c>
      <c r="M33" s="102">
        <v>0</v>
      </c>
      <c r="N33" s="102">
        <v>0</v>
      </c>
      <c r="O33" s="102">
        <v>0</v>
      </c>
      <c r="P33" s="102">
        <v>0</v>
      </c>
      <c r="Q33" s="102">
        <v>0</v>
      </c>
      <c r="R33" s="102">
        <v>0</v>
      </c>
      <c r="S33" s="102">
        <v>0</v>
      </c>
      <c r="T33" s="102">
        <v>0</v>
      </c>
      <c r="U33" s="102">
        <v>0</v>
      </c>
      <c r="V33" s="102">
        <v>0</v>
      </c>
      <c r="W33" s="102">
        <v>0</v>
      </c>
      <c r="X33" s="102">
        <v>0</v>
      </c>
      <c r="Y33" s="102">
        <v>0</v>
      </c>
      <c r="Z33" s="102">
        <v>0</v>
      </c>
      <c r="AA33" s="102">
        <v>0</v>
      </c>
      <c r="AB33" s="102">
        <v>0</v>
      </c>
      <c r="AC33" s="102">
        <v>0</v>
      </c>
      <c r="AD33" s="102">
        <v>0</v>
      </c>
      <c r="AE33" s="102">
        <v>0</v>
      </c>
      <c r="AF33" s="102">
        <v>0</v>
      </c>
      <c r="AG33" s="102">
        <v>0</v>
      </c>
      <c r="AH33" s="102">
        <v>0</v>
      </c>
      <c r="AI33" s="102">
        <v>0</v>
      </c>
    </row>
    <row r="34" spans="1:35" x14ac:dyDescent="0.15">
      <c r="A34" s="178" t="s">
        <v>224</v>
      </c>
      <c r="B34" s="102">
        <v>0</v>
      </c>
      <c r="C34" s="102">
        <v>0</v>
      </c>
      <c r="D34" s="102">
        <v>0.8</v>
      </c>
      <c r="E34" s="102">
        <v>0</v>
      </c>
      <c r="F34" s="102">
        <v>0</v>
      </c>
      <c r="G34" s="102">
        <v>0.8</v>
      </c>
      <c r="H34" s="102">
        <v>0.8</v>
      </c>
      <c r="I34" s="102">
        <v>0</v>
      </c>
      <c r="J34" s="102">
        <v>0</v>
      </c>
      <c r="K34" s="102">
        <v>0</v>
      </c>
      <c r="L34" s="102">
        <v>0</v>
      </c>
      <c r="M34" s="102">
        <v>0</v>
      </c>
      <c r="N34" s="102">
        <v>0</v>
      </c>
      <c r="O34" s="102">
        <v>0.8</v>
      </c>
      <c r="P34" s="102">
        <v>0</v>
      </c>
      <c r="Q34" s="102">
        <v>0</v>
      </c>
      <c r="R34" s="102">
        <v>0</v>
      </c>
      <c r="S34" s="102">
        <v>0</v>
      </c>
      <c r="T34" s="102">
        <v>0</v>
      </c>
      <c r="U34" s="102">
        <v>0</v>
      </c>
      <c r="V34" s="102">
        <v>0</v>
      </c>
      <c r="W34" s="102">
        <v>0.8</v>
      </c>
      <c r="X34" s="102">
        <v>0</v>
      </c>
      <c r="Y34" s="102">
        <v>0.8</v>
      </c>
      <c r="Z34" s="102">
        <v>0</v>
      </c>
      <c r="AA34" s="102">
        <v>0</v>
      </c>
      <c r="AB34" s="102">
        <v>0</v>
      </c>
      <c r="AC34" s="102">
        <v>0.8</v>
      </c>
      <c r="AD34" s="102">
        <v>0</v>
      </c>
      <c r="AE34" s="102">
        <v>0</v>
      </c>
      <c r="AF34" s="102">
        <v>0</v>
      </c>
      <c r="AG34" s="102">
        <v>0</v>
      </c>
      <c r="AH34" s="102">
        <v>0</v>
      </c>
      <c r="AI34" s="102">
        <v>0</v>
      </c>
    </row>
    <row r="35" spans="1:35" x14ac:dyDescent="0.15">
      <c r="A35" s="178" t="s">
        <v>225</v>
      </c>
      <c r="B35" s="102">
        <v>0</v>
      </c>
      <c r="C35" s="102">
        <v>0</v>
      </c>
      <c r="D35" s="102">
        <v>0</v>
      </c>
      <c r="E35" s="102">
        <v>0</v>
      </c>
      <c r="F35" s="102">
        <v>0</v>
      </c>
      <c r="G35" s="102">
        <v>0</v>
      </c>
      <c r="H35" s="102">
        <v>0</v>
      </c>
      <c r="I35" s="102">
        <v>0</v>
      </c>
      <c r="J35" s="102">
        <v>0</v>
      </c>
      <c r="K35" s="102">
        <v>0</v>
      </c>
      <c r="L35" s="102">
        <v>0</v>
      </c>
      <c r="M35" s="102">
        <v>0</v>
      </c>
      <c r="N35" s="102">
        <v>0</v>
      </c>
      <c r="O35" s="102">
        <v>0</v>
      </c>
      <c r="P35" s="102">
        <v>0</v>
      </c>
      <c r="Q35" s="102">
        <v>0</v>
      </c>
      <c r="R35" s="102">
        <v>0</v>
      </c>
      <c r="S35" s="102">
        <v>0</v>
      </c>
      <c r="T35" s="102">
        <v>0</v>
      </c>
      <c r="U35" s="102">
        <v>0</v>
      </c>
      <c r="V35" s="102">
        <v>0</v>
      </c>
      <c r="W35" s="102">
        <v>0</v>
      </c>
      <c r="X35" s="102">
        <v>0</v>
      </c>
      <c r="Y35" s="102">
        <v>0</v>
      </c>
      <c r="Z35" s="102">
        <v>0</v>
      </c>
      <c r="AA35" s="102">
        <v>0</v>
      </c>
      <c r="AB35" s="102">
        <v>0</v>
      </c>
      <c r="AC35" s="102">
        <v>0</v>
      </c>
      <c r="AD35" s="102">
        <v>0</v>
      </c>
      <c r="AE35" s="102">
        <v>0</v>
      </c>
      <c r="AF35" s="102">
        <v>0</v>
      </c>
      <c r="AG35" s="102">
        <v>0</v>
      </c>
      <c r="AH35" s="102">
        <v>0</v>
      </c>
      <c r="AI35" s="102">
        <v>0</v>
      </c>
    </row>
    <row r="36" spans="1:35" x14ac:dyDescent="0.15">
      <c r="A36" s="178" t="s">
        <v>227</v>
      </c>
      <c r="B36" s="102">
        <v>0</v>
      </c>
      <c r="C36" s="102">
        <v>0</v>
      </c>
      <c r="D36" s="102">
        <v>0</v>
      </c>
      <c r="E36" s="102">
        <v>0</v>
      </c>
      <c r="F36" s="102">
        <v>0</v>
      </c>
      <c r="G36" s="102">
        <v>0</v>
      </c>
      <c r="H36" s="102">
        <v>0.8</v>
      </c>
      <c r="I36" s="102">
        <v>0</v>
      </c>
      <c r="J36" s="102">
        <v>0</v>
      </c>
      <c r="K36" s="102">
        <v>0</v>
      </c>
      <c r="L36" s="102">
        <v>0</v>
      </c>
      <c r="M36" s="102">
        <v>0.8</v>
      </c>
      <c r="N36" s="102">
        <v>0.8</v>
      </c>
      <c r="O36" s="102">
        <v>0</v>
      </c>
      <c r="P36" s="102">
        <v>0</v>
      </c>
      <c r="Q36" s="102">
        <v>0</v>
      </c>
      <c r="R36" s="102">
        <v>0</v>
      </c>
      <c r="S36" s="102">
        <v>0</v>
      </c>
      <c r="T36" s="102">
        <v>0</v>
      </c>
      <c r="U36" s="102">
        <v>0</v>
      </c>
      <c r="V36" s="102">
        <v>0</v>
      </c>
      <c r="W36" s="102">
        <v>0</v>
      </c>
      <c r="X36" s="102">
        <v>0</v>
      </c>
      <c r="Y36" s="102">
        <v>0</v>
      </c>
      <c r="Z36" s="102">
        <v>0</v>
      </c>
      <c r="AA36" s="102">
        <v>0</v>
      </c>
      <c r="AB36" s="102">
        <v>0</v>
      </c>
      <c r="AC36" s="102">
        <v>0</v>
      </c>
      <c r="AD36" s="102">
        <v>0</v>
      </c>
      <c r="AE36" s="102">
        <v>0</v>
      </c>
      <c r="AF36" s="102">
        <v>0</v>
      </c>
      <c r="AG36" s="102">
        <v>0</v>
      </c>
      <c r="AH36" s="102">
        <v>0</v>
      </c>
      <c r="AI36" s="102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I36"/>
  <sheetViews>
    <sheetView workbookViewId="0">
      <selection activeCell="A3" sqref="A3"/>
    </sheetView>
  </sheetViews>
  <sheetFormatPr baseColWidth="10" defaultRowHeight="13" x14ac:dyDescent="0.15"/>
  <cols>
    <col min="1" max="1" width="21.6640625" style="102" bestFit="1" customWidth="1"/>
    <col min="2" max="35" width="2.33203125" style="102" customWidth="1"/>
    <col min="36" max="16384" width="10.83203125" style="102"/>
  </cols>
  <sheetData>
    <row r="1" spans="1:35" x14ac:dyDescent="0.15">
      <c r="A1" s="59" t="s">
        <v>139</v>
      </c>
      <c r="B1" s="181" t="s">
        <v>192</v>
      </c>
      <c r="C1" s="181" t="s">
        <v>193</v>
      </c>
      <c r="D1" s="181" t="s">
        <v>194</v>
      </c>
      <c r="E1" s="181" t="s">
        <v>195</v>
      </c>
      <c r="F1" s="181" t="s">
        <v>196</v>
      </c>
      <c r="G1" s="181" t="s">
        <v>197</v>
      </c>
      <c r="H1" s="181" t="s">
        <v>198</v>
      </c>
      <c r="I1" s="181" t="s">
        <v>199</v>
      </c>
      <c r="J1" s="181" t="s">
        <v>200</v>
      </c>
      <c r="K1" s="181" t="s">
        <v>201</v>
      </c>
      <c r="L1" s="181" t="s">
        <v>202</v>
      </c>
      <c r="M1" s="181" t="s">
        <v>203</v>
      </c>
      <c r="N1" s="181" t="s">
        <v>204</v>
      </c>
      <c r="O1" s="181" t="s">
        <v>205</v>
      </c>
      <c r="P1" s="181" t="s">
        <v>206</v>
      </c>
      <c r="Q1" s="181" t="s">
        <v>207</v>
      </c>
      <c r="R1" s="181" t="s">
        <v>208</v>
      </c>
      <c r="S1" s="181" t="s">
        <v>209</v>
      </c>
      <c r="T1" s="181" t="s">
        <v>210</v>
      </c>
      <c r="U1" s="181" t="s">
        <v>211</v>
      </c>
      <c r="V1" s="181" t="s">
        <v>212</v>
      </c>
      <c r="W1" s="181" t="s">
        <v>213</v>
      </c>
      <c r="X1" s="181" t="s">
        <v>214</v>
      </c>
      <c r="Y1" s="181" t="s">
        <v>215</v>
      </c>
      <c r="Z1" s="181" t="s">
        <v>216</v>
      </c>
      <c r="AA1" s="181" t="s">
        <v>217</v>
      </c>
      <c r="AB1" s="181" t="s">
        <v>218</v>
      </c>
      <c r="AC1" s="181" t="s">
        <v>219</v>
      </c>
      <c r="AD1" s="181" t="s">
        <v>220</v>
      </c>
      <c r="AE1" s="181" t="s">
        <v>221</v>
      </c>
      <c r="AF1" s="181" t="s">
        <v>222</v>
      </c>
      <c r="AG1" s="181" t="s">
        <v>223</v>
      </c>
      <c r="AH1" s="181" t="s">
        <v>224</v>
      </c>
      <c r="AI1" s="181" t="s">
        <v>225</v>
      </c>
    </row>
    <row r="2" spans="1:35" customFormat="1" x14ac:dyDescent="0.15">
      <c r="A2" s="180" t="s">
        <v>192</v>
      </c>
      <c r="B2" s="102">
        <v>0</v>
      </c>
      <c r="C2" s="102">
        <v>0</v>
      </c>
      <c r="D2" s="102">
        <v>1</v>
      </c>
      <c r="E2" s="102">
        <v>1</v>
      </c>
      <c r="F2" s="102">
        <v>1</v>
      </c>
      <c r="G2" s="102">
        <v>0</v>
      </c>
      <c r="H2" s="102">
        <v>0</v>
      </c>
      <c r="I2" s="102">
        <v>1</v>
      </c>
      <c r="J2" s="102">
        <v>1</v>
      </c>
      <c r="K2" s="102">
        <v>0</v>
      </c>
      <c r="L2" s="102">
        <v>0</v>
      </c>
      <c r="M2" s="102">
        <v>0</v>
      </c>
      <c r="N2" s="102">
        <v>1</v>
      </c>
      <c r="O2" s="102">
        <v>0</v>
      </c>
      <c r="P2" s="102">
        <v>0</v>
      </c>
      <c r="Q2" s="102">
        <v>0</v>
      </c>
      <c r="R2" s="102">
        <v>0</v>
      </c>
      <c r="S2" s="102">
        <v>0</v>
      </c>
      <c r="T2" s="102">
        <v>0</v>
      </c>
      <c r="U2" s="102">
        <v>0</v>
      </c>
      <c r="V2" s="102">
        <v>1</v>
      </c>
      <c r="W2" s="102">
        <v>0</v>
      </c>
      <c r="X2" s="102">
        <v>1</v>
      </c>
      <c r="Y2" s="102">
        <v>0</v>
      </c>
      <c r="Z2" s="102">
        <v>0</v>
      </c>
      <c r="AA2" s="102">
        <v>0</v>
      </c>
      <c r="AB2" s="102">
        <v>0</v>
      </c>
      <c r="AC2" s="102">
        <v>0</v>
      </c>
      <c r="AD2" s="102">
        <v>0</v>
      </c>
      <c r="AE2" s="102">
        <v>0</v>
      </c>
      <c r="AF2" s="102">
        <v>0</v>
      </c>
      <c r="AG2" s="102">
        <v>0</v>
      </c>
      <c r="AH2" s="102">
        <v>0</v>
      </c>
      <c r="AI2" s="102">
        <v>0</v>
      </c>
    </row>
    <row r="3" spans="1:35" customFormat="1" x14ac:dyDescent="0.15">
      <c r="A3" s="180" t="s">
        <v>193</v>
      </c>
      <c r="B3" s="102">
        <v>0</v>
      </c>
      <c r="C3" s="102">
        <v>0</v>
      </c>
      <c r="D3" s="102">
        <v>1</v>
      </c>
      <c r="E3" s="102">
        <v>1</v>
      </c>
      <c r="F3" s="102">
        <v>1</v>
      </c>
      <c r="G3" s="102">
        <v>0</v>
      </c>
      <c r="H3" s="102">
        <v>0</v>
      </c>
      <c r="I3" s="102">
        <v>1</v>
      </c>
      <c r="J3" s="102">
        <v>1</v>
      </c>
      <c r="K3" s="102">
        <v>0</v>
      </c>
      <c r="L3" s="102">
        <v>0</v>
      </c>
      <c r="M3" s="102">
        <v>0</v>
      </c>
      <c r="N3" s="102">
        <v>0</v>
      </c>
      <c r="O3" s="102">
        <v>0</v>
      </c>
      <c r="P3" s="102">
        <v>0</v>
      </c>
      <c r="Q3" s="102">
        <v>0</v>
      </c>
      <c r="R3" s="102">
        <v>0</v>
      </c>
      <c r="S3" s="102">
        <v>0</v>
      </c>
      <c r="T3" s="102">
        <v>0</v>
      </c>
      <c r="U3" s="102">
        <v>0</v>
      </c>
      <c r="V3" s="102">
        <v>0</v>
      </c>
      <c r="W3" s="102">
        <v>0</v>
      </c>
      <c r="X3" s="102">
        <v>0</v>
      </c>
      <c r="Y3" s="102">
        <v>0</v>
      </c>
      <c r="Z3" s="102">
        <v>0</v>
      </c>
      <c r="AA3" s="102">
        <v>0</v>
      </c>
      <c r="AB3" s="102">
        <v>0</v>
      </c>
      <c r="AC3" s="102">
        <v>0</v>
      </c>
      <c r="AD3" s="102">
        <v>0</v>
      </c>
      <c r="AE3" s="102">
        <v>0</v>
      </c>
      <c r="AF3" s="102">
        <v>0</v>
      </c>
      <c r="AG3" s="102">
        <v>0</v>
      </c>
      <c r="AH3" s="102">
        <v>0</v>
      </c>
      <c r="AI3" s="102">
        <v>0</v>
      </c>
    </row>
    <row r="4" spans="1:35" customFormat="1" x14ac:dyDescent="0.15">
      <c r="A4" s="180" t="s">
        <v>194</v>
      </c>
      <c r="B4" s="102">
        <v>0</v>
      </c>
      <c r="C4" s="102">
        <v>0</v>
      </c>
      <c r="D4" s="102">
        <v>1</v>
      </c>
      <c r="E4" s="102">
        <v>1</v>
      </c>
      <c r="F4" s="102">
        <v>1</v>
      </c>
      <c r="G4" s="102">
        <v>0</v>
      </c>
      <c r="H4" s="102">
        <v>0</v>
      </c>
      <c r="I4" s="102">
        <v>0</v>
      </c>
      <c r="J4" s="102">
        <v>1</v>
      </c>
      <c r="K4" s="102">
        <v>0</v>
      </c>
      <c r="L4" s="102">
        <v>0</v>
      </c>
      <c r="M4" s="102">
        <v>0</v>
      </c>
      <c r="N4" s="102">
        <v>0</v>
      </c>
      <c r="O4" s="102">
        <v>0</v>
      </c>
      <c r="P4" s="102">
        <v>0</v>
      </c>
      <c r="Q4" s="102">
        <v>0</v>
      </c>
      <c r="R4" s="102">
        <v>0</v>
      </c>
      <c r="S4" s="102">
        <v>0</v>
      </c>
      <c r="T4" s="102">
        <v>0</v>
      </c>
      <c r="U4" s="102">
        <v>0</v>
      </c>
      <c r="V4" s="102">
        <v>0</v>
      </c>
      <c r="W4" s="102">
        <v>0</v>
      </c>
      <c r="X4" s="102">
        <v>0</v>
      </c>
      <c r="Y4" s="102">
        <v>0</v>
      </c>
      <c r="Z4" s="102">
        <v>0</v>
      </c>
      <c r="AA4" s="102">
        <v>0</v>
      </c>
      <c r="AB4" s="102">
        <v>0</v>
      </c>
      <c r="AC4" s="102">
        <v>0</v>
      </c>
      <c r="AD4" s="102">
        <v>0</v>
      </c>
      <c r="AE4" s="102">
        <v>0</v>
      </c>
      <c r="AF4" s="102">
        <v>0</v>
      </c>
      <c r="AG4" s="102">
        <v>0</v>
      </c>
      <c r="AH4" s="102">
        <v>0</v>
      </c>
      <c r="AI4" s="102">
        <v>0</v>
      </c>
    </row>
    <row r="5" spans="1:35" customFormat="1" x14ac:dyDescent="0.15">
      <c r="A5" s="180" t="s">
        <v>195</v>
      </c>
      <c r="B5" s="102">
        <v>0</v>
      </c>
      <c r="C5" s="102">
        <v>0</v>
      </c>
      <c r="D5" s="102">
        <v>0</v>
      </c>
      <c r="E5" s="102">
        <v>0</v>
      </c>
      <c r="F5" s="102">
        <v>0</v>
      </c>
      <c r="G5" s="102">
        <v>1</v>
      </c>
      <c r="H5" s="102">
        <v>0</v>
      </c>
      <c r="I5" s="102">
        <v>1</v>
      </c>
      <c r="J5" s="102">
        <v>1</v>
      </c>
      <c r="K5" s="102">
        <v>1</v>
      </c>
      <c r="L5" s="102">
        <v>1</v>
      </c>
      <c r="M5" s="102">
        <v>0</v>
      </c>
      <c r="N5" s="102">
        <v>1</v>
      </c>
      <c r="O5" s="102">
        <v>1</v>
      </c>
      <c r="P5" s="102">
        <v>1</v>
      </c>
      <c r="Q5" s="102">
        <v>0</v>
      </c>
      <c r="R5" s="102">
        <v>0</v>
      </c>
      <c r="S5" s="102">
        <v>0</v>
      </c>
      <c r="T5" s="102">
        <v>0</v>
      </c>
      <c r="U5" s="102">
        <v>0</v>
      </c>
      <c r="V5" s="102">
        <v>1</v>
      </c>
      <c r="W5" s="102">
        <v>0</v>
      </c>
      <c r="X5" s="102">
        <v>0</v>
      </c>
      <c r="Y5" s="102">
        <v>0</v>
      </c>
      <c r="Z5" s="102">
        <v>0</v>
      </c>
      <c r="AA5" s="102">
        <v>0</v>
      </c>
      <c r="AB5" s="102">
        <v>0</v>
      </c>
      <c r="AC5" s="102">
        <v>0</v>
      </c>
      <c r="AD5" s="102">
        <v>0</v>
      </c>
      <c r="AE5" s="102">
        <v>0</v>
      </c>
      <c r="AF5" s="102">
        <v>0</v>
      </c>
      <c r="AG5" s="102">
        <v>0</v>
      </c>
      <c r="AH5" s="102">
        <v>0</v>
      </c>
      <c r="AI5" s="102">
        <v>0</v>
      </c>
    </row>
    <row r="6" spans="1:35" customFormat="1" x14ac:dyDescent="0.15">
      <c r="A6" s="180" t="s">
        <v>196</v>
      </c>
      <c r="B6" s="102">
        <v>0</v>
      </c>
      <c r="C6" s="102">
        <v>0</v>
      </c>
      <c r="D6" s="102">
        <v>0</v>
      </c>
      <c r="E6" s="102">
        <v>0</v>
      </c>
      <c r="F6" s="102">
        <v>0</v>
      </c>
      <c r="G6" s="102">
        <v>1</v>
      </c>
      <c r="H6" s="102">
        <v>0</v>
      </c>
      <c r="I6" s="102">
        <v>1</v>
      </c>
      <c r="J6" s="102">
        <v>1</v>
      </c>
      <c r="K6" s="102">
        <v>1</v>
      </c>
      <c r="L6" s="102">
        <v>1</v>
      </c>
      <c r="M6" s="102">
        <v>1</v>
      </c>
      <c r="N6" s="102">
        <v>0</v>
      </c>
      <c r="O6" s="102">
        <v>1</v>
      </c>
      <c r="P6" s="102">
        <v>1</v>
      </c>
      <c r="Q6" s="102">
        <v>1</v>
      </c>
      <c r="R6" s="102">
        <v>1</v>
      </c>
      <c r="S6" s="102">
        <v>1</v>
      </c>
      <c r="T6" s="102">
        <v>1</v>
      </c>
      <c r="U6" s="102">
        <v>0</v>
      </c>
      <c r="V6" s="102">
        <v>0</v>
      </c>
      <c r="W6" s="102">
        <v>1</v>
      </c>
      <c r="X6" s="102">
        <v>0</v>
      </c>
      <c r="Y6" s="102">
        <v>0</v>
      </c>
      <c r="Z6" s="102">
        <v>1</v>
      </c>
      <c r="AA6" s="102">
        <v>1</v>
      </c>
      <c r="AB6" s="102">
        <v>1</v>
      </c>
      <c r="AC6" s="102">
        <v>0</v>
      </c>
      <c r="AD6" s="102">
        <v>1</v>
      </c>
      <c r="AE6" s="102">
        <v>0</v>
      </c>
      <c r="AF6" s="102">
        <v>0</v>
      </c>
      <c r="AG6" s="102">
        <v>1</v>
      </c>
      <c r="AH6" s="102">
        <v>0</v>
      </c>
      <c r="AI6" s="102">
        <v>0</v>
      </c>
    </row>
    <row r="7" spans="1:35" customFormat="1" x14ac:dyDescent="0.15">
      <c r="A7" s="180" t="s">
        <v>197</v>
      </c>
      <c r="B7" s="102">
        <v>0</v>
      </c>
      <c r="C7" s="102">
        <v>0</v>
      </c>
      <c r="D7" s="102">
        <v>0</v>
      </c>
      <c r="E7" s="102">
        <v>0</v>
      </c>
      <c r="F7" s="102">
        <v>0</v>
      </c>
      <c r="G7" s="102">
        <v>1</v>
      </c>
      <c r="H7" s="102">
        <v>0</v>
      </c>
      <c r="I7" s="102">
        <v>0</v>
      </c>
      <c r="J7" s="102">
        <v>0</v>
      </c>
      <c r="K7" s="102">
        <v>0</v>
      </c>
      <c r="L7" s="102">
        <v>0</v>
      </c>
      <c r="M7" s="102">
        <v>0</v>
      </c>
      <c r="N7" s="102">
        <v>0</v>
      </c>
      <c r="O7" s="102">
        <v>0</v>
      </c>
      <c r="P7" s="102">
        <v>0</v>
      </c>
      <c r="Q7" s="102">
        <v>0</v>
      </c>
      <c r="R7" s="102">
        <v>0</v>
      </c>
      <c r="S7" s="102">
        <v>0</v>
      </c>
      <c r="T7" s="102">
        <v>0</v>
      </c>
      <c r="U7" s="102">
        <v>0</v>
      </c>
      <c r="V7" s="102">
        <v>0</v>
      </c>
      <c r="W7" s="102">
        <v>0</v>
      </c>
      <c r="X7" s="102">
        <v>1</v>
      </c>
      <c r="Y7" s="102">
        <v>0</v>
      </c>
      <c r="Z7" s="102">
        <v>0</v>
      </c>
      <c r="AA7" s="102">
        <v>0</v>
      </c>
      <c r="AB7" s="102">
        <v>0</v>
      </c>
      <c r="AC7" s="102">
        <v>0</v>
      </c>
      <c r="AD7" s="102">
        <v>0</v>
      </c>
      <c r="AE7" s="102">
        <v>0</v>
      </c>
      <c r="AF7" s="102">
        <v>0</v>
      </c>
      <c r="AG7" s="102">
        <v>0</v>
      </c>
      <c r="AH7" s="102">
        <v>0</v>
      </c>
      <c r="AI7" s="102">
        <v>0</v>
      </c>
    </row>
    <row r="8" spans="1:35" customFormat="1" x14ac:dyDescent="0.15">
      <c r="A8" s="180" t="s">
        <v>198</v>
      </c>
      <c r="B8" s="102">
        <v>0</v>
      </c>
      <c r="C8" s="102">
        <v>0</v>
      </c>
      <c r="D8" s="102">
        <v>0</v>
      </c>
      <c r="E8" s="102">
        <v>0</v>
      </c>
      <c r="F8" s="102">
        <v>0</v>
      </c>
      <c r="G8" s="102">
        <v>0</v>
      </c>
      <c r="H8" s="102">
        <v>1</v>
      </c>
      <c r="I8" s="102">
        <v>0</v>
      </c>
      <c r="J8" s="102">
        <v>0</v>
      </c>
      <c r="K8" s="102">
        <v>0</v>
      </c>
      <c r="L8" s="102">
        <v>0</v>
      </c>
      <c r="M8" s="102">
        <v>0</v>
      </c>
      <c r="N8" s="102">
        <v>0</v>
      </c>
      <c r="O8" s="102">
        <v>1</v>
      </c>
      <c r="P8" s="102">
        <v>1</v>
      </c>
      <c r="Q8" s="102">
        <v>0</v>
      </c>
      <c r="R8" s="102">
        <v>1</v>
      </c>
      <c r="S8" s="102">
        <v>1</v>
      </c>
      <c r="T8" s="102">
        <v>1</v>
      </c>
      <c r="U8" s="102">
        <v>0</v>
      </c>
      <c r="V8" s="102">
        <v>0</v>
      </c>
      <c r="W8" s="102">
        <v>1</v>
      </c>
      <c r="X8" s="102">
        <v>1</v>
      </c>
      <c r="Y8" s="102">
        <v>1</v>
      </c>
      <c r="Z8" s="102">
        <v>1</v>
      </c>
      <c r="AA8" s="102">
        <v>1</v>
      </c>
      <c r="AB8" s="102">
        <v>1</v>
      </c>
      <c r="AC8" s="102">
        <v>1</v>
      </c>
      <c r="AD8" s="102">
        <v>1</v>
      </c>
      <c r="AE8" s="102">
        <v>0</v>
      </c>
      <c r="AF8" s="102">
        <v>0</v>
      </c>
      <c r="AG8" s="102">
        <v>0</v>
      </c>
      <c r="AH8" s="102">
        <v>0</v>
      </c>
      <c r="AI8" s="102">
        <v>0</v>
      </c>
    </row>
    <row r="9" spans="1:35" customFormat="1" x14ac:dyDescent="0.15">
      <c r="A9" s="180" t="s">
        <v>199</v>
      </c>
      <c r="B9" s="102">
        <v>0</v>
      </c>
      <c r="C9" s="102">
        <v>0</v>
      </c>
      <c r="D9" s="102">
        <v>0</v>
      </c>
      <c r="E9" s="102">
        <v>0</v>
      </c>
      <c r="F9" s="102">
        <v>0</v>
      </c>
      <c r="G9" s="102">
        <v>0</v>
      </c>
      <c r="H9" s="102">
        <v>0</v>
      </c>
      <c r="I9" s="102">
        <v>0</v>
      </c>
      <c r="J9" s="102">
        <v>0</v>
      </c>
      <c r="K9" s="102">
        <v>0</v>
      </c>
      <c r="L9" s="102">
        <v>0</v>
      </c>
      <c r="M9" s="102">
        <v>0</v>
      </c>
      <c r="N9" s="102">
        <v>0</v>
      </c>
      <c r="O9" s="102">
        <v>0</v>
      </c>
      <c r="P9" s="102">
        <v>1</v>
      </c>
      <c r="Q9" s="102">
        <v>0</v>
      </c>
      <c r="R9" s="102">
        <v>0</v>
      </c>
      <c r="S9" s="102">
        <v>0</v>
      </c>
      <c r="T9" s="102">
        <v>0</v>
      </c>
      <c r="U9" s="102">
        <v>0</v>
      </c>
      <c r="V9" s="102">
        <v>0</v>
      </c>
      <c r="W9" s="102">
        <v>1</v>
      </c>
      <c r="X9" s="102">
        <v>0</v>
      </c>
      <c r="Y9" s="102">
        <v>0</v>
      </c>
      <c r="Z9" s="102">
        <v>0</v>
      </c>
      <c r="AA9" s="102">
        <v>1</v>
      </c>
      <c r="AB9" s="102">
        <v>0</v>
      </c>
      <c r="AC9" s="102">
        <v>0</v>
      </c>
      <c r="AD9" s="102">
        <v>0</v>
      </c>
      <c r="AE9" s="102">
        <v>1</v>
      </c>
      <c r="AF9" s="102">
        <v>0</v>
      </c>
      <c r="AG9" s="102">
        <v>0</v>
      </c>
      <c r="AH9" s="102">
        <v>0</v>
      </c>
      <c r="AI9" s="102">
        <v>0</v>
      </c>
    </row>
    <row r="10" spans="1:35" customFormat="1" x14ac:dyDescent="0.15">
      <c r="A10" s="180" t="s">
        <v>200</v>
      </c>
      <c r="B10" s="102">
        <v>0</v>
      </c>
      <c r="C10" s="102">
        <v>0</v>
      </c>
      <c r="D10" s="102">
        <v>0</v>
      </c>
      <c r="E10" s="102">
        <v>0</v>
      </c>
      <c r="F10" s="102">
        <v>0</v>
      </c>
      <c r="G10" s="102">
        <v>0</v>
      </c>
      <c r="H10" s="102">
        <v>0</v>
      </c>
      <c r="I10" s="102">
        <v>0</v>
      </c>
      <c r="J10" s="102">
        <v>0</v>
      </c>
      <c r="K10" s="102">
        <v>0</v>
      </c>
      <c r="L10" s="102">
        <v>1</v>
      </c>
      <c r="M10" s="102">
        <v>0</v>
      </c>
      <c r="N10" s="102">
        <v>0</v>
      </c>
      <c r="O10" s="102">
        <v>0</v>
      </c>
      <c r="P10" s="102">
        <v>1</v>
      </c>
      <c r="Q10" s="102">
        <v>1</v>
      </c>
      <c r="R10" s="102">
        <v>1</v>
      </c>
      <c r="S10" s="102">
        <v>1</v>
      </c>
      <c r="T10" s="102">
        <v>1</v>
      </c>
      <c r="U10" s="102">
        <v>1</v>
      </c>
      <c r="V10" s="102">
        <v>0</v>
      </c>
      <c r="W10" s="102">
        <v>1</v>
      </c>
      <c r="X10" s="102">
        <v>0</v>
      </c>
      <c r="Y10" s="102">
        <v>0</v>
      </c>
      <c r="Z10" s="102">
        <v>1</v>
      </c>
      <c r="AA10" s="102">
        <v>1</v>
      </c>
      <c r="AB10" s="102">
        <v>0</v>
      </c>
      <c r="AC10" s="102">
        <v>0</v>
      </c>
      <c r="AD10" s="102">
        <v>1</v>
      </c>
      <c r="AE10" s="102">
        <v>1</v>
      </c>
      <c r="AF10" s="102">
        <v>1</v>
      </c>
      <c r="AG10" s="102">
        <v>1</v>
      </c>
      <c r="AH10" s="102">
        <v>0</v>
      </c>
      <c r="AI10" s="102">
        <v>0</v>
      </c>
    </row>
    <row r="11" spans="1:35" customFormat="1" x14ac:dyDescent="0.15">
      <c r="A11" s="180" t="s">
        <v>201</v>
      </c>
      <c r="B11" s="102">
        <v>0</v>
      </c>
      <c r="C11" s="102">
        <v>0</v>
      </c>
      <c r="D11" s="102">
        <v>0</v>
      </c>
      <c r="E11" s="102">
        <v>0</v>
      </c>
      <c r="F11" s="102">
        <v>0</v>
      </c>
      <c r="G11" s="102">
        <v>0</v>
      </c>
      <c r="H11" s="102">
        <v>0</v>
      </c>
      <c r="I11" s="102">
        <v>0</v>
      </c>
      <c r="J11" s="102">
        <v>0</v>
      </c>
      <c r="K11" s="102">
        <v>0</v>
      </c>
      <c r="L11" s="102">
        <v>1</v>
      </c>
      <c r="M11" s="102">
        <v>0</v>
      </c>
      <c r="N11" s="102">
        <v>0</v>
      </c>
      <c r="O11" s="102">
        <v>0</v>
      </c>
      <c r="P11" s="102">
        <v>1</v>
      </c>
      <c r="Q11" s="102">
        <v>0</v>
      </c>
      <c r="R11" s="102">
        <v>1</v>
      </c>
      <c r="S11" s="102">
        <v>1</v>
      </c>
      <c r="T11" s="102">
        <v>1</v>
      </c>
      <c r="U11" s="102">
        <v>0</v>
      </c>
      <c r="V11" s="102">
        <v>0</v>
      </c>
      <c r="W11" s="102">
        <v>0</v>
      </c>
      <c r="X11" s="102">
        <v>0</v>
      </c>
      <c r="Y11" s="102">
        <v>0</v>
      </c>
      <c r="Z11" s="102">
        <v>0</v>
      </c>
      <c r="AA11" s="102">
        <v>0</v>
      </c>
      <c r="AB11" s="102">
        <v>0</v>
      </c>
      <c r="AC11" s="102">
        <v>0</v>
      </c>
      <c r="AD11" s="102">
        <v>0</v>
      </c>
      <c r="AE11" s="102">
        <v>0</v>
      </c>
      <c r="AF11" s="102">
        <v>1</v>
      </c>
      <c r="AG11" s="102">
        <v>0</v>
      </c>
      <c r="AH11" s="102">
        <v>0</v>
      </c>
      <c r="AI11" s="102">
        <v>0</v>
      </c>
    </row>
    <row r="12" spans="1:35" customFormat="1" x14ac:dyDescent="0.15">
      <c r="A12" s="180" t="s">
        <v>202</v>
      </c>
      <c r="B12" s="102">
        <v>0</v>
      </c>
      <c r="C12" s="102">
        <v>0</v>
      </c>
      <c r="D12" s="102">
        <v>0</v>
      </c>
      <c r="E12" s="102">
        <v>0</v>
      </c>
      <c r="F12" s="102">
        <v>0</v>
      </c>
      <c r="G12" s="102">
        <v>0</v>
      </c>
      <c r="H12" s="102">
        <v>0</v>
      </c>
      <c r="I12" s="102">
        <v>0</v>
      </c>
      <c r="J12" s="102">
        <v>0</v>
      </c>
      <c r="K12" s="102">
        <v>0</v>
      </c>
      <c r="L12" s="102">
        <v>1</v>
      </c>
      <c r="M12" s="102">
        <v>0</v>
      </c>
      <c r="N12" s="102">
        <v>0</v>
      </c>
      <c r="O12" s="102">
        <v>0</v>
      </c>
      <c r="P12" s="102">
        <v>0</v>
      </c>
      <c r="Q12" s="102">
        <v>0</v>
      </c>
      <c r="R12" s="102">
        <v>0</v>
      </c>
      <c r="S12" s="102">
        <v>1</v>
      </c>
      <c r="T12" s="102">
        <v>1</v>
      </c>
      <c r="U12" s="102">
        <v>0</v>
      </c>
      <c r="V12" s="102">
        <v>0</v>
      </c>
      <c r="W12" s="102">
        <v>1</v>
      </c>
      <c r="X12" s="102">
        <v>0</v>
      </c>
      <c r="Y12" s="102">
        <v>0</v>
      </c>
      <c r="Z12" s="102">
        <v>0</v>
      </c>
      <c r="AA12" s="102">
        <v>0</v>
      </c>
      <c r="AB12" s="102">
        <v>0</v>
      </c>
      <c r="AC12" s="102">
        <v>0</v>
      </c>
      <c r="AD12" s="102">
        <v>1</v>
      </c>
      <c r="AE12" s="102">
        <v>0</v>
      </c>
      <c r="AF12" s="102">
        <v>0</v>
      </c>
      <c r="AG12" s="102">
        <v>1</v>
      </c>
      <c r="AH12" s="102">
        <v>0</v>
      </c>
      <c r="AI12" s="102">
        <v>0</v>
      </c>
    </row>
    <row r="13" spans="1:35" customFormat="1" x14ac:dyDescent="0.15">
      <c r="A13" s="180" t="s">
        <v>203</v>
      </c>
      <c r="B13" s="102">
        <v>0</v>
      </c>
      <c r="C13" s="102">
        <v>0</v>
      </c>
      <c r="D13" s="102">
        <v>0</v>
      </c>
      <c r="E13" s="102">
        <v>0</v>
      </c>
      <c r="F13" s="102">
        <v>0</v>
      </c>
      <c r="G13" s="102">
        <v>0</v>
      </c>
      <c r="H13" s="102">
        <v>0</v>
      </c>
      <c r="I13" s="102">
        <v>0</v>
      </c>
      <c r="J13" s="102">
        <v>0</v>
      </c>
      <c r="K13" s="102">
        <v>0</v>
      </c>
      <c r="L13" s="102">
        <v>1</v>
      </c>
      <c r="M13" s="102">
        <v>0</v>
      </c>
      <c r="N13" s="102">
        <v>0</v>
      </c>
      <c r="O13" s="102">
        <v>0</v>
      </c>
      <c r="P13" s="102">
        <v>0</v>
      </c>
      <c r="Q13" s="102">
        <v>0</v>
      </c>
      <c r="R13" s="102">
        <v>1</v>
      </c>
      <c r="S13" s="102">
        <v>1</v>
      </c>
      <c r="T13" s="102">
        <v>1</v>
      </c>
      <c r="U13" s="102">
        <v>0</v>
      </c>
      <c r="V13" s="102">
        <v>0</v>
      </c>
      <c r="W13" s="102">
        <v>1</v>
      </c>
      <c r="X13" s="102">
        <v>0</v>
      </c>
      <c r="Y13" s="102">
        <v>1</v>
      </c>
      <c r="Z13" s="102">
        <v>1</v>
      </c>
      <c r="AA13" s="102">
        <v>1</v>
      </c>
      <c r="AB13" s="102">
        <v>0</v>
      </c>
      <c r="AC13" s="102">
        <v>0</v>
      </c>
      <c r="AD13" s="102">
        <v>1</v>
      </c>
      <c r="AE13" s="102">
        <v>0</v>
      </c>
      <c r="AF13" s="102">
        <v>0</v>
      </c>
      <c r="AG13" s="102">
        <v>0</v>
      </c>
      <c r="AH13" s="102">
        <v>0</v>
      </c>
      <c r="AI13" s="102">
        <v>0</v>
      </c>
    </row>
    <row r="14" spans="1:35" customFormat="1" x14ac:dyDescent="0.15">
      <c r="A14" s="180" t="s">
        <v>204</v>
      </c>
      <c r="B14" s="102">
        <v>0</v>
      </c>
      <c r="C14" s="102">
        <v>0</v>
      </c>
      <c r="D14" s="102">
        <v>0</v>
      </c>
      <c r="E14" s="102">
        <v>0</v>
      </c>
      <c r="F14" s="102">
        <v>0</v>
      </c>
      <c r="G14" s="102">
        <v>0</v>
      </c>
      <c r="H14" s="102">
        <v>0</v>
      </c>
      <c r="I14" s="102">
        <v>0</v>
      </c>
      <c r="J14" s="102">
        <v>0</v>
      </c>
      <c r="K14" s="102">
        <v>0</v>
      </c>
      <c r="L14" s="102">
        <v>1</v>
      </c>
      <c r="M14" s="102">
        <v>0</v>
      </c>
      <c r="N14" s="102">
        <v>0</v>
      </c>
      <c r="O14" s="102">
        <v>1</v>
      </c>
      <c r="P14" s="102">
        <v>1</v>
      </c>
      <c r="Q14" s="102">
        <v>1</v>
      </c>
      <c r="R14" s="102">
        <v>1</v>
      </c>
      <c r="S14" s="102">
        <v>1</v>
      </c>
      <c r="T14" s="102">
        <v>1</v>
      </c>
      <c r="U14" s="102">
        <v>0</v>
      </c>
      <c r="V14" s="102">
        <v>0</v>
      </c>
      <c r="W14" s="102">
        <v>1</v>
      </c>
      <c r="X14" s="102">
        <v>0</v>
      </c>
      <c r="Y14" s="102">
        <v>0</v>
      </c>
      <c r="Z14" s="102">
        <v>1</v>
      </c>
      <c r="AA14" s="102">
        <v>1</v>
      </c>
      <c r="AB14" s="102">
        <v>1</v>
      </c>
      <c r="AC14" s="102">
        <v>0</v>
      </c>
      <c r="AD14" s="102">
        <v>0</v>
      </c>
      <c r="AE14" s="102">
        <v>1</v>
      </c>
      <c r="AF14" s="102">
        <v>1</v>
      </c>
      <c r="AG14" s="102">
        <v>0</v>
      </c>
      <c r="AH14" s="102">
        <v>0</v>
      </c>
      <c r="AI14" s="102">
        <v>0</v>
      </c>
    </row>
    <row r="15" spans="1:35" customFormat="1" x14ac:dyDescent="0.15">
      <c r="A15" s="180" t="s">
        <v>205</v>
      </c>
      <c r="B15" s="102">
        <v>0</v>
      </c>
      <c r="C15" s="102">
        <v>0</v>
      </c>
      <c r="D15" s="102">
        <v>0</v>
      </c>
      <c r="E15" s="102">
        <v>0</v>
      </c>
      <c r="F15" s="102">
        <v>0</v>
      </c>
      <c r="G15" s="102">
        <v>0</v>
      </c>
      <c r="H15" s="102">
        <v>0</v>
      </c>
      <c r="I15" s="102">
        <v>0</v>
      </c>
      <c r="J15" s="102">
        <v>0</v>
      </c>
      <c r="K15" s="102">
        <v>0</v>
      </c>
      <c r="L15" s="102">
        <v>0</v>
      </c>
      <c r="M15" s="102">
        <v>0</v>
      </c>
      <c r="N15" s="102">
        <v>0</v>
      </c>
      <c r="O15" s="102">
        <v>0</v>
      </c>
      <c r="P15" s="102">
        <v>0</v>
      </c>
      <c r="Q15" s="102">
        <v>0</v>
      </c>
      <c r="R15" s="102">
        <v>0</v>
      </c>
      <c r="S15" s="102">
        <v>0</v>
      </c>
      <c r="T15" s="102">
        <v>1</v>
      </c>
      <c r="U15" s="102">
        <v>0</v>
      </c>
      <c r="V15" s="102">
        <v>0</v>
      </c>
      <c r="W15" s="102">
        <v>1</v>
      </c>
      <c r="X15" s="102">
        <v>0</v>
      </c>
      <c r="Y15" s="102">
        <v>0</v>
      </c>
      <c r="Z15" s="102">
        <v>0</v>
      </c>
      <c r="AA15" s="102">
        <v>0</v>
      </c>
      <c r="AB15" s="102">
        <v>0</v>
      </c>
      <c r="AC15" s="102">
        <v>0</v>
      </c>
      <c r="AD15" s="102">
        <v>1</v>
      </c>
      <c r="AE15" s="102">
        <v>0</v>
      </c>
      <c r="AF15" s="102">
        <v>1</v>
      </c>
      <c r="AG15" s="102">
        <v>1</v>
      </c>
      <c r="AH15" s="102">
        <v>0</v>
      </c>
      <c r="AI15" s="102">
        <v>0</v>
      </c>
    </row>
    <row r="16" spans="1:35" customFormat="1" x14ac:dyDescent="0.15">
      <c r="A16" s="180" t="s">
        <v>206</v>
      </c>
      <c r="B16" s="102">
        <v>0</v>
      </c>
      <c r="C16" s="102">
        <v>0</v>
      </c>
      <c r="D16" s="102">
        <v>0</v>
      </c>
      <c r="E16" s="102">
        <v>0</v>
      </c>
      <c r="F16" s="102">
        <v>0</v>
      </c>
      <c r="G16" s="102">
        <v>0</v>
      </c>
      <c r="H16" s="102">
        <v>0</v>
      </c>
      <c r="I16" s="102">
        <v>0</v>
      </c>
      <c r="J16" s="102">
        <v>0</v>
      </c>
      <c r="K16" s="102">
        <v>0</v>
      </c>
      <c r="L16" s="102">
        <v>0</v>
      </c>
      <c r="M16" s="102">
        <v>0</v>
      </c>
      <c r="N16" s="102">
        <v>0</v>
      </c>
      <c r="O16" s="102">
        <v>0</v>
      </c>
      <c r="P16" s="102">
        <v>0</v>
      </c>
      <c r="Q16" s="102">
        <v>0</v>
      </c>
      <c r="R16" s="102">
        <v>0</v>
      </c>
      <c r="S16" s="102">
        <v>0</v>
      </c>
      <c r="T16" s="102">
        <v>1</v>
      </c>
      <c r="U16" s="102">
        <v>0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0</v>
      </c>
      <c r="AC16" s="102">
        <v>0</v>
      </c>
      <c r="AD16" s="102">
        <v>0</v>
      </c>
      <c r="AE16" s="102">
        <v>0</v>
      </c>
      <c r="AF16" s="102">
        <v>0</v>
      </c>
      <c r="AG16" s="102">
        <v>1</v>
      </c>
      <c r="AH16" s="102">
        <v>0</v>
      </c>
      <c r="AI16" s="102">
        <v>0</v>
      </c>
    </row>
    <row r="17" spans="1:35" customFormat="1" x14ac:dyDescent="0.15">
      <c r="A17" s="180" t="s">
        <v>207</v>
      </c>
      <c r="B17" s="102">
        <v>0</v>
      </c>
      <c r="C17" s="102">
        <v>0</v>
      </c>
      <c r="D17" s="102">
        <v>0</v>
      </c>
      <c r="E17" s="102">
        <v>0</v>
      </c>
      <c r="F17" s="102">
        <v>0</v>
      </c>
      <c r="G17" s="102">
        <v>0</v>
      </c>
      <c r="H17" s="102">
        <v>0</v>
      </c>
      <c r="I17" s="102">
        <v>0</v>
      </c>
      <c r="J17" s="102">
        <v>0</v>
      </c>
      <c r="K17" s="102">
        <v>0</v>
      </c>
      <c r="L17" s="102">
        <v>0</v>
      </c>
      <c r="M17" s="102">
        <v>0</v>
      </c>
      <c r="N17" s="102">
        <v>0</v>
      </c>
      <c r="O17" s="102">
        <v>0</v>
      </c>
      <c r="P17" s="102">
        <v>0</v>
      </c>
      <c r="Q17" s="102">
        <v>0</v>
      </c>
      <c r="R17" s="102">
        <v>1</v>
      </c>
      <c r="S17" s="102">
        <v>0</v>
      </c>
      <c r="T17" s="102">
        <v>0</v>
      </c>
      <c r="U17" s="102">
        <v>0</v>
      </c>
      <c r="V17" s="102">
        <v>0</v>
      </c>
      <c r="W17" s="102">
        <v>1</v>
      </c>
      <c r="X17" s="102">
        <v>0</v>
      </c>
      <c r="Y17" s="102">
        <v>0</v>
      </c>
      <c r="Z17" s="102">
        <v>0</v>
      </c>
      <c r="AA17" s="102">
        <v>1</v>
      </c>
      <c r="AB17" s="102">
        <v>0</v>
      </c>
      <c r="AC17" s="102">
        <v>0</v>
      </c>
      <c r="AD17" s="102">
        <v>1</v>
      </c>
      <c r="AE17" s="102">
        <v>0</v>
      </c>
      <c r="AF17" s="102">
        <v>0</v>
      </c>
      <c r="AG17" s="102">
        <v>0</v>
      </c>
      <c r="AH17" s="102">
        <v>0</v>
      </c>
      <c r="AI17" s="102">
        <v>0</v>
      </c>
    </row>
    <row r="18" spans="1:35" customFormat="1" x14ac:dyDescent="0.15">
      <c r="A18" s="180" t="s">
        <v>208</v>
      </c>
      <c r="B18" s="102">
        <v>0</v>
      </c>
      <c r="C18" s="102">
        <v>0</v>
      </c>
      <c r="D18" s="102">
        <v>0</v>
      </c>
      <c r="E18" s="102">
        <v>0</v>
      </c>
      <c r="F18" s="102">
        <v>0</v>
      </c>
      <c r="G18" s="102">
        <v>0</v>
      </c>
      <c r="H18" s="102">
        <v>0</v>
      </c>
      <c r="I18" s="102">
        <v>0</v>
      </c>
      <c r="J18" s="102">
        <v>0</v>
      </c>
      <c r="K18" s="102">
        <v>0</v>
      </c>
      <c r="L18" s="102">
        <v>1</v>
      </c>
      <c r="M18" s="102">
        <v>0</v>
      </c>
      <c r="N18" s="102">
        <v>0</v>
      </c>
      <c r="O18" s="102">
        <v>0</v>
      </c>
      <c r="P18" s="102">
        <v>0</v>
      </c>
      <c r="Q18" s="102">
        <v>0</v>
      </c>
      <c r="R18" s="102">
        <v>1</v>
      </c>
      <c r="S18" s="102">
        <v>1</v>
      </c>
      <c r="T18" s="102">
        <v>1</v>
      </c>
      <c r="U18" s="102">
        <v>0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>
        <v>0</v>
      </c>
      <c r="AD18" s="102">
        <v>1</v>
      </c>
      <c r="AE18" s="102">
        <v>0</v>
      </c>
      <c r="AF18" s="102">
        <v>1</v>
      </c>
      <c r="AG18" s="102">
        <v>0</v>
      </c>
      <c r="AH18" s="102">
        <v>0</v>
      </c>
      <c r="AI18" s="102">
        <v>0</v>
      </c>
    </row>
    <row r="19" spans="1:35" customFormat="1" x14ac:dyDescent="0.15">
      <c r="A19" s="180" t="s">
        <v>209</v>
      </c>
      <c r="B19" s="102">
        <v>0</v>
      </c>
      <c r="C19" s="102">
        <v>0</v>
      </c>
      <c r="D19" s="102">
        <v>0</v>
      </c>
      <c r="E19" s="102">
        <v>0</v>
      </c>
      <c r="F19" s="102">
        <v>0</v>
      </c>
      <c r="G19" s="102">
        <v>0</v>
      </c>
      <c r="H19" s="102">
        <v>0</v>
      </c>
      <c r="I19" s="102">
        <v>0</v>
      </c>
      <c r="J19" s="102">
        <v>0</v>
      </c>
      <c r="K19" s="102">
        <v>0</v>
      </c>
      <c r="L19" s="102">
        <v>0</v>
      </c>
      <c r="M19" s="102">
        <v>0</v>
      </c>
      <c r="N19" s="102">
        <v>0</v>
      </c>
      <c r="O19" s="102">
        <v>0</v>
      </c>
      <c r="P19" s="102">
        <v>0</v>
      </c>
      <c r="Q19" s="102">
        <v>0</v>
      </c>
      <c r="R19" s="102">
        <v>0</v>
      </c>
      <c r="S19" s="102">
        <v>0</v>
      </c>
      <c r="T19" s="102">
        <v>0</v>
      </c>
      <c r="U19" s="102">
        <v>0</v>
      </c>
      <c r="V19" s="102">
        <v>0</v>
      </c>
      <c r="W19" s="102">
        <v>0</v>
      </c>
      <c r="X19" s="102">
        <v>0</v>
      </c>
      <c r="Y19" s="102">
        <v>1</v>
      </c>
      <c r="Z19" s="102">
        <v>0</v>
      </c>
      <c r="AA19" s="102">
        <v>0</v>
      </c>
      <c r="AB19" s="102">
        <v>0</v>
      </c>
      <c r="AC19" s="102">
        <v>0</v>
      </c>
      <c r="AD19" s="102">
        <v>1</v>
      </c>
      <c r="AE19" s="102">
        <v>0</v>
      </c>
      <c r="AF19" s="102">
        <v>0</v>
      </c>
      <c r="AG19" s="102">
        <v>0</v>
      </c>
      <c r="AH19" s="102">
        <v>0</v>
      </c>
      <c r="AI19" s="102">
        <v>0</v>
      </c>
    </row>
    <row r="20" spans="1:35" customFormat="1" x14ac:dyDescent="0.15">
      <c r="A20" s="180" t="s">
        <v>210</v>
      </c>
      <c r="B20" s="102">
        <v>0</v>
      </c>
      <c r="C20" s="102">
        <v>0</v>
      </c>
      <c r="D20" s="102">
        <v>0</v>
      </c>
      <c r="E20" s="102">
        <v>0</v>
      </c>
      <c r="F20" s="102">
        <v>0</v>
      </c>
      <c r="G20" s="102">
        <v>0</v>
      </c>
      <c r="H20" s="102">
        <v>0</v>
      </c>
      <c r="I20" s="102">
        <v>0</v>
      </c>
      <c r="J20" s="102">
        <v>0</v>
      </c>
      <c r="K20" s="102">
        <v>0</v>
      </c>
      <c r="L20" s="102">
        <v>0</v>
      </c>
      <c r="M20" s="102">
        <v>0</v>
      </c>
      <c r="N20" s="102">
        <v>0</v>
      </c>
      <c r="O20" s="102">
        <v>0</v>
      </c>
      <c r="P20" s="102">
        <v>0</v>
      </c>
      <c r="Q20" s="102">
        <v>0</v>
      </c>
      <c r="R20" s="102">
        <v>0</v>
      </c>
      <c r="S20" s="102">
        <v>0</v>
      </c>
      <c r="T20" s="102">
        <v>0</v>
      </c>
      <c r="U20" s="102">
        <v>0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>
        <v>0</v>
      </c>
      <c r="AD20" s="102">
        <v>1</v>
      </c>
      <c r="AE20" s="102">
        <v>0</v>
      </c>
      <c r="AF20" s="102">
        <v>0</v>
      </c>
      <c r="AG20" s="102">
        <v>0</v>
      </c>
      <c r="AH20" s="102">
        <v>0</v>
      </c>
      <c r="AI20" s="102">
        <v>0</v>
      </c>
    </row>
    <row r="21" spans="1:35" customFormat="1" x14ac:dyDescent="0.15">
      <c r="A21" s="180" t="s">
        <v>211</v>
      </c>
      <c r="B21" s="102">
        <v>0</v>
      </c>
      <c r="C21" s="102">
        <v>0</v>
      </c>
      <c r="D21" s="102">
        <v>0</v>
      </c>
      <c r="E21" s="102">
        <v>0</v>
      </c>
      <c r="F21" s="102">
        <v>0</v>
      </c>
      <c r="G21" s="102">
        <v>0</v>
      </c>
      <c r="H21" s="102">
        <v>0</v>
      </c>
      <c r="I21" s="102">
        <v>0</v>
      </c>
      <c r="J21" s="102">
        <v>0</v>
      </c>
      <c r="K21" s="102">
        <v>0</v>
      </c>
      <c r="L21" s="102">
        <v>0</v>
      </c>
      <c r="M21" s="102">
        <v>0</v>
      </c>
      <c r="N21" s="102">
        <v>0</v>
      </c>
      <c r="O21" s="102">
        <v>0</v>
      </c>
      <c r="P21" s="102">
        <v>0</v>
      </c>
      <c r="Q21" s="102">
        <v>0</v>
      </c>
      <c r="R21" s="102">
        <v>0</v>
      </c>
      <c r="S21" s="102">
        <v>0</v>
      </c>
      <c r="T21" s="102">
        <v>0</v>
      </c>
      <c r="U21" s="102">
        <v>0</v>
      </c>
      <c r="V21" s="102">
        <v>0</v>
      </c>
      <c r="W21" s="102">
        <v>1</v>
      </c>
      <c r="X21" s="102">
        <v>0</v>
      </c>
      <c r="Y21" s="102">
        <v>1</v>
      </c>
      <c r="Z21" s="102">
        <v>0</v>
      </c>
      <c r="AA21" s="102">
        <v>0</v>
      </c>
      <c r="AB21" s="102">
        <v>0</v>
      </c>
      <c r="AC21" s="102">
        <v>0</v>
      </c>
      <c r="AD21" s="102">
        <v>0</v>
      </c>
      <c r="AE21" s="102">
        <v>0</v>
      </c>
      <c r="AF21" s="102">
        <v>0</v>
      </c>
      <c r="AG21" s="102">
        <v>0</v>
      </c>
      <c r="AH21" s="102">
        <v>0</v>
      </c>
      <c r="AI21" s="102">
        <v>0</v>
      </c>
    </row>
    <row r="22" spans="1:35" customFormat="1" x14ac:dyDescent="0.15">
      <c r="A22" s="180" t="s">
        <v>212</v>
      </c>
      <c r="B22" s="102">
        <v>0</v>
      </c>
      <c r="C22" s="102">
        <v>0</v>
      </c>
      <c r="D22" s="102">
        <v>0</v>
      </c>
      <c r="E22" s="102">
        <v>0</v>
      </c>
      <c r="F22" s="102">
        <v>0</v>
      </c>
      <c r="G22" s="102">
        <v>0</v>
      </c>
      <c r="H22" s="102">
        <v>0</v>
      </c>
      <c r="I22" s="102">
        <v>0</v>
      </c>
      <c r="J22" s="102">
        <v>0</v>
      </c>
      <c r="K22" s="102">
        <v>0</v>
      </c>
      <c r="L22" s="102">
        <v>0</v>
      </c>
      <c r="M22" s="102">
        <v>1</v>
      </c>
      <c r="N22" s="102">
        <v>0</v>
      </c>
      <c r="O22" s="102">
        <v>1</v>
      </c>
      <c r="P22" s="102">
        <v>1</v>
      </c>
      <c r="Q22" s="102">
        <v>1</v>
      </c>
      <c r="R22" s="102">
        <v>1</v>
      </c>
      <c r="S22" s="102">
        <v>1</v>
      </c>
      <c r="T22" s="102">
        <v>1</v>
      </c>
      <c r="U22" s="102">
        <v>0</v>
      </c>
      <c r="V22" s="102">
        <v>0</v>
      </c>
      <c r="W22" s="102">
        <v>1</v>
      </c>
      <c r="X22" s="102">
        <v>0</v>
      </c>
      <c r="Y22" s="102">
        <v>1</v>
      </c>
      <c r="Z22" s="102">
        <v>1</v>
      </c>
      <c r="AA22" s="102">
        <v>1</v>
      </c>
      <c r="AB22" s="102">
        <v>0</v>
      </c>
      <c r="AC22" s="102">
        <v>0</v>
      </c>
      <c r="AD22" s="102">
        <v>1</v>
      </c>
      <c r="AE22" s="102">
        <v>1</v>
      </c>
      <c r="AF22" s="102">
        <v>1</v>
      </c>
      <c r="AG22" s="102">
        <v>0</v>
      </c>
      <c r="AH22" s="102">
        <v>0</v>
      </c>
      <c r="AI22" s="102">
        <v>0</v>
      </c>
    </row>
    <row r="23" spans="1:35" customFormat="1" x14ac:dyDescent="0.15">
      <c r="A23" s="180" t="s">
        <v>213</v>
      </c>
      <c r="B23" s="102">
        <v>0</v>
      </c>
      <c r="C23" s="102">
        <v>0</v>
      </c>
      <c r="D23" s="102">
        <v>0</v>
      </c>
      <c r="E23" s="102">
        <v>0</v>
      </c>
      <c r="F23" s="102">
        <v>0</v>
      </c>
      <c r="G23" s="102">
        <v>0</v>
      </c>
      <c r="H23" s="102">
        <v>0</v>
      </c>
      <c r="I23" s="102">
        <v>0</v>
      </c>
      <c r="J23" s="102">
        <v>0</v>
      </c>
      <c r="K23" s="102">
        <v>0</v>
      </c>
      <c r="L23" s="102">
        <v>0</v>
      </c>
      <c r="M23" s="102">
        <v>0</v>
      </c>
      <c r="N23" s="102">
        <v>0</v>
      </c>
      <c r="O23" s="102">
        <v>0</v>
      </c>
      <c r="P23" s="102">
        <v>0</v>
      </c>
      <c r="Q23" s="102">
        <v>0</v>
      </c>
      <c r="R23" s="102">
        <v>0</v>
      </c>
      <c r="S23" s="102">
        <v>0</v>
      </c>
      <c r="T23" s="102">
        <v>0</v>
      </c>
      <c r="U23" s="102">
        <v>0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>
        <v>0</v>
      </c>
      <c r="AD23" s="102">
        <v>0</v>
      </c>
      <c r="AE23" s="102">
        <v>0</v>
      </c>
      <c r="AF23" s="102">
        <v>0</v>
      </c>
      <c r="AG23" s="102">
        <v>0</v>
      </c>
      <c r="AH23" s="102">
        <v>0</v>
      </c>
      <c r="AI23" s="102">
        <v>0</v>
      </c>
    </row>
    <row r="24" spans="1:35" customFormat="1" x14ac:dyDescent="0.15">
      <c r="A24" s="180" t="s">
        <v>214</v>
      </c>
      <c r="B24" s="102">
        <v>0</v>
      </c>
      <c r="C24" s="102">
        <v>0</v>
      </c>
      <c r="D24" s="102">
        <v>0</v>
      </c>
      <c r="E24" s="102">
        <v>0</v>
      </c>
      <c r="F24" s="102">
        <v>0</v>
      </c>
      <c r="G24" s="102">
        <v>0</v>
      </c>
      <c r="H24" s="102">
        <v>0</v>
      </c>
      <c r="I24" s="102">
        <v>0</v>
      </c>
      <c r="J24" s="102">
        <v>0</v>
      </c>
      <c r="K24" s="102">
        <v>0</v>
      </c>
      <c r="L24" s="102">
        <v>0</v>
      </c>
      <c r="M24" s="102">
        <v>0</v>
      </c>
      <c r="N24" s="102">
        <v>0</v>
      </c>
      <c r="O24" s="102">
        <v>0</v>
      </c>
      <c r="P24" s="102">
        <v>0</v>
      </c>
      <c r="Q24" s="102">
        <v>0</v>
      </c>
      <c r="R24" s="102">
        <v>0</v>
      </c>
      <c r="S24" s="102">
        <v>0</v>
      </c>
      <c r="T24" s="102">
        <v>0</v>
      </c>
      <c r="U24" s="102">
        <v>0</v>
      </c>
      <c r="V24" s="102">
        <v>0</v>
      </c>
      <c r="W24" s="102">
        <v>1</v>
      </c>
      <c r="X24" s="102">
        <v>0</v>
      </c>
      <c r="Y24" s="102">
        <v>0</v>
      </c>
      <c r="Z24" s="102">
        <v>0</v>
      </c>
      <c r="AA24" s="102">
        <v>1</v>
      </c>
      <c r="AB24" s="102">
        <v>0</v>
      </c>
      <c r="AC24" s="102">
        <v>0</v>
      </c>
      <c r="AD24" s="102">
        <v>0</v>
      </c>
      <c r="AE24" s="102">
        <v>0</v>
      </c>
      <c r="AF24" s="102">
        <v>0</v>
      </c>
      <c r="AG24" s="102">
        <v>0</v>
      </c>
      <c r="AH24" s="102">
        <v>0</v>
      </c>
      <c r="AI24" s="102">
        <v>0</v>
      </c>
    </row>
    <row r="25" spans="1:35" customFormat="1" x14ac:dyDescent="0.15">
      <c r="A25" s="180" t="s">
        <v>215</v>
      </c>
      <c r="B25" s="102">
        <v>0</v>
      </c>
      <c r="C25" s="102">
        <v>0</v>
      </c>
      <c r="D25" s="102">
        <v>0</v>
      </c>
      <c r="E25" s="102">
        <v>0</v>
      </c>
      <c r="F25" s="102">
        <v>0</v>
      </c>
      <c r="G25" s="102">
        <v>0</v>
      </c>
      <c r="H25" s="102">
        <v>0</v>
      </c>
      <c r="I25" s="102">
        <v>0</v>
      </c>
      <c r="J25" s="102">
        <v>0</v>
      </c>
      <c r="K25" s="102">
        <v>0</v>
      </c>
      <c r="L25" s="102">
        <v>0</v>
      </c>
      <c r="M25" s="102">
        <v>0</v>
      </c>
      <c r="N25" s="102">
        <v>0</v>
      </c>
      <c r="O25" s="102">
        <v>0</v>
      </c>
      <c r="P25" s="102">
        <v>0</v>
      </c>
      <c r="Q25" s="102">
        <v>0</v>
      </c>
      <c r="R25" s="102">
        <v>0</v>
      </c>
      <c r="S25" s="102">
        <v>0</v>
      </c>
      <c r="T25" s="102">
        <v>0</v>
      </c>
      <c r="U25" s="102">
        <v>0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0</v>
      </c>
      <c r="AC25" s="102">
        <v>0</v>
      </c>
      <c r="AD25" s="102">
        <v>0</v>
      </c>
      <c r="AE25" s="102">
        <v>0</v>
      </c>
      <c r="AF25" s="102">
        <v>0</v>
      </c>
      <c r="AG25" s="102">
        <v>0</v>
      </c>
      <c r="AH25" s="102">
        <v>0</v>
      </c>
      <c r="AI25" s="102">
        <v>0</v>
      </c>
    </row>
    <row r="26" spans="1:35" customFormat="1" x14ac:dyDescent="0.15">
      <c r="A26" s="180" t="s">
        <v>216</v>
      </c>
      <c r="B26" s="102">
        <v>0</v>
      </c>
      <c r="C26" s="102">
        <v>0</v>
      </c>
      <c r="D26" s="102">
        <v>0</v>
      </c>
      <c r="E26" s="102">
        <v>0</v>
      </c>
      <c r="F26" s="102">
        <v>0</v>
      </c>
      <c r="G26" s="102">
        <v>0</v>
      </c>
      <c r="H26" s="102">
        <v>0</v>
      </c>
      <c r="I26" s="102">
        <v>0</v>
      </c>
      <c r="J26" s="102">
        <v>0</v>
      </c>
      <c r="K26" s="102">
        <v>0</v>
      </c>
      <c r="L26" s="102">
        <v>0</v>
      </c>
      <c r="M26" s="102">
        <v>0</v>
      </c>
      <c r="N26" s="102">
        <v>0</v>
      </c>
      <c r="O26" s="102">
        <v>0</v>
      </c>
      <c r="P26" s="102">
        <v>0</v>
      </c>
      <c r="Q26" s="102">
        <v>0</v>
      </c>
      <c r="R26" s="102">
        <v>1</v>
      </c>
      <c r="S26" s="102">
        <v>1</v>
      </c>
      <c r="T26" s="102">
        <v>1</v>
      </c>
      <c r="U26" s="102">
        <v>1</v>
      </c>
      <c r="V26" s="102">
        <v>0</v>
      </c>
      <c r="W26" s="102">
        <v>1</v>
      </c>
      <c r="X26" s="102">
        <v>0</v>
      </c>
      <c r="Y26" s="102">
        <v>1</v>
      </c>
      <c r="Z26" s="102">
        <v>1</v>
      </c>
      <c r="AA26" s="102">
        <v>1</v>
      </c>
      <c r="AB26" s="102">
        <v>0</v>
      </c>
      <c r="AC26" s="102">
        <v>0</v>
      </c>
      <c r="AD26" s="102">
        <v>1</v>
      </c>
      <c r="AE26" s="102">
        <v>0</v>
      </c>
      <c r="AF26" s="102">
        <v>1</v>
      </c>
      <c r="AG26" s="102">
        <v>0</v>
      </c>
      <c r="AH26" s="102">
        <v>0</v>
      </c>
      <c r="AI26" s="102">
        <v>0</v>
      </c>
    </row>
    <row r="27" spans="1:35" customFormat="1" x14ac:dyDescent="0.15">
      <c r="A27" s="180" t="s">
        <v>217</v>
      </c>
      <c r="B27" s="102">
        <v>0</v>
      </c>
      <c r="C27" s="102">
        <v>0</v>
      </c>
      <c r="D27" s="102">
        <v>0</v>
      </c>
      <c r="E27" s="102">
        <v>0</v>
      </c>
      <c r="F27" s="102">
        <v>0</v>
      </c>
      <c r="G27" s="102">
        <v>0</v>
      </c>
      <c r="H27" s="102">
        <v>0</v>
      </c>
      <c r="I27" s="102">
        <v>0</v>
      </c>
      <c r="J27" s="102">
        <v>0</v>
      </c>
      <c r="K27" s="102">
        <v>0</v>
      </c>
      <c r="L27" s="102">
        <v>0</v>
      </c>
      <c r="M27" s="102">
        <v>0</v>
      </c>
      <c r="N27" s="102">
        <v>0</v>
      </c>
      <c r="O27" s="102">
        <v>0</v>
      </c>
      <c r="P27" s="102">
        <v>0</v>
      </c>
      <c r="Q27" s="102">
        <v>0</v>
      </c>
      <c r="R27" s="102">
        <v>1</v>
      </c>
      <c r="S27" s="102">
        <v>1</v>
      </c>
      <c r="T27" s="102">
        <v>1</v>
      </c>
      <c r="U27" s="102">
        <v>0</v>
      </c>
      <c r="V27" s="102">
        <v>0</v>
      </c>
      <c r="W27" s="102">
        <v>1</v>
      </c>
      <c r="X27" s="102">
        <v>0</v>
      </c>
      <c r="Y27" s="102">
        <v>0</v>
      </c>
      <c r="Z27" s="102">
        <v>0</v>
      </c>
      <c r="AA27" s="102">
        <v>1</v>
      </c>
      <c r="AB27" s="102">
        <v>0</v>
      </c>
      <c r="AC27" s="102">
        <v>0</v>
      </c>
      <c r="AD27" s="102">
        <v>0</v>
      </c>
      <c r="AE27" s="102">
        <v>0</v>
      </c>
      <c r="AF27" s="102">
        <v>1</v>
      </c>
      <c r="AG27" s="102">
        <v>0</v>
      </c>
      <c r="AH27" s="102">
        <v>0</v>
      </c>
      <c r="AI27" s="102">
        <v>0</v>
      </c>
    </row>
    <row r="28" spans="1:35" customFormat="1" x14ac:dyDescent="0.15">
      <c r="A28" s="180" t="s">
        <v>218</v>
      </c>
      <c r="B28" s="102">
        <v>0</v>
      </c>
      <c r="C28" s="102">
        <v>0</v>
      </c>
      <c r="D28" s="102">
        <v>0</v>
      </c>
      <c r="E28" s="102">
        <v>0</v>
      </c>
      <c r="F28" s="102">
        <v>0</v>
      </c>
      <c r="G28" s="102">
        <v>0</v>
      </c>
      <c r="H28" s="102">
        <v>0</v>
      </c>
      <c r="I28" s="102">
        <v>0</v>
      </c>
      <c r="J28" s="102">
        <v>0</v>
      </c>
      <c r="K28" s="102">
        <v>0</v>
      </c>
      <c r="L28" s="102">
        <v>0</v>
      </c>
      <c r="M28" s="102">
        <v>0</v>
      </c>
      <c r="N28" s="102">
        <v>0</v>
      </c>
      <c r="O28" s="102">
        <v>0</v>
      </c>
      <c r="P28" s="102">
        <v>1</v>
      </c>
      <c r="Q28" s="102">
        <v>0</v>
      </c>
      <c r="R28" s="102">
        <v>0</v>
      </c>
      <c r="S28" s="102">
        <v>0</v>
      </c>
      <c r="T28" s="102">
        <v>1</v>
      </c>
      <c r="U28" s="102">
        <v>0</v>
      </c>
      <c r="V28" s="102">
        <v>0</v>
      </c>
      <c r="W28" s="102">
        <v>0</v>
      </c>
      <c r="X28" s="102">
        <v>0</v>
      </c>
      <c r="Y28" s="102">
        <v>1</v>
      </c>
      <c r="Z28" s="102">
        <v>0</v>
      </c>
      <c r="AA28" s="102">
        <v>0</v>
      </c>
      <c r="AB28" s="102">
        <v>0</v>
      </c>
      <c r="AC28" s="102">
        <v>0</v>
      </c>
      <c r="AD28" s="102">
        <v>1</v>
      </c>
      <c r="AE28" s="102">
        <v>0</v>
      </c>
      <c r="AF28" s="102">
        <v>0</v>
      </c>
      <c r="AG28" s="102">
        <v>0</v>
      </c>
      <c r="AH28" s="102">
        <v>0</v>
      </c>
      <c r="AI28" s="102">
        <v>0</v>
      </c>
    </row>
    <row r="29" spans="1:35" customFormat="1" x14ac:dyDescent="0.15">
      <c r="A29" s="180" t="s">
        <v>219</v>
      </c>
      <c r="B29" s="102">
        <v>0</v>
      </c>
      <c r="C29" s="102">
        <v>0</v>
      </c>
      <c r="D29" s="102">
        <v>0</v>
      </c>
      <c r="E29" s="102">
        <v>0</v>
      </c>
      <c r="F29" s="102">
        <v>0</v>
      </c>
      <c r="G29" s="102">
        <v>0</v>
      </c>
      <c r="H29" s="102">
        <v>0</v>
      </c>
      <c r="I29" s="102">
        <v>0</v>
      </c>
      <c r="J29" s="102">
        <v>0</v>
      </c>
      <c r="K29" s="102">
        <v>0</v>
      </c>
      <c r="L29" s="102">
        <v>0</v>
      </c>
      <c r="M29" s="102">
        <v>0</v>
      </c>
      <c r="N29" s="102">
        <v>0</v>
      </c>
      <c r="O29" s="102">
        <v>0</v>
      </c>
      <c r="P29" s="102">
        <v>0</v>
      </c>
      <c r="Q29" s="102">
        <v>0</v>
      </c>
      <c r="R29" s="102">
        <v>0</v>
      </c>
      <c r="S29" s="102">
        <v>0</v>
      </c>
      <c r="T29" s="102">
        <v>0</v>
      </c>
      <c r="U29" s="102">
        <v>0</v>
      </c>
      <c r="V29" s="102">
        <v>0</v>
      </c>
      <c r="W29" s="102">
        <v>1</v>
      </c>
      <c r="X29" s="102">
        <v>0</v>
      </c>
      <c r="Y29" s="102">
        <v>0</v>
      </c>
      <c r="Z29" s="102">
        <v>0</v>
      </c>
      <c r="AA29" s="102">
        <v>0</v>
      </c>
      <c r="AB29" s="102">
        <v>0</v>
      </c>
      <c r="AC29" s="102">
        <v>0</v>
      </c>
      <c r="AD29" s="102">
        <v>0</v>
      </c>
      <c r="AE29" s="102">
        <v>0</v>
      </c>
      <c r="AF29" s="102">
        <v>0</v>
      </c>
      <c r="AG29" s="102">
        <v>0</v>
      </c>
      <c r="AH29" s="102">
        <v>0</v>
      </c>
      <c r="AI29" s="102">
        <v>0</v>
      </c>
    </row>
    <row r="30" spans="1:35" customFormat="1" x14ac:dyDescent="0.15">
      <c r="A30" s="180" t="s">
        <v>220</v>
      </c>
      <c r="B30" s="102">
        <v>0</v>
      </c>
      <c r="C30" s="102">
        <v>0</v>
      </c>
      <c r="D30" s="102">
        <v>0</v>
      </c>
      <c r="E30" s="102">
        <v>0</v>
      </c>
      <c r="F30" s="102">
        <v>0</v>
      </c>
      <c r="G30" s="102">
        <v>0</v>
      </c>
      <c r="H30" s="102">
        <v>0</v>
      </c>
      <c r="I30" s="102">
        <v>0</v>
      </c>
      <c r="J30" s="102">
        <v>0</v>
      </c>
      <c r="K30" s="102">
        <v>0</v>
      </c>
      <c r="L30" s="102">
        <v>0</v>
      </c>
      <c r="M30" s="102">
        <v>0</v>
      </c>
      <c r="N30" s="102">
        <v>0</v>
      </c>
      <c r="O30" s="102">
        <v>0</v>
      </c>
      <c r="P30" s="102">
        <v>0</v>
      </c>
      <c r="Q30" s="102">
        <v>0</v>
      </c>
      <c r="R30" s="102">
        <v>0</v>
      </c>
      <c r="S30" s="102">
        <v>0</v>
      </c>
      <c r="T30" s="102">
        <v>0</v>
      </c>
      <c r="U30" s="102">
        <v>0</v>
      </c>
      <c r="V30" s="102">
        <v>0</v>
      </c>
      <c r="W30" s="102">
        <v>0</v>
      </c>
      <c r="X30" s="102">
        <v>0</v>
      </c>
      <c r="Y30" s="102">
        <v>0</v>
      </c>
      <c r="Z30" s="102">
        <v>0</v>
      </c>
      <c r="AA30" s="102">
        <v>0</v>
      </c>
      <c r="AB30" s="102">
        <v>0</v>
      </c>
      <c r="AC30" s="102">
        <v>0</v>
      </c>
      <c r="AD30" s="102">
        <v>0</v>
      </c>
      <c r="AE30" s="102">
        <v>0</v>
      </c>
      <c r="AF30" s="102">
        <v>0</v>
      </c>
      <c r="AG30" s="102">
        <v>0</v>
      </c>
      <c r="AH30" s="102">
        <v>0</v>
      </c>
      <c r="AI30" s="102">
        <v>0</v>
      </c>
    </row>
    <row r="31" spans="1:35" customFormat="1" x14ac:dyDescent="0.15">
      <c r="A31" s="180" t="s">
        <v>221</v>
      </c>
      <c r="B31" s="102">
        <v>0</v>
      </c>
      <c r="C31" s="102">
        <v>0</v>
      </c>
      <c r="D31" s="102">
        <v>0</v>
      </c>
      <c r="E31" s="102">
        <v>0</v>
      </c>
      <c r="F31" s="102">
        <v>0</v>
      </c>
      <c r="G31" s="102">
        <v>0</v>
      </c>
      <c r="H31" s="102">
        <v>0</v>
      </c>
      <c r="I31" s="102">
        <v>0</v>
      </c>
      <c r="J31" s="102">
        <v>0</v>
      </c>
      <c r="K31" s="102">
        <v>0</v>
      </c>
      <c r="L31" s="102">
        <v>0</v>
      </c>
      <c r="M31" s="102">
        <v>0</v>
      </c>
      <c r="N31" s="102">
        <v>0</v>
      </c>
      <c r="O31" s="102">
        <v>0</v>
      </c>
      <c r="P31" s="102">
        <v>0</v>
      </c>
      <c r="Q31" s="102">
        <v>0</v>
      </c>
      <c r="R31" s="102">
        <v>0</v>
      </c>
      <c r="S31" s="102">
        <v>0</v>
      </c>
      <c r="T31" s="102">
        <v>0</v>
      </c>
      <c r="U31" s="102">
        <v>0</v>
      </c>
      <c r="V31" s="102">
        <v>0</v>
      </c>
      <c r="W31" s="102">
        <v>0</v>
      </c>
      <c r="X31" s="102">
        <v>0</v>
      </c>
      <c r="Y31" s="102">
        <v>0</v>
      </c>
      <c r="Z31" s="102">
        <v>0</v>
      </c>
      <c r="AA31" s="102">
        <v>0</v>
      </c>
      <c r="AB31" s="102">
        <v>0</v>
      </c>
      <c r="AC31" s="102">
        <v>0</v>
      </c>
      <c r="AD31" s="102">
        <v>0</v>
      </c>
      <c r="AE31" s="102">
        <v>0</v>
      </c>
      <c r="AF31" s="102">
        <v>0</v>
      </c>
      <c r="AG31" s="102">
        <v>0</v>
      </c>
      <c r="AH31" s="102">
        <v>0</v>
      </c>
      <c r="AI31" s="102">
        <v>0</v>
      </c>
    </row>
    <row r="32" spans="1:35" x14ac:dyDescent="0.15">
      <c r="A32" s="180" t="s">
        <v>222</v>
      </c>
      <c r="B32" s="102">
        <v>0</v>
      </c>
      <c r="C32" s="102">
        <v>0</v>
      </c>
      <c r="D32" s="102">
        <v>0</v>
      </c>
      <c r="E32" s="102">
        <v>0</v>
      </c>
      <c r="F32" s="102">
        <v>0</v>
      </c>
      <c r="G32" s="102">
        <v>0</v>
      </c>
      <c r="H32" s="102">
        <v>0</v>
      </c>
      <c r="I32" s="102">
        <v>0</v>
      </c>
      <c r="J32" s="102">
        <v>0</v>
      </c>
      <c r="K32" s="102">
        <v>0</v>
      </c>
      <c r="L32" s="102">
        <v>0</v>
      </c>
      <c r="M32" s="102">
        <v>0</v>
      </c>
      <c r="N32" s="102">
        <v>0</v>
      </c>
      <c r="O32" s="102">
        <v>0</v>
      </c>
      <c r="P32" s="102">
        <v>0</v>
      </c>
      <c r="Q32" s="102">
        <v>0</v>
      </c>
      <c r="R32" s="102">
        <v>0</v>
      </c>
      <c r="S32" s="102">
        <v>0</v>
      </c>
      <c r="T32" s="102">
        <v>0</v>
      </c>
      <c r="U32" s="102">
        <v>0</v>
      </c>
      <c r="V32" s="102">
        <v>0</v>
      </c>
      <c r="W32" s="102">
        <v>0</v>
      </c>
      <c r="X32" s="102">
        <v>0</v>
      </c>
      <c r="Y32" s="102">
        <v>0</v>
      </c>
      <c r="Z32" s="102">
        <v>0</v>
      </c>
      <c r="AA32" s="102">
        <v>0</v>
      </c>
      <c r="AB32" s="102">
        <v>0</v>
      </c>
      <c r="AC32" s="102">
        <v>0</v>
      </c>
      <c r="AD32" s="102">
        <v>0</v>
      </c>
      <c r="AE32" s="102">
        <v>0</v>
      </c>
      <c r="AF32" s="102">
        <v>0</v>
      </c>
      <c r="AG32" s="102">
        <v>0</v>
      </c>
      <c r="AH32" s="102">
        <v>0</v>
      </c>
      <c r="AI32" s="102">
        <v>0</v>
      </c>
    </row>
    <row r="33" spans="1:35" x14ac:dyDescent="0.15">
      <c r="A33" s="180" t="s">
        <v>223</v>
      </c>
      <c r="B33" s="102">
        <v>0</v>
      </c>
      <c r="C33" s="102">
        <v>0</v>
      </c>
      <c r="D33" s="102">
        <v>0</v>
      </c>
      <c r="E33" s="102">
        <v>0</v>
      </c>
      <c r="F33" s="102">
        <v>0</v>
      </c>
      <c r="G33" s="102">
        <v>0</v>
      </c>
      <c r="H33" s="102">
        <v>0</v>
      </c>
      <c r="I33" s="102">
        <v>0</v>
      </c>
      <c r="J33" s="102">
        <v>0</v>
      </c>
      <c r="K33" s="102">
        <v>0</v>
      </c>
      <c r="L33" s="102">
        <v>0</v>
      </c>
      <c r="M33" s="102">
        <v>0</v>
      </c>
      <c r="N33" s="102">
        <v>0</v>
      </c>
      <c r="O33" s="102">
        <v>0</v>
      </c>
      <c r="P33" s="102">
        <v>0</v>
      </c>
      <c r="Q33" s="102">
        <v>0</v>
      </c>
      <c r="R33" s="102">
        <v>0</v>
      </c>
      <c r="S33" s="102">
        <v>0</v>
      </c>
      <c r="T33" s="102">
        <v>0</v>
      </c>
      <c r="U33" s="102">
        <v>0</v>
      </c>
      <c r="V33" s="102">
        <v>0</v>
      </c>
      <c r="W33" s="102">
        <v>0</v>
      </c>
      <c r="X33" s="102">
        <v>0</v>
      </c>
      <c r="Y33" s="102">
        <v>0</v>
      </c>
      <c r="Z33" s="102">
        <v>0</v>
      </c>
      <c r="AA33" s="102">
        <v>0</v>
      </c>
      <c r="AB33" s="102">
        <v>0</v>
      </c>
      <c r="AC33" s="102">
        <v>0</v>
      </c>
      <c r="AD33" s="102">
        <v>0</v>
      </c>
      <c r="AE33" s="102">
        <v>0</v>
      </c>
      <c r="AF33" s="102">
        <v>0</v>
      </c>
      <c r="AG33" s="102">
        <v>0</v>
      </c>
      <c r="AH33" s="102">
        <v>0</v>
      </c>
      <c r="AI33" s="102">
        <v>0</v>
      </c>
    </row>
    <row r="34" spans="1:35" x14ac:dyDescent="0.15">
      <c r="A34" s="180" t="s">
        <v>224</v>
      </c>
      <c r="B34" s="102">
        <v>0</v>
      </c>
      <c r="C34" s="102">
        <v>0</v>
      </c>
      <c r="D34" s="102">
        <v>1</v>
      </c>
      <c r="E34" s="102">
        <v>0</v>
      </c>
      <c r="F34" s="102">
        <v>0</v>
      </c>
      <c r="G34" s="102">
        <v>1</v>
      </c>
      <c r="H34" s="102">
        <v>1</v>
      </c>
      <c r="I34" s="102">
        <v>0</v>
      </c>
      <c r="J34" s="102">
        <v>0</v>
      </c>
      <c r="K34" s="102">
        <v>0</v>
      </c>
      <c r="L34" s="102">
        <v>0</v>
      </c>
      <c r="M34" s="102">
        <v>0</v>
      </c>
      <c r="N34" s="102">
        <v>0</v>
      </c>
      <c r="O34" s="102">
        <v>1</v>
      </c>
      <c r="P34" s="102">
        <v>0</v>
      </c>
      <c r="Q34" s="102">
        <v>0</v>
      </c>
      <c r="R34" s="102">
        <v>0</v>
      </c>
      <c r="S34" s="102">
        <v>0</v>
      </c>
      <c r="T34" s="102">
        <v>0</v>
      </c>
      <c r="U34" s="102">
        <v>0</v>
      </c>
      <c r="V34" s="102">
        <v>0</v>
      </c>
      <c r="W34" s="102">
        <v>1</v>
      </c>
      <c r="X34" s="102">
        <v>0</v>
      </c>
      <c r="Y34" s="102">
        <v>1</v>
      </c>
      <c r="Z34" s="102">
        <v>0</v>
      </c>
      <c r="AA34" s="102">
        <v>0</v>
      </c>
      <c r="AB34" s="102">
        <v>0</v>
      </c>
      <c r="AC34" s="102">
        <v>1</v>
      </c>
      <c r="AD34" s="102">
        <v>0</v>
      </c>
      <c r="AE34" s="102">
        <v>0</v>
      </c>
      <c r="AF34" s="102">
        <v>0</v>
      </c>
      <c r="AG34" s="102">
        <v>0</v>
      </c>
      <c r="AH34" s="102">
        <v>0</v>
      </c>
      <c r="AI34" s="102">
        <v>0</v>
      </c>
    </row>
    <row r="35" spans="1:35" x14ac:dyDescent="0.15">
      <c r="A35" s="180" t="s">
        <v>225</v>
      </c>
      <c r="B35" s="102">
        <v>0</v>
      </c>
      <c r="C35" s="102">
        <v>0</v>
      </c>
      <c r="D35" s="102">
        <v>0</v>
      </c>
      <c r="E35" s="102">
        <v>0</v>
      </c>
      <c r="F35" s="102">
        <v>0</v>
      </c>
      <c r="G35" s="102">
        <v>0</v>
      </c>
      <c r="H35" s="102">
        <v>0</v>
      </c>
      <c r="I35" s="102">
        <v>0</v>
      </c>
      <c r="J35" s="102">
        <v>0</v>
      </c>
      <c r="K35" s="102">
        <v>0</v>
      </c>
      <c r="L35" s="102">
        <v>0</v>
      </c>
      <c r="M35" s="102">
        <v>0</v>
      </c>
      <c r="N35" s="102">
        <v>0</v>
      </c>
      <c r="O35" s="102">
        <v>0</v>
      </c>
      <c r="P35" s="102">
        <v>0</v>
      </c>
      <c r="Q35" s="102">
        <v>0</v>
      </c>
      <c r="R35" s="102">
        <v>0</v>
      </c>
      <c r="S35" s="102">
        <v>0</v>
      </c>
      <c r="T35" s="102">
        <v>0</v>
      </c>
      <c r="U35" s="102">
        <v>0</v>
      </c>
      <c r="V35" s="102">
        <v>0</v>
      </c>
      <c r="W35" s="102">
        <v>0</v>
      </c>
      <c r="X35" s="102">
        <v>0</v>
      </c>
      <c r="Y35" s="102">
        <v>0</v>
      </c>
      <c r="Z35" s="102">
        <v>0</v>
      </c>
      <c r="AA35" s="102">
        <v>0</v>
      </c>
      <c r="AB35" s="102">
        <v>0</v>
      </c>
      <c r="AC35" s="102">
        <v>0</v>
      </c>
      <c r="AD35" s="102">
        <v>0</v>
      </c>
      <c r="AE35" s="102">
        <v>0</v>
      </c>
      <c r="AF35" s="102">
        <v>0</v>
      </c>
      <c r="AG35" s="102">
        <v>0</v>
      </c>
      <c r="AH35" s="102">
        <v>0</v>
      </c>
      <c r="AI35" s="102">
        <v>0</v>
      </c>
    </row>
    <row r="36" spans="1:35" x14ac:dyDescent="0.15">
      <c r="A36" s="180" t="s">
        <v>227</v>
      </c>
      <c r="B36" s="102">
        <v>0</v>
      </c>
      <c r="C36" s="102">
        <v>0</v>
      </c>
      <c r="D36" s="102">
        <v>0</v>
      </c>
      <c r="E36" s="102">
        <v>0</v>
      </c>
      <c r="F36" s="102">
        <v>0</v>
      </c>
      <c r="G36" s="102">
        <v>0</v>
      </c>
      <c r="H36" s="102">
        <v>1</v>
      </c>
      <c r="I36" s="102">
        <v>0</v>
      </c>
      <c r="J36" s="102">
        <v>0</v>
      </c>
      <c r="K36" s="102">
        <v>0</v>
      </c>
      <c r="L36" s="102">
        <v>0</v>
      </c>
      <c r="M36" s="102">
        <v>1</v>
      </c>
      <c r="N36" s="102">
        <v>1</v>
      </c>
      <c r="O36" s="102">
        <v>0</v>
      </c>
      <c r="P36" s="102">
        <v>0</v>
      </c>
      <c r="Q36" s="102">
        <v>0</v>
      </c>
      <c r="R36" s="102">
        <v>0</v>
      </c>
      <c r="S36" s="102">
        <v>0</v>
      </c>
      <c r="T36" s="102">
        <v>0</v>
      </c>
      <c r="U36" s="102">
        <v>0</v>
      </c>
      <c r="V36" s="102">
        <v>0</v>
      </c>
      <c r="W36" s="102">
        <v>0</v>
      </c>
      <c r="X36" s="102">
        <v>0</v>
      </c>
      <c r="Y36" s="102">
        <v>0</v>
      </c>
      <c r="Z36" s="102">
        <v>0</v>
      </c>
      <c r="AA36" s="102">
        <v>0</v>
      </c>
      <c r="AB36" s="102">
        <v>0</v>
      </c>
      <c r="AC36" s="102">
        <v>0</v>
      </c>
      <c r="AD36" s="102">
        <v>0</v>
      </c>
      <c r="AE36" s="102">
        <v>0</v>
      </c>
      <c r="AF36" s="102">
        <v>0</v>
      </c>
      <c r="AG36" s="102">
        <v>0</v>
      </c>
      <c r="AH36" s="102">
        <v>0</v>
      </c>
      <c r="AI36" s="102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C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1.6640625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83</v>
      </c>
      <c r="B1" s="3" t="s">
        <v>0</v>
      </c>
      <c r="C1" s="183" t="s">
        <v>226</v>
      </c>
    </row>
    <row r="2" spans="1:3" x14ac:dyDescent="0.15">
      <c r="A2">
        <v>1</v>
      </c>
      <c r="B2" s="182" t="s">
        <v>192</v>
      </c>
      <c r="C2">
        <v>0</v>
      </c>
    </row>
    <row r="3" spans="1:3" x14ac:dyDescent="0.15">
      <c r="A3">
        <v>2</v>
      </c>
      <c r="B3" s="182" t="s">
        <v>193</v>
      </c>
      <c r="C3">
        <v>0</v>
      </c>
    </row>
    <row r="4" spans="1:3" x14ac:dyDescent="0.15">
      <c r="A4">
        <v>3</v>
      </c>
      <c r="B4" s="182" t="s">
        <v>194</v>
      </c>
      <c r="C4">
        <v>0</v>
      </c>
    </row>
    <row r="5" spans="1:3" x14ac:dyDescent="0.15">
      <c r="A5">
        <v>4</v>
      </c>
      <c r="B5" s="182" t="s">
        <v>195</v>
      </c>
      <c r="C5">
        <v>0</v>
      </c>
    </row>
    <row r="6" spans="1:3" x14ac:dyDescent="0.15">
      <c r="A6">
        <v>5</v>
      </c>
      <c r="B6" s="182" t="s">
        <v>196</v>
      </c>
      <c r="C6">
        <v>0</v>
      </c>
    </row>
    <row r="7" spans="1:3" x14ac:dyDescent="0.15">
      <c r="A7">
        <v>6</v>
      </c>
      <c r="B7" s="182" t="s">
        <v>197</v>
      </c>
      <c r="C7">
        <v>0</v>
      </c>
    </row>
    <row r="8" spans="1:3" x14ac:dyDescent="0.15">
      <c r="A8">
        <v>7</v>
      </c>
      <c r="B8" s="182" t="s">
        <v>198</v>
      </c>
      <c r="C8">
        <v>0</v>
      </c>
    </row>
    <row r="9" spans="1:3" x14ac:dyDescent="0.15">
      <c r="A9">
        <v>8</v>
      </c>
      <c r="B9" s="182" t="s">
        <v>199</v>
      </c>
      <c r="C9">
        <v>0.8</v>
      </c>
    </row>
    <row r="10" spans="1:3" x14ac:dyDescent="0.15">
      <c r="A10">
        <v>9</v>
      </c>
      <c r="B10" s="182" t="s">
        <v>200</v>
      </c>
      <c r="C10">
        <v>0.8</v>
      </c>
    </row>
    <row r="11" spans="1:3" x14ac:dyDescent="0.15">
      <c r="A11">
        <v>10</v>
      </c>
      <c r="B11" s="182" t="s">
        <v>201</v>
      </c>
      <c r="C11">
        <v>0</v>
      </c>
    </row>
    <row r="12" spans="1:3" x14ac:dyDescent="0.15">
      <c r="A12">
        <v>11</v>
      </c>
      <c r="B12" s="182" t="s">
        <v>202</v>
      </c>
      <c r="C12">
        <v>0.8</v>
      </c>
    </row>
    <row r="13" spans="1:3" x14ac:dyDescent="0.15">
      <c r="A13">
        <v>12</v>
      </c>
      <c r="B13" s="182" t="s">
        <v>203</v>
      </c>
      <c r="C13">
        <v>0.8</v>
      </c>
    </row>
    <row r="14" spans="1:3" x14ac:dyDescent="0.15">
      <c r="A14">
        <v>13</v>
      </c>
      <c r="B14" s="182" t="s">
        <v>204</v>
      </c>
      <c r="C14">
        <v>0.8</v>
      </c>
    </row>
    <row r="15" spans="1:3" x14ac:dyDescent="0.15">
      <c r="A15">
        <v>14</v>
      </c>
      <c r="B15" s="182" t="s">
        <v>205</v>
      </c>
      <c r="C15">
        <v>0.8</v>
      </c>
    </row>
    <row r="16" spans="1:3" x14ac:dyDescent="0.15">
      <c r="A16">
        <v>15</v>
      </c>
      <c r="B16" s="182" t="s">
        <v>206</v>
      </c>
      <c r="C16">
        <v>0.8</v>
      </c>
    </row>
    <row r="17" spans="1:3" x14ac:dyDescent="0.15">
      <c r="A17">
        <v>16</v>
      </c>
      <c r="B17" s="182" t="s">
        <v>207</v>
      </c>
      <c r="C17">
        <v>0.8</v>
      </c>
    </row>
    <row r="18" spans="1:3" x14ac:dyDescent="0.15">
      <c r="A18">
        <v>17</v>
      </c>
      <c r="B18" s="182" t="s">
        <v>208</v>
      </c>
      <c r="C18">
        <v>0.8</v>
      </c>
    </row>
    <row r="19" spans="1:3" x14ac:dyDescent="0.15">
      <c r="A19">
        <v>18</v>
      </c>
      <c r="B19" s="182" t="s">
        <v>209</v>
      </c>
      <c r="C19">
        <v>0.8</v>
      </c>
    </row>
    <row r="20" spans="1:3" x14ac:dyDescent="0.15">
      <c r="A20">
        <v>19</v>
      </c>
      <c r="B20" s="182" t="s">
        <v>210</v>
      </c>
      <c r="C20">
        <v>0.8</v>
      </c>
    </row>
    <row r="21" spans="1:3" x14ac:dyDescent="0.15">
      <c r="A21">
        <v>20</v>
      </c>
      <c r="B21" s="182" t="s">
        <v>211</v>
      </c>
      <c r="C21">
        <v>0.8</v>
      </c>
    </row>
    <row r="22" spans="1:3" x14ac:dyDescent="0.15">
      <c r="A22">
        <v>21</v>
      </c>
      <c r="B22" s="182" t="s">
        <v>212</v>
      </c>
      <c r="C22">
        <v>0.8</v>
      </c>
    </row>
    <row r="23" spans="1:3" x14ac:dyDescent="0.15">
      <c r="A23">
        <v>22</v>
      </c>
      <c r="B23" s="182" t="s">
        <v>213</v>
      </c>
      <c r="C23">
        <v>0.8</v>
      </c>
    </row>
    <row r="24" spans="1:3" x14ac:dyDescent="0.15">
      <c r="A24">
        <v>23</v>
      </c>
      <c r="B24" s="182" t="s">
        <v>214</v>
      </c>
      <c r="C24">
        <v>0</v>
      </c>
    </row>
    <row r="25" spans="1:3" x14ac:dyDescent="0.15">
      <c r="A25">
        <v>24</v>
      </c>
      <c r="B25" s="182" t="s">
        <v>215</v>
      </c>
      <c r="C25">
        <v>0</v>
      </c>
    </row>
    <row r="26" spans="1:3" x14ac:dyDescent="0.15">
      <c r="A26">
        <v>25</v>
      </c>
      <c r="B26" s="182" t="s">
        <v>216</v>
      </c>
      <c r="C26">
        <v>0.8</v>
      </c>
    </row>
    <row r="27" spans="1:3" x14ac:dyDescent="0.15">
      <c r="A27">
        <v>26</v>
      </c>
      <c r="B27" s="182" t="s">
        <v>217</v>
      </c>
      <c r="C27">
        <v>0.8</v>
      </c>
    </row>
    <row r="28" spans="1:3" x14ac:dyDescent="0.15">
      <c r="A28">
        <v>27</v>
      </c>
      <c r="B28" s="182" t="s">
        <v>218</v>
      </c>
      <c r="C28">
        <v>0</v>
      </c>
    </row>
    <row r="29" spans="1:3" x14ac:dyDescent="0.15">
      <c r="A29">
        <v>28</v>
      </c>
      <c r="B29" s="182" t="s">
        <v>219</v>
      </c>
      <c r="C29">
        <v>0.8</v>
      </c>
    </row>
    <row r="30" spans="1:3" x14ac:dyDescent="0.15">
      <c r="A30">
        <v>29</v>
      </c>
      <c r="B30" s="182" t="s">
        <v>220</v>
      </c>
      <c r="C30">
        <v>0.8</v>
      </c>
    </row>
    <row r="31" spans="1:3" x14ac:dyDescent="0.15">
      <c r="A31">
        <v>30</v>
      </c>
      <c r="B31" s="182" t="s">
        <v>221</v>
      </c>
      <c r="C31">
        <v>0</v>
      </c>
    </row>
    <row r="32" spans="1:3" x14ac:dyDescent="0.15">
      <c r="A32">
        <v>31</v>
      </c>
      <c r="B32" s="182" t="s">
        <v>222</v>
      </c>
      <c r="C32">
        <v>0</v>
      </c>
    </row>
    <row r="33" spans="1:3" x14ac:dyDescent="0.15">
      <c r="A33">
        <v>32</v>
      </c>
      <c r="B33" s="182" t="s">
        <v>223</v>
      </c>
      <c r="C33">
        <v>0</v>
      </c>
    </row>
    <row r="34" spans="1:3" x14ac:dyDescent="0.15">
      <c r="A34">
        <v>33</v>
      </c>
      <c r="B34" s="182" t="s">
        <v>224</v>
      </c>
      <c r="C34">
        <v>0</v>
      </c>
    </row>
    <row r="35" spans="1:3" x14ac:dyDescent="0.15">
      <c r="A35">
        <v>34</v>
      </c>
      <c r="B35" s="182" t="s">
        <v>225</v>
      </c>
      <c r="C35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C3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1.6640625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82</v>
      </c>
      <c r="B1" s="3" t="s">
        <v>0</v>
      </c>
      <c r="C1" s="185" t="s">
        <v>226</v>
      </c>
    </row>
    <row r="2" spans="1:3" x14ac:dyDescent="0.15">
      <c r="A2">
        <v>1</v>
      </c>
      <c r="B2" s="184" t="s">
        <v>192</v>
      </c>
      <c r="C2">
        <v>0</v>
      </c>
    </row>
    <row r="3" spans="1:3" x14ac:dyDescent="0.15">
      <c r="A3">
        <v>2</v>
      </c>
      <c r="B3" s="184" t="s">
        <v>193</v>
      </c>
      <c r="C3">
        <v>0</v>
      </c>
    </row>
    <row r="4" spans="1:3" x14ac:dyDescent="0.15">
      <c r="A4">
        <v>3</v>
      </c>
      <c r="B4" s="184" t="s">
        <v>194</v>
      </c>
      <c r="C4">
        <v>0</v>
      </c>
    </row>
    <row r="5" spans="1:3" x14ac:dyDescent="0.15">
      <c r="A5">
        <v>4</v>
      </c>
      <c r="B5" s="184" t="s">
        <v>195</v>
      </c>
      <c r="C5">
        <v>0</v>
      </c>
    </row>
    <row r="6" spans="1:3" x14ac:dyDescent="0.15">
      <c r="A6">
        <v>5</v>
      </c>
      <c r="B6" s="184" t="s">
        <v>196</v>
      </c>
      <c r="C6">
        <v>0</v>
      </c>
    </row>
    <row r="7" spans="1:3" x14ac:dyDescent="0.15">
      <c r="A7">
        <v>6</v>
      </c>
      <c r="B7" s="184" t="s">
        <v>197</v>
      </c>
      <c r="C7">
        <v>0</v>
      </c>
    </row>
    <row r="8" spans="1:3" x14ac:dyDescent="0.15">
      <c r="A8">
        <v>7</v>
      </c>
      <c r="B8" s="184" t="s">
        <v>198</v>
      </c>
      <c r="C8">
        <v>0</v>
      </c>
    </row>
    <row r="9" spans="1:3" x14ac:dyDescent="0.15">
      <c r="A9">
        <v>8</v>
      </c>
      <c r="B9" s="184" t="s">
        <v>199</v>
      </c>
      <c r="C9">
        <v>0.8</v>
      </c>
    </row>
    <row r="10" spans="1:3" x14ac:dyDescent="0.15">
      <c r="A10">
        <v>9</v>
      </c>
      <c r="B10" s="184" t="s">
        <v>200</v>
      </c>
      <c r="C10">
        <v>0.8</v>
      </c>
    </row>
    <row r="11" spans="1:3" x14ac:dyDescent="0.15">
      <c r="A11">
        <v>10</v>
      </c>
      <c r="B11" s="184" t="s">
        <v>201</v>
      </c>
      <c r="C11">
        <v>0</v>
      </c>
    </row>
    <row r="12" spans="1:3" x14ac:dyDescent="0.15">
      <c r="A12">
        <v>11</v>
      </c>
      <c r="B12" s="184" t="s">
        <v>202</v>
      </c>
      <c r="C12">
        <v>0.8</v>
      </c>
    </row>
    <row r="13" spans="1:3" x14ac:dyDescent="0.15">
      <c r="A13">
        <v>12</v>
      </c>
      <c r="B13" s="184" t="s">
        <v>203</v>
      </c>
      <c r="C13">
        <v>0.8</v>
      </c>
    </row>
    <row r="14" spans="1:3" x14ac:dyDescent="0.15">
      <c r="A14">
        <v>13</v>
      </c>
      <c r="B14" s="184" t="s">
        <v>204</v>
      </c>
      <c r="C14">
        <v>0.8</v>
      </c>
    </row>
    <row r="15" spans="1:3" x14ac:dyDescent="0.15">
      <c r="A15">
        <v>14</v>
      </c>
      <c r="B15" s="184" t="s">
        <v>205</v>
      </c>
      <c r="C15">
        <v>0.8</v>
      </c>
    </row>
    <row r="16" spans="1:3" x14ac:dyDescent="0.15">
      <c r="A16">
        <v>15</v>
      </c>
      <c r="B16" s="184" t="s">
        <v>206</v>
      </c>
      <c r="C16">
        <v>0.8</v>
      </c>
    </row>
    <row r="17" spans="1:3" x14ac:dyDescent="0.15">
      <c r="A17">
        <v>16</v>
      </c>
      <c r="B17" s="184" t="s">
        <v>207</v>
      </c>
      <c r="C17">
        <v>0.8</v>
      </c>
    </row>
    <row r="18" spans="1:3" x14ac:dyDescent="0.15">
      <c r="A18">
        <v>17</v>
      </c>
      <c r="B18" s="184" t="s">
        <v>208</v>
      </c>
      <c r="C18">
        <v>0.8</v>
      </c>
    </row>
    <row r="19" spans="1:3" x14ac:dyDescent="0.15">
      <c r="A19">
        <v>18</v>
      </c>
      <c r="B19" s="184" t="s">
        <v>209</v>
      </c>
      <c r="C19">
        <v>0.8</v>
      </c>
    </row>
    <row r="20" spans="1:3" x14ac:dyDescent="0.15">
      <c r="A20">
        <v>19</v>
      </c>
      <c r="B20" s="184" t="s">
        <v>210</v>
      </c>
      <c r="C20">
        <v>0.8</v>
      </c>
    </row>
    <row r="21" spans="1:3" x14ac:dyDescent="0.15">
      <c r="A21">
        <v>20</v>
      </c>
      <c r="B21" s="184" t="s">
        <v>211</v>
      </c>
      <c r="C21">
        <v>0.8</v>
      </c>
    </row>
    <row r="22" spans="1:3" x14ac:dyDescent="0.15">
      <c r="A22">
        <v>21</v>
      </c>
      <c r="B22" s="184" t="s">
        <v>212</v>
      </c>
      <c r="C22">
        <v>0.8</v>
      </c>
    </row>
    <row r="23" spans="1:3" x14ac:dyDescent="0.15">
      <c r="A23">
        <v>22</v>
      </c>
      <c r="B23" s="184" t="s">
        <v>213</v>
      </c>
      <c r="C23">
        <v>0.8</v>
      </c>
    </row>
    <row r="24" spans="1:3" x14ac:dyDescent="0.15">
      <c r="A24">
        <v>23</v>
      </c>
      <c r="B24" s="184" t="s">
        <v>214</v>
      </c>
      <c r="C24">
        <v>0</v>
      </c>
    </row>
    <row r="25" spans="1:3" x14ac:dyDescent="0.15">
      <c r="A25">
        <v>24</v>
      </c>
      <c r="B25" s="184" t="s">
        <v>215</v>
      </c>
      <c r="C25">
        <v>0</v>
      </c>
    </row>
    <row r="26" spans="1:3" x14ac:dyDescent="0.15">
      <c r="A26">
        <v>25</v>
      </c>
      <c r="B26" s="184" t="s">
        <v>216</v>
      </c>
      <c r="C26">
        <v>0.8</v>
      </c>
    </row>
    <row r="27" spans="1:3" x14ac:dyDescent="0.15">
      <c r="A27">
        <v>26</v>
      </c>
      <c r="B27" s="184" t="s">
        <v>217</v>
      </c>
      <c r="C27">
        <v>0.8</v>
      </c>
    </row>
    <row r="28" spans="1:3" x14ac:dyDescent="0.15">
      <c r="A28">
        <v>27</v>
      </c>
      <c r="B28" s="184" t="s">
        <v>218</v>
      </c>
      <c r="C28">
        <v>0</v>
      </c>
    </row>
    <row r="29" spans="1:3" x14ac:dyDescent="0.15">
      <c r="A29">
        <v>28</v>
      </c>
      <c r="B29" s="184" t="s">
        <v>219</v>
      </c>
      <c r="C29">
        <v>0.8</v>
      </c>
    </row>
    <row r="30" spans="1:3" x14ac:dyDescent="0.15">
      <c r="A30">
        <v>29</v>
      </c>
      <c r="B30" s="184" t="s">
        <v>220</v>
      </c>
      <c r="C30">
        <v>0.8</v>
      </c>
    </row>
    <row r="31" spans="1:3" x14ac:dyDescent="0.15">
      <c r="A31">
        <v>30</v>
      </c>
      <c r="B31" s="184" t="s">
        <v>221</v>
      </c>
      <c r="C31">
        <v>0</v>
      </c>
    </row>
    <row r="32" spans="1:3" x14ac:dyDescent="0.15">
      <c r="A32">
        <v>31</v>
      </c>
      <c r="B32" s="184" t="s">
        <v>222</v>
      </c>
      <c r="C32">
        <v>0</v>
      </c>
    </row>
    <row r="33" spans="1:3" x14ac:dyDescent="0.15">
      <c r="A33">
        <v>32</v>
      </c>
      <c r="B33" s="184" t="s">
        <v>223</v>
      </c>
      <c r="C33">
        <v>0</v>
      </c>
    </row>
    <row r="34" spans="1:3" x14ac:dyDescent="0.15">
      <c r="A34">
        <v>33</v>
      </c>
      <c r="B34" s="184" t="s">
        <v>224</v>
      </c>
      <c r="C34">
        <v>0</v>
      </c>
    </row>
    <row r="35" spans="1:3" x14ac:dyDescent="0.15">
      <c r="A35">
        <v>34</v>
      </c>
      <c r="B35" s="184" t="s">
        <v>225</v>
      </c>
      <c r="C35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tabSelected="1"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L5" sqref="L5"/>
    </sheetView>
  </sheetViews>
  <sheetFormatPr baseColWidth="10" defaultColWidth="8.83203125" defaultRowHeight="15" customHeight="1" x14ac:dyDescent="0.15"/>
  <cols>
    <col min="1" max="1" width="8.83203125" style="75"/>
    <col min="2" max="2" width="41.83203125" style="75" bestFit="1" customWidth="1"/>
    <col min="3" max="3" width="9.33203125" style="75" bestFit="1" customWidth="1"/>
    <col min="4" max="4" width="13" style="75" bestFit="1" customWidth="1"/>
    <col min="5" max="6" width="9.33203125" style="75" bestFit="1" customWidth="1"/>
    <col min="7" max="7" width="9.33203125" style="91" bestFit="1" customWidth="1"/>
    <col min="8" max="8" width="9.33203125" style="75" bestFit="1" customWidth="1"/>
    <col min="9" max="9" width="11" style="75" customWidth="1"/>
    <col min="10" max="10" width="8.83203125" style="75"/>
    <col min="15" max="16384" width="8.83203125" style="75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1" t="s">
        <v>14</v>
      </c>
      <c r="H1" s="1" t="s">
        <v>26</v>
      </c>
      <c r="I1" s="1" t="s">
        <v>24</v>
      </c>
    </row>
    <row r="2" spans="1:10" ht="15" customHeight="1" x14ac:dyDescent="0.15">
      <c r="A2" s="137">
        <v>1</v>
      </c>
      <c r="B2" s="137" t="s">
        <v>192</v>
      </c>
      <c r="C2" s="8">
        <v>1</v>
      </c>
      <c r="D2" s="9">
        <v>14.76099967956543</v>
      </c>
      <c r="E2" s="9">
        <v>210</v>
      </c>
      <c r="F2" s="10"/>
      <c r="G2" s="9">
        <v>0.94339412450790405</v>
      </c>
      <c r="H2" s="10"/>
      <c r="I2">
        <v>0</v>
      </c>
      <c r="J2"/>
    </row>
    <row r="3" spans="1:10" ht="15" customHeight="1" x14ac:dyDescent="0.15">
      <c r="A3" s="138">
        <v>2</v>
      </c>
      <c r="B3" s="138" t="s">
        <v>193</v>
      </c>
      <c r="C3" s="8">
        <v>1</v>
      </c>
      <c r="D3" s="9">
        <v>17.327999114990234</v>
      </c>
      <c r="E3" s="9">
        <v>210</v>
      </c>
      <c r="F3" s="10"/>
      <c r="G3" s="9">
        <v>0.84076094627380371</v>
      </c>
      <c r="H3" s="10"/>
      <c r="I3">
        <v>0</v>
      </c>
      <c r="J3"/>
    </row>
    <row r="4" spans="1:10" ht="15" customHeight="1" x14ac:dyDescent="0.15">
      <c r="A4" s="139">
        <v>3</v>
      </c>
      <c r="B4" s="139" t="s">
        <v>194</v>
      </c>
      <c r="C4" s="8">
        <v>2.1764707565307617</v>
      </c>
      <c r="D4" s="9">
        <v>6.5679612159729004</v>
      </c>
      <c r="E4" s="9">
        <v>256</v>
      </c>
      <c r="F4" s="9">
        <v>1024</v>
      </c>
      <c r="G4" s="9">
        <v>0.94999998807907104</v>
      </c>
      <c r="H4" s="9">
        <v>0.25</v>
      </c>
      <c r="I4">
        <v>0</v>
      </c>
      <c r="J4"/>
    </row>
    <row r="5" spans="1:10" ht="15" customHeight="1" x14ac:dyDescent="0.15">
      <c r="A5" s="140">
        <v>4</v>
      </c>
      <c r="B5" s="140" t="s">
        <v>195</v>
      </c>
      <c r="C5" s="8">
        <v>2.2352941036224365</v>
      </c>
      <c r="D5" s="9">
        <v>17</v>
      </c>
      <c r="E5" s="9">
        <v>40</v>
      </c>
      <c r="F5" s="9">
        <v>125</v>
      </c>
      <c r="G5" s="9">
        <v>0.94263178110122681</v>
      </c>
      <c r="H5" s="9">
        <v>0.31999999284744263</v>
      </c>
      <c r="I5">
        <v>0</v>
      </c>
      <c r="J5"/>
    </row>
    <row r="6" spans="1:10" ht="15" customHeight="1" x14ac:dyDescent="0.15">
      <c r="A6" s="141">
        <v>5</v>
      </c>
      <c r="B6" s="141" t="s">
        <v>196</v>
      </c>
      <c r="C6" s="8">
        <v>2.1176471710205078</v>
      </c>
      <c r="D6" s="9">
        <v>34.691486358642578</v>
      </c>
      <c r="E6" s="9">
        <v>19.085498809814453</v>
      </c>
      <c r="F6" s="9">
        <v>46.549999237060547</v>
      </c>
      <c r="G6" s="9">
        <v>0.94999349117279053</v>
      </c>
      <c r="H6" s="9">
        <v>0.40999996662139893</v>
      </c>
      <c r="I6">
        <v>0</v>
      </c>
      <c r="J6"/>
    </row>
    <row r="7" spans="1:10" ht="15" customHeight="1" x14ac:dyDescent="0.15">
      <c r="A7" s="142">
        <v>6</v>
      </c>
      <c r="B7" s="142" t="s">
        <v>197</v>
      </c>
      <c r="C7" s="8">
        <v>3.0049021244049072</v>
      </c>
      <c r="D7" s="9">
        <v>2.9041096568107605E-3</v>
      </c>
      <c r="E7" s="9">
        <v>0.58399999141693115</v>
      </c>
      <c r="F7" s="9">
        <v>2.9199998378753662</v>
      </c>
      <c r="G7" s="9">
        <v>0.95000004768371582</v>
      </c>
      <c r="H7" s="9">
        <v>0.20000000298023224</v>
      </c>
      <c r="I7">
        <v>0</v>
      </c>
      <c r="J7"/>
    </row>
    <row r="8" spans="1:10" ht="15" customHeight="1" x14ac:dyDescent="0.15">
      <c r="A8" s="143">
        <v>7</v>
      </c>
      <c r="B8" s="143" t="s">
        <v>198</v>
      </c>
      <c r="C8" s="8">
        <v>2.0640215873718262</v>
      </c>
      <c r="D8" s="9">
        <v>25.604999542236328</v>
      </c>
      <c r="E8" s="9">
        <v>1.2000000476837158</v>
      </c>
      <c r="F8" s="9">
        <v>10</v>
      </c>
      <c r="G8" s="9">
        <v>0.99520325660705566</v>
      </c>
      <c r="H8" s="9">
        <v>0.12000000476837158</v>
      </c>
      <c r="I8">
        <v>0</v>
      </c>
      <c r="J8"/>
    </row>
    <row r="9" spans="1:10" ht="15" customHeight="1" x14ac:dyDescent="0.15">
      <c r="A9" s="144">
        <v>8</v>
      </c>
      <c r="B9" s="144" t="s">
        <v>199</v>
      </c>
      <c r="C9" s="8">
        <v>2.9897646903991699</v>
      </c>
      <c r="D9" s="9">
        <v>7.9089999198913574</v>
      </c>
      <c r="E9" s="9">
        <v>1.3999999761581421</v>
      </c>
      <c r="F9" s="9">
        <v>14</v>
      </c>
      <c r="G9" s="9">
        <v>0.41629713773727417</v>
      </c>
      <c r="H9" s="9">
        <v>0.10000000149011612</v>
      </c>
      <c r="I9">
        <v>3.3340001106262207</v>
      </c>
      <c r="J9"/>
    </row>
    <row r="10" spans="1:10" ht="15" customHeight="1" x14ac:dyDescent="0.15">
      <c r="A10" s="145">
        <v>9</v>
      </c>
      <c r="B10" s="145" t="s">
        <v>200</v>
      </c>
      <c r="C10" s="8">
        <v>3.1693823337554932</v>
      </c>
      <c r="D10" s="9">
        <v>33.340000152587891</v>
      </c>
      <c r="E10" s="9">
        <v>2</v>
      </c>
      <c r="F10" s="9">
        <v>20</v>
      </c>
      <c r="G10" s="9">
        <v>0.67902445793151855</v>
      </c>
      <c r="H10" s="9">
        <v>0.10000000149011612</v>
      </c>
      <c r="I10">
        <v>14.47700023651123</v>
      </c>
      <c r="J10"/>
    </row>
    <row r="11" spans="1:10" ht="15" customHeight="1" x14ac:dyDescent="0.15">
      <c r="A11" s="146">
        <v>10</v>
      </c>
      <c r="B11" s="146" t="s">
        <v>201</v>
      </c>
      <c r="C11" s="8">
        <v>3.1201179027557373</v>
      </c>
      <c r="D11" s="9">
        <v>22.375</v>
      </c>
      <c r="E11" s="9">
        <v>1.3999999761581421</v>
      </c>
      <c r="F11" s="9">
        <v>14</v>
      </c>
      <c r="G11" s="9">
        <v>0.13726998865604401</v>
      </c>
      <c r="H11" s="9">
        <v>0.10000000149011612</v>
      </c>
      <c r="I11">
        <v>0</v>
      </c>
      <c r="J11"/>
    </row>
    <row r="12" spans="1:10" ht="15" customHeight="1" x14ac:dyDescent="0.15">
      <c r="A12" s="147">
        <v>11</v>
      </c>
      <c r="B12" s="147" t="s">
        <v>202</v>
      </c>
      <c r="C12" s="8">
        <v>4.1404075622558594</v>
      </c>
      <c r="D12" s="9">
        <v>0.24300000071525574</v>
      </c>
      <c r="E12" s="9">
        <v>8.9099998474121094</v>
      </c>
      <c r="F12" s="9">
        <v>25.457143783569336</v>
      </c>
      <c r="G12" s="9">
        <v>0.85349816083908081</v>
      </c>
      <c r="H12" s="9">
        <v>0.34999999403953552</v>
      </c>
      <c r="I12">
        <v>1.4000000432133675E-2</v>
      </c>
      <c r="J12"/>
    </row>
    <row r="13" spans="1:10" ht="15" customHeight="1" x14ac:dyDescent="0.15">
      <c r="A13" s="148">
        <v>12</v>
      </c>
      <c r="B13" s="148" t="s">
        <v>203</v>
      </c>
      <c r="C13" s="8">
        <v>3.1385622024536133</v>
      </c>
      <c r="D13" s="9">
        <v>0.22670905292034149</v>
      </c>
      <c r="E13" s="9">
        <v>4.3000001907348633</v>
      </c>
      <c r="F13" s="9">
        <v>12.285715103149414</v>
      </c>
      <c r="G13" s="9">
        <v>0.94980275630950928</v>
      </c>
      <c r="H13" s="9">
        <v>0.34999999403953552</v>
      </c>
      <c r="I13">
        <v>1.2000000104308128E-2</v>
      </c>
      <c r="J13"/>
    </row>
    <row r="14" spans="1:10" ht="15" customHeight="1" x14ac:dyDescent="0.15">
      <c r="A14" s="149">
        <v>13</v>
      </c>
      <c r="B14" s="149" t="s">
        <v>204</v>
      </c>
      <c r="C14" s="8">
        <v>2.8452012538909912</v>
      </c>
      <c r="D14" s="9">
        <v>21.419469833374023</v>
      </c>
      <c r="E14" s="9">
        <v>1</v>
      </c>
      <c r="F14" s="9">
        <v>10</v>
      </c>
      <c r="G14" s="9">
        <v>0.94995158910751343</v>
      </c>
      <c r="H14" s="9">
        <v>0.10000000149011612</v>
      </c>
      <c r="I14">
        <v>2.3570001125335693</v>
      </c>
      <c r="J14"/>
    </row>
    <row r="15" spans="1:10" ht="15" customHeight="1" x14ac:dyDescent="0.15">
      <c r="A15" s="150">
        <v>14</v>
      </c>
      <c r="B15" s="150" t="s">
        <v>205</v>
      </c>
      <c r="C15" s="8">
        <v>2.60288405418396</v>
      </c>
      <c r="D15" s="9">
        <v>3.0299999713897705</v>
      </c>
      <c r="E15" s="9">
        <v>1.2000000476837158</v>
      </c>
      <c r="F15" s="9">
        <v>12</v>
      </c>
      <c r="G15" s="9">
        <v>0.61605662107467651</v>
      </c>
      <c r="H15" s="9">
        <v>0.10000000149011612</v>
      </c>
      <c r="I15">
        <v>1.937000036239624</v>
      </c>
      <c r="J15"/>
    </row>
    <row r="16" spans="1:10" ht="15" customHeight="1" x14ac:dyDescent="0.15">
      <c r="A16" s="151">
        <v>15</v>
      </c>
      <c r="B16" s="151" t="s">
        <v>206</v>
      </c>
      <c r="C16" s="8">
        <v>3.7354140281677246</v>
      </c>
      <c r="D16" s="9">
        <v>6.8920001983642578</v>
      </c>
      <c r="E16" s="9">
        <v>0.85000002384185791</v>
      </c>
      <c r="F16" s="9">
        <v>8.5</v>
      </c>
      <c r="G16" s="9">
        <v>0.27901172637939453</v>
      </c>
      <c r="H16" s="9">
        <v>0.10000000149011612</v>
      </c>
      <c r="I16">
        <v>1.3450000286102295</v>
      </c>
      <c r="J16"/>
    </row>
    <row r="17" spans="1:10" ht="15" customHeight="1" x14ac:dyDescent="0.15">
      <c r="A17" s="152">
        <v>16</v>
      </c>
      <c r="B17" s="152" t="s">
        <v>207</v>
      </c>
      <c r="C17" s="8">
        <v>3.9877822399139404</v>
      </c>
      <c r="D17" s="9">
        <v>1.7569999694824219</v>
      </c>
      <c r="E17" s="9">
        <v>0.40000000596046448</v>
      </c>
      <c r="F17" s="9">
        <v>4</v>
      </c>
      <c r="G17" s="9">
        <v>0.68732327222824097</v>
      </c>
      <c r="H17" s="9">
        <v>0.10000000149011612</v>
      </c>
      <c r="I17">
        <v>0.35100001096725464</v>
      </c>
      <c r="J17"/>
    </row>
    <row r="18" spans="1:10" ht="15" customHeight="1" x14ac:dyDescent="0.15">
      <c r="A18" s="153">
        <v>17</v>
      </c>
      <c r="B18" s="153" t="s">
        <v>208</v>
      </c>
      <c r="C18" s="8">
        <v>3.5931754112243652</v>
      </c>
      <c r="D18" s="9">
        <v>1.2450000047683716</v>
      </c>
      <c r="E18" s="9">
        <v>1.3170000314712524</v>
      </c>
      <c r="F18" s="9">
        <v>8.7799997329711914</v>
      </c>
      <c r="G18" s="9">
        <v>0.90914624929428101</v>
      </c>
      <c r="H18" s="9">
        <v>0.15000000596046448</v>
      </c>
      <c r="I18">
        <v>0.5559999942779541</v>
      </c>
      <c r="J18"/>
    </row>
    <row r="19" spans="1:10" ht="15" customHeight="1" x14ac:dyDescent="0.15">
      <c r="A19" s="154">
        <v>18</v>
      </c>
      <c r="B19" s="154" t="s">
        <v>209</v>
      </c>
      <c r="C19" s="8">
        <v>3.8939516544342041</v>
      </c>
      <c r="D19" s="9">
        <v>0.16300000250339508</v>
      </c>
      <c r="E19" s="9">
        <v>1.9459999799728394</v>
      </c>
      <c r="F19" s="9">
        <v>12.973332405090332</v>
      </c>
      <c r="G19" s="9">
        <v>0.3541349470615387</v>
      </c>
      <c r="H19" s="9">
        <v>0.15000000596046448</v>
      </c>
      <c r="I19">
        <v>0.10700000077486038</v>
      </c>
      <c r="J19"/>
    </row>
    <row r="20" spans="1:10" ht="15" customHeight="1" x14ac:dyDescent="0.15">
      <c r="A20" s="155">
        <v>19</v>
      </c>
      <c r="B20" s="155" t="s">
        <v>210</v>
      </c>
      <c r="C20" s="8">
        <v>4.5129890441894531</v>
      </c>
      <c r="D20" s="9">
        <v>2.8000000864267349E-2</v>
      </c>
      <c r="E20" s="9">
        <v>1.5160000324249268</v>
      </c>
      <c r="F20" s="9">
        <v>10.106666564941406</v>
      </c>
      <c r="G20" s="9">
        <v>0.28615200519561768</v>
      </c>
      <c r="H20" s="9">
        <v>0.15000000596046448</v>
      </c>
      <c r="I20">
        <v>1.2000000104308128E-2</v>
      </c>
      <c r="J20"/>
    </row>
    <row r="21" spans="1:10" ht="15" customHeight="1" x14ac:dyDescent="0.15">
      <c r="A21" s="156">
        <v>20</v>
      </c>
      <c r="B21" s="156" t="s">
        <v>211</v>
      </c>
      <c r="C21" s="8">
        <v>4.1390566825866699</v>
      </c>
      <c r="D21" s="9">
        <v>9.9999997764825821E-3</v>
      </c>
      <c r="E21" s="9">
        <v>0.30399999022483826</v>
      </c>
      <c r="F21" s="9">
        <v>2.0266664028167725</v>
      </c>
      <c r="G21" s="9">
        <v>0.88157898187637329</v>
      </c>
      <c r="H21" s="9">
        <v>0.15000002086162567</v>
      </c>
      <c r="I21">
        <v>1.0000000474974513E-3</v>
      </c>
      <c r="J21"/>
    </row>
    <row r="22" spans="1:10" ht="15" customHeight="1" x14ac:dyDescent="0.15">
      <c r="A22" s="157">
        <v>21</v>
      </c>
      <c r="B22" s="157" t="s">
        <v>212</v>
      </c>
      <c r="C22" s="8">
        <v>2.4941177368164062</v>
      </c>
      <c r="D22" s="9">
        <v>4.8973898887634277</v>
      </c>
      <c r="E22" s="9">
        <v>2.2999999523162842</v>
      </c>
      <c r="F22" s="9">
        <v>15.333332061767578</v>
      </c>
      <c r="G22" s="9">
        <v>0.94992226362228394</v>
      </c>
      <c r="H22" s="9">
        <v>0.15000000596046448</v>
      </c>
      <c r="I22">
        <v>1.6000000759959221E-2</v>
      </c>
      <c r="J22"/>
    </row>
    <row r="23" spans="1:10" ht="15" customHeight="1" x14ac:dyDescent="0.15">
      <c r="A23" s="158">
        <v>22</v>
      </c>
      <c r="B23" s="158" t="s">
        <v>213</v>
      </c>
      <c r="C23" s="8">
        <v>3.3278992176055908</v>
      </c>
      <c r="D23" s="9">
        <v>4.5000001788139343E-2</v>
      </c>
      <c r="E23" s="9">
        <v>1</v>
      </c>
      <c r="F23" s="9">
        <v>6.6666665077209473</v>
      </c>
      <c r="G23" s="9">
        <v>0.93333327770233154</v>
      </c>
      <c r="H23" s="9">
        <v>0.15000000596046448</v>
      </c>
      <c r="I23">
        <v>4.1999999433755875E-2</v>
      </c>
      <c r="J23"/>
    </row>
    <row r="24" spans="1:10" ht="15" customHeight="1" x14ac:dyDescent="0.15">
      <c r="A24" s="159">
        <v>23</v>
      </c>
      <c r="B24" s="159" t="s">
        <v>214</v>
      </c>
      <c r="C24" s="8">
        <v>2.6382706165313721</v>
      </c>
      <c r="D24" s="9">
        <v>6.0000000521540642E-3</v>
      </c>
      <c r="E24" s="9">
        <v>0.80000001192092896</v>
      </c>
      <c r="F24" s="9">
        <v>4</v>
      </c>
      <c r="G24" s="9">
        <v>0.8445015549659729</v>
      </c>
      <c r="H24" s="9">
        <v>0.20000000298023224</v>
      </c>
      <c r="I24">
        <v>0</v>
      </c>
      <c r="J24"/>
    </row>
    <row r="25" spans="1:10" ht="15" customHeight="1" x14ac:dyDescent="0.15">
      <c r="A25" s="160">
        <v>24</v>
      </c>
      <c r="B25" s="160" t="s">
        <v>215</v>
      </c>
      <c r="C25" s="8">
        <v>4.1173977851867676</v>
      </c>
      <c r="D25" s="9">
        <v>4.0000001899898052E-3</v>
      </c>
      <c r="E25" s="9">
        <v>0.75</v>
      </c>
      <c r="F25" s="9">
        <v>5</v>
      </c>
      <c r="G25" s="7">
        <v>0</v>
      </c>
      <c r="H25" s="9">
        <v>0.15000000596046448</v>
      </c>
      <c r="I25">
        <v>0</v>
      </c>
      <c r="J25"/>
    </row>
    <row r="26" spans="1:10" ht="15" customHeight="1" x14ac:dyDescent="0.15">
      <c r="A26" s="161">
        <v>25</v>
      </c>
      <c r="B26" s="161" t="s">
        <v>216</v>
      </c>
      <c r="C26" s="8">
        <v>3.1137387752532959</v>
      </c>
      <c r="D26" s="9">
        <v>0.210999995470047</v>
      </c>
      <c r="E26" s="9">
        <v>2.4800000190734863</v>
      </c>
      <c r="F26" s="9">
        <v>16.533332824707031</v>
      </c>
      <c r="G26" s="9">
        <v>0.90442925691604614</v>
      </c>
      <c r="H26" s="9">
        <v>0.15000000596046448</v>
      </c>
      <c r="I26">
        <v>0.14399999380111694</v>
      </c>
      <c r="J26"/>
    </row>
    <row r="27" spans="1:10" ht="15" customHeight="1" x14ac:dyDescent="0.15">
      <c r="A27" s="162">
        <v>26</v>
      </c>
      <c r="B27" s="162" t="s">
        <v>217</v>
      </c>
      <c r="C27" s="8">
        <v>3.5029115676879883</v>
      </c>
      <c r="D27" s="9">
        <v>0.21799999475479126</v>
      </c>
      <c r="E27" s="9">
        <v>1.0850000381469727</v>
      </c>
      <c r="F27" s="9">
        <v>7.2333331108093262</v>
      </c>
      <c r="G27" s="9">
        <v>0.97737973928451538</v>
      </c>
      <c r="H27" s="9">
        <v>0.15000000596046448</v>
      </c>
      <c r="I27">
        <v>4.3000001460313797E-2</v>
      </c>
      <c r="J27"/>
    </row>
    <row r="28" spans="1:10" ht="15" customHeight="1" x14ac:dyDescent="0.15">
      <c r="A28" s="163">
        <v>27</v>
      </c>
      <c r="B28" s="163" t="s">
        <v>218</v>
      </c>
      <c r="C28" s="8">
        <v>3.2670836448669434</v>
      </c>
      <c r="D28" s="9">
        <v>0.3190000057220459</v>
      </c>
      <c r="E28" s="9">
        <v>3.2200000286102295</v>
      </c>
      <c r="F28" s="9">
        <v>16.100000381469727</v>
      </c>
      <c r="G28" s="9">
        <v>5.1674727350473404E-2</v>
      </c>
      <c r="H28" s="9">
        <v>0.20000000298023224</v>
      </c>
      <c r="I28">
        <v>0</v>
      </c>
      <c r="J28"/>
    </row>
    <row r="29" spans="1:10" ht="15" customHeight="1" x14ac:dyDescent="0.15">
      <c r="A29" s="164">
        <v>28</v>
      </c>
      <c r="B29" s="164" t="s">
        <v>219</v>
      </c>
      <c r="C29" s="8">
        <v>3.0108206272125244</v>
      </c>
      <c r="D29" s="9">
        <v>0.64999997615814209</v>
      </c>
      <c r="E29" s="9">
        <v>0.89999997615814209</v>
      </c>
      <c r="F29" s="9">
        <v>5.9999995231628418</v>
      </c>
      <c r="G29" s="9">
        <v>0.93709415197372437</v>
      </c>
      <c r="H29" s="9">
        <v>0.15000000596046448</v>
      </c>
      <c r="I29">
        <v>0.54400002956390381</v>
      </c>
      <c r="J29"/>
    </row>
    <row r="30" spans="1:10" ht="15" customHeight="1" x14ac:dyDescent="0.15">
      <c r="A30" s="165">
        <v>29</v>
      </c>
      <c r="B30" s="165" t="s">
        <v>220</v>
      </c>
      <c r="C30" s="8">
        <v>4.4019589424133301</v>
      </c>
      <c r="D30" s="9">
        <v>7.8000001609325409E-2</v>
      </c>
      <c r="E30" s="9">
        <v>0.48600000143051147</v>
      </c>
      <c r="F30" s="9">
        <v>3.2399997711181641</v>
      </c>
      <c r="G30" s="9">
        <v>0.5012134313583374</v>
      </c>
      <c r="H30" s="9">
        <v>0.15000000596046448</v>
      </c>
      <c r="I30">
        <v>1.8999999389052391E-2</v>
      </c>
      <c r="J30"/>
    </row>
    <row r="31" spans="1:10" ht="15" customHeight="1" x14ac:dyDescent="0.15">
      <c r="A31" s="166">
        <v>30</v>
      </c>
      <c r="B31" s="166" t="s">
        <v>221</v>
      </c>
      <c r="C31" s="8">
        <v>4.0144829750061035</v>
      </c>
      <c r="D31" s="9">
        <v>9.9999997764825821E-3</v>
      </c>
      <c r="E31" s="9">
        <v>3.9999999105930328E-2</v>
      </c>
      <c r="F31" s="9">
        <v>60</v>
      </c>
      <c r="G31" s="7">
        <v>0</v>
      </c>
      <c r="H31" s="9">
        <v>6.6666665952652693E-4</v>
      </c>
      <c r="I31">
        <v>0</v>
      </c>
      <c r="J31"/>
    </row>
    <row r="32" spans="1:10" ht="15" customHeight="1" x14ac:dyDescent="0.15">
      <c r="A32" s="194">
        <v>31</v>
      </c>
      <c r="B32" s="194" t="s">
        <v>222</v>
      </c>
      <c r="C32" s="8">
        <v>3.8633406162261963</v>
      </c>
      <c r="D32" s="9">
        <v>5.299999937415123E-2</v>
      </c>
      <c r="E32" s="9">
        <v>0.10000000149011612</v>
      </c>
      <c r="F32" s="9">
        <v>45.900001525878906</v>
      </c>
      <c r="G32" s="7">
        <v>0</v>
      </c>
      <c r="H32" s="9">
        <v>2.1786491852253675E-3</v>
      </c>
      <c r="I32">
        <v>0</v>
      </c>
      <c r="J32"/>
    </row>
    <row r="33" spans="1:10" ht="15" customHeight="1" x14ac:dyDescent="0.15">
      <c r="A33" s="195">
        <v>32</v>
      </c>
      <c r="B33" s="195" t="s">
        <v>223</v>
      </c>
      <c r="C33" s="8">
        <v>4.0479736328125</v>
      </c>
      <c r="D33" s="9">
        <v>6.7000001668930054E-2</v>
      </c>
      <c r="E33" s="9">
        <v>0.10000000149011612</v>
      </c>
      <c r="F33" s="9">
        <v>20</v>
      </c>
      <c r="G33" s="7">
        <v>0</v>
      </c>
      <c r="H33" s="9">
        <v>4.999999888241291E-3</v>
      </c>
      <c r="I33">
        <v>0</v>
      </c>
      <c r="J33"/>
    </row>
    <row r="34" spans="1:10" ht="15" customHeight="1" x14ac:dyDescent="0.15">
      <c r="A34" s="196">
        <v>33</v>
      </c>
      <c r="B34" s="196" t="s">
        <v>224</v>
      </c>
      <c r="C34" s="8">
        <v>1</v>
      </c>
      <c r="D34" s="9">
        <v>1</v>
      </c>
      <c r="E34" s="10"/>
      <c r="F34" s="10"/>
      <c r="G34" s="7">
        <v>0.82270729541778564</v>
      </c>
      <c r="H34" s="10"/>
      <c r="I34">
        <v>0</v>
      </c>
      <c r="J34"/>
    </row>
    <row r="35" spans="1:10" ht="15" customHeight="1" x14ac:dyDescent="0.15">
      <c r="A35" s="197">
        <v>34</v>
      </c>
      <c r="B35" s="197" t="s">
        <v>225</v>
      </c>
      <c r="C35" s="8">
        <v>1</v>
      </c>
      <c r="D35" s="9">
        <v>5</v>
      </c>
      <c r="E35" s="10"/>
      <c r="F35" s="10"/>
      <c r="G35" s="7">
        <v>0</v>
      </c>
      <c r="H35" s="10"/>
      <c r="I35">
        <v>0</v>
      </c>
      <c r="J35"/>
    </row>
    <row r="36" spans="1:10" ht="15" customHeight="1" x14ac:dyDescent="0.15">
      <c r="A36" s="198">
        <v>35</v>
      </c>
      <c r="B36" s="198" t="s">
        <v>226</v>
      </c>
      <c r="C36" s="8">
        <v>4.1247835159301758</v>
      </c>
      <c r="D36" s="10"/>
      <c r="E36" s="10"/>
      <c r="F36" s="10"/>
      <c r="G36" s="10"/>
      <c r="H36" s="10"/>
      <c r="I36">
        <v>25.310997009277344</v>
      </c>
      <c r="J36"/>
    </row>
    <row r="37" spans="1:10" ht="15" customHeight="1" x14ac:dyDescent="0.15">
      <c r="A37"/>
      <c r="B37"/>
      <c r="C37"/>
      <c r="D37"/>
      <c r="E37"/>
      <c r="F37"/>
      <c r="G37"/>
      <c r="H37"/>
      <c r="I37"/>
      <c r="J37"/>
    </row>
    <row r="38" spans="1:10" ht="15" customHeight="1" x14ac:dyDescent="0.15">
      <c r="A38"/>
      <c r="B38"/>
      <c r="C38"/>
      <c r="D38"/>
      <c r="E38"/>
      <c r="F38"/>
      <c r="G38"/>
      <c r="H38"/>
      <c r="I38"/>
      <c r="J38"/>
    </row>
    <row r="39" spans="1:10" ht="15" customHeight="1" x14ac:dyDescent="0.15">
      <c r="A39"/>
      <c r="B39"/>
      <c r="C39"/>
      <c r="D39"/>
      <c r="E39"/>
      <c r="F39"/>
      <c r="G39"/>
      <c r="H39"/>
      <c r="I39"/>
      <c r="J39"/>
    </row>
    <row r="40" spans="1:10" ht="15" customHeight="1" x14ac:dyDescent="0.15">
      <c r="A40"/>
      <c r="B40"/>
      <c r="C40"/>
      <c r="D40"/>
      <c r="E40"/>
      <c r="F40"/>
      <c r="G40"/>
      <c r="H40"/>
      <c r="I40"/>
      <c r="J40"/>
    </row>
    <row r="41" spans="1:10" ht="15" customHeight="1" x14ac:dyDescent="0.15">
      <c r="A41"/>
      <c r="B41"/>
      <c r="C41"/>
      <c r="D41"/>
      <c r="E41"/>
      <c r="F41"/>
      <c r="G41"/>
      <c r="H41"/>
      <c r="I41"/>
      <c r="J41"/>
    </row>
    <row r="42" spans="1:10" ht="15" customHeight="1" x14ac:dyDescent="0.15">
      <c r="A42"/>
      <c r="B42"/>
      <c r="C42"/>
      <c r="D42"/>
      <c r="E42"/>
      <c r="F42"/>
      <c r="G42"/>
      <c r="H42"/>
      <c r="I42"/>
      <c r="J42"/>
    </row>
    <row r="43" spans="1:10" ht="15" customHeight="1" x14ac:dyDescent="0.15">
      <c r="A43"/>
      <c r="B43"/>
      <c r="C43"/>
      <c r="D43"/>
      <c r="E43"/>
      <c r="F43"/>
      <c r="G43"/>
      <c r="H43"/>
      <c r="I43"/>
      <c r="J43"/>
    </row>
    <row r="44" spans="1:10" ht="15" customHeight="1" x14ac:dyDescent="0.15">
      <c r="A44"/>
      <c r="B44"/>
      <c r="C44"/>
      <c r="D44"/>
      <c r="E44"/>
      <c r="F44"/>
      <c r="G44"/>
      <c r="H44"/>
      <c r="I44"/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75" bestFit="1" customWidth="1"/>
    <col min="2" max="4" width="9.5" style="75" bestFit="1" customWidth="1"/>
    <col min="5" max="7" width="9" style="75" bestFit="1" customWidth="1"/>
    <col min="8" max="16" width="12.6640625" style="75" bestFit="1" customWidth="1"/>
    <col min="17" max="17" width="12.33203125" style="75" bestFit="1" customWidth="1"/>
    <col min="18" max="18" width="8.83203125" style="75"/>
    <col min="19" max="21" width="9.33203125" style="75" bestFit="1" customWidth="1"/>
    <col min="22" max="23" width="8.83203125" style="75"/>
    <col min="24" max="24" width="9.33203125" style="75" bestFit="1" customWidth="1"/>
    <col min="25" max="27" width="8.83203125" style="75"/>
    <col min="28" max="58" width="9" style="75" bestFit="1" customWidth="1"/>
    <col min="59" max="59" width="12.33203125" style="75" bestFit="1" customWidth="1"/>
    <col min="60" max="60" width="9" style="75" bestFit="1" customWidth="1"/>
    <col min="61" max="61" width="11.33203125" style="75" bestFit="1" customWidth="1"/>
    <col min="62" max="77" width="9" style="75" bestFit="1" customWidth="1"/>
    <col min="78" max="78" width="12.33203125" style="75" bestFit="1" customWidth="1"/>
    <col min="79" max="79" width="9" style="75" bestFit="1" customWidth="1"/>
    <col min="80" max="80" width="12.33203125" style="75" bestFit="1" customWidth="1"/>
    <col min="81" max="107" width="9" style="75" bestFit="1" customWidth="1"/>
    <col min="108" max="108" width="11.33203125" style="75" bestFit="1" customWidth="1"/>
    <col min="109" max="124" width="9" style="75" bestFit="1" customWidth="1"/>
    <col min="125" max="125" width="10.33203125" style="75" bestFit="1" customWidth="1"/>
    <col min="126" max="129" width="9.33203125" style="75" bestFit="1" customWidth="1"/>
    <col min="130" max="130" width="9" style="75" bestFit="1" customWidth="1"/>
    <col min="131" max="134" width="9.33203125" style="75" bestFit="1" customWidth="1"/>
    <col min="135" max="165" width="9" style="75" bestFit="1" customWidth="1"/>
    <col min="166" max="166" width="12.33203125" style="75" bestFit="1" customWidth="1"/>
    <col min="167" max="170" width="9" style="75" bestFit="1" customWidth="1"/>
    <col min="171" max="176" width="8.83203125" style="75"/>
    <col min="177" max="177" width="13.83203125" style="75" bestFit="1" customWidth="1"/>
    <col min="178" max="16384" width="8.83203125" style="75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231</v>
      </c>
      <c r="E1" t="s">
        <v>192</v>
      </c>
      <c r="F1" t="s">
        <v>193</v>
      </c>
      <c r="G1" t="s">
        <v>194</v>
      </c>
      <c r="H1" t="s">
        <v>195</v>
      </c>
      <c r="I1" t="s">
        <v>196</v>
      </c>
      <c r="J1" t="s">
        <v>197</v>
      </c>
      <c r="K1" t="s">
        <v>198</v>
      </c>
      <c r="L1" t="s">
        <v>199</v>
      </c>
      <c r="M1" t="s">
        <v>200</v>
      </c>
      <c r="N1" t="s">
        <v>201</v>
      </c>
      <c r="O1" t="s">
        <v>202</v>
      </c>
      <c r="P1" t="s">
        <v>203</v>
      </c>
      <c r="Q1" t="s">
        <v>204</v>
      </c>
      <c r="R1" t="s">
        <v>205</v>
      </c>
      <c r="S1" t="s">
        <v>206</v>
      </c>
      <c r="T1" t="s">
        <v>207</v>
      </c>
      <c r="U1" t="s">
        <v>208</v>
      </c>
      <c r="V1" t="s">
        <v>209</v>
      </c>
      <c r="W1" t="s">
        <v>210</v>
      </c>
      <c r="X1" t="s">
        <v>211</v>
      </c>
      <c r="Y1" t="s">
        <v>212</v>
      </c>
      <c r="Z1" t="s">
        <v>213</v>
      </c>
      <c r="AA1" t="s">
        <v>214</v>
      </c>
      <c r="AB1" t="s">
        <v>215</v>
      </c>
      <c r="AC1" t="s">
        <v>216</v>
      </c>
      <c r="AD1" t="s">
        <v>217</v>
      </c>
      <c r="AE1" t="s">
        <v>218</v>
      </c>
      <c r="AF1" t="s">
        <v>219</v>
      </c>
      <c r="AG1" t="s">
        <v>220</v>
      </c>
      <c r="AH1" t="s">
        <v>221</v>
      </c>
      <c r="AI1" t="s">
        <v>222</v>
      </c>
      <c r="AJ1" t="s">
        <v>223</v>
      </c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210</v>
      </c>
      <c r="C2">
        <v>11.887233734130859</v>
      </c>
      <c r="D2"/>
      <c r="E2"/>
      <c r="F2"/>
      <c r="G2" s="253">
        <v>91.126518249511719</v>
      </c>
      <c r="H2" s="248">
        <v>43.188133239746094</v>
      </c>
      <c r="I2" s="250">
        <v>54.701194763183594</v>
      </c>
      <c r="J2"/>
      <c r="K2"/>
      <c r="L2" s="12">
        <v>0.92265415191650391</v>
      </c>
      <c r="M2" s="12">
        <v>0.76793485879898071</v>
      </c>
      <c r="N2"/>
      <c r="O2"/>
      <c r="P2"/>
      <c r="Q2" s="61">
        <v>4.3532562255859375</v>
      </c>
      <c r="R2"/>
      <c r="S2"/>
      <c r="T2"/>
      <c r="U2"/>
      <c r="V2"/>
      <c r="W2"/>
      <c r="X2"/>
      <c r="Y2" s="16">
        <v>3.0523667335510254</v>
      </c>
      <c r="Z2"/>
      <c r="AA2" s="11">
        <v>7.2678003925830126E-4</v>
      </c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210</v>
      </c>
      <c r="C3">
        <v>33.440200805664062</v>
      </c>
      <c r="D3"/>
      <c r="E3"/>
      <c r="F3"/>
      <c r="G3" s="254">
        <v>77.626884460449219</v>
      </c>
      <c r="H3" s="252">
        <v>61.316947937011719</v>
      </c>
      <c r="I3" s="249">
        <v>37.27813720703125</v>
      </c>
      <c r="J3"/>
      <c r="K3"/>
      <c r="L3" s="14">
        <v>0.32589024305343628</v>
      </c>
      <c r="M3" s="11">
        <v>1.1929012835025787E-2</v>
      </c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256</v>
      </c>
      <c r="C4">
        <v>12.800003051757812</v>
      </c>
      <c r="D4"/>
      <c r="E4"/>
      <c r="F4"/>
      <c r="G4" s="251">
        <v>153.60000610351562</v>
      </c>
      <c r="H4" s="136">
        <v>64.708053588867188</v>
      </c>
      <c r="I4" s="244">
        <v>24.587368011474609</v>
      </c>
      <c r="J4"/>
      <c r="K4"/>
      <c r="L4"/>
      <c r="M4" s="14">
        <v>0.30456635355949402</v>
      </c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40</v>
      </c>
      <c r="C5">
        <v>2.2947287559509277</v>
      </c>
      <c r="D5"/>
      <c r="E5"/>
      <c r="F5"/>
      <c r="G5"/>
      <c r="H5"/>
      <c r="I5"/>
      <c r="J5" s="11">
        <v>3.1924704671837389E-4</v>
      </c>
      <c r="K5"/>
      <c r="L5" s="63">
        <v>3.6865243911743164</v>
      </c>
      <c r="M5" s="247">
        <v>23.639785766601562</v>
      </c>
      <c r="N5" s="15">
        <v>0.38695588707923889</v>
      </c>
      <c r="O5" s="11">
        <v>2.0377695560455322E-2</v>
      </c>
      <c r="P5"/>
      <c r="Q5" s="243">
        <v>8.1897964477539062</v>
      </c>
      <c r="R5" s="11">
        <v>4.2775184847414494E-3</v>
      </c>
      <c r="S5" s="11">
        <v>1.0337896645069122E-2</v>
      </c>
      <c r="T5"/>
      <c r="U5"/>
      <c r="V5"/>
      <c r="W5"/>
      <c r="X5"/>
      <c r="Y5" s="228">
        <v>1.7669013738632202</v>
      </c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19.085498809814453</v>
      </c>
      <c r="C6">
        <v>0.95439916849136353</v>
      </c>
      <c r="D6"/>
      <c r="E6"/>
      <c r="F6"/>
      <c r="G6"/>
      <c r="H6"/>
      <c r="I6"/>
      <c r="J6" s="11">
        <v>2.933284304162953E-5</v>
      </c>
      <c r="K6"/>
      <c r="L6" s="18">
        <v>0.82985085248947144</v>
      </c>
      <c r="M6" s="245">
        <v>7.2461891174316406</v>
      </c>
      <c r="N6" s="246">
        <v>8.8399715423583984</v>
      </c>
      <c r="O6" s="14">
        <v>3.2810352742671967E-2</v>
      </c>
      <c r="P6" s="12">
        <v>6.8244136869907379E-2</v>
      </c>
      <c r="Q6"/>
      <c r="R6" s="23">
        <v>0.49175173044204712</v>
      </c>
      <c r="S6" s="217">
        <v>0.44748950004577637</v>
      </c>
      <c r="T6" s="11">
        <v>4.0517147863283753E-4</v>
      </c>
      <c r="U6" s="12">
        <v>6.3617296516895294E-2</v>
      </c>
      <c r="V6" s="11">
        <v>3.6574312252923846E-4</v>
      </c>
      <c r="W6" s="11">
        <v>3.4259708172612591E-6</v>
      </c>
      <c r="X6"/>
      <c r="Y6"/>
      <c r="Z6" s="11">
        <v>5.2750698523595929E-4</v>
      </c>
      <c r="AA6"/>
      <c r="AB6"/>
      <c r="AC6" s="11">
        <v>7.6424665749073029E-3</v>
      </c>
      <c r="AD6" s="11">
        <v>6.3633051468059421E-6</v>
      </c>
      <c r="AE6" s="12">
        <v>9.0455479919910431E-2</v>
      </c>
      <c r="AF6"/>
      <c r="AG6" s="11">
        <v>1.5298351354431361E-4</v>
      </c>
      <c r="AH6"/>
      <c r="AI6"/>
      <c r="AJ6" s="11">
        <v>1.1587858200073242E-2</v>
      </c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0.58399999141693115</v>
      </c>
      <c r="C7">
        <v>2.9199970886111259E-2</v>
      </c>
      <c r="D7"/>
      <c r="E7"/>
      <c r="F7"/>
      <c r="G7"/>
      <c r="H7"/>
      <c r="I7"/>
      <c r="J7" s="212">
        <v>0.11679999530315399</v>
      </c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 s="214">
        <v>0.43799999356269836</v>
      </c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1.2000000476837158</v>
      </c>
      <c r="C8">
        <v>5.756092257797718E-3</v>
      </c>
      <c r="D8"/>
      <c r="E8"/>
      <c r="F8"/>
      <c r="G8"/>
      <c r="H8"/>
      <c r="I8"/>
      <c r="J8"/>
      <c r="K8" s="241">
        <v>0.69999998807907104</v>
      </c>
      <c r="L8"/>
      <c r="M8"/>
      <c r="N8"/>
      <c r="O8"/>
      <c r="P8"/>
      <c r="Q8"/>
      <c r="R8" s="217">
        <v>2.839985117316246E-2</v>
      </c>
      <c r="S8" s="13">
        <v>4.5757796615362167E-2</v>
      </c>
      <c r="T8"/>
      <c r="U8" s="100">
        <v>8.1072874367237091E-2</v>
      </c>
      <c r="V8" s="12">
        <v>5.6986524723470211E-3</v>
      </c>
      <c r="W8" s="11">
        <v>4.4207150494912639E-5</v>
      </c>
      <c r="X8"/>
      <c r="Y8"/>
      <c r="Z8" s="21">
        <v>6.4674871973693371E-3</v>
      </c>
      <c r="AA8" s="11">
        <v>4.6865848707966506E-4</v>
      </c>
      <c r="AB8" s="11">
        <v>8.9045104687102139E-5</v>
      </c>
      <c r="AC8" s="219">
        <v>0.11730626970529556</v>
      </c>
      <c r="AD8" s="217">
        <v>2.9122063890099525E-2</v>
      </c>
      <c r="AE8" s="135">
        <v>3.4299511462450027E-2</v>
      </c>
      <c r="AF8" s="131">
        <v>0.14469827711582184</v>
      </c>
      <c r="AG8" s="11">
        <v>8.1922189565375447E-4</v>
      </c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1.3999999761581421</v>
      </c>
      <c r="C9">
        <v>0.8171839714050293</v>
      </c>
      <c r="D9" s="199">
        <v>0.42154508829116821</v>
      </c>
      <c r="E9"/>
      <c r="F9"/>
      <c r="G9"/>
      <c r="H9"/>
      <c r="I9"/>
      <c r="J9"/>
      <c r="K9"/>
      <c r="L9"/>
      <c r="M9"/>
      <c r="N9"/>
      <c r="O9"/>
      <c r="P9"/>
      <c r="Q9"/>
      <c r="R9"/>
      <c r="S9" s="232">
        <v>0.12591782212257385</v>
      </c>
      <c r="T9"/>
      <c r="U9"/>
      <c r="V9"/>
      <c r="W9"/>
      <c r="X9"/>
      <c r="Y9"/>
      <c r="Z9" s="11">
        <v>6.4483500318601727E-4</v>
      </c>
      <c r="AA9"/>
      <c r="AB9"/>
      <c r="AC9"/>
      <c r="AD9" s="11">
        <v>7.974731270223856E-4</v>
      </c>
      <c r="AE9"/>
      <c r="AF9"/>
      <c r="AG9"/>
      <c r="AH9" s="217">
        <v>3.3910732716321945E-2</v>
      </c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2</v>
      </c>
      <c r="C10">
        <v>0.64195108413696289</v>
      </c>
      <c r="D10" s="200">
        <v>0.43422317504882812</v>
      </c>
      <c r="E10"/>
      <c r="F10"/>
      <c r="G10"/>
      <c r="H10"/>
      <c r="I10"/>
      <c r="J10"/>
      <c r="K10"/>
      <c r="L10"/>
      <c r="M10"/>
      <c r="N10"/>
      <c r="O10" s="12">
        <v>7.4218185618519783E-3</v>
      </c>
      <c r="P10"/>
      <c r="Q10"/>
      <c r="R10"/>
      <c r="S10" s="242">
        <v>0.70529633760452271</v>
      </c>
      <c r="T10" s="70">
        <v>0.1313270628452301</v>
      </c>
      <c r="U10" s="17">
        <v>2.2611545398831367E-2</v>
      </c>
      <c r="V10" s="14">
        <v>5.2011106163263321E-3</v>
      </c>
      <c r="W10" s="11">
        <v>1.9521785725373775E-4</v>
      </c>
      <c r="X10" s="11">
        <v>2.7658464387059212E-4</v>
      </c>
      <c r="Y10"/>
      <c r="Z10" s="11">
        <v>7.3785247514024377E-4</v>
      </c>
      <c r="AA10"/>
      <c r="AB10"/>
      <c r="AC10" s="11">
        <v>1.8834312213584781E-3</v>
      </c>
      <c r="AD10" s="12">
        <v>8.985983207821846E-3</v>
      </c>
      <c r="AE10"/>
      <c r="AF10"/>
      <c r="AG10" s="11">
        <v>1.5766886062920094E-3</v>
      </c>
      <c r="AH10" s="12">
        <v>6.7846430465579033E-3</v>
      </c>
      <c r="AI10" s="16">
        <v>2.7508335188031197E-2</v>
      </c>
      <c r="AJ10" s="14">
        <v>4.0191961452364922E-3</v>
      </c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1.3999999761581421</v>
      </c>
      <c r="C11">
        <v>1.2078219652175903</v>
      </c>
      <c r="D11"/>
      <c r="E11"/>
      <c r="F11"/>
      <c r="G11"/>
      <c r="H11"/>
      <c r="I11"/>
      <c r="J11"/>
      <c r="K11"/>
      <c r="L11"/>
      <c r="M11"/>
      <c r="N11"/>
      <c r="O11" s="100">
        <v>9.3171447515487671E-2</v>
      </c>
      <c r="P11"/>
      <c r="Q11"/>
      <c r="R11"/>
      <c r="S11" s="14">
        <v>2.5919820182025433E-3</v>
      </c>
      <c r="T11"/>
      <c r="U11" s="234">
        <v>7.3732785880565643E-2</v>
      </c>
      <c r="V11" s="17">
        <v>1.6350496560335159E-2</v>
      </c>
      <c r="W11" s="11">
        <v>2.5294393708463758E-5</v>
      </c>
      <c r="X11"/>
      <c r="Y11"/>
      <c r="Z11"/>
      <c r="AA11"/>
      <c r="AB11"/>
      <c r="AC11"/>
      <c r="AD11"/>
      <c r="AE11"/>
      <c r="AF11"/>
      <c r="AG11"/>
      <c r="AH11"/>
      <c r="AI11" s="12">
        <v>6.3059930689632893E-3</v>
      </c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>
        <v>8.9099998474121094</v>
      </c>
      <c r="C12">
        <v>1.3053313493728638</v>
      </c>
      <c r="D12" s="21">
        <v>5.7613171637058258E-2</v>
      </c>
      <c r="E12"/>
      <c r="F12"/>
      <c r="G12"/>
      <c r="H12"/>
      <c r="I12"/>
      <c r="J12"/>
      <c r="K12"/>
      <c r="L12"/>
      <c r="M12"/>
      <c r="N12"/>
      <c r="O12" s="236">
        <v>6.1606287956237793</v>
      </c>
      <c r="P12"/>
      <c r="Q12"/>
      <c r="R12"/>
      <c r="S12"/>
      <c r="T12"/>
      <c r="U12"/>
      <c r="V12" s="17">
        <v>0.10442940145730972</v>
      </c>
      <c r="W12" s="16">
        <v>0.12926292419433594</v>
      </c>
      <c r="X12"/>
      <c r="Y12"/>
      <c r="Z12" s="11">
        <v>6.1728395521640778E-3</v>
      </c>
      <c r="AA12"/>
      <c r="AB12"/>
      <c r="AC12"/>
      <c r="AD12"/>
      <c r="AE12"/>
      <c r="AF12"/>
      <c r="AG12" s="21">
        <v>4.3680869042873383E-2</v>
      </c>
      <c r="AH12"/>
      <c r="AI12"/>
      <c r="AJ12" s="99">
        <v>1.1028807163238525</v>
      </c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203</v>
      </c>
      <c r="B13">
        <v>4.3000001907348633</v>
      </c>
      <c r="C13">
        <v>0.2158481627702713</v>
      </c>
      <c r="D13" s="17">
        <v>5.2931278944015503E-2</v>
      </c>
      <c r="E13"/>
      <c r="F13"/>
      <c r="G13"/>
      <c r="H13"/>
      <c r="I13"/>
      <c r="J13"/>
      <c r="K13"/>
      <c r="L13"/>
      <c r="M13"/>
      <c r="N13"/>
      <c r="O13" s="231">
        <v>1.8827651739120483</v>
      </c>
      <c r="P13"/>
      <c r="Q13"/>
      <c r="R13"/>
      <c r="S13"/>
      <c r="T13"/>
      <c r="U13" s="230">
        <v>1.6867314577102661</v>
      </c>
      <c r="V13" s="17">
        <v>4.663897305727005E-2</v>
      </c>
      <c r="W13" s="14">
        <v>6.2410607933998108E-3</v>
      </c>
      <c r="X13"/>
      <c r="Y13"/>
      <c r="Z13" s="12">
        <v>1.9849227741360664E-2</v>
      </c>
      <c r="AA13"/>
      <c r="AB13" s="11">
        <v>3.2640956342220306E-3</v>
      </c>
      <c r="AC13" s="20">
        <v>3.0775422230362892E-2</v>
      </c>
      <c r="AD13" s="64">
        <v>0.21561077237129211</v>
      </c>
      <c r="AE13"/>
      <c r="AF13"/>
      <c r="AG13" s="221">
        <v>0.13934434950351715</v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>
        <v>1</v>
      </c>
      <c r="C14">
        <v>5.0048410892486572E-2</v>
      </c>
      <c r="D14" s="201">
        <v>0.11004007607698441</v>
      </c>
      <c r="E14"/>
      <c r="F14"/>
      <c r="G14"/>
      <c r="H14"/>
      <c r="I14"/>
      <c r="J14"/>
      <c r="K14"/>
      <c r="L14"/>
      <c r="M14"/>
      <c r="N14"/>
      <c r="O14" s="17">
        <v>1.1552266776561737E-2</v>
      </c>
      <c r="P14"/>
      <c r="Q14"/>
      <c r="R14" s="233">
        <v>4.9226630479097366E-2</v>
      </c>
      <c r="S14" s="240">
        <v>0.54425722360610962</v>
      </c>
      <c r="T14" s="218">
        <v>6.8903662264347076E-2</v>
      </c>
      <c r="U14" s="238">
        <v>8.3142988383769989E-2</v>
      </c>
      <c r="V14" s="19">
        <v>2.0239181816577911E-2</v>
      </c>
      <c r="W14" s="11">
        <v>2.6422782684676349E-4</v>
      </c>
      <c r="X14"/>
      <c r="Y14"/>
      <c r="Z14" s="11">
        <v>7.002974598435685E-5</v>
      </c>
      <c r="AA14"/>
      <c r="AB14"/>
      <c r="AC14" s="14">
        <v>1.7915413482114673E-3</v>
      </c>
      <c r="AD14" s="12">
        <v>3.7543873768299818E-3</v>
      </c>
      <c r="AE14" s="234">
        <v>5.2271421998739243E-2</v>
      </c>
      <c r="AF14"/>
      <c r="AG14"/>
      <c r="AH14" s="12">
        <v>3.529499052092433E-3</v>
      </c>
      <c r="AI14" s="11">
        <v>9.0859399642795324E-4</v>
      </c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>
        <v>1.2000000476837158</v>
      </c>
      <c r="C15">
        <v>0.46073207259178162</v>
      </c>
      <c r="D15" s="202">
        <v>0.63927394151687622</v>
      </c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 s="11">
        <v>4.6696534263901412E-4</v>
      </c>
      <c r="X15"/>
      <c r="Y15"/>
      <c r="Z15" s="11">
        <v>4.9504952039569616E-4</v>
      </c>
      <c r="AA15"/>
      <c r="AB15"/>
      <c r="AC15"/>
      <c r="AD15"/>
      <c r="AE15"/>
      <c r="AF15"/>
      <c r="AG15" s="14">
        <v>1.7515595536679029E-3</v>
      </c>
      <c r="AH15"/>
      <c r="AI15" s="20">
        <v>8.8315848261117935E-3</v>
      </c>
      <c r="AJ15" s="224">
        <v>8.8448844850063324E-2</v>
      </c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>
        <v>0.85000002384185791</v>
      </c>
      <c r="C16">
        <v>0.61284005641937256</v>
      </c>
      <c r="D16" s="203">
        <v>0.19515380263328552</v>
      </c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 s="12">
        <v>3.1205099076032639E-3</v>
      </c>
      <c r="X16"/>
      <c r="Y16"/>
      <c r="Z16"/>
      <c r="AA16"/>
      <c r="AB16"/>
      <c r="AC16"/>
      <c r="AD16"/>
      <c r="AE16"/>
      <c r="AF16"/>
      <c r="AG16"/>
      <c r="AH16"/>
      <c r="AI16"/>
      <c r="AJ16" s="228">
        <v>3.8885664194822311E-2</v>
      </c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207</v>
      </c>
      <c r="B17">
        <v>0.40000000596046448</v>
      </c>
      <c r="C17">
        <v>0.12507069110870361</v>
      </c>
      <c r="D17" s="204">
        <v>0.19977234303951263</v>
      </c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 s="25">
        <v>1.8655043095350266E-2</v>
      </c>
      <c r="V17"/>
      <c r="W17"/>
      <c r="X17"/>
      <c r="Y17"/>
      <c r="Z17" s="14">
        <v>8.5372797911986709E-4</v>
      </c>
      <c r="AA17"/>
      <c r="AB17"/>
      <c r="AC17"/>
      <c r="AD17" s="12">
        <v>1.7948818858712912E-3</v>
      </c>
      <c r="AE17"/>
      <c r="AF17"/>
      <c r="AG17" s="223">
        <v>5.3853303194046021E-2</v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208</v>
      </c>
      <c r="B18">
        <v>1.3170000314712524</v>
      </c>
      <c r="C18">
        <v>0.11965439468622208</v>
      </c>
      <c r="D18" s="132">
        <v>0.44658634066581726</v>
      </c>
      <c r="E18"/>
      <c r="F18"/>
      <c r="G18"/>
      <c r="H18"/>
      <c r="I18"/>
      <c r="J18"/>
      <c r="K18"/>
      <c r="L18"/>
      <c r="M18"/>
      <c r="N18"/>
      <c r="O18" s="226">
        <v>0.15899980068206787</v>
      </c>
      <c r="P18"/>
      <c r="Q18"/>
      <c r="R18"/>
      <c r="S18"/>
      <c r="T18"/>
      <c r="U18" s="225">
        <v>0.14040979743003845</v>
      </c>
      <c r="V18" s="229">
        <v>0.24968692660331726</v>
      </c>
      <c r="W18" s="66">
        <v>9.2190437018871307E-2</v>
      </c>
      <c r="X18"/>
      <c r="Y18"/>
      <c r="Z18"/>
      <c r="AA18"/>
      <c r="AB18"/>
      <c r="AC18"/>
      <c r="AD18"/>
      <c r="AE18"/>
      <c r="AF18"/>
      <c r="AG18" s="15">
        <v>1.1773534119129181E-2</v>
      </c>
      <c r="AH18"/>
      <c r="AI18" s="224">
        <v>9.7698800265789032E-2</v>
      </c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209</v>
      </c>
      <c r="B19">
        <v>1.9459999799728394</v>
      </c>
      <c r="C19">
        <v>1.2568533420562744</v>
      </c>
      <c r="D19" s="205">
        <v>0.65644168853759766</v>
      </c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 s="16">
        <v>2.6503065600991249E-2</v>
      </c>
      <c r="AC19"/>
      <c r="AD19"/>
      <c r="AE19"/>
      <c r="AF19"/>
      <c r="AG19" s="12">
        <v>6.2018404714763165E-3</v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210</v>
      </c>
      <c r="B20">
        <v>1.5160000324249268</v>
      </c>
      <c r="C20">
        <v>1.0821936130523682</v>
      </c>
      <c r="D20" s="206">
        <v>0.4285714328289032</v>
      </c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 s="12">
        <v>5.2350177429616451E-3</v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211</v>
      </c>
      <c r="B21">
        <v>0.30399999022483826</v>
      </c>
      <c r="C21">
        <v>3.599998727440834E-2</v>
      </c>
      <c r="D21" s="207">
        <v>0.10000000894069672</v>
      </c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 s="215">
        <v>0.15000000596046448</v>
      </c>
      <c r="AA21"/>
      <c r="AB21" s="62">
        <v>1.8000001087784767E-2</v>
      </c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212</v>
      </c>
      <c r="B22">
        <v>2.2999999523162842</v>
      </c>
      <c r="C22">
        <v>0.11517879366874695</v>
      </c>
      <c r="D22" s="14">
        <v>3.2670465297996998E-3</v>
      </c>
      <c r="E22"/>
      <c r="F22"/>
      <c r="G22"/>
      <c r="H22"/>
      <c r="I22"/>
      <c r="J22"/>
      <c r="K22"/>
      <c r="L22"/>
      <c r="M22"/>
      <c r="N22"/>
      <c r="O22"/>
      <c r="P22" s="17">
        <v>2.843639999628067E-2</v>
      </c>
      <c r="Q22"/>
      <c r="R22" s="14">
        <v>6.1620366759598255E-3</v>
      </c>
      <c r="S22" s="239">
        <v>1.1124440431594849</v>
      </c>
      <c r="T22" s="235">
        <v>0.23678328096866608</v>
      </c>
      <c r="U22" s="237">
        <v>0.33463653922080994</v>
      </c>
      <c r="V22" s="60">
        <v>0.1248767077922821</v>
      </c>
      <c r="W22" s="14">
        <v>3.9869584143161774E-3</v>
      </c>
      <c r="X22"/>
      <c r="Y22"/>
      <c r="Z22" s="12">
        <v>7.1670832112431526E-3</v>
      </c>
      <c r="AA22"/>
      <c r="AB22" s="11">
        <v>1.2659805361181498E-4</v>
      </c>
      <c r="AC22" s="15">
        <v>2.1369747817516327E-2</v>
      </c>
      <c r="AD22" s="22">
        <v>6.4393632113933563E-2</v>
      </c>
      <c r="AE22"/>
      <c r="AF22"/>
      <c r="AG22" s="11">
        <v>1.0836845031008124E-3</v>
      </c>
      <c r="AH22" s="14">
        <v>6.1257118359208107E-3</v>
      </c>
      <c r="AI22" s="220">
        <v>0.23396170139312744</v>
      </c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213</v>
      </c>
      <c r="B23">
        <v>1</v>
      </c>
      <c r="C23">
        <v>6.6666722297668457E-2</v>
      </c>
      <c r="D23" s="208">
        <v>0.93333327770233154</v>
      </c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214</v>
      </c>
      <c r="B24">
        <v>0.80000001192092896</v>
      </c>
      <c r="C24">
        <v>0.12439876049757004</v>
      </c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 s="213">
        <v>0.15000000596046448</v>
      </c>
      <c r="AA24"/>
      <c r="AB24"/>
      <c r="AC24"/>
      <c r="AD24" s="216">
        <v>0.52560126781463623</v>
      </c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215</v>
      </c>
      <c r="B25">
        <v>0.75</v>
      </c>
      <c r="C25">
        <v>0.75</v>
      </c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216</v>
      </c>
      <c r="B26">
        <v>2.4800000190734863</v>
      </c>
      <c r="C26">
        <v>0.23701544106006622</v>
      </c>
      <c r="D26" s="209">
        <v>0.68246442079544067</v>
      </c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 s="227">
        <v>1.0356054306030273</v>
      </c>
      <c r="V26" s="12">
        <v>7.8173577785491943E-3</v>
      </c>
      <c r="W26" s="20">
        <v>1.8775990232825279E-2</v>
      </c>
      <c r="X26" s="61">
        <v>5.2347548305988312E-2</v>
      </c>
      <c r="Y26"/>
      <c r="Z26" s="217">
        <v>5.6872040033340454E-2</v>
      </c>
      <c r="AA26"/>
      <c r="AB26" s="17">
        <v>3.090047650039196E-2</v>
      </c>
      <c r="AC26" s="16">
        <v>3.306666761636734E-2</v>
      </c>
      <c r="AD26" s="64">
        <v>0.1270410567522049</v>
      </c>
      <c r="AE26"/>
      <c r="AF26"/>
      <c r="AG26" s="15">
        <v>2.5152727961540222E-2</v>
      </c>
      <c r="AH26"/>
      <c r="AI26" s="66">
        <v>0.17294076085090637</v>
      </c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217</v>
      </c>
      <c r="B27">
        <v>1.0850000381469727</v>
      </c>
      <c r="C27">
        <v>2.4542983621358871E-2</v>
      </c>
      <c r="D27" s="101">
        <v>0.197247713804245</v>
      </c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 s="218">
        <v>7.5176402926445007E-2</v>
      </c>
      <c r="V27" s="219">
        <v>0.10670481622219086</v>
      </c>
      <c r="W27" s="222">
        <v>0.31283682584762573</v>
      </c>
      <c r="X27"/>
      <c r="Y27"/>
      <c r="Z27" s="13">
        <v>3.9908260107040405E-2</v>
      </c>
      <c r="AA27"/>
      <c r="AB27"/>
      <c r="AC27"/>
      <c r="AD27" s="212">
        <v>0.21699133515357971</v>
      </c>
      <c r="AE27"/>
      <c r="AF27"/>
      <c r="AG27"/>
      <c r="AH27"/>
      <c r="AI27" s="220">
        <v>0.11159174889326096</v>
      </c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218</v>
      </c>
      <c r="B28">
        <v>3.2200000286102295</v>
      </c>
      <c r="C28">
        <v>3.0536074638366699</v>
      </c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 s="24">
        <v>0.11385729163885117</v>
      </c>
      <c r="T28"/>
      <c r="U28"/>
      <c r="V28"/>
      <c r="W28" s="21">
        <v>2.1290106698870659E-2</v>
      </c>
      <c r="X28"/>
      <c r="Y28"/>
      <c r="Z28"/>
      <c r="AA28"/>
      <c r="AB28" s="12">
        <v>1.4608149416744709E-2</v>
      </c>
      <c r="AC28"/>
      <c r="AD28"/>
      <c r="AE28"/>
      <c r="AF28"/>
      <c r="AG28" s="21">
        <v>1.663707010447979E-2</v>
      </c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 t="s">
        <v>219</v>
      </c>
      <c r="B29">
        <v>0.89999997615814209</v>
      </c>
      <c r="C29">
        <v>5.6615263223648071E-2</v>
      </c>
      <c r="D29" s="210">
        <v>0.83692318201065063</v>
      </c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 s="20">
        <v>6.4615393057465553E-3</v>
      </c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 t="s">
        <v>220</v>
      </c>
      <c r="B30">
        <v>0.48600000143051147</v>
      </c>
      <c r="C30">
        <v>0.24241027235984802</v>
      </c>
      <c r="D30" s="211">
        <v>0.24358972907066345</v>
      </c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 t="s">
        <v>221</v>
      </c>
      <c r="B31">
        <v>3.9999999105930328E-2</v>
      </c>
      <c r="C31">
        <v>3.9999999105930328E-2</v>
      </c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 t="s">
        <v>222</v>
      </c>
      <c r="B32">
        <v>0.10000000149011612</v>
      </c>
      <c r="C32">
        <v>0.10000000149011612</v>
      </c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 t="s">
        <v>223</v>
      </c>
      <c r="B33">
        <v>0.10000000149011612</v>
      </c>
      <c r="C33">
        <v>0.10000000149011612</v>
      </c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 t="s">
        <v>224</v>
      </c>
      <c r="B34"/>
      <c r="C34">
        <v>0.82270729541778564</v>
      </c>
      <c r="D34"/>
      <c r="E34"/>
      <c r="F34"/>
      <c r="G34" s="9">
        <v>3026.516357421875</v>
      </c>
      <c r="H34"/>
      <c r="I34"/>
      <c r="J34" s="9">
        <v>1.6959999920800328E-3</v>
      </c>
      <c r="K34" s="9">
        <v>204.83999633789062</v>
      </c>
      <c r="L34"/>
      <c r="M34"/>
      <c r="N34"/>
      <c r="O34"/>
      <c r="P34"/>
      <c r="Q34"/>
      <c r="R34" s="9">
        <v>17.415918350219727</v>
      </c>
      <c r="S34"/>
      <c r="T34"/>
      <c r="U34"/>
      <c r="V34"/>
      <c r="W34"/>
      <c r="X34"/>
      <c r="Y34"/>
      <c r="Z34" s="9">
        <v>1.3500000350177288E-2</v>
      </c>
      <c r="AA34"/>
      <c r="AB34" s="9">
        <v>6.8000005558133125E-4</v>
      </c>
      <c r="AC34"/>
      <c r="AD34"/>
      <c r="AE34"/>
      <c r="AF34" s="9">
        <v>0.19499997794628143</v>
      </c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 t="s">
        <v>225</v>
      </c>
      <c r="B35"/>
      <c r="C35">
        <v>0</v>
      </c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1.66406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1.66406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0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58" t="s">
        <v>166</v>
      </c>
    </row>
    <row r="2" spans="1:12" x14ac:dyDescent="0.15">
      <c r="A2" s="1" t="s">
        <v>37</v>
      </c>
      <c r="B2" s="35">
        <v>3</v>
      </c>
      <c r="C2" s="33"/>
      <c r="D2" t="s">
        <v>38</v>
      </c>
      <c r="E2">
        <v>1</v>
      </c>
      <c r="F2">
        <v>1</v>
      </c>
      <c r="G2">
        <v>1</v>
      </c>
      <c r="H2" t="s">
        <v>38</v>
      </c>
      <c r="J2" s="51"/>
      <c r="K2" s="52"/>
      <c r="L2" s="58" t="s">
        <v>167</v>
      </c>
    </row>
    <row r="3" spans="1:12" ht="14" thickBot="1" x14ac:dyDescent="0.2">
      <c r="A3" s="1" t="s">
        <v>39</v>
      </c>
      <c r="B3" s="36">
        <v>0</v>
      </c>
      <c r="C3" s="33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3"/>
      <c r="K3" s="54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3"/>
      <c r="K4" s="54"/>
    </row>
    <row r="5" spans="1:12" x14ac:dyDescent="0.15">
      <c r="D5" s="186" t="s">
        <v>192</v>
      </c>
      <c r="E5">
        <v>4</v>
      </c>
      <c r="F5">
        <v>2.1</v>
      </c>
      <c r="G5">
        <v>4</v>
      </c>
      <c r="H5" s="187" t="s">
        <v>192</v>
      </c>
      <c r="J5" s="53"/>
      <c r="K5" s="54"/>
    </row>
    <row r="6" spans="1:12" ht="14" thickBot="1" x14ac:dyDescent="0.2">
      <c r="A6" s="37" t="s">
        <v>121</v>
      </c>
      <c r="D6" s="186" t="s">
        <v>193</v>
      </c>
      <c r="E6">
        <v>5</v>
      </c>
      <c r="F6">
        <v>2.2000000000000002</v>
      </c>
      <c r="G6">
        <v>5</v>
      </c>
      <c r="H6" s="187" t="s">
        <v>193</v>
      </c>
      <c r="J6" s="53"/>
      <c r="K6" s="54"/>
    </row>
    <row r="7" spans="1:12" x14ac:dyDescent="0.15">
      <c r="A7" s="32" t="s">
        <v>126</v>
      </c>
      <c r="B7" s="39">
        <v>1</v>
      </c>
      <c r="C7" s="34"/>
      <c r="D7" s="186" t="s">
        <v>194</v>
      </c>
      <c r="E7">
        <v>6</v>
      </c>
      <c r="F7">
        <v>3.14</v>
      </c>
      <c r="G7">
        <v>6</v>
      </c>
      <c r="H7" s="187" t="s">
        <v>194</v>
      </c>
      <c r="J7" s="53"/>
      <c r="K7" s="54"/>
    </row>
    <row r="8" spans="1:12" x14ac:dyDescent="0.15">
      <c r="A8" s="32" t="s">
        <v>38</v>
      </c>
      <c r="B8" s="40">
        <v>1</v>
      </c>
      <c r="C8" s="34"/>
      <c r="D8" s="186" t="s">
        <v>195</v>
      </c>
      <c r="E8">
        <v>7</v>
      </c>
      <c r="F8">
        <v>3.11</v>
      </c>
      <c r="G8">
        <v>7</v>
      </c>
      <c r="H8" s="187" t="s">
        <v>195</v>
      </c>
      <c r="J8" s="53"/>
      <c r="K8" s="54"/>
    </row>
    <row r="9" spans="1:12" x14ac:dyDescent="0.15">
      <c r="A9" s="32" t="s">
        <v>40</v>
      </c>
      <c r="B9" s="40">
        <v>1.1000000000000001</v>
      </c>
      <c r="C9" s="34"/>
      <c r="D9" s="186" t="s">
        <v>196</v>
      </c>
      <c r="E9">
        <v>8</v>
      </c>
      <c r="F9">
        <v>3.11</v>
      </c>
      <c r="G9">
        <v>8</v>
      </c>
      <c r="H9" s="187" t="s">
        <v>196</v>
      </c>
      <c r="J9" s="53"/>
      <c r="K9" s="54"/>
    </row>
    <row r="10" spans="1:12" x14ac:dyDescent="0.15">
      <c r="A10" s="32" t="s">
        <v>41</v>
      </c>
      <c r="B10" s="40">
        <v>1.2</v>
      </c>
      <c r="C10" s="34"/>
      <c r="D10" s="186" t="s">
        <v>197</v>
      </c>
      <c r="E10">
        <v>9</v>
      </c>
      <c r="F10">
        <v>3.11</v>
      </c>
      <c r="G10">
        <v>9</v>
      </c>
      <c r="H10" s="187" t="s">
        <v>197</v>
      </c>
      <c r="J10" s="53"/>
      <c r="K10" s="54"/>
    </row>
    <row r="11" spans="1:12" ht="12" customHeight="1" x14ac:dyDescent="0.15">
      <c r="A11" s="38" t="s">
        <v>127</v>
      </c>
      <c r="B11" s="40">
        <v>2</v>
      </c>
      <c r="C11" s="34"/>
      <c r="D11" s="186" t="s">
        <v>198</v>
      </c>
      <c r="E11">
        <v>10</v>
      </c>
      <c r="F11">
        <v>3.21</v>
      </c>
      <c r="G11">
        <v>10</v>
      </c>
      <c r="H11" s="187" t="s">
        <v>198</v>
      </c>
      <c r="J11" s="53"/>
      <c r="K11" s="54"/>
    </row>
    <row r="12" spans="1:12" x14ac:dyDescent="0.15">
      <c r="A12" s="32" t="s">
        <v>42</v>
      </c>
      <c r="B12" s="40">
        <v>2.1</v>
      </c>
      <c r="C12" s="34"/>
      <c r="D12" s="186" t="s">
        <v>199</v>
      </c>
      <c r="E12">
        <v>11</v>
      </c>
      <c r="F12">
        <v>3.12</v>
      </c>
      <c r="G12">
        <v>11</v>
      </c>
      <c r="H12" s="187" t="s">
        <v>199</v>
      </c>
      <c r="J12" s="53"/>
      <c r="K12" s="54"/>
    </row>
    <row r="13" spans="1:12" x14ac:dyDescent="0.15">
      <c r="A13" s="32" t="s">
        <v>43</v>
      </c>
      <c r="B13" s="40">
        <v>2.2000000000000002</v>
      </c>
      <c r="C13" s="34"/>
      <c r="D13" s="186" t="s">
        <v>200</v>
      </c>
      <c r="E13">
        <v>12</v>
      </c>
      <c r="F13">
        <v>3.12</v>
      </c>
      <c r="G13">
        <v>12</v>
      </c>
      <c r="H13" s="187" t="s">
        <v>200</v>
      </c>
      <c r="J13" s="53"/>
      <c r="K13" s="54"/>
    </row>
    <row r="14" spans="1:12" x14ac:dyDescent="0.15">
      <c r="A14" s="32" t="s">
        <v>67</v>
      </c>
      <c r="B14" s="40">
        <v>2.2999999999999998</v>
      </c>
      <c r="C14" s="34"/>
      <c r="D14" s="186" t="s">
        <v>201</v>
      </c>
      <c r="E14">
        <v>13</v>
      </c>
      <c r="F14">
        <v>3.12</v>
      </c>
      <c r="G14">
        <v>13</v>
      </c>
      <c r="H14" s="187" t="s">
        <v>201</v>
      </c>
      <c r="J14" s="53"/>
      <c r="K14" s="54"/>
    </row>
    <row r="15" spans="1:12" x14ac:dyDescent="0.15">
      <c r="A15" s="38" t="s">
        <v>128</v>
      </c>
      <c r="B15" s="40">
        <v>3</v>
      </c>
      <c r="C15" s="34"/>
      <c r="D15" s="186" t="s">
        <v>202</v>
      </c>
      <c r="E15">
        <v>14</v>
      </c>
      <c r="F15">
        <v>3.12</v>
      </c>
      <c r="G15">
        <v>14</v>
      </c>
      <c r="H15" s="187" t="s">
        <v>202</v>
      </c>
      <c r="J15" s="53"/>
      <c r="K15" s="54"/>
    </row>
    <row r="16" spans="1:12" x14ac:dyDescent="0.15">
      <c r="A16" s="32" t="s">
        <v>62</v>
      </c>
      <c r="B16" s="40">
        <v>3.11</v>
      </c>
      <c r="C16" s="34"/>
      <c r="D16" s="186" t="s">
        <v>203</v>
      </c>
      <c r="E16">
        <v>15</v>
      </c>
      <c r="F16">
        <v>3.12</v>
      </c>
      <c r="G16">
        <v>15</v>
      </c>
      <c r="H16" s="187" t="s">
        <v>203</v>
      </c>
      <c r="J16" s="53"/>
      <c r="K16" s="54"/>
    </row>
    <row r="17" spans="1:12" x14ac:dyDescent="0.15">
      <c r="A17" s="32" t="s">
        <v>61</v>
      </c>
      <c r="B17" s="40">
        <v>3.12</v>
      </c>
      <c r="C17" s="34"/>
      <c r="D17" s="186" t="s">
        <v>204</v>
      </c>
      <c r="E17">
        <v>16</v>
      </c>
      <c r="F17">
        <v>3.1</v>
      </c>
      <c r="G17">
        <v>16</v>
      </c>
      <c r="H17" s="187" t="s">
        <v>204</v>
      </c>
      <c r="J17" s="53"/>
      <c r="K17" s="54"/>
    </row>
    <row r="18" spans="1:12" x14ac:dyDescent="0.15">
      <c r="A18" s="32" t="s">
        <v>68</v>
      </c>
      <c r="B18" s="40">
        <v>3.13</v>
      </c>
      <c r="C18" s="34"/>
      <c r="D18" s="186" t="s">
        <v>205</v>
      </c>
      <c r="E18">
        <v>17</v>
      </c>
      <c r="F18">
        <v>3.12</v>
      </c>
      <c r="G18">
        <v>17</v>
      </c>
      <c r="H18" s="187" t="s">
        <v>205</v>
      </c>
      <c r="J18" s="53"/>
      <c r="K18" s="54"/>
    </row>
    <row r="19" spans="1:12" x14ac:dyDescent="0.15">
      <c r="A19" s="32" t="s">
        <v>66</v>
      </c>
      <c r="B19" s="40">
        <v>3.21</v>
      </c>
      <c r="C19" s="34"/>
      <c r="D19" s="186" t="s">
        <v>206</v>
      </c>
      <c r="E19">
        <v>18</v>
      </c>
      <c r="F19">
        <v>3.12</v>
      </c>
      <c r="G19">
        <v>18</v>
      </c>
      <c r="H19" s="187" t="s">
        <v>206</v>
      </c>
      <c r="J19" s="53"/>
      <c r="K19" s="54"/>
    </row>
    <row r="20" spans="1:12" x14ac:dyDescent="0.15">
      <c r="A20" s="32" t="s">
        <v>63</v>
      </c>
      <c r="B20" s="40">
        <v>3.22</v>
      </c>
      <c r="C20" s="34"/>
      <c r="D20" s="186" t="s">
        <v>207</v>
      </c>
      <c r="E20">
        <v>19</v>
      </c>
      <c r="F20">
        <v>3.1</v>
      </c>
      <c r="G20">
        <v>19</v>
      </c>
      <c r="H20" s="187" t="s">
        <v>207</v>
      </c>
      <c r="J20" s="53"/>
      <c r="K20" s="54"/>
    </row>
    <row r="21" spans="1:12" ht="14" thickBot="1" x14ac:dyDescent="0.2">
      <c r="A21" s="32" t="s">
        <v>69</v>
      </c>
      <c r="B21" s="40">
        <v>3.23</v>
      </c>
      <c r="C21" s="34"/>
      <c r="D21" s="186" t="s">
        <v>208</v>
      </c>
      <c r="E21">
        <v>20</v>
      </c>
      <c r="F21">
        <v>3.12</v>
      </c>
      <c r="G21">
        <v>20</v>
      </c>
      <c r="H21" s="187" t="s">
        <v>208</v>
      </c>
      <c r="J21" s="55"/>
      <c r="K21" s="56"/>
      <c r="L21" s="58" t="s">
        <v>152</v>
      </c>
    </row>
    <row r="22" spans="1:12" x14ac:dyDescent="0.15">
      <c r="A22" s="32" t="s">
        <v>64</v>
      </c>
      <c r="B22" s="40">
        <v>8</v>
      </c>
      <c r="C22" s="34"/>
      <c r="D22" s="186" t="s">
        <v>209</v>
      </c>
      <c r="E22">
        <v>21</v>
      </c>
      <c r="F22">
        <v>3.12</v>
      </c>
      <c r="G22">
        <v>21</v>
      </c>
      <c r="H22" s="187" t="s">
        <v>209</v>
      </c>
    </row>
    <row r="23" spans="1:12" x14ac:dyDescent="0.15">
      <c r="A23" s="32" t="s">
        <v>129</v>
      </c>
      <c r="B23" s="40">
        <v>4</v>
      </c>
      <c r="C23" s="34"/>
      <c r="D23" s="186" t="s">
        <v>210</v>
      </c>
      <c r="E23">
        <v>22</v>
      </c>
      <c r="F23">
        <v>3.12</v>
      </c>
      <c r="G23">
        <v>22</v>
      </c>
      <c r="H23" s="187" t="s">
        <v>210</v>
      </c>
    </row>
    <row r="24" spans="1:12" x14ac:dyDescent="0.15">
      <c r="A24" s="32" t="s">
        <v>122</v>
      </c>
      <c r="B24" s="40">
        <v>4.0999999999999996</v>
      </c>
      <c r="C24" s="34"/>
      <c r="D24" s="186" t="s">
        <v>211</v>
      </c>
      <c r="E24">
        <v>23</v>
      </c>
      <c r="F24">
        <v>3.22</v>
      </c>
      <c r="G24">
        <v>23</v>
      </c>
      <c r="H24" s="187" t="s">
        <v>211</v>
      </c>
    </row>
    <row r="25" spans="1:12" x14ac:dyDescent="0.15">
      <c r="A25" s="32" t="s">
        <v>70</v>
      </c>
      <c r="B25" s="40">
        <v>4.2</v>
      </c>
      <c r="C25" s="34"/>
      <c r="D25" s="186" t="s">
        <v>212</v>
      </c>
      <c r="E25">
        <v>24</v>
      </c>
      <c r="F25">
        <v>3.2</v>
      </c>
      <c r="G25">
        <v>24</v>
      </c>
      <c r="H25" s="187" t="s">
        <v>212</v>
      </c>
    </row>
    <row r="26" spans="1:12" x14ac:dyDescent="0.15">
      <c r="A26" s="32" t="s">
        <v>123</v>
      </c>
      <c r="B26" s="40">
        <v>4.3</v>
      </c>
      <c r="C26" s="34"/>
      <c r="D26" s="186" t="s">
        <v>213</v>
      </c>
      <c r="E26">
        <v>25</v>
      </c>
      <c r="F26">
        <v>3.22</v>
      </c>
      <c r="G26">
        <v>25</v>
      </c>
      <c r="H26" s="187" t="s">
        <v>213</v>
      </c>
    </row>
    <row r="27" spans="1:12" x14ac:dyDescent="0.15">
      <c r="A27" s="32" t="s">
        <v>125</v>
      </c>
      <c r="B27" s="40">
        <v>6.1</v>
      </c>
      <c r="D27" s="186" t="s">
        <v>214</v>
      </c>
      <c r="E27">
        <v>26</v>
      </c>
      <c r="F27">
        <v>3</v>
      </c>
      <c r="G27">
        <v>26</v>
      </c>
      <c r="H27" s="187" t="s">
        <v>214</v>
      </c>
    </row>
    <row r="28" spans="1:12" x14ac:dyDescent="0.15">
      <c r="A28" s="32" t="s">
        <v>124</v>
      </c>
      <c r="B28" s="40">
        <v>6.2</v>
      </c>
      <c r="D28" s="186" t="s">
        <v>215</v>
      </c>
      <c r="E28">
        <v>27</v>
      </c>
      <c r="F28">
        <v>3.22</v>
      </c>
      <c r="G28">
        <v>27</v>
      </c>
      <c r="H28" s="187" t="s">
        <v>215</v>
      </c>
    </row>
    <row r="29" spans="1:12" x14ac:dyDescent="0.15">
      <c r="A29" s="32" t="s">
        <v>44</v>
      </c>
      <c r="B29" s="40">
        <v>5</v>
      </c>
      <c r="D29" s="186" t="s">
        <v>216</v>
      </c>
      <c r="E29">
        <v>28</v>
      </c>
      <c r="F29">
        <v>3.22</v>
      </c>
      <c r="G29">
        <v>28</v>
      </c>
      <c r="H29" s="187" t="s">
        <v>216</v>
      </c>
    </row>
    <row r="30" spans="1:12" x14ac:dyDescent="0.15">
      <c r="A30" s="32" t="s">
        <v>73</v>
      </c>
      <c r="B30" s="40">
        <v>7</v>
      </c>
      <c r="D30" s="186" t="s">
        <v>217</v>
      </c>
      <c r="E30">
        <v>29</v>
      </c>
      <c r="F30">
        <v>3.22</v>
      </c>
      <c r="G30">
        <v>29</v>
      </c>
      <c r="H30" s="187" t="s">
        <v>217</v>
      </c>
    </row>
    <row r="31" spans="1:12" x14ac:dyDescent="0.15">
      <c r="A31" s="32" t="s">
        <v>169</v>
      </c>
      <c r="B31" s="40">
        <v>3.14</v>
      </c>
      <c r="D31" s="186" t="s">
        <v>218</v>
      </c>
      <c r="E31">
        <v>30</v>
      </c>
      <c r="F31">
        <v>3.22</v>
      </c>
      <c r="G31">
        <v>30</v>
      </c>
      <c r="H31" s="187" t="s">
        <v>218</v>
      </c>
    </row>
    <row r="32" spans="1:12" ht="12" customHeight="1" thickBot="1" x14ac:dyDescent="0.2">
      <c r="A32" s="38" t="s">
        <v>170</v>
      </c>
      <c r="B32" s="41">
        <v>9</v>
      </c>
      <c r="D32" s="186" t="s">
        <v>219</v>
      </c>
      <c r="E32">
        <v>31</v>
      </c>
      <c r="F32">
        <v>3.22</v>
      </c>
      <c r="G32">
        <v>31</v>
      </c>
      <c r="H32" s="187" t="s">
        <v>219</v>
      </c>
    </row>
    <row r="33" spans="4:8" customFormat="1" ht="12" customHeight="1" x14ac:dyDescent="0.15">
      <c r="D33" s="186" t="s">
        <v>220</v>
      </c>
      <c r="E33">
        <v>32</v>
      </c>
      <c r="F33">
        <v>3.12</v>
      </c>
      <c r="G33">
        <v>32</v>
      </c>
      <c r="H33" s="187" t="s">
        <v>220</v>
      </c>
    </row>
    <row r="34" spans="4:8" customFormat="1" ht="12" customHeight="1" x14ac:dyDescent="0.15">
      <c r="D34" s="186" t="s">
        <v>221</v>
      </c>
      <c r="E34">
        <v>33</v>
      </c>
      <c r="F34">
        <v>3.13</v>
      </c>
      <c r="G34">
        <v>33</v>
      </c>
      <c r="H34" s="187" t="s">
        <v>221</v>
      </c>
    </row>
    <row r="35" spans="4:8" customFormat="1" x14ac:dyDescent="0.15">
      <c r="D35" s="186" t="s">
        <v>222</v>
      </c>
      <c r="E35">
        <v>34</v>
      </c>
      <c r="F35">
        <v>3.13</v>
      </c>
      <c r="G35">
        <v>34</v>
      </c>
      <c r="H35" s="187" t="s">
        <v>222</v>
      </c>
    </row>
    <row r="36" spans="4:8" customFormat="1" x14ac:dyDescent="0.15">
      <c r="D36" s="186" t="s">
        <v>223</v>
      </c>
      <c r="E36">
        <v>35</v>
      </c>
      <c r="F36">
        <v>3.13</v>
      </c>
      <c r="G36">
        <v>35</v>
      </c>
      <c r="H36" s="187" t="s">
        <v>223</v>
      </c>
    </row>
    <row r="37" spans="4:8" customFormat="1" ht="12" customHeight="1" x14ac:dyDescent="0.15">
      <c r="D37" s="186" t="s">
        <v>224</v>
      </c>
      <c r="E37">
        <v>36</v>
      </c>
      <c r="F37">
        <v>4.0999999999999996</v>
      </c>
      <c r="G37">
        <v>36</v>
      </c>
      <c r="H37" s="187" t="s">
        <v>224</v>
      </c>
    </row>
    <row r="38" spans="4:8" customFormat="1" x14ac:dyDescent="0.15">
      <c r="D38" s="186" t="s">
        <v>225</v>
      </c>
      <c r="E38">
        <v>37</v>
      </c>
      <c r="F38">
        <v>4.3</v>
      </c>
      <c r="G38">
        <v>37</v>
      </c>
      <c r="H38" s="187" t="s">
        <v>225</v>
      </c>
    </row>
    <row r="39" spans="4:8" customFormat="1" x14ac:dyDescent="0.15">
      <c r="D39" s="186" t="s">
        <v>226</v>
      </c>
      <c r="E39">
        <v>38</v>
      </c>
      <c r="F39">
        <v>5</v>
      </c>
      <c r="G39">
        <v>38</v>
      </c>
      <c r="H39" s="187" t="s">
        <v>226</v>
      </c>
    </row>
    <row r="40" spans="4:8" customFormat="1" x14ac:dyDescent="0.15">
      <c r="D40" s="186" t="s">
        <v>138</v>
      </c>
      <c r="E40">
        <v>39</v>
      </c>
      <c r="F40">
        <v>6.1</v>
      </c>
      <c r="G40">
        <v>39</v>
      </c>
      <c r="H40" s="187" t="s">
        <v>138</v>
      </c>
    </row>
    <row r="41" spans="4:8" customFormat="1" x14ac:dyDescent="0.15">
      <c r="D41" s="186" t="s">
        <v>45</v>
      </c>
      <c r="E41">
        <v>40</v>
      </c>
      <c r="F41">
        <v>6.2</v>
      </c>
      <c r="G41">
        <v>40</v>
      </c>
      <c r="H41" s="187" t="s">
        <v>45</v>
      </c>
    </row>
    <row r="42" spans="4:8" customFormat="1" x14ac:dyDescent="0.15"/>
    <row r="43" spans="4:8" customFormat="1" x14ac:dyDescent="0.15"/>
    <row r="44" spans="4:8" customFormat="1" x14ac:dyDescent="0.15"/>
    <row r="45" spans="4:8" customFormat="1" x14ac:dyDescent="0.15"/>
    <row r="46" spans="4:8" customFormat="1" x14ac:dyDescent="0.15"/>
    <row r="47" spans="4:8" customFormat="1" x14ac:dyDescent="0.15"/>
    <row r="48" spans="4:8" customFormat="1" x14ac:dyDescent="0.15"/>
    <row r="49" customFormat="1" x14ac:dyDescent="0.15"/>
    <row r="50" customFormat="1" ht="12" customHeight="1" x14ac:dyDescent="0.15"/>
    <row r="51" customFormat="1" x14ac:dyDescent="0.15"/>
    <row r="52" customFormat="1" ht="12" customHeight="1" x14ac:dyDescent="0.15"/>
    <row r="53" customFormat="1" x14ac:dyDescent="0.15"/>
    <row r="54" customFormat="1" ht="12" customHeight="1" x14ac:dyDescent="0.15"/>
    <row r="55" customFormat="1" ht="12" customHeigh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8.1640625" style="76" bestFit="1" customWidth="1"/>
    <col min="2" max="2" width="12.83203125" style="75" customWidth="1"/>
    <col min="3" max="3" width="8.1640625" style="75" customWidth="1"/>
    <col min="4" max="4" width="7.83203125" style="75" customWidth="1"/>
    <col min="5" max="5" width="12.83203125" style="75" customWidth="1"/>
    <col min="6" max="6" width="21.6640625" style="75" bestFit="1" customWidth="1"/>
    <col min="7" max="9" width="2.33203125" style="75" customWidth="1"/>
    <col min="10" max="10" width="2.33203125" style="75" bestFit="1" customWidth="1"/>
    <col min="11" max="15" width="2.33203125" style="75" customWidth="1"/>
    <col min="16" max="16" width="2.33203125" style="67" customWidth="1"/>
    <col min="17" max="17" width="2.33203125" style="75" customWidth="1"/>
    <col min="18" max="18" width="2.33203125" style="68" customWidth="1"/>
    <col min="19" max="16384" width="11.5" style="75"/>
  </cols>
  <sheetData>
    <row r="1" spans="1:23" ht="15" customHeight="1" thickBot="1" x14ac:dyDescent="0.2">
      <c r="F1" s="1"/>
      <c r="G1" s="65" t="s">
        <v>46</v>
      </c>
      <c r="H1" s="65" t="s">
        <v>47</v>
      </c>
      <c r="I1" s="65" t="s">
        <v>120</v>
      </c>
      <c r="J1" s="65" t="s">
        <v>132</v>
      </c>
      <c r="K1" s="77" t="s">
        <v>48</v>
      </c>
      <c r="L1" s="68"/>
      <c r="M1" s="77" t="s">
        <v>119</v>
      </c>
      <c r="N1" s="68"/>
      <c r="O1" s="77" t="s">
        <v>49</v>
      </c>
      <c r="P1" s="69"/>
      <c r="Q1" s="77" t="s">
        <v>50</v>
      </c>
      <c r="R1" s="65" t="s">
        <v>154</v>
      </c>
    </row>
    <row r="2" spans="1:23" ht="15" customHeight="1" x14ac:dyDescent="0.15">
      <c r="A2" s="77" t="s">
        <v>51</v>
      </c>
      <c r="B2" s="78">
        <v>0.5</v>
      </c>
      <c r="C2" s="76" t="s">
        <v>52</v>
      </c>
      <c r="D2" s="79"/>
      <c r="F2" s="1"/>
      <c r="G2" s="80"/>
      <c r="H2" s="80"/>
      <c r="I2" s="80" t="s">
        <v>133</v>
      </c>
      <c r="J2" s="80" t="s">
        <v>133</v>
      </c>
      <c r="K2" s="80" t="s">
        <v>52</v>
      </c>
      <c r="L2" s="80" t="s">
        <v>53</v>
      </c>
      <c r="M2" s="80" t="s">
        <v>52</v>
      </c>
      <c r="N2" s="80" t="s">
        <v>53</v>
      </c>
      <c r="O2" s="80" t="s">
        <v>52</v>
      </c>
      <c r="P2" s="81" t="s">
        <v>53</v>
      </c>
      <c r="Q2" s="80"/>
      <c r="R2" s="82" t="s">
        <v>155</v>
      </c>
    </row>
    <row r="3" spans="1:23" ht="15" customHeight="1" thickBot="1" x14ac:dyDescent="0.2">
      <c r="A3" s="77" t="s">
        <v>54</v>
      </c>
      <c r="B3" s="83">
        <v>0.5</v>
      </c>
      <c r="C3" s="76" t="s">
        <v>53</v>
      </c>
      <c r="D3" s="79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30">
        <v>0</v>
      </c>
      <c r="R3" s="34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30">
        <v>0</v>
      </c>
      <c r="R4" s="103">
        <v>0</v>
      </c>
    </row>
    <row r="5" spans="1:23" ht="15" customHeight="1" x14ac:dyDescent="0.15">
      <c r="A5" s="77" t="s">
        <v>55</v>
      </c>
      <c r="B5" s="84">
        <v>0.5</v>
      </c>
      <c r="C5" s="76" t="s">
        <v>52</v>
      </c>
      <c r="D5" s="79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30">
        <v>0</v>
      </c>
      <c r="R5" s="103">
        <v>0</v>
      </c>
    </row>
    <row r="6" spans="1:23" ht="15" customHeight="1" thickBot="1" x14ac:dyDescent="0.2">
      <c r="A6" s="77"/>
      <c r="B6" s="85">
        <v>0.5</v>
      </c>
      <c r="C6" s="76" t="s">
        <v>53</v>
      </c>
      <c r="D6" s="79"/>
      <c r="F6" s="188" t="s">
        <v>192</v>
      </c>
      <c r="G6" s="75">
        <v>0</v>
      </c>
      <c r="H6" s="75">
        <v>0</v>
      </c>
      <c r="I6" s="75">
        <v>0</v>
      </c>
      <c r="J6" s="75">
        <v>0</v>
      </c>
      <c r="K6" s="75">
        <v>0</v>
      </c>
      <c r="L6" s="75">
        <v>0</v>
      </c>
      <c r="M6" s="75">
        <v>1</v>
      </c>
      <c r="N6" s="75">
        <v>0</v>
      </c>
      <c r="O6" s="75">
        <v>0</v>
      </c>
      <c r="P6" s="67">
        <v>0</v>
      </c>
      <c r="Q6" s="75">
        <v>0</v>
      </c>
      <c r="R6" s="68">
        <v>1</v>
      </c>
      <c r="S6"/>
      <c r="T6"/>
    </row>
    <row r="7" spans="1:23" ht="15" customHeight="1" thickBot="1" x14ac:dyDescent="0.2">
      <c r="F7" s="188" t="s">
        <v>193</v>
      </c>
      <c r="G7" s="75">
        <v>0</v>
      </c>
      <c r="H7" s="75">
        <v>0</v>
      </c>
      <c r="I7" s="75">
        <v>0</v>
      </c>
      <c r="J7" s="75">
        <v>0</v>
      </c>
      <c r="K7" s="75">
        <v>0</v>
      </c>
      <c r="L7" s="75">
        <v>0</v>
      </c>
      <c r="M7" s="75">
        <v>1</v>
      </c>
      <c r="N7" s="75">
        <v>0</v>
      </c>
      <c r="O7" s="75">
        <v>0</v>
      </c>
      <c r="P7" s="67">
        <v>0</v>
      </c>
      <c r="Q7" s="75">
        <v>0</v>
      </c>
      <c r="R7" s="68">
        <v>1</v>
      </c>
      <c r="S7"/>
      <c r="T7"/>
    </row>
    <row r="8" spans="1:23" ht="15" customHeight="1" x14ac:dyDescent="0.15">
      <c r="A8" s="77" t="s">
        <v>56</v>
      </c>
      <c r="B8" s="84">
        <v>0.46000186979961982</v>
      </c>
      <c r="C8" s="189" t="s">
        <v>192</v>
      </c>
      <c r="D8" s="79" t="s">
        <v>160</v>
      </c>
      <c r="F8" s="188" t="s">
        <v>194</v>
      </c>
      <c r="G8" s="75">
        <v>0</v>
      </c>
      <c r="H8" s="75">
        <v>0</v>
      </c>
      <c r="I8" s="75">
        <v>0</v>
      </c>
      <c r="J8" s="75">
        <v>0</v>
      </c>
      <c r="K8" s="75">
        <v>1</v>
      </c>
      <c r="L8" s="75">
        <v>0</v>
      </c>
      <c r="M8" s="75">
        <v>1</v>
      </c>
      <c r="N8" s="75">
        <v>0</v>
      </c>
      <c r="O8" s="75">
        <v>1</v>
      </c>
      <c r="P8" s="67">
        <v>0</v>
      </c>
      <c r="Q8" s="75">
        <v>0</v>
      </c>
      <c r="R8" s="68">
        <v>1</v>
      </c>
      <c r="S8"/>
      <c r="T8"/>
      <c r="W8"/>
    </row>
    <row r="9" spans="1:23" ht="15" customHeight="1" x14ac:dyDescent="0.15">
      <c r="A9" s="117" t="s">
        <v>168</v>
      </c>
      <c r="B9" s="86">
        <v>0.53999813020038012</v>
      </c>
      <c r="C9" s="189" t="s">
        <v>193</v>
      </c>
      <c r="D9" s="79" t="s">
        <v>160</v>
      </c>
      <c r="F9" s="188" t="s">
        <v>195</v>
      </c>
      <c r="G9" s="75">
        <v>0</v>
      </c>
      <c r="H9" s="75">
        <v>0</v>
      </c>
      <c r="I9" s="75">
        <v>0</v>
      </c>
      <c r="J9" s="75">
        <v>0</v>
      </c>
      <c r="K9" s="75">
        <v>1</v>
      </c>
      <c r="L9" s="75">
        <v>0</v>
      </c>
      <c r="M9" s="75">
        <v>1</v>
      </c>
      <c r="N9" s="75">
        <v>0</v>
      </c>
      <c r="O9" s="75">
        <v>1</v>
      </c>
      <c r="P9" s="67">
        <v>0</v>
      </c>
      <c r="Q9" s="75">
        <v>0</v>
      </c>
      <c r="R9" s="68">
        <v>1</v>
      </c>
      <c r="S9"/>
      <c r="T9"/>
      <c r="W9"/>
    </row>
    <row r="10" spans="1:23" ht="15" customHeight="1" x14ac:dyDescent="0.15">
      <c r="B10" s="86"/>
      <c r="C10" s="74"/>
      <c r="D10" s="79" t="s">
        <v>160</v>
      </c>
      <c r="F10" s="188" t="s">
        <v>196</v>
      </c>
      <c r="G10" s="75">
        <v>0</v>
      </c>
      <c r="H10" s="75">
        <v>0</v>
      </c>
      <c r="I10" s="75">
        <v>0</v>
      </c>
      <c r="J10" s="75">
        <v>0</v>
      </c>
      <c r="K10" s="75">
        <v>1</v>
      </c>
      <c r="L10" s="75">
        <v>0</v>
      </c>
      <c r="M10" s="75">
        <v>1</v>
      </c>
      <c r="N10" s="75">
        <v>0</v>
      </c>
      <c r="O10" s="75">
        <v>1</v>
      </c>
      <c r="P10" s="67">
        <v>0</v>
      </c>
      <c r="Q10" s="75">
        <v>0</v>
      </c>
      <c r="R10" s="68">
        <v>1</v>
      </c>
      <c r="S10"/>
      <c r="T10"/>
      <c r="W10"/>
    </row>
    <row r="11" spans="1:23" ht="15" customHeight="1" x14ac:dyDescent="0.15">
      <c r="A11" s="77"/>
      <c r="B11" s="86"/>
      <c r="C11" s="89"/>
      <c r="D11" s="79" t="s">
        <v>160</v>
      </c>
      <c r="F11" s="188" t="s">
        <v>197</v>
      </c>
      <c r="G11" s="75">
        <v>0</v>
      </c>
      <c r="H11" s="75">
        <v>0</v>
      </c>
      <c r="I11" s="75">
        <v>0</v>
      </c>
      <c r="J11" s="75">
        <v>0</v>
      </c>
      <c r="K11" s="75">
        <v>1</v>
      </c>
      <c r="L11" s="75">
        <v>0</v>
      </c>
      <c r="M11" s="75">
        <v>1</v>
      </c>
      <c r="N11" s="75">
        <v>0</v>
      </c>
      <c r="O11" s="75">
        <v>1</v>
      </c>
      <c r="P11" s="67">
        <v>0</v>
      </c>
      <c r="Q11" s="75">
        <v>0</v>
      </c>
      <c r="R11" s="68">
        <v>1</v>
      </c>
      <c r="S11"/>
      <c r="T11"/>
      <c r="W11"/>
    </row>
    <row r="12" spans="1:23" ht="15" customHeight="1" x14ac:dyDescent="0.15">
      <c r="B12" s="86"/>
      <c r="C12" s="90"/>
      <c r="D12" s="79" t="s">
        <v>160</v>
      </c>
      <c r="F12" s="188" t="s">
        <v>198</v>
      </c>
      <c r="G12" s="75">
        <v>0</v>
      </c>
      <c r="H12" s="75">
        <v>0</v>
      </c>
      <c r="I12" s="75">
        <v>0</v>
      </c>
      <c r="J12" s="75">
        <v>0</v>
      </c>
      <c r="K12" s="75">
        <v>1</v>
      </c>
      <c r="L12" s="75">
        <v>0</v>
      </c>
      <c r="M12" s="75">
        <v>1</v>
      </c>
      <c r="N12" s="75">
        <v>0</v>
      </c>
      <c r="O12" s="75">
        <v>1</v>
      </c>
      <c r="P12" s="67">
        <v>0</v>
      </c>
      <c r="Q12" s="75">
        <v>0</v>
      </c>
      <c r="R12" s="68">
        <v>1</v>
      </c>
      <c r="S12"/>
      <c r="T12"/>
      <c r="W12"/>
    </row>
    <row r="13" spans="1:23" ht="15" customHeight="1" x14ac:dyDescent="0.15">
      <c r="B13" s="86"/>
      <c r="C13" s="90"/>
      <c r="D13" s="79" t="s">
        <v>160</v>
      </c>
      <c r="F13" s="188" t="s">
        <v>199</v>
      </c>
      <c r="G13" s="75">
        <v>0</v>
      </c>
      <c r="H13" s="75">
        <v>0</v>
      </c>
      <c r="I13" s="75">
        <v>0</v>
      </c>
      <c r="J13" s="75">
        <v>0</v>
      </c>
      <c r="K13" s="75">
        <v>1</v>
      </c>
      <c r="L13" s="75">
        <v>0</v>
      </c>
      <c r="M13" s="75">
        <v>1</v>
      </c>
      <c r="N13" s="75">
        <v>0</v>
      </c>
      <c r="O13" s="75">
        <v>1</v>
      </c>
      <c r="P13" s="67">
        <v>0</v>
      </c>
      <c r="Q13" s="75">
        <v>0</v>
      </c>
      <c r="R13" s="68">
        <v>1</v>
      </c>
      <c r="S13"/>
      <c r="T13"/>
      <c r="W13"/>
    </row>
    <row r="14" spans="1:23" ht="15" customHeight="1" x14ac:dyDescent="0.15">
      <c r="B14" s="86"/>
      <c r="C14" s="74"/>
      <c r="D14" s="79" t="s">
        <v>160</v>
      </c>
      <c r="F14" s="188" t="s">
        <v>200</v>
      </c>
      <c r="G14" s="75">
        <v>0</v>
      </c>
      <c r="H14" s="75">
        <v>0</v>
      </c>
      <c r="I14" s="75">
        <v>0</v>
      </c>
      <c r="J14" s="75">
        <v>0</v>
      </c>
      <c r="K14" s="75">
        <v>1</v>
      </c>
      <c r="L14" s="75">
        <v>0</v>
      </c>
      <c r="M14" s="75">
        <v>1</v>
      </c>
      <c r="N14" s="75">
        <v>0</v>
      </c>
      <c r="O14" s="75">
        <v>1</v>
      </c>
      <c r="P14" s="67">
        <v>0</v>
      </c>
      <c r="Q14" s="75">
        <v>0</v>
      </c>
      <c r="R14" s="68">
        <v>1</v>
      </c>
      <c r="S14"/>
      <c r="T14"/>
      <c r="W14"/>
    </row>
    <row r="15" spans="1:23" ht="15" customHeight="1" x14ac:dyDescent="0.15">
      <c r="B15" s="86"/>
      <c r="C15" s="74"/>
      <c r="D15" s="79" t="s">
        <v>160</v>
      </c>
      <c r="F15" s="188" t="s">
        <v>201</v>
      </c>
      <c r="G15" s="75">
        <v>0</v>
      </c>
      <c r="H15" s="75">
        <v>0</v>
      </c>
      <c r="I15" s="75">
        <v>0</v>
      </c>
      <c r="J15" s="75">
        <v>0</v>
      </c>
      <c r="K15" s="75">
        <v>1</v>
      </c>
      <c r="L15" s="75">
        <v>0</v>
      </c>
      <c r="M15" s="75">
        <v>1</v>
      </c>
      <c r="N15" s="75">
        <v>0</v>
      </c>
      <c r="O15" s="75">
        <v>1</v>
      </c>
      <c r="P15" s="67">
        <v>0</v>
      </c>
      <c r="Q15" s="75">
        <v>0</v>
      </c>
      <c r="R15" s="68">
        <v>1</v>
      </c>
      <c r="S15"/>
      <c r="T15"/>
      <c r="W15"/>
    </row>
    <row r="16" spans="1:23" ht="15" customHeight="1" x14ac:dyDescent="0.15">
      <c r="B16" s="86"/>
      <c r="C16" s="74"/>
      <c r="D16" s="79" t="s">
        <v>160</v>
      </c>
      <c r="F16" s="188" t="s">
        <v>202</v>
      </c>
      <c r="G16" s="75">
        <v>0</v>
      </c>
      <c r="H16" s="75">
        <v>0</v>
      </c>
      <c r="I16" s="75">
        <v>0</v>
      </c>
      <c r="J16" s="75">
        <v>0</v>
      </c>
      <c r="K16" s="75">
        <v>1</v>
      </c>
      <c r="L16" s="75">
        <v>0</v>
      </c>
      <c r="M16" s="75">
        <v>1</v>
      </c>
      <c r="N16" s="75">
        <v>0</v>
      </c>
      <c r="O16" s="75">
        <v>1</v>
      </c>
      <c r="P16" s="67">
        <v>0</v>
      </c>
      <c r="Q16" s="75">
        <v>0</v>
      </c>
      <c r="R16" s="68">
        <v>1</v>
      </c>
      <c r="S16"/>
      <c r="T16"/>
    </row>
    <row r="17" spans="1:20" ht="15" customHeight="1" thickBot="1" x14ac:dyDescent="0.2">
      <c r="B17" s="85"/>
      <c r="C17" s="74"/>
      <c r="D17" s="79" t="s">
        <v>160</v>
      </c>
      <c r="F17" s="188" t="s">
        <v>203</v>
      </c>
      <c r="G17" s="75">
        <v>0</v>
      </c>
      <c r="H17" s="75">
        <v>0</v>
      </c>
      <c r="I17" s="75">
        <v>0</v>
      </c>
      <c r="J17" s="75">
        <v>0</v>
      </c>
      <c r="K17" s="75">
        <v>1</v>
      </c>
      <c r="L17" s="75">
        <v>0</v>
      </c>
      <c r="M17" s="75">
        <v>1</v>
      </c>
      <c r="N17" s="75">
        <v>0</v>
      </c>
      <c r="O17" s="75">
        <v>1</v>
      </c>
      <c r="P17" s="67">
        <v>0</v>
      </c>
      <c r="Q17" s="75">
        <v>0</v>
      </c>
      <c r="R17" s="68">
        <v>1</v>
      </c>
      <c r="S17"/>
      <c r="T17"/>
    </row>
    <row r="18" spans="1:20" ht="15" customHeight="1" thickBot="1" x14ac:dyDescent="0.2">
      <c r="B18" s="87"/>
      <c r="F18" s="188" t="s">
        <v>204</v>
      </c>
      <c r="G18" s="75">
        <v>0</v>
      </c>
      <c r="H18" s="75">
        <v>0</v>
      </c>
      <c r="I18" s="75">
        <v>0</v>
      </c>
      <c r="J18" s="75">
        <v>0</v>
      </c>
      <c r="K18" s="75">
        <v>1</v>
      </c>
      <c r="L18" s="75">
        <v>0</v>
      </c>
      <c r="M18" s="75">
        <v>1</v>
      </c>
      <c r="N18" s="75">
        <v>0</v>
      </c>
      <c r="O18" s="75">
        <v>1</v>
      </c>
      <c r="P18" s="67">
        <v>0</v>
      </c>
      <c r="Q18" s="75">
        <v>0</v>
      </c>
      <c r="R18" s="68">
        <v>1</v>
      </c>
      <c r="S18"/>
      <c r="T18"/>
    </row>
    <row r="19" spans="1:20" ht="15" customHeight="1" x14ac:dyDescent="0.15">
      <c r="A19" s="77" t="s">
        <v>57</v>
      </c>
      <c r="B19" s="84">
        <v>0.46000186979961982</v>
      </c>
      <c r="C19" s="190" t="s">
        <v>192</v>
      </c>
      <c r="D19" s="79" t="s">
        <v>160</v>
      </c>
      <c r="F19" s="188" t="s">
        <v>205</v>
      </c>
      <c r="G19" s="75">
        <v>0</v>
      </c>
      <c r="H19" s="75">
        <v>0</v>
      </c>
      <c r="I19" s="75">
        <v>0</v>
      </c>
      <c r="J19" s="75">
        <v>0</v>
      </c>
      <c r="K19" s="75">
        <v>1</v>
      </c>
      <c r="L19" s="75">
        <v>0</v>
      </c>
      <c r="M19" s="75">
        <v>1</v>
      </c>
      <c r="N19" s="75">
        <v>0</v>
      </c>
      <c r="O19" s="75">
        <v>1</v>
      </c>
      <c r="P19" s="67">
        <v>0</v>
      </c>
      <c r="Q19" s="75">
        <v>0</v>
      </c>
      <c r="R19" s="68">
        <v>1</v>
      </c>
      <c r="S19"/>
      <c r="T19"/>
    </row>
    <row r="20" spans="1:20" ht="15" customHeight="1" x14ac:dyDescent="0.15">
      <c r="A20" s="117" t="s">
        <v>168</v>
      </c>
      <c r="B20" s="86">
        <v>0.53999813020038012</v>
      </c>
      <c r="C20" s="190" t="s">
        <v>193</v>
      </c>
      <c r="D20" s="79" t="s">
        <v>160</v>
      </c>
      <c r="F20" s="188" t="s">
        <v>206</v>
      </c>
      <c r="G20" s="75">
        <v>0</v>
      </c>
      <c r="H20" s="75">
        <v>0</v>
      </c>
      <c r="I20" s="75">
        <v>0</v>
      </c>
      <c r="J20" s="75">
        <v>0</v>
      </c>
      <c r="K20" s="75">
        <v>1</v>
      </c>
      <c r="L20" s="75">
        <v>0</v>
      </c>
      <c r="M20" s="75">
        <v>1</v>
      </c>
      <c r="N20" s="75">
        <v>0</v>
      </c>
      <c r="O20" s="75">
        <v>1</v>
      </c>
      <c r="P20" s="67">
        <v>0</v>
      </c>
      <c r="Q20" s="75">
        <v>0</v>
      </c>
      <c r="R20" s="68">
        <v>1</v>
      </c>
      <c r="S20"/>
      <c r="T20"/>
    </row>
    <row r="21" spans="1:20" ht="15" customHeight="1" x14ac:dyDescent="0.15">
      <c r="B21" s="86"/>
      <c r="C21" s="74"/>
      <c r="D21" s="79" t="s">
        <v>160</v>
      </c>
      <c r="F21" s="188" t="s">
        <v>207</v>
      </c>
      <c r="G21" s="75">
        <v>0</v>
      </c>
      <c r="H21" s="75">
        <v>0</v>
      </c>
      <c r="I21" s="75">
        <v>0</v>
      </c>
      <c r="J21" s="75">
        <v>0</v>
      </c>
      <c r="K21" s="75">
        <v>1</v>
      </c>
      <c r="L21" s="75">
        <v>0</v>
      </c>
      <c r="M21" s="75">
        <v>1</v>
      </c>
      <c r="N21" s="75">
        <v>0</v>
      </c>
      <c r="O21" s="75">
        <v>1</v>
      </c>
      <c r="P21" s="67">
        <v>0</v>
      </c>
      <c r="Q21" s="75">
        <v>0</v>
      </c>
      <c r="R21" s="68">
        <v>1</v>
      </c>
      <c r="S21"/>
      <c r="T21"/>
    </row>
    <row r="22" spans="1:20" ht="15" customHeight="1" x14ac:dyDescent="0.15">
      <c r="A22" s="75"/>
      <c r="B22" s="86"/>
      <c r="C22" s="89"/>
      <c r="D22" s="79" t="s">
        <v>160</v>
      </c>
      <c r="F22" s="188" t="s">
        <v>208</v>
      </c>
      <c r="G22" s="75">
        <v>0</v>
      </c>
      <c r="H22" s="75">
        <v>0</v>
      </c>
      <c r="I22" s="75">
        <v>0</v>
      </c>
      <c r="J22" s="75">
        <v>0</v>
      </c>
      <c r="K22" s="75">
        <v>1</v>
      </c>
      <c r="L22" s="75">
        <v>0</v>
      </c>
      <c r="M22" s="75">
        <v>1</v>
      </c>
      <c r="N22" s="75">
        <v>0</v>
      </c>
      <c r="O22" s="75">
        <v>1</v>
      </c>
      <c r="P22" s="67">
        <v>0</v>
      </c>
      <c r="Q22" s="75">
        <v>0</v>
      </c>
      <c r="R22" s="68">
        <v>1</v>
      </c>
      <c r="S22"/>
      <c r="T22"/>
    </row>
    <row r="23" spans="1:20" ht="15" customHeight="1" x14ac:dyDescent="0.15">
      <c r="A23" s="75"/>
      <c r="B23" s="86"/>
      <c r="C23" s="90"/>
      <c r="D23" s="79" t="s">
        <v>160</v>
      </c>
      <c r="F23" s="188" t="s">
        <v>209</v>
      </c>
      <c r="G23" s="75">
        <v>0</v>
      </c>
      <c r="H23" s="75">
        <v>0</v>
      </c>
      <c r="I23" s="75">
        <v>0</v>
      </c>
      <c r="J23" s="75">
        <v>0</v>
      </c>
      <c r="K23" s="75">
        <v>1</v>
      </c>
      <c r="L23" s="75">
        <v>0</v>
      </c>
      <c r="M23" s="75">
        <v>1</v>
      </c>
      <c r="N23" s="75">
        <v>0</v>
      </c>
      <c r="O23" s="75">
        <v>1</v>
      </c>
      <c r="P23" s="67">
        <v>0</v>
      </c>
      <c r="Q23" s="75">
        <v>0</v>
      </c>
      <c r="R23" s="68">
        <v>1</v>
      </c>
      <c r="S23"/>
      <c r="T23"/>
    </row>
    <row r="24" spans="1:20" ht="15" customHeight="1" x14ac:dyDescent="0.15">
      <c r="A24" s="75"/>
      <c r="B24" s="86"/>
      <c r="C24" s="90"/>
      <c r="D24" s="79" t="s">
        <v>160</v>
      </c>
      <c r="F24" s="188" t="s">
        <v>210</v>
      </c>
      <c r="G24" s="75">
        <v>0</v>
      </c>
      <c r="H24" s="75">
        <v>0</v>
      </c>
      <c r="I24" s="75">
        <v>0</v>
      </c>
      <c r="J24" s="75">
        <v>0</v>
      </c>
      <c r="K24" s="75">
        <v>1</v>
      </c>
      <c r="L24" s="75">
        <v>0</v>
      </c>
      <c r="M24" s="75">
        <v>1</v>
      </c>
      <c r="N24" s="75">
        <v>0</v>
      </c>
      <c r="O24" s="75">
        <v>1</v>
      </c>
      <c r="P24" s="67">
        <v>0</v>
      </c>
      <c r="Q24" s="75">
        <v>0</v>
      </c>
      <c r="R24" s="68">
        <v>1</v>
      </c>
      <c r="S24"/>
      <c r="T24"/>
    </row>
    <row r="25" spans="1:20" ht="15" customHeight="1" x14ac:dyDescent="0.15">
      <c r="A25" s="75"/>
      <c r="B25" s="86"/>
      <c r="C25" s="74"/>
      <c r="D25" s="79" t="s">
        <v>160</v>
      </c>
      <c r="F25" s="188" t="s">
        <v>211</v>
      </c>
      <c r="G25" s="75">
        <v>0</v>
      </c>
      <c r="H25" s="75">
        <v>0</v>
      </c>
      <c r="I25" s="75">
        <v>0</v>
      </c>
      <c r="J25" s="75">
        <v>0</v>
      </c>
      <c r="K25" s="75">
        <v>1</v>
      </c>
      <c r="L25" s="75">
        <v>0</v>
      </c>
      <c r="M25" s="75">
        <v>1</v>
      </c>
      <c r="N25" s="75">
        <v>0</v>
      </c>
      <c r="O25" s="75">
        <v>1</v>
      </c>
      <c r="P25" s="67">
        <v>0</v>
      </c>
      <c r="Q25" s="75">
        <v>0</v>
      </c>
      <c r="R25" s="68">
        <v>1</v>
      </c>
      <c r="S25"/>
      <c r="T25"/>
    </row>
    <row r="26" spans="1:20" ht="15" customHeight="1" x14ac:dyDescent="0.15">
      <c r="B26" s="86"/>
      <c r="C26" s="74"/>
      <c r="D26" s="79" t="s">
        <v>160</v>
      </c>
      <c r="F26" s="188" t="s">
        <v>212</v>
      </c>
      <c r="G26" s="75">
        <v>0</v>
      </c>
      <c r="H26" s="75">
        <v>0</v>
      </c>
      <c r="I26" s="75">
        <v>0</v>
      </c>
      <c r="J26" s="75">
        <v>0</v>
      </c>
      <c r="K26" s="75">
        <v>1</v>
      </c>
      <c r="L26" s="75">
        <v>0</v>
      </c>
      <c r="M26" s="75">
        <v>1</v>
      </c>
      <c r="N26" s="75">
        <v>0</v>
      </c>
      <c r="O26" s="75">
        <v>1</v>
      </c>
      <c r="P26" s="67">
        <v>0</v>
      </c>
      <c r="Q26" s="75">
        <v>0</v>
      </c>
      <c r="R26" s="68">
        <v>1</v>
      </c>
      <c r="S26"/>
      <c r="T26"/>
    </row>
    <row r="27" spans="1:20" ht="15" customHeight="1" x14ac:dyDescent="0.15">
      <c r="B27" s="86"/>
      <c r="C27" s="74"/>
      <c r="D27" s="79" t="s">
        <v>160</v>
      </c>
      <c r="F27" s="188" t="s">
        <v>213</v>
      </c>
      <c r="G27" s="75">
        <v>0</v>
      </c>
      <c r="H27" s="75">
        <v>0</v>
      </c>
      <c r="I27" s="75">
        <v>0</v>
      </c>
      <c r="J27" s="75">
        <v>0</v>
      </c>
      <c r="K27" s="75">
        <v>1</v>
      </c>
      <c r="L27" s="75">
        <v>0</v>
      </c>
      <c r="M27" s="75">
        <v>1</v>
      </c>
      <c r="N27" s="75">
        <v>0</v>
      </c>
      <c r="O27" s="75">
        <v>1</v>
      </c>
      <c r="P27" s="67">
        <v>0</v>
      </c>
      <c r="Q27" s="75">
        <v>0</v>
      </c>
      <c r="R27" s="68">
        <v>1</v>
      </c>
      <c r="S27"/>
      <c r="T27"/>
    </row>
    <row r="28" spans="1:20" ht="15" customHeight="1" thickBot="1" x14ac:dyDescent="0.2">
      <c r="B28" s="85"/>
      <c r="C28" s="74"/>
      <c r="D28" s="79" t="s">
        <v>160</v>
      </c>
      <c r="F28" s="188" t="s">
        <v>214</v>
      </c>
      <c r="G28" s="75">
        <v>0</v>
      </c>
      <c r="H28" s="75">
        <v>0</v>
      </c>
      <c r="I28" s="75">
        <v>0</v>
      </c>
      <c r="J28" s="75">
        <v>0</v>
      </c>
      <c r="K28" s="75">
        <v>1</v>
      </c>
      <c r="L28" s="75">
        <v>0</v>
      </c>
      <c r="M28" s="75">
        <v>1</v>
      </c>
      <c r="N28" s="75">
        <v>0</v>
      </c>
      <c r="O28" s="75">
        <v>1</v>
      </c>
      <c r="P28" s="67">
        <v>0</v>
      </c>
      <c r="Q28" s="75">
        <v>0</v>
      </c>
      <c r="R28" s="68">
        <v>1</v>
      </c>
      <c r="S28"/>
      <c r="T28"/>
    </row>
    <row r="29" spans="1:20" ht="15" customHeight="1" x14ac:dyDescent="0.15">
      <c r="F29" s="188" t="s">
        <v>215</v>
      </c>
      <c r="G29" s="75">
        <v>0</v>
      </c>
      <c r="H29" s="75">
        <v>0</v>
      </c>
      <c r="I29" s="75">
        <v>0</v>
      </c>
      <c r="J29" s="75">
        <v>0</v>
      </c>
      <c r="K29" s="75">
        <v>1</v>
      </c>
      <c r="L29" s="75">
        <v>0</v>
      </c>
      <c r="M29" s="75">
        <v>1</v>
      </c>
      <c r="N29" s="75">
        <v>0</v>
      </c>
      <c r="O29" s="75">
        <v>1</v>
      </c>
      <c r="P29" s="67">
        <v>0</v>
      </c>
      <c r="Q29" s="75">
        <v>0</v>
      </c>
      <c r="R29" s="68">
        <v>1</v>
      </c>
      <c r="S29"/>
      <c r="T29"/>
    </row>
    <row r="30" spans="1:20" ht="15" customHeight="1" x14ac:dyDescent="0.15">
      <c r="F30" s="188" t="s">
        <v>216</v>
      </c>
      <c r="G30" s="75">
        <v>0</v>
      </c>
      <c r="H30" s="75">
        <v>0</v>
      </c>
      <c r="I30" s="75">
        <v>0</v>
      </c>
      <c r="J30" s="75">
        <v>0</v>
      </c>
      <c r="K30" s="75">
        <v>1</v>
      </c>
      <c r="L30" s="75">
        <v>0</v>
      </c>
      <c r="M30" s="75">
        <v>1</v>
      </c>
      <c r="N30" s="75">
        <v>0</v>
      </c>
      <c r="O30" s="75">
        <v>1</v>
      </c>
      <c r="P30" s="67">
        <v>0</v>
      </c>
      <c r="Q30" s="75">
        <v>0</v>
      </c>
      <c r="R30" s="68">
        <v>1</v>
      </c>
      <c r="S30"/>
      <c r="T30"/>
    </row>
    <row r="31" spans="1:20" ht="15" customHeight="1" x14ac:dyDescent="0.15">
      <c r="A31" s="118"/>
      <c r="B31" s="128" t="s">
        <v>17</v>
      </c>
      <c r="C31" s="128" t="s">
        <v>1</v>
      </c>
      <c r="D31" s="128" t="s">
        <v>161</v>
      </c>
      <c r="E31" s="129" t="s">
        <v>163</v>
      </c>
      <c r="F31" s="188" t="s">
        <v>217</v>
      </c>
      <c r="G31" s="75">
        <v>0</v>
      </c>
      <c r="H31" s="75">
        <v>0</v>
      </c>
      <c r="I31" s="75">
        <v>0</v>
      </c>
      <c r="J31" s="75">
        <v>0</v>
      </c>
      <c r="K31" s="75">
        <v>1</v>
      </c>
      <c r="L31" s="75">
        <v>0</v>
      </c>
      <c r="M31" s="75">
        <v>1</v>
      </c>
      <c r="N31" s="75">
        <v>0</v>
      </c>
      <c r="O31" s="75">
        <v>1</v>
      </c>
      <c r="P31" s="67">
        <v>0</v>
      </c>
      <c r="Q31" s="75">
        <v>0</v>
      </c>
      <c r="R31" s="68">
        <v>1</v>
      </c>
      <c r="S31"/>
      <c r="T31"/>
    </row>
    <row r="32" spans="1:20" ht="15" customHeight="1" x14ac:dyDescent="0.15">
      <c r="A32" s="191" t="s">
        <v>192</v>
      </c>
      <c r="B32" s="87">
        <v>14.760999999999999</v>
      </c>
      <c r="C32" s="87">
        <v>210</v>
      </c>
      <c r="D32" s="87">
        <v>3099.81</v>
      </c>
      <c r="E32" s="119">
        <v>0.46000186979961982</v>
      </c>
      <c r="F32" s="188" t="s">
        <v>218</v>
      </c>
      <c r="G32" s="75">
        <v>0</v>
      </c>
      <c r="H32" s="75">
        <v>0</v>
      </c>
      <c r="I32" s="75">
        <v>0</v>
      </c>
      <c r="J32" s="75">
        <v>0</v>
      </c>
      <c r="K32" s="75">
        <v>1</v>
      </c>
      <c r="L32" s="75">
        <v>0</v>
      </c>
      <c r="M32" s="75">
        <v>1</v>
      </c>
      <c r="N32" s="75">
        <v>0</v>
      </c>
      <c r="O32" s="75">
        <v>1</v>
      </c>
      <c r="P32" s="67">
        <v>0</v>
      </c>
      <c r="Q32" s="75">
        <v>0</v>
      </c>
      <c r="R32" s="68">
        <v>1</v>
      </c>
      <c r="S32"/>
      <c r="T32"/>
    </row>
    <row r="33" spans="1:20" ht="15" customHeight="1" x14ac:dyDescent="0.15">
      <c r="A33" s="191" t="s">
        <v>193</v>
      </c>
      <c r="B33" s="87">
        <v>17.327999999999999</v>
      </c>
      <c r="C33" s="87">
        <v>210</v>
      </c>
      <c r="D33" s="87">
        <v>3638.8799999999997</v>
      </c>
      <c r="E33" s="119">
        <v>0.53999813020038012</v>
      </c>
      <c r="F33" s="188" t="s">
        <v>219</v>
      </c>
      <c r="G33" s="75">
        <v>0</v>
      </c>
      <c r="H33" s="75">
        <v>0</v>
      </c>
      <c r="I33" s="75">
        <v>0</v>
      </c>
      <c r="J33" s="75">
        <v>0</v>
      </c>
      <c r="K33" s="75">
        <v>1</v>
      </c>
      <c r="L33" s="75">
        <v>0</v>
      </c>
      <c r="M33" s="75">
        <v>1</v>
      </c>
      <c r="N33" s="75">
        <v>0</v>
      </c>
      <c r="O33" s="75">
        <v>1</v>
      </c>
      <c r="P33" s="67">
        <v>0</v>
      </c>
      <c r="Q33" s="75">
        <v>0</v>
      </c>
      <c r="R33" s="68">
        <v>1</v>
      </c>
      <c r="S33"/>
      <c r="T33"/>
    </row>
    <row r="34" spans="1:20" ht="15" customHeight="1" x14ac:dyDescent="0.15">
      <c r="A34" s="120"/>
      <c r="B34" s="87"/>
      <c r="C34" s="87"/>
      <c r="D34" s="87"/>
      <c r="E34" s="119"/>
      <c r="F34" s="188" t="s">
        <v>220</v>
      </c>
      <c r="G34" s="75">
        <v>0</v>
      </c>
      <c r="H34" s="75">
        <v>0</v>
      </c>
      <c r="I34" s="75">
        <v>0</v>
      </c>
      <c r="J34" s="75">
        <v>0</v>
      </c>
      <c r="K34" s="75">
        <v>1</v>
      </c>
      <c r="L34" s="75">
        <v>0</v>
      </c>
      <c r="M34" s="75">
        <v>1</v>
      </c>
      <c r="N34" s="75">
        <v>0</v>
      </c>
      <c r="O34" s="75">
        <v>1</v>
      </c>
      <c r="P34" s="67">
        <v>0</v>
      </c>
      <c r="Q34" s="75">
        <v>0</v>
      </c>
      <c r="R34" s="68">
        <v>1</v>
      </c>
      <c r="S34"/>
      <c r="T34"/>
    </row>
    <row r="35" spans="1:20" ht="15" customHeight="1" x14ac:dyDescent="0.15">
      <c r="A35" s="121"/>
      <c r="B35" s="87"/>
      <c r="C35" s="87"/>
      <c r="D35" s="87"/>
      <c r="E35" s="119"/>
      <c r="F35" s="188" t="s">
        <v>221</v>
      </c>
      <c r="G35" s="75">
        <v>0</v>
      </c>
      <c r="H35" s="75">
        <v>0</v>
      </c>
      <c r="I35" s="75">
        <v>0</v>
      </c>
      <c r="J35" s="75">
        <v>0</v>
      </c>
      <c r="K35" s="75">
        <v>1</v>
      </c>
      <c r="L35" s="75">
        <v>0</v>
      </c>
      <c r="M35" s="75">
        <v>1</v>
      </c>
      <c r="N35" s="75">
        <v>0</v>
      </c>
      <c r="O35" s="75">
        <v>1</v>
      </c>
      <c r="P35" s="67">
        <v>0</v>
      </c>
      <c r="Q35" s="75">
        <v>0</v>
      </c>
      <c r="R35" s="68">
        <v>1</v>
      </c>
      <c r="S35"/>
      <c r="T35"/>
    </row>
    <row r="36" spans="1:20" ht="15" customHeight="1" x14ac:dyDescent="0.15">
      <c r="A36" s="122"/>
      <c r="B36" s="87"/>
      <c r="C36" s="87"/>
      <c r="D36" s="87"/>
      <c r="E36" s="119"/>
      <c r="F36" s="188" t="s">
        <v>222</v>
      </c>
      <c r="G36" s="75">
        <v>0</v>
      </c>
      <c r="H36" s="75">
        <v>0</v>
      </c>
      <c r="I36" s="75">
        <v>0</v>
      </c>
      <c r="J36" s="75">
        <v>0</v>
      </c>
      <c r="K36" s="75">
        <v>1</v>
      </c>
      <c r="L36" s="75">
        <v>0</v>
      </c>
      <c r="M36" s="75">
        <v>1</v>
      </c>
      <c r="N36" s="75">
        <v>0</v>
      </c>
      <c r="O36" s="75">
        <v>1</v>
      </c>
      <c r="P36" s="67">
        <v>0</v>
      </c>
      <c r="Q36" s="75">
        <v>0</v>
      </c>
      <c r="R36" s="68">
        <v>1</v>
      </c>
      <c r="S36"/>
      <c r="T36"/>
    </row>
    <row r="37" spans="1:20" ht="15" customHeight="1" x14ac:dyDescent="0.15">
      <c r="A37" s="122"/>
      <c r="B37" s="87"/>
      <c r="C37" s="87"/>
      <c r="D37" s="87"/>
      <c r="E37" s="119"/>
      <c r="F37" s="188" t="s">
        <v>223</v>
      </c>
      <c r="G37" s="75">
        <v>0</v>
      </c>
      <c r="H37" s="75">
        <v>0</v>
      </c>
      <c r="I37" s="75">
        <v>0</v>
      </c>
      <c r="J37" s="75">
        <v>0</v>
      </c>
      <c r="K37" s="75">
        <v>1</v>
      </c>
      <c r="L37" s="75">
        <v>0</v>
      </c>
      <c r="M37" s="75">
        <v>1</v>
      </c>
      <c r="N37" s="75">
        <v>0</v>
      </c>
      <c r="O37" s="75">
        <v>1</v>
      </c>
      <c r="P37" s="67">
        <v>0</v>
      </c>
      <c r="Q37" s="75">
        <v>0</v>
      </c>
      <c r="R37" s="68">
        <v>1</v>
      </c>
      <c r="S37"/>
      <c r="T37"/>
    </row>
    <row r="38" spans="1:20" ht="15" customHeight="1" x14ac:dyDescent="0.15">
      <c r="A38" s="123"/>
      <c r="B38" s="87"/>
      <c r="C38" s="87"/>
      <c r="D38" s="87"/>
      <c r="E38" s="119"/>
      <c r="F38" s="188" t="s">
        <v>224</v>
      </c>
      <c r="G38" s="75">
        <v>0</v>
      </c>
      <c r="H38" s="75">
        <v>0</v>
      </c>
      <c r="I38" s="75">
        <v>0</v>
      </c>
      <c r="J38" s="75">
        <v>0</v>
      </c>
      <c r="K38" s="75">
        <v>0</v>
      </c>
      <c r="L38" s="75">
        <v>1</v>
      </c>
      <c r="M38" s="75">
        <v>0</v>
      </c>
      <c r="N38" s="75">
        <v>1</v>
      </c>
      <c r="O38" s="75">
        <v>0</v>
      </c>
      <c r="P38" s="67">
        <v>1</v>
      </c>
      <c r="Q38" s="75">
        <v>0</v>
      </c>
      <c r="R38" s="68">
        <v>1</v>
      </c>
      <c r="S38"/>
      <c r="T38"/>
    </row>
    <row r="39" spans="1:20" ht="15" customHeight="1" x14ac:dyDescent="0.15">
      <c r="A39" s="123"/>
      <c r="B39" s="87"/>
      <c r="C39" s="87"/>
      <c r="D39" s="87"/>
      <c r="E39" s="119"/>
      <c r="F39" s="188" t="s">
        <v>225</v>
      </c>
      <c r="G39" s="75">
        <v>0</v>
      </c>
      <c r="H39" s="75">
        <v>0</v>
      </c>
      <c r="I39" s="75">
        <v>0</v>
      </c>
      <c r="J39" s="75">
        <v>0</v>
      </c>
      <c r="K39" s="75">
        <v>0</v>
      </c>
      <c r="L39" s="75">
        <v>1</v>
      </c>
      <c r="M39" s="75">
        <v>0</v>
      </c>
      <c r="N39" s="75">
        <v>1</v>
      </c>
      <c r="O39" s="75">
        <v>0</v>
      </c>
      <c r="P39" s="67">
        <v>1</v>
      </c>
      <c r="Q39" s="75">
        <v>0</v>
      </c>
      <c r="R39" s="68">
        <v>1</v>
      </c>
      <c r="S39"/>
      <c r="T39"/>
    </row>
    <row r="40" spans="1:20" ht="15" customHeight="1" x14ac:dyDescent="0.15">
      <c r="A40" s="123"/>
      <c r="B40" s="87"/>
      <c r="C40" s="87"/>
      <c r="D40" s="87"/>
      <c r="E40" s="119"/>
      <c r="F40" s="188" t="s">
        <v>226</v>
      </c>
      <c r="G40" s="75">
        <v>0</v>
      </c>
      <c r="H40" s="75">
        <v>0</v>
      </c>
      <c r="I40" s="75">
        <v>0</v>
      </c>
      <c r="J40" s="75">
        <v>0</v>
      </c>
      <c r="K40" s="75">
        <v>0</v>
      </c>
      <c r="L40" s="75">
        <v>1</v>
      </c>
      <c r="M40" s="75">
        <v>0</v>
      </c>
      <c r="N40" s="75">
        <v>0</v>
      </c>
      <c r="O40" s="75">
        <v>0</v>
      </c>
      <c r="P40" s="67">
        <v>0</v>
      </c>
      <c r="Q40" s="75">
        <v>0</v>
      </c>
      <c r="R40" s="68">
        <v>1</v>
      </c>
      <c r="S40"/>
      <c r="T40"/>
    </row>
    <row r="41" spans="1:20" ht="15" customHeight="1" thickBot="1" x14ac:dyDescent="0.2">
      <c r="A41" s="123"/>
      <c r="B41" s="87"/>
      <c r="C41" s="87"/>
      <c r="D41" s="88"/>
      <c r="E41" s="124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15" customHeight="1" x14ac:dyDescent="0.15">
      <c r="A42" s="125"/>
      <c r="B42" s="126"/>
      <c r="C42" s="126" t="s">
        <v>162</v>
      </c>
      <c r="D42" s="126">
        <f>SUM(D32:D41)</f>
        <v>6738.69</v>
      </c>
      <c r="E42" s="127">
        <f>SUM(E32:E41)</f>
        <v>1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15" customHeight="1" x14ac:dyDescent="0.15">
      <c r="A43" s="75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15" customHeight="1" x14ac:dyDescent="0.15">
      <c r="A44" s="75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1:20" ht="15" customHeight="1" x14ac:dyDescent="0.15">
      <c r="A45" s="75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20" ht="15" customHeight="1" x14ac:dyDescent="0.15">
      <c r="A46" s="75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20" ht="15" customHeight="1" x14ac:dyDescent="0.15">
      <c r="A47" s="75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0" ht="15" customHeight="1" x14ac:dyDescent="0.15">
      <c r="A48" s="75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6:18" s="75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75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75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75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75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75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75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75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75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75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75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75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75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75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75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75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75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75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75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75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75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75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75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75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75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75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75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75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75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75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75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75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75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75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75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75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75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75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75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75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75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75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75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75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75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75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75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75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75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75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75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75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75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75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75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75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75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75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75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75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75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75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75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75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75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75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75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75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75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75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75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75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75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75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75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75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75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75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75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75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75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75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75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75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75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75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75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75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75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75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75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75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75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75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75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75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75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75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75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75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75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75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75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75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75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75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75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75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75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75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75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75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75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75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75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75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75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75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75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75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75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75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Q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1.6640625" bestFit="1" customWidth="1"/>
    <col min="2" max="2" width="2.33203125" style="103" customWidth="1"/>
    <col min="3" max="5" width="7.83203125" style="103" customWidth="1"/>
    <col min="6" max="8" width="8.83203125" style="6"/>
    <col min="9" max="9" width="8.1640625" style="6" customWidth="1"/>
    <col min="10" max="10" width="21.6640625" style="6" customWidth="1"/>
    <col min="11" max="12" width="15.83203125" style="6" customWidth="1"/>
    <col min="13" max="13" width="16.5" style="6" customWidth="1"/>
    <col min="14" max="14" width="20.33203125" style="6" customWidth="1"/>
    <col min="15" max="15" width="13" style="6" customWidth="1"/>
    <col min="16" max="16" width="7.33203125" style="6" customWidth="1"/>
    <col min="17" max="17" width="8" style="6" customWidth="1"/>
    <col min="18" max="18" width="12.6640625" style="6" customWidth="1"/>
    <col min="19" max="19" width="11.33203125" style="6" customWidth="1"/>
    <col min="20" max="20" width="16.5" style="6" customWidth="1"/>
    <col min="21" max="21" width="17.83203125" style="6" customWidth="1"/>
    <col min="22" max="22" width="15" style="6" customWidth="1"/>
    <col min="23" max="23" width="9.83203125" style="6" customWidth="1"/>
    <col min="24" max="24" width="17.5" style="6" customWidth="1"/>
    <col min="25" max="25" width="10.33203125" style="6" customWidth="1"/>
    <col min="26" max="26" width="12.5" style="6" customWidth="1"/>
    <col min="27" max="27" width="9.83203125" style="6" customWidth="1"/>
    <col min="28" max="28" width="8.5" style="6" customWidth="1"/>
    <col min="29" max="29" width="14.83203125" style="6" customWidth="1"/>
    <col min="30" max="30" width="20.5" style="6" customWidth="1"/>
    <col min="31" max="31" width="11.5" style="6" customWidth="1"/>
    <col min="32" max="32" width="6.83203125" style="6" customWidth="1"/>
    <col min="33" max="33" width="19.5" style="6" customWidth="1"/>
    <col min="34" max="34" width="16.33203125" style="6" customWidth="1"/>
    <col min="35" max="35" width="8.83203125" style="6" customWidth="1"/>
    <col min="36" max="36" width="6.6640625" style="6" customWidth="1"/>
    <col min="37" max="37" width="14.33203125" style="6" customWidth="1"/>
    <col min="38" max="38" width="8.33203125" style="6" customWidth="1"/>
    <col min="39" max="39" width="9.1640625" customWidth="1"/>
    <col min="40" max="40" width="9.83203125" customWidth="1"/>
    <col min="41" max="41" width="7.6640625" customWidth="1"/>
    <col min="42" max="42" width="21.6640625" customWidth="1"/>
    <col min="43" max="43" width="6.5" customWidth="1"/>
    <col min="81" max="81" width="22.1640625" bestFit="1" customWidth="1"/>
  </cols>
  <sheetData>
    <row r="1" spans="1:43" x14ac:dyDescent="0.15">
      <c r="A1" s="4" t="s">
        <v>156</v>
      </c>
      <c r="B1" s="33" t="s">
        <v>157</v>
      </c>
      <c r="C1" s="33" t="s">
        <v>17</v>
      </c>
      <c r="D1" s="33" t="s">
        <v>158</v>
      </c>
      <c r="E1" s="33" t="s">
        <v>159</v>
      </c>
      <c r="F1" t="s">
        <v>38</v>
      </c>
      <c r="G1" t="s">
        <v>40</v>
      </c>
      <c r="H1" t="s">
        <v>41</v>
      </c>
      <c r="I1" s="193" t="s">
        <v>192</v>
      </c>
      <c r="J1" s="193" t="s">
        <v>193</v>
      </c>
      <c r="K1" s="193" t="s">
        <v>194</v>
      </c>
      <c r="L1" s="193" t="s">
        <v>195</v>
      </c>
      <c r="M1" s="193" t="s">
        <v>196</v>
      </c>
      <c r="N1" s="193" t="s">
        <v>197</v>
      </c>
      <c r="O1" s="193" t="s">
        <v>198</v>
      </c>
      <c r="P1" s="193" t="s">
        <v>199</v>
      </c>
      <c r="Q1" s="193" t="s">
        <v>200</v>
      </c>
      <c r="R1" s="193" t="s">
        <v>201</v>
      </c>
      <c r="S1" s="193" t="s">
        <v>202</v>
      </c>
      <c r="T1" s="193" t="s">
        <v>203</v>
      </c>
      <c r="U1" s="193" t="s">
        <v>204</v>
      </c>
      <c r="V1" s="193" t="s">
        <v>205</v>
      </c>
      <c r="W1" s="193" t="s">
        <v>206</v>
      </c>
      <c r="X1" s="193" t="s">
        <v>207</v>
      </c>
      <c r="Y1" s="193" t="s">
        <v>208</v>
      </c>
      <c r="Z1" s="193" t="s">
        <v>209</v>
      </c>
      <c r="AA1" s="193" t="s">
        <v>210</v>
      </c>
      <c r="AB1" s="193" t="s">
        <v>211</v>
      </c>
      <c r="AC1" s="193" t="s">
        <v>212</v>
      </c>
      <c r="AD1" s="193" t="s">
        <v>213</v>
      </c>
      <c r="AE1" s="193" t="s">
        <v>214</v>
      </c>
      <c r="AF1" s="193" t="s">
        <v>215</v>
      </c>
      <c r="AG1" s="193" t="s">
        <v>216</v>
      </c>
      <c r="AH1" s="193" t="s">
        <v>217</v>
      </c>
      <c r="AI1" s="193" t="s">
        <v>218</v>
      </c>
      <c r="AJ1" s="193" t="s">
        <v>219</v>
      </c>
      <c r="AK1" s="193" t="s">
        <v>220</v>
      </c>
      <c r="AL1" s="193" t="s">
        <v>221</v>
      </c>
      <c r="AM1" s="193" t="s">
        <v>222</v>
      </c>
      <c r="AN1" s="193" t="s">
        <v>223</v>
      </c>
      <c r="AO1" s="193" t="s">
        <v>224</v>
      </c>
      <c r="AP1" s="193" t="s">
        <v>225</v>
      </c>
      <c r="AQ1" s="193" t="s">
        <v>226</v>
      </c>
    </row>
    <row r="2" spans="1:43" x14ac:dyDescent="0.15">
      <c r="A2" t="s">
        <v>38</v>
      </c>
      <c r="B2" s="103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43" x14ac:dyDescent="0.15">
      <c r="A3" t="s">
        <v>40</v>
      </c>
      <c r="B3" s="103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43" x14ac:dyDescent="0.15">
      <c r="A4" t="s">
        <v>41</v>
      </c>
      <c r="B4" s="103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43" x14ac:dyDescent="0.15">
      <c r="A5" s="192" t="s">
        <v>192</v>
      </c>
      <c r="B5" s="103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43" x14ac:dyDescent="0.15">
      <c r="A6" s="192" t="s">
        <v>193</v>
      </c>
      <c r="B6" s="103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43" x14ac:dyDescent="0.15">
      <c r="A7" s="192" t="s">
        <v>194</v>
      </c>
      <c r="B7" s="103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43" x14ac:dyDescent="0.15">
      <c r="A8" s="192" t="s">
        <v>195</v>
      </c>
      <c r="B8" s="103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43" x14ac:dyDescent="0.15">
      <c r="A9" s="192" t="s">
        <v>196</v>
      </c>
      <c r="B9" s="103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43" x14ac:dyDescent="0.15">
      <c r="A10" s="192" t="s">
        <v>197</v>
      </c>
      <c r="B10" s="103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43" x14ac:dyDescent="0.15">
      <c r="A11" s="192" t="s">
        <v>198</v>
      </c>
      <c r="B11" s="103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43" x14ac:dyDescent="0.15">
      <c r="A12" s="192" t="s">
        <v>199</v>
      </c>
      <c r="B12" s="103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43" x14ac:dyDescent="0.15">
      <c r="A13" s="192" t="s">
        <v>200</v>
      </c>
      <c r="B13" s="103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43" x14ac:dyDescent="0.15">
      <c r="A14" s="192" t="s">
        <v>201</v>
      </c>
      <c r="B14" s="103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43" x14ac:dyDescent="0.15">
      <c r="A15" s="192" t="s">
        <v>202</v>
      </c>
      <c r="B15" s="103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43" x14ac:dyDescent="0.15">
      <c r="A16" s="192" t="s">
        <v>203</v>
      </c>
      <c r="B16" s="103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192" t="s">
        <v>204</v>
      </c>
      <c r="B17" s="103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192" t="s">
        <v>205</v>
      </c>
      <c r="B18" s="103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192" t="s">
        <v>206</v>
      </c>
      <c r="B19" s="103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192" t="s">
        <v>207</v>
      </c>
      <c r="B20" s="103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192" t="s">
        <v>208</v>
      </c>
      <c r="B21" s="103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192" t="s">
        <v>209</v>
      </c>
      <c r="B22" s="103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192" t="s">
        <v>210</v>
      </c>
      <c r="B23" s="103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192" t="s">
        <v>211</v>
      </c>
      <c r="B24" s="103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192" t="s">
        <v>212</v>
      </c>
      <c r="B25" s="103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192" t="s">
        <v>213</v>
      </c>
      <c r="B26" s="103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192" t="s">
        <v>214</v>
      </c>
      <c r="B27" s="103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192" t="s">
        <v>215</v>
      </c>
      <c r="B28" s="103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192" t="s">
        <v>216</v>
      </c>
      <c r="B29" s="103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192" t="s">
        <v>217</v>
      </c>
      <c r="B30" s="103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192" t="s">
        <v>218</v>
      </c>
      <c r="B31" s="103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A32" s="192" t="s">
        <v>219</v>
      </c>
      <c r="B32" s="103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5" customHeight="1" x14ac:dyDescent="0.15">
      <c r="A33" s="192" t="s">
        <v>220</v>
      </c>
      <c r="B33" s="103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5" customHeight="1" x14ac:dyDescent="0.15">
      <c r="A34" s="192" t="s">
        <v>221</v>
      </c>
      <c r="B34" s="103">
        <v>0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5" customHeight="1" x14ac:dyDescent="0.15">
      <c r="A35" s="192" t="s">
        <v>222</v>
      </c>
      <c r="B35" s="103"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ht="15" customHeight="1" x14ac:dyDescent="0.15">
      <c r="A36" s="192" t="s">
        <v>223</v>
      </c>
      <c r="B36" s="103">
        <v>0</v>
      </c>
      <c r="C36"/>
      <c r="D36"/>
    </row>
    <row r="37" spans="1:38" ht="15" customHeight="1" x14ac:dyDescent="0.15">
      <c r="A37" s="192" t="s">
        <v>224</v>
      </c>
      <c r="B37" s="103">
        <v>0</v>
      </c>
      <c r="C37"/>
      <c r="D37"/>
    </row>
    <row r="38" spans="1:38" ht="15" customHeight="1" x14ac:dyDescent="0.15">
      <c r="A38" s="192" t="s">
        <v>225</v>
      </c>
      <c r="B38" s="103">
        <v>0</v>
      </c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5" customHeight="1" x14ac:dyDescent="0.15">
      <c r="A39" s="192" t="s">
        <v>226</v>
      </c>
      <c r="B39" s="103">
        <v>0</v>
      </c>
      <c r="C39"/>
      <c r="D39"/>
    </row>
    <row r="40" spans="1:38" ht="15" customHeight="1" x14ac:dyDescent="0.15">
      <c r="B40"/>
      <c r="C40"/>
      <c r="D40"/>
    </row>
    <row r="41" spans="1:38" ht="15" customHeight="1" x14ac:dyDescent="0.15">
      <c r="B41"/>
      <c r="C41"/>
      <c r="D41"/>
    </row>
    <row r="42" spans="1:38" ht="15" customHeight="1" x14ac:dyDescent="0.15"/>
    <row r="43" spans="1:38" ht="15" customHeight="1" x14ac:dyDescent="0.15"/>
    <row r="44" spans="1:38" ht="15" customHeight="1" x14ac:dyDescent="0.15"/>
    <row r="45" spans="1:38" ht="15" customHeight="1" x14ac:dyDescent="0.15"/>
    <row r="46" spans="1:38" ht="15" customHeight="1" x14ac:dyDescent="0.15"/>
    <row r="47" spans="1:38" ht="15" customHeight="1" x14ac:dyDescent="0.15"/>
    <row r="48" spans="1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2022-10-23T22:48:14Z</dcterms:modified>
</cp:coreProperties>
</file>