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Pacific/Pacific_ECOTRAN_K-path_versions/"/>
    </mc:Choice>
  </mc:AlternateContent>
  <xr:revisionPtr revIDLastSave="0" documentId="13_ncr:1_{C53841B0-F3D0-DB43-99F0-A669A72D39BB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Main!$C$2:$N$43</definedName>
    <definedName name="matDetritus">Detritus!$C$2:$F$43</definedName>
    <definedName name="matDiet">Diets!$B$2:$AK$41</definedName>
    <definedName name="matDiscards">Discards!$C$2:$E$40</definedName>
    <definedName name="matFishery">Fishing!$C$2:$E$40</definedName>
    <definedName name="matFishing">Fishing!#REF!</definedName>
    <definedName name="matMort">Mortalities!$A$1:$AS$40</definedName>
    <definedName name="matOut">MainOutputs!$A$2:$I$43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5" i="78" l="1"/>
  <c r="D45" i="78"/>
  <c r="E45" i="78"/>
  <c r="F45" i="78"/>
  <c r="G45" i="78"/>
  <c r="H45" i="78"/>
  <c r="I45" i="78"/>
  <c r="J45" i="78"/>
  <c r="K45" i="78"/>
  <c r="L45" i="78"/>
  <c r="M45" i="78"/>
  <c r="N45" i="78"/>
  <c r="O45" i="78"/>
  <c r="P45" i="78"/>
  <c r="Q45" i="78"/>
  <c r="R45" i="78"/>
  <c r="S45" i="78"/>
  <c r="T45" i="78"/>
  <c r="U45" i="78"/>
  <c r="V45" i="78"/>
  <c r="W45" i="78"/>
  <c r="X45" i="78"/>
  <c r="Y45" i="78"/>
  <c r="Z45" i="78"/>
  <c r="AA45" i="78"/>
  <c r="AB45" i="78"/>
  <c r="AC45" i="78"/>
  <c r="AD45" i="78"/>
  <c r="AE45" i="78"/>
  <c r="AF45" i="78"/>
  <c r="AG45" i="78"/>
  <c r="AH45" i="78"/>
  <c r="AI45" i="78"/>
  <c r="AJ45" i="78"/>
  <c r="AK45" i="78"/>
  <c r="AL45" i="78"/>
  <c r="AM45" i="78"/>
  <c r="AN45" i="78"/>
  <c r="B45" i="78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<sst xmlns="http://schemas.openxmlformats.org/spreadsheetml/2006/main" count="1152" uniqueCount="244">
  <si>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</si>
  <si>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</si>
  <si>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</si>
  <si>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</si>
  <si>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</si>
  <si>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</si>
  <si>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</si>
  <si>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</si>
  <si>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</si>
  <si>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</si>
  <si>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</si>
  <si>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</si>
  <si>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</si>
  <si>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</si>
  <si>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</si>
  <si>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</si>
  <si>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</si>
  <si>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</si>
  <si>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</si>
  <si>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</si>
  <si>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</si>
  <si>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</si>
  <si>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</si>
  <si>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</si>
  <si>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</si>
  <si>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</si>
  <si>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</si>
  <si>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</si>
  <si>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</si>
  <si>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</si>
  <si>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</si>
  <si>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</si>
  <si>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</si>
  <si>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</si>
  <si>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</si>
  <si>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</si>
  <si>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</si>
  <si>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</si>
  <si>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</si>
  <si>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</si>
  <si>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</si>
  <si>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</si>
  <si>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</si>
  <si>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</si>
  <si>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</si>
  <si>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</si>
  <si>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</si>
  <si>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</si>
  <si>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</si>
  <si>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</si>
  <si>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</si>
  <si>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</si>
  <si>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</si>
  <si>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</si>
  <si>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</si>
  <si>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</si>
  <si>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</si>
  <si>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</si>
  <si>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</si>
  <si>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</si>
  <si>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</si>
  <si>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</si>
  <si>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</si>
  <si>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</si>
  <si>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</si>
  <si>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</si>
  <si>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</si>
  <si>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</si>
  <si>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</si>
  <si>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</si>
  <si>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</si>
  <si>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</si>
  <si>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</si>
  <si>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</si>
  <si>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</si>
  <si>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</si>
  <si>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</si>
  <si>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</si>
  <si>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</si>
  <si>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</si>
  <si>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</si>
  <si>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</si>
  <si>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</si>
  <si>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</si>
  <si>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</si>
  <si>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</si>
  <si>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</si>
  <si>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</si>
  <si>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</si>
  <si>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</si>
  <si>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</si>
  <si>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</si>
  <si>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</si>
  <si>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</si>
  <si>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</si>
  <si>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</si>
  <si>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</si>
  <si>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</si>
  <si>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</si>
  <si>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</si>
  <si>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</si>
  <si>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</si>
  <si>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</si>
  <si>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</si>
  <si>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</si>
  <si>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</si>
  <si>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</si>
  <si>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</si>
  <si>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</si>
  <si>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</si>
  <si>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</si>
  <si>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</si>
  <si>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</si>
  <si>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</si>
  <si>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</si>
  <si>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</si>
  <si>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</si>
  <si>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</si>
  <si>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</si>
  <si>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</si>
  <si>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</si>
  <si>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</si>
  <si>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</si>
  <si>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</si>
  <si>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</si>
  <si>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</si>
  <si>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</si>
  <si>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</si>
  <si>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</si>
  <si>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</si>
  <si>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</si>
  <si>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</si>
  <si>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</si>
  <si>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</si>
  <si>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</si>
  <si>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</si>
  <si>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</si>
  <si>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</si>
  <si>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</si>
  <si>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</si>
  <si>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</si>
  <si>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</si>
  <si>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</si>
  <si>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</si>
  <si>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</si>
  <si>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</si>
  <si>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</si>
  <si>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</si>
  <si>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</si>
  <si>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</si>
  <si>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</si>
  <si>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</si>
  <si>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</si>
  <si>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</si>
  <si>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</si>
  <si>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</si>
  <si>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</si>
  <si>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</si>
  <si>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</si>
  <si>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</si>
  <si>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</si>
  <si>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</si>
  <si>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</si>
  <si>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</si>
  <si>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</si>
  <si>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</si>
  <si>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</si>
  <si>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</si>
  <si>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</si>
  <si>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</si>
  <si>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</si>
  <si>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</si>
  <si>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</si>
  <si>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</si>
  <si>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</si>
  <si>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</si>
  <si>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</si>
  <si>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</si>
  <si>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</si>
  <si>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</si>
  <si>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</si>
  <si>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</si>
  <si>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</si>
  <si>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</si>
  <si>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</si>
  <si>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Jalisco and Colima Coast</t>
  </si>
  <si>
    <t>Mexico</t>
  </si>
  <si>
    <t>BOX(-105.01667 18.91667,-104.11667 19.35)</t>
  </si>
  <si>
    <t>continental shelf</t>
  </si>
  <si>
    <t>WetWeight</t>
  </si>
  <si>
    <t>; 05/07/2004 10:29:31 a.m.; 08/07/2004 11:50:41 a.m.; 12/07/2004 11:27:28 a.m.; 12/07/2004 11:35:52 a.m.; 13/07/2004 10:38:44 a.m.; 10/08/2004 07:15:44 p.m.; 10/08/2004 07:29:56 p.m.; 06/09/2004 12:37:19 p.m.; 19/10/2004 07:04:36 p.m.; 23/07/2006 01:51:07 p.m.; 8/30/2006 1:54:10 PM</t>
  </si>
  <si>
    <t xml:space="preserve">Galván Piña V.H.(2005). Impacto de la pesca en la estructura, función y productividad del ecosistema de la Plataforma Continental de las costas de Jalisco y Colima, México </t>
  </si>
  <si>
    <t>Mamíferos marin</t>
  </si>
  <si>
    <t>Escómbridos</t>
  </si>
  <si>
    <t>Picudos</t>
  </si>
  <si>
    <t>Tiburones</t>
  </si>
  <si>
    <t>Sierra</t>
  </si>
  <si>
    <t>Anguilas y more</t>
  </si>
  <si>
    <t>Synodontidos</t>
  </si>
  <si>
    <t>Carángidos</t>
  </si>
  <si>
    <t>Dorado</t>
  </si>
  <si>
    <t>Aves marinas</t>
  </si>
  <si>
    <t>Adultos Lutjanu</t>
  </si>
  <si>
    <t>Juveniles Lutja</t>
  </si>
  <si>
    <t>Tortugas marina</t>
  </si>
  <si>
    <t>Serranidos</t>
  </si>
  <si>
    <t>Otros peces</t>
  </si>
  <si>
    <t>Sciánidos</t>
  </si>
  <si>
    <t>Gasterosteidos</t>
  </si>
  <si>
    <t>Haemúlidos</t>
  </si>
  <si>
    <t>Tetraodóntidos</t>
  </si>
  <si>
    <t>Sardinas</t>
  </si>
  <si>
    <t>Gerreidos</t>
  </si>
  <si>
    <t>Ophidiidos</t>
  </si>
  <si>
    <t>Rayas</t>
  </si>
  <si>
    <t>Pleuronéctidos</t>
  </si>
  <si>
    <t>Pulpo</t>
  </si>
  <si>
    <t>Otros lutjánido</t>
  </si>
  <si>
    <t>Otros crustáceo</t>
  </si>
  <si>
    <t>Peneidos</t>
  </si>
  <si>
    <t>Estomatópodos</t>
  </si>
  <si>
    <t>Moluscos</t>
  </si>
  <si>
    <t>Otros macroinve</t>
  </si>
  <si>
    <t>Equinodermos</t>
  </si>
  <si>
    <t>Zooplancton</t>
  </si>
  <si>
    <t>Infauna</t>
  </si>
  <si>
    <t>Braquiuros</t>
  </si>
  <si>
    <t>Fitoplancton</t>
  </si>
  <si>
    <t>Peces muertos</t>
  </si>
  <si>
    <t>Detritus</t>
  </si>
  <si>
    <t>detritus_TerminalBenthic</t>
  </si>
  <si>
    <t>Redes agalleras</t>
  </si>
  <si>
    <t>Buceo comercial</t>
  </si>
  <si>
    <t>Camaronera</t>
  </si>
  <si>
    <t>Import</t>
  </si>
  <si>
    <t>export</t>
  </si>
  <si>
    <t>sum</t>
  </si>
  <si>
    <t>TOTAL</t>
  </si>
  <si>
    <t>sum--&gt;&gt;</t>
  </si>
  <si>
    <t>&lt;&lt;--corrected detritus assignment</t>
  </si>
  <si>
    <t>F Redes agalleras</t>
  </si>
  <si>
    <t>F Buceo comercial</t>
  </si>
  <si>
    <t>F Camaronera</t>
  </si>
  <si>
    <t>corrected discard detritus assignments made by my code, then it ran fine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</si>
</sst>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6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FF1B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FFD7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13" fillId="0" borderId="0" xfId="0" applyNumberFormat="1" applyFont="1"/>
    <xf numFmtId="49" fontId="13" fillId="0" borderId="28" xfId="0" applyNumberFormat="1" applyFont="1" applyBorder="1"/>
    <xf numFmtId="0" fontId="8" fillId="89" borderId="0" xfId="0" applyFont="1" applyFill="1" applyAlignment="1">
      <alignment horizontal="center"/>
    </xf>
    <xf numFmtId="0" fontId="13" fillId="0" borderId="0" xfId="0" applyFont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43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5" t="s">
        <v>171</v>
      </c>
      <c r="C53" s="116">
        <v>307</v>
      </c>
      <c r="D53" s="116"/>
    </row>
    <row r="54" spans="2:4" x14ac:dyDescent="0.15">
      <c r="B54" s="185" t="s">
        <v>172</v>
      </c>
      <c r="C54" s="185" t="s">
        <v>185</v>
      </c>
      <c r="D54" s="116"/>
    </row>
    <row r="55" spans="2:4" x14ac:dyDescent="0.15">
      <c r="B55" s="185" t="s">
        <v>173</v>
      </c>
      <c r="C55" s="185" t="s">
        <v>186</v>
      </c>
      <c r="D55" s="116"/>
    </row>
    <row r="56" spans="2:4" x14ac:dyDescent="0.15">
      <c r="B56" s="185" t="s">
        <v>174</v>
      </c>
      <c r="C56" s="116">
        <v>700</v>
      </c>
      <c r="D56" s="116"/>
    </row>
    <row r="57" spans="2:4" x14ac:dyDescent="0.15">
      <c r="B57" s="185" t="s">
        <v>175</v>
      </c>
      <c r="C57" s="185" t="s">
        <v>187</v>
      </c>
      <c r="D57" s="116"/>
    </row>
    <row r="58" spans="2:4" x14ac:dyDescent="0.15">
      <c r="B58" s="185" t="s">
        <v>176</v>
      </c>
      <c r="C58" s="185" t="s">
        <v>188</v>
      </c>
      <c r="D58" s="116"/>
    </row>
    <row r="59" spans="2:4" x14ac:dyDescent="0.15">
      <c r="B59" s="185" t="s">
        <v>177</v>
      </c>
      <c r="C59" s="185" t="s">
        <v>189</v>
      </c>
      <c r="D59" s="116"/>
    </row>
    <row r="60" spans="2:4" x14ac:dyDescent="0.15">
      <c r="B60" s="185" t="s">
        <v>178</v>
      </c>
      <c r="C60" s="185" t="s">
        <v>190</v>
      </c>
      <c r="D60" s="116"/>
    </row>
    <row r="61" spans="2:4" x14ac:dyDescent="0.15">
      <c r="B61" s="185" t="s">
        <v>179</v>
      </c>
      <c r="C61" s="116">
        <v>38</v>
      </c>
      <c r="D61" s="116"/>
    </row>
    <row r="62" spans="2:4" x14ac:dyDescent="0.15">
      <c r="B62" s="185" t="s">
        <v>180</v>
      </c>
      <c r="C62" s="116">
        <v>3</v>
      </c>
      <c r="D62" s="116"/>
    </row>
    <row r="63" spans="2:4" x14ac:dyDescent="0.15">
      <c r="B63" s="185" t="s">
        <v>181</v>
      </c>
      <c r="C63" s="116">
        <v>1995</v>
      </c>
      <c r="D63" s="116"/>
    </row>
    <row r="64" spans="2:4" x14ac:dyDescent="0.15">
      <c r="B64" s="185" t="s">
        <v>182</v>
      </c>
      <c r="C64" s="116">
        <v>1</v>
      </c>
      <c r="D64" s="116"/>
    </row>
    <row r="65" spans="2:4" x14ac:dyDescent="0.15">
      <c r="B65" s="185" t="s">
        <v>183</v>
      </c>
      <c r="C65" s="185" t="s">
        <v>191</v>
      </c>
      <c r="D65" s="116"/>
    </row>
    <row r="66" spans="2:4" x14ac:dyDescent="0.15">
      <c r="B66" s="185" t="s">
        <v>184</v>
      </c>
      <c r="D66" s="116"/>
    </row>
    <row r="67" spans="2:4" x14ac:dyDescent="0.15">
      <c r="B67" s="116"/>
      <c r="C67" s="116"/>
      <c r="D67" s="116"/>
    </row>
    <row r="68" spans="2:4" x14ac:dyDescent="0.15">
      <c r="B68" s="116"/>
      <c r="C68" s="116"/>
      <c r="D68" s="11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1" activePane="bottomLeft" state="frozenSplit"/>
      <selection activeCell="E1" sqref="E1"/>
      <selection pane="bottomLeft" activeCell="E37" sqref="E37"/>
    </sheetView>
  </sheetViews>
  <sheetFormatPr baseColWidth="10" defaultColWidth="8.83203125" defaultRowHeight="15" customHeight="1" x14ac:dyDescent="0.15"/>
  <cols>
    <col min="1" max="1" width="22.5" style="85" customWidth="1"/>
    <col min="2" max="3" width="3.33203125" style="85" customWidth="1"/>
    <col min="4" max="4" width="14.33203125" style="85" customWidth="1"/>
    <col min="5" max="5" width="21.6640625" style="85" bestFit="1" customWidth="1"/>
    <col min="6" max="6" width="2.33203125" style="85" bestFit="1" customWidth="1"/>
    <col min="7" max="7" width="11.83203125" style="85" bestFit="1" customWidth="1"/>
    <col min="8" max="8" width="11.83203125" style="85" customWidth="1"/>
    <col min="9" max="9" width="10.83203125" style="85" customWidth="1"/>
    <col min="10" max="11" width="12.83203125" style="85" customWidth="1"/>
    <col min="12" max="14" width="7.83203125" style="85" customWidth="1"/>
    <col min="16" max="25" width="8.83203125" style="8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5"/>
  </cols>
  <sheetData>
    <row r="1" spans="1:46" s="102" customFormat="1" ht="15" customHeight="1" x14ac:dyDescent="0.15">
      <c r="A1" s="81" t="s">
        <v>18</v>
      </c>
      <c r="C1" s="82" t="s">
        <v>8</v>
      </c>
      <c r="D1" s="81" t="s">
        <v>23</v>
      </c>
      <c r="E1" s="81" t="s">
        <v>0</v>
      </c>
      <c r="F1" s="81" t="s">
        <v>7</v>
      </c>
      <c r="G1" s="83" t="s">
        <v>13</v>
      </c>
      <c r="H1" s="81" t="s">
        <v>1</v>
      </c>
      <c r="I1" s="81" t="s">
        <v>2</v>
      </c>
      <c r="J1" s="81" t="s">
        <v>14</v>
      </c>
      <c r="K1" s="81" t="s">
        <v>3</v>
      </c>
      <c r="L1" s="81" t="s">
        <v>4</v>
      </c>
      <c r="M1" s="81" t="s">
        <v>5</v>
      </c>
      <c r="N1" s="8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2">
        <v>1</v>
      </c>
      <c r="D2"/>
      <c r="E2" s="186" t="s">
        <v>192</v>
      </c>
      <c r="F2" s="85">
        <v>0</v>
      </c>
      <c r="G2" s="85">
        <v>0.33800000000000002</v>
      </c>
      <c r="H2" s="85">
        <v>3.0864718</v>
      </c>
      <c r="I2" s="6">
        <v>12.543074600000001</v>
      </c>
      <c r="J2"/>
      <c r="K2"/>
      <c r="L2" s="6">
        <v>0</v>
      </c>
      <c r="M2" s="85">
        <v>0.2</v>
      </c>
      <c r="N2" s="85">
        <v>0</v>
      </c>
    </row>
    <row r="3" spans="1:46" ht="15" customHeight="1" x14ac:dyDescent="0.15">
      <c r="A3" s="1" t="s">
        <v>9</v>
      </c>
      <c r="B3" s="4">
        <v>36</v>
      </c>
      <c r="C3" s="85">
        <v>2</v>
      </c>
      <c r="D3"/>
      <c r="E3" s="186" t="s">
        <v>193</v>
      </c>
      <c r="F3" s="85">
        <v>0</v>
      </c>
      <c r="G3" s="85">
        <v>1.8438159999999999</v>
      </c>
      <c r="H3" s="85">
        <v>2.1596684499999999</v>
      </c>
      <c r="I3" s="85">
        <v>5.2384700000000004</v>
      </c>
      <c r="J3"/>
      <c r="K3"/>
      <c r="L3" s="85">
        <v>0</v>
      </c>
      <c r="M3" s="85">
        <v>0.2</v>
      </c>
      <c r="N3" s="85">
        <v>0</v>
      </c>
    </row>
    <row r="4" spans="1:46" ht="15" customHeight="1" x14ac:dyDescent="0.15">
      <c r="A4" s="1" t="s">
        <v>10</v>
      </c>
      <c r="B4" s="4">
        <v>3</v>
      </c>
      <c r="C4" s="85">
        <v>3</v>
      </c>
      <c r="D4"/>
      <c r="E4" s="186" t="s">
        <v>194</v>
      </c>
      <c r="F4" s="85">
        <v>0</v>
      </c>
      <c r="G4" s="85">
        <v>0.82399999999999995</v>
      </c>
      <c r="H4" s="85">
        <v>2.2622789999999999</v>
      </c>
      <c r="I4" s="85">
        <v>7.3796949999999999</v>
      </c>
      <c r="J4"/>
      <c r="K4"/>
      <c r="L4" s="85">
        <v>0</v>
      </c>
      <c r="M4" s="85">
        <v>0.2</v>
      </c>
      <c r="N4" s="8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</v>
      </c>
      <c r="C5" s="85">
        <v>4</v>
      </c>
      <c r="D5"/>
      <c r="E5" s="186" t="s">
        <v>195</v>
      </c>
      <c r="F5" s="85">
        <v>0</v>
      </c>
      <c r="G5" s="85">
        <v>1.5002310000000001</v>
      </c>
      <c r="H5" s="85">
        <v>0.63852095600000003</v>
      </c>
      <c r="I5" s="85">
        <v>5.233765</v>
      </c>
      <c r="J5"/>
      <c r="K5"/>
      <c r="L5" s="85">
        <v>0</v>
      </c>
      <c r="M5" s="85">
        <v>0.2</v>
      </c>
      <c r="N5" s="85">
        <v>0</v>
      </c>
      <c r="P5" s="73"/>
      <c r="Q5" s="73"/>
      <c r="R5" s="73"/>
    </row>
    <row r="6" spans="1:46" ht="15" customHeight="1" thickBot="1" x14ac:dyDescent="0.2">
      <c r="B6" s="1"/>
      <c r="C6" s="85">
        <v>5</v>
      </c>
      <c r="D6"/>
      <c r="E6" s="186" t="s">
        <v>196</v>
      </c>
      <c r="F6" s="85">
        <v>0</v>
      </c>
      <c r="G6" s="85">
        <v>4.7803449999999996</v>
      </c>
      <c r="H6" s="85">
        <v>1.3423897</v>
      </c>
      <c r="I6" s="85">
        <v>4.5298160000000003</v>
      </c>
      <c r="J6"/>
      <c r="K6"/>
      <c r="L6" s="85">
        <v>0</v>
      </c>
      <c r="M6" s="85">
        <v>0.2</v>
      </c>
      <c r="N6" s="85">
        <v>0</v>
      </c>
      <c r="P6" s="73"/>
      <c r="Q6" s="73"/>
      <c r="R6" s="73"/>
      <c r="W6" s="36" t="s">
        <v>31</v>
      </c>
      <c r="X6" s="52">
        <f>MAX(MainOutputs!G:G)</f>
        <v>0.98896414041519165</v>
      </c>
    </row>
    <row r="7" spans="1:46" ht="15" customHeight="1" x14ac:dyDescent="0.15">
      <c r="A7" s="2" t="s">
        <v>27</v>
      </c>
      <c r="B7" s="85">
        <f ca="1">COUNTIF(OFFSET(cornerDiets,1,1,NumLiving+NumDead+1,NumLiving+NumDead),"&gt;0")+NumLiving+NumDead+1</f>
        <v>401</v>
      </c>
      <c r="C7" s="85">
        <v>6</v>
      </c>
      <c r="D7"/>
      <c r="E7" s="186" t="s">
        <v>197</v>
      </c>
      <c r="F7" s="85">
        <v>0</v>
      </c>
      <c r="G7" s="85">
        <v>0.94728773799999999</v>
      </c>
      <c r="H7" s="85">
        <v>1.188917</v>
      </c>
      <c r="I7" s="85">
        <v>6.3645170000000002</v>
      </c>
      <c r="J7"/>
      <c r="K7"/>
      <c r="L7" s="85">
        <v>0</v>
      </c>
      <c r="M7" s="85">
        <v>0.2</v>
      </c>
      <c r="N7" s="85">
        <v>0</v>
      </c>
      <c r="P7" s="73"/>
      <c r="Q7" s="73"/>
      <c r="R7" s="73"/>
    </row>
    <row r="8" spans="1:46" ht="15" customHeight="1" x14ac:dyDescent="0.15">
      <c r="A8" s="2" t="s">
        <v>28</v>
      </c>
      <c r="B8" s="85">
        <f ca="1">COUNTIF(OFFSET(cornerFishing,1,2,NumLiving+NumDead,NumGears),"&gt;0")+NumDead*COUNTIF(OFFSET(cornerDiscards,1,2,NumLiving+NumDead,NumGears),"&gt;0")+NumLiving+NumDead+1</f>
        <v>124</v>
      </c>
      <c r="C8" s="85">
        <v>7</v>
      </c>
      <c r="D8"/>
      <c r="E8" s="186" t="s">
        <v>198</v>
      </c>
      <c r="F8" s="85">
        <v>0</v>
      </c>
      <c r="G8" s="85">
        <v>0.393816</v>
      </c>
      <c r="H8" s="85">
        <v>1.5474036900000001</v>
      </c>
      <c r="I8" s="85">
        <v>8.1140375099999993</v>
      </c>
      <c r="J8"/>
      <c r="K8"/>
      <c r="L8" s="85">
        <v>0</v>
      </c>
      <c r="M8" s="85">
        <v>0.2</v>
      </c>
      <c r="N8" s="85">
        <v>0</v>
      </c>
      <c r="P8" s="73"/>
      <c r="Q8" s="73"/>
      <c r="R8" s="73"/>
    </row>
    <row r="9" spans="1:46" ht="15" customHeight="1" x14ac:dyDescent="0.15">
      <c r="B9" s="1"/>
      <c r="C9" s="85">
        <v>8</v>
      </c>
      <c r="D9"/>
      <c r="E9" s="186" t="s">
        <v>199</v>
      </c>
      <c r="F9" s="85">
        <v>0</v>
      </c>
      <c r="G9" s="85">
        <v>2.1549019999999999</v>
      </c>
      <c r="H9" s="85">
        <v>1.0420006500000001</v>
      </c>
      <c r="I9" s="85">
        <v>6.3866577099999997</v>
      </c>
      <c r="J9"/>
      <c r="K9"/>
      <c r="L9" s="85">
        <v>0</v>
      </c>
      <c r="M9" s="85">
        <v>0.2</v>
      </c>
      <c r="N9" s="85">
        <v>0</v>
      </c>
      <c r="P9" s="73"/>
      <c r="Q9" s="73"/>
      <c r="R9" s="73"/>
    </row>
    <row r="10" spans="1:46" ht="15" customHeight="1" x14ac:dyDescent="0.15">
      <c r="B10" s="1"/>
      <c r="C10" s="85">
        <v>9</v>
      </c>
      <c r="D10"/>
      <c r="E10" s="186" t="s">
        <v>200</v>
      </c>
      <c r="F10" s="85">
        <v>0</v>
      </c>
      <c r="G10" s="85">
        <v>1.5489999999999999</v>
      </c>
      <c r="H10" s="85">
        <v>1.0440983800000001</v>
      </c>
      <c r="I10" s="85">
        <v>4.8579182599999999</v>
      </c>
      <c r="J10"/>
      <c r="K10"/>
      <c r="L10" s="85">
        <v>0</v>
      </c>
      <c r="M10" s="85">
        <v>0.2</v>
      </c>
      <c r="N10" s="85">
        <v>0</v>
      </c>
    </row>
    <row r="11" spans="1:46" ht="15" customHeight="1" x14ac:dyDescent="0.15">
      <c r="C11" s="85">
        <v>10</v>
      </c>
      <c r="D11"/>
      <c r="E11" s="186" t="s">
        <v>201</v>
      </c>
      <c r="F11" s="85">
        <v>0</v>
      </c>
      <c r="G11" s="85">
        <v>2.6800001E-2</v>
      </c>
      <c r="H11" s="85">
        <v>6.7806906700000003</v>
      </c>
      <c r="I11" s="85">
        <v>71.374859999999998</v>
      </c>
      <c r="J11"/>
      <c r="K11"/>
      <c r="L11" s="85">
        <v>0</v>
      </c>
      <c r="M11" s="85">
        <v>0.2</v>
      </c>
      <c r="N11" s="85">
        <v>0</v>
      </c>
    </row>
    <row r="12" spans="1:46" ht="15" customHeight="1" x14ac:dyDescent="0.15">
      <c r="C12" s="85">
        <v>11</v>
      </c>
      <c r="D12"/>
      <c r="E12" s="186" t="s">
        <v>202</v>
      </c>
      <c r="F12" s="85">
        <v>0</v>
      </c>
      <c r="G12" s="85">
        <v>0.46778851700000001</v>
      </c>
      <c r="H12" s="85">
        <v>0.69325840000000005</v>
      </c>
      <c r="I12" s="85">
        <v>4.5549920000000004</v>
      </c>
      <c r="J12"/>
      <c r="K12"/>
      <c r="L12" s="85">
        <v>0</v>
      </c>
      <c r="M12" s="85">
        <v>0.2</v>
      </c>
      <c r="N12" s="85">
        <v>0</v>
      </c>
    </row>
    <row r="13" spans="1:46" ht="15" customHeight="1" x14ac:dyDescent="0.15">
      <c r="C13" s="85">
        <v>12</v>
      </c>
      <c r="D13"/>
      <c r="E13" s="186" t="s">
        <v>203</v>
      </c>
      <c r="F13" s="85">
        <v>0</v>
      </c>
      <c r="G13" s="85">
        <v>0.14738080000000001</v>
      </c>
      <c r="H13" s="85">
        <v>1.04111409</v>
      </c>
      <c r="I13" s="85">
        <v>3.4566168799999999</v>
      </c>
      <c r="J13"/>
      <c r="K13"/>
      <c r="L13" s="85">
        <v>0</v>
      </c>
      <c r="M13" s="85">
        <v>0.2</v>
      </c>
      <c r="N13" s="85">
        <v>0</v>
      </c>
    </row>
    <row r="14" spans="1:46" ht="15" customHeight="1" x14ac:dyDescent="0.15">
      <c r="C14" s="85">
        <v>13</v>
      </c>
      <c r="D14"/>
      <c r="E14" s="186" t="s">
        <v>204</v>
      </c>
      <c r="F14" s="85">
        <v>0</v>
      </c>
      <c r="G14" s="85">
        <v>2.5409999999999999</v>
      </c>
      <c r="H14" s="85">
        <v>0.13126592300000001</v>
      </c>
      <c r="I14" s="85">
        <v>4.141966</v>
      </c>
      <c r="J14"/>
      <c r="K14"/>
      <c r="L14" s="85">
        <v>0</v>
      </c>
      <c r="M14" s="85">
        <v>0.2</v>
      </c>
      <c r="N14" s="85">
        <v>0</v>
      </c>
    </row>
    <row r="15" spans="1:46" ht="15" customHeight="1" x14ac:dyDescent="0.15">
      <c r="C15" s="85">
        <v>14</v>
      </c>
      <c r="D15"/>
      <c r="E15" s="186" t="s">
        <v>205</v>
      </c>
      <c r="F15" s="85">
        <v>0</v>
      </c>
      <c r="G15" s="85">
        <v>1.4256773</v>
      </c>
      <c r="H15" s="85">
        <v>1.60158789</v>
      </c>
      <c r="I15" s="85">
        <v>5.6551213300000001</v>
      </c>
      <c r="J15"/>
      <c r="K15"/>
      <c r="L15" s="85">
        <v>0</v>
      </c>
      <c r="M15" s="85">
        <v>0.2</v>
      </c>
      <c r="N15" s="85">
        <v>0</v>
      </c>
    </row>
    <row r="16" spans="1:46" ht="15" customHeight="1" x14ac:dyDescent="0.15">
      <c r="C16" s="85">
        <v>15</v>
      </c>
      <c r="D16"/>
      <c r="E16" s="186" t="s">
        <v>206</v>
      </c>
      <c r="F16" s="85">
        <v>0</v>
      </c>
      <c r="G16" s="85">
        <v>0.62139599999999995</v>
      </c>
      <c r="H16" s="85">
        <v>1.35952747</v>
      </c>
      <c r="I16" s="85">
        <v>11.052345300000001</v>
      </c>
      <c r="J16"/>
      <c r="K16"/>
      <c r="L16" s="85">
        <v>0</v>
      </c>
      <c r="M16" s="85">
        <v>0.2</v>
      </c>
      <c r="N16" s="85">
        <v>0</v>
      </c>
    </row>
    <row r="17" spans="1:22" ht="15" customHeight="1" x14ac:dyDescent="0.15">
      <c r="C17" s="85">
        <v>16</v>
      </c>
      <c r="D17"/>
      <c r="E17" s="186" t="s">
        <v>207</v>
      </c>
      <c r="F17" s="85">
        <v>0</v>
      </c>
      <c r="G17" s="85">
        <v>2.8887230000000002</v>
      </c>
      <c r="H17" s="85">
        <v>1.5179902300000001</v>
      </c>
      <c r="I17" s="85">
        <v>10.153184899999999</v>
      </c>
      <c r="J17"/>
      <c r="K17"/>
      <c r="L17" s="85">
        <v>0</v>
      </c>
      <c r="M17" s="85">
        <v>0.2</v>
      </c>
      <c r="N17" s="85">
        <v>0</v>
      </c>
      <c r="V17" s="1" t="s">
        <v>30</v>
      </c>
    </row>
    <row r="18" spans="1:22" ht="15" customHeight="1" x14ac:dyDescent="0.15">
      <c r="C18" s="85">
        <v>17</v>
      </c>
      <c r="D18"/>
      <c r="E18" s="186" t="s">
        <v>208</v>
      </c>
      <c r="F18" s="85">
        <v>0</v>
      </c>
      <c r="G18" s="85">
        <v>2.484356</v>
      </c>
      <c r="H18" s="85">
        <v>0.69013100000000005</v>
      </c>
      <c r="I18" s="85">
        <v>4.1004860000000001</v>
      </c>
      <c r="J18"/>
      <c r="K18"/>
      <c r="L18" s="85">
        <v>0</v>
      </c>
      <c r="M18" s="85">
        <v>0.2</v>
      </c>
      <c r="N18" s="85">
        <v>0</v>
      </c>
      <c r="V18" s="1"/>
    </row>
    <row r="19" spans="1:22" ht="15" customHeight="1" x14ac:dyDescent="0.15">
      <c r="C19" s="85">
        <v>18</v>
      </c>
      <c r="D19"/>
      <c r="E19" s="186" t="s">
        <v>209</v>
      </c>
      <c r="F19" s="85">
        <v>0</v>
      </c>
      <c r="G19" s="85">
        <v>1.0026704099999999</v>
      </c>
      <c r="H19" s="85">
        <v>1.5031803800000001</v>
      </c>
      <c r="I19" s="85">
        <v>5.5003989999999998</v>
      </c>
      <c r="J19"/>
      <c r="K19"/>
      <c r="L19" s="85">
        <v>0</v>
      </c>
      <c r="M19" s="85">
        <v>0.2</v>
      </c>
      <c r="N19" s="85">
        <v>0</v>
      </c>
    </row>
    <row r="20" spans="1:22" ht="15" customHeight="1" thickBot="1" x14ac:dyDescent="0.2">
      <c r="C20" s="85">
        <v>19</v>
      </c>
      <c r="D20"/>
      <c r="E20" s="186" t="s">
        <v>210</v>
      </c>
      <c r="F20" s="85">
        <v>0</v>
      </c>
      <c r="G20" s="85">
        <v>6.3792340000000003</v>
      </c>
      <c r="H20" s="85">
        <v>1.73159361</v>
      </c>
      <c r="I20" s="85">
        <v>4.257701</v>
      </c>
      <c r="J20"/>
      <c r="K20"/>
      <c r="L20" s="85">
        <v>0</v>
      </c>
      <c r="M20" s="85">
        <v>0.2</v>
      </c>
      <c r="N20" s="85">
        <v>0</v>
      </c>
    </row>
    <row r="21" spans="1:22" ht="15" customHeight="1" thickBot="1" x14ac:dyDescent="0.2">
      <c r="A21" s="47" t="s">
        <v>137</v>
      </c>
      <c r="B21" s="103"/>
      <c r="C21" s="85">
        <v>20</v>
      </c>
      <c r="D21"/>
      <c r="E21" s="186" t="s">
        <v>211</v>
      </c>
      <c r="F21" s="85">
        <v>0</v>
      </c>
      <c r="G21" s="85">
        <v>36.911907200000002</v>
      </c>
      <c r="H21" s="85">
        <v>1.6085325500000001</v>
      </c>
      <c r="I21" s="85">
        <v>12.9143791</v>
      </c>
      <c r="J21"/>
      <c r="K21"/>
      <c r="L21" s="85">
        <v>0</v>
      </c>
      <c r="M21" s="85">
        <v>0.2</v>
      </c>
      <c r="N21" s="85">
        <v>0</v>
      </c>
    </row>
    <row r="22" spans="1:22" ht="15" customHeight="1" x14ac:dyDescent="0.15">
      <c r="A22" s="104" t="s">
        <v>58</v>
      </c>
      <c r="B22" s="105">
        <v>0</v>
      </c>
      <c r="C22" s="85">
        <v>21</v>
      </c>
      <c r="D22"/>
      <c r="E22" s="186" t="s">
        <v>212</v>
      </c>
      <c r="F22" s="85">
        <v>0</v>
      </c>
      <c r="G22" s="85">
        <v>0.14435678699999999</v>
      </c>
      <c r="H22" s="85">
        <v>1.08318424</v>
      </c>
      <c r="I22" s="85">
        <v>11.402809100000001</v>
      </c>
      <c r="J22"/>
      <c r="K22"/>
      <c r="L22" s="85">
        <v>0</v>
      </c>
      <c r="M22" s="85">
        <v>0.2</v>
      </c>
      <c r="N22" s="85">
        <v>0</v>
      </c>
    </row>
    <row r="23" spans="1:22" ht="15" customHeight="1" x14ac:dyDescent="0.15">
      <c r="A23" s="104" t="s">
        <v>59</v>
      </c>
      <c r="B23" s="105">
        <v>1</v>
      </c>
      <c r="C23" s="85">
        <v>22</v>
      </c>
      <c r="D23"/>
      <c r="E23" s="186" t="s">
        <v>213</v>
      </c>
      <c r="F23" s="85">
        <v>0</v>
      </c>
      <c r="G23" s="85">
        <v>4.5411467600000002</v>
      </c>
      <c r="H23" s="85">
        <v>1.11698115</v>
      </c>
      <c r="I23" s="85">
        <v>8.76248</v>
      </c>
      <c r="J23"/>
      <c r="K23"/>
      <c r="L23" s="85">
        <v>0</v>
      </c>
      <c r="M23" s="85">
        <v>0.2</v>
      </c>
      <c r="N23" s="85">
        <v>0</v>
      </c>
    </row>
    <row r="24" spans="1:22" ht="15" customHeight="1" x14ac:dyDescent="0.15">
      <c r="A24" s="104" t="s">
        <v>60</v>
      </c>
      <c r="B24" s="105">
        <v>2</v>
      </c>
      <c r="C24" s="85">
        <v>23</v>
      </c>
      <c r="D24"/>
      <c r="E24" s="186" t="s">
        <v>214</v>
      </c>
      <c r="F24" s="85">
        <v>0</v>
      </c>
      <c r="G24" s="85">
        <v>20.503240000000002</v>
      </c>
      <c r="H24" s="85">
        <v>0.54810250000000005</v>
      </c>
      <c r="I24" s="85">
        <v>1.9671426999999999</v>
      </c>
      <c r="J24"/>
      <c r="K24"/>
      <c r="L24" s="85">
        <v>0</v>
      </c>
      <c r="M24" s="85">
        <v>0.2</v>
      </c>
      <c r="N24" s="85">
        <v>0</v>
      </c>
    </row>
    <row r="25" spans="1:22" ht="15" customHeight="1" thickBot="1" x14ac:dyDescent="0.2">
      <c r="A25" s="106" t="s">
        <v>44</v>
      </c>
      <c r="B25" s="107">
        <v>3</v>
      </c>
      <c r="C25" s="85">
        <v>24</v>
      </c>
      <c r="D25"/>
      <c r="E25" s="186" t="s">
        <v>215</v>
      </c>
      <c r="F25" s="85">
        <v>0</v>
      </c>
      <c r="G25" s="85">
        <v>15.430048899999999</v>
      </c>
      <c r="H25" s="85">
        <v>0.84639929999999997</v>
      </c>
      <c r="I25" s="85">
        <v>2.6214904799999998</v>
      </c>
      <c r="J25"/>
      <c r="K25"/>
      <c r="L25" s="85">
        <v>0</v>
      </c>
      <c r="M25" s="85">
        <v>0.2</v>
      </c>
      <c r="N25" s="85">
        <v>0</v>
      </c>
    </row>
    <row r="26" spans="1:22" ht="15" customHeight="1" x14ac:dyDescent="0.15">
      <c r="A26" s="108" t="s">
        <v>140</v>
      </c>
      <c r="C26" s="85">
        <v>25</v>
      </c>
      <c r="D26"/>
      <c r="E26" s="186" t="s">
        <v>216</v>
      </c>
      <c r="F26" s="85">
        <v>0</v>
      </c>
      <c r="G26" s="85">
        <v>3.1265999999999998</v>
      </c>
      <c r="H26" s="85">
        <v>1.0254398600000001</v>
      </c>
      <c r="I26" s="85">
        <v>3.0582828499999999</v>
      </c>
      <c r="J26"/>
      <c r="K26"/>
      <c r="L26" s="85">
        <v>0</v>
      </c>
      <c r="M26" s="85">
        <v>0.2</v>
      </c>
      <c r="N26" s="85">
        <v>0</v>
      </c>
    </row>
    <row r="27" spans="1:22" ht="15" customHeight="1" x14ac:dyDescent="0.15">
      <c r="C27" s="85">
        <v>26</v>
      </c>
      <c r="D27"/>
      <c r="E27" s="186" t="s">
        <v>217</v>
      </c>
      <c r="F27" s="85">
        <v>0</v>
      </c>
      <c r="G27" s="85">
        <v>0.48042175199999998</v>
      </c>
      <c r="H27" s="85">
        <v>0.65215253799999995</v>
      </c>
      <c r="I27" s="85">
        <v>6.2223572699999998</v>
      </c>
      <c r="J27"/>
      <c r="K27"/>
      <c r="L27" s="85">
        <v>0</v>
      </c>
      <c r="M27" s="85">
        <v>0.2</v>
      </c>
      <c r="N27" s="85">
        <v>0</v>
      </c>
    </row>
    <row r="28" spans="1:22" ht="15" customHeight="1" x14ac:dyDescent="0.15">
      <c r="C28" s="85">
        <v>27</v>
      </c>
      <c r="D28"/>
      <c r="E28" s="186" t="s">
        <v>218</v>
      </c>
      <c r="F28" s="85">
        <v>0</v>
      </c>
      <c r="G28" s="85">
        <v>0.20919869999999999</v>
      </c>
      <c r="H28" s="85">
        <v>2.8435375700000001</v>
      </c>
      <c r="I28" s="85">
        <v>9.2519864999999992</v>
      </c>
      <c r="J28"/>
      <c r="K28"/>
      <c r="L28" s="85">
        <v>0</v>
      </c>
      <c r="M28" s="85">
        <v>0.2</v>
      </c>
      <c r="N28" s="85">
        <v>0</v>
      </c>
    </row>
    <row r="29" spans="1:22" customFormat="1" ht="15" customHeight="1" x14ac:dyDescent="0.15">
      <c r="C29" s="85">
        <v>28</v>
      </c>
      <c r="E29" s="186" t="s">
        <v>219</v>
      </c>
      <c r="F29" s="85">
        <v>0</v>
      </c>
      <c r="G29" s="85">
        <v>0.41899761600000002</v>
      </c>
      <c r="H29" s="85">
        <v>4.7177777299999999</v>
      </c>
      <c r="I29" s="85">
        <v>19.282386800000001</v>
      </c>
      <c r="L29" s="85">
        <v>0</v>
      </c>
      <c r="M29" s="85">
        <v>0.2</v>
      </c>
      <c r="N29" s="85">
        <v>0</v>
      </c>
    </row>
    <row r="30" spans="1:22" customFormat="1" ht="15" customHeight="1" x14ac:dyDescent="0.15">
      <c r="C30" s="85">
        <v>29</v>
      </c>
      <c r="E30" s="186" t="s">
        <v>220</v>
      </c>
      <c r="F30" s="85">
        <v>0</v>
      </c>
      <c r="G30" s="85">
        <v>0.52493069999999997</v>
      </c>
      <c r="H30" s="85">
        <v>4.1111574199999996</v>
      </c>
      <c r="I30" s="85">
        <v>8.4148069999999997</v>
      </c>
      <c r="L30" s="85">
        <v>0</v>
      </c>
      <c r="M30" s="85">
        <v>0.2</v>
      </c>
      <c r="N30" s="85">
        <v>0</v>
      </c>
    </row>
    <row r="31" spans="1:22" customFormat="1" ht="15" customHeight="1" x14ac:dyDescent="0.15">
      <c r="C31" s="85">
        <v>30</v>
      </c>
      <c r="E31" s="186" t="s">
        <v>221</v>
      </c>
      <c r="F31" s="85">
        <v>0</v>
      </c>
      <c r="G31" s="85">
        <v>3.8133720000000002</v>
      </c>
      <c r="H31" s="85">
        <v>3.0919771200000001</v>
      </c>
      <c r="I31" s="85">
        <v>6.4983779999999998</v>
      </c>
      <c r="L31" s="85">
        <v>0</v>
      </c>
      <c r="M31" s="85">
        <v>0.2</v>
      </c>
      <c r="N31" s="85">
        <v>0</v>
      </c>
    </row>
    <row r="32" spans="1:22" customFormat="1" ht="15" customHeight="1" x14ac:dyDescent="0.15">
      <c r="C32" s="85">
        <v>31</v>
      </c>
      <c r="E32" s="186" t="s">
        <v>222</v>
      </c>
      <c r="F32" s="85">
        <v>0</v>
      </c>
      <c r="G32" s="85">
        <v>0.27535270000000001</v>
      </c>
      <c r="H32" s="85">
        <v>0.81357880000000005</v>
      </c>
      <c r="I32" s="85">
        <v>6.5438090000000004</v>
      </c>
      <c r="L32" s="85">
        <v>0</v>
      </c>
      <c r="M32" s="85">
        <v>0.2</v>
      </c>
      <c r="N32" s="85">
        <v>0</v>
      </c>
    </row>
    <row r="33" spans="3:14" customFormat="1" ht="15" customHeight="1" x14ac:dyDescent="0.15">
      <c r="C33" s="85">
        <v>32</v>
      </c>
      <c r="E33" s="186" t="s">
        <v>223</v>
      </c>
      <c r="F33" s="85">
        <v>0</v>
      </c>
      <c r="G33" s="85">
        <v>1.583893</v>
      </c>
      <c r="H33" s="85">
        <v>0.96212816199999995</v>
      </c>
      <c r="I33" s="85">
        <v>4.0174000000000003</v>
      </c>
      <c r="L33" s="85">
        <v>0</v>
      </c>
      <c r="M33" s="85">
        <v>0.2</v>
      </c>
      <c r="N33" s="85">
        <v>0</v>
      </c>
    </row>
    <row r="34" spans="3:14" customFormat="1" ht="15" customHeight="1" x14ac:dyDescent="0.15">
      <c r="C34" s="85">
        <v>33</v>
      </c>
      <c r="E34" s="186" t="s">
        <v>224</v>
      </c>
      <c r="F34" s="85">
        <v>0</v>
      </c>
      <c r="G34" s="85">
        <v>27.093</v>
      </c>
      <c r="H34" s="85">
        <v>23.578430000000001</v>
      </c>
      <c r="I34" s="85">
        <v>64.177850000000007</v>
      </c>
      <c r="L34" s="85">
        <v>0</v>
      </c>
      <c r="M34" s="85">
        <v>0.2</v>
      </c>
      <c r="N34" s="85">
        <v>0</v>
      </c>
    </row>
    <row r="35" spans="3:14" customFormat="1" ht="15" customHeight="1" x14ac:dyDescent="0.15">
      <c r="C35" s="85">
        <v>34</v>
      </c>
      <c r="E35" s="186" t="s">
        <v>225</v>
      </c>
      <c r="F35" s="85">
        <v>0</v>
      </c>
      <c r="G35" s="85">
        <v>13.7384529</v>
      </c>
      <c r="H35" s="85">
        <v>4.4163455999999996</v>
      </c>
      <c r="I35" s="85">
        <v>19.7677288</v>
      </c>
      <c r="L35" s="85">
        <v>0</v>
      </c>
      <c r="M35" s="85">
        <v>0.2</v>
      </c>
      <c r="N35" s="85">
        <v>0</v>
      </c>
    </row>
    <row r="36" spans="3:14" customFormat="1" ht="15" customHeight="1" x14ac:dyDescent="0.15">
      <c r="C36" s="85">
        <v>35</v>
      </c>
      <c r="E36" s="213" t="s">
        <v>226</v>
      </c>
      <c r="F36" s="85">
        <v>0</v>
      </c>
      <c r="G36" s="85">
        <v>22.949940000000002</v>
      </c>
      <c r="H36" s="85">
        <v>4.0778904000000002</v>
      </c>
      <c r="I36" s="85">
        <v>9.3669550000000008</v>
      </c>
      <c r="L36" s="85">
        <v>0</v>
      </c>
      <c r="M36" s="85">
        <v>0.2</v>
      </c>
      <c r="N36" s="85">
        <v>0</v>
      </c>
    </row>
    <row r="37" spans="3:14" customFormat="1" ht="15" customHeight="1" x14ac:dyDescent="0.15">
      <c r="C37" s="85">
        <v>36</v>
      </c>
      <c r="E37" s="186" t="s">
        <v>227</v>
      </c>
      <c r="F37" s="85">
        <v>1</v>
      </c>
      <c r="G37" s="85">
        <v>40.960999999999999</v>
      </c>
      <c r="H37" s="85">
        <v>71.018875100000002</v>
      </c>
      <c r="I37" s="85">
        <v>0</v>
      </c>
      <c r="L37" s="85">
        <v>0</v>
      </c>
      <c r="M37" s="85">
        <v>0</v>
      </c>
      <c r="N37" s="85">
        <v>0</v>
      </c>
    </row>
    <row r="38" spans="3:14" customFormat="1" ht="15" customHeight="1" x14ac:dyDescent="0.15">
      <c r="C38" s="85">
        <v>37</v>
      </c>
      <c r="E38" s="186" t="s">
        <v>228</v>
      </c>
      <c r="F38" s="85">
        <v>2</v>
      </c>
      <c r="G38" s="85">
        <v>2.157</v>
      </c>
      <c r="H38" s="85">
        <v>0</v>
      </c>
      <c r="I38" s="85">
        <v>0</v>
      </c>
      <c r="L38" s="85">
        <v>0</v>
      </c>
      <c r="M38" s="85">
        <v>0</v>
      </c>
      <c r="N38" s="85">
        <v>0</v>
      </c>
    </row>
    <row r="39" spans="3:14" customFormat="1" ht="15" customHeight="1" x14ac:dyDescent="0.15">
      <c r="C39" s="85">
        <v>38</v>
      </c>
      <c r="E39" s="186" t="s">
        <v>229</v>
      </c>
      <c r="F39" s="85">
        <v>2</v>
      </c>
      <c r="G39" s="85">
        <v>5</v>
      </c>
      <c r="H39" s="85">
        <v>0</v>
      </c>
      <c r="I39" s="85">
        <v>0</v>
      </c>
      <c r="L39" s="85">
        <v>0</v>
      </c>
      <c r="M39" s="85">
        <v>0</v>
      </c>
      <c r="N39" s="85">
        <v>0</v>
      </c>
    </row>
    <row r="40" spans="3:14" customFormat="1" ht="15" customHeight="1" x14ac:dyDescent="0.15">
      <c r="C40" s="85">
        <v>39</v>
      </c>
      <c r="E40" s="186" t="s">
        <v>230</v>
      </c>
      <c r="F40" s="85">
        <v>2</v>
      </c>
      <c r="G40" s="85">
        <v>5</v>
      </c>
      <c r="H40" s="85">
        <v>0</v>
      </c>
      <c r="I40" s="85">
        <v>0</v>
      </c>
      <c r="L40" s="85">
        <v>0</v>
      </c>
      <c r="M40" s="85">
        <v>0</v>
      </c>
      <c r="N40" s="85">
        <v>0</v>
      </c>
    </row>
    <row r="41" spans="3:14" customFormat="1" ht="15" customHeight="1" x14ac:dyDescent="0.15">
      <c r="C41" s="85">
        <v>40</v>
      </c>
      <c r="E41" s="186" t="s">
        <v>231</v>
      </c>
      <c r="F41" s="85">
        <v>3</v>
      </c>
      <c r="G41" s="85">
        <v>0</v>
      </c>
      <c r="H41" s="85">
        <v>0</v>
      </c>
      <c r="I41" s="85">
        <v>0</v>
      </c>
      <c r="L41" s="85">
        <v>0</v>
      </c>
      <c r="M41" s="85">
        <v>0</v>
      </c>
      <c r="N41" s="85">
        <v>0</v>
      </c>
    </row>
    <row r="42" spans="3:14" customFormat="1" ht="15" customHeight="1" x14ac:dyDescent="0.15">
      <c r="C42" s="85">
        <v>41</v>
      </c>
      <c r="E42" s="186" t="s">
        <v>232</v>
      </c>
      <c r="F42" s="85">
        <v>3</v>
      </c>
      <c r="G42" s="85">
        <v>0</v>
      </c>
      <c r="H42" s="85">
        <v>0</v>
      </c>
      <c r="I42" s="85">
        <v>0</v>
      </c>
      <c r="L42" s="85">
        <v>0</v>
      </c>
      <c r="M42" s="85">
        <v>0</v>
      </c>
      <c r="N42" s="85">
        <v>0</v>
      </c>
    </row>
    <row r="43" spans="3:14" customFormat="1" ht="15" customHeight="1" x14ac:dyDescent="0.15">
      <c r="C43" s="85">
        <v>42</v>
      </c>
      <c r="E43" s="186" t="s">
        <v>233</v>
      </c>
      <c r="F43" s="85">
        <v>3</v>
      </c>
      <c r="G43" s="85">
        <v>0</v>
      </c>
      <c r="H43" s="85">
        <v>0</v>
      </c>
      <c r="I43" s="85">
        <v>0</v>
      </c>
      <c r="L43" s="85">
        <v>0</v>
      </c>
      <c r="M43" s="85">
        <v>0</v>
      </c>
      <c r="N43" s="85">
        <v>0</v>
      </c>
    </row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spans="5:5" customFormat="1" ht="15" customHeight="1" x14ac:dyDescent="0.15"/>
    <row r="50" spans="5:5" customFormat="1" ht="15" customHeight="1" x14ac:dyDescent="0.15"/>
    <row r="51" spans="5:5" customFormat="1" ht="15" customHeight="1" x14ac:dyDescent="0.15">
      <c r="E51" s="215" t="s">
        <v>243</v>
      </c>
    </row>
    <row r="52" spans="5:5" customFormat="1" ht="15" customHeight="1" x14ac:dyDescent="0.15"/>
    <row r="53" spans="5:5" customFormat="1" ht="15" customHeight="1" x14ac:dyDescent="0.15"/>
    <row r="54" spans="5:5" customFormat="1" ht="15" customHeight="1" x14ac:dyDescent="0.15"/>
    <row r="55" spans="5:5" customFormat="1" ht="15" customHeight="1" x14ac:dyDescent="0.15"/>
    <row r="56" spans="5:5" customFormat="1" ht="15" customHeight="1" x14ac:dyDescent="0.15"/>
    <row r="57" spans="5:5" customFormat="1" ht="15" customHeight="1" x14ac:dyDescent="0.15"/>
    <row r="58" spans="5:5" customFormat="1" ht="15" customHeight="1" x14ac:dyDescent="0.15"/>
    <row r="59" spans="5:5" customFormat="1" ht="15" customHeight="1" x14ac:dyDescent="0.15"/>
    <row r="60" spans="5:5" customFormat="1" ht="15" customHeight="1" x14ac:dyDescent="0.15"/>
    <row r="61" spans="5:5" customFormat="1" ht="15" customHeight="1" x14ac:dyDescent="0.15"/>
    <row r="62" spans="5:5" customFormat="1" ht="15" customHeight="1" x14ac:dyDescent="0.15"/>
    <row r="63" spans="5:5" customFormat="1" ht="15" customHeight="1" x14ac:dyDescent="0.15"/>
    <row r="64" spans="5:5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A38" sqref="A38:XFD40"/>
    </sheetView>
  </sheetViews>
  <sheetFormatPr baseColWidth="10" defaultColWidth="8.83203125" defaultRowHeight="13" x14ac:dyDescent="0.15"/>
  <cols>
    <col min="1" max="1" width="21.6640625" style="150" bestFit="1" customWidth="1"/>
    <col min="2" max="12" width="14.83203125" style="150" bestFit="1" customWidth="1"/>
    <col min="13" max="14" width="13.83203125" style="150" bestFit="1" customWidth="1"/>
    <col min="15" max="16" width="14.83203125" style="150" bestFit="1" customWidth="1"/>
    <col min="17" max="17" width="15.83203125" style="150" bestFit="1" customWidth="1"/>
    <col min="18" max="18" width="14.83203125" style="150" bestFit="1" customWidth="1"/>
    <col min="19" max="19" width="15.83203125" style="150" bestFit="1" customWidth="1"/>
    <col min="20" max="20" width="14.83203125" style="150" bestFit="1" customWidth="1"/>
    <col min="21" max="21" width="9.83203125" style="150" bestFit="1" customWidth="1"/>
    <col min="22" max="25" width="14.83203125" style="150" bestFit="1" customWidth="1"/>
    <col min="26" max="26" width="5.83203125" style="150" bestFit="1" customWidth="1"/>
    <col min="27" max="27" width="13.83203125" style="150" bestFit="1" customWidth="1"/>
    <col min="28" max="28" width="14.83203125" style="150" bestFit="1" customWidth="1"/>
    <col min="29" max="29" width="13.83203125" style="150" bestFit="1" customWidth="1"/>
    <col min="30" max="30" width="13.83203125" style="150" customWidth="1"/>
    <col min="31" max="31" width="14.83203125" style="150" customWidth="1"/>
    <col min="32" max="32" width="13.83203125" style="150" customWidth="1"/>
    <col min="33" max="33" width="5.83203125" style="150" customWidth="1"/>
    <col min="34" max="35" width="13.83203125" style="150" customWidth="1"/>
    <col min="36" max="36" width="14.83203125" style="150" customWidth="1"/>
    <col min="37" max="40" width="2.33203125" style="150" customWidth="1"/>
    <col min="41" max="16384" width="8.83203125" style="150"/>
  </cols>
  <sheetData>
    <row r="1" spans="1:40" x14ac:dyDescent="0.15">
      <c r="A1" s="149" t="s">
        <v>19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  <c r="AI1" s="188" t="s">
        <v>225</v>
      </c>
      <c r="AJ1" s="188" t="s">
        <v>226</v>
      </c>
      <c r="AK1" s="188" t="s">
        <v>227</v>
      </c>
      <c r="AL1" s="188" t="s">
        <v>228</v>
      </c>
      <c r="AM1" s="188" t="s">
        <v>229</v>
      </c>
      <c r="AN1" s="188" t="s">
        <v>230</v>
      </c>
    </row>
    <row r="2" spans="1:40" customFormat="1" x14ac:dyDescent="0.15">
      <c r="A2" s="187" t="s">
        <v>192</v>
      </c>
      <c r="B2" s="150">
        <v>0</v>
      </c>
      <c r="C2" s="150">
        <v>0</v>
      </c>
      <c r="D2" s="150">
        <v>0</v>
      </c>
      <c r="E2" s="150">
        <v>4.208416646493001E-2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0">
        <v>0</v>
      </c>
      <c r="AA2" s="150">
        <v>0</v>
      </c>
      <c r="AB2" s="150">
        <v>0</v>
      </c>
      <c r="AC2" s="150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0">
        <v>0</v>
      </c>
      <c r="AK2" s="150">
        <v>0</v>
      </c>
      <c r="AL2" s="150">
        <v>0</v>
      </c>
      <c r="AM2" s="150">
        <v>0</v>
      </c>
      <c r="AN2" s="150">
        <v>0</v>
      </c>
    </row>
    <row r="3" spans="1:40" customFormat="1" x14ac:dyDescent="0.15">
      <c r="A3" s="187" t="s">
        <v>193</v>
      </c>
      <c r="B3" s="150">
        <v>7.192807460539441E-2</v>
      </c>
      <c r="C3" s="150">
        <v>4.50000090099998E-2</v>
      </c>
      <c r="D3" s="150">
        <v>9.9038466137499809E-2</v>
      </c>
      <c r="E3" s="150">
        <v>2.3046088064128605E-2</v>
      </c>
      <c r="F3" s="150">
        <v>0</v>
      </c>
      <c r="G3" s="150">
        <v>0</v>
      </c>
      <c r="H3" s="150">
        <v>0</v>
      </c>
      <c r="I3" s="150">
        <v>0</v>
      </c>
      <c r="J3" s="150">
        <v>1.2108979043390658E-2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0">
        <v>0</v>
      </c>
      <c r="AA3" s="150">
        <v>0</v>
      </c>
      <c r="AB3" s="150">
        <v>0</v>
      </c>
      <c r="AC3" s="150">
        <v>0</v>
      </c>
      <c r="AD3" s="150">
        <v>0</v>
      </c>
      <c r="AE3" s="150">
        <v>0</v>
      </c>
      <c r="AF3" s="150">
        <v>0</v>
      </c>
      <c r="AG3" s="150">
        <v>0</v>
      </c>
      <c r="AH3" s="150">
        <v>0</v>
      </c>
      <c r="AI3" s="150">
        <v>0</v>
      </c>
      <c r="AJ3" s="150">
        <v>0</v>
      </c>
      <c r="AK3" s="150">
        <v>0</v>
      </c>
      <c r="AL3" s="150">
        <v>0</v>
      </c>
      <c r="AM3" s="150">
        <v>0</v>
      </c>
      <c r="AN3" s="150">
        <v>0</v>
      </c>
    </row>
    <row r="4" spans="1:40" customFormat="1" x14ac:dyDescent="0.15">
      <c r="A4" s="187" t="s">
        <v>194</v>
      </c>
      <c r="B4" s="150">
        <v>6.6933064980020121E-2</v>
      </c>
      <c r="C4" s="150">
        <v>8.0000008239999813E-3</v>
      </c>
      <c r="D4" s="150">
        <v>5.0961538012500009E-2</v>
      </c>
      <c r="E4" s="150">
        <v>7.9158313350701684E-2</v>
      </c>
      <c r="F4" s="150">
        <v>0</v>
      </c>
      <c r="G4" s="150">
        <v>0</v>
      </c>
      <c r="H4" s="150">
        <v>0</v>
      </c>
      <c r="I4" s="150">
        <v>7.0000002159999759E-3</v>
      </c>
      <c r="J4" s="150">
        <v>1.109989912310797E-2</v>
      </c>
      <c r="K4" s="150">
        <v>4.0000005919999396E-3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0">
        <v>0</v>
      </c>
      <c r="AA4" s="150">
        <v>0</v>
      </c>
      <c r="AB4" s="150">
        <v>0</v>
      </c>
      <c r="AC4" s="150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0">
        <v>0</v>
      </c>
      <c r="AK4" s="150">
        <v>0</v>
      </c>
      <c r="AL4" s="150">
        <v>0</v>
      </c>
      <c r="AM4" s="150">
        <v>0</v>
      </c>
      <c r="AN4" s="150">
        <v>0</v>
      </c>
    </row>
    <row r="5" spans="1:40" customFormat="1" x14ac:dyDescent="0.15">
      <c r="A5" s="187" t="s">
        <v>195</v>
      </c>
      <c r="B5" s="150">
        <v>0</v>
      </c>
      <c r="C5" s="150">
        <v>0</v>
      </c>
      <c r="D5" s="150">
        <v>0</v>
      </c>
      <c r="E5" s="150">
        <v>2.0040078316633419E-3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0">
        <v>0</v>
      </c>
      <c r="AA5" s="150">
        <v>0</v>
      </c>
      <c r="AB5" s="150">
        <v>0</v>
      </c>
      <c r="AC5" s="150">
        <v>0</v>
      </c>
      <c r="AD5" s="150">
        <v>0</v>
      </c>
      <c r="AE5" s="150">
        <v>0</v>
      </c>
      <c r="AF5" s="150">
        <v>0</v>
      </c>
      <c r="AG5" s="150">
        <v>0</v>
      </c>
      <c r="AH5" s="150">
        <v>0</v>
      </c>
      <c r="AI5" s="150">
        <v>0</v>
      </c>
      <c r="AJ5" s="150">
        <v>0</v>
      </c>
      <c r="AK5" s="150">
        <v>0</v>
      </c>
      <c r="AL5" s="150">
        <v>0</v>
      </c>
      <c r="AM5" s="150">
        <v>0</v>
      </c>
      <c r="AN5" s="150">
        <v>0</v>
      </c>
    </row>
    <row r="6" spans="1:40" customFormat="1" x14ac:dyDescent="0.15">
      <c r="A6" s="187" t="s">
        <v>196</v>
      </c>
      <c r="B6" s="150">
        <v>0.19480518538961111</v>
      </c>
      <c r="C6" s="150">
        <v>0.2269999950060001</v>
      </c>
      <c r="D6" s="150">
        <v>0</v>
      </c>
      <c r="E6" s="150">
        <v>0</v>
      </c>
      <c r="F6" s="150">
        <v>3.0969031517482544E-2</v>
      </c>
      <c r="G6" s="150">
        <v>0</v>
      </c>
      <c r="H6" s="150">
        <v>0</v>
      </c>
      <c r="I6" s="150">
        <v>9.9999988800001261E-3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0">
        <v>0</v>
      </c>
      <c r="AA6" s="150">
        <v>0</v>
      </c>
      <c r="AB6" s="150">
        <v>0</v>
      </c>
      <c r="AC6" s="150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0">
        <v>0</v>
      </c>
      <c r="AK6" s="150">
        <v>0</v>
      </c>
      <c r="AL6" s="150">
        <v>0</v>
      </c>
      <c r="AM6" s="150">
        <v>0</v>
      </c>
      <c r="AN6" s="150">
        <v>0</v>
      </c>
    </row>
    <row r="7" spans="1:40" customFormat="1" x14ac:dyDescent="0.15">
      <c r="A7" s="187" t="s">
        <v>197</v>
      </c>
      <c r="B7" s="150">
        <v>1.4985018876123584E-2</v>
      </c>
      <c r="C7" s="150">
        <v>0</v>
      </c>
      <c r="D7" s="150">
        <v>0</v>
      </c>
      <c r="E7" s="150">
        <v>1.5030058737475064E-2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2.1000000735000027E-2</v>
      </c>
      <c r="M7" s="150">
        <v>9.0823976457864927E-2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1.301300855555605E-2</v>
      </c>
      <c r="Y7" s="150">
        <v>0</v>
      </c>
      <c r="Z7" s="150">
        <v>0</v>
      </c>
      <c r="AA7" s="150">
        <v>8.9910094596403322E-3</v>
      </c>
      <c r="AB7" s="150">
        <v>0</v>
      </c>
      <c r="AC7" s="150">
        <v>0</v>
      </c>
      <c r="AD7" s="150">
        <v>0</v>
      </c>
      <c r="AE7" s="150">
        <v>0</v>
      </c>
      <c r="AF7" s="150">
        <v>0</v>
      </c>
      <c r="AG7" s="150">
        <v>0</v>
      </c>
      <c r="AH7" s="150">
        <v>0</v>
      </c>
      <c r="AI7" s="150">
        <v>0</v>
      </c>
      <c r="AJ7" s="150">
        <v>0</v>
      </c>
      <c r="AK7" s="150">
        <v>0</v>
      </c>
      <c r="AL7" s="150">
        <v>0</v>
      </c>
      <c r="AM7" s="150">
        <v>0</v>
      </c>
      <c r="AN7" s="150">
        <v>0</v>
      </c>
    </row>
    <row r="8" spans="1:40" customFormat="1" x14ac:dyDescent="0.15">
      <c r="A8" s="187" t="s">
        <v>198</v>
      </c>
      <c r="B8" s="150">
        <v>3.9960037002997224E-3</v>
      </c>
      <c r="C8" s="150">
        <v>0</v>
      </c>
      <c r="D8" s="150">
        <v>0</v>
      </c>
      <c r="E8" s="150">
        <v>3.0060117474950132E-3</v>
      </c>
      <c r="F8" s="150">
        <v>0</v>
      </c>
      <c r="G8" s="150">
        <v>1.4329579541453455E-2</v>
      </c>
      <c r="H8" s="150">
        <v>4.3043052668669264E-2</v>
      </c>
      <c r="I8" s="150">
        <v>0</v>
      </c>
      <c r="J8" s="150">
        <v>3.0272447608476645E-3</v>
      </c>
      <c r="K8" s="150">
        <v>0</v>
      </c>
      <c r="L8" s="150">
        <v>0</v>
      </c>
      <c r="M8" s="150">
        <v>0</v>
      </c>
      <c r="N8" s="150">
        <v>0</v>
      </c>
      <c r="O8" s="150">
        <v>1.3013009297297498E-2</v>
      </c>
      <c r="P8" s="150">
        <v>0</v>
      </c>
      <c r="Q8" s="150">
        <v>2.9970029157842175E-3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0">
        <v>0</v>
      </c>
      <c r="AA8" s="150">
        <v>0</v>
      </c>
      <c r="AB8" s="150">
        <v>0</v>
      </c>
      <c r="AC8" s="150">
        <v>0</v>
      </c>
      <c r="AD8" s="150">
        <v>0</v>
      </c>
      <c r="AE8" s="150">
        <v>0</v>
      </c>
      <c r="AF8" s="150">
        <v>0</v>
      </c>
      <c r="AG8" s="150">
        <v>0</v>
      </c>
      <c r="AH8" s="150">
        <v>0</v>
      </c>
      <c r="AI8" s="150">
        <v>0</v>
      </c>
      <c r="AJ8" s="150">
        <v>0</v>
      </c>
      <c r="AK8" s="150">
        <v>0</v>
      </c>
      <c r="AL8" s="150">
        <v>0</v>
      </c>
      <c r="AM8" s="150">
        <v>0</v>
      </c>
      <c r="AN8" s="150">
        <v>0</v>
      </c>
    </row>
    <row r="9" spans="1:40" customFormat="1" x14ac:dyDescent="0.15">
      <c r="A9" s="187" t="s">
        <v>199</v>
      </c>
      <c r="B9" s="150">
        <v>1.9980018501498612E-2</v>
      </c>
      <c r="C9" s="150">
        <v>7.0000008459999818E-2</v>
      </c>
      <c r="D9" s="150">
        <v>5.7692307749999991E-2</v>
      </c>
      <c r="E9" s="150">
        <v>6.0120234949900264E-3</v>
      </c>
      <c r="F9" s="150">
        <v>0</v>
      </c>
      <c r="G9" s="150">
        <v>0</v>
      </c>
      <c r="H9" s="150">
        <v>2.2022021365365324E-2</v>
      </c>
      <c r="I9" s="150">
        <v>1.5999998208000202E-2</v>
      </c>
      <c r="J9" s="150">
        <v>1.2108979043390658E-2</v>
      </c>
      <c r="K9" s="150">
        <v>4.699999520600049E-2</v>
      </c>
      <c r="L9" s="150">
        <v>4.0000001400000047E-3</v>
      </c>
      <c r="M9" s="150">
        <v>0</v>
      </c>
      <c r="N9" s="150">
        <v>0</v>
      </c>
      <c r="O9" s="150">
        <v>2.4024018702702991E-2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0">
        <v>0</v>
      </c>
      <c r="AA9" s="150">
        <v>0</v>
      </c>
      <c r="AB9" s="150">
        <v>0</v>
      </c>
      <c r="AC9" s="150">
        <v>0</v>
      </c>
      <c r="AD9" s="150">
        <v>0</v>
      </c>
      <c r="AE9" s="150">
        <v>0</v>
      </c>
      <c r="AF9" s="150">
        <v>0</v>
      </c>
      <c r="AG9" s="150">
        <v>0</v>
      </c>
      <c r="AH9" s="150">
        <v>0</v>
      </c>
      <c r="AI9" s="150">
        <v>0</v>
      </c>
      <c r="AJ9" s="150">
        <v>0</v>
      </c>
      <c r="AK9" s="150">
        <v>0</v>
      </c>
      <c r="AL9" s="150">
        <v>0</v>
      </c>
      <c r="AM9" s="150">
        <v>0</v>
      </c>
      <c r="AN9" s="150">
        <v>0</v>
      </c>
    </row>
    <row r="10" spans="1:40" customFormat="1" x14ac:dyDescent="0.15">
      <c r="A10" s="187" t="s">
        <v>200</v>
      </c>
      <c r="B10" s="150">
        <v>6.2937065279720109E-2</v>
      </c>
      <c r="C10" s="150">
        <v>3.4999999230000016E-2</v>
      </c>
      <c r="D10" s="150">
        <v>7.8846156924999869E-2</v>
      </c>
      <c r="E10" s="150">
        <v>2.4048097979959767E-2</v>
      </c>
      <c r="F10" s="150">
        <v>0</v>
      </c>
      <c r="G10" s="150">
        <v>0</v>
      </c>
      <c r="H10" s="150">
        <v>0</v>
      </c>
      <c r="I10" s="150">
        <v>0</v>
      </c>
      <c r="J10" s="150">
        <v>2.018163840565057E-2</v>
      </c>
      <c r="K10" s="150">
        <v>1.9999997960000208E-3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0">
        <v>0</v>
      </c>
      <c r="AA10" s="150">
        <v>0</v>
      </c>
      <c r="AB10" s="150">
        <v>0</v>
      </c>
      <c r="AC10" s="150">
        <v>0</v>
      </c>
      <c r="AD10" s="150">
        <v>0</v>
      </c>
      <c r="AE10" s="150">
        <v>0</v>
      </c>
      <c r="AF10" s="150">
        <v>0</v>
      </c>
      <c r="AG10" s="150">
        <v>0</v>
      </c>
      <c r="AH10" s="150">
        <v>0</v>
      </c>
      <c r="AI10" s="150">
        <v>0</v>
      </c>
      <c r="AJ10" s="150">
        <v>0</v>
      </c>
      <c r="AK10" s="150">
        <v>0</v>
      </c>
      <c r="AL10" s="150">
        <v>0</v>
      </c>
      <c r="AM10" s="150">
        <v>0</v>
      </c>
      <c r="AN10" s="150">
        <v>0</v>
      </c>
    </row>
    <row r="11" spans="1:40" customFormat="1" x14ac:dyDescent="0.15">
      <c r="A11" s="187" t="s">
        <v>201</v>
      </c>
      <c r="B11" s="150">
        <v>0</v>
      </c>
      <c r="C11" s="150">
        <v>0</v>
      </c>
      <c r="D11" s="150">
        <v>0</v>
      </c>
      <c r="E11" s="150">
        <v>1.0020039158316709E-3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0">
        <v>0</v>
      </c>
      <c r="AA11" s="150">
        <v>0</v>
      </c>
      <c r="AB11" s="150">
        <v>0</v>
      </c>
      <c r="AC11" s="150">
        <v>0</v>
      </c>
      <c r="AD11" s="150">
        <v>0</v>
      </c>
      <c r="AE11" s="150">
        <v>0</v>
      </c>
      <c r="AF11" s="150">
        <v>0</v>
      </c>
      <c r="AG11" s="150">
        <v>0</v>
      </c>
      <c r="AH11" s="150">
        <v>0</v>
      </c>
      <c r="AI11" s="150">
        <v>0</v>
      </c>
      <c r="AJ11" s="150">
        <v>0</v>
      </c>
      <c r="AK11" s="150">
        <v>0</v>
      </c>
      <c r="AL11" s="150">
        <v>0</v>
      </c>
      <c r="AM11" s="150">
        <v>0</v>
      </c>
      <c r="AN11" s="150">
        <v>0</v>
      </c>
    </row>
    <row r="12" spans="1:40" customFormat="1" x14ac:dyDescent="0.15">
      <c r="A12" s="187" t="s">
        <v>202</v>
      </c>
      <c r="B12" s="150">
        <v>0</v>
      </c>
      <c r="C12" s="150">
        <v>0</v>
      </c>
      <c r="D12" s="150">
        <v>0</v>
      </c>
      <c r="E12" s="150">
        <v>1.0020039158316709E-3</v>
      </c>
      <c r="F12" s="150">
        <v>0</v>
      </c>
      <c r="G12" s="150">
        <v>1.0235419672466569E-3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0">
        <v>0</v>
      </c>
      <c r="AA12" s="150">
        <v>0</v>
      </c>
      <c r="AB12" s="150">
        <v>0</v>
      </c>
      <c r="AC12" s="150">
        <v>0</v>
      </c>
      <c r="AD12" s="150">
        <v>0</v>
      </c>
      <c r="AE12" s="150">
        <v>0</v>
      </c>
      <c r="AF12" s="150">
        <v>0</v>
      </c>
      <c r="AG12" s="150">
        <v>0</v>
      </c>
      <c r="AH12" s="150">
        <v>0</v>
      </c>
      <c r="AI12" s="150">
        <v>0</v>
      </c>
      <c r="AJ12" s="150">
        <v>0</v>
      </c>
      <c r="AK12" s="150">
        <v>0</v>
      </c>
      <c r="AL12" s="150">
        <v>0</v>
      </c>
      <c r="AM12" s="150">
        <v>0</v>
      </c>
      <c r="AN12" s="150">
        <v>0</v>
      </c>
    </row>
    <row r="13" spans="1:40" customFormat="1" x14ac:dyDescent="0.15">
      <c r="A13" s="187" t="s">
        <v>203</v>
      </c>
      <c r="B13" s="150">
        <v>0</v>
      </c>
      <c r="C13" s="150">
        <v>1.9999999560000011E-3</v>
      </c>
      <c r="D13" s="150">
        <v>0</v>
      </c>
      <c r="E13" s="150">
        <v>0</v>
      </c>
      <c r="F13" s="150">
        <v>0</v>
      </c>
      <c r="G13" s="150">
        <v>7.1647897707267276E-3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1.0010009459459489E-3</v>
      </c>
      <c r="P13" s="150">
        <v>0</v>
      </c>
      <c r="Q13" s="150">
        <v>0</v>
      </c>
      <c r="R13" s="150">
        <v>0</v>
      </c>
      <c r="S13" s="150">
        <v>1.9323668208695954E-3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0">
        <v>0</v>
      </c>
      <c r="AA13" s="150">
        <v>1.1988009279520642E-2</v>
      </c>
      <c r="AB13" s="150">
        <v>0</v>
      </c>
      <c r="AC13" s="150">
        <v>0</v>
      </c>
      <c r="AD13" s="150">
        <v>0</v>
      </c>
      <c r="AE13" s="150">
        <v>0</v>
      </c>
      <c r="AF13" s="150">
        <v>0</v>
      </c>
      <c r="AG13" s="150">
        <v>0</v>
      </c>
      <c r="AH13" s="150">
        <v>0</v>
      </c>
      <c r="AI13" s="150">
        <v>0</v>
      </c>
      <c r="AJ13" s="150">
        <v>0</v>
      </c>
      <c r="AK13" s="150">
        <v>0</v>
      </c>
      <c r="AL13" s="150">
        <v>0</v>
      </c>
      <c r="AM13" s="150">
        <v>0</v>
      </c>
      <c r="AN13" s="150">
        <v>0</v>
      </c>
    </row>
    <row r="14" spans="1:40" customFormat="1" x14ac:dyDescent="0.15">
      <c r="A14" s="187" t="s">
        <v>204</v>
      </c>
      <c r="B14" s="150">
        <v>0</v>
      </c>
      <c r="C14" s="150">
        <v>0</v>
      </c>
      <c r="D14" s="150">
        <v>0</v>
      </c>
      <c r="E14" s="150">
        <v>5.0100195791583542E-3</v>
      </c>
      <c r="F14" s="150">
        <v>0</v>
      </c>
      <c r="G14" s="150">
        <v>0</v>
      </c>
      <c r="H14" s="150">
        <v>0</v>
      </c>
      <c r="I14" s="150">
        <v>4.0000005519999389E-3</v>
      </c>
      <c r="J14" s="150">
        <v>0</v>
      </c>
      <c r="K14" s="150">
        <v>4.9999994900000524E-3</v>
      </c>
      <c r="L14" s="150">
        <v>0</v>
      </c>
      <c r="M14" s="150">
        <v>0</v>
      </c>
      <c r="N14" s="150">
        <v>3.0030030900900927E-3</v>
      </c>
      <c r="O14" s="150">
        <v>4.0040037837837956E-3</v>
      </c>
      <c r="P14" s="150">
        <v>0</v>
      </c>
      <c r="Q14" s="150">
        <v>0</v>
      </c>
      <c r="R14" s="150">
        <v>0</v>
      </c>
      <c r="S14" s="150">
        <v>5.7971014626086942E-3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0">
        <v>0</v>
      </c>
      <c r="AA14" s="150">
        <v>0</v>
      </c>
      <c r="AB14" s="150">
        <v>3.2822759737417924E-3</v>
      </c>
      <c r="AC14" s="150">
        <v>0</v>
      </c>
      <c r="AD14" s="150">
        <v>0</v>
      </c>
      <c r="AE14" s="150">
        <v>0</v>
      </c>
      <c r="AF14" s="150">
        <v>0</v>
      </c>
      <c r="AG14" s="150">
        <v>0</v>
      </c>
      <c r="AH14" s="150">
        <v>0</v>
      </c>
      <c r="AI14" s="150">
        <v>0</v>
      </c>
      <c r="AJ14" s="150">
        <v>0</v>
      </c>
      <c r="AK14" s="150">
        <v>0</v>
      </c>
      <c r="AL14" s="150">
        <v>0</v>
      </c>
      <c r="AM14" s="150">
        <v>0</v>
      </c>
      <c r="AN14" s="150">
        <v>0</v>
      </c>
    </row>
    <row r="15" spans="1:40" customFormat="1" x14ac:dyDescent="0.15">
      <c r="A15" s="187" t="s">
        <v>205</v>
      </c>
      <c r="B15" s="150">
        <v>0</v>
      </c>
      <c r="C15" s="150">
        <v>0</v>
      </c>
      <c r="D15" s="150">
        <v>0</v>
      </c>
      <c r="E15" s="150">
        <v>0</v>
      </c>
      <c r="F15" s="150">
        <v>0</v>
      </c>
      <c r="G15" s="150">
        <v>0.22108499292528022</v>
      </c>
      <c r="H15" s="150">
        <v>4.4044052730731267E-2</v>
      </c>
      <c r="I15" s="150">
        <v>0</v>
      </c>
      <c r="J15" s="150">
        <v>0</v>
      </c>
      <c r="K15" s="150">
        <v>0</v>
      </c>
      <c r="L15" s="150">
        <v>4.0000001400000047E-3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0">
        <v>0</v>
      </c>
      <c r="AA15" s="150">
        <v>0</v>
      </c>
      <c r="AB15" s="150">
        <v>0</v>
      </c>
      <c r="AC15" s="150">
        <v>0</v>
      </c>
      <c r="AD15" s="150">
        <v>0</v>
      </c>
      <c r="AE15" s="150">
        <v>0</v>
      </c>
      <c r="AF15" s="150">
        <v>0</v>
      </c>
      <c r="AG15" s="150">
        <v>0</v>
      </c>
      <c r="AH15" s="150">
        <v>0</v>
      </c>
      <c r="AI15" s="150">
        <v>0</v>
      </c>
      <c r="AJ15" s="150">
        <v>0</v>
      </c>
      <c r="AK15" s="150">
        <v>0</v>
      </c>
      <c r="AL15" s="150">
        <v>0</v>
      </c>
      <c r="AM15" s="150">
        <v>0</v>
      </c>
      <c r="AN15" s="150">
        <v>0</v>
      </c>
    </row>
    <row r="16" spans="1:40" customFormat="1" x14ac:dyDescent="0.15">
      <c r="A16" s="187" t="s">
        <v>206</v>
      </c>
      <c r="B16" s="150">
        <v>1.9980018501498612E-3</v>
      </c>
      <c r="C16" s="150">
        <v>1.9999999560000011E-3</v>
      </c>
      <c r="D16" s="150">
        <v>1.9230769249999997E-3</v>
      </c>
      <c r="E16" s="150">
        <v>1.0020039158316709E-3</v>
      </c>
      <c r="F16" s="150">
        <v>9.9900104895105134E-4</v>
      </c>
      <c r="G16" s="150">
        <v>2.047082934493346E-3</v>
      </c>
      <c r="H16" s="150">
        <v>2.0020021241241317E-3</v>
      </c>
      <c r="I16" s="150">
        <v>9.9999988800001261E-4</v>
      </c>
      <c r="J16" s="150">
        <v>2.0181638405650567E-3</v>
      </c>
      <c r="K16" s="150">
        <v>4.0000005919999396E-3</v>
      </c>
      <c r="L16" s="150">
        <v>5.9999992099999721E-3</v>
      </c>
      <c r="M16" s="150">
        <v>2.5280899014044938E-2</v>
      </c>
      <c r="N16" s="150">
        <v>0</v>
      </c>
      <c r="O16" s="150">
        <v>2.0020018918918978E-3</v>
      </c>
      <c r="P16" s="150">
        <v>0</v>
      </c>
      <c r="Q16" s="150">
        <v>0</v>
      </c>
      <c r="R16" s="150">
        <v>1.999999998E-3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0">
        <v>0</v>
      </c>
      <c r="AA16" s="150">
        <v>8.9910094596403322E-3</v>
      </c>
      <c r="AB16" s="150">
        <v>0</v>
      </c>
      <c r="AC16" s="150">
        <v>0</v>
      </c>
      <c r="AD16" s="150">
        <v>0</v>
      </c>
      <c r="AE16" s="150">
        <v>0</v>
      </c>
      <c r="AF16" s="150">
        <v>0</v>
      </c>
      <c r="AG16" s="150">
        <v>0</v>
      </c>
      <c r="AH16" s="150">
        <v>0</v>
      </c>
      <c r="AI16" s="150">
        <v>0</v>
      </c>
      <c r="AJ16" s="150">
        <v>0</v>
      </c>
      <c r="AK16" s="150">
        <v>0</v>
      </c>
      <c r="AL16" s="150">
        <v>0</v>
      </c>
      <c r="AM16" s="150">
        <v>0</v>
      </c>
      <c r="AN16" s="150">
        <v>0</v>
      </c>
    </row>
    <row r="17" spans="1:40" customFormat="1" x14ac:dyDescent="0.15">
      <c r="A17" s="187" t="s">
        <v>207</v>
      </c>
      <c r="B17" s="150">
        <v>0.12587409055944321</v>
      </c>
      <c r="C17" s="150">
        <v>0</v>
      </c>
      <c r="D17" s="150">
        <v>0</v>
      </c>
      <c r="E17" s="150">
        <v>0</v>
      </c>
      <c r="F17" s="150">
        <v>0</v>
      </c>
      <c r="G17" s="150">
        <v>0</v>
      </c>
      <c r="H17" s="150">
        <v>6.1061073785786568E-2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4.1041037783783957E-2</v>
      </c>
      <c r="P17" s="150">
        <v>0</v>
      </c>
      <c r="Q17" s="150">
        <v>1.7982019494705251E-2</v>
      </c>
      <c r="R17" s="150">
        <v>0</v>
      </c>
      <c r="S17" s="150">
        <v>0</v>
      </c>
      <c r="T17" s="150">
        <v>5.0050047647647762E-2</v>
      </c>
      <c r="U17" s="150">
        <v>0</v>
      </c>
      <c r="V17" s="150">
        <v>0</v>
      </c>
      <c r="W17" s="150">
        <v>0</v>
      </c>
      <c r="X17" s="150">
        <v>0</v>
      </c>
      <c r="Y17" s="150">
        <v>0</v>
      </c>
      <c r="Z17" s="150">
        <v>0</v>
      </c>
      <c r="AA17" s="150">
        <v>0</v>
      </c>
      <c r="AB17" s="150">
        <v>0</v>
      </c>
      <c r="AC17" s="150">
        <v>0</v>
      </c>
      <c r="AD17" s="150">
        <v>0</v>
      </c>
      <c r="AE17" s="150">
        <v>0</v>
      </c>
      <c r="AF17" s="150">
        <v>0</v>
      </c>
      <c r="AG17" s="150">
        <v>0</v>
      </c>
      <c r="AH17" s="150">
        <v>0</v>
      </c>
      <c r="AI17" s="150">
        <v>0</v>
      </c>
      <c r="AJ17" s="150">
        <v>0</v>
      </c>
      <c r="AK17" s="150">
        <v>0</v>
      </c>
      <c r="AL17" s="150">
        <v>0</v>
      </c>
      <c r="AM17" s="150">
        <v>0</v>
      </c>
      <c r="AN17" s="150">
        <v>0</v>
      </c>
    </row>
    <row r="18" spans="1:40" customFormat="1" x14ac:dyDescent="0.15">
      <c r="A18" s="187" t="s">
        <v>208</v>
      </c>
      <c r="B18" s="150">
        <v>6.99300747552444E-3</v>
      </c>
      <c r="C18" s="150">
        <v>7.0000008459999803E-3</v>
      </c>
      <c r="D18" s="150">
        <v>0</v>
      </c>
      <c r="E18" s="150">
        <v>2.0040078316633417E-2</v>
      </c>
      <c r="F18" s="150">
        <v>0</v>
      </c>
      <c r="G18" s="150">
        <v>1.8423749410440018E-2</v>
      </c>
      <c r="H18" s="150">
        <v>7.0070074344344606E-3</v>
      </c>
      <c r="I18" s="150">
        <v>0</v>
      </c>
      <c r="J18" s="150">
        <v>0</v>
      </c>
      <c r="K18" s="150">
        <v>0</v>
      </c>
      <c r="L18" s="150">
        <v>2.5000000875000032E-2</v>
      </c>
      <c r="M18" s="150">
        <v>2.8089888904494335E-3</v>
      </c>
      <c r="N18" s="150">
        <v>0</v>
      </c>
      <c r="O18" s="150">
        <v>5.8058056864864926E-2</v>
      </c>
      <c r="P18" s="150">
        <v>0</v>
      </c>
      <c r="Q18" s="150">
        <v>0</v>
      </c>
      <c r="R18" s="150">
        <v>0</v>
      </c>
      <c r="S18" s="150">
        <v>0</v>
      </c>
      <c r="T18" s="150">
        <v>1.0010009529529552E-2</v>
      </c>
      <c r="U18" s="150">
        <v>0</v>
      </c>
      <c r="V18" s="150">
        <v>0</v>
      </c>
      <c r="W18" s="150">
        <v>0</v>
      </c>
      <c r="X18" s="150">
        <v>6.0060053333334078E-3</v>
      </c>
      <c r="Y18" s="150">
        <v>0</v>
      </c>
      <c r="Z18" s="150">
        <v>0</v>
      </c>
      <c r="AA18" s="150">
        <v>0</v>
      </c>
      <c r="AB18" s="150">
        <v>0</v>
      </c>
      <c r="AC18" s="150">
        <v>0</v>
      </c>
      <c r="AD18" s="150">
        <v>0</v>
      </c>
      <c r="AE18" s="150">
        <v>0</v>
      </c>
      <c r="AF18" s="150">
        <v>0</v>
      </c>
      <c r="AG18" s="150">
        <v>0</v>
      </c>
      <c r="AH18" s="150">
        <v>0</v>
      </c>
      <c r="AI18" s="150">
        <v>0</v>
      </c>
      <c r="AJ18" s="150">
        <v>0</v>
      </c>
      <c r="AK18" s="150">
        <v>0</v>
      </c>
      <c r="AL18" s="150">
        <v>0</v>
      </c>
      <c r="AM18" s="150">
        <v>0</v>
      </c>
      <c r="AN18" s="150">
        <v>0</v>
      </c>
    </row>
    <row r="19" spans="1:40" customFormat="1" x14ac:dyDescent="0.15">
      <c r="A19" s="187" t="s">
        <v>209</v>
      </c>
      <c r="B19" s="150">
        <v>3.9960037002997224E-3</v>
      </c>
      <c r="C19" s="150">
        <v>0</v>
      </c>
      <c r="D19" s="150">
        <v>0</v>
      </c>
      <c r="E19" s="150">
        <v>0</v>
      </c>
      <c r="F19" s="150">
        <v>0</v>
      </c>
      <c r="G19" s="150">
        <v>7.0624357740020557E-2</v>
      </c>
      <c r="H19" s="150">
        <v>2.2022021365365324E-2</v>
      </c>
      <c r="I19" s="150">
        <v>0</v>
      </c>
      <c r="J19" s="150">
        <v>0</v>
      </c>
      <c r="K19" s="150">
        <v>1.5999998368000166E-2</v>
      </c>
      <c r="L19" s="150">
        <v>6.0999992134999723E-2</v>
      </c>
      <c r="M19" s="150">
        <v>0</v>
      </c>
      <c r="N19" s="150">
        <v>0</v>
      </c>
      <c r="O19" s="150">
        <v>0</v>
      </c>
      <c r="P19" s="150">
        <v>1.6999997773000295E-2</v>
      </c>
      <c r="Q19" s="150">
        <v>0</v>
      </c>
      <c r="R19" s="150">
        <v>0</v>
      </c>
      <c r="S19" s="150">
        <v>1.4492748656522197E-2</v>
      </c>
      <c r="T19" s="150">
        <v>0</v>
      </c>
      <c r="U19" s="150">
        <v>0</v>
      </c>
      <c r="V19" s="150">
        <v>0</v>
      </c>
      <c r="W19" s="150">
        <v>0</v>
      </c>
      <c r="X19" s="150">
        <v>0</v>
      </c>
      <c r="Y19" s="150">
        <v>0</v>
      </c>
      <c r="Z19" s="150">
        <v>0</v>
      </c>
      <c r="AA19" s="150">
        <v>1.1988009279520642E-2</v>
      </c>
      <c r="AB19" s="150">
        <v>0</v>
      </c>
      <c r="AC19" s="150">
        <v>0</v>
      </c>
      <c r="AD19" s="150">
        <v>0</v>
      </c>
      <c r="AE19" s="150">
        <v>0</v>
      </c>
      <c r="AF19" s="150">
        <v>0</v>
      </c>
      <c r="AG19" s="150">
        <v>0</v>
      </c>
      <c r="AH19" s="150">
        <v>0</v>
      </c>
      <c r="AI19" s="150">
        <v>0</v>
      </c>
      <c r="AJ19" s="150">
        <v>0</v>
      </c>
      <c r="AK19" s="150">
        <v>0</v>
      </c>
      <c r="AL19" s="150">
        <v>0</v>
      </c>
      <c r="AM19" s="150">
        <v>0</v>
      </c>
      <c r="AN19" s="150">
        <v>0</v>
      </c>
    </row>
    <row r="20" spans="1:40" customFormat="1" x14ac:dyDescent="0.15">
      <c r="A20" s="187" t="s">
        <v>210</v>
      </c>
      <c r="B20" s="150">
        <v>0</v>
      </c>
      <c r="C20" s="150">
        <v>1.5999999648000009E-2</v>
      </c>
      <c r="D20" s="150">
        <v>0.22115389137499819</v>
      </c>
      <c r="E20" s="150">
        <v>0.17334668543887841</v>
      </c>
      <c r="F20" s="150">
        <v>0</v>
      </c>
      <c r="G20" s="150">
        <v>0.40532238702968365</v>
      </c>
      <c r="H20" s="150">
        <v>0</v>
      </c>
      <c r="I20" s="150">
        <v>0</v>
      </c>
      <c r="J20" s="150">
        <v>0.36528757114228194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8.008008623623596E-3</v>
      </c>
      <c r="U20" s="150">
        <v>0</v>
      </c>
      <c r="V20" s="150">
        <v>0</v>
      </c>
      <c r="W20" s="150">
        <v>0</v>
      </c>
      <c r="X20" s="150">
        <v>1.5015018333332963E-2</v>
      </c>
      <c r="Y20" s="150">
        <v>3.8038031483483233E-2</v>
      </c>
      <c r="Z20" s="150">
        <v>0</v>
      </c>
      <c r="AA20" s="150">
        <v>0</v>
      </c>
      <c r="AB20" s="150">
        <v>0</v>
      </c>
      <c r="AC20" s="150">
        <v>0</v>
      </c>
      <c r="AD20" s="150">
        <v>0</v>
      </c>
      <c r="AE20" s="150">
        <v>0</v>
      </c>
      <c r="AF20" s="150">
        <v>0</v>
      </c>
      <c r="AG20" s="150">
        <v>0</v>
      </c>
      <c r="AH20" s="150">
        <v>0</v>
      </c>
      <c r="AI20" s="150">
        <v>0</v>
      </c>
      <c r="AJ20" s="150">
        <v>0</v>
      </c>
      <c r="AK20" s="150">
        <v>0</v>
      </c>
      <c r="AL20" s="150">
        <v>0</v>
      </c>
      <c r="AM20" s="150">
        <v>0</v>
      </c>
      <c r="AN20" s="150">
        <v>0</v>
      </c>
    </row>
    <row r="21" spans="1:40" customFormat="1" x14ac:dyDescent="0.15">
      <c r="A21" s="187" t="s">
        <v>211</v>
      </c>
      <c r="B21" s="150">
        <v>0.19780218516483614</v>
      </c>
      <c r="C21" s="150">
        <v>0.50599998886800024</v>
      </c>
      <c r="D21" s="150">
        <v>0.31346148777500193</v>
      </c>
      <c r="E21" s="150">
        <v>0.13927858830059858</v>
      </c>
      <c r="F21" s="150">
        <v>0.84415584136363619</v>
      </c>
      <c r="G21" s="150">
        <v>0</v>
      </c>
      <c r="H21" s="150">
        <v>0.33933932103903791</v>
      </c>
      <c r="I21" s="150">
        <v>0.70700002081599778</v>
      </c>
      <c r="J21" s="150">
        <v>0.16448028700605735</v>
      </c>
      <c r="K21" s="150">
        <v>0.63400003533199634</v>
      </c>
      <c r="L21" s="150">
        <v>9.5999993359999758E-2</v>
      </c>
      <c r="M21" s="150">
        <v>6.6479407407303126E-2</v>
      </c>
      <c r="N21" s="150">
        <v>0</v>
      </c>
      <c r="O21" s="150">
        <v>2.9029028432432463E-2</v>
      </c>
      <c r="P21" s="150">
        <v>4.9000003580999527E-2</v>
      </c>
      <c r="Q21" s="150">
        <v>0.16483519536813099</v>
      </c>
      <c r="R21" s="150">
        <v>0</v>
      </c>
      <c r="S21" s="150">
        <v>0</v>
      </c>
      <c r="T21" s="150">
        <v>0.27827828692092055</v>
      </c>
      <c r="U21" s="150">
        <v>0</v>
      </c>
      <c r="V21" s="150">
        <v>0</v>
      </c>
      <c r="W21" s="150">
        <v>0</v>
      </c>
      <c r="X21" s="150">
        <v>0</v>
      </c>
      <c r="Y21" s="150">
        <v>0</v>
      </c>
      <c r="Z21" s="150">
        <v>0</v>
      </c>
      <c r="AA21" s="150">
        <v>1.7982018919280664E-2</v>
      </c>
      <c r="AB21" s="150">
        <v>0</v>
      </c>
      <c r="AC21" s="150">
        <v>0</v>
      </c>
      <c r="AD21" s="150">
        <v>0</v>
      </c>
      <c r="AE21" s="150">
        <v>0</v>
      </c>
      <c r="AF21" s="150">
        <v>0</v>
      </c>
      <c r="AG21" s="150">
        <v>0</v>
      </c>
      <c r="AH21" s="150">
        <v>0</v>
      </c>
      <c r="AI21" s="150">
        <v>0</v>
      </c>
      <c r="AJ21" s="150">
        <v>0</v>
      </c>
      <c r="AK21" s="150">
        <v>0</v>
      </c>
      <c r="AL21" s="150">
        <v>0</v>
      </c>
      <c r="AM21" s="150">
        <v>0</v>
      </c>
      <c r="AN21" s="150">
        <v>0</v>
      </c>
    </row>
    <row r="22" spans="1:40" customFormat="1" x14ac:dyDescent="0.15">
      <c r="A22" s="187" t="s">
        <v>212</v>
      </c>
      <c r="B22" s="150">
        <v>0</v>
      </c>
      <c r="C22" s="150">
        <v>0</v>
      </c>
      <c r="D22" s="150">
        <v>0</v>
      </c>
      <c r="E22" s="150">
        <v>0</v>
      </c>
      <c r="F22" s="150">
        <v>0</v>
      </c>
      <c r="G22" s="150">
        <v>0</v>
      </c>
      <c r="H22" s="150">
        <v>3.0030031861861973E-3</v>
      </c>
      <c r="I22" s="150">
        <v>1.9999997760000252E-3</v>
      </c>
      <c r="J22" s="150">
        <v>0</v>
      </c>
      <c r="K22" s="150">
        <v>1.3999998572000147E-2</v>
      </c>
      <c r="L22" s="150">
        <v>0</v>
      </c>
      <c r="M22" s="150">
        <v>0</v>
      </c>
      <c r="N22" s="150">
        <v>0</v>
      </c>
      <c r="O22" s="150">
        <v>3.0030028378378467E-3</v>
      </c>
      <c r="P22" s="150">
        <v>4.9999993450000864E-3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  <c r="W22" s="150">
        <v>0</v>
      </c>
      <c r="X22" s="150">
        <v>0</v>
      </c>
      <c r="Y22" s="150">
        <v>0</v>
      </c>
      <c r="Z22" s="150">
        <v>0</v>
      </c>
      <c r="AA22" s="150">
        <v>0</v>
      </c>
      <c r="AB22" s="150">
        <v>0</v>
      </c>
      <c r="AC22" s="150">
        <v>0</v>
      </c>
      <c r="AD22" s="150">
        <v>0</v>
      </c>
      <c r="AE22" s="150">
        <v>0</v>
      </c>
      <c r="AF22" s="150">
        <v>0</v>
      </c>
      <c r="AG22" s="150">
        <v>0</v>
      </c>
      <c r="AH22" s="150">
        <v>0</v>
      </c>
      <c r="AI22" s="150">
        <v>0</v>
      </c>
      <c r="AJ22" s="150">
        <v>0</v>
      </c>
      <c r="AK22" s="150">
        <v>0</v>
      </c>
      <c r="AL22" s="150">
        <v>0</v>
      </c>
      <c r="AM22" s="150">
        <v>0</v>
      </c>
      <c r="AN22" s="150">
        <v>0</v>
      </c>
    </row>
    <row r="23" spans="1:40" customFormat="1" x14ac:dyDescent="0.15">
      <c r="A23" s="187" t="s">
        <v>213</v>
      </c>
      <c r="B23" s="150">
        <v>4.1958046853146483E-2</v>
      </c>
      <c r="C23" s="150">
        <v>0</v>
      </c>
      <c r="D23" s="150">
        <v>0</v>
      </c>
      <c r="E23" s="150">
        <v>7.6152293603207341E-2</v>
      </c>
      <c r="F23" s="150">
        <v>0</v>
      </c>
      <c r="G23" s="150">
        <v>0</v>
      </c>
      <c r="H23" s="150">
        <v>1.5015020930931296E-2</v>
      </c>
      <c r="I23" s="150">
        <v>0</v>
      </c>
      <c r="J23" s="150">
        <v>0</v>
      </c>
      <c r="K23" s="150">
        <v>0</v>
      </c>
      <c r="L23" s="150">
        <v>7.299999255499974E-2</v>
      </c>
      <c r="M23" s="150">
        <v>2.0599249196629282E-2</v>
      </c>
      <c r="N23" s="150">
        <v>0</v>
      </c>
      <c r="O23" s="150">
        <v>8.8088095243242862E-2</v>
      </c>
      <c r="P23" s="150">
        <v>0</v>
      </c>
      <c r="Q23" s="150">
        <v>0</v>
      </c>
      <c r="R23" s="150">
        <v>0</v>
      </c>
      <c r="S23" s="150">
        <v>0</v>
      </c>
      <c r="T23" s="150">
        <v>4.7047047788788758E-2</v>
      </c>
      <c r="U23" s="150">
        <v>0</v>
      </c>
      <c r="V23" s="150">
        <v>0</v>
      </c>
      <c r="W23" s="150">
        <v>0</v>
      </c>
      <c r="X23" s="150">
        <v>3.2032036444443947E-2</v>
      </c>
      <c r="Y23" s="150">
        <v>0</v>
      </c>
      <c r="Z23" s="150">
        <v>0</v>
      </c>
      <c r="AA23" s="150">
        <v>0</v>
      </c>
      <c r="AB23" s="150">
        <v>0</v>
      </c>
      <c r="AC23" s="150">
        <v>0</v>
      </c>
      <c r="AD23" s="150">
        <v>0</v>
      </c>
      <c r="AE23" s="150">
        <v>0</v>
      </c>
      <c r="AF23" s="150">
        <v>0</v>
      </c>
      <c r="AG23" s="150">
        <v>0</v>
      </c>
      <c r="AH23" s="150">
        <v>0</v>
      </c>
      <c r="AI23" s="150">
        <v>0</v>
      </c>
      <c r="AJ23" s="150">
        <v>0</v>
      </c>
      <c r="AK23" s="150">
        <v>0</v>
      </c>
      <c r="AL23" s="150">
        <v>0</v>
      </c>
      <c r="AM23" s="150">
        <v>0</v>
      </c>
      <c r="AN23" s="150">
        <v>0</v>
      </c>
    </row>
    <row r="24" spans="1:40" customFormat="1" x14ac:dyDescent="0.15">
      <c r="A24" s="187" t="s">
        <v>214</v>
      </c>
      <c r="B24" s="150">
        <v>0</v>
      </c>
      <c r="C24" s="150">
        <v>0</v>
      </c>
      <c r="D24" s="150">
        <v>0</v>
      </c>
      <c r="E24" s="150">
        <v>0.11823649006813482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0.13413410402402312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  <c r="W24" s="150">
        <v>0</v>
      </c>
      <c r="X24" s="150">
        <v>0</v>
      </c>
      <c r="Y24" s="150">
        <v>0</v>
      </c>
      <c r="Z24" s="150">
        <v>0</v>
      </c>
      <c r="AA24" s="150">
        <v>0</v>
      </c>
      <c r="AB24" s="150">
        <v>0</v>
      </c>
      <c r="AC24" s="150">
        <v>0</v>
      </c>
      <c r="AD24" s="150">
        <v>0</v>
      </c>
      <c r="AE24" s="150">
        <v>0</v>
      </c>
      <c r="AF24" s="150">
        <v>0</v>
      </c>
      <c r="AG24" s="150">
        <v>0</v>
      </c>
      <c r="AH24" s="150">
        <v>0</v>
      </c>
      <c r="AI24" s="150">
        <v>0</v>
      </c>
      <c r="AJ24" s="150">
        <v>0</v>
      </c>
      <c r="AK24" s="150">
        <v>0</v>
      </c>
      <c r="AL24" s="150">
        <v>0</v>
      </c>
      <c r="AM24" s="150">
        <v>0</v>
      </c>
      <c r="AN24" s="150">
        <v>0</v>
      </c>
    </row>
    <row r="25" spans="1:40" customFormat="1" x14ac:dyDescent="0.15">
      <c r="A25" s="187" t="s">
        <v>215</v>
      </c>
      <c r="B25" s="150">
        <v>4.995004625374653E-3</v>
      </c>
      <c r="C25" s="150">
        <v>0</v>
      </c>
      <c r="D25" s="150">
        <v>0</v>
      </c>
      <c r="E25" s="150">
        <v>0</v>
      </c>
      <c r="F25" s="150">
        <v>0</v>
      </c>
      <c r="G25" s="150">
        <v>0</v>
      </c>
      <c r="H25" s="150">
        <v>0.23623621464664529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4.7047051411411536E-2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  <c r="W25" s="150">
        <v>0</v>
      </c>
      <c r="X25" s="150">
        <v>7.2072062000001116E-2</v>
      </c>
      <c r="Y25" s="150">
        <v>7.9079083084084248E-2</v>
      </c>
      <c r="Z25" s="150">
        <v>0</v>
      </c>
      <c r="AA25" s="150">
        <v>0</v>
      </c>
      <c r="AB25" s="150">
        <v>0</v>
      </c>
      <c r="AC25" s="150">
        <v>0</v>
      </c>
      <c r="AD25" s="150">
        <v>0</v>
      </c>
      <c r="AE25" s="150">
        <v>0</v>
      </c>
      <c r="AF25" s="150">
        <v>0</v>
      </c>
      <c r="AG25" s="150">
        <v>0</v>
      </c>
      <c r="AH25" s="150">
        <v>0</v>
      </c>
      <c r="AI25" s="150">
        <v>0</v>
      </c>
      <c r="AJ25" s="150">
        <v>0</v>
      </c>
      <c r="AK25" s="150">
        <v>0</v>
      </c>
      <c r="AL25" s="150">
        <v>0</v>
      </c>
      <c r="AM25" s="150">
        <v>0</v>
      </c>
      <c r="AN25" s="150">
        <v>0</v>
      </c>
    </row>
    <row r="26" spans="1:40" customFormat="1" x14ac:dyDescent="0.15">
      <c r="A26" s="187" t="s">
        <v>216</v>
      </c>
      <c r="B26" s="150">
        <v>0</v>
      </c>
      <c r="C26" s="150">
        <v>2.9999999340000012E-3</v>
      </c>
      <c r="D26" s="150">
        <v>4.5192308237499972E-2</v>
      </c>
      <c r="E26" s="150">
        <v>0</v>
      </c>
      <c r="F26" s="150">
        <v>0</v>
      </c>
      <c r="G26" s="150">
        <v>7.1647897707267275E-2</v>
      </c>
      <c r="H26" s="150">
        <v>7.0070074344344606E-3</v>
      </c>
      <c r="I26" s="150">
        <v>1.7999997984000225E-2</v>
      </c>
      <c r="J26" s="150">
        <v>4.0363266811301923E-2</v>
      </c>
      <c r="K26" s="150">
        <v>0</v>
      </c>
      <c r="L26" s="150">
        <v>1.2000000420000016E-2</v>
      </c>
      <c r="M26" s="150">
        <v>0</v>
      </c>
      <c r="N26" s="150">
        <v>0</v>
      </c>
      <c r="O26" s="150">
        <v>0</v>
      </c>
      <c r="P26" s="150">
        <v>3.2000005807999242E-2</v>
      </c>
      <c r="Q26" s="150">
        <v>0</v>
      </c>
      <c r="R26" s="150">
        <v>0</v>
      </c>
      <c r="S26" s="150">
        <v>2.8985507313043471E-3</v>
      </c>
      <c r="T26" s="150">
        <v>0</v>
      </c>
      <c r="U26" s="150">
        <v>0</v>
      </c>
      <c r="V26" s="150">
        <v>0</v>
      </c>
      <c r="W26" s="150">
        <v>4.9999999900000001E-3</v>
      </c>
      <c r="X26" s="150">
        <v>0</v>
      </c>
      <c r="Y26" s="150">
        <v>0</v>
      </c>
      <c r="Z26" s="150">
        <v>2.3E-2</v>
      </c>
      <c r="AA26" s="150">
        <v>1.5984019039360454E-2</v>
      </c>
      <c r="AB26" s="150">
        <v>0</v>
      </c>
      <c r="AC26" s="150">
        <v>0</v>
      </c>
      <c r="AD26" s="150">
        <v>0</v>
      </c>
      <c r="AE26" s="150">
        <v>0</v>
      </c>
      <c r="AF26" s="150">
        <v>0</v>
      </c>
      <c r="AG26" s="150">
        <v>0</v>
      </c>
      <c r="AH26" s="150">
        <v>0</v>
      </c>
      <c r="AI26" s="150">
        <v>0</v>
      </c>
      <c r="AJ26" s="150">
        <v>0</v>
      </c>
      <c r="AK26" s="150">
        <v>0</v>
      </c>
      <c r="AL26" s="150">
        <v>0</v>
      </c>
      <c r="AM26" s="150">
        <v>0</v>
      </c>
      <c r="AN26" s="150">
        <v>0</v>
      </c>
    </row>
    <row r="27" spans="1:40" customFormat="1" x14ac:dyDescent="0.15">
      <c r="A27" s="187" t="s">
        <v>217</v>
      </c>
      <c r="B27" s="150">
        <v>0</v>
      </c>
      <c r="C27" s="150">
        <v>0</v>
      </c>
      <c r="D27" s="150">
        <v>4.807691812500018E-3</v>
      </c>
      <c r="E27" s="150">
        <v>2.0040078316633419E-3</v>
      </c>
      <c r="F27" s="150">
        <v>0</v>
      </c>
      <c r="G27" s="150">
        <v>2.047082934493346E-3</v>
      </c>
      <c r="H27" s="150">
        <v>0</v>
      </c>
      <c r="I27" s="150">
        <v>1.9999997760000252E-3</v>
      </c>
      <c r="J27" s="150">
        <v>0</v>
      </c>
      <c r="K27" s="150">
        <v>0</v>
      </c>
      <c r="L27" s="150">
        <v>0</v>
      </c>
      <c r="M27" s="150">
        <v>0</v>
      </c>
      <c r="N27" s="150">
        <v>0</v>
      </c>
      <c r="O27" s="150">
        <v>2.0020018918918978E-3</v>
      </c>
      <c r="P27" s="150">
        <v>0</v>
      </c>
      <c r="Q27" s="150">
        <v>0</v>
      </c>
      <c r="R27" s="150">
        <v>0</v>
      </c>
      <c r="S27" s="150">
        <v>2.8985507313043471E-3</v>
      </c>
      <c r="T27" s="150">
        <v>0</v>
      </c>
      <c r="U27" s="150">
        <v>0</v>
      </c>
      <c r="V27" s="150">
        <v>0</v>
      </c>
      <c r="W27" s="150">
        <v>0</v>
      </c>
      <c r="X27" s="150">
        <v>0</v>
      </c>
      <c r="Y27" s="150">
        <v>0</v>
      </c>
      <c r="Z27" s="150">
        <v>0</v>
      </c>
      <c r="AA27" s="150">
        <v>9.9900103996003746E-4</v>
      </c>
      <c r="AB27" s="150">
        <v>0</v>
      </c>
      <c r="AC27" s="150">
        <v>0</v>
      </c>
      <c r="AD27" s="150">
        <v>0</v>
      </c>
      <c r="AE27" s="150">
        <v>0</v>
      </c>
      <c r="AF27" s="150">
        <v>0</v>
      </c>
      <c r="AG27" s="150">
        <v>0</v>
      </c>
      <c r="AH27" s="150">
        <v>0</v>
      </c>
      <c r="AI27" s="150">
        <v>0</v>
      </c>
      <c r="AJ27" s="150">
        <v>0</v>
      </c>
      <c r="AK27" s="150">
        <v>0</v>
      </c>
      <c r="AL27" s="150">
        <v>0</v>
      </c>
      <c r="AM27" s="150">
        <v>0</v>
      </c>
      <c r="AN27" s="150">
        <v>0</v>
      </c>
    </row>
    <row r="28" spans="1:40" customFormat="1" x14ac:dyDescent="0.15">
      <c r="A28" s="187" t="s">
        <v>218</v>
      </c>
      <c r="B28" s="150">
        <v>0</v>
      </c>
      <c r="C28" s="150">
        <v>0</v>
      </c>
      <c r="D28" s="150">
        <v>0</v>
      </c>
      <c r="E28" s="150">
        <v>0</v>
      </c>
      <c r="F28" s="150">
        <v>0</v>
      </c>
      <c r="G28" s="150">
        <v>6.1412488034800379E-3</v>
      </c>
      <c r="H28" s="150">
        <v>0</v>
      </c>
      <c r="I28" s="150">
        <v>0</v>
      </c>
      <c r="J28" s="150">
        <v>0</v>
      </c>
      <c r="K28" s="150">
        <v>4.9999994900000524E-3</v>
      </c>
      <c r="L28" s="150">
        <v>6.9999992449999732E-3</v>
      </c>
      <c r="M28" s="150">
        <v>6.179775758988746E-2</v>
      </c>
      <c r="N28" s="150">
        <v>3.0030030900900927E-3</v>
      </c>
      <c r="O28" s="150">
        <v>0</v>
      </c>
      <c r="P28" s="150">
        <v>0</v>
      </c>
      <c r="Q28" s="150">
        <v>9.9900107192806985E-4</v>
      </c>
      <c r="R28" s="150">
        <v>1.999999998E-3</v>
      </c>
      <c r="S28" s="150">
        <v>1.9323668208695954E-3</v>
      </c>
      <c r="T28" s="150">
        <v>0</v>
      </c>
      <c r="U28" s="150">
        <v>0</v>
      </c>
      <c r="V28" s="150">
        <v>2.7027033027027705E-2</v>
      </c>
      <c r="W28" s="150">
        <v>0</v>
      </c>
      <c r="X28" s="150">
        <v>1.0010008888889012E-3</v>
      </c>
      <c r="Y28" s="150">
        <v>0</v>
      </c>
      <c r="Z28" s="150">
        <v>2E-3</v>
      </c>
      <c r="AA28" s="150">
        <v>7.9920085196802867E-3</v>
      </c>
      <c r="AB28" s="150">
        <v>1.6411379868708959E-2</v>
      </c>
      <c r="AC28" s="150">
        <v>0</v>
      </c>
      <c r="AD28" s="150">
        <v>0</v>
      </c>
      <c r="AE28" s="150">
        <v>0</v>
      </c>
      <c r="AF28" s="150">
        <v>0</v>
      </c>
      <c r="AG28" s="150">
        <v>0</v>
      </c>
      <c r="AH28" s="150">
        <v>0</v>
      </c>
      <c r="AI28" s="150">
        <v>0</v>
      </c>
      <c r="AJ28" s="150">
        <v>0</v>
      </c>
      <c r="AK28" s="150">
        <v>0</v>
      </c>
      <c r="AL28" s="150">
        <v>0</v>
      </c>
      <c r="AM28" s="150">
        <v>0</v>
      </c>
      <c r="AN28" s="150">
        <v>0</v>
      </c>
    </row>
    <row r="29" spans="1:40" customFormat="1" x14ac:dyDescent="0.15">
      <c r="A29" s="187" t="s">
        <v>219</v>
      </c>
      <c r="B29" s="150">
        <v>1.9980018501498612E-3</v>
      </c>
      <c r="C29" s="150">
        <v>0</v>
      </c>
      <c r="D29" s="150">
        <v>0</v>
      </c>
      <c r="E29" s="150">
        <v>0</v>
      </c>
      <c r="F29" s="150">
        <v>0</v>
      </c>
      <c r="G29" s="150">
        <v>5.1177068362333817E-3</v>
      </c>
      <c r="H29" s="150">
        <v>1.1011010682682662E-2</v>
      </c>
      <c r="I29" s="150">
        <v>4.9999994400000631E-3</v>
      </c>
      <c r="J29" s="150">
        <v>0</v>
      </c>
      <c r="K29" s="150">
        <v>0</v>
      </c>
      <c r="L29" s="150">
        <v>4.0000001400000047E-3</v>
      </c>
      <c r="M29" s="150">
        <v>5.4307117882022408E-2</v>
      </c>
      <c r="N29" s="150">
        <v>5.0050051501501543E-3</v>
      </c>
      <c r="O29" s="150">
        <v>1.4014009243243501E-2</v>
      </c>
      <c r="P29" s="150">
        <v>4.9999993450000864E-3</v>
      </c>
      <c r="Q29" s="150">
        <v>1.9980019438561453E-3</v>
      </c>
      <c r="R29" s="150">
        <v>1.0999999988999998E-2</v>
      </c>
      <c r="S29" s="150">
        <v>1.1594198925217758E-2</v>
      </c>
      <c r="T29" s="150">
        <v>5.0050047647647762E-3</v>
      </c>
      <c r="U29" s="150">
        <v>0</v>
      </c>
      <c r="V29" s="150">
        <v>4.0040034484483865E-2</v>
      </c>
      <c r="W29" s="150">
        <v>9.9999999800000003E-4</v>
      </c>
      <c r="X29" s="150">
        <v>2.0020017777778024E-3</v>
      </c>
      <c r="Y29" s="150">
        <v>2.0020020780780814E-3</v>
      </c>
      <c r="Z29" s="150">
        <v>0.01</v>
      </c>
      <c r="AA29" s="150">
        <v>1.0989009339560539E-2</v>
      </c>
      <c r="AB29" s="150">
        <v>0</v>
      </c>
      <c r="AC29" s="150">
        <v>0</v>
      </c>
      <c r="AD29" s="150">
        <v>0</v>
      </c>
      <c r="AE29" s="150">
        <v>0</v>
      </c>
      <c r="AF29" s="150">
        <v>0</v>
      </c>
      <c r="AG29" s="150">
        <v>0</v>
      </c>
      <c r="AH29" s="150">
        <v>0</v>
      </c>
      <c r="AI29" s="150">
        <v>0</v>
      </c>
      <c r="AJ29" s="150">
        <v>0</v>
      </c>
      <c r="AK29" s="150">
        <v>0</v>
      </c>
      <c r="AL29" s="150">
        <v>0</v>
      </c>
      <c r="AM29" s="150">
        <v>0</v>
      </c>
      <c r="AN29" s="150">
        <v>0</v>
      </c>
    </row>
    <row r="30" spans="1:40" customFormat="1" x14ac:dyDescent="0.15">
      <c r="A30" s="187" t="s">
        <v>220</v>
      </c>
      <c r="B30" s="150">
        <v>0</v>
      </c>
      <c r="C30" s="150">
        <v>0</v>
      </c>
      <c r="D30" s="150">
        <v>0</v>
      </c>
      <c r="E30" s="150">
        <v>0</v>
      </c>
      <c r="F30" s="150">
        <v>0</v>
      </c>
      <c r="G30" s="150">
        <v>3.0706239017400353E-3</v>
      </c>
      <c r="H30" s="150">
        <v>9.0090095585585919E-3</v>
      </c>
      <c r="I30" s="150">
        <v>0</v>
      </c>
      <c r="J30" s="150">
        <v>5.0454086014127212E-3</v>
      </c>
      <c r="K30" s="150">
        <v>0</v>
      </c>
      <c r="L30" s="150">
        <v>8.9999993149999756E-3</v>
      </c>
      <c r="M30" s="150">
        <v>0</v>
      </c>
      <c r="N30" s="150">
        <v>5.0050051501501543E-3</v>
      </c>
      <c r="O30" s="150">
        <v>1.3013009297297498E-2</v>
      </c>
      <c r="P30" s="150">
        <v>0</v>
      </c>
      <c r="Q30" s="150">
        <v>1.9980019438561453E-3</v>
      </c>
      <c r="R30" s="150">
        <v>4.9999999949999997E-3</v>
      </c>
      <c r="S30" s="150">
        <v>1.8357488298260834E-2</v>
      </c>
      <c r="T30" s="150">
        <v>4.0040038118118217E-3</v>
      </c>
      <c r="U30" s="150">
        <v>0</v>
      </c>
      <c r="V30" s="150">
        <v>7.7077078632632814E-2</v>
      </c>
      <c r="W30" s="150">
        <v>2.9999999940000001E-3</v>
      </c>
      <c r="X30" s="150">
        <v>2.0020017777778024E-3</v>
      </c>
      <c r="Y30" s="150">
        <v>2.0020020780780814E-3</v>
      </c>
      <c r="Z30" s="150">
        <v>4.0000000000000001E-3</v>
      </c>
      <c r="AA30" s="150">
        <v>0</v>
      </c>
      <c r="AB30" s="150">
        <v>0</v>
      </c>
      <c r="AC30" s="150">
        <v>0</v>
      </c>
      <c r="AD30" s="150">
        <v>0</v>
      </c>
      <c r="AE30" s="150">
        <v>0</v>
      </c>
      <c r="AF30" s="150">
        <v>0</v>
      </c>
      <c r="AG30" s="150">
        <v>0</v>
      </c>
      <c r="AH30" s="150">
        <v>0</v>
      </c>
      <c r="AI30" s="150">
        <v>0</v>
      </c>
      <c r="AJ30" s="150">
        <v>0</v>
      </c>
      <c r="AK30" s="150">
        <v>0</v>
      </c>
      <c r="AL30" s="150">
        <v>0</v>
      </c>
      <c r="AM30" s="150">
        <v>0</v>
      </c>
      <c r="AN30" s="150">
        <v>0</v>
      </c>
    </row>
    <row r="31" spans="1:40" customFormat="1" x14ac:dyDescent="0.15">
      <c r="A31" s="187" t="s">
        <v>221</v>
      </c>
      <c r="B31" s="150">
        <v>0</v>
      </c>
      <c r="C31" s="150">
        <v>5.0999998878000018E-2</v>
      </c>
      <c r="D31" s="150">
        <v>4.999999805000007E-2</v>
      </c>
      <c r="E31" s="150">
        <v>4.0080156633266834E-2</v>
      </c>
      <c r="F31" s="150">
        <v>0</v>
      </c>
      <c r="G31" s="150">
        <v>0</v>
      </c>
      <c r="H31" s="150">
        <v>0</v>
      </c>
      <c r="I31" s="150">
        <v>4.9999994400000631E-3</v>
      </c>
      <c r="J31" s="150">
        <v>6.0544905216952495E-3</v>
      </c>
      <c r="K31" s="150">
        <v>0</v>
      </c>
      <c r="L31" s="150">
        <v>8.9999993149999756E-3</v>
      </c>
      <c r="M31" s="150">
        <v>0</v>
      </c>
      <c r="N31" s="150">
        <v>0</v>
      </c>
      <c r="O31" s="150">
        <v>0</v>
      </c>
      <c r="P31" s="150">
        <v>9.4999997555000326E-2</v>
      </c>
      <c r="Q31" s="150">
        <v>2.8971029185914075E-2</v>
      </c>
      <c r="R31" s="150">
        <v>0</v>
      </c>
      <c r="S31" s="150">
        <v>0.1739130838782571</v>
      </c>
      <c r="T31" s="150">
        <v>4.7047047788788758E-2</v>
      </c>
      <c r="U31" s="150">
        <v>0</v>
      </c>
      <c r="V31" s="150">
        <v>7.007007784784873E-2</v>
      </c>
      <c r="W31" s="150">
        <v>6.0000009879999979E-3</v>
      </c>
      <c r="X31" s="150">
        <v>1.5015018333332963E-2</v>
      </c>
      <c r="Y31" s="150">
        <v>1.0010010390390406E-2</v>
      </c>
      <c r="Z31" s="150">
        <v>0.156</v>
      </c>
      <c r="AA31" s="150">
        <v>0</v>
      </c>
      <c r="AB31" s="150">
        <v>0</v>
      </c>
      <c r="AC31" s="150">
        <v>0</v>
      </c>
      <c r="AD31" s="150">
        <v>0</v>
      </c>
      <c r="AE31" s="150">
        <v>1.9323670347826064E-3</v>
      </c>
      <c r="AF31" s="150">
        <v>0</v>
      </c>
      <c r="AG31" s="150">
        <v>0</v>
      </c>
      <c r="AH31" s="150">
        <v>0</v>
      </c>
      <c r="AI31" s="150">
        <v>0</v>
      </c>
      <c r="AJ31" s="150">
        <v>0</v>
      </c>
      <c r="AK31" s="150">
        <v>0</v>
      </c>
      <c r="AL31" s="150">
        <v>0</v>
      </c>
      <c r="AM31" s="150">
        <v>0</v>
      </c>
      <c r="AN31" s="150">
        <v>0</v>
      </c>
    </row>
    <row r="32" spans="1:40" customFormat="1" x14ac:dyDescent="0.15">
      <c r="A32" s="187" t="s">
        <v>222</v>
      </c>
      <c r="B32" s="150">
        <v>0</v>
      </c>
      <c r="C32" s="150">
        <v>0</v>
      </c>
      <c r="D32" s="150">
        <v>0</v>
      </c>
      <c r="E32" s="150">
        <v>0</v>
      </c>
      <c r="F32" s="150">
        <v>0</v>
      </c>
      <c r="G32" s="150">
        <v>0</v>
      </c>
      <c r="H32" s="150">
        <v>0</v>
      </c>
      <c r="I32" s="150">
        <v>0</v>
      </c>
      <c r="J32" s="150">
        <v>0</v>
      </c>
      <c r="K32" s="150">
        <v>0</v>
      </c>
      <c r="L32" s="150">
        <v>9.9999993499999777E-3</v>
      </c>
      <c r="M32" s="150">
        <v>3.7453188539325645E-2</v>
      </c>
      <c r="N32" s="150">
        <v>2.0020020600600616E-3</v>
      </c>
      <c r="O32" s="150">
        <v>2.0020018918918978E-3</v>
      </c>
      <c r="P32" s="150">
        <v>4.0000004759999383E-3</v>
      </c>
      <c r="Q32" s="150">
        <v>0</v>
      </c>
      <c r="R32" s="150">
        <v>0</v>
      </c>
      <c r="S32" s="150">
        <v>9.6618361043477924E-4</v>
      </c>
      <c r="T32" s="150">
        <v>0</v>
      </c>
      <c r="U32" s="150">
        <v>0</v>
      </c>
      <c r="V32" s="150">
        <v>9.0090090090090107E-3</v>
      </c>
      <c r="W32" s="150">
        <v>0</v>
      </c>
      <c r="X32" s="150">
        <v>0</v>
      </c>
      <c r="Y32" s="150">
        <v>0</v>
      </c>
      <c r="Z32" s="150">
        <v>0</v>
      </c>
      <c r="AA32" s="150">
        <v>1.2987009219480745E-2</v>
      </c>
      <c r="AB32" s="150">
        <v>0</v>
      </c>
      <c r="AC32" s="150">
        <v>0</v>
      </c>
      <c r="AD32" s="150">
        <v>0</v>
      </c>
      <c r="AE32" s="150">
        <v>0</v>
      </c>
      <c r="AF32" s="150">
        <v>0</v>
      </c>
      <c r="AG32" s="150">
        <v>2E-3</v>
      </c>
      <c r="AH32" s="150">
        <v>0</v>
      </c>
      <c r="AI32" s="150">
        <v>0</v>
      </c>
      <c r="AJ32" s="150">
        <v>0</v>
      </c>
      <c r="AK32" s="150">
        <v>0</v>
      </c>
      <c r="AL32" s="150">
        <v>0</v>
      </c>
      <c r="AM32" s="150">
        <v>0</v>
      </c>
      <c r="AN32" s="150">
        <v>0</v>
      </c>
    </row>
    <row r="33" spans="1:40" customFormat="1" x14ac:dyDescent="0.15">
      <c r="A33" s="187" t="s">
        <v>223</v>
      </c>
      <c r="B33" s="150">
        <v>0</v>
      </c>
      <c r="C33" s="150">
        <v>0</v>
      </c>
      <c r="D33" s="150">
        <v>0</v>
      </c>
      <c r="E33" s="150">
        <v>0</v>
      </c>
      <c r="F33" s="150">
        <v>0</v>
      </c>
      <c r="G33" s="150">
        <v>0</v>
      </c>
      <c r="H33" s="150">
        <v>0</v>
      </c>
      <c r="I33" s="150">
        <v>0</v>
      </c>
      <c r="J33" s="150">
        <v>0</v>
      </c>
      <c r="K33" s="150">
        <v>0</v>
      </c>
      <c r="L33" s="150">
        <v>0</v>
      </c>
      <c r="M33" s="150">
        <v>0</v>
      </c>
      <c r="N33" s="150">
        <v>0</v>
      </c>
      <c r="O33" s="150">
        <v>0</v>
      </c>
      <c r="P33" s="150">
        <v>2.2999996987000396E-2</v>
      </c>
      <c r="Q33" s="150">
        <v>0</v>
      </c>
      <c r="R33" s="150">
        <v>0</v>
      </c>
      <c r="S33" s="150">
        <v>1.9323668208695955E-2</v>
      </c>
      <c r="T33" s="150">
        <v>5.0050047647647762E-3</v>
      </c>
      <c r="U33" s="150">
        <v>0</v>
      </c>
      <c r="V33" s="150">
        <v>2.5025022802802558E-2</v>
      </c>
      <c r="W33" s="150">
        <v>2.9999999940000001E-3</v>
      </c>
      <c r="X33" s="150">
        <v>0</v>
      </c>
      <c r="Y33" s="150">
        <v>0</v>
      </c>
      <c r="Z33" s="150">
        <v>0</v>
      </c>
      <c r="AA33" s="150">
        <v>0</v>
      </c>
      <c r="AB33" s="150">
        <v>0</v>
      </c>
      <c r="AC33" s="150">
        <v>0</v>
      </c>
      <c r="AD33" s="150">
        <v>0</v>
      </c>
      <c r="AE33" s="150">
        <v>1.9323670347826064E-3</v>
      </c>
      <c r="AF33" s="150">
        <v>6.4064062562562502E-2</v>
      </c>
      <c r="AG33" s="150">
        <v>3.4000000000000002E-2</v>
      </c>
      <c r="AH33" s="150">
        <v>0</v>
      </c>
      <c r="AI33" s="150">
        <v>0</v>
      </c>
      <c r="AJ33" s="150">
        <v>0</v>
      </c>
      <c r="AK33" s="150">
        <v>0</v>
      </c>
      <c r="AL33" s="150">
        <v>0</v>
      </c>
      <c r="AM33" s="150">
        <v>0</v>
      </c>
      <c r="AN33" s="150">
        <v>0</v>
      </c>
    </row>
    <row r="34" spans="1:40" customFormat="1" x14ac:dyDescent="0.15">
      <c r="A34" s="187" t="s">
        <v>224</v>
      </c>
      <c r="B34" s="150">
        <v>0.14485518913586082</v>
      </c>
      <c r="C34" s="150">
        <v>0</v>
      </c>
      <c r="D34" s="150">
        <v>0</v>
      </c>
      <c r="E34" s="150">
        <v>9.8196381751503914E-2</v>
      </c>
      <c r="F34" s="150">
        <v>9.1908094503496629E-2</v>
      </c>
      <c r="G34" s="150">
        <v>0</v>
      </c>
      <c r="H34" s="150">
        <v>0</v>
      </c>
      <c r="I34" s="150">
        <v>0.10699998801600134</v>
      </c>
      <c r="J34" s="150">
        <v>0.17961658581028972</v>
      </c>
      <c r="K34" s="150">
        <v>0.14499998521000149</v>
      </c>
      <c r="L34" s="150">
        <v>4.0000001400000047E-2</v>
      </c>
      <c r="M34" s="150">
        <v>0.17415729320786558</v>
      </c>
      <c r="N34" s="150">
        <v>0</v>
      </c>
      <c r="O34" s="150">
        <v>0</v>
      </c>
      <c r="P34" s="150">
        <v>1.5999997904000276E-2</v>
      </c>
      <c r="Q34" s="150">
        <v>0.49550448607632391</v>
      </c>
      <c r="R34" s="150">
        <v>0.89499999910499994</v>
      </c>
      <c r="S34" s="150">
        <v>0.44541055871044116</v>
      </c>
      <c r="T34" s="150">
        <v>0</v>
      </c>
      <c r="U34" s="150">
        <v>0.7909931</v>
      </c>
      <c r="V34" s="150">
        <v>0.12412411390190078</v>
      </c>
      <c r="W34" s="150">
        <v>0.55199999889600004</v>
      </c>
      <c r="X34" s="150">
        <v>0</v>
      </c>
      <c r="Y34" s="150">
        <v>0</v>
      </c>
      <c r="Z34" s="150">
        <v>0</v>
      </c>
      <c r="AA34" s="150">
        <v>0.39260737640429666</v>
      </c>
      <c r="AB34" s="150">
        <v>3.3916849728665203E-2</v>
      </c>
      <c r="AC34" s="150">
        <v>9.0090093693693446E-2</v>
      </c>
      <c r="AD34" s="150">
        <v>8.817635088176351E-2</v>
      </c>
      <c r="AE34" s="150">
        <v>8.3091781495652065E-2</v>
      </c>
      <c r="AF34" s="150">
        <v>0</v>
      </c>
      <c r="AG34" s="150">
        <v>1.4999999999999999E-2</v>
      </c>
      <c r="AH34" s="150">
        <v>3.2178219356435618E-2</v>
      </c>
      <c r="AI34" s="150">
        <v>0</v>
      </c>
      <c r="AJ34" s="150">
        <v>0</v>
      </c>
      <c r="AK34" s="150">
        <v>0</v>
      </c>
      <c r="AL34" s="150">
        <v>0</v>
      </c>
      <c r="AM34" s="150">
        <v>0</v>
      </c>
      <c r="AN34" s="150">
        <v>0</v>
      </c>
    </row>
    <row r="35" spans="1:40" customFormat="1" x14ac:dyDescent="0.15">
      <c r="A35" s="187" t="s">
        <v>225</v>
      </c>
      <c r="B35" s="150">
        <v>0</v>
      </c>
      <c r="C35" s="150">
        <v>0</v>
      </c>
      <c r="D35" s="150">
        <v>0</v>
      </c>
      <c r="E35" s="150">
        <v>0</v>
      </c>
      <c r="F35" s="150">
        <v>0</v>
      </c>
      <c r="G35" s="150">
        <v>4.2988738624360361E-2</v>
      </c>
      <c r="H35" s="150">
        <v>0.11011010682682662</v>
      </c>
      <c r="I35" s="150">
        <v>0</v>
      </c>
      <c r="J35" s="150">
        <v>0</v>
      </c>
      <c r="K35" s="150">
        <v>1.0999998878000114E-2</v>
      </c>
      <c r="L35" s="150">
        <v>0.22400000784000029</v>
      </c>
      <c r="M35" s="150">
        <v>1.4044939452247364E-2</v>
      </c>
      <c r="N35" s="150">
        <v>0</v>
      </c>
      <c r="O35" s="150">
        <v>0</v>
      </c>
      <c r="P35" s="150">
        <v>1.9999997380000346E-2</v>
      </c>
      <c r="Q35" s="150">
        <v>9.2907097389310564E-2</v>
      </c>
      <c r="R35" s="150">
        <v>5.9999999939999993E-2</v>
      </c>
      <c r="S35" s="150">
        <v>0.22705317895217028</v>
      </c>
      <c r="T35" s="150">
        <v>4.0040038118118217E-3</v>
      </c>
      <c r="U35" s="150">
        <v>0</v>
      </c>
      <c r="V35" s="150">
        <v>0.31431433520320556</v>
      </c>
      <c r="W35" s="150">
        <v>0.12199999975600001</v>
      </c>
      <c r="X35" s="150">
        <v>0.25925927122222092</v>
      </c>
      <c r="Y35" s="150">
        <v>0.43443441694294233</v>
      </c>
      <c r="Z35" s="150">
        <v>7.5999999999999998E-2</v>
      </c>
      <c r="AA35" s="150">
        <v>0</v>
      </c>
      <c r="AB35" s="150">
        <v>4.5951859632385121E-2</v>
      </c>
      <c r="AC35" s="150">
        <v>1.0010009299299349E-2</v>
      </c>
      <c r="AD35" s="150">
        <v>1.1022040110220403E-2</v>
      </c>
      <c r="AE35" s="150">
        <v>7.7294681391304257E-3</v>
      </c>
      <c r="AF35" s="150">
        <v>0</v>
      </c>
      <c r="AG35" s="150">
        <v>0</v>
      </c>
      <c r="AH35" s="150">
        <v>0</v>
      </c>
      <c r="AI35" s="150">
        <v>2.9510958229342504E-2</v>
      </c>
      <c r="AJ35" s="150">
        <v>2.8680689311663455E-3</v>
      </c>
      <c r="AK35" s="150">
        <v>0</v>
      </c>
      <c r="AL35" s="150">
        <v>0</v>
      </c>
      <c r="AM35" s="150">
        <v>0</v>
      </c>
      <c r="AN35" s="150">
        <v>0</v>
      </c>
    </row>
    <row r="36" spans="1:40" customFormat="1" x14ac:dyDescent="0.15">
      <c r="A36" s="187" t="s">
        <v>226</v>
      </c>
      <c r="B36" s="150">
        <v>0</v>
      </c>
      <c r="C36" s="150">
        <v>0</v>
      </c>
      <c r="D36" s="150">
        <v>7.6923076999999992E-2</v>
      </c>
      <c r="E36" s="150">
        <v>9.0180362424849544E-2</v>
      </c>
      <c r="F36" s="150">
        <v>0</v>
      </c>
      <c r="G36" s="150">
        <v>3.0706239017400353E-3</v>
      </c>
      <c r="H36" s="150">
        <v>0</v>
      </c>
      <c r="I36" s="150">
        <v>8.1000000927999902E-2</v>
      </c>
      <c r="J36" s="150">
        <v>0.17860748589000863</v>
      </c>
      <c r="K36" s="150">
        <v>1.1999998776000125E-2</v>
      </c>
      <c r="L36" s="150">
        <v>0.26900000941500035</v>
      </c>
      <c r="M36" s="150">
        <v>0.32958798714606852</v>
      </c>
      <c r="N36" s="150">
        <v>0.79879882396396473</v>
      </c>
      <c r="O36" s="150">
        <v>0.5385385709189171</v>
      </c>
      <c r="P36" s="150">
        <v>0.70400000777599903</v>
      </c>
      <c r="Q36" s="150">
        <v>6.193806825954027E-2</v>
      </c>
      <c r="R36" s="150">
        <v>1.8999999980999997E-2</v>
      </c>
      <c r="S36" s="150">
        <v>0</v>
      </c>
      <c r="T36" s="150">
        <v>0.12012009435435557</v>
      </c>
      <c r="U36" s="150">
        <v>0</v>
      </c>
      <c r="V36" s="150">
        <v>6.3063067063063527E-2</v>
      </c>
      <c r="W36" s="150">
        <v>0</v>
      </c>
      <c r="X36" s="150">
        <v>0.16116118211110878</v>
      </c>
      <c r="Y36" s="150">
        <v>3.1031031210210221E-2</v>
      </c>
      <c r="Z36" s="150">
        <v>0.378</v>
      </c>
      <c r="AA36" s="150">
        <v>4.3956047358241553E-2</v>
      </c>
      <c r="AB36" s="150">
        <v>0</v>
      </c>
      <c r="AC36" s="150">
        <v>0</v>
      </c>
      <c r="AD36" s="150">
        <v>0</v>
      </c>
      <c r="AE36" s="150">
        <v>0</v>
      </c>
      <c r="AF36" s="150">
        <v>0</v>
      </c>
      <c r="AG36" s="150">
        <v>0</v>
      </c>
      <c r="AH36" s="150">
        <v>0</v>
      </c>
      <c r="AI36" s="150">
        <v>0</v>
      </c>
      <c r="AJ36" s="150">
        <v>1.4340339655831848E-2</v>
      </c>
      <c r="AK36" s="150">
        <v>0</v>
      </c>
      <c r="AL36" s="150">
        <v>0</v>
      </c>
      <c r="AM36" s="150">
        <v>0</v>
      </c>
      <c r="AN36" s="150">
        <v>0</v>
      </c>
    </row>
    <row r="37" spans="1:40" customFormat="1" x14ac:dyDescent="0.15">
      <c r="A37" s="187" t="s">
        <v>227</v>
      </c>
      <c r="B37" s="150">
        <v>0</v>
      </c>
      <c r="C37" s="150">
        <v>0</v>
      </c>
      <c r="D37" s="150">
        <v>0</v>
      </c>
      <c r="E37" s="150">
        <v>0</v>
      </c>
      <c r="F37" s="150">
        <v>0</v>
      </c>
      <c r="G37" s="150">
        <v>0</v>
      </c>
      <c r="H37" s="150">
        <v>0</v>
      </c>
      <c r="I37" s="150">
        <v>0</v>
      </c>
      <c r="J37" s="150">
        <v>0</v>
      </c>
      <c r="K37" s="150">
        <v>0</v>
      </c>
      <c r="L37" s="150">
        <v>0</v>
      </c>
      <c r="M37" s="150">
        <v>0</v>
      </c>
      <c r="N37" s="150">
        <v>0</v>
      </c>
      <c r="O37" s="150">
        <v>2.7027028540540458E-2</v>
      </c>
      <c r="P37" s="150">
        <v>0</v>
      </c>
      <c r="Q37" s="150">
        <v>0</v>
      </c>
      <c r="R37" s="150">
        <v>0</v>
      </c>
      <c r="S37" s="150">
        <v>0</v>
      </c>
      <c r="T37" s="150">
        <v>0</v>
      </c>
      <c r="U37" s="150">
        <v>0.2090069</v>
      </c>
      <c r="V37" s="150">
        <v>0</v>
      </c>
      <c r="W37" s="150">
        <v>0</v>
      </c>
      <c r="X37" s="150">
        <v>0</v>
      </c>
      <c r="Y37" s="150">
        <v>0</v>
      </c>
      <c r="Z37" s="150">
        <v>0</v>
      </c>
      <c r="AA37" s="150">
        <v>0.16683318997332525</v>
      </c>
      <c r="AB37" s="150">
        <v>1.9693649842450801E-2</v>
      </c>
      <c r="AC37" s="150">
        <v>6.5065055445446107E-2</v>
      </c>
      <c r="AD37" s="150">
        <v>0</v>
      </c>
      <c r="AE37" s="150">
        <v>8.7922701582608634E-2</v>
      </c>
      <c r="AF37" s="150">
        <v>0.11311310452452417</v>
      </c>
      <c r="AG37" s="150">
        <v>0.25900000000000001</v>
      </c>
      <c r="AH37" s="150">
        <v>0.9678217806435645</v>
      </c>
      <c r="AI37" s="150">
        <v>0</v>
      </c>
      <c r="AJ37" s="150">
        <v>0</v>
      </c>
      <c r="AK37" s="150">
        <v>0</v>
      </c>
      <c r="AL37" s="150">
        <v>0</v>
      </c>
      <c r="AM37" s="150">
        <v>0</v>
      </c>
      <c r="AN37" s="150">
        <v>0</v>
      </c>
    </row>
    <row r="38" spans="1:40" customFormat="1" x14ac:dyDescent="0.15">
      <c r="A38" s="187" t="s">
        <v>228</v>
      </c>
      <c r="B38" s="150">
        <v>3.3966037452547192E-2</v>
      </c>
      <c r="C38" s="150">
        <v>1.2999999714000005E-2</v>
      </c>
      <c r="D38" s="150">
        <v>0</v>
      </c>
      <c r="E38" s="150">
        <v>4.0080156633266834E-2</v>
      </c>
      <c r="F38" s="150">
        <v>3.1968031566433547E-2</v>
      </c>
      <c r="G38" s="150">
        <v>0.12589559597134092</v>
      </c>
      <c r="H38" s="150">
        <v>6.8068074220220584E-2</v>
      </c>
      <c r="I38" s="150">
        <v>1.0999998768000138E-2</v>
      </c>
      <c r="J38" s="150">
        <v>0</v>
      </c>
      <c r="K38" s="150">
        <v>0.10099998969800106</v>
      </c>
      <c r="L38" s="150">
        <v>0</v>
      </c>
      <c r="M38" s="150">
        <v>0</v>
      </c>
      <c r="N38" s="150">
        <v>2.0020020600600616E-3</v>
      </c>
      <c r="O38" s="150">
        <v>2.7027028540540458E-2</v>
      </c>
      <c r="P38" s="150">
        <v>4.9999993450000864E-3</v>
      </c>
      <c r="Q38" s="150">
        <v>0</v>
      </c>
      <c r="R38" s="150">
        <v>6.0000009939999979E-3</v>
      </c>
      <c r="S38" s="150">
        <v>2.8985507313043471E-3</v>
      </c>
      <c r="T38" s="150">
        <v>6.2062057083083329E-2</v>
      </c>
      <c r="U38" s="150">
        <v>0</v>
      </c>
      <c r="V38" s="150">
        <v>0</v>
      </c>
      <c r="W38" s="150">
        <v>6.0000009879999979E-3</v>
      </c>
      <c r="X38" s="150">
        <v>3.5035036111110994E-2</v>
      </c>
      <c r="Y38" s="150">
        <v>7.0070072732732842E-3</v>
      </c>
      <c r="Z38" s="150">
        <v>1.4999999999999999E-2</v>
      </c>
      <c r="AA38" s="150">
        <v>0</v>
      </c>
      <c r="AB38" s="150">
        <v>1.0940919912472641E-3</v>
      </c>
      <c r="AC38" s="150">
        <v>0</v>
      </c>
      <c r="AD38" s="150">
        <v>0</v>
      </c>
      <c r="AE38" s="150">
        <v>0</v>
      </c>
      <c r="AF38" s="150">
        <v>0</v>
      </c>
      <c r="AG38" s="150">
        <v>0</v>
      </c>
      <c r="AH38" s="150">
        <v>0</v>
      </c>
      <c r="AI38" s="150">
        <v>0</v>
      </c>
      <c r="AJ38" s="150">
        <v>4.7801148852772424E-3</v>
      </c>
      <c r="AK38" s="150">
        <v>0</v>
      </c>
      <c r="AL38" s="150">
        <v>0</v>
      </c>
      <c r="AM38" s="150">
        <v>0</v>
      </c>
      <c r="AN38" s="150">
        <v>0</v>
      </c>
    </row>
    <row r="39" spans="1:40" x14ac:dyDescent="0.15">
      <c r="A39" s="187" t="s">
        <v>229</v>
      </c>
      <c r="B39" s="150">
        <v>0</v>
      </c>
      <c r="C39" s="150">
        <v>1.4999999670000007E-2</v>
      </c>
      <c r="D39" s="150">
        <v>0</v>
      </c>
      <c r="E39" s="150">
        <v>0</v>
      </c>
      <c r="F39" s="150">
        <v>0</v>
      </c>
      <c r="G39" s="150">
        <v>0</v>
      </c>
      <c r="H39" s="150">
        <v>0</v>
      </c>
      <c r="I39" s="150">
        <v>2.3999997312000303E-2</v>
      </c>
      <c r="J39" s="150">
        <v>0</v>
      </c>
      <c r="K39" s="150">
        <v>0</v>
      </c>
      <c r="L39" s="150">
        <v>0.12600000441000014</v>
      </c>
      <c r="M39" s="150">
        <v>0.1226591952162914</v>
      </c>
      <c r="N39" s="150">
        <v>0</v>
      </c>
      <c r="O39" s="150">
        <v>0.11311309389189292</v>
      </c>
      <c r="P39" s="150">
        <v>2.4999996725000431E-2</v>
      </c>
      <c r="Q39" s="150">
        <v>0.12987009635065028</v>
      </c>
      <c r="R39" s="150">
        <v>0</v>
      </c>
      <c r="S39" s="150">
        <v>7.053140346173889E-2</v>
      </c>
      <c r="T39" s="150">
        <v>0.35935938311010901</v>
      </c>
      <c r="U39" s="150">
        <v>0</v>
      </c>
      <c r="V39" s="150">
        <v>0.25025022802802555</v>
      </c>
      <c r="W39" s="150">
        <v>0.30199999939600003</v>
      </c>
      <c r="X39" s="150">
        <v>0.38638635711111435</v>
      </c>
      <c r="Y39" s="150">
        <v>0.39639641545946025</v>
      </c>
      <c r="Z39" s="150">
        <v>0.33600000000000002</v>
      </c>
      <c r="AA39" s="150">
        <v>0.28771228270849175</v>
      </c>
      <c r="AB39" s="150">
        <v>0.87964989296280083</v>
      </c>
      <c r="AC39" s="150">
        <v>0.83483484156156107</v>
      </c>
      <c r="AD39" s="150">
        <v>0.90080160900801609</v>
      </c>
      <c r="AE39" s="150">
        <v>0.8173913147130436</v>
      </c>
      <c r="AF39" s="150">
        <v>0.82282283291291325</v>
      </c>
      <c r="AG39" s="150">
        <v>0.69</v>
      </c>
      <c r="AH39" s="150">
        <v>0</v>
      </c>
      <c r="AI39" s="150">
        <v>0.97048904177065742</v>
      </c>
      <c r="AJ39" s="150">
        <v>0.97801147652772458</v>
      </c>
      <c r="AK39" s="150">
        <v>0</v>
      </c>
      <c r="AL39" s="150">
        <v>0</v>
      </c>
      <c r="AM39" s="150">
        <v>0</v>
      </c>
      <c r="AN39" s="150">
        <v>0</v>
      </c>
    </row>
    <row r="40" spans="1:40" x14ac:dyDescent="0.15">
      <c r="A40" s="187" t="s">
        <v>230</v>
      </c>
      <c r="B40" s="150">
        <v>0</v>
      </c>
      <c r="C40" s="150">
        <v>0</v>
      </c>
      <c r="D40" s="150">
        <v>0</v>
      </c>
      <c r="E40" s="150">
        <v>0</v>
      </c>
      <c r="F40" s="150">
        <v>0</v>
      </c>
      <c r="G40" s="150">
        <v>0</v>
      </c>
      <c r="H40" s="150">
        <v>0</v>
      </c>
      <c r="I40" s="150">
        <v>0</v>
      </c>
      <c r="J40" s="150">
        <v>0</v>
      </c>
      <c r="K40" s="150">
        <v>0</v>
      </c>
      <c r="L40" s="150">
        <v>0</v>
      </c>
      <c r="M40" s="150">
        <v>0</v>
      </c>
      <c r="N40" s="150">
        <v>0</v>
      </c>
      <c r="O40" s="150">
        <v>0</v>
      </c>
      <c r="P40" s="150">
        <v>0</v>
      </c>
      <c r="Q40" s="150">
        <v>0</v>
      </c>
      <c r="R40" s="150">
        <v>0</v>
      </c>
      <c r="S40" s="150">
        <v>0</v>
      </c>
      <c r="T40" s="150">
        <v>0</v>
      </c>
      <c r="U40" s="150">
        <v>0</v>
      </c>
      <c r="V40" s="150">
        <v>0</v>
      </c>
      <c r="W40" s="150">
        <v>0</v>
      </c>
      <c r="X40" s="150">
        <v>0</v>
      </c>
      <c r="Y40" s="150">
        <v>0</v>
      </c>
      <c r="Z40" s="150">
        <v>0</v>
      </c>
      <c r="AA40" s="150">
        <v>0</v>
      </c>
      <c r="AB40" s="150">
        <v>0</v>
      </c>
      <c r="AC40" s="150">
        <v>0</v>
      </c>
      <c r="AD40" s="150">
        <v>0</v>
      </c>
      <c r="AE40" s="150">
        <v>0</v>
      </c>
      <c r="AF40" s="150">
        <v>0</v>
      </c>
      <c r="AG40" s="150">
        <v>0</v>
      </c>
      <c r="AH40" s="150">
        <v>0</v>
      </c>
      <c r="AI40" s="150">
        <v>0</v>
      </c>
      <c r="AJ40" s="150">
        <v>0</v>
      </c>
      <c r="AK40" s="150">
        <v>0</v>
      </c>
      <c r="AL40" s="150">
        <v>0</v>
      </c>
      <c r="AM40" s="150">
        <v>0</v>
      </c>
      <c r="AN40" s="150">
        <v>0</v>
      </c>
    </row>
    <row r="41" spans="1:40" x14ac:dyDescent="0.15">
      <c r="A41" s="187" t="s">
        <v>234</v>
      </c>
      <c r="B41" s="150">
        <v>0</v>
      </c>
      <c r="C41" s="150">
        <v>0</v>
      </c>
      <c r="D41" s="150">
        <v>0</v>
      </c>
      <c r="E41" s="150">
        <v>0</v>
      </c>
      <c r="F41" s="150">
        <v>0</v>
      </c>
      <c r="G41" s="150">
        <v>0</v>
      </c>
      <c r="H41" s="150">
        <v>0</v>
      </c>
      <c r="I41" s="150">
        <v>0</v>
      </c>
      <c r="J41" s="150">
        <v>0</v>
      </c>
      <c r="K41" s="150">
        <v>0</v>
      </c>
      <c r="L41" s="150">
        <v>0</v>
      </c>
      <c r="M41" s="150">
        <v>0</v>
      </c>
      <c r="N41" s="150">
        <v>0</v>
      </c>
      <c r="O41" s="150">
        <v>0</v>
      </c>
      <c r="P41" s="150">
        <v>0</v>
      </c>
      <c r="Q41" s="150">
        <v>0</v>
      </c>
      <c r="R41" s="150">
        <v>0</v>
      </c>
      <c r="S41" s="150">
        <v>0</v>
      </c>
      <c r="T41" s="150">
        <v>0</v>
      </c>
      <c r="U41" s="150">
        <v>0</v>
      </c>
      <c r="V41" s="150">
        <v>0</v>
      </c>
      <c r="W41" s="150">
        <v>0</v>
      </c>
      <c r="X41" s="150">
        <v>0</v>
      </c>
      <c r="Y41" s="150">
        <v>0</v>
      </c>
      <c r="Z41" s="150">
        <v>0</v>
      </c>
      <c r="AA41" s="150">
        <v>0</v>
      </c>
      <c r="AB41" s="150">
        <v>0</v>
      </c>
      <c r="AC41" s="150">
        <v>0</v>
      </c>
      <c r="AD41" s="150">
        <v>0</v>
      </c>
      <c r="AE41" s="150">
        <v>0</v>
      </c>
      <c r="AF41" s="150">
        <v>0</v>
      </c>
      <c r="AG41" s="150">
        <v>0</v>
      </c>
      <c r="AH41" s="150">
        <v>0</v>
      </c>
      <c r="AI41" s="150">
        <v>0</v>
      </c>
      <c r="AJ41" s="150">
        <v>0</v>
      </c>
      <c r="AK41" s="150">
        <v>0</v>
      </c>
      <c r="AL41" s="150">
        <v>0</v>
      </c>
      <c r="AM41" s="150">
        <v>0</v>
      </c>
      <c r="AN41" s="150">
        <v>0</v>
      </c>
    </row>
    <row r="45" spans="1:40" x14ac:dyDescent="0.15">
      <c r="A45" s="212" t="s">
        <v>238</v>
      </c>
      <c r="B45" s="150">
        <f>SUM(B2:B41)</f>
        <v>1</v>
      </c>
      <c r="C45" s="150">
        <f t="shared" ref="C45:AN45" si="0">SUM(C2:C41)</f>
        <v>1</v>
      </c>
      <c r="D45" s="150">
        <f t="shared" si="0"/>
        <v>1</v>
      </c>
      <c r="E45" s="150">
        <f t="shared" si="0"/>
        <v>0.99999999999999978</v>
      </c>
      <c r="F45" s="150">
        <f t="shared" si="0"/>
        <v>0.99999999999999989</v>
      </c>
      <c r="G45" s="150">
        <f t="shared" si="0"/>
        <v>1</v>
      </c>
      <c r="H45" s="150">
        <f t="shared" si="0"/>
        <v>0.99999999999999989</v>
      </c>
      <c r="I45" s="150">
        <f t="shared" si="0"/>
        <v>1</v>
      </c>
      <c r="J45" s="150">
        <f t="shared" si="0"/>
        <v>1</v>
      </c>
      <c r="K45" s="150">
        <f t="shared" si="0"/>
        <v>0.99999999999999989</v>
      </c>
      <c r="L45" s="150">
        <f t="shared" si="0"/>
        <v>1</v>
      </c>
      <c r="M45" s="150">
        <f t="shared" si="0"/>
        <v>1</v>
      </c>
      <c r="N45" s="150">
        <f t="shared" si="0"/>
        <v>1</v>
      </c>
      <c r="O45" s="150">
        <f t="shared" si="0"/>
        <v>1</v>
      </c>
      <c r="P45" s="150">
        <f t="shared" si="0"/>
        <v>1</v>
      </c>
      <c r="Q45" s="150">
        <f t="shared" si="0"/>
        <v>0.99999999999999989</v>
      </c>
      <c r="R45" s="150">
        <f t="shared" si="0"/>
        <v>1</v>
      </c>
      <c r="S45" s="150">
        <f t="shared" si="0"/>
        <v>0.99999999999999989</v>
      </c>
      <c r="T45" s="150">
        <f t="shared" si="0"/>
        <v>1</v>
      </c>
      <c r="U45" s="150">
        <f t="shared" si="0"/>
        <v>1</v>
      </c>
      <c r="V45" s="150">
        <f t="shared" si="0"/>
        <v>1</v>
      </c>
      <c r="W45" s="150">
        <f t="shared" si="0"/>
        <v>1</v>
      </c>
      <c r="X45" s="150">
        <f t="shared" si="0"/>
        <v>1</v>
      </c>
      <c r="Y45" s="150">
        <f t="shared" si="0"/>
        <v>1</v>
      </c>
      <c r="Z45" s="150">
        <f t="shared" si="0"/>
        <v>1</v>
      </c>
      <c r="AA45" s="150">
        <f t="shared" si="0"/>
        <v>0.99999999999999978</v>
      </c>
      <c r="AB45" s="150">
        <f t="shared" si="0"/>
        <v>1</v>
      </c>
      <c r="AC45" s="150">
        <f t="shared" si="0"/>
        <v>1</v>
      </c>
      <c r="AD45" s="150">
        <f t="shared" si="0"/>
        <v>1</v>
      </c>
      <c r="AE45" s="150">
        <f t="shared" si="0"/>
        <v>1</v>
      </c>
      <c r="AF45" s="150">
        <f t="shared" si="0"/>
        <v>0.99999999999999989</v>
      </c>
      <c r="AG45" s="150">
        <f t="shared" si="0"/>
        <v>1</v>
      </c>
      <c r="AH45" s="150">
        <f t="shared" si="0"/>
        <v>1.0000000000000002</v>
      </c>
      <c r="AI45" s="150">
        <f t="shared" si="0"/>
        <v>0.99999999999999989</v>
      </c>
      <c r="AJ45" s="150">
        <f t="shared" si="0"/>
        <v>1</v>
      </c>
      <c r="AK45" s="150">
        <f t="shared" si="0"/>
        <v>0</v>
      </c>
      <c r="AL45" s="150">
        <f t="shared" si="0"/>
        <v>0</v>
      </c>
      <c r="AM45" s="150">
        <f t="shared" si="0"/>
        <v>0</v>
      </c>
      <c r="AN45" s="150">
        <f t="shared" si="0"/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I185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D48" sqref="D48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8" style="118" customWidth="1"/>
    <col min="5" max="6" width="18" style="117" customWidth="1"/>
    <col min="7" max="7" width="18" style="118" customWidth="1"/>
    <col min="8" max="8" width="8.83203125" style="118"/>
  </cols>
  <sheetData>
    <row r="1" spans="1:8" ht="70" x14ac:dyDescent="0.15">
      <c r="A1" s="5" t="s">
        <v>20</v>
      </c>
      <c r="B1" s="1" t="s">
        <v>0</v>
      </c>
      <c r="C1" s="190" t="s">
        <v>228</v>
      </c>
      <c r="D1" s="190" t="s">
        <v>229</v>
      </c>
      <c r="E1" s="190" t="s">
        <v>230</v>
      </c>
      <c r="F1" s="190" t="s">
        <v>235</v>
      </c>
      <c r="G1" s="190" t="s">
        <v>236</v>
      </c>
      <c r="H1"/>
    </row>
    <row r="2" spans="1:8" x14ac:dyDescent="0.15">
      <c r="A2">
        <v>1</v>
      </c>
      <c r="B2" s="189" t="s">
        <v>192</v>
      </c>
      <c r="C2" s="118">
        <v>0</v>
      </c>
      <c r="D2" s="118">
        <v>1</v>
      </c>
      <c r="E2" s="117">
        <v>0</v>
      </c>
      <c r="F2" s="117">
        <v>0</v>
      </c>
      <c r="G2" s="118">
        <v>1</v>
      </c>
      <c r="H2"/>
    </row>
    <row r="3" spans="1:8" x14ac:dyDescent="0.15">
      <c r="A3">
        <v>2</v>
      </c>
      <c r="B3" s="189" t="s">
        <v>193</v>
      </c>
      <c r="C3" s="118">
        <v>0</v>
      </c>
      <c r="D3" s="118">
        <v>1</v>
      </c>
      <c r="E3" s="117">
        <v>0</v>
      </c>
      <c r="F3" s="117">
        <v>0</v>
      </c>
      <c r="G3" s="118">
        <v>1</v>
      </c>
      <c r="H3"/>
    </row>
    <row r="4" spans="1:8" x14ac:dyDescent="0.15">
      <c r="A4">
        <v>3</v>
      </c>
      <c r="B4" s="189" t="s">
        <v>194</v>
      </c>
      <c r="C4" s="118">
        <v>0</v>
      </c>
      <c r="D4" s="118">
        <v>0</v>
      </c>
      <c r="E4" s="117">
        <v>0</v>
      </c>
      <c r="F4" s="117">
        <v>1</v>
      </c>
      <c r="G4" s="118">
        <v>1</v>
      </c>
      <c r="H4"/>
    </row>
    <row r="5" spans="1:8" x14ac:dyDescent="0.15">
      <c r="A5">
        <v>4</v>
      </c>
      <c r="B5" s="189" t="s">
        <v>195</v>
      </c>
      <c r="C5" s="118">
        <v>0</v>
      </c>
      <c r="D5" s="118">
        <v>1</v>
      </c>
      <c r="E5" s="117">
        <v>0</v>
      </c>
      <c r="F5" s="117">
        <v>0</v>
      </c>
      <c r="G5" s="118">
        <v>1</v>
      </c>
      <c r="H5"/>
    </row>
    <row r="6" spans="1:8" x14ac:dyDescent="0.15">
      <c r="A6">
        <v>5</v>
      </c>
      <c r="B6" s="189" t="s">
        <v>196</v>
      </c>
      <c r="C6" s="118">
        <v>0</v>
      </c>
      <c r="D6" s="118">
        <v>1</v>
      </c>
      <c r="E6" s="117">
        <v>0</v>
      </c>
      <c r="F6" s="117">
        <v>0</v>
      </c>
      <c r="G6" s="118">
        <v>1</v>
      </c>
      <c r="H6"/>
    </row>
    <row r="7" spans="1:8" x14ac:dyDescent="0.15">
      <c r="A7">
        <v>6</v>
      </c>
      <c r="B7" s="189" t="s">
        <v>197</v>
      </c>
      <c r="C7" s="118">
        <v>0</v>
      </c>
      <c r="D7" s="118">
        <v>1</v>
      </c>
      <c r="E7" s="117">
        <v>0</v>
      </c>
      <c r="F7" s="117">
        <v>0</v>
      </c>
      <c r="G7" s="118">
        <v>1</v>
      </c>
      <c r="H7"/>
    </row>
    <row r="8" spans="1:8" x14ac:dyDescent="0.15">
      <c r="A8">
        <v>7</v>
      </c>
      <c r="B8" s="189" t="s">
        <v>198</v>
      </c>
      <c r="C8" s="118">
        <v>0</v>
      </c>
      <c r="D8" s="118">
        <v>1</v>
      </c>
      <c r="E8" s="117">
        <v>0</v>
      </c>
      <c r="F8" s="117">
        <v>0</v>
      </c>
      <c r="G8" s="118">
        <v>1</v>
      </c>
      <c r="H8"/>
    </row>
    <row r="9" spans="1:8" x14ac:dyDescent="0.15">
      <c r="A9">
        <v>8</v>
      </c>
      <c r="B9" s="189" t="s">
        <v>199</v>
      </c>
      <c r="C9" s="118">
        <v>0</v>
      </c>
      <c r="D9" s="118">
        <v>1</v>
      </c>
      <c r="E9" s="117">
        <v>0</v>
      </c>
      <c r="F9" s="117">
        <v>0</v>
      </c>
      <c r="G9" s="118">
        <v>1</v>
      </c>
      <c r="H9"/>
    </row>
    <row r="10" spans="1:8" x14ac:dyDescent="0.15">
      <c r="A10">
        <v>9</v>
      </c>
      <c r="B10" s="189" t="s">
        <v>200</v>
      </c>
      <c r="C10" s="118">
        <v>0</v>
      </c>
      <c r="D10" s="118">
        <v>0</v>
      </c>
      <c r="E10" s="117">
        <v>0</v>
      </c>
      <c r="F10" s="117">
        <v>1</v>
      </c>
      <c r="G10" s="118">
        <v>1</v>
      </c>
      <c r="H10"/>
    </row>
    <row r="11" spans="1:8" x14ac:dyDescent="0.15">
      <c r="A11">
        <v>10</v>
      </c>
      <c r="B11" s="189" t="s">
        <v>201</v>
      </c>
      <c r="C11" s="118">
        <v>0</v>
      </c>
      <c r="D11" s="118">
        <v>1</v>
      </c>
      <c r="E11" s="117">
        <v>0</v>
      </c>
      <c r="F11" s="117">
        <v>0</v>
      </c>
      <c r="G11" s="118">
        <v>1</v>
      </c>
      <c r="H11"/>
    </row>
    <row r="12" spans="1:8" x14ac:dyDescent="0.15">
      <c r="A12">
        <v>11</v>
      </c>
      <c r="B12" s="189" t="s">
        <v>202</v>
      </c>
      <c r="C12" s="118">
        <v>0</v>
      </c>
      <c r="D12" s="118">
        <v>1</v>
      </c>
      <c r="E12" s="117">
        <v>0</v>
      </c>
      <c r="F12" s="117">
        <v>0</v>
      </c>
      <c r="G12" s="118">
        <v>1</v>
      </c>
      <c r="H12"/>
    </row>
    <row r="13" spans="1:8" x14ac:dyDescent="0.15">
      <c r="A13">
        <v>12</v>
      </c>
      <c r="B13" s="189" t="s">
        <v>203</v>
      </c>
      <c r="C13" s="118">
        <v>0</v>
      </c>
      <c r="D13" s="118">
        <v>1</v>
      </c>
      <c r="E13" s="117">
        <v>0</v>
      </c>
      <c r="F13" s="117">
        <v>0</v>
      </c>
      <c r="G13" s="118">
        <v>1</v>
      </c>
      <c r="H13"/>
    </row>
    <row r="14" spans="1:8" x14ac:dyDescent="0.15">
      <c r="A14">
        <v>13</v>
      </c>
      <c r="B14" s="189" t="s">
        <v>204</v>
      </c>
      <c r="C14" s="118">
        <v>0</v>
      </c>
      <c r="D14" s="118">
        <v>1</v>
      </c>
      <c r="E14" s="117">
        <v>0</v>
      </c>
      <c r="F14" s="117">
        <v>0</v>
      </c>
      <c r="G14" s="118">
        <v>1</v>
      </c>
      <c r="H14"/>
    </row>
    <row r="15" spans="1:8" x14ac:dyDescent="0.15">
      <c r="A15">
        <v>14</v>
      </c>
      <c r="B15" s="189" t="s">
        <v>205</v>
      </c>
      <c r="C15" s="118">
        <v>0</v>
      </c>
      <c r="D15" s="118">
        <v>1</v>
      </c>
      <c r="E15" s="117">
        <v>0</v>
      </c>
      <c r="F15" s="117">
        <v>0</v>
      </c>
      <c r="G15" s="118">
        <v>1</v>
      </c>
      <c r="H15"/>
    </row>
    <row r="16" spans="1:8" x14ac:dyDescent="0.15">
      <c r="A16">
        <v>15</v>
      </c>
      <c r="B16" s="189" t="s">
        <v>206</v>
      </c>
      <c r="C16" s="118">
        <v>0</v>
      </c>
      <c r="D16" s="118">
        <v>1</v>
      </c>
      <c r="E16" s="117">
        <v>0</v>
      </c>
      <c r="F16" s="117">
        <v>0</v>
      </c>
      <c r="G16" s="118">
        <v>1</v>
      </c>
      <c r="H16"/>
    </row>
    <row r="17" spans="1:8" ht="15" customHeight="1" x14ac:dyDescent="0.15">
      <c r="A17">
        <v>16</v>
      </c>
      <c r="B17" s="189" t="s">
        <v>207</v>
      </c>
      <c r="C17" s="118">
        <v>0</v>
      </c>
      <c r="D17" s="118">
        <v>1</v>
      </c>
      <c r="E17" s="117">
        <v>0</v>
      </c>
      <c r="F17" s="117">
        <v>0</v>
      </c>
      <c r="G17" s="118">
        <v>1</v>
      </c>
      <c r="H17"/>
    </row>
    <row r="18" spans="1:8" ht="15" customHeight="1" x14ac:dyDescent="0.15">
      <c r="A18">
        <v>17</v>
      </c>
      <c r="B18" s="189" t="s">
        <v>208</v>
      </c>
      <c r="C18" s="118">
        <v>0</v>
      </c>
      <c r="D18" s="118">
        <v>1</v>
      </c>
      <c r="E18" s="117">
        <v>0</v>
      </c>
      <c r="F18" s="117">
        <v>0</v>
      </c>
      <c r="G18" s="118">
        <v>1</v>
      </c>
      <c r="H18"/>
    </row>
    <row r="19" spans="1:8" ht="15" customHeight="1" x14ac:dyDescent="0.15">
      <c r="A19">
        <v>18</v>
      </c>
      <c r="B19" s="189" t="s">
        <v>209</v>
      </c>
      <c r="C19" s="118">
        <v>0</v>
      </c>
      <c r="D19" s="118">
        <v>1</v>
      </c>
      <c r="E19" s="117">
        <v>0</v>
      </c>
      <c r="F19" s="117">
        <v>0</v>
      </c>
      <c r="G19" s="118">
        <v>1</v>
      </c>
      <c r="H19"/>
    </row>
    <row r="20" spans="1:8" ht="15" customHeight="1" x14ac:dyDescent="0.15">
      <c r="A20">
        <v>19</v>
      </c>
      <c r="B20" s="189" t="s">
        <v>210</v>
      </c>
      <c r="C20" s="118">
        <v>0</v>
      </c>
      <c r="D20" s="118">
        <v>1</v>
      </c>
      <c r="E20" s="117">
        <v>0</v>
      </c>
      <c r="F20" s="117">
        <v>0</v>
      </c>
      <c r="G20" s="118">
        <v>1</v>
      </c>
      <c r="H20"/>
    </row>
    <row r="21" spans="1:8" ht="15" customHeight="1" x14ac:dyDescent="0.15">
      <c r="A21">
        <v>20</v>
      </c>
      <c r="B21" s="189" t="s">
        <v>211</v>
      </c>
      <c r="C21" s="118">
        <v>0</v>
      </c>
      <c r="D21" s="118">
        <v>1</v>
      </c>
      <c r="E21" s="117">
        <v>0</v>
      </c>
      <c r="F21" s="117">
        <v>0</v>
      </c>
      <c r="G21" s="118">
        <v>1</v>
      </c>
      <c r="H21"/>
    </row>
    <row r="22" spans="1:8" ht="15" customHeight="1" x14ac:dyDescent="0.15">
      <c r="A22">
        <v>21</v>
      </c>
      <c r="B22" s="189" t="s">
        <v>212</v>
      </c>
      <c r="C22" s="118">
        <v>0</v>
      </c>
      <c r="D22" s="118">
        <v>1</v>
      </c>
      <c r="E22" s="117">
        <v>0</v>
      </c>
      <c r="F22" s="117">
        <v>0</v>
      </c>
      <c r="G22" s="118">
        <v>1</v>
      </c>
      <c r="H22"/>
    </row>
    <row r="23" spans="1:8" ht="15" customHeight="1" x14ac:dyDescent="0.15">
      <c r="A23">
        <v>22</v>
      </c>
      <c r="B23" s="189" t="s">
        <v>213</v>
      </c>
      <c r="C23" s="118">
        <v>0</v>
      </c>
      <c r="D23" s="118">
        <v>1</v>
      </c>
      <c r="E23" s="117">
        <v>0</v>
      </c>
      <c r="F23" s="117">
        <v>0</v>
      </c>
      <c r="G23" s="118">
        <v>1</v>
      </c>
      <c r="H23"/>
    </row>
    <row r="24" spans="1:8" ht="15" customHeight="1" x14ac:dyDescent="0.15">
      <c r="A24">
        <v>23</v>
      </c>
      <c r="B24" s="189" t="s">
        <v>214</v>
      </c>
      <c r="C24" s="118">
        <v>0</v>
      </c>
      <c r="D24" s="118">
        <v>1</v>
      </c>
      <c r="E24" s="117">
        <v>0</v>
      </c>
      <c r="F24" s="117">
        <v>0</v>
      </c>
      <c r="G24" s="118">
        <v>1</v>
      </c>
      <c r="H24"/>
    </row>
    <row r="25" spans="1:8" ht="15" customHeight="1" x14ac:dyDescent="0.15">
      <c r="A25">
        <v>24</v>
      </c>
      <c r="B25" s="189" t="s">
        <v>215</v>
      </c>
      <c r="C25" s="118">
        <v>0</v>
      </c>
      <c r="D25" s="118">
        <v>1</v>
      </c>
      <c r="E25" s="117">
        <v>0</v>
      </c>
      <c r="F25" s="117">
        <v>0</v>
      </c>
      <c r="G25" s="118">
        <v>1</v>
      </c>
      <c r="H25"/>
    </row>
    <row r="26" spans="1:8" ht="15" customHeight="1" x14ac:dyDescent="0.15">
      <c r="A26">
        <v>25</v>
      </c>
      <c r="B26" s="189" t="s">
        <v>216</v>
      </c>
      <c r="C26" s="118">
        <v>0</v>
      </c>
      <c r="D26" s="118">
        <v>1</v>
      </c>
      <c r="E26" s="117">
        <v>0</v>
      </c>
      <c r="F26" s="117">
        <v>0</v>
      </c>
      <c r="G26" s="118">
        <v>1</v>
      </c>
      <c r="H26"/>
    </row>
    <row r="27" spans="1:8" ht="15" customHeight="1" x14ac:dyDescent="0.15">
      <c r="A27">
        <v>26</v>
      </c>
      <c r="B27" s="189" t="s">
        <v>217</v>
      </c>
      <c r="C27" s="118">
        <v>0</v>
      </c>
      <c r="D27" s="118">
        <v>1</v>
      </c>
      <c r="E27" s="117">
        <v>0</v>
      </c>
      <c r="F27" s="117">
        <v>0</v>
      </c>
      <c r="G27" s="118">
        <v>1</v>
      </c>
      <c r="H27"/>
    </row>
    <row r="28" spans="1:8" ht="15" customHeight="1" x14ac:dyDescent="0.15">
      <c r="A28">
        <v>27</v>
      </c>
      <c r="B28" s="189" t="s">
        <v>218</v>
      </c>
      <c r="C28" s="118">
        <v>0</v>
      </c>
      <c r="D28" s="118">
        <v>1</v>
      </c>
      <c r="E28" s="117">
        <v>0</v>
      </c>
      <c r="F28" s="117">
        <v>0</v>
      </c>
      <c r="G28" s="118">
        <v>1</v>
      </c>
      <c r="H28"/>
    </row>
    <row r="29" spans="1:8" ht="15" customHeight="1" x14ac:dyDescent="0.15">
      <c r="A29">
        <v>28</v>
      </c>
      <c r="B29" s="189" t="s">
        <v>219</v>
      </c>
      <c r="C29" s="118">
        <v>0</v>
      </c>
      <c r="D29" s="118">
        <v>1</v>
      </c>
      <c r="E29" s="117">
        <v>0</v>
      </c>
      <c r="F29" s="117">
        <v>0</v>
      </c>
      <c r="G29" s="118">
        <v>1</v>
      </c>
      <c r="H29"/>
    </row>
    <row r="30" spans="1:8" ht="15" customHeight="1" x14ac:dyDescent="0.15">
      <c r="A30">
        <v>29</v>
      </c>
      <c r="B30" s="189" t="s">
        <v>220</v>
      </c>
      <c r="C30" s="118">
        <v>0</v>
      </c>
      <c r="D30" s="118">
        <v>1</v>
      </c>
      <c r="E30" s="117">
        <v>0</v>
      </c>
      <c r="F30" s="117">
        <v>0</v>
      </c>
      <c r="G30" s="118">
        <v>1</v>
      </c>
      <c r="H30"/>
    </row>
    <row r="31" spans="1:8" ht="15" customHeight="1" x14ac:dyDescent="0.15">
      <c r="A31">
        <v>30</v>
      </c>
      <c r="B31" s="189" t="s">
        <v>221</v>
      </c>
      <c r="C31" s="118">
        <v>0</v>
      </c>
      <c r="D31" s="118">
        <v>1</v>
      </c>
      <c r="E31" s="117">
        <v>0</v>
      </c>
      <c r="F31" s="117">
        <v>0</v>
      </c>
      <c r="G31" s="118">
        <v>1</v>
      </c>
      <c r="H31"/>
    </row>
    <row r="32" spans="1:8" ht="15" customHeight="1" x14ac:dyDescent="0.15">
      <c r="A32">
        <v>31</v>
      </c>
      <c r="B32" s="189" t="s">
        <v>222</v>
      </c>
      <c r="C32" s="118">
        <v>0</v>
      </c>
      <c r="D32" s="118">
        <v>1</v>
      </c>
      <c r="E32" s="117">
        <v>0</v>
      </c>
      <c r="F32" s="117">
        <v>0</v>
      </c>
      <c r="G32" s="118">
        <v>1</v>
      </c>
    </row>
    <row r="33" spans="1:9" ht="15" customHeight="1" x14ac:dyDescent="0.15">
      <c r="A33">
        <v>32</v>
      </c>
      <c r="B33" s="189" t="s">
        <v>223</v>
      </c>
      <c r="C33" s="118">
        <v>0</v>
      </c>
      <c r="D33" s="118">
        <v>1</v>
      </c>
      <c r="E33" s="117">
        <v>0</v>
      </c>
      <c r="F33" s="117">
        <v>0</v>
      </c>
      <c r="G33" s="118">
        <v>1</v>
      </c>
    </row>
    <row r="34" spans="1:9" ht="15" customHeight="1" x14ac:dyDescent="0.15">
      <c r="A34">
        <v>33</v>
      </c>
      <c r="B34" s="189" t="s">
        <v>224</v>
      </c>
      <c r="C34" s="118">
        <v>0</v>
      </c>
      <c r="D34" s="118">
        <v>1</v>
      </c>
      <c r="E34" s="117">
        <v>0</v>
      </c>
      <c r="F34" s="117">
        <v>0</v>
      </c>
      <c r="G34" s="118">
        <v>1</v>
      </c>
    </row>
    <row r="35" spans="1:9" ht="15" customHeight="1" x14ac:dyDescent="0.15">
      <c r="A35">
        <v>34</v>
      </c>
      <c r="B35" s="189" t="s">
        <v>225</v>
      </c>
      <c r="C35" s="118">
        <v>0</v>
      </c>
      <c r="D35" s="118">
        <v>1</v>
      </c>
      <c r="E35" s="117">
        <v>0</v>
      </c>
      <c r="F35" s="117">
        <v>0</v>
      </c>
      <c r="G35" s="118">
        <v>1</v>
      </c>
    </row>
    <row r="36" spans="1:9" ht="15" customHeight="1" x14ac:dyDescent="0.15">
      <c r="A36">
        <v>35</v>
      </c>
      <c r="B36" s="189" t="s">
        <v>226</v>
      </c>
      <c r="C36" s="118">
        <v>0</v>
      </c>
      <c r="D36" s="118">
        <v>1</v>
      </c>
      <c r="E36" s="118">
        <v>0</v>
      </c>
      <c r="F36" s="118">
        <v>0</v>
      </c>
      <c r="G36" s="118">
        <v>1</v>
      </c>
      <c r="H36"/>
    </row>
    <row r="37" spans="1:9" ht="15" customHeight="1" x14ac:dyDescent="0.15">
      <c r="A37">
        <v>36</v>
      </c>
      <c r="B37" s="189" t="s">
        <v>227</v>
      </c>
      <c r="C37" s="118">
        <v>0</v>
      </c>
      <c r="D37" s="118">
        <v>1</v>
      </c>
      <c r="E37" s="118">
        <v>0</v>
      </c>
      <c r="F37" s="118">
        <v>0</v>
      </c>
      <c r="G37" s="118">
        <v>1</v>
      </c>
      <c r="H37"/>
    </row>
    <row r="38" spans="1:9" ht="15" customHeight="1" x14ac:dyDescent="0.15">
      <c r="A38">
        <v>37</v>
      </c>
      <c r="B38" s="189" t="s">
        <v>228</v>
      </c>
      <c r="C38" s="118">
        <v>0</v>
      </c>
      <c r="D38" s="118">
        <v>1</v>
      </c>
      <c r="E38" s="118">
        <v>0</v>
      </c>
      <c r="F38" s="118">
        <v>0</v>
      </c>
      <c r="G38" s="118">
        <v>1</v>
      </c>
      <c r="H38"/>
    </row>
    <row r="39" spans="1:9" ht="15" customHeight="1" x14ac:dyDescent="0.15">
      <c r="A39">
        <v>38</v>
      </c>
      <c r="B39" s="189" t="s">
        <v>229</v>
      </c>
      <c r="C39" s="118">
        <v>0</v>
      </c>
      <c r="D39" s="118">
        <v>0</v>
      </c>
      <c r="E39" s="118">
        <v>1</v>
      </c>
      <c r="F39" s="118">
        <v>0</v>
      </c>
      <c r="G39" s="118">
        <v>1</v>
      </c>
      <c r="H39"/>
    </row>
    <row r="40" spans="1:9" ht="15" customHeight="1" x14ac:dyDescent="0.15">
      <c r="A40">
        <v>39</v>
      </c>
      <c r="B40" s="189" t="s">
        <v>230</v>
      </c>
      <c r="C40" s="118">
        <v>0</v>
      </c>
      <c r="D40" s="118">
        <v>0</v>
      </c>
      <c r="E40" s="118">
        <v>0</v>
      </c>
      <c r="F40" s="118">
        <v>1</v>
      </c>
      <c r="G40" s="118">
        <v>1</v>
      </c>
      <c r="H40"/>
    </row>
    <row r="41" spans="1:9" ht="15" customHeight="1" x14ac:dyDescent="0.15">
      <c r="A41">
        <v>40</v>
      </c>
      <c r="B41" s="189" t="s">
        <v>231</v>
      </c>
      <c r="C41" s="214">
        <v>1</v>
      </c>
      <c r="D41" s="118">
        <v>0</v>
      </c>
      <c r="E41" s="214">
        <v>0</v>
      </c>
      <c r="F41" s="118">
        <v>0</v>
      </c>
      <c r="G41" s="118">
        <v>1</v>
      </c>
      <c r="H41"/>
      <c r="I41" s="61" t="s">
        <v>239</v>
      </c>
    </row>
    <row r="42" spans="1:9" ht="15" customHeight="1" x14ac:dyDescent="0.15">
      <c r="A42">
        <v>41</v>
      </c>
      <c r="B42" s="189" t="s">
        <v>232</v>
      </c>
      <c r="C42" s="214">
        <v>1</v>
      </c>
      <c r="D42" s="118">
        <v>0</v>
      </c>
      <c r="E42" s="214">
        <v>0</v>
      </c>
      <c r="F42" s="118">
        <v>0</v>
      </c>
      <c r="G42" s="118">
        <v>1</v>
      </c>
      <c r="H42"/>
      <c r="I42" s="61" t="s">
        <v>239</v>
      </c>
    </row>
    <row r="43" spans="1:9" ht="15" customHeight="1" x14ac:dyDescent="0.15">
      <c r="A43">
        <v>42</v>
      </c>
      <c r="B43" s="189" t="s">
        <v>233</v>
      </c>
      <c r="C43" s="214">
        <v>1</v>
      </c>
      <c r="D43" s="118">
        <v>0</v>
      </c>
      <c r="E43" s="214">
        <v>0</v>
      </c>
      <c r="F43" s="118">
        <v>0</v>
      </c>
      <c r="G43" s="118">
        <v>1</v>
      </c>
      <c r="H43"/>
      <c r="I43" s="61" t="s">
        <v>239</v>
      </c>
    </row>
    <row r="44" spans="1:9" ht="15" customHeight="1" x14ac:dyDescent="0.15">
      <c r="C44"/>
      <c r="D44"/>
      <c r="G44"/>
      <c r="H44"/>
    </row>
    <row r="45" spans="1:9" ht="15" customHeight="1" x14ac:dyDescent="0.15">
      <c r="C45"/>
      <c r="D45"/>
      <c r="G45"/>
      <c r="H45"/>
    </row>
    <row r="46" spans="1:9" ht="15" customHeight="1" x14ac:dyDescent="0.15">
      <c r="C46"/>
      <c r="D46"/>
      <c r="E46" s="118"/>
      <c r="F46" s="118"/>
      <c r="G46"/>
      <c r="H46"/>
    </row>
    <row r="47" spans="1:9" ht="15" customHeight="1" x14ac:dyDescent="0.15">
      <c r="C47"/>
      <c r="D47"/>
      <c r="G47"/>
      <c r="H47"/>
    </row>
    <row r="48" spans="1:9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F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C1" sqref="C1:F1048576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6" width="15.33203125" customWidth="1"/>
  </cols>
  <sheetData>
    <row r="1" spans="1:6" s="119" customFormat="1" ht="112" x14ac:dyDescent="0.15">
      <c r="A1" s="5" t="s">
        <v>21</v>
      </c>
      <c r="B1" s="3" t="s">
        <v>0</v>
      </c>
      <c r="C1" s="192" t="s">
        <v>231</v>
      </c>
      <c r="D1" s="192" t="s">
        <v>232</v>
      </c>
      <c r="E1" s="192" t="s">
        <v>233</v>
      </c>
      <c r="F1" s="192" t="s">
        <v>237</v>
      </c>
    </row>
    <row r="2" spans="1:6" ht="15" customHeight="1" x14ac:dyDescent="0.15">
      <c r="A2">
        <v>1</v>
      </c>
      <c r="B2" s="191" t="s">
        <v>192</v>
      </c>
      <c r="C2">
        <v>0</v>
      </c>
      <c r="D2">
        <v>0</v>
      </c>
      <c r="E2">
        <v>0</v>
      </c>
      <c r="F2">
        <v>0</v>
      </c>
    </row>
    <row r="3" spans="1:6" ht="15" customHeight="1" x14ac:dyDescent="0.15">
      <c r="A3">
        <v>2</v>
      </c>
      <c r="B3" s="191" t="s">
        <v>193</v>
      </c>
      <c r="C3">
        <v>0.141184</v>
      </c>
      <c r="D3">
        <v>0</v>
      </c>
      <c r="E3">
        <v>0</v>
      </c>
      <c r="F3">
        <v>0.141184</v>
      </c>
    </row>
    <row r="4" spans="1:6" ht="15" customHeight="1" x14ac:dyDescent="0.15">
      <c r="A4">
        <v>3</v>
      </c>
      <c r="B4" s="191" t="s">
        <v>194</v>
      </c>
      <c r="C4">
        <v>0</v>
      </c>
      <c r="D4">
        <v>0</v>
      </c>
      <c r="E4">
        <v>0</v>
      </c>
      <c r="F4">
        <v>0</v>
      </c>
    </row>
    <row r="5" spans="1:6" ht="15" customHeight="1" x14ac:dyDescent="0.15">
      <c r="A5">
        <v>4</v>
      </c>
      <c r="B5" s="191" t="s">
        <v>195</v>
      </c>
      <c r="C5">
        <v>0.90776900000000005</v>
      </c>
      <c r="D5">
        <v>0</v>
      </c>
      <c r="E5">
        <v>0</v>
      </c>
      <c r="F5">
        <v>0.90776900000000005</v>
      </c>
    </row>
    <row r="6" spans="1:6" ht="15" customHeight="1" x14ac:dyDescent="0.15">
      <c r="A6">
        <v>5</v>
      </c>
      <c r="B6" s="191" t="s">
        <v>196</v>
      </c>
      <c r="C6">
        <v>0.424655</v>
      </c>
      <c r="D6">
        <v>0</v>
      </c>
      <c r="E6">
        <v>0</v>
      </c>
      <c r="F6">
        <v>0.424655</v>
      </c>
    </row>
    <row r="7" spans="1:6" ht="15" customHeight="1" x14ac:dyDescent="0.15">
      <c r="A7">
        <v>6</v>
      </c>
      <c r="B7" s="191" t="s">
        <v>197</v>
      </c>
      <c r="C7">
        <v>0</v>
      </c>
      <c r="D7">
        <v>0</v>
      </c>
      <c r="E7">
        <v>0</v>
      </c>
      <c r="F7">
        <v>0</v>
      </c>
    </row>
    <row r="8" spans="1:6" ht="15" customHeight="1" x14ac:dyDescent="0.15">
      <c r="A8">
        <v>7</v>
      </c>
      <c r="B8" s="191" t="s">
        <v>198</v>
      </c>
      <c r="C8">
        <v>0</v>
      </c>
      <c r="D8">
        <v>0</v>
      </c>
      <c r="E8">
        <v>0</v>
      </c>
      <c r="F8">
        <v>0</v>
      </c>
    </row>
    <row r="9" spans="1:6" ht="15" customHeight="1" x14ac:dyDescent="0.15">
      <c r="A9">
        <v>8</v>
      </c>
      <c r="B9" s="191" t="s">
        <v>199</v>
      </c>
      <c r="C9">
        <v>0.18309800000000001</v>
      </c>
      <c r="D9">
        <v>0</v>
      </c>
      <c r="E9">
        <v>0</v>
      </c>
      <c r="F9">
        <v>0.18309800000000001</v>
      </c>
    </row>
    <row r="10" spans="1:6" ht="15" customHeight="1" x14ac:dyDescent="0.15">
      <c r="A10">
        <v>9</v>
      </c>
      <c r="B10" s="191" t="s">
        <v>200</v>
      </c>
      <c r="C10">
        <v>0</v>
      </c>
      <c r="D10">
        <v>0</v>
      </c>
      <c r="E10">
        <v>0</v>
      </c>
      <c r="F10">
        <v>0</v>
      </c>
    </row>
    <row r="11" spans="1:6" ht="15" customHeight="1" x14ac:dyDescent="0.15">
      <c r="A11">
        <v>10</v>
      </c>
      <c r="B11" s="191" t="s">
        <v>201</v>
      </c>
      <c r="C11">
        <v>0</v>
      </c>
      <c r="D11">
        <v>0</v>
      </c>
      <c r="E11">
        <v>0</v>
      </c>
      <c r="F11">
        <v>0</v>
      </c>
    </row>
    <row r="12" spans="1:6" ht="15" customHeight="1" x14ac:dyDescent="0.15">
      <c r="A12">
        <v>11</v>
      </c>
      <c r="B12" s="191" t="s">
        <v>202</v>
      </c>
      <c r="C12">
        <v>0.270235</v>
      </c>
      <c r="D12">
        <v>0</v>
      </c>
      <c r="E12">
        <v>0</v>
      </c>
      <c r="F12">
        <v>0.270235</v>
      </c>
    </row>
    <row r="13" spans="1:6" ht="15" customHeight="1" x14ac:dyDescent="0.15">
      <c r="A13">
        <v>12</v>
      </c>
      <c r="B13" s="191" t="s">
        <v>203</v>
      </c>
      <c r="C13">
        <v>0</v>
      </c>
      <c r="D13">
        <v>0</v>
      </c>
      <c r="E13">
        <v>0</v>
      </c>
      <c r="F13">
        <v>0</v>
      </c>
    </row>
    <row r="14" spans="1:6" ht="15" customHeight="1" x14ac:dyDescent="0.15">
      <c r="A14">
        <v>13</v>
      </c>
      <c r="B14" s="191" t="s">
        <v>204</v>
      </c>
      <c r="C14">
        <v>0</v>
      </c>
      <c r="D14">
        <v>0</v>
      </c>
      <c r="E14">
        <v>0</v>
      </c>
      <c r="F14">
        <v>0</v>
      </c>
    </row>
    <row r="15" spans="1:6" ht="15" customHeight="1" x14ac:dyDescent="0.15">
      <c r="A15">
        <v>14</v>
      </c>
      <c r="B15" s="191" t="s">
        <v>205</v>
      </c>
      <c r="C15">
        <v>0</v>
      </c>
      <c r="D15">
        <v>0</v>
      </c>
      <c r="E15">
        <v>0</v>
      </c>
      <c r="F15">
        <v>0</v>
      </c>
    </row>
    <row r="16" spans="1:6" ht="15" customHeight="1" x14ac:dyDescent="0.15">
      <c r="A16">
        <v>15</v>
      </c>
      <c r="B16" s="191" t="s">
        <v>206</v>
      </c>
      <c r="C16">
        <v>0.43237599999999998</v>
      </c>
      <c r="D16">
        <v>0</v>
      </c>
      <c r="E16">
        <v>0</v>
      </c>
      <c r="F16">
        <v>0.43237599999999998</v>
      </c>
    </row>
    <row r="17" spans="1:6" ht="15" customHeight="1" x14ac:dyDescent="0.15">
      <c r="A17">
        <v>16</v>
      </c>
      <c r="B17" s="191" t="s">
        <v>207</v>
      </c>
      <c r="C17">
        <v>4.6325999999999999E-2</v>
      </c>
      <c r="D17">
        <v>0</v>
      </c>
      <c r="E17">
        <v>0</v>
      </c>
      <c r="F17">
        <v>4.6325999999999999E-2</v>
      </c>
    </row>
    <row r="18" spans="1:6" ht="15" customHeight="1" x14ac:dyDescent="0.15">
      <c r="A18">
        <v>17</v>
      </c>
      <c r="B18" s="191" t="s">
        <v>208</v>
      </c>
      <c r="C18">
        <v>0</v>
      </c>
      <c r="D18">
        <v>0</v>
      </c>
      <c r="E18">
        <v>0</v>
      </c>
      <c r="F18">
        <v>0</v>
      </c>
    </row>
    <row r="19" spans="1:6" ht="15" customHeight="1" x14ac:dyDescent="0.15">
      <c r="A19">
        <v>18</v>
      </c>
      <c r="B19" s="191" t="s">
        <v>209</v>
      </c>
      <c r="C19">
        <v>0.101476</v>
      </c>
      <c r="D19">
        <v>0</v>
      </c>
      <c r="E19">
        <v>0</v>
      </c>
      <c r="F19">
        <v>0.101476</v>
      </c>
    </row>
    <row r="20" spans="1:6" ht="15" customHeight="1" x14ac:dyDescent="0.15">
      <c r="A20">
        <v>19</v>
      </c>
      <c r="B20" s="191" t="s">
        <v>210</v>
      </c>
      <c r="C20">
        <v>0.158832</v>
      </c>
      <c r="D20">
        <v>0</v>
      </c>
      <c r="E20">
        <v>0</v>
      </c>
      <c r="F20">
        <v>0.158832</v>
      </c>
    </row>
    <row r="21" spans="1:6" ht="15" customHeight="1" x14ac:dyDescent="0.15">
      <c r="A21">
        <v>20</v>
      </c>
      <c r="B21" s="191" t="s">
        <v>211</v>
      </c>
      <c r="C21">
        <v>0</v>
      </c>
      <c r="D21">
        <v>0</v>
      </c>
      <c r="E21">
        <v>0</v>
      </c>
      <c r="F21">
        <v>0</v>
      </c>
    </row>
    <row r="22" spans="1:6" ht="15" customHeight="1" x14ac:dyDescent="0.15">
      <c r="A22">
        <v>21</v>
      </c>
      <c r="B22" s="191" t="s">
        <v>212</v>
      </c>
      <c r="C22">
        <v>2.0957E-2</v>
      </c>
      <c r="D22">
        <v>0</v>
      </c>
      <c r="E22">
        <v>0</v>
      </c>
      <c r="F22">
        <v>2.0957E-2</v>
      </c>
    </row>
    <row r="23" spans="1:6" ht="15" customHeight="1" x14ac:dyDescent="0.15">
      <c r="A23">
        <v>22</v>
      </c>
      <c r="B23" s="191" t="s">
        <v>213</v>
      </c>
      <c r="C23">
        <v>0</v>
      </c>
      <c r="D23">
        <v>0</v>
      </c>
      <c r="E23">
        <v>0</v>
      </c>
      <c r="F23">
        <v>0</v>
      </c>
    </row>
    <row r="24" spans="1:6" ht="15" customHeight="1" x14ac:dyDescent="0.15">
      <c r="A24">
        <v>23</v>
      </c>
      <c r="B24" s="191" t="s">
        <v>214</v>
      </c>
      <c r="C24">
        <v>0.27464699999999997</v>
      </c>
      <c r="D24">
        <v>0</v>
      </c>
      <c r="E24">
        <v>0</v>
      </c>
      <c r="F24">
        <v>0.27464699999999997</v>
      </c>
    </row>
    <row r="25" spans="1:6" ht="15" customHeight="1" x14ac:dyDescent="0.15">
      <c r="A25">
        <v>24</v>
      </c>
      <c r="B25" s="191" t="s">
        <v>215</v>
      </c>
      <c r="C25">
        <v>0</v>
      </c>
      <c r="D25">
        <v>0</v>
      </c>
      <c r="E25">
        <v>0</v>
      </c>
      <c r="F25">
        <v>0</v>
      </c>
    </row>
    <row r="26" spans="1:6" ht="15" customHeight="1" x14ac:dyDescent="0.15">
      <c r="A26">
        <v>25</v>
      </c>
      <c r="B26" s="191" t="s">
        <v>216</v>
      </c>
      <c r="C26">
        <v>0</v>
      </c>
      <c r="D26">
        <v>1.0247999999999999</v>
      </c>
      <c r="E26">
        <v>0</v>
      </c>
      <c r="F26">
        <v>1.0247999999999999</v>
      </c>
    </row>
    <row r="27" spans="1:6" ht="15" customHeight="1" x14ac:dyDescent="0.15">
      <c r="A27">
        <v>26</v>
      </c>
      <c r="B27" s="191" t="s">
        <v>217</v>
      </c>
      <c r="C27">
        <v>0.12574199999999999</v>
      </c>
      <c r="D27">
        <v>0</v>
      </c>
      <c r="E27">
        <v>0</v>
      </c>
      <c r="F27">
        <v>0.12574199999999999</v>
      </c>
    </row>
    <row r="28" spans="1:6" ht="15" customHeight="1" x14ac:dyDescent="0.15">
      <c r="A28">
        <v>27</v>
      </c>
      <c r="B28" s="191" t="s">
        <v>218</v>
      </c>
      <c r="C28">
        <v>0</v>
      </c>
      <c r="D28">
        <v>0</v>
      </c>
      <c r="E28">
        <v>0</v>
      </c>
      <c r="F28">
        <v>0</v>
      </c>
    </row>
    <row r="29" spans="1:6" ht="15" customHeight="1" x14ac:dyDescent="0.15">
      <c r="A29">
        <v>28</v>
      </c>
      <c r="B29" s="191" t="s">
        <v>219</v>
      </c>
      <c r="C29">
        <v>0</v>
      </c>
      <c r="D29">
        <v>0</v>
      </c>
      <c r="E29">
        <v>0.629</v>
      </c>
      <c r="F29">
        <v>0.629</v>
      </c>
    </row>
    <row r="30" spans="1:6" ht="15" customHeight="1" x14ac:dyDescent="0.15">
      <c r="A30">
        <v>29</v>
      </c>
      <c r="B30" s="191" t="s">
        <v>220</v>
      </c>
      <c r="C30">
        <v>0</v>
      </c>
      <c r="D30">
        <v>0</v>
      </c>
      <c r="E30">
        <v>0</v>
      </c>
      <c r="F30">
        <v>0</v>
      </c>
    </row>
    <row r="31" spans="1:6" ht="15" customHeight="1" x14ac:dyDescent="0.15">
      <c r="A31">
        <v>30</v>
      </c>
      <c r="B31" s="191" t="s">
        <v>221</v>
      </c>
      <c r="C31">
        <v>0</v>
      </c>
      <c r="D31">
        <v>0</v>
      </c>
      <c r="E31">
        <v>0</v>
      </c>
      <c r="F31">
        <v>0</v>
      </c>
    </row>
    <row r="32" spans="1:6" ht="15" customHeight="1" x14ac:dyDescent="0.15">
      <c r="A32">
        <v>31</v>
      </c>
      <c r="B32" s="191" t="s">
        <v>222</v>
      </c>
      <c r="C32">
        <v>0</v>
      </c>
      <c r="D32">
        <v>0</v>
      </c>
      <c r="E32">
        <v>0</v>
      </c>
      <c r="F32">
        <v>0</v>
      </c>
    </row>
    <row r="33" spans="1:6" ht="15" customHeight="1" x14ac:dyDescent="0.15">
      <c r="A33">
        <v>32</v>
      </c>
      <c r="B33" s="191" t="s">
        <v>223</v>
      </c>
      <c r="C33">
        <v>0</v>
      </c>
      <c r="D33">
        <v>0</v>
      </c>
      <c r="E33">
        <v>0</v>
      </c>
      <c r="F33">
        <v>0</v>
      </c>
    </row>
    <row r="34" spans="1:6" ht="15" customHeight="1" x14ac:dyDescent="0.15">
      <c r="A34">
        <v>33</v>
      </c>
      <c r="B34" s="191" t="s">
        <v>224</v>
      </c>
      <c r="C34">
        <v>0</v>
      </c>
      <c r="D34">
        <v>0</v>
      </c>
      <c r="E34">
        <v>0</v>
      </c>
      <c r="F34">
        <v>0</v>
      </c>
    </row>
    <row r="35" spans="1:6" ht="15" customHeight="1" x14ac:dyDescent="0.15">
      <c r="A35">
        <v>34</v>
      </c>
      <c r="B35" s="191" t="s">
        <v>225</v>
      </c>
      <c r="C35">
        <v>0</v>
      </c>
      <c r="D35">
        <v>0</v>
      </c>
      <c r="E35">
        <v>0</v>
      </c>
      <c r="F35">
        <v>0</v>
      </c>
    </row>
    <row r="36" spans="1:6" ht="15" customHeight="1" x14ac:dyDescent="0.15">
      <c r="A36">
        <v>35</v>
      </c>
      <c r="B36" s="191" t="s">
        <v>226</v>
      </c>
      <c r="C36">
        <v>0.13456599999999999</v>
      </c>
      <c r="D36">
        <v>0</v>
      </c>
      <c r="E36">
        <v>0</v>
      </c>
      <c r="F36">
        <v>0.13456599999999999</v>
      </c>
    </row>
    <row r="37" spans="1:6" ht="15" customHeight="1" x14ac:dyDescent="0.15">
      <c r="A37">
        <v>36</v>
      </c>
      <c r="B37" s="191" t="s">
        <v>227</v>
      </c>
      <c r="C37">
        <v>0</v>
      </c>
      <c r="D37">
        <v>0</v>
      </c>
      <c r="E37">
        <v>0</v>
      </c>
      <c r="F37">
        <v>0</v>
      </c>
    </row>
    <row r="38" spans="1:6" ht="15" customHeight="1" x14ac:dyDescent="0.15">
      <c r="A38">
        <v>37</v>
      </c>
      <c r="B38" s="191" t="s">
        <v>228</v>
      </c>
      <c r="C38">
        <v>0</v>
      </c>
      <c r="D38">
        <v>0</v>
      </c>
      <c r="E38">
        <v>0</v>
      </c>
      <c r="F38">
        <v>0</v>
      </c>
    </row>
    <row r="39" spans="1:6" ht="15" customHeight="1" x14ac:dyDescent="0.15">
      <c r="A39">
        <v>38</v>
      </c>
      <c r="B39" s="191" t="s">
        <v>229</v>
      </c>
      <c r="C39">
        <v>0</v>
      </c>
      <c r="D39">
        <v>0</v>
      </c>
      <c r="E39">
        <v>0</v>
      </c>
      <c r="F39">
        <v>0</v>
      </c>
    </row>
    <row r="40" spans="1:6" ht="15" customHeight="1" x14ac:dyDescent="0.15">
      <c r="A40">
        <v>39</v>
      </c>
      <c r="B40" s="191" t="s">
        <v>230</v>
      </c>
      <c r="C40">
        <v>0</v>
      </c>
      <c r="D40">
        <v>0</v>
      </c>
      <c r="E40">
        <v>0</v>
      </c>
      <c r="F40">
        <v>0</v>
      </c>
    </row>
    <row r="41" spans="1:6" ht="15" customHeight="1" x14ac:dyDescent="0.15"/>
    <row r="42" spans="1:6" ht="15" customHeight="1" x14ac:dyDescent="0.15"/>
    <row r="43" spans="1:6" ht="15" customHeight="1" x14ac:dyDescent="0.15"/>
    <row r="44" spans="1:6" ht="15" customHeight="1" x14ac:dyDescent="0.15"/>
    <row r="45" spans="1:6" ht="15" customHeight="1" x14ac:dyDescent="0.15"/>
    <row r="46" spans="1:6" ht="15" customHeight="1" x14ac:dyDescent="0.15"/>
    <row r="47" spans="1:6" ht="15" customHeight="1" x14ac:dyDescent="0.15"/>
    <row r="48" spans="1:6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40"/>
  <sheetViews>
    <sheetView workbookViewId="0">
      <pane xSplit="2" ySplit="1" topLeftCell="C25" activePane="bottomRight" state="frozen"/>
      <selection pane="topRight" activeCell="D1" sqref="D1"/>
      <selection pane="bottomLeft" activeCell="A2" sqref="A2"/>
      <selection pane="bottomRight" activeCell="K29" sqref="K29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6" width="22.5" customWidth="1"/>
  </cols>
  <sheetData>
    <row r="1" spans="1:6" s="119" customFormat="1" ht="112" x14ac:dyDescent="0.15">
      <c r="A1" s="5" t="s">
        <v>22</v>
      </c>
      <c r="B1" s="3" t="s">
        <v>0</v>
      </c>
      <c r="C1" s="194" t="s">
        <v>231</v>
      </c>
      <c r="D1" s="194" t="s">
        <v>232</v>
      </c>
      <c r="E1" s="194" t="s">
        <v>233</v>
      </c>
      <c r="F1" s="194" t="s">
        <v>237</v>
      </c>
    </row>
    <row r="2" spans="1:6" x14ac:dyDescent="0.15">
      <c r="A2">
        <v>1</v>
      </c>
      <c r="B2" s="193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93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93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93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93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93" t="s">
        <v>197</v>
      </c>
      <c r="C7">
        <v>0</v>
      </c>
      <c r="D7">
        <v>0</v>
      </c>
      <c r="E7">
        <v>3.4542000000000003E-2</v>
      </c>
      <c r="F7">
        <v>3.4542000000000003E-2</v>
      </c>
    </row>
    <row r="8" spans="1:6" x14ac:dyDescent="0.15">
      <c r="A8">
        <v>7</v>
      </c>
      <c r="B8" s="193" t="s">
        <v>198</v>
      </c>
      <c r="C8">
        <v>0</v>
      </c>
      <c r="D8">
        <v>0</v>
      </c>
      <c r="E8">
        <v>2.7269999999999999E-2</v>
      </c>
      <c r="F8">
        <v>2.7269999999999999E-2</v>
      </c>
    </row>
    <row r="9" spans="1:6" x14ac:dyDescent="0.15">
      <c r="A9">
        <v>8</v>
      </c>
      <c r="B9" s="193" t="s">
        <v>199</v>
      </c>
      <c r="C9">
        <v>0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93" t="s">
        <v>200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93" t="s">
        <v>201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93" t="s">
        <v>202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93" t="s">
        <v>203</v>
      </c>
      <c r="C13">
        <v>0</v>
      </c>
      <c r="D13">
        <v>0</v>
      </c>
      <c r="E13">
        <v>1.4544E-2</v>
      </c>
      <c r="F13">
        <v>1.4544E-2</v>
      </c>
    </row>
    <row r="14" spans="1:6" x14ac:dyDescent="0.15">
      <c r="A14">
        <v>13</v>
      </c>
      <c r="B14" s="193" t="s">
        <v>204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93" t="s">
        <v>205</v>
      </c>
      <c r="C15">
        <v>0</v>
      </c>
      <c r="D15">
        <v>0</v>
      </c>
      <c r="E15">
        <v>4.9085999999999998E-2</v>
      </c>
      <c r="F15">
        <v>4.9085999999999998E-2</v>
      </c>
    </row>
    <row r="16" spans="1:6" x14ac:dyDescent="0.15">
      <c r="A16">
        <v>15</v>
      </c>
      <c r="B16" s="193" t="s">
        <v>206</v>
      </c>
      <c r="C16">
        <v>0</v>
      </c>
      <c r="D16">
        <v>0</v>
      </c>
      <c r="E16">
        <v>2.1815999999999999E-2</v>
      </c>
      <c r="F16">
        <v>2.1815999999999999E-2</v>
      </c>
    </row>
    <row r="17" spans="1:6" x14ac:dyDescent="0.15">
      <c r="A17">
        <v>16</v>
      </c>
      <c r="B17" s="193" t="s">
        <v>207</v>
      </c>
      <c r="C17">
        <v>0</v>
      </c>
      <c r="D17">
        <v>0</v>
      </c>
      <c r="E17">
        <v>0.17907300000000001</v>
      </c>
      <c r="F17">
        <v>0.17907300000000001</v>
      </c>
    </row>
    <row r="18" spans="1:6" x14ac:dyDescent="0.15">
      <c r="A18">
        <v>17</v>
      </c>
      <c r="B18" s="193" t="s">
        <v>208</v>
      </c>
      <c r="C18">
        <v>0</v>
      </c>
      <c r="D18">
        <v>0</v>
      </c>
      <c r="E18">
        <v>9.5445000000000002E-2</v>
      </c>
      <c r="F18">
        <v>9.5445000000000002E-2</v>
      </c>
    </row>
    <row r="19" spans="1:6" x14ac:dyDescent="0.15">
      <c r="A19">
        <v>18</v>
      </c>
      <c r="B19" s="193" t="s">
        <v>209</v>
      </c>
      <c r="C19">
        <v>0</v>
      </c>
      <c r="D19">
        <v>0</v>
      </c>
      <c r="E19">
        <v>4.1813999999999997E-2</v>
      </c>
      <c r="F19">
        <v>4.1813999999999997E-2</v>
      </c>
    </row>
    <row r="20" spans="1:6" x14ac:dyDescent="0.15">
      <c r="A20">
        <v>19</v>
      </c>
      <c r="B20" s="193" t="s">
        <v>210</v>
      </c>
      <c r="C20">
        <v>0</v>
      </c>
      <c r="D20">
        <v>0</v>
      </c>
      <c r="E20">
        <v>0.35087400000000002</v>
      </c>
      <c r="F20">
        <v>0.35087400000000002</v>
      </c>
    </row>
    <row r="21" spans="1:6" x14ac:dyDescent="0.15">
      <c r="A21">
        <v>20</v>
      </c>
      <c r="B21" s="193" t="s">
        <v>211</v>
      </c>
      <c r="C21">
        <v>0</v>
      </c>
      <c r="D21">
        <v>0</v>
      </c>
      <c r="E21">
        <v>9.0899999999999998E-4</v>
      </c>
      <c r="F21">
        <v>9.0899999999999998E-4</v>
      </c>
    </row>
    <row r="22" spans="1:6" x14ac:dyDescent="0.15">
      <c r="A22">
        <v>21</v>
      </c>
      <c r="B22" s="193" t="s">
        <v>212</v>
      </c>
      <c r="C22">
        <v>0</v>
      </c>
      <c r="D22">
        <v>0</v>
      </c>
      <c r="E22">
        <v>8.1810000000000008E-3</v>
      </c>
      <c r="F22">
        <v>8.1810000000000008E-3</v>
      </c>
    </row>
    <row r="23" spans="1:6" x14ac:dyDescent="0.15">
      <c r="A23">
        <v>22</v>
      </c>
      <c r="B23" s="193" t="s">
        <v>213</v>
      </c>
      <c r="C23">
        <v>0</v>
      </c>
      <c r="D23">
        <v>0</v>
      </c>
      <c r="E23">
        <v>0.21543300000000001</v>
      </c>
      <c r="F23">
        <v>0.21543300000000001</v>
      </c>
    </row>
    <row r="24" spans="1:6" x14ac:dyDescent="0.15">
      <c r="A24">
        <v>23</v>
      </c>
      <c r="B24" s="193" t="s">
        <v>214</v>
      </c>
      <c r="C24">
        <v>0</v>
      </c>
      <c r="D24">
        <v>0</v>
      </c>
      <c r="E24">
        <v>0.63902700000000001</v>
      </c>
      <c r="F24">
        <v>0.63902700000000001</v>
      </c>
    </row>
    <row r="25" spans="1:6" x14ac:dyDescent="0.15">
      <c r="A25">
        <v>24</v>
      </c>
      <c r="B25" s="193" t="s">
        <v>215</v>
      </c>
      <c r="C25">
        <v>0</v>
      </c>
      <c r="D25">
        <v>0</v>
      </c>
      <c r="E25">
        <v>0.464499</v>
      </c>
      <c r="F25">
        <v>0.464499</v>
      </c>
    </row>
    <row r="26" spans="1:6" x14ac:dyDescent="0.15">
      <c r="A26">
        <v>25</v>
      </c>
      <c r="B26" s="193" t="s">
        <v>216</v>
      </c>
      <c r="C26">
        <v>0</v>
      </c>
      <c r="D26">
        <v>0</v>
      </c>
      <c r="E26">
        <v>0</v>
      </c>
      <c r="F26">
        <v>0</v>
      </c>
    </row>
    <row r="27" spans="1:6" x14ac:dyDescent="0.15">
      <c r="A27">
        <v>26</v>
      </c>
      <c r="B27" s="193" t="s">
        <v>217</v>
      </c>
      <c r="C27">
        <v>0</v>
      </c>
      <c r="D27">
        <v>0</v>
      </c>
      <c r="E27">
        <v>1.4544E-2</v>
      </c>
      <c r="F27">
        <v>1.4544E-2</v>
      </c>
    </row>
    <row r="28" spans="1:6" x14ac:dyDescent="0.15">
      <c r="A28">
        <v>27</v>
      </c>
      <c r="B28" s="193" t="s">
        <v>218</v>
      </c>
      <c r="C28">
        <v>0</v>
      </c>
      <c r="D28">
        <v>0</v>
      </c>
      <c r="E28">
        <v>0.115443</v>
      </c>
      <c r="F28">
        <v>0.115443</v>
      </c>
    </row>
    <row r="29" spans="1:6" x14ac:dyDescent="0.15">
      <c r="A29">
        <v>28</v>
      </c>
      <c r="B29" s="193" t="s">
        <v>219</v>
      </c>
      <c r="C29">
        <v>0</v>
      </c>
      <c r="D29">
        <v>0</v>
      </c>
      <c r="E29">
        <v>5.4539999999999998E-2</v>
      </c>
      <c r="F29">
        <v>5.4539999999999998E-2</v>
      </c>
    </row>
    <row r="30" spans="1:6" x14ac:dyDescent="0.15">
      <c r="A30">
        <v>29</v>
      </c>
      <c r="B30" s="193" t="s">
        <v>220</v>
      </c>
      <c r="C30">
        <v>0</v>
      </c>
      <c r="D30">
        <v>0</v>
      </c>
      <c r="E30">
        <v>8.0901000000000001E-2</v>
      </c>
      <c r="F30">
        <v>8.0901000000000001E-2</v>
      </c>
    </row>
    <row r="31" spans="1:6" x14ac:dyDescent="0.15">
      <c r="A31">
        <v>30</v>
      </c>
      <c r="B31" s="193" t="s">
        <v>221</v>
      </c>
      <c r="C31">
        <v>0</v>
      </c>
      <c r="D31">
        <v>0</v>
      </c>
      <c r="E31">
        <v>0.10908</v>
      </c>
      <c r="F31">
        <v>0.10908</v>
      </c>
    </row>
    <row r="32" spans="1:6" x14ac:dyDescent="0.15">
      <c r="A32">
        <v>31</v>
      </c>
      <c r="B32" s="193" t="s">
        <v>222</v>
      </c>
      <c r="C32">
        <v>0</v>
      </c>
      <c r="D32">
        <v>0</v>
      </c>
      <c r="E32">
        <v>2.6360999999999999E-2</v>
      </c>
      <c r="F32">
        <v>2.6360999999999999E-2</v>
      </c>
    </row>
    <row r="33" spans="1:6" x14ac:dyDescent="0.15">
      <c r="A33">
        <v>32</v>
      </c>
      <c r="B33" s="193" t="s">
        <v>223</v>
      </c>
      <c r="C33">
        <v>0</v>
      </c>
      <c r="D33">
        <v>0</v>
      </c>
      <c r="E33">
        <v>0.16089300000000001</v>
      </c>
      <c r="F33">
        <v>0.16089300000000001</v>
      </c>
    </row>
    <row r="34" spans="1:6" x14ac:dyDescent="0.15">
      <c r="A34">
        <v>33</v>
      </c>
      <c r="B34" s="193" t="s">
        <v>224</v>
      </c>
      <c r="C34">
        <v>0</v>
      </c>
      <c r="D34">
        <v>0</v>
      </c>
      <c r="E34">
        <v>0</v>
      </c>
      <c r="F34">
        <v>0</v>
      </c>
    </row>
    <row r="35" spans="1:6" x14ac:dyDescent="0.15">
      <c r="A35">
        <v>34</v>
      </c>
      <c r="B35" s="193" t="s">
        <v>225</v>
      </c>
      <c r="C35">
        <v>0</v>
      </c>
      <c r="D35">
        <v>0</v>
      </c>
      <c r="E35">
        <v>1.5453E-2</v>
      </c>
      <c r="F35">
        <v>1.5453E-2</v>
      </c>
    </row>
    <row r="36" spans="1:6" x14ac:dyDescent="0.15">
      <c r="A36">
        <v>35</v>
      </c>
      <c r="B36" s="193" t="s">
        <v>226</v>
      </c>
      <c r="C36">
        <v>0</v>
      </c>
      <c r="D36">
        <v>0</v>
      </c>
      <c r="E36">
        <v>5.9085000000000001</v>
      </c>
      <c r="F36">
        <v>5.9085000000000001</v>
      </c>
    </row>
    <row r="37" spans="1:6" x14ac:dyDescent="0.15">
      <c r="A37">
        <v>36</v>
      </c>
      <c r="B37" s="193" t="s">
        <v>227</v>
      </c>
      <c r="C37">
        <v>0</v>
      </c>
      <c r="D37">
        <v>0</v>
      </c>
      <c r="E37">
        <v>0</v>
      </c>
      <c r="F37">
        <v>0</v>
      </c>
    </row>
    <row r="38" spans="1:6" x14ac:dyDescent="0.15">
      <c r="A38">
        <v>37</v>
      </c>
      <c r="B38" s="193" t="s">
        <v>228</v>
      </c>
      <c r="C38">
        <v>0</v>
      </c>
      <c r="D38">
        <v>0</v>
      </c>
      <c r="E38">
        <v>0</v>
      </c>
      <c r="F38">
        <v>0</v>
      </c>
    </row>
    <row r="39" spans="1:6" x14ac:dyDescent="0.15">
      <c r="A39">
        <v>38</v>
      </c>
      <c r="B39" s="193" t="s">
        <v>229</v>
      </c>
      <c r="C39">
        <v>0</v>
      </c>
      <c r="D39">
        <v>0</v>
      </c>
      <c r="E39">
        <v>0</v>
      </c>
      <c r="F39">
        <v>0</v>
      </c>
    </row>
    <row r="40" spans="1:6" x14ac:dyDescent="0.15">
      <c r="A40">
        <v>39</v>
      </c>
      <c r="B40" s="193" t="s">
        <v>230</v>
      </c>
      <c r="C40">
        <v>0</v>
      </c>
      <c r="D40">
        <v>0</v>
      </c>
      <c r="E40">
        <v>0</v>
      </c>
      <c r="F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11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20" customFormat="1" ht="14" thickBot="1" x14ac:dyDescent="0.2">
      <c r="D1" s="121" t="s">
        <v>8</v>
      </c>
      <c r="E1" s="121" t="s">
        <v>0</v>
      </c>
      <c r="F1" s="122" t="s">
        <v>99</v>
      </c>
      <c r="G1" s="123" t="s">
        <v>84</v>
      </c>
      <c r="H1" s="123" t="s">
        <v>85</v>
      </c>
      <c r="I1" s="123" t="s">
        <v>86</v>
      </c>
      <c r="J1" s="123" t="s">
        <v>87</v>
      </c>
      <c r="K1" s="123" t="s">
        <v>88</v>
      </c>
      <c r="L1" s="124" t="s">
        <v>89</v>
      </c>
      <c r="M1" s="124" t="s">
        <v>93</v>
      </c>
      <c r="N1" s="124" t="s">
        <v>92</v>
      </c>
      <c r="O1" s="124" t="s">
        <v>90</v>
      </c>
      <c r="P1" s="124" t="s">
        <v>91</v>
      </c>
      <c r="Q1" s="125" t="s">
        <v>94</v>
      </c>
      <c r="R1" s="125" t="s">
        <v>95</v>
      </c>
      <c r="S1" s="125" t="s">
        <v>96</v>
      </c>
      <c r="T1" s="125" t="s">
        <v>97</v>
      </c>
      <c r="U1" s="125" t="s">
        <v>98</v>
      </c>
      <c r="V1" s="123" t="s">
        <v>100</v>
      </c>
      <c r="W1" s="123" t="s">
        <v>101</v>
      </c>
      <c r="X1" s="123" t="s">
        <v>102</v>
      </c>
      <c r="Y1" s="123" t="s">
        <v>134</v>
      </c>
      <c r="Z1" s="124" t="s">
        <v>103</v>
      </c>
      <c r="AA1" s="124" t="s">
        <v>104</v>
      </c>
      <c r="AB1" s="124" t="s">
        <v>105</v>
      </c>
      <c r="AC1" s="126" t="s">
        <v>135</v>
      </c>
      <c r="AD1" s="125" t="s">
        <v>106</v>
      </c>
      <c r="AE1" s="125" t="s">
        <v>107</v>
      </c>
      <c r="AF1" s="125" t="s">
        <v>108</v>
      </c>
      <c r="AG1" s="125" t="s">
        <v>136</v>
      </c>
      <c r="AH1" s="123" t="s">
        <v>109</v>
      </c>
      <c r="AI1" s="123" t="s">
        <v>111</v>
      </c>
      <c r="AJ1" s="123" t="s">
        <v>110</v>
      </c>
      <c r="AK1" s="124" t="s">
        <v>115</v>
      </c>
      <c r="AL1" s="124" t="s">
        <v>116</v>
      </c>
      <c r="AM1" s="124" t="s">
        <v>117</v>
      </c>
      <c r="AN1" s="125" t="s">
        <v>112</v>
      </c>
      <c r="AO1" s="125" t="s">
        <v>113</v>
      </c>
      <c r="AP1" s="125" t="s">
        <v>114</v>
      </c>
    </row>
    <row r="2" spans="1:42" x14ac:dyDescent="0.15">
      <c r="A2" s="127" t="s">
        <v>74</v>
      </c>
      <c r="B2" s="128">
        <v>1</v>
      </c>
      <c r="D2">
        <v>1</v>
      </c>
      <c r="E2" s="195" t="s">
        <v>192</v>
      </c>
      <c r="F2">
        <v>0.98</v>
      </c>
      <c r="G2">
        <v>0.8</v>
      </c>
      <c r="H2">
        <v>0.8</v>
      </c>
      <c r="I2">
        <v>0.8</v>
      </c>
      <c r="J2" s="118">
        <v>0.25</v>
      </c>
      <c r="K2" s="118">
        <v>0.05</v>
      </c>
    </row>
    <row r="3" spans="1:42" x14ac:dyDescent="0.15">
      <c r="A3" s="127" t="s">
        <v>75</v>
      </c>
      <c r="B3" s="129">
        <v>1</v>
      </c>
      <c r="D3">
        <v>2</v>
      </c>
      <c r="E3" s="195" t="s">
        <v>193</v>
      </c>
      <c r="F3">
        <v>0.98</v>
      </c>
      <c r="G3">
        <v>0.8</v>
      </c>
      <c r="H3">
        <v>0.8</v>
      </c>
      <c r="I3">
        <v>0.8</v>
      </c>
      <c r="J3" s="118">
        <v>0.25</v>
      </c>
      <c r="K3" s="118">
        <v>0.05</v>
      </c>
    </row>
    <row r="4" spans="1:42" x14ac:dyDescent="0.15">
      <c r="A4" s="127" t="s">
        <v>76</v>
      </c>
      <c r="B4" s="129">
        <v>1</v>
      </c>
      <c r="D4">
        <v>3</v>
      </c>
      <c r="E4" s="195" t="s">
        <v>194</v>
      </c>
      <c r="F4">
        <v>0.98</v>
      </c>
      <c r="G4">
        <v>0.8</v>
      </c>
      <c r="H4">
        <v>0.8</v>
      </c>
      <c r="I4">
        <v>0.8</v>
      </c>
      <c r="J4" s="118">
        <v>0.25</v>
      </c>
      <c r="K4" s="118">
        <v>0.05</v>
      </c>
    </row>
    <row r="5" spans="1:42" x14ac:dyDescent="0.15">
      <c r="A5" s="127" t="s">
        <v>77</v>
      </c>
      <c r="B5" s="129">
        <v>1</v>
      </c>
      <c r="D5">
        <v>4</v>
      </c>
      <c r="E5" s="195" t="s">
        <v>195</v>
      </c>
      <c r="F5">
        <v>0.98</v>
      </c>
      <c r="G5">
        <v>0.8</v>
      </c>
      <c r="H5">
        <v>0.8</v>
      </c>
      <c r="I5">
        <v>0.8</v>
      </c>
      <c r="J5" s="118">
        <v>0.25</v>
      </c>
      <c r="K5" s="118">
        <v>0.05</v>
      </c>
    </row>
    <row r="6" spans="1:42" x14ac:dyDescent="0.15">
      <c r="A6" s="127" t="s">
        <v>78</v>
      </c>
      <c r="B6" s="129">
        <v>1</v>
      </c>
      <c r="D6">
        <v>5</v>
      </c>
      <c r="E6" s="195" t="s">
        <v>196</v>
      </c>
      <c r="F6">
        <v>0.98</v>
      </c>
      <c r="G6">
        <v>0.8</v>
      </c>
      <c r="H6">
        <v>0.8</v>
      </c>
      <c r="I6">
        <v>0.8</v>
      </c>
      <c r="J6" s="118">
        <v>0.25</v>
      </c>
      <c r="K6" s="118">
        <v>0.05</v>
      </c>
    </row>
    <row r="7" spans="1:42" x14ac:dyDescent="0.15">
      <c r="A7" s="127" t="s">
        <v>79</v>
      </c>
      <c r="B7" s="129">
        <v>1</v>
      </c>
      <c r="D7">
        <v>6</v>
      </c>
      <c r="E7" s="195" t="s">
        <v>197</v>
      </c>
      <c r="F7">
        <v>0.98</v>
      </c>
      <c r="G7">
        <v>0.8</v>
      </c>
      <c r="H7">
        <v>0.8</v>
      </c>
      <c r="I7">
        <v>0.8</v>
      </c>
      <c r="J7" s="118">
        <v>0.25</v>
      </c>
      <c r="K7" s="118">
        <v>0.05</v>
      </c>
    </row>
    <row r="8" spans="1:42" x14ac:dyDescent="0.15">
      <c r="A8" s="127" t="s">
        <v>80</v>
      </c>
      <c r="B8" s="129">
        <v>1</v>
      </c>
      <c r="D8">
        <v>7</v>
      </c>
      <c r="E8" s="195" t="s">
        <v>198</v>
      </c>
      <c r="F8">
        <v>0.98</v>
      </c>
      <c r="G8">
        <v>0.8</v>
      </c>
      <c r="H8">
        <v>0.8</v>
      </c>
      <c r="I8">
        <v>0.8</v>
      </c>
      <c r="J8" s="118">
        <v>0.25</v>
      </c>
      <c r="K8" s="118">
        <v>0.05</v>
      </c>
    </row>
    <row r="9" spans="1:42" x14ac:dyDescent="0.15">
      <c r="A9" s="127" t="s">
        <v>81</v>
      </c>
      <c r="B9" s="129">
        <v>0.1</v>
      </c>
      <c r="C9" s="61" t="s">
        <v>150</v>
      </c>
      <c r="D9">
        <v>8</v>
      </c>
      <c r="E9" s="195" t="s">
        <v>199</v>
      </c>
      <c r="F9">
        <v>0.98</v>
      </c>
      <c r="G9">
        <v>0.8</v>
      </c>
      <c r="H9">
        <v>0.8</v>
      </c>
      <c r="I9">
        <v>0.8</v>
      </c>
      <c r="J9" s="118">
        <v>0.25</v>
      </c>
      <c r="K9" s="118">
        <v>0.05</v>
      </c>
    </row>
    <row r="10" spans="1:42" ht="14" thickBot="1" x14ac:dyDescent="0.2">
      <c r="A10" s="127" t="s">
        <v>149</v>
      </c>
      <c r="B10" s="130">
        <f>1/3</f>
        <v>0.33333333333333331</v>
      </c>
      <c r="C10" s="61" t="s">
        <v>150</v>
      </c>
      <c r="D10">
        <v>9</v>
      </c>
      <c r="E10" s="195" t="s">
        <v>200</v>
      </c>
      <c r="F10">
        <v>0.98</v>
      </c>
      <c r="G10">
        <v>0.8</v>
      </c>
      <c r="H10">
        <v>0.8</v>
      </c>
      <c r="I10">
        <v>0.8</v>
      </c>
      <c r="J10" s="118">
        <v>0.25</v>
      </c>
      <c r="K10" s="118">
        <v>0.05</v>
      </c>
    </row>
    <row r="11" spans="1:42" x14ac:dyDescent="0.15">
      <c r="D11">
        <v>10</v>
      </c>
      <c r="E11" s="195" t="s">
        <v>201</v>
      </c>
      <c r="F11">
        <v>0.98</v>
      </c>
      <c r="G11">
        <v>0.8</v>
      </c>
      <c r="H11">
        <v>0.8</v>
      </c>
      <c r="I11">
        <v>0.8</v>
      </c>
      <c r="J11" s="118">
        <v>0.25</v>
      </c>
      <c r="K11" s="118">
        <v>0.05</v>
      </c>
    </row>
    <row r="12" spans="1:42" x14ac:dyDescent="0.15">
      <c r="D12">
        <v>11</v>
      </c>
      <c r="E12" s="195" t="s">
        <v>202</v>
      </c>
      <c r="F12">
        <v>0.98</v>
      </c>
      <c r="G12">
        <v>0.8</v>
      </c>
      <c r="H12">
        <v>0.8</v>
      </c>
      <c r="I12">
        <v>0.8</v>
      </c>
      <c r="J12" s="118">
        <v>0.25</v>
      </c>
      <c r="K12" s="118">
        <v>0.05</v>
      </c>
    </row>
    <row r="13" spans="1:42" x14ac:dyDescent="0.15">
      <c r="D13">
        <v>12</v>
      </c>
      <c r="E13" s="195" t="s">
        <v>203</v>
      </c>
      <c r="F13">
        <v>0.98</v>
      </c>
      <c r="G13">
        <v>0.8</v>
      </c>
      <c r="H13">
        <v>0.8</v>
      </c>
      <c r="I13">
        <v>0.8</v>
      </c>
      <c r="J13" s="118">
        <v>0.25</v>
      </c>
      <c r="K13" s="118">
        <v>0.05</v>
      </c>
    </row>
    <row r="14" spans="1:42" x14ac:dyDescent="0.15">
      <c r="D14">
        <v>13</v>
      </c>
      <c r="E14" s="195" t="s">
        <v>204</v>
      </c>
      <c r="F14">
        <v>0.98</v>
      </c>
      <c r="G14">
        <v>0.8</v>
      </c>
      <c r="H14">
        <v>0.8</v>
      </c>
      <c r="I14">
        <v>0.8</v>
      </c>
      <c r="J14" s="118">
        <v>0.25</v>
      </c>
      <c r="K14" s="118">
        <v>0.05</v>
      </c>
    </row>
    <row r="15" spans="1:42" x14ac:dyDescent="0.15">
      <c r="D15">
        <v>14</v>
      </c>
      <c r="E15" s="195" t="s">
        <v>205</v>
      </c>
      <c r="F15">
        <v>0.98</v>
      </c>
      <c r="G15">
        <v>0.8</v>
      </c>
      <c r="H15">
        <v>0.8</v>
      </c>
      <c r="I15">
        <v>0.8</v>
      </c>
      <c r="J15" s="118">
        <v>0.25</v>
      </c>
      <c r="K15" s="118">
        <v>0.05</v>
      </c>
    </row>
    <row r="16" spans="1:42" x14ac:dyDescent="0.15">
      <c r="D16">
        <v>15</v>
      </c>
      <c r="E16" s="195" t="s">
        <v>206</v>
      </c>
      <c r="F16">
        <v>0.98</v>
      </c>
      <c r="G16">
        <v>0.8</v>
      </c>
      <c r="H16">
        <v>0.8</v>
      </c>
      <c r="I16">
        <v>0.8</v>
      </c>
      <c r="J16" s="118">
        <v>0.25</v>
      </c>
      <c r="K16" s="118">
        <v>0.05</v>
      </c>
    </row>
    <row r="17" spans="4:33" ht="15" customHeight="1" x14ac:dyDescent="0.15">
      <c r="D17">
        <v>16</v>
      </c>
      <c r="E17" s="195" t="s">
        <v>207</v>
      </c>
      <c r="F17">
        <v>0.98</v>
      </c>
      <c r="G17">
        <v>0.8</v>
      </c>
      <c r="H17">
        <v>0.8</v>
      </c>
      <c r="I17">
        <v>0.8</v>
      </c>
      <c r="J17" s="118">
        <v>0.25</v>
      </c>
      <c r="K17" s="118">
        <v>0.05</v>
      </c>
    </row>
    <row r="18" spans="4:33" ht="15" customHeight="1" x14ac:dyDescent="0.15">
      <c r="D18">
        <v>17</v>
      </c>
      <c r="E18" s="195" t="s">
        <v>208</v>
      </c>
      <c r="F18">
        <v>0.98</v>
      </c>
      <c r="G18">
        <v>0.8</v>
      </c>
      <c r="H18">
        <v>0.8</v>
      </c>
      <c r="I18">
        <v>0.8</v>
      </c>
      <c r="J18" s="118">
        <v>0.25</v>
      </c>
      <c r="K18" s="118">
        <v>0.05</v>
      </c>
    </row>
    <row r="19" spans="4:33" ht="15" customHeight="1" x14ac:dyDescent="0.15">
      <c r="D19">
        <v>18</v>
      </c>
      <c r="E19" s="195" t="s">
        <v>209</v>
      </c>
      <c r="F19">
        <v>0.98</v>
      </c>
      <c r="G19">
        <v>0.8</v>
      </c>
      <c r="H19">
        <v>0.8</v>
      </c>
      <c r="I19">
        <v>0.8</v>
      </c>
      <c r="J19" s="118">
        <v>0.25</v>
      </c>
      <c r="K19" s="118">
        <v>0.05</v>
      </c>
    </row>
    <row r="20" spans="4:33" ht="15" customHeight="1" x14ac:dyDescent="0.15">
      <c r="D20">
        <v>19</v>
      </c>
      <c r="E20" s="195" t="s">
        <v>210</v>
      </c>
      <c r="F20">
        <v>0.98</v>
      </c>
      <c r="G20">
        <v>0.8</v>
      </c>
      <c r="H20">
        <v>0.8</v>
      </c>
      <c r="I20">
        <v>0.8</v>
      </c>
      <c r="J20" s="118">
        <v>0.25</v>
      </c>
      <c r="K20" s="118">
        <v>0.05</v>
      </c>
    </row>
    <row r="21" spans="4:33" ht="15" customHeight="1" x14ac:dyDescent="0.15">
      <c r="D21">
        <v>20</v>
      </c>
      <c r="E21" s="195" t="s">
        <v>211</v>
      </c>
      <c r="F21">
        <v>0.98</v>
      </c>
      <c r="G21">
        <v>0.8</v>
      </c>
      <c r="H21">
        <v>0.8</v>
      </c>
      <c r="I21">
        <v>0.8</v>
      </c>
      <c r="J21" s="118">
        <v>0.25</v>
      </c>
      <c r="K21" s="118">
        <v>0.05</v>
      </c>
    </row>
    <row r="22" spans="4:33" ht="15" customHeight="1" x14ac:dyDescent="0.15">
      <c r="D22">
        <v>21</v>
      </c>
      <c r="E22" s="195" t="s">
        <v>212</v>
      </c>
      <c r="F22">
        <v>0.98</v>
      </c>
      <c r="G22">
        <v>0.8</v>
      </c>
      <c r="H22">
        <v>0.8</v>
      </c>
      <c r="I22">
        <v>0.8</v>
      </c>
      <c r="J22" s="118">
        <v>0.25</v>
      </c>
      <c r="K22" s="118">
        <v>0.05</v>
      </c>
    </row>
    <row r="23" spans="4:33" ht="15" customHeight="1" x14ac:dyDescent="0.15">
      <c r="D23">
        <v>22</v>
      </c>
      <c r="E23" s="195" t="s">
        <v>213</v>
      </c>
      <c r="F23">
        <v>0.98</v>
      </c>
      <c r="G23">
        <v>0.8</v>
      </c>
      <c r="H23">
        <v>0.8</v>
      </c>
      <c r="I23">
        <v>0.8</v>
      </c>
      <c r="J23" s="118">
        <v>0.25</v>
      </c>
      <c r="K23" s="118">
        <v>0.05</v>
      </c>
    </row>
    <row r="24" spans="4:33" ht="15" customHeight="1" x14ac:dyDescent="0.15">
      <c r="D24">
        <v>23</v>
      </c>
      <c r="E24" s="195" t="s">
        <v>214</v>
      </c>
      <c r="F24">
        <v>0.98</v>
      </c>
      <c r="G24">
        <v>0.8</v>
      </c>
      <c r="H24">
        <v>0.8</v>
      </c>
      <c r="I24">
        <v>0.8</v>
      </c>
      <c r="J24" s="118">
        <v>0.25</v>
      </c>
      <c r="K24" s="118">
        <v>0.05</v>
      </c>
    </row>
    <row r="25" spans="4:33" ht="15" customHeight="1" x14ac:dyDescent="0.15">
      <c r="D25">
        <v>24</v>
      </c>
      <c r="E25" s="195" t="s">
        <v>215</v>
      </c>
      <c r="F25">
        <v>0.98</v>
      </c>
      <c r="G25">
        <v>0.8</v>
      </c>
      <c r="H25">
        <v>0.8</v>
      </c>
      <c r="I25">
        <v>0.8</v>
      </c>
      <c r="J25" s="118">
        <v>0.25</v>
      </c>
      <c r="K25" s="118">
        <v>0.05</v>
      </c>
    </row>
    <row r="26" spans="4:33" ht="15" customHeight="1" x14ac:dyDescent="0.15">
      <c r="D26">
        <v>25</v>
      </c>
      <c r="E26" s="195" t="s">
        <v>216</v>
      </c>
      <c r="F26">
        <v>0.98</v>
      </c>
      <c r="G26">
        <v>0.8</v>
      </c>
      <c r="H26">
        <v>0.8</v>
      </c>
      <c r="I26">
        <v>0.8</v>
      </c>
      <c r="J26" s="118">
        <v>0.25</v>
      </c>
      <c r="K26" s="118">
        <v>0.05</v>
      </c>
    </row>
    <row r="27" spans="4:33" ht="15" customHeight="1" x14ac:dyDescent="0.15">
      <c r="D27">
        <v>26</v>
      </c>
      <c r="E27" s="195" t="s">
        <v>217</v>
      </c>
      <c r="F27">
        <v>0.98</v>
      </c>
      <c r="G27">
        <v>0.8</v>
      </c>
      <c r="H27">
        <v>0.8</v>
      </c>
      <c r="I27">
        <v>0.8</v>
      </c>
      <c r="J27" s="118">
        <v>0.25</v>
      </c>
      <c r="K27" s="118">
        <v>0.05</v>
      </c>
    </row>
    <row r="28" spans="4:33" ht="15" customHeight="1" x14ac:dyDescent="0.15">
      <c r="D28">
        <v>27</v>
      </c>
      <c r="E28" s="195" t="s">
        <v>218</v>
      </c>
      <c r="F28">
        <v>0.98</v>
      </c>
      <c r="G28">
        <v>0.8</v>
      </c>
      <c r="H28">
        <v>0.8</v>
      </c>
      <c r="I28">
        <v>0.8</v>
      </c>
      <c r="J28" s="118">
        <v>0.25</v>
      </c>
      <c r="K28" s="118">
        <v>0.05</v>
      </c>
    </row>
    <row r="29" spans="4:33" ht="15" customHeight="1" x14ac:dyDescent="0.15">
      <c r="D29">
        <v>28</v>
      </c>
      <c r="E29" s="195" t="s">
        <v>219</v>
      </c>
      <c r="F29">
        <v>0.98</v>
      </c>
      <c r="G29">
        <v>0.8</v>
      </c>
      <c r="H29">
        <v>0.8</v>
      </c>
      <c r="I29">
        <v>0.8</v>
      </c>
      <c r="J29" s="118">
        <v>0.25</v>
      </c>
      <c r="K29" s="118">
        <v>0.05</v>
      </c>
      <c r="Y29"/>
      <c r="AC29"/>
      <c r="AG29"/>
    </row>
    <row r="30" spans="4:33" ht="15" customHeight="1" x14ac:dyDescent="0.15">
      <c r="D30">
        <v>29</v>
      </c>
      <c r="E30" s="195" t="s">
        <v>220</v>
      </c>
      <c r="F30">
        <v>0.98</v>
      </c>
      <c r="G30">
        <v>0.8</v>
      </c>
      <c r="H30">
        <v>0.8</v>
      </c>
      <c r="I30">
        <v>0.8</v>
      </c>
      <c r="J30" s="118">
        <v>0.25</v>
      </c>
      <c r="K30" s="118">
        <v>0.05</v>
      </c>
      <c r="Y30"/>
      <c r="AC30"/>
      <c r="AG30"/>
    </row>
    <row r="31" spans="4:33" ht="15" customHeight="1" x14ac:dyDescent="0.15">
      <c r="D31">
        <v>30</v>
      </c>
      <c r="E31" s="195" t="s">
        <v>221</v>
      </c>
      <c r="F31">
        <v>0.98</v>
      </c>
      <c r="G31">
        <v>0.8</v>
      </c>
      <c r="H31">
        <v>0.8</v>
      </c>
      <c r="I31">
        <v>0.8</v>
      </c>
      <c r="J31" s="118">
        <v>0.25</v>
      </c>
      <c r="K31" s="118">
        <v>0.05</v>
      </c>
      <c r="Y31"/>
      <c r="AC31"/>
      <c r="AG31"/>
    </row>
    <row r="32" spans="4:33" ht="15" customHeight="1" x14ac:dyDescent="0.15">
      <c r="D32">
        <v>31</v>
      </c>
      <c r="E32" s="195" t="s">
        <v>222</v>
      </c>
      <c r="F32">
        <v>0.98</v>
      </c>
      <c r="G32">
        <v>0.8</v>
      </c>
      <c r="H32">
        <v>0.8</v>
      </c>
      <c r="I32">
        <v>0.8</v>
      </c>
      <c r="J32" s="118">
        <v>0.25</v>
      </c>
      <c r="K32" s="118">
        <v>0.05</v>
      </c>
      <c r="Y32"/>
      <c r="AC32"/>
      <c r="AG32"/>
    </row>
    <row r="33" spans="4:33" ht="15" customHeight="1" x14ac:dyDescent="0.15">
      <c r="D33">
        <v>32</v>
      </c>
      <c r="E33" s="195" t="s">
        <v>223</v>
      </c>
      <c r="F33">
        <v>0.98</v>
      </c>
      <c r="G33">
        <v>0.8</v>
      </c>
      <c r="H33">
        <v>0.8</v>
      </c>
      <c r="I33">
        <v>0.8</v>
      </c>
      <c r="J33" s="118">
        <v>0.25</v>
      </c>
      <c r="K33" s="118">
        <v>0.05</v>
      </c>
      <c r="Y33"/>
      <c r="AC33"/>
      <c r="AG33"/>
    </row>
    <row r="34" spans="4:33" ht="15" customHeight="1" x14ac:dyDescent="0.15">
      <c r="D34">
        <v>33</v>
      </c>
      <c r="E34" s="195" t="s">
        <v>224</v>
      </c>
      <c r="F34">
        <v>0.98</v>
      </c>
      <c r="G34">
        <v>0.8</v>
      </c>
      <c r="H34">
        <v>0.8</v>
      </c>
      <c r="I34">
        <v>0.8</v>
      </c>
      <c r="J34" s="118">
        <v>0.25</v>
      </c>
      <c r="K34" s="118">
        <v>0.05</v>
      </c>
      <c r="Y34"/>
      <c r="AC34"/>
      <c r="AG34"/>
    </row>
    <row r="35" spans="4:33" ht="15" customHeight="1" x14ac:dyDescent="0.15">
      <c r="D35">
        <v>34</v>
      </c>
      <c r="E35" s="195" t="s">
        <v>225</v>
      </c>
      <c r="F35">
        <v>0.98</v>
      </c>
      <c r="G35">
        <v>0.8</v>
      </c>
      <c r="H35">
        <v>0.8</v>
      </c>
      <c r="I35">
        <v>0.8</v>
      </c>
      <c r="J35" s="118">
        <v>0.25</v>
      </c>
      <c r="K35" s="118">
        <v>0.05</v>
      </c>
      <c r="Y35"/>
      <c r="AC35"/>
      <c r="AG35"/>
    </row>
    <row r="36" spans="4:33" ht="15" customHeight="1" x14ac:dyDescent="0.15">
      <c r="D36">
        <v>35</v>
      </c>
      <c r="E36" s="195" t="s">
        <v>226</v>
      </c>
      <c r="F36">
        <v>0.98</v>
      </c>
      <c r="G36">
        <v>0.8</v>
      </c>
      <c r="H36">
        <v>0.8</v>
      </c>
      <c r="I36">
        <v>0.8</v>
      </c>
      <c r="J36" s="118">
        <v>0.25</v>
      </c>
      <c r="K36" s="118">
        <v>0.05</v>
      </c>
      <c r="Y36"/>
      <c r="AC36"/>
      <c r="AG36"/>
    </row>
    <row r="37" spans="4:33" ht="15" customHeight="1" x14ac:dyDescent="0.15">
      <c r="D37">
        <v>36</v>
      </c>
      <c r="E37" s="195" t="s">
        <v>227</v>
      </c>
      <c r="F37">
        <v>0.98</v>
      </c>
      <c r="G37">
        <v>0.8</v>
      </c>
      <c r="H37">
        <v>0.8</v>
      </c>
      <c r="I37">
        <v>0</v>
      </c>
      <c r="J37" s="118">
        <v>0</v>
      </c>
      <c r="K37" s="118">
        <v>0</v>
      </c>
      <c r="Y37"/>
      <c r="AC37"/>
      <c r="AG37"/>
    </row>
    <row r="38" spans="4:33" ht="15" customHeight="1" x14ac:dyDescent="0.15">
      <c r="D38">
        <v>37</v>
      </c>
      <c r="E38" s="195" t="s">
        <v>228</v>
      </c>
      <c r="F38">
        <v>0.98</v>
      </c>
      <c r="G38">
        <v>0.8</v>
      </c>
      <c r="H38">
        <v>0</v>
      </c>
      <c r="I38">
        <v>0</v>
      </c>
      <c r="J38" s="118">
        <v>0</v>
      </c>
      <c r="K38" s="118">
        <v>0</v>
      </c>
      <c r="Y38"/>
      <c r="AC38"/>
      <c r="AG38"/>
    </row>
    <row r="39" spans="4:33" ht="15" customHeight="1" x14ac:dyDescent="0.15">
      <c r="D39">
        <v>38</v>
      </c>
      <c r="E39" s="195" t="s">
        <v>229</v>
      </c>
      <c r="F39">
        <v>0.98</v>
      </c>
      <c r="G39">
        <v>0.8</v>
      </c>
      <c r="H39">
        <v>0</v>
      </c>
      <c r="I39">
        <v>0</v>
      </c>
      <c r="J39" s="118">
        <v>0</v>
      </c>
      <c r="K39" s="118">
        <v>0</v>
      </c>
    </row>
    <row r="40" spans="4:33" ht="15" customHeight="1" x14ac:dyDescent="0.15">
      <c r="D40">
        <v>39</v>
      </c>
      <c r="E40" s="195" t="s">
        <v>230</v>
      </c>
      <c r="F40">
        <v>0.98</v>
      </c>
      <c r="G40">
        <v>0.8</v>
      </c>
      <c r="H40">
        <v>0</v>
      </c>
      <c r="I40">
        <v>0</v>
      </c>
      <c r="J40" s="118">
        <v>0</v>
      </c>
      <c r="K40" s="118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116" bestFit="1" customWidth="1"/>
    <col min="2" max="36" width="3.83203125" style="116" customWidth="1"/>
    <col min="37" max="40" width="2.33203125" style="116" customWidth="1"/>
    <col min="41" max="16384" width="10.83203125" style="116"/>
  </cols>
  <sheetData>
    <row r="1" spans="1:40" x14ac:dyDescent="0.15">
      <c r="A1" s="63" t="s">
        <v>118</v>
      </c>
      <c r="B1" s="197" t="s">
        <v>192</v>
      </c>
      <c r="C1" s="197" t="s">
        <v>193</v>
      </c>
      <c r="D1" s="197" t="s">
        <v>194</v>
      </c>
      <c r="E1" s="197" t="s">
        <v>195</v>
      </c>
      <c r="F1" s="197" t="s">
        <v>196</v>
      </c>
      <c r="G1" s="197" t="s">
        <v>197</v>
      </c>
      <c r="H1" s="197" t="s">
        <v>198</v>
      </c>
      <c r="I1" s="197" t="s">
        <v>199</v>
      </c>
      <c r="J1" s="197" t="s">
        <v>200</v>
      </c>
      <c r="K1" s="197" t="s">
        <v>201</v>
      </c>
      <c r="L1" s="197" t="s">
        <v>202</v>
      </c>
      <c r="M1" s="197" t="s">
        <v>203</v>
      </c>
      <c r="N1" s="197" t="s">
        <v>204</v>
      </c>
      <c r="O1" s="197" t="s">
        <v>205</v>
      </c>
      <c r="P1" s="197" t="s">
        <v>206</v>
      </c>
      <c r="Q1" s="197" t="s">
        <v>207</v>
      </c>
      <c r="R1" s="197" t="s">
        <v>208</v>
      </c>
      <c r="S1" s="197" t="s">
        <v>209</v>
      </c>
      <c r="T1" s="197" t="s">
        <v>210</v>
      </c>
      <c r="U1" s="197" t="s">
        <v>211</v>
      </c>
      <c r="V1" s="197" t="s">
        <v>212</v>
      </c>
      <c r="W1" s="197" t="s">
        <v>213</v>
      </c>
      <c r="X1" s="197" t="s">
        <v>214</v>
      </c>
      <c r="Y1" s="197" t="s">
        <v>215</v>
      </c>
      <c r="Z1" s="197" t="s">
        <v>216</v>
      </c>
      <c r="AA1" s="197" t="s">
        <v>217</v>
      </c>
      <c r="AB1" s="197" t="s">
        <v>218</v>
      </c>
      <c r="AC1" s="197" t="s">
        <v>219</v>
      </c>
      <c r="AD1" s="197" t="s">
        <v>220</v>
      </c>
      <c r="AE1" s="197" t="s">
        <v>221</v>
      </c>
      <c r="AF1" s="197" t="s">
        <v>222</v>
      </c>
      <c r="AG1" s="197" t="s">
        <v>223</v>
      </c>
      <c r="AH1" s="197" t="s">
        <v>224</v>
      </c>
      <c r="AI1" s="197" t="s">
        <v>225</v>
      </c>
      <c r="AJ1" s="197" t="s">
        <v>226</v>
      </c>
      <c r="AK1" s="197" t="s">
        <v>227</v>
      </c>
      <c r="AL1" s="197" t="s">
        <v>228</v>
      </c>
      <c r="AM1" s="197" t="s">
        <v>229</v>
      </c>
      <c r="AN1" s="197" t="s">
        <v>230</v>
      </c>
    </row>
    <row r="2" spans="1:40" customFormat="1" x14ac:dyDescent="0.15">
      <c r="A2" s="196" t="s">
        <v>192</v>
      </c>
      <c r="B2" s="116">
        <v>0</v>
      </c>
      <c r="C2" s="116">
        <v>0</v>
      </c>
      <c r="D2" s="116">
        <v>0</v>
      </c>
      <c r="E2" s="116">
        <v>0.8</v>
      </c>
      <c r="F2" s="116">
        <v>0</v>
      </c>
      <c r="G2" s="116">
        <v>0</v>
      </c>
      <c r="H2" s="116">
        <v>0</v>
      </c>
      <c r="I2" s="116">
        <v>0</v>
      </c>
      <c r="J2" s="116">
        <v>0</v>
      </c>
      <c r="K2" s="116">
        <v>0</v>
      </c>
      <c r="L2" s="116">
        <v>0</v>
      </c>
      <c r="M2" s="116">
        <v>0</v>
      </c>
      <c r="N2" s="116">
        <v>0</v>
      </c>
      <c r="O2" s="116">
        <v>0</v>
      </c>
      <c r="P2" s="116">
        <v>0</v>
      </c>
      <c r="Q2" s="116">
        <v>0</v>
      </c>
      <c r="R2" s="116">
        <v>0</v>
      </c>
      <c r="S2" s="116">
        <v>0</v>
      </c>
      <c r="T2" s="116">
        <v>0</v>
      </c>
      <c r="U2" s="116">
        <v>0</v>
      </c>
      <c r="V2" s="116">
        <v>0</v>
      </c>
      <c r="W2" s="116">
        <v>0</v>
      </c>
      <c r="X2" s="116">
        <v>0</v>
      </c>
      <c r="Y2" s="116">
        <v>0</v>
      </c>
      <c r="Z2" s="116">
        <v>0</v>
      </c>
      <c r="AA2" s="116">
        <v>0</v>
      </c>
      <c r="AB2" s="116">
        <v>0</v>
      </c>
      <c r="AC2" s="116">
        <v>0</v>
      </c>
      <c r="AD2" s="116">
        <v>0</v>
      </c>
      <c r="AE2" s="116">
        <v>0</v>
      </c>
      <c r="AF2" s="116">
        <v>0</v>
      </c>
      <c r="AG2" s="116">
        <v>0</v>
      </c>
      <c r="AH2" s="116">
        <v>0</v>
      </c>
      <c r="AI2" s="116">
        <v>0</v>
      </c>
      <c r="AJ2" s="116">
        <v>0</v>
      </c>
      <c r="AK2" s="116">
        <v>0</v>
      </c>
      <c r="AL2" s="116">
        <v>0</v>
      </c>
      <c r="AM2" s="116">
        <v>0</v>
      </c>
      <c r="AN2" s="116">
        <v>0</v>
      </c>
    </row>
    <row r="3" spans="1:40" customFormat="1" x14ac:dyDescent="0.15">
      <c r="A3" s="196" t="s">
        <v>193</v>
      </c>
      <c r="B3" s="116">
        <v>0.8</v>
      </c>
      <c r="C3" s="116">
        <v>0.8</v>
      </c>
      <c r="D3" s="116">
        <v>0.8</v>
      </c>
      <c r="E3" s="116">
        <v>0.8</v>
      </c>
      <c r="F3" s="116">
        <v>0</v>
      </c>
      <c r="G3" s="116">
        <v>0</v>
      </c>
      <c r="H3" s="116">
        <v>0</v>
      </c>
      <c r="I3" s="116">
        <v>0</v>
      </c>
      <c r="J3" s="116">
        <v>0.8</v>
      </c>
      <c r="K3" s="116">
        <v>0</v>
      </c>
      <c r="L3" s="116">
        <v>0</v>
      </c>
      <c r="M3" s="116">
        <v>0</v>
      </c>
      <c r="N3" s="116">
        <v>0</v>
      </c>
      <c r="O3" s="116">
        <v>0</v>
      </c>
      <c r="P3" s="116">
        <v>0</v>
      </c>
      <c r="Q3" s="116">
        <v>0</v>
      </c>
      <c r="R3" s="116">
        <v>0</v>
      </c>
      <c r="S3" s="116">
        <v>0</v>
      </c>
      <c r="T3" s="116">
        <v>0</v>
      </c>
      <c r="U3" s="116">
        <v>0</v>
      </c>
      <c r="V3" s="116">
        <v>0</v>
      </c>
      <c r="W3" s="116">
        <v>0</v>
      </c>
      <c r="X3" s="116">
        <v>0</v>
      </c>
      <c r="Y3" s="116">
        <v>0</v>
      </c>
      <c r="Z3" s="116">
        <v>0</v>
      </c>
      <c r="AA3" s="116">
        <v>0</v>
      </c>
      <c r="AB3" s="116">
        <v>0</v>
      </c>
      <c r="AC3" s="116">
        <v>0</v>
      </c>
      <c r="AD3" s="116">
        <v>0</v>
      </c>
      <c r="AE3" s="116">
        <v>0</v>
      </c>
      <c r="AF3" s="116">
        <v>0</v>
      </c>
      <c r="AG3" s="116">
        <v>0</v>
      </c>
      <c r="AH3" s="116">
        <v>0</v>
      </c>
      <c r="AI3" s="116">
        <v>0</v>
      </c>
      <c r="AJ3" s="116">
        <v>0</v>
      </c>
      <c r="AK3" s="116">
        <v>0</v>
      </c>
      <c r="AL3" s="116">
        <v>0</v>
      </c>
      <c r="AM3" s="116">
        <v>0</v>
      </c>
      <c r="AN3" s="116">
        <v>0</v>
      </c>
    </row>
    <row r="4" spans="1:40" customFormat="1" x14ac:dyDescent="0.15">
      <c r="A4" s="196" t="s">
        <v>194</v>
      </c>
      <c r="B4" s="116">
        <v>0.8</v>
      </c>
      <c r="C4" s="116">
        <v>0.8</v>
      </c>
      <c r="D4" s="116">
        <v>0.8</v>
      </c>
      <c r="E4" s="116">
        <v>0.8</v>
      </c>
      <c r="F4" s="116">
        <v>0</v>
      </c>
      <c r="G4" s="116">
        <v>0</v>
      </c>
      <c r="H4" s="116">
        <v>0</v>
      </c>
      <c r="I4" s="116">
        <v>0.8</v>
      </c>
      <c r="J4" s="116">
        <v>0.8</v>
      </c>
      <c r="K4" s="116">
        <v>0.8</v>
      </c>
      <c r="L4" s="116">
        <v>0</v>
      </c>
      <c r="M4" s="116">
        <v>0</v>
      </c>
      <c r="N4" s="116">
        <v>0</v>
      </c>
      <c r="O4" s="116">
        <v>0</v>
      </c>
      <c r="P4" s="116">
        <v>0</v>
      </c>
      <c r="Q4" s="116">
        <v>0</v>
      </c>
      <c r="R4" s="116">
        <v>0</v>
      </c>
      <c r="S4" s="116">
        <v>0</v>
      </c>
      <c r="T4" s="116">
        <v>0</v>
      </c>
      <c r="U4" s="116">
        <v>0</v>
      </c>
      <c r="V4" s="116">
        <v>0</v>
      </c>
      <c r="W4" s="116">
        <v>0</v>
      </c>
      <c r="X4" s="116">
        <v>0</v>
      </c>
      <c r="Y4" s="116">
        <v>0</v>
      </c>
      <c r="Z4" s="116">
        <v>0</v>
      </c>
      <c r="AA4" s="116">
        <v>0</v>
      </c>
      <c r="AB4" s="116">
        <v>0</v>
      </c>
      <c r="AC4" s="116">
        <v>0</v>
      </c>
      <c r="AD4" s="116">
        <v>0</v>
      </c>
      <c r="AE4" s="116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116">
        <v>0</v>
      </c>
    </row>
    <row r="5" spans="1:40" customFormat="1" x14ac:dyDescent="0.15">
      <c r="A5" s="196" t="s">
        <v>195</v>
      </c>
      <c r="B5" s="116">
        <v>0</v>
      </c>
      <c r="C5" s="116">
        <v>0</v>
      </c>
      <c r="D5" s="116">
        <v>0</v>
      </c>
      <c r="E5" s="116">
        <v>0.8</v>
      </c>
      <c r="F5" s="116">
        <v>0</v>
      </c>
      <c r="G5" s="116">
        <v>0</v>
      </c>
      <c r="H5" s="116">
        <v>0</v>
      </c>
      <c r="I5" s="116">
        <v>0</v>
      </c>
      <c r="J5" s="116">
        <v>0</v>
      </c>
      <c r="K5" s="116">
        <v>0</v>
      </c>
      <c r="L5" s="116">
        <v>0</v>
      </c>
      <c r="M5" s="116">
        <v>0</v>
      </c>
      <c r="N5" s="116">
        <v>0</v>
      </c>
      <c r="O5" s="116">
        <v>0</v>
      </c>
      <c r="P5" s="116">
        <v>0</v>
      </c>
      <c r="Q5" s="116">
        <v>0</v>
      </c>
      <c r="R5" s="116">
        <v>0</v>
      </c>
      <c r="S5" s="116">
        <v>0</v>
      </c>
      <c r="T5" s="116">
        <v>0</v>
      </c>
      <c r="U5" s="116">
        <v>0</v>
      </c>
      <c r="V5" s="116">
        <v>0</v>
      </c>
      <c r="W5" s="116">
        <v>0</v>
      </c>
      <c r="X5" s="116">
        <v>0</v>
      </c>
      <c r="Y5" s="116">
        <v>0</v>
      </c>
      <c r="Z5" s="116">
        <v>0</v>
      </c>
      <c r="AA5" s="116">
        <v>0</v>
      </c>
      <c r="AB5" s="116">
        <v>0</v>
      </c>
      <c r="AC5" s="116">
        <v>0</v>
      </c>
      <c r="AD5" s="116">
        <v>0</v>
      </c>
      <c r="AE5" s="116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116">
        <v>0</v>
      </c>
    </row>
    <row r="6" spans="1:40" customFormat="1" x14ac:dyDescent="0.15">
      <c r="A6" s="196" t="s">
        <v>196</v>
      </c>
      <c r="B6" s="116">
        <v>0.8</v>
      </c>
      <c r="C6" s="116">
        <v>0.8</v>
      </c>
      <c r="D6" s="116">
        <v>0</v>
      </c>
      <c r="E6" s="116">
        <v>0</v>
      </c>
      <c r="F6" s="116">
        <v>0.8</v>
      </c>
      <c r="G6" s="116">
        <v>0</v>
      </c>
      <c r="H6" s="116">
        <v>0</v>
      </c>
      <c r="I6" s="116">
        <v>0.8</v>
      </c>
      <c r="J6" s="116">
        <v>0</v>
      </c>
      <c r="K6" s="116">
        <v>0</v>
      </c>
      <c r="L6" s="116">
        <v>0</v>
      </c>
      <c r="M6" s="116">
        <v>0</v>
      </c>
      <c r="N6" s="116">
        <v>0</v>
      </c>
      <c r="O6" s="116">
        <v>0</v>
      </c>
      <c r="P6" s="116">
        <v>0</v>
      </c>
      <c r="Q6" s="116">
        <v>0</v>
      </c>
      <c r="R6" s="116">
        <v>0</v>
      </c>
      <c r="S6" s="116">
        <v>0</v>
      </c>
      <c r="T6" s="116">
        <v>0</v>
      </c>
      <c r="U6" s="116">
        <v>0</v>
      </c>
      <c r="V6" s="116">
        <v>0</v>
      </c>
      <c r="W6" s="116">
        <v>0</v>
      </c>
      <c r="X6" s="116">
        <v>0</v>
      </c>
      <c r="Y6" s="116">
        <v>0</v>
      </c>
      <c r="Z6" s="116">
        <v>0</v>
      </c>
      <c r="AA6" s="116">
        <v>0</v>
      </c>
      <c r="AB6" s="116">
        <v>0</v>
      </c>
      <c r="AC6" s="116">
        <v>0</v>
      </c>
      <c r="AD6" s="116">
        <v>0</v>
      </c>
      <c r="AE6" s="116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116">
        <v>0</v>
      </c>
    </row>
    <row r="7" spans="1:40" customFormat="1" x14ac:dyDescent="0.15">
      <c r="A7" s="196" t="s">
        <v>197</v>
      </c>
      <c r="B7" s="116">
        <v>0.8</v>
      </c>
      <c r="C7" s="116">
        <v>0</v>
      </c>
      <c r="D7" s="116">
        <v>0</v>
      </c>
      <c r="E7" s="116">
        <v>0.8</v>
      </c>
      <c r="F7" s="116">
        <v>0</v>
      </c>
      <c r="G7" s="116">
        <v>0</v>
      </c>
      <c r="H7" s="116">
        <v>0</v>
      </c>
      <c r="I7" s="116">
        <v>0</v>
      </c>
      <c r="J7" s="116">
        <v>0</v>
      </c>
      <c r="K7" s="116">
        <v>0</v>
      </c>
      <c r="L7" s="116">
        <v>0.8</v>
      </c>
      <c r="M7" s="116">
        <v>0.8</v>
      </c>
      <c r="N7" s="116">
        <v>0</v>
      </c>
      <c r="O7" s="116">
        <v>0</v>
      </c>
      <c r="P7" s="116">
        <v>0</v>
      </c>
      <c r="Q7" s="116">
        <v>0</v>
      </c>
      <c r="R7" s="116">
        <v>0</v>
      </c>
      <c r="S7" s="116">
        <v>0</v>
      </c>
      <c r="T7" s="116">
        <v>0</v>
      </c>
      <c r="U7" s="116">
        <v>0</v>
      </c>
      <c r="V7" s="116">
        <v>0</v>
      </c>
      <c r="W7" s="116">
        <v>0</v>
      </c>
      <c r="X7" s="116">
        <v>0.8</v>
      </c>
      <c r="Y7" s="116">
        <v>0</v>
      </c>
      <c r="Z7" s="116">
        <v>0</v>
      </c>
      <c r="AA7" s="116">
        <v>0.8</v>
      </c>
      <c r="AB7" s="116">
        <v>0</v>
      </c>
      <c r="AC7" s="116">
        <v>0</v>
      </c>
      <c r="AD7" s="116">
        <v>0</v>
      </c>
      <c r="AE7" s="116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0</v>
      </c>
      <c r="AM7" s="116">
        <v>0</v>
      </c>
      <c r="AN7" s="116">
        <v>0</v>
      </c>
    </row>
    <row r="8" spans="1:40" customFormat="1" x14ac:dyDescent="0.15">
      <c r="A8" s="196" t="s">
        <v>198</v>
      </c>
      <c r="B8" s="116">
        <v>0.8</v>
      </c>
      <c r="C8" s="116">
        <v>0</v>
      </c>
      <c r="D8" s="116">
        <v>0</v>
      </c>
      <c r="E8" s="116">
        <v>0.8</v>
      </c>
      <c r="F8" s="116">
        <v>0</v>
      </c>
      <c r="G8" s="116">
        <v>0.8</v>
      </c>
      <c r="H8" s="116">
        <v>0.8</v>
      </c>
      <c r="I8" s="116">
        <v>0</v>
      </c>
      <c r="J8" s="116">
        <v>0.8</v>
      </c>
      <c r="K8" s="116">
        <v>0</v>
      </c>
      <c r="L8" s="116">
        <v>0</v>
      </c>
      <c r="M8" s="116">
        <v>0</v>
      </c>
      <c r="N8" s="116">
        <v>0</v>
      </c>
      <c r="O8" s="116">
        <v>0.8</v>
      </c>
      <c r="P8" s="116">
        <v>0</v>
      </c>
      <c r="Q8" s="116">
        <v>0.8</v>
      </c>
      <c r="R8" s="116">
        <v>0</v>
      </c>
      <c r="S8" s="116">
        <v>0</v>
      </c>
      <c r="T8" s="116">
        <v>0</v>
      </c>
      <c r="U8" s="116">
        <v>0</v>
      </c>
      <c r="V8" s="116">
        <v>0</v>
      </c>
      <c r="W8" s="116">
        <v>0</v>
      </c>
      <c r="X8" s="116">
        <v>0</v>
      </c>
      <c r="Y8" s="116">
        <v>0</v>
      </c>
      <c r="Z8" s="116">
        <v>0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16">
        <v>0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116">
        <v>0</v>
      </c>
    </row>
    <row r="9" spans="1:40" customFormat="1" x14ac:dyDescent="0.15">
      <c r="A9" s="196" t="s">
        <v>199</v>
      </c>
      <c r="B9" s="116">
        <v>0.8</v>
      </c>
      <c r="C9" s="116">
        <v>0.8</v>
      </c>
      <c r="D9" s="116">
        <v>0.8</v>
      </c>
      <c r="E9" s="116">
        <v>0.8</v>
      </c>
      <c r="F9" s="116">
        <v>0</v>
      </c>
      <c r="G9" s="116">
        <v>0</v>
      </c>
      <c r="H9" s="116">
        <v>0.8</v>
      </c>
      <c r="I9" s="116">
        <v>0.8</v>
      </c>
      <c r="J9" s="116">
        <v>0.8</v>
      </c>
      <c r="K9" s="116">
        <v>0.8</v>
      </c>
      <c r="L9" s="116">
        <v>0.8</v>
      </c>
      <c r="M9" s="116">
        <v>0</v>
      </c>
      <c r="N9" s="116">
        <v>0</v>
      </c>
      <c r="O9" s="116">
        <v>0.8</v>
      </c>
      <c r="P9" s="116">
        <v>0</v>
      </c>
      <c r="Q9" s="116">
        <v>0</v>
      </c>
      <c r="R9" s="116">
        <v>0</v>
      </c>
      <c r="S9" s="116">
        <v>0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</row>
    <row r="10" spans="1:40" customFormat="1" x14ac:dyDescent="0.15">
      <c r="A10" s="196" t="s">
        <v>200</v>
      </c>
      <c r="B10" s="116">
        <v>0.8</v>
      </c>
      <c r="C10" s="116">
        <v>0.8</v>
      </c>
      <c r="D10" s="116">
        <v>0.8</v>
      </c>
      <c r="E10" s="116">
        <v>0.8</v>
      </c>
      <c r="F10" s="116">
        <v>0</v>
      </c>
      <c r="G10" s="116">
        <v>0</v>
      </c>
      <c r="H10" s="116">
        <v>0</v>
      </c>
      <c r="I10" s="116">
        <v>0</v>
      </c>
      <c r="J10" s="116">
        <v>0.8</v>
      </c>
      <c r="K10" s="116">
        <v>0.8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</row>
    <row r="11" spans="1:40" customFormat="1" x14ac:dyDescent="0.15">
      <c r="A11" s="196" t="s">
        <v>201</v>
      </c>
      <c r="B11" s="116">
        <v>0</v>
      </c>
      <c r="C11" s="116">
        <v>0</v>
      </c>
      <c r="D11" s="116">
        <v>0</v>
      </c>
      <c r="E11" s="116">
        <v>0.8</v>
      </c>
      <c r="F11" s="116">
        <v>0</v>
      </c>
      <c r="G11" s="116">
        <v>0</v>
      </c>
      <c r="H11" s="116">
        <v>0</v>
      </c>
      <c r="I11" s="116">
        <v>0</v>
      </c>
      <c r="J11" s="116">
        <v>0</v>
      </c>
      <c r="K11" s="116">
        <v>0</v>
      </c>
      <c r="L11" s="116">
        <v>0</v>
      </c>
      <c r="M11" s="116">
        <v>0</v>
      </c>
      <c r="N11" s="116">
        <v>0</v>
      </c>
      <c r="O11" s="116">
        <v>0</v>
      </c>
      <c r="P11" s="116">
        <v>0</v>
      </c>
      <c r="Q11" s="116">
        <v>0</v>
      </c>
      <c r="R11" s="116">
        <v>0</v>
      </c>
      <c r="S11" s="116">
        <v>0</v>
      </c>
      <c r="T11" s="116">
        <v>0</v>
      </c>
      <c r="U11" s="116">
        <v>0</v>
      </c>
      <c r="V11" s="116">
        <v>0</v>
      </c>
      <c r="W11" s="116">
        <v>0</v>
      </c>
      <c r="X11" s="116">
        <v>0</v>
      </c>
      <c r="Y11" s="116">
        <v>0</v>
      </c>
      <c r="Z11" s="116">
        <v>0</v>
      </c>
      <c r="AA11" s="116">
        <v>0</v>
      </c>
      <c r="AB11" s="116">
        <v>0</v>
      </c>
      <c r="AC11" s="116">
        <v>0</v>
      </c>
      <c r="AD11" s="116">
        <v>0</v>
      </c>
      <c r="AE11" s="116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116">
        <v>0</v>
      </c>
    </row>
    <row r="12" spans="1:40" customFormat="1" x14ac:dyDescent="0.15">
      <c r="A12" s="196" t="s">
        <v>202</v>
      </c>
      <c r="B12" s="116">
        <v>0</v>
      </c>
      <c r="C12" s="116">
        <v>0</v>
      </c>
      <c r="D12" s="116">
        <v>0</v>
      </c>
      <c r="E12" s="116">
        <v>0.8</v>
      </c>
      <c r="F12" s="116">
        <v>0</v>
      </c>
      <c r="G12" s="116">
        <v>0.8</v>
      </c>
      <c r="H12" s="116">
        <v>0</v>
      </c>
      <c r="I12" s="116">
        <v>0</v>
      </c>
      <c r="J12" s="116">
        <v>0</v>
      </c>
      <c r="K12" s="116">
        <v>0</v>
      </c>
      <c r="L12" s="116">
        <v>0</v>
      </c>
      <c r="M12" s="116">
        <v>0</v>
      </c>
      <c r="N12" s="116">
        <v>0</v>
      </c>
      <c r="O12" s="116">
        <v>0</v>
      </c>
      <c r="P12" s="116">
        <v>0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</row>
    <row r="13" spans="1:40" customFormat="1" x14ac:dyDescent="0.15">
      <c r="A13" s="196" t="s">
        <v>203</v>
      </c>
      <c r="B13" s="116">
        <v>0</v>
      </c>
      <c r="C13" s="116">
        <v>0.8</v>
      </c>
      <c r="D13" s="116">
        <v>0</v>
      </c>
      <c r="E13" s="116">
        <v>0</v>
      </c>
      <c r="F13" s="116">
        <v>0</v>
      </c>
      <c r="G13" s="116">
        <v>0.8</v>
      </c>
      <c r="H13" s="116">
        <v>0</v>
      </c>
      <c r="I13" s="116">
        <v>0</v>
      </c>
      <c r="J13" s="116">
        <v>0</v>
      </c>
      <c r="K13" s="116">
        <v>0</v>
      </c>
      <c r="L13" s="116">
        <v>0</v>
      </c>
      <c r="M13" s="116">
        <v>0</v>
      </c>
      <c r="N13" s="116">
        <v>0</v>
      </c>
      <c r="O13" s="116">
        <v>0.8</v>
      </c>
      <c r="P13" s="116">
        <v>0</v>
      </c>
      <c r="Q13" s="116">
        <v>0</v>
      </c>
      <c r="R13" s="116">
        <v>0</v>
      </c>
      <c r="S13" s="116">
        <v>0.8</v>
      </c>
      <c r="T13" s="116">
        <v>0</v>
      </c>
      <c r="U13" s="116">
        <v>0</v>
      </c>
      <c r="V13" s="116">
        <v>0</v>
      </c>
      <c r="W13" s="116">
        <v>0</v>
      </c>
      <c r="X13" s="116">
        <v>0</v>
      </c>
      <c r="Y13" s="116">
        <v>0</v>
      </c>
      <c r="Z13" s="116">
        <v>0</v>
      </c>
      <c r="AA13" s="116">
        <v>0.8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</row>
    <row r="14" spans="1:40" customFormat="1" x14ac:dyDescent="0.15">
      <c r="A14" s="196" t="s">
        <v>204</v>
      </c>
      <c r="B14" s="116">
        <v>0</v>
      </c>
      <c r="C14" s="116">
        <v>0</v>
      </c>
      <c r="D14" s="116">
        <v>0</v>
      </c>
      <c r="E14" s="116">
        <v>0.8</v>
      </c>
      <c r="F14" s="116">
        <v>0</v>
      </c>
      <c r="G14" s="116">
        <v>0</v>
      </c>
      <c r="H14" s="116">
        <v>0</v>
      </c>
      <c r="I14" s="116">
        <v>0.8</v>
      </c>
      <c r="J14" s="116">
        <v>0</v>
      </c>
      <c r="K14" s="116">
        <v>0.8</v>
      </c>
      <c r="L14" s="116">
        <v>0</v>
      </c>
      <c r="M14" s="116">
        <v>0</v>
      </c>
      <c r="N14" s="116">
        <v>0.8</v>
      </c>
      <c r="O14" s="116">
        <v>0.8</v>
      </c>
      <c r="P14" s="116">
        <v>0</v>
      </c>
      <c r="Q14" s="116">
        <v>0</v>
      </c>
      <c r="R14" s="116">
        <v>0</v>
      </c>
      <c r="S14" s="116">
        <v>0.8</v>
      </c>
      <c r="T14" s="116">
        <v>0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v>0</v>
      </c>
      <c r="AA14" s="116">
        <v>0</v>
      </c>
      <c r="AB14" s="116">
        <v>0.8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</row>
    <row r="15" spans="1:40" customFormat="1" x14ac:dyDescent="0.15">
      <c r="A15" s="196" t="s">
        <v>205</v>
      </c>
      <c r="B15" s="116">
        <v>0</v>
      </c>
      <c r="C15" s="116">
        <v>0</v>
      </c>
      <c r="D15" s="116">
        <v>0</v>
      </c>
      <c r="E15" s="116">
        <v>0</v>
      </c>
      <c r="F15" s="116">
        <v>0</v>
      </c>
      <c r="G15" s="116">
        <v>0.8</v>
      </c>
      <c r="H15" s="116">
        <v>0.8</v>
      </c>
      <c r="I15" s="116">
        <v>0</v>
      </c>
      <c r="J15" s="116">
        <v>0</v>
      </c>
      <c r="K15" s="116">
        <v>0</v>
      </c>
      <c r="L15" s="116">
        <v>0.8</v>
      </c>
      <c r="M15" s="116">
        <v>0</v>
      </c>
      <c r="N15" s="116">
        <v>0</v>
      </c>
      <c r="O15" s="116">
        <v>0</v>
      </c>
      <c r="P15" s="116">
        <v>0</v>
      </c>
      <c r="Q15" s="116">
        <v>0</v>
      </c>
      <c r="R15" s="116">
        <v>0</v>
      </c>
      <c r="S15" s="116">
        <v>0</v>
      </c>
      <c r="T15" s="116">
        <v>0</v>
      </c>
      <c r="U15" s="116">
        <v>0</v>
      </c>
      <c r="V15" s="116">
        <v>0</v>
      </c>
      <c r="W15" s="116">
        <v>0</v>
      </c>
      <c r="X15" s="116">
        <v>0</v>
      </c>
      <c r="Y15" s="116">
        <v>0</v>
      </c>
      <c r="Z15" s="116">
        <v>0</v>
      </c>
      <c r="AA15" s="116">
        <v>0</v>
      </c>
      <c r="AB15" s="116">
        <v>0</v>
      </c>
      <c r="AC15" s="116">
        <v>0</v>
      </c>
      <c r="AD15" s="116">
        <v>0</v>
      </c>
      <c r="AE15" s="116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0</v>
      </c>
      <c r="AL15" s="116">
        <v>0</v>
      </c>
      <c r="AM15" s="116">
        <v>0</v>
      </c>
      <c r="AN15" s="116">
        <v>0</v>
      </c>
    </row>
    <row r="16" spans="1:40" customFormat="1" x14ac:dyDescent="0.15">
      <c r="A16" s="196" t="s">
        <v>206</v>
      </c>
      <c r="B16" s="116">
        <v>0.8</v>
      </c>
      <c r="C16" s="116">
        <v>0.8</v>
      </c>
      <c r="D16" s="116">
        <v>0.8</v>
      </c>
      <c r="E16" s="116">
        <v>0.8</v>
      </c>
      <c r="F16" s="116">
        <v>0.8</v>
      </c>
      <c r="G16" s="116">
        <v>0.8</v>
      </c>
      <c r="H16" s="116">
        <v>0.8</v>
      </c>
      <c r="I16" s="116">
        <v>0.8</v>
      </c>
      <c r="J16" s="116">
        <v>0.8</v>
      </c>
      <c r="K16" s="116">
        <v>0.8</v>
      </c>
      <c r="L16" s="116">
        <v>0.8</v>
      </c>
      <c r="M16" s="116">
        <v>0.8</v>
      </c>
      <c r="N16" s="116">
        <v>0</v>
      </c>
      <c r="O16" s="116">
        <v>0.8</v>
      </c>
      <c r="P16" s="116">
        <v>0</v>
      </c>
      <c r="Q16" s="116">
        <v>0</v>
      </c>
      <c r="R16" s="116">
        <v>0.8</v>
      </c>
      <c r="S16" s="116">
        <v>0</v>
      </c>
      <c r="T16" s="116">
        <v>0</v>
      </c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0.8</v>
      </c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</row>
    <row r="17" spans="1:40" customFormat="1" x14ac:dyDescent="0.15">
      <c r="A17" s="196" t="s">
        <v>207</v>
      </c>
      <c r="B17" s="116">
        <v>0.8</v>
      </c>
      <c r="C17" s="116">
        <v>0</v>
      </c>
      <c r="D17" s="116">
        <v>0</v>
      </c>
      <c r="E17" s="116">
        <v>0</v>
      </c>
      <c r="F17" s="116">
        <v>0</v>
      </c>
      <c r="G17" s="116">
        <v>0</v>
      </c>
      <c r="H17" s="116">
        <v>0.8</v>
      </c>
      <c r="I17" s="116">
        <v>0</v>
      </c>
      <c r="J17" s="116">
        <v>0</v>
      </c>
      <c r="K17" s="116">
        <v>0</v>
      </c>
      <c r="L17" s="116">
        <v>0</v>
      </c>
      <c r="M17" s="116">
        <v>0</v>
      </c>
      <c r="N17" s="116">
        <v>0</v>
      </c>
      <c r="O17" s="116">
        <v>0.8</v>
      </c>
      <c r="P17" s="116">
        <v>0</v>
      </c>
      <c r="Q17" s="116">
        <v>0.8</v>
      </c>
      <c r="R17" s="116">
        <v>0</v>
      </c>
      <c r="S17" s="116">
        <v>0</v>
      </c>
      <c r="T17" s="116">
        <v>0.8</v>
      </c>
      <c r="U17" s="116">
        <v>0</v>
      </c>
      <c r="V17" s="116">
        <v>0</v>
      </c>
      <c r="W17" s="116">
        <v>0</v>
      </c>
      <c r="X17" s="116">
        <v>0</v>
      </c>
      <c r="Y17" s="116">
        <v>0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</row>
    <row r="18" spans="1:40" customFormat="1" x14ac:dyDescent="0.15">
      <c r="A18" s="196" t="s">
        <v>208</v>
      </c>
      <c r="B18" s="116">
        <v>0.8</v>
      </c>
      <c r="C18" s="116">
        <v>0.8</v>
      </c>
      <c r="D18" s="116">
        <v>0</v>
      </c>
      <c r="E18" s="116">
        <v>0.8</v>
      </c>
      <c r="F18" s="116">
        <v>0</v>
      </c>
      <c r="G18" s="116">
        <v>0.8</v>
      </c>
      <c r="H18" s="116">
        <v>0.8</v>
      </c>
      <c r="I18" s="116">
        <v>0</v>
      </c>
      <c r="J18" s="116">
        <v>0</v>
      </c>
      <c r="K18" s="116">
        <v>0</v>
      </c>
      <c r="L18" s="116">
        <v>0.8</v>
      </c>
      <c r="M18" s="116">
        <v>0.8</v>
      </c>
      <c r="N18" s="116">
        <v>0</v>
      </c>
      <c r="O18" s="116">
        <v>0.8</v>
      </c>
      <c r="P18" s="116">
        <v>0</v>
      </c>
      <c r="Q18" s="116">
        <v>0</v>
      </c>
      <c r="R18" s="116">
        <v>0</v>
      </c>
      <c r="S18" s="116">
        <v>0</v>
      </c>
      <c r="T18" s="116">
        <v>0.8</v>
      </c>
      <c r="U18" s="116">
        <v>0</v>
      </c>
      <c r="V18" s="116">
        <v>0</v>
      </c>
      <c r="W18" s="116">
        <v>0</v>
      </c>
      <c r="X18" s="116">
        <v>0.8</v>
      </c>
      <c r="Y18" s="116">
        <v>0</v>
      </c>
      <c r="Z18" s="116">
        <v>0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116">
        <v>0</v>
      </c>
    </row>
    <row r="19" spans="1:40" customFormat="1" x14ac:dyDescent="0.15">
      <c r="A19" s="196" t="s">
        <v>209</v>
      </c>
      <c r="B19" s="116">
        <v>0.8</v>
      </c>
      <c r="C19" s="116">
        <v>0</v>
      </c>
      <c r="D19" s="116">
        <v>0</v>
      </c>
      <c r="E19" s="116">
        <v>0</v>
      </c>
      <c r="F19" s="116">
        <v>0</v>
      </c>
      <c r="G19" s="116">
        <v>0.8</v>
      </c>
      <c r="H19" s="116">
        <v>0.8</v>
      </c>
      <c r="I19" s="116">
        <v>0</v>
      </c>
      <c r="J19" s="116">
        <v>0</v>
      </c>
      <c r="K19" s="116">
        <v>0.8</v>
      </c>
      <c r="L19" s="116">
        <v>0.8</v>
      </c>
      <c r="M19" s="116">
        <v>0</v>
      </c>
      <c r="N19" s="116">
        <v>0</v>
      </c>
      <c r="O19" s="116">
        <v>0</v>
      </c>
      <c r="P19" s="116">
        <v>0.8</v>
      </c>
      <c r="Q19" s="116">
        <v>0</v>
      </c>
      <c r="R19" s="116">
        <v>0</v>
      </c>
      <c r="S19" s="116">
        <v>0.8</v>
      </c>
      <c r="T19" s="116">
        <v>0</v>
      </c>
      <c r="U19" s="116">
        <v>0</v>
      </c>
      <c r="V19" s="116">
        <v>0</v>
      </c>
      <c r="W19" s="116">
        <v>0</v>
      </c>
      <c r="X19" s="116">
        <v>0</v>
      </c>
      <c r="Y19" s="116">
        <v>0</v>
      </c>
      <c r="Z19" s="116">
        <v>0</v>
      </c>
      <c r="AA19" s="116">
        <v>0.8</v>
      </c>
      <c r="AB19" s="116">
        <v>0</v>
      </c>
      <c r="AC19" s="116">
        <v>0</v>
      </c>
      <c r="AD19" s="116">
        <v>0</v>
      </c>
      <c r="AE19" s="116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116">
        <v>0</v>
      </c>
    </row>
    <row r="20" spans="1:40" customFormat="1" x14ac:dyDescent="0.15">
      <c r="A20" s="196" t="s">
        <v>210</v>
      </c>
      <c r="B20" s="116">
        <v>0</v>
      </c>
      <c r="C20" s="116">
        <v>0.8</v>
      </c>
      <c r="D20" s="116">
        <v>0.8</v>
      </c>
      <c r="E20" s="116">
        <v>0.8</v>
      </c>
      <c r="F20" s="116">
        <v>0</v>
      </c>
      <c r="G20" s="116">
        <v>0.8</v>
      </c>
      <c r="H20" s="116">
        <v>0</v>
      </c>
      <c r="I20" s="116">
        <v>0</v>
      </c>
      <c r="J20" s="116">
        <v>0.8</v>
      </c>
      <c r="K20" s="116">
        <v>0</v>
      </c>
      <c r="L20" s="116">
        <v>0</v>
      </c>
      <c r="M20" s="116">
        <v>0</v>
      </c>
      <c r="N20" s="116">
        <v>0</v>
      </c>
      <c r="O20" s="116">
        <v>0</v>
      </c>
      <c r="P20" s="116">
        <v>0</v>
      </c>
      <c r="Q20" s="116">
        <v>0</v>
      </c>
      <c r="R20" s="116">
        <v>0</v>
      </c>
      <c r="S20" s="116">
        <v>0</v>
      </c>
      <c r="T20" s="116">
        <v>0.8</v>
      </c>
      <c r="U20" s="116">
        <v>0</v>
      </c>
      <c r="V20" s="116">
        <v>0</v>
      </c>
      <c r="W20" s="116">
        <v>0</v>
      </c>
      <c r="X20" s="116">
        <v>0.8</v>
      </c>
      <c r="Y20" s="116">
        <v>0.8</v>
      </c>
      <c r="Z20" s="116">
        <v>0</v>
      </c>
      <c r="AA20" s="116">
        <v>0</v>
      </c>
      <c r="AB20" s="116">
        <v>0</v>
      </c>
      <c r="AC20" s="116">
        <v>0</v>
      </c>
      <c r="AD20" s="116">
        <v>0</v>
      </c>
      <c r="AE20" s="116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116">
        <v>0</v>
      </c>
    </row>
    <row r="21" spans="1:40" customFormat="1" x14ac:dyDescent="0.15">
      <c r="A21" s="196" t="s">
        <v>211</v>
      </c>
      <c r="B21" s="116">
        <v>0.8</v>
      </c>
      <c r="C21" s="116">
        <v>0.8</v>
      </c>
      <c r="D21" s="116">
        <v>0.8</v>
      </c>
      <c r="E21" s="116">
        <v>0.8</v>
      </c>
      <c r="F21" s="116">
        <v>0.8</v>
      </c>
      <c r="G21" s="116">
        <v>0</v>
      </c>
      <c r="H21" s="116">
        <v>0.8</v>
      </c>
      <c r="I21" s="116">
        <v>0.8</v>
      </c>
      <c r="J21" s="116">
        <v>0.8</v>
      </c>
      <c r="K21" s="116">
        <v>0.8</v>
      </c>
      <c r="L21" s="116">
        <v>0.8</v>
      </c>
      <c r="M21" s="116">
        <v>0.8</v>
      </c>
      <c r="N21" s="116">
        <v>0</v>
      </c>
      <c r="O21" s="116">
        <v>0.8</v>
      </c>
      <c r="P21" s="116">
        <v>0.8</v>
      </c>
      <c r="Q21" s="116">
        <v>0.8</v>
      </c>
      <c r="R21" s="116">
        <v>0</v>
      </c>
      <c r="S21" s="116">
        <v>0</v>
      </c>
      <c r="T21" s="116">
        <v>0.8</v>
      </c>
      <c r="U21" s="116">
        <v>0</v>
      </c>
      <c r="V21" s="116">
        <v>0</v>
      </c>
      <c r="W21" s="116">
        <v>0</v>
      </c>
      <c r="X21" s="116">
        <v>0</v>
      </c>
      <c r="Y21" s="116">
        <v>0</v>
      </c>
      <c r="Z21" s="116">
        <v>0</v>
      </c>
      <c r="AA21" s="116">
        <v>0.8</v>
      </c>
      <c r="AB21" s="116">
        <v>0</v>
      </c>
      <c r="AC21" s="116">
        <v>0</v>
      </c>
      <c r="AD21" s="116">
        <v>0</v>
      </c>
      <c r="AE21" s="116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0</v>
      </c>
      <c r="AM21" s="116">
        <v>0</v>
      </c>
      <c r="AN21" s="116">
        <v>0</v>
      </c>
    </row>
    <row r="22" spans="1:40" customFormat="1" x14ac:dyDescent="0.15">
      <c r="A22" s="196" t="s">
        <v>212</v>
      </c>
      <c r="B22" s="116">
        <v>0</v>
      </c>
      <c r="C22" s="116">
        <v>0</v>
      </c>
      <c r="D22" s="116">
        <v>0</v>
      </c>
      <c r="E22" s="116">
        <v>0</v>
      </c>
      <c r="F22" s="116">
        <v>0</v>
      </c>
      <c r="G22" s="116">
        <v>0</v>
      </c>
      <c r="H22" s="116">
        <v>0.8</v>
      </c>
      <c r="I22" s="116">
        <v>0.8</v>
      </c>
      <c r="J22" s="116">
        <v>0</v>
      </c>
      <c r="K22" s="116">
        <v>0.8</v>
      </c>
      <c r="L22" s="116">
        <v>0</v>
      </c>
      <c r="M22" s="116">
        <v>0</v>
      </c>
      <c r="N22" s="116">
        <v>0</v>
      </c>
      <c r="O22" s="116">
        <v>0.8</v>
      </c>
      <c r="P22" s="116">
        <v>0.8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</row>
    <row r="23" spans="1:40" customFormat="1" x14ac:dyDescent="0.15">
      <c r="A23" s="196" t="s">
        <v>213</v>
      </c>
      <c r="B23" s="116">
        <v>0.8</v>
      </c>
      <c r="C23" s="116">
        <v>0</v>
      </c>
      <c r="D23" s="116">
        <v>0</v>
      </c>
      <c r="E23" s="116">
        <v>0.8</v>
      </c>
      <c r="F23" s="116">
        <v>0</v>
      </c>
      <c r="G23" s="116">
        <v>0</v>
      </c>
      <c r="H23" s="116">
        <v>0.8</v>
      </c>
      <c r="I23" s="116">
        <v>0</v>
      </c>
      <c r="J23" s="116">
        <v>0</v>
      </c>
      <c r="K23" s="116">
        <v>0</v>
      </c>
      <c r="L23" s="116">
        <v>0.8</v>
      </c>
      <c r="M23" s="116">
        <v>0.8</v>
      </c>
      <c r="N23" s="116">
        <v>0</v>
      </c>
      <c r="O23" s="116">
        <v>0.8</v>
      </c>
      <c r="P23" s="116">
        <v>0</v>
      </c>
      <c r="Q23" s="116">
        <v>0</v>
      </c>
      <c r="R23" s="116">
        <v>0</v>
      </c>
      <c r="S23" s="116">
        <v>0</v>
      </c>
      <c r="T23" s="116">
        <v>0.8</v>
      </c>
      <c r="U23" s="116">
        <v>0</v>
      </c>
      <c r="V23" s="116">
        <v>0</v>
      </c>
      <c r="W23" s="116">
        <v>0</v>
      </c>
      <c r="X23" s="116">
        <v>0.8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</row>
    <row r="24" spans="1:40" customFormat="1" x14ac:dyDescent="0.15">
      <c r="A24" s="196" t="s">
        <v>214</v>
      </c>
      <c r="B24" s="116">
        <v>0</v>
      </c>
      <c r="C24" s="116">
        <v>0</v>
      </c>
      <c r="D24" s="116">
        <v>0</v>
      </c>
      <c r="E24" s="116">
        <v>0.8</v>
      </c>
      <c r="F24" s="116">
        <v>0</v>
      </c>
      <c r="G24" s="116">
        <v>0</v>
      </c>
      <c r="H24" s="116">
        <v>0</v>
      </c>
      <c r="I24" s="116">
        <v>0</v>
      </c>
      <c r="J24" s="116">
        <v>0</v>
      </c>
      <c r="K24" s="116">
        <v>0</v>
      </c>
      <c r="L24" s="116">
        <v>0</v>
      </c>
      <c r="M24" s="116">
        <v>0</v>
      </c>
      <c r="N24" s="116">
        <v>0.8</v>
      </c>
      <c r="O24" s="116">
        <v>0</v>
      </c>
      <c r="P24" s="116">
        <v>0</v>
      </c>
      <c r="Q24" s="116">
        <v>0</v>
      </c>
      <c r="R24" s="116">
        <v>0</v>
      </c>
      <c r="S24" s="116">
        <v>0</v>
      </c>
      <c r="T24" s="116">
        <v>0</v>
      </c>
      <c r="U24" s="116">
        <v>0</v>
      </c>
      <c r="V24" s="116">
        <v>0</v>
      </c>
      <c r="W24" s="116">
        <v>0</v>
      </c>
      <c r="X24" s="116">
        <v>0</v>
      </c>
      <c r="Y24" s="116">
        <v>0</v>
      </c>
      <c r="Z24" s="116">
        <v>0</v>
      </c>
      <c r="AA24" s="116">
        <v>0</v>
      </c>
      <c r="AB24" s="116">
        <v>0</v>
      </c>
      <c r="AC24" s="116">
        <v>0</v>
      </c>
      <c r="AD24" s="116">
        <v>0</v>
      </c>
      <c r="AE24" s="116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116">
        <v>0</v>
      </c>
    </row>
    <row r="25" spans="1:40" customFormat="1" x14ac:dyDescent="0.15">
      <c r="A25" s="196" t="s">
        <v>215</v>
      </c>
      <c r="B25" s="116">
        <v>0.8</v>
      </c>
      <c r="C25" s="116">
        <v>0</v>
      </c>
      <c r="D25" s="116">
        <v>0</v>
      </c>
      <c r="E25" s="116">
        <v>0</v>
      </c>
      <c r="F25" s="116">
        <v>0</v>
      </c>
      <c r="G25" s="116">
        <v>0</v>
      </c>
      <c r="H25" s="116">
        <v>0.8</v>
      </c>
      <c r="I25" s="116">
        <v>0</v>
      </c>
      <c r="J25" s="116">
        <v>0</v>
      </c>
      <c r="K25" s="116">
        <v>0</v>
      </c>
      <c r="L25" s="116">
        <v>0</v>
      </c>
      <c r="M25" s="116">
        <v>0</v>
      </c>
      <c r="N25" s="116">
        <v>0.8</v>
      </c>
      <c r="O25" s="116">
        <v>0</v>
      </c>
      <c r="P25" s="116">
        <v>0</v>
      </c>
      <c r="Q25" s="116">
        <v>0</v>
      </c>
      <c r="R25" s="116">
        <v>0</v>
      </c>
      <c r="S25" s="116">
        <v>0</v>
      </c>
      <c r="T25" s="116">
        <v>0</v>
      </c>
      <c r="U25" s="116">
        <v>0</v>
      </c>
      <c r="V25" s="116">
        <v>0</v>
      </c>
      <c r="W25" s="116">
        <v>0</v>
      </c>
      <c r="X25" s="116">
        <v>0.8</v>
      </c>
      <c r="Y25" s="116">
        <v>0.8</v>
      </c>
      <c r="Z25" s="116">
        <v>0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0</v>
      </c>
      <c r="AN25" s="116">
        <v>0</v>
      </c>
    </row>
    <row r="26" spans="1:40" customFormat="1" x14ac:dyDescent="0.15">
      <c r="A26" s="196" t="s">
        <v>216</v>
      </c>
      <c r="B26" s="116">
        <v>0</v>
      </c>
      <c r="C26" s="116">
        <v>0.8</v>
      </c>
      <c r="D26" s="116">
        <v>0.8</v>
      </c>
      <c r="E26" s="116">
        <v>0</v>
      </c>
      <c r="F26" s="116">
        <v>0</v>
      </c>
      <c r="G26" s="116">
        <v>0.8</v>
      </c>
      <c r="H26" s="116">
        <v>0.8</v>
      </c>
      <c r="I26" s="116">
        <v>0.8</v>
      </c>
      <c r="J26" s="116">
        <v>0.8</v>
      </c>
      <c r="K26" s="116">
        <v>0</v>
      </c>
      <c r="L26" s="116">
        <v>0.8</v>
      </c>
      <c r="M26" s="116">
        <v>0</v>
      </c>
      <c r="N26" s="116">
        <v>0</v>
      </c>
      <c r="O26" s="116">
        <v>0</v>
      </c>
      <c r="P26" s="116">
        <v>0.8</v>
      </c>
      <c r="Q26" s="116">
        <v>0</v>
      </c>
      <c r="R26" s="116">
        <v>0</v>
      </c>
      <c r="S26" s="116">
        <v>0.8</v>
      </c>
      <c r="T26" s="116">
        <v>0</v>
      </c>
      <c r="U26" s="116">
        <v>0</v>
      </c>
      <c r="V26" s="116">
        <v>0</v>
      </c>
      <c r="W26" s="116">
        <v>0.8</v>
      </c>
      <c r="X26" s="116">
        <v>0</v>
      </c>
      <c r="Y26" s="116">
        <v>0</v>
      </c>
      <c r="Z26" s="116">
        <v>0.8</v>
      </c>
      <c r="AA26" s="116">
        <v>0.8</v>
      </c>
      <c r="AB26" s="116">
        <v>0</v>
      </c>
      <c r="AC26" s="116">
        <v>0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116">
        <v>0</v>
      </c>
    </row>
    <row r="27" spans="1:40" customFormat="1" x14ac:dyDescent="0.15">
      <c r="A27" s="196" t="s">
        <v>217</v>
      </c>
      <c r="B27" s="116">
        <v>0</v>
      </c>
      <c r="C27" s="116">
        <v>0</v>
      </c>
      <c r="D27" s="116">
        <v>0.8</v>
      </c>
      <c r="E27" s="116">
        <v>0.8</v>
      </c>
      <c r="F27" s="116">
        <v>0</v>
      </c>
      <c r="G27" s="116">
        <v>0.8</v>
      </c>
      <c r="H27" s="116">
        <v>0</v>
      </c>
      <c r="I27" s="116">
        <v>0.8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0.8</v>
      </c>
      <c r="P27" s="116">
        <v>0</v>
      </c>
      <c r="Q27" s="116">
        <v>0</v>
      </c>
      <c r="R27" s="116">
        <v>0</v>
      </c>
      <c r="S27" s="116">
        <v>0.8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0</v>
      </c>
      <c r="Z27" s="116">
        <v>0</v>
      </c>
      <c r="AA27" s="116">
        <v>0.8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</row>
    <row r="28" spans="1:40" customFormat="1" x14ac:dyDescent="0.15">
      <c r="A28" s="196" t="s">
        <v>218</v>
      </c>
      <c r="B28" s="116">
        <v>0</v>
      </c>
      <c r="C28" s="116">
        <v>0</v>
      </c>
      <c r="D28" s="116">
        <v>0</v>
      </c>
      <c r="E28" s="116">
        <v>0</v>
      </c>
      <c r="F28" s="116">
        <v>0</v>
      </c>
      <c r="G28" s="116">
        <v>0.8</v>
      </c>
      <c r="H28" s="116">
        <v>0</v>
      </c>
      <c r="I28" s="116">
        <v>0</v>
      </c>
      <c r="J28" s="116">
        <v>0</v>
      </c>
      <c r="K28" s="116">
        <v>0.8</v>
      </c>
      <c r="L28" s="116">
        <v>0.8</v>
      </c>
      <c r="M28" s="116">
        <v>0.8</v>
      </c>
      <c r="N28" s="116">
        <v>0.8</v>
      </c>
      <c r="O28" s="116">
        <v>0</v>
      </c>
      <c r="P28" s="116">
        <v>0</v>
      </c>
      <c r="Q28" s="116">
        <v>0.8</v>
      </c>
      <c r="R28" s="116">
        <v>0.8</v>
      </c>
      <c r="S28" s="116">
        <v>0.8</v>
      </c>
      <c r="T28" s="116">
        <v>0</v>
      </c>
      <c r="U28" s="116">
        <v>0</v>
      </c>
      <c r="V28" s="116">
        <v>0.8</v>
      </c>
      <c r="W28" s="116">
        <v>0</v>
      </c>
      <c r="X28" s="116">
        <v>0.8</v>
      </c>
      <c r="Y28" s="116">
        <v>0</v>
      </c>
      <c r="Z28" s="116">
        <v>0.8</v>
      </c>
      <c r="AA28" s="116">
        <v>0.8</v>
      </c>
      <c r="AB28" s="116">
        <v>0.8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</row>
    <row r="29" spans="1:40" customFormat="1" x14ac:dyDescent="0.15">
      <c r="A29" s="196" t="s">
        <v>219</v>
      </c>
      <c r="B29" s="116">
        <v>0.8</v>
      </c>
      <c r="C29" s="116">
        <v>0</v>
      </c>
      <c r="D29" s="116">
        <v>0</v>
      </c>
      <c r="E29" s="116">
        <v>0</v>
      </c>
      <c r="F29" s="116">
        <v>0</v>
      </c>
      <c r="G29" s="116">
        <v>0.8</v>
      </c>
      <c r="H29" s="116">
        <v>0.8</v>
      </c>
      <c r="I29" s="116">
        <v>0.8</v>
      </c>
      <c r="J29" s="116">
        <v>0</v>
      </c>
      <c r="K29" s="116">
        <v>0</v>
      </c>
      <c r="L29" s="116">
        <v>0.8</v>
      </c>
      <c r="M29" s="116">
        <v>0.8</v>
      </c>
      <c r="N29" s="116">
        <v>0.8</v>
      </c>
      <c r="O29" s="116">
        <v>0.8</v>
      </c>
      <c r="P29" s="116">
        <v>0.8</v>
      </c>
      <c r="Q29" s="116">
        <v>0.8</v>
      </c>
      <c r="R29" s="116">
        <v>0.8</v>
      </c>
      <c r="S29" s="116">
        <v>0.8</v>
      </c>
      <c r="T29" s="116">
        <v>0.8</v>
      </c>
      <c r="U29" s="116">
        <v>0</v>
      </c>
      <c r="V29" s="116">
        <v>0.8</v>
      </c>
      <c r="W29" s="116">
        <v>0.8</v>
      </c>
      <c r="X29" s="116">
        <v>0.8</v>
      </c>
      <c r="Y29" s="116">
        <v>0.8</v>
      </c>
      <c r="Z29" s="116">
        <v>0.8</v>
      </c>
      <c r="AA29" s="116">
        <v>0.8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</row>
    <row r="30" spans="1:40" customFormat="1" x14ac:dyDescent="0.15">
      <c r="A30" s="196" t="s">
        <v>220</v>
      </c>
      <c r="B30" s="116">
        <v>0</v>
      </c>
      <c r="C30" s="116">
        <v>0</v>
      </c>
      <c r="D30" s="116">
        <v>0</v>
      </c>
      <c r="E30" s="116">
        <v>0</v>
      </c>
      <c r="F30" s="116">
        <v>0</v>
      </c>
      <c r="G30" s="116">
        <v>0.8</v>
      </c>
      <c r="H30" s="116">
        <v>0.8</v>
      </c>
      <c r="I30" s="116">
        <v>0</v>
      </c>
      <c r="J30" s="116">
        <v>0.8</v>
      </c>
      <c r="K30" s="116">
        <v>0</v>
      </c>
      <c r="L30" s="116">
        <v>0.8</v>
      </c>
      <c r="M30" s="116">
        <v>0</v>
      </c>
      <c r="N30" s="116">
        <v>0.8</v>
      </c>
      <c r="O30" s="116">
        <v>0.8</v>
      </c>
      <c r="P30" s="116">
        <v>0</v>
      </c>
      <c r="Q30" s="116">
        <v>0.8</v>
      </c>
      <c r="R30" s="116">
        <v>0.8</v>
      </c>
      <c r="S30" s="116">
        <v>0.8</v>
      </c>
      <c r="T30" s="116">
        <v>0.8</v>
      </c>
      <c r="U30" s="116">
        <v>0</v>
      </c>
      <c r="V30" s="116">
        <v>0.8</v>
      </c>
      <c r="W30" s="116">
        <v>0.8</v>
      </c>
      <c r="X30" s="116">
        <v>0.8</v>
      </c>
      <c r="Y30" s="116">
        <v>0.8</v>
      </c>
      <c r="Z30" s="116">
        <v>0.8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</row>
    <row r="31" spans="1:40" customFormat="1" x14ac:dyDescent="0.15">
      <c r="A31" s="196" t="s">
        <v>221</v>
      </c>
      <c r="B31" s="116">
        <v>0</v>
      </c>
      <c r="C31" s="116">
        <v>0.8</v>
      </c>
      <c r="D31" s="116">
        <v>0.8</v>
      </c>
      <c r="E31" s="116">
        <v>0.8</v>
      </c>
      <c r="F31" s="116">
        <v>0</v>
      </c>
      <c r="G31" s="116">
        <v>0</v>
      </c>
      <c r="H31" s="116">
        <v>0</v>
      </c>
      <c r="I31" s="116">
        <v>0.8</v>
      </c>
      <c r="J31" s="116">
        <v>0.8</v>
      </c>
      <c r="K31" s="116">
        <v>0</v>
      </c>
      <c r="L31" s="116">
        <v>0.8</v>
      </c>
      <c r="M31" s="116">
        <v>0</v>
      </c>
      <c r="N31" s="116">
        <v>0</v>
      </c>
      <c r="O31" s="116">
        <v>0</v>
      </c>
      <c r="P31" s="116">
        <v>0.8</v>
      </c>
      <c r="Q31" s="116">
        <v>0.8</v>
      </c>
      <c r="R31" s="116">
        <v>0</v>
      </c>
      <c r="S31" s="116">
        <v>0.8</v>
      </c>
      <c r="T31" s="116">
        <v>0.8</v>
      </c>
      <c r="U31" s="116">
        <v>0</v>
      </c>
      <c r="V31" s="116">
        <v>0.8</v>
      </c>
      <c r="W31" s="116">
        <v>0.8</v>
      </c>
      <c r="X31" s="116">
        <v>0.8</v>
      </c>
      <c r="Y31" s="116">
        <v>0.8</v>
      </c>
      <c r="Z31" s="116">
        <v>0.8</v>
      </c>
      <c r="AA31" s="116">
        <v>0</v>
      </c>
      <c r="AB31" s="116">
        <v>0</v>
      </c>
      <c r="AC31" s="116">
        <v>0</v>
      </c>
      <c r="AD31" s="116">
        <v>0</v>
      </c>
      <c r="AE31" s="116">
        <v>0.8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</row>
    <row r="32" spans="1:40" customFormat="1" x14ac:dyDescent="0.15">
      <c r="A32" s="196" t="s">
        <v>222</v>
      </c>
      <c r="B32" s="116">
        <v>0</v>
      </c>
      <c r="C32" s="116">
        <v>0</v>
      </c>
      <c r="D32" s="116">
        <v>0</v>
      </c>
      <c r="E32" s="116">
        <v>0</v>
      </c>
      <c r="F32" s="116">
        <v>0</v>
      </c>
      <c r="G32" s="116">
        <v>0</v>
      </c>
      <c r="H32" s="116">
        <v>0</v>
      </c>
      <c r="I32" s="116">
        <v>0</v>
      </c>
      <c r="J32" s="116">
        <v>0</v>
      </c>
      <c r="K32" s="116">
        <v>0</v>
      </c>
      <c r="L32" s="116">
        <v>0.8</v>
      </c>
      <c r="M32" s="116">
        <v>0.8</v>
      </c>
      <c r="N32" s="116">
        <v>0.8</v>
      </c>
      <c r="O32" s="116">
        <v>0.8</v>
      </c>
      <c r="P32" s="116">
        <v>0.8</v>
      </c>
      <c r="Q32" s="116">
        <v>0</v>
      </c>
      <c r="R32" s="116">
        <v>0</v>
      </c>
      <c r="S32" s="116">
        <v>0.8</v>
      </c>
      <c r="T32" s="116">
        <v>0</v>
      </c>
      <c r="U32" s="116">
        <v>0</v>
      </c>
      <c r="V32" s="116">
        <v>0.8</v>
      </c>
      <c r="W32" s="116">
        <v>0</v>
      </c>
      <c r="X32" s="116">
        <v>0</v>
      </c>
      <c r="Y32" s="116">
        <v>0</v>
      </c>
      <c r="Z32" s="116">
        <v>0</v>
      </c>
      <c r="AA32" s="116">
        <v>0.8</v>
      </c>
      <c r="AB32" s="116">
        <v>0</v>
      </c>
      <c r="AC32" s="116">
        <v>0</v>
      </c>
      <c r="AD32" s="116">
        <v>0</v>
      </c>
      <c r="AE32" s="116">
        <v>0</v>
      </c>
      <c r="AF32" s="116">
        <v>0</v>
      </c>
      <c r="AG32" s="116">
        <v>0.8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116">
        <v>0</v>
      </c>
    </row>
    <row r="33" spans="1:40" x14ac:dyDescent="0.15">
      <c r="A33" s="196" t="s">
        <v>223</v>
      </c>
      <c r="B33" s="116">
        <v>0</v>
      </c>
      <c r="C33" s="116">
        <v>0</v>
      </c>
      <c r="D33" s="116">
        <v>0</v>
      </c>
      <c r="E33" s="116">
        <v>0</v>
      </c>
      <c r="F33" s="116">
        <v>0</v>
      </c>
      <c r="G33" s="116">
        <v>0</v>
      </c>
      <c r="H33" s="116">
        <v>0</v>
      </c>
      <c r="I33" s="116">
        <v>0</v>
      </c>
      <c r="J33" s="116">
        <v>0</v>
      </c>
      <c r="K33" s="116">
        <v>0</v>
      </c>
      <c r="L33" s="116">
        <v>0</v>
      </c>
      <c r="M33" s="116">
        <v>0</v>
      </c>
      <c r="N33" s="116">
        <v>0</v>
      </c>
      <c r="O33" s="116">
        <v>0</v>
      </c>
      <c r="P33" s="116">
        <v>0.8</v>
      </c>
      <c r="Q33" s="116">
        <v>0</v>
      </c>
      <c r="R33" s="116">
        <v>0</v>
      </c>
      <c r="S33" s="116">
        <v>0.8</v>
      </c>
      <c r="T33" s="116">
        <v>0.8</v>
      </c>
      <c r="U33" s="116">
        <v>0</v>
      </c>
      <c r="V33" s="116">
        <v>0.8</v>
      </c>
      <c r="W33" s="116">
        <v>0.8</v>
      </c>
      <c r="X33" s="116">
        <v>0</v>
      </c>
      <c r="Y33" s="116">
        <v>0</v>
      </c>
      <c r="Z33" s="116">
        <v>0</v>
      </c>
      <c r="AA33" s="116">
        <v>0</v>
      </c>
      <c r="AB33" s="116">
        <v>0</v>
      </c>
      <c r="AC33" s="116">
        <v>0</v>
      </c>
      <c r="AD33" s="116">
        <v>0</v>
      </c>
      <c r="AE33" s="116">
        <v>0.8</v>
      </c>
      <c r="AF33" s="116">
        <v>0.8</v>
      </c>
      <c r="AG33" s="116">
        <v>0.8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116">
        <v>0</v>
      </c>
    </row>
    <row r="34" spans="1:40" x14ac:dyDescent="0.15">
      <c r="A34" s="196" t="s">
        <v>224</v>
      </c>
      <c r="B34" s="116">
        <v>0.8</v>
      </c>
      <c r="C34" s="116">
        <v>0</v>
      </c>
      <c r="D34" s="116">
        <v>0</v>
      </c>
      <c r="E34" s="116">
        <v>0.8</v>
      </c>
      <c r="F34" s="116">
        <v>0.8</v>
      </c>
      <c r="G34" s="116">
        <v>0</v>
      </c>
      <c r="H34" s="116">
        <v>0</v>
      </c>
      <c r="I34" s="116">
        <v>0.8</v>
      </c>
      <c r="J34" s="116">
        <v>0.8</v>
      </c>
      <c r="K34" s="116">
        <v>0.8</v>
      </c>
      <c r="L34" s="116">
        <v>0.8</v>
      </c>
      <c r="M34" s="116">
        <v>0.8</v>
      </c>
      <c r="N34" s="116">
        <v>0</v>
      </c>
      <c r="O34" s="116">
        <v>0</v>
      </c>
      <c r="P34" s="116">
        <v>0.8</v>
      </c>
      <c r="Q34" s="116">
        <v>0.8</v>
      </c>
      <c r="R34" s="116">
        <v>0.8</v>
      </c>
      <c r="S34" s="116">
        <v>0.8</v>
      </c>
      <c r="T34" s="116">
        <v>0</v>
      </c>
      <c r="U34" s="116">
        <v>0.8</v>
      </c>
      <c r="V34" s="116">
        <v>0.8</v>
      </c>
      <c r="W34" s="116">
        <v>0.8</v>
      </c>
      <c r="X34" s="116">
        <v>0</v>
      </c>
      <c r="Y34" s="116">
        <v>0</v>
      </c>
      <c r="Z34" s="116">
        <v>0</v>
      </c>
      <c r="AA34" s="116">
        <v>0.8</v>
      </c>
      <c r="AB34" s="116">
        <v>0.8</v>
      </c>
      <c r="AC34" s="116">
        <v>0.8</v>
      </c>
      <c r="AD34" s="116">
        <v>0.8</v>
      </c>
      <c r="AE34" s="116">
        <v>0.8</v>
      </c>
      <c r="AF34" s="116">
        <v>0</v>
      </c>
      <c r="AG34" s="116">
        <v>0.8</v>
      </c>
      <c r="AH34" s="116">
        <v>0.8</v>
      </c>
      <c r="AI34" s="116">
        <v>0</v>
      </c>
      <c r="AJ34" s="116">
        <v>0</v>
      </c>
      <c r="AK34" s="116">
        <v>0</v>
      </c>
      <c r="AL34" s="116">
        <v>0</v>
      </c>
      <c r="AM34" s="116">
        <v>0</v>
      </c>
      <c r="AN34" s="116">
        <v>0</v>
      </c>
    </row>
    <row r="35" spans="1:40" x14ac:dyDescent="0.15">
      <c r="A35" s="196" t="s">
        <v>225</v>
      </c>
      <c r="B35" s="116">
        <v>0</v>
      </c>
      <c r="C35" s="116">
        <v>0</v>
      </c>
      <c r="D35" s="116">
        <v>0</v>
      </c>
      <c r="E35" s="116">
        <v>0</v>
      </c>
      <c r="F35" s="116">
        <v>0</v>
      </c>
      <c r="G35" s="116">
        <v>0.8</v>
      </c>
      <c r="H35" s="116">
        <v>0.8</v>
      </c>
      <c r="I35" s="116">
        <v>0</v>
      </c>
      <c r="J35" s="116">
        <v>0</v>
      </c>
      <c r="K35" s="116">
        <v>0.8</v>
      </c>
      <c r="L35" s="116">
        <v>0.8</v>
      </c>
      <c r="M35" s="116">
        <v>0.8</v>
      </c>
      <c r="N35" s="116">
        <v>0</v>
      </c>
      <c r="O35" s="116">
        <v>0</v>
      </c>
      <c r="P35" s="116">
        <v>0.8</v>
      </c>
      <c r="Q35" s="116">
        <v>0.8</v>
      </c>
      <c r="R35" s="116">
        <v>0.8</v>
      </c>
      <c r="S35" s="116">
        <v>0.8</v>
      </c>
      <c r="T35" s="116">
        <v>0.8</v>
      </c>
      <c r="U35" s="116">
        <v>0</v>
      </c>
      <c r="V35" s="116">
        <v>0.8</v>
      </c>
      <c r="W35" s="116">
        <v>0.8</v>
      </c>
      <c r="X35" s="116">
        <v>0.8</v>
      </c>
      <c r="Y35" s="116">
        <v>0.8</v>
      </c>
      <c r="Z35" s="116">
        <v>0.8</v>
      </c>
      <c r="AA35" s="116">
        <v>0</v>
      </c>
      <c r="AB35" s="116">
        <v>0.8</v>
      </c>
      <c r="AC35" s="116">
        <v>0.8</v>
      </c>
      <c r="AD35" s="116">
        <v>0.8</v>
      </c>
      <c r="AE35" s="116">
        <v>0.8</v>
      </c>
      <c r="AF35" s="116">
        <v>0</v>
      </c>
      <c r="AG35" s="116">
        <v>0</v>
      </c>
      <c r="AH35" s="116">
        <v>0</v>
      </c>
      <c r="AI35" s="116">
        <v>0.8</v>
      </c>
      <c r="AJ35" s="116">
        <v>0.8</v>
      </c>
      <c r="AK35" s="116">
        <v>0</v>
      </c>
      <c r="AL35" s="116">
        <v>0</v>
      </c>
      <c r="AM35" s="116">
        <v>0</v>
      </c>
      <c r="AN35" s="116">
        <v>0</v>
      </c>
    </row>
    <row r="36" spans="1:40" x14ac:dyDescent="0.15">
      <c r="A36" s="196" t="s">
        <v>226</v>
      </c>
      <c r="B36" s="116">
        <v>0</v>
      </c>
      <c r="C36" s="116">
        <v>0</v>
      </c>
      <c r="D36" s="116">
        <v>0.8</v>
      </c>
      <c r="E36" s="116">
        <v>0.8</v>
      </c>
      <c r="F36" s="116">
        <v>0</v>
      </c>
      <c r="G36" s="116">
        <v>0.8</v>
      </c>
      <c r="H36" s="116">
        <v>0</v>
      </c>
      <c r="I36" s="116">
        <v>0.8</v>
      </c>
      <c r="J36" s="116">
        <v>0.8</v>
      </c>
      <c r="K36" s="116">
        <v>0.8</v>
      </c>
      <c r="L36" s="116">
        <v>0.8</v>
      </c>
      <c r="M36" s="116">
        <v>0.8</v>
      </c>
      <c r="N36" s="116">
        <v>0.8</v>
      </c>
      <c r="O36" s="116">
        <v>0.8</v>
      </c>
      <c r="P36" s="116">
        <v>0.8</v>
      </c>
      <c r="Q36" s="116">
        <v>0.8</v>
      </c>
      <c r="R36" s="116">
        <v>0.8</v>
      </c>
      <c r="S36" s="116">
        <v>0</v>
      </c>
      <c r="T36" s="116">
        <v>0.8</v>
      </c>
      <c r="U36" s="116">
        <v>0</v>
      </c>
      <c r="V36" s="116">
        <v>0.8</v>
      </c>
      <c r="W36" s="116">
        <v>0</v>
      </c>
      <c r="X36" s="116">
        <v>0.8</v>
      </c>
      <c r="Y36" s="116">
        <v>0.8</v>
      </c>
      <c r="Z36" s="116">
        <v>0.8</v>
      </c>
      <c r="AA36" s="116">
        <v>0.8</v>
      </c>
      <c r="AB36" s="116">
        <v>0</v>
      </c>
      <c r="AC36" s="116">
        <v>0</v>
      </c>
      <c r="AD36" s="116">
        <v>0</v>
      </c>
      <c r="AE36" s="116">
        <v>0</v>
      </c>
      <c r="AF36" s="116">
        <v>0</v>
      </c>
      <c r="AG36" s="116">
        <v>0</v>
      </c>
      <c r="AH36" s="116">
        <v>0</v>
      </c>
      <c r="AI36" s="116">
        <v>0</v>
      </c>
      <c r="AJ36" s="116">
        <v>0.8</v>
      </c>
      <c r="AK36" s="116">
        <v>0</v>
      </c>
      <c r="AL36" s="116">
        <v>0</v>
      </c>
      <c r="AM36" s="116">
        <v>0</v>
      </c>
      <c r="AN36" s="116">
        <v>0</v>
      </c>
    </row>
    <row r="37" spans="1:40" x14ac:dyDescent="0.15">
      <c r="A37" s="196" t="s">
        <v>227</v>
      </c>
      <c r="B37" s="116">
        <v>0</v>
      </c>
      <c r="C37" s="116">
        <v>0</v>
      </c>
      <c r="D37" s="116">
        <v>0</v>
      </c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0.8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0.8</v>
      </c>
      <c r="V37" s="116">
        <v>0</v>
      </c>
      <c r="W37" s="116">
        <v>0</v>
      </c>
      <c r="X37" s="116">
        <v>0</v>
      </c>
      <c r="Y37" s="116">
        <v>0</v>
      </c>
      <c r="Z37" s="116">
        <v>0</v>
      </c>
      <c r="AA37" s="116">
        <v>0.8</v>
      </c>
      <c r="AB37" s="116">
        <v>0.8</v>
      </c>
      <c r="AC37" s="116">
        <v>0.8</v>
      </c>
      <c r="AD37" s="116">
        <v>0</v>
      </c>
      <c r="AE37" s="116">
        <v>0.8</v>
      </c>
      <c r="AF37" s="116">
        <v>0.8</v>
      </c>
      <c r="AG37" s="116">
        <v>0.8</v>
      </c>
      <c r="AH37" s="116">
        <v>0.8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</row>
    <row r="38" spans="1:40" x14ac:dyDescent="0.15">
      <c r="A38" s="196" t="s">
        <v>228</v>
      </c>
      <c r="B38" s="116">
        <v>0.8</v>
      </c>
      <c r="C38" s="116">
        <v>0.8</v>
      </c>
      <c r="D38" s="116">
        <v>0</v>
      </c>
      <c r="E38" s="116">
        <v>0.8</v>
      </c>
      <c r="F38" s="116">
        <v>0.8</v>
      </c>
      <c r="G38" s="116">
        <v>0.8</v>
      </c>
      <c r="H38" s="116">
        <v>0.8</v>
      </c>
      <c r="I38" s="116">
        <v>0.8</v>
      </c>
      <c r="J38" s="116">
        <v>0</v>
      </c>
      <c r="K38" s="116">
        <v>0.8</v>
      </c>
      <c r="L38" s="116">
        <v>0</v>
      </c>
      <c r="M38" s="116">
        <v>0</v>
      </c>
      <c r="N38" s="116">
        <v>0.8</v>
      </c>
      <c r="O38" s="116">
        <v>0.8</v>
      </c>
      <c r="P38" s="116">
        <v>0.8</v>
      </c>
      <c r="Q38" s="116">
        <v>0</v>
      </c>
      <c r="R38" s="116">
        <v>0.8</v>
      </c>
      <c r="S38" s="116">
        <v>0.8</v>
      </c>
      <c r="T38" s="116">
        <v>0.8</v>
      </c>
      <c r="U38" s="116">
        <v>0</v>
      </c>
      <c r="V38" s="116">
        <v>0</v>
      </c>
      <c r="W38" s="116">
        <v>0.8</v>
      </c>
      <c r="X38" s="116">
        <v>0.8</v>
      </c>
      <c r="Y38" s="116">
        <v>0.8</v>
      </c>
      <c r="Z38" s="116">
        <v>0.8</v>
      </c>
      <c r="AA38" s="116">
        <v>0</v>
      </c>
      <c r="AB38" s="116">
        <v>0.8</v>
      </c>
      <c r="AC38" s="116">
        <v>0</v>
      </c>
      <c r="AD38" s="116">
        <v>0</v>
      </c>
      <c r="AE38" s="116">
        <v>0</v>
      </c>
      <c r="AF38" s="116">
        <v>0</v>
      </c>
      <c r="AG38" s="116">
        <v>0</v>
      </c>
      <c r="AH38" s="116">
        <v>0</v>
      </c>
      <c r="AI38" s="116">
        <v>0</v>
      </c>
      <c r="AJ38" s="116">
        <v>0.8</v>
      </c>
      <c r="AK38" s="116">
        <v>0</v>
      </c>
      <c r="AL38" s="116">
        <v>0</v>
      </c>
      <c r="AM38" s="116">
        <v>0</v>
      </c>
      <c r="AN38" s="116">
        <v>0</v>
      </c>
    </row>
    <row r="39" spans="1:40" x14ac:dyDescent="0.15">
      <c r="A39" s="196" t="s">
        <v>229</v>
      </c>
      <c r="B39" s="116">
        <v>0</v>
      </c>
      <c r="C39" s="116">
        <v>0.8</v>
      </c>
      <c r="D39" s="116">
        <v>0</v>
      </c>
      <c r="E39" s="116">
        <v>0</v>
      </c>
      <c r="F39" s="116">
        <v>0</v>
      </c>
      <c r="G39" s="116">
        <v>0</v>
      </c>
      <c r="H39" s="116">
        <v>0</v>
      </c>
      <c r="I39" s="116">
        <v>0.8</v>
      </c>
      <c r="J39" s="116">
        <v>0</v>
      </c>
      <c r="K39" s="116">
        <v>0</v>
      </c>
      <c r="L39" s="116">
        <v>0.8</v>
      </c>
      <c r="M39" s="116">
        <v>0.8</v>
      </c>
      <c r="N39" s="116">
        <v>0</v>
      </c>
      <c r="O39" s="116">
        <v>0.8</v>
      </c>
      <c r="P39" s="116">
        <v>0.8</v>
      </c>
      <c r="Q39" s="116">
        <v>0.8</v>
      </c>
      <c r="R39" s="116">
        <v>0</v>
      </c>
      <c r="S39" s="116">
        <v>0.8</v>
      </c>
      <c r="T39" s="116">
        <v>0.8</v>
      </c>
      <c r="U39" s="116">
        <v>0</v>
      </c>
      <c r="V39" s="116">
        <v>0.8</v>
      </c>
      <c r="W39" s="116">
        <v>0.8</v>
      </c>
      <c r="X39" s="116">
        <v>0.8</v>
      </c>
      <c r="Y39" s="116">
        <v>0.8</v>
      </c>
      <c r="Z39" s="116">
        <v>0.8</v>
      </c>
      <c r="AA39" s="116">
        <v>0.8</v>
      </c>
      <c r="AB39" s="116">
        <v>0.8</v>
      </c>
      <c r="AC39" s="116">
        <v>0.8</v>
      </c>
      <c r="AD39" s="116">
        <v>0.8</v>
      </c>
      <c r="AE39" s="116">
        <v>0.8</v>
      </c>
      <c r="AF39" s="116">
        <v>0.8</v>
      </c>
      <c r="AG39" s="116">
        <v>0.8</v>
      </c>
      <c r="AH39" s="116">
        <v>0</v>
      </c>
      <c r="AI39" s="116">
        <v>0.8</v>
      </c>
      <c r="AJ39" s="116">
        <v>0.8</v>
      </c>
      <c r="AK39" s="116">
        <v>0</v>
      </c>
      <c r="AL39" s="116">
        <v>0</v>
      </c>
      <c r="AM39" s="116">
        <v>0</v>
      </c>
      <c r="AN39" s="116">
        <v>0</v>
      </c>
    </row>
    <row r="40" spans="1:40" x14ac:dyDescent="0.15">
      <c r="A40" s="196" t="s">
        <v>230</v>
      </c>
      <c r="B40" s="116">
        <v>0</v>
      </c>
      <c r="C40" s="116">
        <v>0</v>
      </c>
      <c r="D40" s="116">
        <v>0</v>
      </c>
      <c r="E40" s="116">
        <v>0</v>
      </c>
      <c r="F40" s="116">
        <v>0</v>
      </c>
      <c r="G40" s="116">
        <v>0</v>
      </c>
      <c r="H40" s="116">
        <v>0</v>
      </c>
      <c r="I40" s="116">
        <v>0</v>
      </c>
      <c r="J40" s="116">
        <v>0</v>
      </c>
      <c r="K40" s="116">
        <v>0</v>
      </c>
      <c r="L40" s="116">
        <v>0</v>
      </c>
      <c r="M40" s="116">
        <v>0</v>
      </c>
      <c r="N40" s="116">
        <v>0</v>
      </c>
      <c r="O40" s="116">
        <v>0</v>
      </c>
      <c r="P40" s="116">
        <v>0</v>
      </c>
      <c r="Q40" s="116">
        <v>0</v>
      </c>
      <c r="R40" s="116">
        <v>0</v>
      </c>
      <c r="S40" s="116">
        <v>0</v>
      </c>
      <c r="T40" s="116">
        <v>0</v>
      </c>
      <c r="U40" s="116">
        <v>0</v>
      </c>
      <c r="V40" s="116">
        <v>0</v>
      </c>
      <c r="W40" s="116">
        <v>0</v>
      </c>
      <c r="X40" s="116">
        <v>0</v>
      </c>
      <c r="Y40" s="116">
        <v>0</v>
      </c>
      <c r="Z40" s="116">
        <v>0</v>
      </c>
      <c r="AA40" s="116">
        <v>0</v>
      </c>
      <c r="AB40" s="116">
        <v>0</v>
      </c>
      <c r="AC40" s="116">
        <v>0</v>
      </c>
      <c r="AD40" s="116">
        <v>0</v>
      </c>
      <c r="AE40" s="116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116">
        <v>0</v>
      </c>
    </row>
    <row r="41" spans="1:40" x14ac:dyDescent="0.15">
      <c r="A41" s="196" t="s">
        <v>234</v>
      </c>
      <c r="B41" s="116">
        <v>0</v>
      </c>
      <c r="C41" s="116">
        <v>0</v>
      </c>
      <c r="D41" s="116">
        <v>0</v>
      </c>
      <c r="E41" s="116">
        <v>0</v>
      </c>
      <c r="F41" s="116">
        <v>0</v>
      </c>
      <c r="G41" s="116">
        <v>0</v>
      </c>
      <c r="H41" s="116">
        <v>0</v>
      </c>
      <c r="I41" s="116">
        <v>0</v>
      </c>
      <c r="J41" s="116">
        <v>0</v>
      </c>
      <c r="K41" s="116">
        <v>0</v>
      </c>
      <c r="L41" s="116">
        <v>0</v>
      </c>
      <c r="M41" s="116">
        <v>0</v>
      </c>
      <c r="N41" s="116">
        <v>0</v>
      </c>
      <c r="O41" s="116">
        <v>0</v>
      </c>
      <c r="P41" s="116">
        <v>0</v>
      </c>
      <c r="Q41" s="116">
        <v>0</v>
      </c>
      <c r="R41" s="116">
        <v>0</v>
      </c>
      <c r="S41" s="116">
        <v>0</v>
      </c>
      <c r="T41" s="116">
        <v>0</v>
      </c>
      <c r="U41" s="116">
        <v>0</v>
      </c>
      <c r="V41" s="116">
        <v>0</v>
      </c>
      <c r="W41" s="116">
        <v>0</v>
      </c>
      <c r="X41" s="116">
        <v>0</v>
      </c>
      <c r="Y41" s="116">
        <v>0</v>
      </c>
      <c r="Z41" s="116">
        <v>0</v>
      </c>
      <c r="AA41" s="116">
        <v>0</v>
      </c>
      <c r="AB41" s="116">
        <v>0</v>
      </c>
      <c r="AC41" s="116">
        <v>0</v>
      </c>
      <c r="AD41" s="116">
        <v>0</v>
      </c>
      <c r="AE41" s="116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11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116" bestFit="1" customWidth="1"/>
    <col min="2" max="40" width="2.33203125" style="116" customWidth="1"/>
    <col min="41" max="16384" width="10.83203125" style="116"/>
  </cols>
  <sheetData>
    <row r="1" spans="1:40" x14ac:dyDescent="0.15">
      <c r="A1" s="63" t="s">
        <v>139</v>
      </c>
      <c r="B1" s="199" t="s">
        <v>192</v>
      </c>
      <c r="C1" s="199" t="s">
        <v>193</v>
      </c>
      <c r="D1" s="199" t="s">
        <v>194</v>
      </c>
      <c r="E1" s="199" t="s">
        <v>195</v>
      </c>
      <c r="F1" s="199" t="s">
        <v>196</v>
      </c>
      <c r="G1" s="199" t="s">
        <v>197</v>
      </c>
      <c r="H1" s="199" t="s">
        <v>198</v>
      </c>
      <c r="I1" s="199" t="s">
        <v>199</v>
      </c>
      <c r="J1" s="199" t="s">
        <v>200</v>
      </c>
      <c r="K1" s="199" t="s">
        <v>201</v>
      </c>
      <c r="L1" s="199" t="s">
        <v>202</v>
      </c>
      <c r="M1" s="199" t="s">
        <v>203</v>
      </c>
      <c r="N1" s="199" t="s">
        <v>204</v>
      </c>
      <c r="O1" s="199" t="s">
        <v>205</v>
      </c>
      <c r="P1" s="199" t="s">
        <v>206</v>
      </c>
      <c r="Q1" s="199" t="s">
        <v>207</v>
      </c>
      <c r="R1" s="199" t="s">
        <v>208</v>
      </c>
      <c r="S1" s="199" t="s">
        <v>209</v>
      </c>
      <c r="T1" s="199" t="s">
        <v>210</v>
      </c>
      <c r="U1" s="199" t="s">
        <v>211</v>
      </c>
      <c r="V1" s="199" t="s">
        <v>212</v>
      </c>
      <c r="W1" s="199" t="s">
        <v>213</v>
      </c>
      <c r="X1" s="199" t="s">
        <v>214</v>
      </c>
      <c r="Y1" s="199" t="s">
        <v>215</v>
      </c>
      <c r="Z1" s="199" t="s">
        <v>216</v>
      </c>
      <c r="AA1" s="199" t="s">
        <v>217</v>
      </c>
      <c r="AB1" s="199" t="s">
        <v>218</v>
      </c>
      <c r="AC1" s="199" t="s">
        <v>219</v>
      </c>
      <c r="AD1" s="199" t="s">
        <v>220</v>
      </c>
      <c r="AE1" s="199" t="s">
        <v>221</v>
      </c>
      <c r="AF1" s="199" t="s">
        <v>222</v>
      </c>
      <c r="AG1" s="199" t="s">
        <v>223</v>
      </c>
      <c r="AH1" s="199" t="s">
        <v>224</v>
      </c>
      <c r="AI1" s="199" t="s">
        <v>225</v>
      </c>
      <c r="AJ1" s="199" t="s">
        <v>226</v>
      </c>
      <c r="AK1" s="199" t="s">
        <v>227</v>
      </c>
      <c r="AL1" s="199" t="s">
        <v>228</v>
      </c>
      <c r="AM1" s="199" t="s">
        <v>229</v>
      </c>
      <c r="AN1" s="199" t="s">
        <v>230</v>
      </c>
    </row>
    <row r="2" spans="1:40" customFormat="1" x14ac:dyDescent="0.15">
      <c r="A2" s="198" t="s">
        <v>192</v>
      </c>
      <c r="B2" s="116">
        <v>0</v>
      </c>
      <c r="C2" s="116">
        <v>0</v>
      </c>
      <c r="D2" s="116">
        <v>0</v>
      </c>
      <c r="E2" s="116">
        <v>1</v>
      </c>
      <c r="F2" s="116">
        <v>0</v>
      </c>
      <c r="G2" s="116">
        <v>0</v>
      </c>
      <c r="H2" s="116">
        <v>0</v>
      </c>
      <c r="I2" s="116">
        <v>0</v>
      </c>
      <c r="J2" s="116">
        <v>0</v>
      </c>
      <c r="K2" s="116">
        <v>0</v>
      </c>
      <c r="L2" s="116">
        <v>0</v>
      </c>
      <c r="M2" s="116">
        <v>0</v>
      </c>
      <c r="N2" s="116">
        <v>0</v>
      </c>
      <c r="O2" s="116">
        <v>0</v>
      </c>
      <c r="P2" s="116">
        <v>0</v>
      </c>
      <c r="Q2" s="116">
        <v>0</v>
      </c>
      <c r="R2" s="116">
        <v>0</v>
      </c>
      <c r="S2" s="116">
        <v>0</v>
      </c>
      <c r="T2" s="116">
        <v>0</v>
      </c>
      <c r="U2" s="116">
        <v>0</v>
      </c>
      <c r="V2" s="116">
        <v>0</v>
      </c>
      <c r="W2" s="116">
        <v>0</v>
      </c>
      <c r="X2" s="116">
        <v>0</v>
      </c>
      <c r="Y2" s="116">
        <v>0</v>
      </c>
      <c r="Z2" s="116">
        <v>0</v>
      </c>
      <c r="AA2" s="116">
        <v>0</v>
      </c>
      <c r="AB2" s="116">
        <v>0</v>
      </c>
      <c r="AC2" s="116">
        <v>0</v>
      </c>
      <c r="AD2" s="116">
        <v>0</v>
      </c>
      <c r="AE2" s="116">
        <v>0</v>
      </c>
      <c r="AF2" s="116">
        <v>0</v>
      </c>
      <c r="AG2" s="116">
        <v>0</v>
      </c>
      <c r="AH2" s="116">
        <v>0</v>
      </c>
      <c r="AI2" s="116">
        <v>0</v>
      </c>
      <c r="AJ2" s="116">
        <v>0</v>
      </c>
      <c r="AK2" s="116">
        <v>0</v>
      </c>
      <c r="AL2" s="116">
        <v>0</v>
      </c>
      <c r="AM2" s="116">
        <v>0</v>
      </c>
      <c r="AN2" s="116">
        <v>0</v>
      </c>
    </row>
    <row r="3" spans="1:40" customFormat="1" x14ac:dyDescent="0.15">
      <c r="A3" s="198" t="s">
        <v>193</v>
      </c>
      <c r="B3" s="116">
        <v>1</v>
      </c>
      <c r="C3" s="116">
        <v>1</v>
      </c>
      <c r="D3" s="116">
        <v>1</v>
      </c>
      <c r="E3" s="116">
        <v>1</v>
      </c>
      <c r="F3" s="116">
        <v>0</v>
      </c>
      <c r="G3" s="116">
        <v>0</v>
      </c>
      <c r="H3" s="116">
        <v>0</v>
      </c>
      <c r="I3" s="116">
        <v>0</v>
      </c>
      <c r="J3" s="116">
        <v>1</v>
      </c>
      <c r="K3" s="116">
        <v>0</v>
      </c>
      <c r="L3" s="116">
        <v>0</v>
      </c>
      <c r="M3" s="116">
        <v>0</v>
      </c>
      <c r="N3" s="116">
        <v>0</v>
      </c>
      <c r="O3" s="116">
        <v>0</v>
      </c>
      <c r="P3" s="116">
        <v>0</v>
      </c>
      <c r="Q3" s="116">
        <v>0</v>
      </c>
      <c r="R3" s="116">
        <v>0</v>
      </c>
      <c r="S3" s="116">
        <v>0</v>
      </c>
      <c r="T3" s="116">
        <v>0</v>
      </c>
      <c r="U3" s="116">
        <v>0</v>
      </c>
      <c r="V3" s="116">
        <v>0</v>
      </c>
      <c r="W3" s="116">
        <v>0</v>
      </c>
      <c r="X3" s="116">
        <v>0</v>
      </c>
      <c r="Y3" s="116">
        <v>0</v>
      </c>
      <c r="Z3" s="116">
        <v>0</v>
      </c>
      <c r="AA3" s="116">
        <v>0</v>
      </c>
      <c r="AB3" s="116">
        <v>0</v>
      </c>
      <c r="AC3" s="116">
        <v>0</v>
      </c>
      <c r="AD3" s="116">
        <v>0</v>
      </c>
      <c r="AE3" s="116">
        <v>0</v>
      </c>
      <c r="AF3" s="116">
        <v>0</v>
      </c>
      <c r="AG3" s="116">
        <v>0</v>
      </c>
      <c r="AH3" s="116">
        <v>0</v>
      </c>
      <c r="AI3" s="116">
        <v>0</v>
      </c>
      <c r="AJ3" s="116">
        <v>0</v>
      </c>
      <c r="AK3" s="116">
        <v>0</v>
      </c>
      <c r="AL3" s="116">
        <v>0</v>
      </c>
      <c r="AM3" s="116">
        <v>0</v>
      </c>
      <c r="AN3" s="116">
        <v>0</v>
      </c>
    </row>
    <row r="4" spans="1:40" customFormat="1" x14ac:dyDescent="0.15">
      <c r="A4" s="198" t="s">
        <v>194</v>
      </c>
      <c r="B4" s="116">
        <v>1</v>
      </c>
      <c r="C4" s="116">
        <v>1</v>
      </c>
      <c r="D4" s="116">
        <v>1</v>
      </c>
      <c r="E4" s="116">
        <v>1</v>
      </c>
      <c r="F4" s="116">
        <v>0</v>
      </c>
      <c r="G4" s="116">
        <v>0</v>
      </c>
      <c r="H4" s="116">
        <v>0</v>
      </c>
      <c r="I4" s="116">
        <v>1</v>
      </c>
      <c r="J4" s="116">
        <v>1</v>
      </c>
      <c r="K4" s="116">
        <v>1</v>
      </c>
      <c r="L4" s="116">
        <v>0</v>
      </c>
      <c r="M4" s="116">
        <v>0</v>
      </c>
      <c r="N4" s="116">
        <v>0</v>
      </c>
      <c r="O4" s="116">
        <v>0</v>
      </c>
      <c r="P4" s="116">
        <v>0</v>
      </c>
      <c r="Q4" s="116">
        <v>0</v>
      </c>
      <c r="R4" s="116">
        <v>0</v>
      </c>
      <c r="S4" s="116">
        <v>0</v>
      </c>
      <c r="T4" s="116">
        <v>0</v>
      </c>
      <c r="U4" s="116">
        <v>0</v>
      </c>
      <c r="V4" s="116">
        <v>0</v>
      </c>
      <c r="W4" s="116">
        <v>0</v>
      </c>
      <c r="X4" s="116">
        <v>0</v>
      </c>
      <c r="Y4" s="116">
        <v>0</v>
      </c>
      <c r="Z4" s="116">
        <v>0</v>
      </c>
      <c r="AA4" s="116">
        <v>0</v>
      </c>
      <c r="AB4" s="116">
        <v>0</v>
      </c>
      <c r="AC4" s="116">
        <v>0</v>
      </c>
      <c r="AD4" s="116">
        <v>0</v>
      </c>
      <c r="AE4" s="116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116">
        <v>0</v>
      </c>
    </row>
    <row r="5" spans="1:40" customFormat="1" x14ac:dyDescent="0.15">
      <c r="A5" s="198" t="s">
        <v>195</v>
      </c>
      <c r="B5" s="116">
        <v>0</v>
      </c>
      <c r="C5" s="116">
        <v>0</v>
      </c>
      <c r="D5" s="116">
        <v>0</v>
      </c>
      <c r="E5" s="116">
        <v>1</v>
      </c>
      <c r="F5" s="116">
        <v>0</v>
      </c>
      <c r="G5" s="116">
        <v>0</v>
      </c>
      <c r="H5" s="116">
        <v>0</v>
      </c>
      <c r="I5" s="116">
        <v>0</v>
      </c>
      <c r="J5" s="116">
        <v>0</v>
      </c>
      <c r="K5" s="116">
        <v>0</v>
      </c>
      <c r="L5" s="116">
        <v>0</v>
      </c>
      <c r="M5" s="116">
        <v>0</v>
      </c>
      <c r="N5" s="116">
        <v>0</v>
      </c>
      <c r="O5" s="116">
        <v>0</v>
      </c>
      <c r="P5" s="116">
        <v>0</v>
      </c>
      <c r="Q5" s="116">
        <v>0</v>
      </c>
      <c r="R5" s="116">
        <v>0</v>
      </c>
      <c r="S5" s="116">
        <v>0</v>
      </c>
      <c r="T5" s="116">
        <v>0</v>
      </c>
      <c r="U5" s="116">
        <v>0</v>
      </c>
      <c r="V5" s="116">
        <v>0</v>
      </c>
      <c r="W5" s="116">
        <v>0</v>
      </c>
      <c r="X5" s="116">
        <v>0</v>
      </c>
      <c r="Y5" s="116">
        <v>0</v>
      </c>
      <c r="Z5" s="116">
        <v>0</v>
      </c>
      <c r="AA5" s="116">
        <v>0</v>
      </c>
      <c r="AB5" s="116">
        <v>0</v>
      </c>
      <c r="AC5" s="116">
        <v>0</v>
      </c>
      <c r="AD5" s="116">
        <v>0</v>
      </c>
      <c r="AE5" s="116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116">
        <v>0</v>
      </c>
    </row>
    <row r="6" spans="1:40" customFormat="1" x14ac:dyDescent="0.15">
      <c r="A6" s="198" t="s">
        <v>196</v>
      </c>
      <c r="B6" s="116">
        <v>1</v>
      </c>
      <c r="C6" s="116">
        <v>1</v>
      </c>
      <c r="D6" s="116">
        <v>0</v>
      </c>
      <c r="E6" s="116">
        <v>0</v>
      </c>
      <c r="F6" s="116">
        <v>1</v>
      </c>
      <c r="G6" s="116">
        <v>0</v>
      </c>
      <c r="H6" s="116">
        <v>0</v>
      </c>
      <c r="I6" s="116">
        <v>1</v>
      </c>
      <c r="J6" s="116">
        <v>0</v>
      </c>
      <c r="K6" s="116">
        <v>0</v>
      </c>
      <c r="L6" s="116">
        <v>0</v>
      </c>
      <c r="M6" s="116">
        <v>0</v>
      </c>
      <c r="N6" s="116">
        <v>0</v>
      </c>
      <c r="O6" s="116">
        <v>0</v>
      </c>
      <c r="P6" s="116">
        <v>0</v>
      </c>
      <c r="Q6" s="116">
        <v>0</v>
      </c>
      <c r="R6" s="116">
        <v>0</v>
      </c>
      <c r="S6" s="116">
        <v>0</v>
      </c>
      <c r="T6" s="116">
        <v>0</v>
      </c>
      <c r="U6" s="116">
        <v>0</v>
      </c>
      <c r="V6" s="116">
        <v>0</v>
      </c>
      <c r="W6" s="116">
        <v>0</v>
      </c>
      <c r="X6" s="116">
        <v>0</v>
      </c>
      <c r="Y6" s="116">
        <v>0</v>
      </c>
      <c r="Z6" s="116">
        <v>0</v>
      </c>
      <c r="AA6" s="116">
        <v>0</v>
      </c>
      <c r="AB6" s="116">
        <v>0</v>
      </c>
      <c r="AC6" s="116">
        <v>0</v>
      </c>
      <c r="AD6" s="116">
        <v>0</v>
      </c>
      <c r="AE6" s="116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116">
        <v>0</v>
      </c>
    </row>
    <row r="7" spans="1:40" customFormat="1" x14ac:dyDescent="0.15">
      <c r="A7" s="198" t="s">
        <v>197</v>
      </c>
      <c r="B7" s="116">
        <v>1</v>
      </c>
      <c r="C7" s="116">
        <v>0</v>
      </c>
      <c r="D7" s="116">
        <v>0</v>
      </c>
      <c r="E7" s="116">
        <v>1</v>
      </c>
      <c r="F7" s="116">
        <v>0</v>
      </c>
      <c r="G7" s="116">
        <v>0</v>
      </c>
      <c r="H7" s="116">
        <v>0</v>
      </c>
      <c r="I7" s="116">
        <v>0</v>
      </c>
      <c r="J7" s="116">
        <v>0</v>
      </c>
      <c r="K7" s="116">
        <v>0</v>
      </c>
      <c r="L7" s="116">
        <v>1</v>
      </c>
      <c r="M7" s="116">
        <v>1</v>
      </c>
      <c r="N7" s="116">
        <v>0</v>
      </c>
      <c r="O7" s="116">
        <v>0</v>
      </c>
      <c r="P7" s="116">
        <v>0</v>
      </c>
      <c r="Q7" s="116">
        <v>0</v>
      </c>
      <c r="R7" s="116">
        <v>0</v>
      </c>
      <c r="S7" s="116">
        <v>0</v>
      </c>
      <c r="T7" s="116">
        <v>0</v>
      </c>
      <c r="U7" s="116">
        <v>0</v>
      </c>
      <c r="V7" s="116">
        <v>0</v>
      </c>
      <c r="W7" s="116">
        <v>0</v>
      </c>
      <c r="X7" s="116">
        <v>1</v>
      </c>
      <c r="Y7" s="116">
        <v>0</v>
      </c>
      <c r="Z7" s="116">
        <v>0</v>
      </c>
      <c r="AA7" s="116">
        <v>1</v>
      </c>
      <c r="AB7" s="116">
        <v>0</v>
      </c>
      <c r="AC7" s="116">
        <v>0</v>
      </c>
      <c r="AD7" s="116">
        <v>0</v>
      </c>
      <c r="AE7" s="116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0</v>
      </c>
      <c r="AM7" s="116">
        <v>0</v>
      </c>
      <c r="AN7" s="116">
        <v>0</v>
      </c>
    </row>
    <row r="8" spans="1:40" customFormat="1" x14ac:dyDescent="0.15">
      <c r="A8" s="198" t="s">
        <v>198</v>
      </c>
      <c r="B8" s="116">
        <v>1</v>
      </c>
      <c r="C8" s="116">
        <v>0</v>
      </c>
      <c r="D8" s="116">
        <v>0</v>
      </c>
      <c r="E8" s="116">
        <v>1</v>
      </c>
      <c r="F8" s="116">
        <v>0</v>
      </c>
      <c r="G8" s="116">
        <v>1</v>
      </c>
      <c r="H8" s="116">
        <v>1</v>
      </c>
      <c r="I8" s="116">
        <v>0</v>
      </c>
      <c r="J8" s="116">
        <v>1</v>
      </c>
      <c r="K8" s="116">
        <v>0</v>
      </c>
      <c r="L8" s="116">
        <v>0</v>
      </c>
      <c r="M8" s="116">
        <v>0</v>
      </c>
      <c r="N8" s="116">
        <v>0</v>
      </c>
      <c r="O8" s="116">
        <v>1</v>
      </c>
      <c r="P8" s="116">
        <v>0</v>
      </c>
      <c r="Q8" s="116">
        <v>1</v>
      </c>
      <c r="R8" s="116">
        <v>0</v>
      </c>
      <c r="S8" s="116">
        <v>0</v>
      </c>
      <c r="T8" s="116">
        <v>0</v>
      </c>
      <c r="U8" s="116">
        <v>0</v>
      </c>
      <c r="V8" s="116">
        <v>0</v>
      </c>
      <c r="W8" s="116">
        <v>0</v>
      </c>
      <c r="X8" s="116">
        <v>0</v>
      </c>
      <c r="Y8" s="116">
        <v>0</v>
      </c>
      <c r="Z8" s="116">
        <v>0</v>
      </c>
      <c r="AA8" s="116">
        <v>0</v>
      </c>
      <c r="AB8" s="116">
        <v>0</v>
      </c>
      <c r="AC8" s="116">
        <v>0</v>
      </c>
      <c r="AD8" s="116">
        <v>0</v>
      </c>
      <c r="AE8" s="116">
        <v>0</v>
      </c>
      <c r="AF8" s="116">
        <v>0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116">
        <v>0</v>
      </c>
    </row>
    <row r="9" spans="1:40" customFormat="1" x14ac:dyDescent="0.15">
      <c r="A9" s="198" t="s">
        <v>199</v>
      </c>
      <c r="B9" s="116">
        <v>1</v>
      </c>
      <c r="C9" s="116">
        <v>1</v>
      </c>
      <c r="D9" s="116">
        <v>1</v>
      </c>
      <c r="E9" s="116">
        <v>1</v>
      </c>
      <c r="F9" s="116">
        <v>0</v>
      </c>
      <c r="G9" s="116">
        <v>0</v>
      </c>
      <c r="H9" s="116">
        <v>1</v>
      </c>
      <c r="I9" s="116">
        <v>1</v>
      </c>
      <c r="J9" s="116">
        <v>1</v>
      </c>
      <c r="K9" s="116">
        <v>1</v>
      </c>
      <c r="L9" s="116">
        <v>1</v>
      </c>
      <c r="M9" s="116">
        <v>0</v>
      </c>
      <c r="N9" s="116">
        <v>0</v>
      </c>
      <c r="O9" s="116">
        <v>1</v>
      </c>
      <c r="P9" s="116">
        <v>0</v>
      </c>
      <c r="Q9" s="116">
        <v>0</v>
      </c>
      <c r="R9" s="116">
        <v>0</v>
      </c>
      <c r="S9" s="116">
        <v>0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</row>
    <row r="10" spans="1:40" customFormat="1" x14ac:dyDescent="0.15">
      <c r="A10" s="198" t="s">
        <v>200</v>
      </c>
      <c r="B10" s="116">
        <v>1</v>
      </c>
      <c r="C10" s="116">
        <v>1</v>
      </c>
      <c r="D10" s="116">
        <v>1</v>
      </c>
      <c r="E10" s="116">
        <v>1</v>
      </c>
      <c r="F10" s="116">
        <v>0</v>
      </c>
      <c r="G10" s="116">
        <v>0</v>
      </c>
      <c r="H10" s="116">
        <v>0</v>
      </c>
      <c r="I10" s="116">
        <v>0</v>
      </c>
      <c r="J10" s="116">
        <v>1</v>
      </c>
      <c r="K10" s="116">
        <v>1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</row>
    <row r="11" spans="1:40" customFormat="1" x14ac:dyDescent="0.15">
      <c r="A11" s="198" t="s">
        <v>201</v>
      </c>
      <c r="B11" s="116">
        <v>0</v>
      </c>
      <c r="C11" s="116">
        <v>0</v>
      </c>
      <c r="D11" s="116">
        <v>0</v>
      </c>
      <c r="E11" s="116">
        <v>1</v>
      </c>
      <c r="F11" s="116">
        <v>0</v>
      </c>
      <c r="G11" s="116">
        <v>0</v>
      </c>
      <c r="H11" s="116">
        <v>0</v>
      </c>
      <c r="I11" s="116">
        <v>0</v>
      </c>
      <c r="J11" s="116">
        <v>0</v>
      </c>
      <c r="K11" s="116">
        <v>0</v>
      </c>
      <c r="L11" s="116">
        <v>0</v>
      </c>
      <c r="M11" s="116">
        <v>0</v>
      </c>
      <c r="N11" s="116">
        <v>0</v>
      </c>
      <c r="O11" s="116">
        <v>0</v>
      </c>
      <c r="P11" s="116">
        <v>0</v>
      </c>
      <c r="Q11" s="116">
        <v>0</v>
      </c>
      <c r="R11" s="116">
        <v>0</v>
      </c>
      <c r="S11" s="116">
        <v>0</v>
      </c>
      <c r="T11" s="116">
        <v>0</v>
      </c>
      <c r="U11" s="116">
        <v>0</v>
      </c>
      <c r="V11" s="116">
        <v>0</v>
      </c>
      <c r="W11" s="116">
        <v>0</v>
      </c>
      <c r="X11" s="116">
        <v>0</v>
      </c>
      <c r="Y11" s="116">
        <v>0</v>
      </c>
      <c r="Z11" s="116">
        <v>0</v>
      </c>
      <c r="AA11" s="116">
        <v>0</v>
      </c>
      <c r="AB11" s="116">
        <v>0</v>
      </c>
      <c r="AC11" s="116">
        <v>0</v>
      </c>
      <c r="AD11" s="116">
        <v>0</v>
      </c>
      <c r="AE11" s="116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116">
        <v>0</v>
      </c>
    </row>
    <row r="12" spans="1:40" customFormat="1" x14ac:dyDescent="0.15">
      <c r="A12" s="198" t="s">
        <v>202</v>
      </c>
      <c r="B12" s="116">
        <v>0</v>
      </c>
      <c r="C12" s="116">
        <v>0</v>
      </c>
      <c r="D12" s="116">
        <v>0</v>
      </c>
      <c r="E12" s="116">
        <v>1</v>
      </c>
      <c r="F12" s="116">
        <v>0</v>
      </c>
      <c r="G12" s="116">
        <v>1</v>
      </c>
      <c r="H12" s="116">
        <v>0</v>
      </c>
      <c r="I12" s="116">
        <v>0</v>
      </c>
      <c r="J12" s="116">
        <v>0</v>
      </c>
      <c r="K12" s="116">
        <v>0</v>
      </c>
      <c r="L12" s="116">
        <v>0</v>
      </c>
      <c r="M12" s="116">
        <v>0</v>
      </c>
      <c r="N12" s="116">
        <v>0</v>
      </c>
      <c r="O12" s="116">
        <v>0</v>
      </c>
      <c r="P12" s="116">
        <v>0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</row>
    <row r="13" spans="1:40" customFormat="1" x14ac:dyDescent="0.15">
      <c r="A13" s="198" t="s">
        <v>203</v>
      </c>
      <c r="B13" s="116">
        <v>0</v>
      </c>
      <c r="C13" s="116">
        <v>1</v>
      </c>
      <c r="D13" s="116">
        <v>0</v>
      </c>
      <c r="E13" s="116">
        <v>0</v>
      </c>
      <c r="F13" s="116">
        <v>0</v>
      </c>
      <c r="G13" s="116">
        <v>1</v>
      </c>
      <c r="H13" s="116">
        <v>0</v>
      </c>
      <c r="I13" s="116">
        <v>0</v>
      </c>
      <c r="J13" s="116">
        <v>0</v>
      </c>
      <c r="K13" s="116">
        <v>0</v>
      </c>
      <c r="L13" s="116">
        <v>0</v>
      </c>
      <c r="M13" s="116">
        <v>0</v>
      </c>
      <c r="N13" s="116">
        <v>0</v>
      </c>
      <c r="O13" s="116">
        <v>1</v>
      </c>
      <c r="P13" s="116">
        <v>0</v>
      </c>
      <c r="Q13" s="116">
        <v>0</v>
      </c>
      <c r="R13" s="116">
        <v>0</v>
      </c>
      <c r="S13" s="116">
        <v>1</v>
      </c>
      <c r="T13" s="116">
        <v>0</v>
      </c>
      <c r="U13" s="116">
        <v>0</v>
      </c>
      <c r="V13" s="116">
        <v>0</v>
      </c>
      <c r="W13" s="116">
        <v>0</v>
      </c>
      <c r="X13" s="116">
        <v>0</v>
      </c>
      <c r="Y13" s="116">
        <v>0</v>
      </c>
      <c r="Z13" s="116">
        <v>0</v>
      </c>
      <c r="AA13" s="116">
        <v>1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</row>
    <row r="14" spans="1:40" customFormat="1" x14ac:dyDescent="0.15">
      <c r="A14" s="198" t="s">
        <v>204</v>
      </c>
      <c r="B14" s="116">
        <v>0</v>
      </c>
      <c r="C14" s="116">
        <v>0</v>
      </c>
      <c r="D14" s="116">
        <v>0</v>
      </c>
      <c r="E14" s="116">
        <v>1</v>
      </c>
      <c r="F14" s="116">
        <v>0</v>
      </c>
      <c r="G14" s="116">
        <v>0</v>
      </c>
      <c r="H14" s="116">
        <v>0</v>
      </c>
      <c r="I14" s="116">
        <v>1</v>
      </c>
      <c r="J14" s="116">
        <v>0</v>
      </c>
      <c r="K14" s="116">
        <v>1</v>
      </c>
      <c r="L14" s="116">
        <v>0</v>
      </c>
      <c r="M14" s="116">
        <v>0</v>
      </c>
      <c r="N14" s="116">
        <v>1</v>
      </c>
      <c r="O14" s="116">
        <v>1</v>
      </c>
      <c r="P14" s="116">
        <v>0</v>
      </c>
      <c r="Q14" s="116">
        <v>0</v>
      </c>
      <c r="R14" s="116">
        <v>0</v>
      </c>
      <c r="S14" s="116">
        <v>1</v>
      </c>
      <c r="T14" s="116">
        <v>0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v>0</v>
      </c>
      <c r="AA14" s="116">
        <v>0</v>
      </c>
      <c r="AB14" s="116">
        <v>1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</row>
    <row r="15" spans="1:40" customFormat="1" x14ac:dyDescent="0.15">
      <c r="A15" s="198" t="s">
        <v>205</v>
      </c>
      <c r="B15" s="116">
        <v>0</v>
      </c>
      <c r="C15" s="116">
        <v>0</v>
      </c>
      <c r="D15" s="116">
        <v>0</v>
      </c>
      <c r="E15" s="116">
        <v>0</v>
      </c>
      <c r="F15" s="116">
        <v>0</v>
      </c>
      <c r="G15" s="116">
        <v>1</v>
      </c>
      <c r="H15" s="116">
        <v>1</v>
      </c>
      <c r="I15" s="116">
        <v>0</v>
      </c>
      <c r="J15" s="116">
        <v>0</v>
      </c>
      <c r="K15" s="116">
        <v>0</v>
      </c>
      <c r="L15" s="116">
        <v>1</v>
      </c>
      <c r="M15" s="116">
        <v>0</v>
      </c>
      <c r="N15" s="116">
        <v>0</v>
      </c>
      <c r="O15" s="116">
        <v>0</v>
      </c>
      <c r="P15" s="116">
        <v>0</v>
      </c>
      <c r="Q15" s="116">
        <v>0</v>
      </c>
      <c r="R15" s="116">
        <v>0</v>
      </c>
      <c r="S15" s="116">
        <v>0</v>
      </c>
      <c r="T15" s="116">
        <v>0</v>
      </c>
      <c r="U15" s="116">
        <v>0</v>
      </c>
      <c r="V15" s="116">
        <v>0</v>
      </c>
      <c r="W15" s="116">
        <v>0</v>
      </c>
      <c r="X15" s="116">
        <v>0</v>
      </c>
      <c r="Y15" s="116">
        <v>0</v>
      </c>
      <c r="Z15" s="116">
        <v>0</v>
      </c>
      <c r="AA15" s="116">
        <v>0</v>
      </c>
      <c r="AB15" s="116">
        <v>0</v>
      </c>
      <c r="AC15" s="116">
        <v>0</v>
      </c>
      <c r="AD15" s="116">
        <v>0</v>
      </c>
      <c r="AE15" s="116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0</v>
      </c>
      <c r="AL15" s="116">
        <v>0</v>
      </c>
      <c r="AM15" s="116">
        <v>0</v>
      </c>
      <c r="AN15" s="116">
        <v>0</v>
      </c>
    </row>
    <row r="16" spans="1:40" customFormat="1" x14ac:dyDescent="0.15">
      <c r="A16" s="198" t="s">
        <v>206</v>
      </c>
      <c r="B16" s="116">
        <v>1</v>
      </c>
      <c r="C16" s="116">
        <v>1</v>
      </c>
      <c r="D16" s="116">
        <v>1</v>
      </c>
      <c r="E16" s="116">
        <v>1</v>
      </c>
      <c r="F16" s="116">
        <v>1</v>
      </c>
      <c r="G16" s="116">
        <v>1</v>
      </c>
      <c r="H16" s="116">
        <v>1</v>
      </c>
      <c r="I16" s="116">
        <v>1</v>
      </c>
      <c r="J16" s="116">
        <v>1</v>
      </c>
      <c r="K16" s="116">
        <v>1</v>
      </c>
      <c r="L16" s="116">
        <v>1</v>
      </c>
      <c r="M16" s="116">
        <v>1</v>
      </c>
      <c r="N16" s="116">
        <v>0</v>
      </c>
      <c r="O16" s="116">
        <v>1</v>
      </c>
      <c r="P16" s="116">
        <v>0</v>
      </c>
      <c r="Q16" s="116">
        <v>0</v>
      </c>
      <c r="R16" s="116">
        <v>1</v>
      </c>
      <c r="S16" s="116">
        <v>0</v>
      </c>
      <c r="T16" s="116">
        <v>0</v>
      </c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1</v>
      </c>
      <c r="AB16" s="116">
        <v>0</v>
      </c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</row>
    <row r="17" spans="1:40" customFormat="1" x14ac:dyDescent="0.15">
      <c r="A17" s="198" t="s">
        <v>207</v>
      </c>
      <c r="B17" s="116">
        <v>1</v>
      </c>
      <c r="C17" s="116">
        <v>0</v>
      </c>
      <c r="D17" s="116">
        <v>0</v>
      </c>
      <c r="E17" s="116">
        <v>0</v>
      </c>
      <c r="F17" s="116">
        <v>0</v>
      </c>
      <c r="G17" s="116">
        <v>0</v>
      </c>
      <c r="H17" s="116">
        <v>1</v>
      </c>
      <c r="I17" s="116">
        <v>0</v>
      </c>
      <c r="J17" s="116">
        <v>0</v>
      </c>
      <c r="K17" s="116">
        <v>0</v>
      </c>
      <c r="L17" s="116">
        <v>0</v>
      </c>
      <c r="M17" s="116">
        <v>0</v>
      </c>
      <c r="N17" s="116">
        <v>0</v>
      </c>
      <c r="O17" s="116">
        <v>1</v>
      </c>
      <c r="P17" s="116">
        <v>0</v>
      </c>
      <c r="Q17" s="116">
        <v>1</v>
      </c>
      <c r="R17" s="116">
        <v>0</v>
      </c>
      <c r="S17" s="116">
        <v>0</v>
      </c>
      <c r="T17" s="116">
        <v>1</v>
      </c>
      <c r="U17" s="116">
        <v>0</v>
      </c>
      <c r="V17" s="116">
        <v>0</v>
      </c>
      <c r="W17" s="116">
        <v>0</v>
      </c>
      <c r="X17" s="116">
        <v>0</v>
      </c>
      <c r="Y17" s="116">
        <v>0</v>
      </c>
      <c r="Z17" s="116">
        <v>0</v>
      </c>
      <c r="AA17" s="116">
        <v>0</v>
      </c>
      <c r="AB17" s="116">
        <v>0</v>
      </c>
      <c r="AC17" s="116">
        <v>0</v>
      </c>
      <c r="AD17" s="116">
        <v>0</v>
      </c>
      <c r="AE17" s="116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116">
        <v>0</v>
      </c>
    </row>
    <row r="18" spans="1:40" customFormat="1" x14ac:dyDescent="0.15">
      <c r="A18" s="198" t="s">
        <v>208</v>
      </c>
      <c r="B18" s="116">
        <v>1</v>
      </c>
      <c r="C18" s="116">
        <v>1</v>
      </c>
      <c r="D18" s="116">
        <v>0</v>
      </c>
      <c r="E18" s="116">
        <v>1</v>
      </c>
      <c r="F18" s="116">
        <v>0</v>
      </c>
      <c r="G18" s="116">
        <v>1</v>
      </c>
      <c r="H18" s="116">
        <v>1</v>
      </c>
      <c r="I18" s="116">
        <v>0</v>
      </c>
      <c r="J18" s="116">
        <v>0</v>
      </c>
      <c r="K18" s="116">
        <v>0</v>
      </c>
      <c r="L18" s="116">
        <v>1</v>
      </c>
      <c r="M18" s="116">
        <v>1</v>
      </c>
      <c r="N18" s="116">
        <v>0</v>
      </c>
      <c r="O18" s="116">
        <v>1</v>
      </c>
      <c r="P18" s="116">
        <v>0</v>
      </c>
      <c r="Q18" s="116">
        <v>0</v>
      </c>
      <c r="R18" s="116">
        <v>0</v>
      </c>
      <c r="S18" s="116">
        <v>0</v>
      </c>
      <c r="T18" s="116">
        <v>1</v>
      </c>
      <c r="U18" s="116">
        <v>0</v>
      </c>
      <c r="V18" s="116">
        <v>0</v>
      </c>
      <c r="W18" s="116">
        <v>0</v>
      </c>
      <c r="X18" s="116">
        <v>1</v>
      </c>
      <c r="Y18" s="116">
        <v>0</v>
      </c>
      <c r="Z18" s="116">
        <v>0</v>
      </c>
      <c r="AA18" s="116">
        <v>0</v>
      </c>
      <c r="AB18" s="116">
        <v>0</v>
      </c>
      <c r="AC18" s="116">
        <v>0</v>
      </c>
      <c r="AD18" s="116">
        <v>0</v>
      </c>
      <c r="AE18" s="116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116">
        <v>0</v>
      </c>
    </row>
    <row r="19" spans="1:40" customFormat="1" x14ac:dyDescent="0.15">
      <c r="A19" s="198" t="s">
        <v>209</v>
      </c>
      <c r="B19" s="116">
        <v>1</v>
      </c>
      <c r="C19" s="116">
        <v>0</v>
      </c>
      <c r="D19" s="116">
        <v>0</v>
      </c>
      <c r="E19" s="116">
        <v>0</v>
      </c>
      <c r="F19" s="116">
        <v>0</v>
      </c>
      <c r="G19" s="116">
        <v>1</v>
      </c>
      <c r="H19" s="116">
        <v>1</v>
      </c>
      <c r="I19" s="116">
        <v>0</v>
      </c>
      <c r="J19" s="116">
        <v>0</v>
      </c>
      <c r="K19" s="116">
        <v>1</v>
      </c>
      <c r="L19" s="116">
        <v>1</v>
      </c>
      <c r="M19" s="116">
        <v>0</v>
      </c>
      <c r="N19" s="116">
        <v>0</v>
      </c>
      <c r="O19" s="116">
        <v>0</v>
      </c>
      <c r="P19" s="116">
        <v>1</v>
      </c>
      <c r="Q19" s="116">
        <v>0</v>
      </c>
      <c r="R19" s="116">
        <v>0</v>
      </c>
      <c r="S19" s="116">
        <v>1</v>
      </c>
      <c r="T19" s="116">
        <v>0</v>
      </c>
      <c r="U19" s="116">
        <v>0</v>
      </c>
      <c r="V19" s="116">
        <v>0</v>
      </c>
      <c r="W19" s="116">
        <v>0</v>
      </c>
      <c r="X19" s="116">
        <v>0</v>
      </c>
      <c r="Y19" s="116">
        <v>0</v>
      </c>
      <c r="Z19" s="116">
        <v>0</v>
      </c>
      <c r="AA19" s="116">
        <v>1</v>
      </c>
      <c r="AB19" s="116">
        <v>0</v>
      </c>
      <c r="AC19" s="116">
        <v>0</v>
      </c>
      <c r="AD19" s="116">
        <v>0</v>
      </c>
      <c r="AE19" s="116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116">
        <v>0</v>
      </c>
    </row>
    <row r="20" spans="1:40" customFormat="1" x14ac:dyDescent="0.15">
      <c r="A20" s="198" t="s">
        <v>210</v>
      </c>
      <c r="B20" s="116">
        <v>0</v>
      </c>
      <c r="C20" s="116">
        <v>1</v>
      </c>
      <c r="D20" s="116">
        <v>1</v>
      </c>
      <c r="E20" s="116">
        <v>1</v>
      </c>
      <c r="F20" s="116">
        <v>0</v>
      </c>
      <c r="G20" s="116">
        <v>1</v>
      </c>
      <c r="H20" s="116">
        <v>0</v>
      </c>
      <c r="I20" s="116">
        <v>0</v>
      </c>
      <c r="J20" s="116">
        <v>1</v>
      </c>
      <c r="K20" s="116">
        <v>0</v>
      </c>
      <c r="L20" s="116">
        <v>0</v>
      </c>
      <c r="M20" s="116">
        <v>0</v>
      </c>
      <c r="N20" s="116">
        <v>0</v>
      </c>
      <c r="O20" s="116">
        <v>0</v>
      </c>
      <c r="P20" s="116">
        <v>0</v>
      </c>
      <c r="Q20" s="116">
        <v>0</v>
      </c>
      <c r="R20" s="116">
        <v>0</v>
      </c>
      <c r="S20" s="116">
        <v>0</v>
      </c>
      <c r="T20" s="116">
        <v>1</v>
      </c>
      <c r="U20" s="116">
        <v>0</v>
      </c>
      <c r="V20" s="116">
        <v>0</v>
      </c>
      <c r="W20" s="116">
        <v>0</v>
      </c>
      <c r="X20" s="116">
        <v>1</v>
      </c>
      <c r="Y20" s="116">
        <v>1</v>
      </c>
      <c r="Z20" s="116">
        <v>0</v>
      </c>
      <c r="AA20" s="116">
        <v>0</v>
      </c>
      <c r="AB20" s="116">
        <v>0</v>
      </c>
      <c r="AC20" s="116">
        <v>0</v>
      </c>
      <c r="AD20" s="116">
        <v>0</v>
      </c>
      <c r="AE20" s="116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116">
        <v>0</v>
      </c>
    </row>
    <row r="21" spans="1:40" customFormat="1" x14ac:dyDescent="0.15">
      <c r="A21" s="198" t="s">
        <v>211</v>
      </c>
      <c r="B21" s="116">
        <v>1</v>
      </c>
      <c r="C21" s="116">
        <v>1</v>
      </c>
      <c r="D21" s="116">
        <v>1</v>
      </c>
      <c r="E21" s="116">
        <v>1</v>
      </c>
      <c r="F21" s="116">
        <v>1</v>
      </c>
      <c r="G21" s="116">
        <v>0</v>
      </c>
      <c r="H21" s="116">
        <v>1</v>
      </c>
      <c r="I21" s="116">
        <v>1</v>
      </c>
      <c r="J21" s="116">
        <v>1</v>
      </c>
      <c r="K21" s="116">
        <v>1</v>
      </c>
      <c r="L21" s="116">
        <v>1</v>
      </c>
      <c r="M21" s="116">
        <v>1</v>
      </c>
      <c r="N21" s="116">
        <v>0</v>
      </c>
      <c r="O21" s="116">
        <v>1</v>
      </c>
      <c r="P21" s="116">
        <v>1</v>
      </c>
      <c r="Q21" s="116">
        <v>1</v>
      </c>
      <c r="R21" s="116">
        <v>0</v>
      </c>
      <c r="S21" s="116">
        <v>0</v>
      </c>
      <c r="T21" s="116">
        <v>1</v>
      </c>
      <c r="U21" s="116">
        <v>0</v>
      </c>
      <c r="V21" s="116">
        <v>0</v>
      </c>
      <c r="W21" s="116">
        <v>0</v>
      </c>
      <c r="X21" s="116">
        <v>0</v>
      </c>
      <c r="Y21" s="116">
        <v>0</v>
      </c>
      <c r="Z21" s="116">
        <v>0</v>
      </c>
      <c r="AA21" s="116">
        <v>1</v>
      </c>
      <c r="AB21" s="116">
        <v>0</v>
      </c>
      <c r="AC21" s="116">
        <v>0</v>
      </c>
      <c r="AD21" s="116">
        <v>0</v>
      </c>
      <c r="AE21" s="116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0</v>
      </c>
      <c r="AM21" s="116">
        <v>0</v>
      </c>
      <c r="AN21" s="116">
        <v>0</v>
      </c>
    </row>
    <row r="22" spans="1:40" customFormat="1" x14ac:dyDescent="0.15">
      <c r="A22" s="198" t="s">
        <v>212</v>
      </c>
      <c r="B22" s="116">
        <v>0</v>
      </c>
      <c r="C22" s="116">
        <v>0</v>
      </c>
      <c r="D22" s="116">
        <v>0</v>
      </c>
      <c r="E22" s="116">
        <v>0</v>
      </c>
      <c r="F22" s="116">
        <v>0</v>
      </c>
      <c r="G22" s="116">
        <v>0</v>
      </c>
      <c r="H22" s="116">
        <v>1</v>
      </c>
      <c r="I22" s="116">
        <v>1</v>
      </c>
      <c r="J22" s="116">
        <v>0</v>
      </c>
      <c r="K22" s="116">
        <v>1</v>
      </c>
      <c r="L22" s="116">
        <v>0</v>
      </c>
      <c r="M22" s="116">
        <v>0</v>
      </c>
      <c r="N22" s="116">
        <v>0</v>
      </c>
      <c r="O22" s="116">
        <v>1</v>
      </c>
      <c r="P22" s="116">
        <v>1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</row>
    <row r="23" spans="1:40" customFormat="1" x14ac:dyDescent="0.15">
      <c r="A23" s="198" t="s">
        <v>213</v>
      </c>
      <c r="B23" s="116">
        <v>1</v>
      </c>
      <c r="C23" s="116">
        <v>0</v>
      </c>
      <c r="D23" s="116">
        <v>0</v>
      </c>
      <c r="E23" s="116">
        <v>1</v>
      </c>
      <c r="F23" s="116">
        <v>0</v>
      </c>
      <c r="G23" s="116">
        <v>0</v>
      </c>
      <c r="H23" s="116">
        <v>1</v>
      </c>
      <c r="I23" s="116">
        <v>0</v>
      </c>
      <c r="J23" s="116">
        <v>0</v>
      </c>
      <c r="K23" s="116">
        <v>0</v>
      </c>
      <c r="L23" s="116">
        <v>1</v>
      </c>
      <c r="M23" s="116">
        <v>1</v>
      </c>
      <c r="N23" s="116">
        <v>0</v>
      </c>
      <c r="O23" s="116">
        <v>1</v>
      </c>
      <c r="P23" s="116">
        <v>0</v>
      </c>
      <c r="Q23" s="116">
        <v>0</v>
      </c>
      <c r="R23" s="116">
        <v>0</v>
      </c>
      <c r="S23" s="116">
        <v>0</v>
      </c>
      <c r="T23" s="116">
        <v>1</v>
      </c>
      <c r="U23" s="116">
        <v>0</v>
      </c>
      <c r="V23" s="116">
        <v>0</v>
      </c>
      <c r="W23" s="116">
        <v>0</v>
      </c>
      <c r="X23" s="116">
        <v>1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</row>
    <row r="24" spans="1:40" customFormat="1" x14ac:dyDescent="0.15">
      <c r="A24" s="198" t="s">
        <v>214</v>
      </c>
      <c r="B24" s="116">
        <v>0</v>
      </c>
      <c r="C24" s="116">
        <v>0</v>
      </c>
      <c r="D24" s="116">
        <v>0</v>
      </c>
      <c r="E24" s="116">
        <v>1</v>
      </c>
      <c r="F24" s="116">
        <v>0</v>
      </c>
      <c r="G24" s="116">
        <v>0</v>
      </c>
      <c r="H24" s="116">
        <v>0</v>
      </c>
      <c r="I24" s="116">
        <v>0</v>
      </c>
      <c r="J24" s="116">
        <v>0</v>
      </c>
      <c r="K24" s="116">
        <v>0</v>
      </c>
      <c r="L24" s="116">
        <v>0</v>
      </c>
      <c r="M24" s="116">
        <v>0</v>
      </c>
      <c r="N24" s="116">
        <v>1</v>
      </c>
      <c r="O24" s="116">
        <v>0</v>
      </c>
      <c r="P24" s="116">
        <v>0</v>
      </c>
      <c r="Q24" s="116">
        <v>0</v>
      </c>
      <c r="R24" s="116">
        <v>0</v>
      </c>
      <c r="S24" s="116">
        <v>0</v>
      </c>
      <c r="T24" s="116">
        <v>0</v>
      </c>
      <c r="U24" s="116">
        <v>0</v>
      </c>
      <c r="V24" s="116">
        <v>0</v>
      </c>
      <c r="W24" s="116">
        <v>0</v>
      </c>
      <c r="X24" s="116">
        <v>0</v>
      </c>
      <c r="Y24" s="116">
        <v>0</v>
      </c>
      <c r="Z24" s="116">
        <v>0</v>
      </c>
      <c r="AA24" s="116">
        <v>0</v>
      </c>
      <c r="AB24" s="116">
        <v>0</v>
      </c>
      <c r="AC24" s="116">
        <v>0</v>
      </c>
      <c r="AD24" s="116">
        <v>0</v>
      </c>
      <c r="AE24" s="116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116">
        <v>0</v>
      </c>
    </row>
    <row r="25" spans="1:40" customFormat="1" x14ac:dyDescent="0.15">
      <c r="A25" s="198" t="s">
        <v>215</v>
      </c>
      <c r="B25" s="116">
        <v>1</v>
      </c>
      <c r="C25" s="116">
        <v>0</v>
      </c>
      <c r="D25" s="116">
        <v>0</v>
      </c>
      <c r="E25" s="116">
        <v>0</v>
      </c>
      <c r="F25" s="116">
        <v>0</v>
      </c>
      <c r="G25" s="116">
        <v>0</v>
      </c>
      <c r="H25" s="116">
        <v>1</v>
      </c>
      <c r="I25" s="116">
        <v>0</v>
      </c>
      <c r="J25" s="116">
        <v>0</v>
      </c>
      <c r="K25" s="116">
        <v>0</v>
      </c>
      <c r="L25" s="116">
        <v>0</v>
      </c>
      <c r="M25" s="116">
        <v>0</v>
      </c>
      <c r="N25" s="116">
        <v>1</v>
      </c>
      <c r="O25" s="116">
        <v>0</v>
      </c>
      <c r="P25" s="116">
        <v>0</v>
      </c>
      <c r="Q25" s="116">
        <v>0</v>
      </c>
      <c r="R25" s="116">
        <v>0</v>
      </c>
      <c r="S25" s="116">
        <v>0</v>
      </c>
      <c r="T25" s="116">
        <v>0</v>
      </c>
      <c r="U25" s="116">
        <v>0</v>
      </c>
      <c r="V25" s="116">
        <v>0</v>
      </c>
      <c r="W25" s="116">
        <v>0</v>
      </c>
      <c r="X25" s="116">
        <v>1</v>
      </c>
      <c r="Y25" s="116">
        <v>1</v>
      </c>
      <c r="Z25" s="116">
        <v>0</v>
      </c>
      <c r="AA25" s="116">
        <v>0</v>
      </c>
      <c r="AB25" s="116">
        <v>0</v>
      </c>
      <c r="AC25" s="116">
        <v>0</v>
      </c>
      <c r="AD25" s="116">
        <v>0</v>
      </c>
      <c r="AE25" s="116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0</v>
      </c>
      <c r="AL25" s="116">
        <v>0</v>
      </c>
      <c r="AM25" s="116">
        <v>0</v>
      </c>
      <c r="AN25" s="116">
        <v>0</v>
      </c>
    </row>
    <row r="26" spans="1:40" customFormat="1" x14ac:dyDescent="0.15">
      <c r="A26" s="198" t="s">
        <v>216</v>
      </c>
      <c r="B26" s="116">
        <v>0</v>
      </c>
      <c r="C26" s="116">
        <v>1</v>
      </c>
      <c r="D26" s="116">
        <v>1</v>
      </c>
      <c r="E26" s="116">
        <v>0</v>
      </c>
      <c r="F26" s="116">
        <v>0</v>
      </c>
      <c r="G26" s="116">
        <v>1</v>
      </c>
      <c r="H26" s="116">
        <v>1</v>
      </c>
      <c r="I26" s="116">
        <v>1</v>
      </c>
      <c r="J26" s="116">
        <v>1</v>
      </c>
      <c r="K26" s="116">
        <v>0</v>
      </c>
      <c r="L26" s="116">
        <v>1</v>
      </c>
      <c r="M26" s="116">
        <v>0</v>
      </c>
      <c r="N26" s="116">
        <v>0</v>
      </c>
      <c r="O26" s="116">
        <v>0</v>
      </c>
      <c r="P26" s="116">
        <v>1</v>
      </c>
      <c r="Q26" s="116">
        <v>0</v>
      </c>
      <c r="R26" s="116">
        <v>0</v>
      </c>
      <c r="S26" s="116">
        <v>1</v>
      </c>
      <c r="T26" s="116">
        <v>0</v>
      </c>
      <c r="U26" s="116">
        <v>0</v>
      </c>
      <c r="V26" s="116">
        <v>0</v>
      </c>
      <c r="W26" s="116">
        <v>1</v>
      </c>
      <c r="X26" s="116">
        <v>0</v>
      </c>
      <c r="Y26" s="116">
        <v>0</v>
      </c>
      <c r="Z26" s="116">
        <v>1</v>
      </c>
      <c r="AA26" s="116">
        <v>1</v>
      </c>
      <c r="AB26" s="116">
        <v>0</v>
      </c>
      <c r="AC26" s="116">
        <v>0</v>
      </c>
      <c r="AD26" s="116">
        <v>0</v>
      </c>
      <c r="AE26" s="116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116">
        <v>0</v>
      </c>
    </row>
    <row r="27" spans="1:40" customFormat="1" x14ac:dyDescent="0.15">
      <c r="A27" s="198" t="s">
        <v>217</v>
      </c>
      <c r="B27" s="116">
        <v>0</v>
      </c>
      <c r="C27" s="116">
        <v>0</v>
      </c>
      <c r="D27" s="116">
        <v>1</v>
      </c>
      <c r="E27" s="116">
        <v>1</v>
      </c>
      <c r="F27" s="116">
        <v>0</v>
      </c>
      <c r="G27" s="116">
        <v>1</v>
      </c>
      <c r="H27" s="116">
        <v>0</v>
      </c>
      <c r="I27" s="116">
        <v>1</v>
      </c>
      <c r="J27" s="116">
        <v>0</v>
      </c>
      <c r="K27" s="116">
        <v>0</v>
      </c>
      <c r="L27" s="116">
        <v>0</v>
      </c>
      <c r="M27" s="116">
        <v>0</v>
      </c>
      <c r="N27" s="116">
        <v>0</v>
      </c>
      <c r="O27" s="116">
        <v>1</v>
      </c>
      <c r="P27" s="116">
        <v>0</v>
      </c>
      <c r="Q27" s="116">
        <v>0</v>
      </c>
      <c r="R27" s="116">
        <v>0</v>
      </c>
      <c r="S27" s="116">
        <v>1</v>
      </c>
      <c r="T27" s="116">
        <v>0</v>
      </c>
      <c r="U27" s="116">
        <v>0</v>
      </c>
      <c r="V27" s="116">
        <v>0</v>
      </c>
      <c r="W27" s="116">
        <v>0</v>
      </c>
      <c r="X27" s="116">
        <v>0</v>
      </c>
      <c r="Y27" s="116">
        <v>0</v>
      </c>
      <c r="Z27" s="116">
        <v>0</v>
      </c>
      <c r="AA27" s="116">
        <v>1</v>
      </c>
      <c r="AB27" s="116">
        <v>0</v>
      </c>
      <c r="AC27" s="116">
        <v>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116">
        <v>0</v>
      </c>
    </row>
    <row r="28" spans="1:40" customFormat="1" x14ac:dyDescent="0.15">
      <c r="A28" s="198" t="s">
        <v>218</v>
      </c>
      <c r="B28" s="116">
        <v>0</v>
      </c>
      <c r="C28" s="116">
        <v>0</v>
      </c>
      <c r="D28" s="116">
        <v>0</v>
      </c>
      <c r="E28" s="116">
        <v>0</v>
      </c>
      <c r="F28" s="116">
        <v>0</v>
      </c>
      <c r="G28" s="116">
        <v>1</v>
      </c>
      <c r="H28" s="116">
        <v>0</v>
      </c>
      <c r="I28" s="116">
        <v>0</v>
      </c>
      <c r="J28" s="116">
        <v>0</v>
      </c>
      <c r="K28" s="116">
        <v>1</v>
      </c>
      <c r="L28" s="116">
        <v>1</v>
      </c>
      <c r="M28" s="116">
        <v>1</v>
      </c>
      <c r="N28" s="116">
        <v>1</v>
      </c>
      <c r="O28" s="116">
        <v>0</v>
      </c>
      <c r="P28" s="116">
        <v>0</v>
      </c>
      <c r="Q28" s="116">
        <v>1</v>
      </c>
      <c r="R28" s="116">
        <v>1</v>
      </c>
      <c r="S28" s="116">
        <v>1</v>
      </c>
      <c r="T28" s="116">
        <v>0</v>
      </c>
      <c r="U28" s="116">
        <v>0</v>
      </c>
      <c r="V28" s="116">
        <v>1</v>
      </c>
      <c r="W28" s="116">
        <v>0</v>
      </c>
      <c r="X28" s="116">
        <v>1</v>
      </c>
      <c r="Y28" s="116">
        <v>0</v>
      </c>
      <c r="Z28" s="116">
        <v>1</v>
      </c>
      <c r="AA28" s="116">
        <v>1</v>
      </c>
      <c r="AB28" s="116">
        <v>1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</row>
    <row r="29" spans="1:40" customFormat="1" x14ac:dyDescent="0.15">
      <c r="A29" s="198" t="s">
        <v>219</v>
      </c>
      <c r="B29" s="116">
        <v>1</v>
      </c>
      <c r="C29" s="116">
        <v>0</v>
      </c>
      <c r="D29" s="116">
        <v>0</v>
      </c>
      <c r="E29" s="116">
        <v>0</v>
      </c>
      <c r="F29" s="116">
        <v>0</v>
      </c>
      <c r="G29" s="116">
        <v>1</v>
      </c>
      <c r="H29" s="116">
        <v>1</v>
      </c>
      <c r="I29" s="116">
        <v>1</v>
      </c>
      <c r="J29" s="116">
        <v>0</v>
      </c>
      <c r="K29" s="116">
        <v>0</v>
      </c>
      <c r="L29" s="116">
        <v>1</v>
      </c>
      <c r="M29" s="116">
        <v>1</v>
      </c>
      <c r="N29" s="116">
        <v>1</v>
      </c>
      <c r="O29" s="116">
        <v>1</v>
      </c>
      <c r="P29" s="116">
        <v>1</v>
      </c>
      <c r="Q29" s="116">
        <v>1</v>
      </c>
      <c r="R29" s="116">
        <v>1</v>
      </c>
      <c r="S29" s="116">
        <v>1</v>
      </c>
      <c r="T29" s="116">
        <v>1</v>
      </c>
      <c r="U29" s="116">
        <v>0</v>
      </c>
      <c r="V29" s="116">
        <v>1</v>
      </c>
      <c r="W29" s="116">
        <v>1</v>
      </c>
      <c r="X29" s="116">
        <v>1</v>
      </c>
      <c r="Y29" s="116">
        <v>1</v>
      </c>
      <c r="Z29" s="116">
        <v>1</v>
      </c>
      <c r="AA29" s="116">
        <v>1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</row>
    <row r="30" spans="1:40" customFormat="1" x14ac:dyDescent="0.15">
      <c r="A30" s="198" t="s">
        <v>220</v>
      </c>
      <c r="B30" s="116">
        <v>0</v>
      </c>
      <c r="C30" s="116">
        <v>0</v>
      </c>
      <c r="D30" s="116">
        <v>0</v>
      </c>
      <c r="E30" s="116">
        <v>0</v>
      </c>
      <c r="F30" s="116">
        <v>0</v>
      </c>
      <c r="G30" s="116">
        <v>1</v>
      </c>
      <c r="H30" s="116">
        <v>1</v>
      </c>
      <c r="I30" s="116">
        <v>0</v>
      </c>
      <c r="J30" s="116">
        <v>1</v>
      </c>
      <c r="K30" s="116">
        <v>0</v>
      </c>
      <c r="L30" s="116">
        <v>1</v>
      </c>
      <c r="M30" s="116">
        <v>0</v>
      </c>
      <c r="N30" s="116">
        <v>1</v>
      </c>
      <c r="O30" s="116">
        <v>1</v>
      </c>
      <c r="P30" s="116">
        <v>0</v>
      </c>
      <c r="Q30" s="116">
        <v>1</v>
      </c>
      <c r="R30" s="116">
        <v>1</v>
      </c>
      <c r="S30" s="116">
        <v>1</v>
      </c>
      <c r="T30" s="116">
        <v>1</v>
      </c>
      <c r="U30" s="116">
        <v>0</v>
      </c>
      <c r="V30" s="116">
        <v>1</v>
      </c>
      <c r="W30" s="116">
        <v>1</v>
      </c>
      <c r="X30" s="116">
        <v>1</v>
      </c>
      <c r="Y30" s="116">
        <v>1</v>
      </c>
      <c r="Z30" s="116">
        <v>1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</row>
    <row r="31" spans="1:40" customFormat="1" x14ac:dyDescent="0.15">
      <c r="A31" s="198" t="s">
        <v>221</v>
      </c>
      <c r="B31" s="116">
        <v>0</v>
      </c>
      <c r="C31" s="116">
        <v>1</v>
      </c>
      <c r="D31" s="116">
        <v>1</v>
      </c>
      <c r="E31" s="116">
        <v>1</v>
      </c>
      <c r="F31" s="116">
        <v>0</v>
      </c>
      <c r="G31" s="116">
        <v>0</v>
      </c>
      <c r="H31" s="116">
        <v>0</v>
      </c>
      <c r="I31" s="116">
        <v>1</v>
      </c>
      <c r="J31" s="116">
        <v>1</v>
      </c>
      <c r="K31" s="116">
        <v>0</v>
      </c>
      <c r="L31" s="116">
        <v>1</v>
      </c>
      <c r="M31" s="116">
        <v>0</v>
      </c>
      <c r="N31" s="116">
        <v>0</v>
      </c>
      <c r="O31" s="116">
        <v>0</v>
      </c>
      <c r="P31" s="116">
        <v>1</v>
      </c>
      <c r="Q31" s="116">
        <v>1</v>
      </c>
      <c r="R31" s="116">
        <v>0</v>
      </c>
      <c r="S31" s="116">
        <v>1</v>
      </c>
      <c r="T31" s="116">
        <v>1</v>
      </c>
      <c r="U31" s="116">
        <v>0</v>
      </c>
      <c r="V31" s="116">
        <v>1</v>
      </c>
      <c r="W31" s="116">
        <v>1</v>
      </c>
      <c r="X31" s="116">
        <v>1</v>
      </c>
      <c r="Y31" s="116">
        <v>1</v>
      </c>
      <c r="Z31" s="116">
        <v>1</v>
      </c>
      <c r="AA31" s="116">
        <v>0</v>
      </c>
      <c r="AB31" s="116">
        <v>0</v>
      </c>
      <c r="AC31" s="116">
        <v>0</v>
      </c>
      <c r="AD31" s="116">
        <v>0</v>
      </c>
      <c r="AE31" s="116">
        <v>1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</row>
    <row r="32" spans="1:40" x14ac:dyDescent="0.15">
      <c r="A32" s="198" t="s">
        <v>222</v>
      </c>
      <c r="B32" s="116">
        <v>0</v>
      </c>
      <c r="C32" s="116">
        <v>0</v>
      </c>
      <c r="D32" s="116">
        <v>0</v>
      </c>
      <c r="E32" s="116">
        <v>0</v>
      </c>
      <c r="F32" s="116">
        <v>0</v>
      </c>
      <c r="G32" s="116">
        <v>0</v>
      </c>
      <c r="H32" s="116">
        <v>0</v>
      </c>
      <c r="I32" s="116">
        <v>0</v>
      </c>
      <c r="J32" s="116">
        <v>0</v>
      </c>
      <c r="K32" s="116">
        <v>0</v>
      </c>
      <c r="L32" s="116">
        <v>1</v>
      </c>
      <c r="M32" s="116">
        <v>1</v>
      </c>
      <c r="N32" s="116">
        <v>1</v>
      </c>
      <c r="O32" s="116">
        <v>1</v>
      </c>
      <c r="P32" s="116">
        <v>1</v>
      </c>
      <c r="Q32" s="116">
        <v>0</v>
      </c>
      <c r="R32" s="116">
        <v>0</v>
      </c>
      <c r="S32" s="116">
        <v>1</v>
      </c>
      <c r="T32" s="116">
        <v>0</v>
      </c>
      <c r="U32" s="116">
        <v>0</v>
      </c>
      <c r="V32" s="116">
        <v>1</v>
      </c>
      <c r="W32" s="116">
        <v>0</v>
      </c>
      <c r="X32" s="116">
        <v>0</v>
      </c>
      <c r="Y32" s="116">
        <v>0</v>
      </c>
      <c r="Z32" s="116">
        <v>0</v>
      </c>
      <c r="AA32" s="116">
        <v>1</v>
      </c>
      <c r="AB32" s="116">
        <v>0</v>
      </c>
      <c r="AC32" s="116">
        <v>0</v>
      </c>
      <c r="AD32" s="116">
        <v>0</v>
      </c>
      <c r="AE32" s="116">
        <v>0</v>
      </c>
      <c r="AF32" s="116">
        <v>0</v>
      </c>
      <c r="AG32" s="116">
        <v>1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116">
        <v>0</v>
      </c>
    </row>
    <row r="33" spans="1:40" x14ac:dyDescent="0.15">
      <c r="A33" s="198" t="s">
        <v>223</v>
      </c>
      <c r="B33" s="116">
        <v>0</v>
      </c>
      <c r="C33" s="116">
        <v>0</v>
      </c>
      <c r="D33" s="116">
        <v>0</v>
      </c>
      <c r="E33" s="116">
        <v>0</v>
      </c>
      <c r="F33" s="116">
        <v>0</v>
      </c>
      <c r="G33" s="116">
        <v>0</v>
      </c>
      <c r="H33" s="116">
        <v>0</v>
      </c>
      <c r="I33" s="116">
        <v>0</v>
      </c>
      <c r="J33" s="116">
        <v>0</v>
      </c>
      <c r="K33" s="116">
        <v>0</v>
      </c>
      <c r="L33" s="116">
        <v>0</v>
      </c>
      <c r="M33" s="116">
        <v>0</v>
      </c>
      <c r="N33" s="116">
        <v>0</v>
      </c>
      <c r="O33" s="116">
        <v>0</v>
      </c>
      <c r="P33" s="116">
        <v>1</v>
      </c>
      <c r="Q33" s="116">
        <v>0</v>
      </c>
      <c r="R33" s="116">
        <v>0</v>
      </c>
      <c r="S33" s="116">
        <v>1</v>
      </c>
      <c r="T33" s="116">
        <v>1</v>
      </c>
      <c r="U33" s="116">
        <v>0</v>
      </c>
      <c r="V33" s="116">
        <v>1</v>
      </c>
      <c r="W33" s="116">
        <v>1</v>
      </c>
      <c r="X33" s="116">
        <v>0</v>
      </c>
      <c r="Y33" s="116">
        <v>0</v>
      </c>
      <c r="Z33" s="116">
        <v>0</v>
      </c>
      <c r="AA33" s="116">
        <v>0</v>
      </c>
      <c r="AB33" s="116">
        <v>0</v>
      </c>
      <c r="AC33" s="116">
        <v>0</v>
      </c>
      <c r="AD33" s="116">
        <v>0</v>
      </c>
      <c r="AE33" s="116">
        <v>1</v>
      </c>
      <c r="AF33" s="116">
        <v>1</v>
      </c>
      <c r="AG33" s="116">
        <v>1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116">
        <v>0</v>
      </c>
    </row>
    <row r="34" spans="1:40" x14ac:dyDescent="0.15">
      <c r="A34" s="198" t="s">
        <v>224</v>
      </c>
      <c r="B34" s="116">
        <v>1</v>
      </c>
      <c r="C34" s="116">
        <v>0</v>
      </c>
      <c r="D34" s="116">
        <v>0</v>
      </c>
      <c r="E34" s="116">
        <v>1</v>
      </c>
      <c r="F34" s="116">
        <v>1</v>
      </c>
      <c r="G34" s="116">
        <v>0</v>
      </c>
      <c r="H34" s="116">
        <v>0</v>
      </c>
      <c r="I34" s="116">
        <v>1</v>
      </c>
      <c r="J34" s="116">
        <v>1</v>
      </c>
      <c r="K34" s="116">
        <v>1</v>
      </c>
      <c r="L34" s="116">
        <v>1</v>
      </c>
      <c r="M34" s="116">
        <v>1</v>
      </c>
      <c r="N34" s="116">
        <v>0</v>
      </c>
      <c r="O34" s="116">
        <v>0</v>
      </c>
      <c r="P34" s="116">
        <v>1</v>
      </c>
      <c r="Q34" s="116">
        <v>1</v>
      </c>
      <c r="R34" s="116">
        <v>1</v>
      </c>
      <c r="S34" s="116">
        <v>1</v>
      </c>
      <c r="T34" s="116">
        <v>0</v>
      </c>
      <c r="U34" s="116">
        <v>1</v>
      </c>
      <c r="V34" s="116">
        <v>1</v>
      </c>
      <c r="W34" s="116">
        <v>1</v>
      </c>
      <c r="X34" s="116">
        <v>0</v>
      </c>
      <c r="Y34" s="116">
        <v>0</v>
      </c>
      <c r="Z34" s="116">
        <v>0</v>
      </c>
      <c r="AA34" s="116">
        <v>1</v>
      </c>
      <c r="AB34" s="116">
        <v>1</v>
      </c>
      <c r="AC34" s="116">
        <v>1</v>
      </c>
      <c r="AD34" s="116">
        <v>1</v>
      </c>
      <c r="AE34" s="116">
        <v>1</v>
      </c>
      <c r="AF34" s="116">
        <v>0</v>
      </c>
      <c r="AG34" s="116">
        <v>1</v>
      </c>
      <c r="AH34" s="116">
        <v>1</v>
      </c>
      <c r="AI34" s="116">
        <v>0</v>
      </c>
      <c r="AJ34" s="116">
        <v>0</v>
      </c>
      <c r="AK34" s="116">
        <v>0</v>
      </c>
      <c r="AL34" s="116">
        <v>0</v>
      </c>
      <c r="AM34" s="116">
        <v>0</v>
      </c>
      <c r="AN34" s="116">
        <v>0</v>
      </c>
    </row>
    <row r="35" spans="1:40" x14ac:dyDescent="0.15">
      <c r="A35" s="198" t="s">
        <v>225</v>
      </c>
      <c r="B35" s="116">
        <v>0</v>
      </c>
      <c r="C35" s="116">
        <v>0</v>
      </c>
      <c r="D35" s="116">
        <v>0</v>
      </c>
      <c r="E35" s="116">
        <v>0</v>
      </c>
      <c r="F35" s="116">
        <v>0</v>
      </c>
      <c r="G35" s="116">
        <v>1</v>
      </c>
      <c r="H35" s="116">
        <v>1</v>
      </c>
      <c r="I35" s="116">
        <v>0</v>
      </c>
      <c r="J35" s="116">
        <v>0</v>
      </c>
      <c r="K35" s="116">
        <v>1</v>
      </c>
      <c r="L35" s="116">
        <v>1</v>
      </c>
      <c r="M35" s="116">
        <v>1</v>
      </c>
      <c r="N35" s="116">
        <v>0</v>
      </c>
      <c r="O35" s="116">
        <v>0</v>
      </c>
      <c r="P35" s="116">
        <v>1</v>
      </c>
      <c r="Q35" s="116">
        <v>1</v>
      </c>
      <c r="R35" s="116">
        <v>1</v>
      </c>
      <c r="S35" s="116">
        <v>1</v>
      </c>
      <c r="T35" s="116">
        <v>1</v>
      </c>
      <c r="U35" s="116">
        <v>0</v>
      </c>
      <c r="V35" s="116">
        <v>1</v>
      </c>
      <c r="W35" s="116">
        <v>1</v>
      </c>
      <c r="X35" s="116">
        <v>1</v>
      </c>
      <c r="Y35" s="116">
        <v>1</v>
      </c>
      <c r="Z35" s="116">
        <v>1</v>
      </c>
      <c r="AA35" s="116">
        <v>0</v>
      </c>
      <c r="AB35" s="116">
        <v>1</v>
      </c>
      <c r="AC35" s="116">
        <v>1</v>
      </c>
      <c r="AD35" s="116">
        <v>1</v>
      </c>
      <c r="AE35" s="116">
        <v>1</v>
      </c>
      <c r="AF35" s="116">
        <v>0</v>
      </c>
      <c r="AG35" s="116">
        <v>0</v>
      </c>
      <c r="AH35" s="116">
        <v>0</v>
      </c>
      <c r="AI35" s="116">
        <v>1</v>
      </c>
      <c r="AJ35" s="116">
        <v>1</v>
      </c>
      <c r="AK35" s="116">
        <v>0</v>
      </c>
      <c r="AL35" s="116">
        <v>0</v>
      </c>
      <c r="AM35" s="116">
        <v>0</v>
      </c>
      <c r="AN35" s="116">
        <v>0</v>
      </c>
    </row>
    <row r="36" spans="1:40" x14ac:dyDescent="0.15">
      <c r="A36" s="198" t="s">
        <v>226</v>
      </c>
      <c r="B36" s="116">
        <v>0</v>
      </c>
      <c r="C36" s="116">
        <v>0</v>
      </c>
      <c r="D36" s="116">
        <v>1</v>
      </c>
      <c r="E36" s="116">
        <v>1</v>
      </c>
      <c r="F36" s="116">
        <v>0</v>
      </c>
      <c r="G36" s="116">
        <v>1</v>
      </c>
      <c r="H36" s="116">
        <v>0</v>
      </c>
      <c r="I36" s="116">
        <v>1</v>
      </c>
      <c r="J36" s="116">
        <v>1</v>
      </c>
      <c r="K36" s="116">
        <v>1</v>
      </c>
      <c r="L36" s="116">
        <v>1</v>
      </c>
      <c r="M36" s="116">
        <v>1</v>
      </c>
      <c r="N36" s="116">
        <v>1</v>
      </c>
      <c r="O36" s="116">
        <v>1</v>
      </c>
      <c r="P36" s="116">
        <v>1</v>
      </c>
      <c r="Q36" s="116">
        <v>1</v>
      </c>
      <c r="R36" s="116">
        <v>1</v>
      </c>
      <c r="S36" s="116">
        <v>0</v>
      </c>
      <c r="T36" s="116">
        <v>1</v>
      </c>
      <c r="U36" s="116">
        <v>0</v>
      </c>
      <c r="V36" s="116">
        <v>1</v>
      </c>
      <c r="W36" s="116">
        <v>0</v>
      </c>
      <c r="X36" s="116">
        <v>1</v>
      </c>
      <c r="Y36" s="116">
        <v>1</v>
      </c>
      <c r="Z36" s="116">
        <v>1</v>
      </c>
      <c r="AA36" s="116">
        <v>1</v>
      </c>
      <c r="AB36" s="116">
        <v>0</v>
      </c>
      <c r="AC36" s="116">
        <v>0</v>
      </c>
      <c r="AD36" s="116">
        <v>0</v>
      </c>
      <c r="AE36" s="116">
        <v>0</v>
      </c>
      <c r="AF36" s="116">
        <v>0</v>
      </c>
      <c r="AG36" s="116">
        <v>0</v>
      </c>
      <c r="AH36" s="116">
        <v>0</v>
      </c>
      <c r="AI36" s="116">
        <v>0</v>
      </c>
      <c r="AJ36" s="116">
        <v>1</v>
      </c>
      <c r="AK36" s="116">
        <v>0</v>
      </c>
      <c r="AL36" s="116">
        <v>0</v>
      </c>
      <c r="AM36" s="116">
        <v>0</v>
      </c>
      <c r="AN36" s="116">
        <v>0</v>
      </c>
    </row>
    <row r="37" spans="1:40" x14ac:dyDescent="0.15">
      <c r="A37" s="198" t="s">
        <v>227</v>
      </c>
      <c r="B37" s="116">
        <v>0</v>
      </c>
      <c r="C37" s="116">
        <v>0</v>
      </c>
      <c r="D37" s="116">
        <v>0</v>
      </c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1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1</v>
      </c>
      <c r="V37" s="116">
        <v>0</v>
      </c>
      <c r="W37" s="116">
        <v>0</v>
      </c>
      <c r="X37" s="116">
        <v>0</v>
      </c>
      <c r="Y37" s="116">
        <v>0</v>
      </c>
      <c r="Z37" s="116">
        <v>0</v>
      </c>
      <c r="AA37" s="116">
        <v>1</v>
      </c>
      <c r="AB37" s="116">
        <v>1</v>
      </c>
      <c r="AC37" s="116">
        <v>1</v>
      </c>
      <c r="AD37" s="116">
        <v>0</v>
      </c>
      <c r="AE37" s="116">
        <v>1</v>
      </c>
      <c r="AF37" s="116">
        <v>1</v>
      </c>
      <c r="AG37" s="116">
        <v>1</v>
      </c>
      <c r="AH37" s="116">
        <v>1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</row>
    <row r="38" spans="1:40" x14ac:dyDescent="0.15">
      <c r="A38" s="198" t="s">
        <v>228</v>
      </c>
      <c r="B38" s="116">
        <v>1</v>
      </c>
      <c r="C38" s="116">
        <v>1</v>
      </c>
      <c r="D38" s="116">
        <v>0</v>
      </c>
      <c r="E38" s="116">
        <v>1</v>
      </c>
      <c r="F38" s="116">
        <v>1</v>
      </c>
      <c r="G38" s="116">
        <v>1</v>
      </c>
      <c r="H38" s="116">
        <v>1</v>
      </c>
      <c r="I38" s="116">
        <v>1</v>
      </c>
      <c r="J38" s="116">
        <v>0</v>
      </c>
      <c r="K38" s="116">
        <v>1</v>
      </c>
      <c r="L38" s="116">
        <v>0</v>
      </c>
      <c r="M38" s="116">
        <v>0</v>
      </c>
      <c r="N38" s="116">
        <v>1</v>
      </c>
      <c r="O38" s="116">
        <v>1</v>
      </c>
      <c r="P38" s="116">
        <v>1</v>
      </c>
      <c r="Q38" s="116">
        <v>0</v>
      </c>
      <c r="R38" s="116">
        <v>1</v>
      </c>
      <c r="S38" s="116">
        <v>1</v>
      </c>
      <c r="T38" s="116">
        <v>1</v>
      </c>
      <c r="U38" s="116">
        <v>0</v>
      </c>
      <c r="V38" s="116">
        <v>0</v>
      </c>
      <c r="W38" s="116">
        <v>1</v>
      </c>
      <c r="X38" s="116">
        <v>1</v>
      </c>
      <c r="Y38" s="116">
        <v>1</v>
      </c>
      <c r="Z38" s="116">
        <v>1</v>
      </c>
      <c r="AA38" s="116">
        <v>0</v>
      </c>
      <c r="AB38" s="116">
        <v>1</v>
      </c>
      <c r="AC38" s="116">
        <v>0</v>
      </c>
      <c r="AD38" s="116">
        <v>0</v>
      </c>
      <c r="AE38" s="116">
        <v>0</v>
      </c>
      <c r="AF38" s="116">
        <v>0</v>
      </c>
      <c r="AG38" s="116">
        <v>0</v>
      </c>
      <c r="AH38" s="116">
        <v>0</v>
      </c>
      <c r="AI38" s="116">
        <v>0</v>
      </c>
      <c r="AJ38" s="116">
        <v>1</v>
      </c>
      <c r="AK38" s="116">
        <v>0</v>
      </c>
      <c r="AL38" s="116">
        <v>0</v>
      </c>
      <c r="AM38" s="116">
        <v>0</v>
      </c>
      <c r="AN38" s="116">
        <v>0</v>
      </c>
    </row>
    <row r="39" spans="1:40" x14ac:dyDescent="0.15">
      <c r="A39" s="198" t="s">
        <v>229</v>
      </c>
      <c r="B39" s="116">
        <v>0</v>
      </c>
      <c r="C39" s="116">
        <v>1</v>
      </c>
      <c r="D39" s="116">
        <v>0</v>
      </c>
      <c r="E39" s="116">
        <v>0</v>
      </c>
      <c r="F39" s="116">
        <v>0</v>
      </c>
      <c r="G39" s="116">
        <v>0</v>
      </c>
      <c r="H39" s="116">
        <v>0</v>
      </c>
      <c r="I39" s="116">
        <v>1</v>
      </c>
      <c r="J39" s="116">
        <v>0</v>
      </c>
      <c r="K39" s="116">
        <v>0</v>
      </c>
      <c r="L39" s="116">
        <v>1</v>
      </c>
      <c r="M39" s="116">
        <v>1</v>
      </c>
      <c r="N39" s="116">
        <v>0</v>
      </c>
      <c r="O39" s="116">
        <v>1</v>
      </c>
      <c r="P39" s="116">
        <v>1</v>
      </c>
      <c r="Q39" s="116">
        <v>1</v>
      </c>
      <c r="R39" s="116">
        <v>0</v>
      </c>
      <c r="S39" s="116">
        <v>1</v>
      </c>
      <c r="T39" s="116">
        <v>1</v>
      </c>
      <c r="U39" s="116">
        <v>0</v>
      </c>
      <c r="V39" s="116">
        <v>1</v>
      </c>
      <c r="W39" s="116">
        <v>1</v>
      </c>
      <c r="X39" s="116">
        <v>1</v>
      </c>
      <c r="Y39" s="116">
        <v>1</v>
      </c>
      <c r="Z39" s="116">
        <v>1</v>
      </c>
      <c r="AA39" s="116">
        <v>1</v>
      </c>
      <c r="AB39" s="116">
        <v>1</v>
      </c>
      <c r="AC39" s="116">
        <v>1</v>
      </c>
      <c r="AD39" s="116">
        <v>1</v>
      </c>
      <c r="AE39" s="116">
        <v>1</v>
      </c>
      <c r="AF39" s="116">
        <v>1</v>
      </c>
      <c r="AG39" s="116">
        <v>1</v>
      </c>
      <c r="AH39" s="116">
        <v>0</v>
      </c>
      <c r="AI39" s="116">
        <v>1</v>
      </c>
      <c r="AJ39" s="116">
        <v>1</v>
      </c>
      <c r="AK39" s="116">
        <v>0</v>
      </c>
      <c r="AL39" s="116">
        <v>0</v>
      </c>
      <c r="AM39" s="116">
        <v>0</v>
      </c>
      <c r="AN39" s="116">
        <v>0</v>
      </c>
    </row>
    <row r="40" spans="1:40" x14ac:dyDescent="0.15">
      <c r="A40" s="198" t="s">
        <v>230</v>
      </c>
      <c r="B40" s="116">
        <v>0</v>
      </c>
      <c r="C40" s="116">
        <v>0</v>
      </c>
      <c r="D40" s="116">
        <v>0</v>
      </c>
      <c r="E40" s="116">
        <v>0</v>
      </c>
      <c r="F40" s="116">
        <v>0</v>
      </c>
      <c r="G40" s="116">
        <v>0</v>
      </c>
      <c r="H40" s="116">
        <v>0</v>
      </c>
      <c r="I40" s="116">
        <v>0</v>
      </c>
      <c r="J40" s="116">
        <v>0</v>
      </c>
      <c r="K40" s="116">
        <v>0</v>
      </c>
      <c r="L40" s="116">
        <v>0</v>
      </c>
      <c r="M40" s="116">
        <v>0</v>
      </c>
      <c r="N40" s="116">
        <v>0</v>
      </c>
      <c r="O40" s="116">
        <v>0</v>
      </c>
      <c r="P40" s="116">
        <v>0</v>
      </c>
      <c r="Q40" s="116">
        <v>0</v>
      </c>
      <c r="R40" s="116">
        <v>0</v>
      </c>
      <c r="S40" s="116">
        <v>0</v>
      </c>
      <c r="T40" s="116">
        <v>0</v>
      </c>
      <c r="U40" s="116">
        <v>0</v>
      </c>
      <c r="V40" s="116">
        <v>0</v>
      </c>
      <c r="W40" s="116">
        <v>0</v>
      </c>
      <c r="X40" s="116">
        <v>0</v>
      </c>
      <c r="Y40" s="116">
        <v>0</v>
      </c>
      <c r="Z40" s="116">
        <v>0</v>
      </c>
      <c r="AA40" s="116">
        <v>0</v>
      </c>
      <c r="AB40" s="116">
        <v>0</v>
      </c>
      <c r="AC40" s="116">
        <v>0</v>
      </c>
      <c r="AD40" s="116">
        <v>0</v>
      </c>
      <c r="AE40" s="116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116">
        <v>0</v>
      </c>
    </row>
    <row r="41" spans="1:40" x14ac:dyDescent="0.15">
      <c r="A41" s="198" t="s">
        <v>234</v>
      </c>
      <c r="B41" s="116">
        <v>0</v>
      </c>
      <c r="C41" s="116">
        <v>0</v>
      </c>
      <c r="D41" s="116">
        <v>0</v>
      </c>
      <c r="E41" s="116">
        <v>0</v>
      </c>
      <c r="F41" s="116">
        <v>0</v>
      </c>
      <c r="G41" s="116">
        <v>0</v>
      </c>
      <c r="H41" s="116">
        <v>0</v>
      </c>
      <c r="I41" s="116">
        <v>0</v>
      </c>
      <c r="J41" s="116">
        <v>0</v>
      </c>
      <c r="K41" s="116">
        <v>0</v>
      </c>
      <c r="L41" s="116">
        <v>0</v>
      </c>
      <c r="M41" s="116">
        <v>0</v>
      </c>
      <c r="N41" s="116">
        <v>0</v>
      </c>
      <c r="O41" s="116">
        <v>0</v>
      </c>
      <c r="P41" s="116">
        <v>0</v>
      </c>
      <c r="Q41" s="116">
        <v>0</v>
      </c>
      <c r="R41" s="116">
        <v>0</v>
      </c>
      <c r="S41" s="116">
        <v>0</v>
      </c>
      <c r="T41" s="116">
        <v>0</v>
      </c>
      <c r="U41" s="116">
        <v>0</v>
      </c>
      <c r="V41" s="116">
        <v>0</v>
      </c>
      <c r="W41" s="116">
        <v>0</v>
      </c>
      <c r="X41" s="116">
        <v>0</v>
      </c>
      <c r="Y41" s="116">
        <v>0</v>
      </c>
      <c r="Z41" s="116">
        <v>0</v>
      </c>
      <c r="AA41" s="116">
        <v>0</v>
      </c>
      <c r="AB41" s="116">
        <v>0</v>
      </c>
      <c r="AC41" s="116">
        <v>0</v>
      </c>
      <c r="AD41" s="116">
        <v>0</v>
      </c>
      <c r="AE41" s="116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11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83</v>
      </c>
      <c r="B1" s="3" t="s">
        <v>0</v>
      </c>
      <c r="C1" s="201" t="s">
        <v>231</v>
      </c>
      <c r="D1" s="201" t="s">
        <v>232</v>
      </c>
      <c r="E1" s="201" t="s">
        <v>233</v>
      </c>
    </row>
    <row r="2" spans="1:5" x14ac:dyDescent="0.15">
      <c r="A2">
        <v>1</v>
      </c>
      <c r="B2" s="200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200" t="s">
        <v>193</v>
      </c>
      <c r="C3">
        <v>0.8</v>
      </c>
      <c r="D3">
        <v>0</v>
      </c>
      <c r="E3">
        <v>0</v>
      </c>
    </row>
    <row r="4" spans="1:5" x14ac:dyDescent="0.15">
      <c r="A4">
        <v>3</v>
      </c>
      <c r="B4" s="200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200" t="s">
        <v>195</v>
      </c>
      <c r="C5">
        <v>0.8</v>
      </c>
      <c r="D5">
        <v>0</v>
      </c>
      <c r="E5">
        <v>0</v>
      </c>
    </row>
    <row r="6" spans="1:5" x14ac:dyDescent="0.15">
      <c r="A6">
        <v>5</v>
      </c>
      <c r="B6" s="200" t="s">
        <v>196</v>
      </c>
      <c r="C6">
        <v>0.8</v>
      </c>
      <c r="D6">
        <v>0</v>
      </c>
      <c r="E6">
        <v>0</v>
      </c>
    </row>
    <row r="7" spans="1:5" x14ac:dyDescent="0.15">
      <c r="A7">
        <v>6</v>
      </c>
      <c r="B7" s="200" t="s">
        <v>197</v>
      </c>
      <c r="C7">
        <v>0</v>
      </c>
      <c r="D7">
        <v>0</v>
      </c>
      <c r="E7">
        <v>0.8</v>
      </c>
    </row>
    <row r="8" spans="1:5" x14ac:dyDescent="0.15">
      <c r="A8">
        <v>7</v>
      </c>
      <c r="B8" s="200" t="s">
        <v>198</v>
      </c>
      <c r="C8">
        <v>0</v>
      </c>
      <c r="D8">
        <v>0</v>
      </c>
      <c r="E8">
        <v>0.8</v>
      </c>
    </row>
    <row r="9" spans="1:5" x14ac:dyDescent="0.15">
      <c r="A9">
        <v>8</v>
      </c>
      <c r="B9" s="200" t="s">
        <v>199</v>
      </c>
      <c r="C9">
        <v>0.8</v>
      </c>
      <c r="D9">
        <v>0</v>
      </c>
      <c r="E9">
        <v>0</v>
      </c>
    </row>
    <row r="10" spans="1:5" x14ac:dyDescent="0.15">
      <c r="A10">
        <v>9</v>
      </c>
      <c r="B10" s="200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200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200" t="s">
        <v>202</v>
      </c>
      <c r="C12">
        <v>0.8</v>
      </c>
      <c r="D12">
        <v>0</v>
      </c>
      <c r="E12">
        <v>0</v>
      </c>
    </row>
    <row r="13" spans="1:5" x14ac:dyDescent="0.15">
      <c r="A13">
        <v>12</v>
      </c>
      <c r="B13" s="200" t="s">
        <v>203</v>
      </c>
      <c r="C13">
        <v>0</v>
      </c>
      <c r="D13">
        <v>0</v>
      </c>
      <c r="E13">
        <v>0.8</v>
      </c>
    </row>
    <row r="14" spans="1:5" x14ac:dyDescent="0.15">
      <c r="A14">
        <v>13</v>
      </c>
      <c r="B14" s="200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200" t="s">
        <v>205</v>
      </c>
      <c r="C15">
        <v>0</v>
      </c>
      <c r="D15">
        <v>0</v>
      </c>
      <c r="E15">
        <v>0.8</v>
      </c>
    </row>
    <row r="16" spans="1:5" x14ac:dyDescent="0.15">
      <c r="A16">
        <v>15</v>
      </c>
      <c r="B16" s="200" t="s">
        <v>206</v>
      </c>
      <c r="C16">
        <v>0.8</v>
      </c>
      <c r="D16">
        <v>0</v>
      </c>
      <c r="E16">
        <v>0.8</v>
      </c>
    </row>
    <row r="17" spans="1:5" x14ac:dyDescent="0.15">
      <c r="A17">
        <v>16</v>
      </c>
      <c r="B17" s="200" t="s">
        <v>207</v>
      </c>
      <c r="C17">
        <v>0.8</v>
      </c>
      <c r="D17">
        <v>0</v>
      </c>
      <c r="E17">
        <v>0.8</v>
      </c>
    </row>
    <row r="18" spans="1:5" x14ac:dyDescent="0.15">
      <c r="A18">
        <v>17</v>
      </c>
      <c r="B18" s="200" t="s">
        <v>208</v>
      </c>
      <c r="C18">
        <v>0</v>
      </c>
      <c r="D18">
        <v>0</v>
      </c>
      <c r="E18">
        <v>0.8</v>
      </c>
    </row>
    <row r="19" spans="1:5" x14ac:dyDescent="0.15">
      <c r="A19">
        <v>18</v>
      </c>
      <c r="B19" s="200" t="s">
        <v>209</v>
      </c>
      <c r="C19">
        <v>0.8</v>
      </c>
      <c r="D19">
        <v>0</v>
      </c>
      <c r="E19">
        <v>0.8</v>
      </c>
    </row>
    <row r="20" spans="1:5" x14ac:dyDescent="0.15">
      <c r="A20">
        <v>19</v>
      </c>
      <c r="B20" s="200" t="s">
        <v>210</v>
      </c>
      <c r="C20">
        <v>0.8</v>
      </c>
      <c r="D20">
        <v>0</v>
      </c>
      <c r="E20">
        <v>0.8</v>
      </c>
    </row>
    <row r="21" spans="1:5" x14ac:dyDescent="0.15">
      <c r="A21">
        <v>20</v>
      </c>
      <c r="B21" s="200" t="s">
        <v>211</v>
      </c>
      <c r="C21">
        <v>0</v>
      </c>
      <c r="D21">
        <v>0</v>
      </c>
      <c r="E21">
        <v>0.8</v>
      </c>
    </row>
    <row r="22" spans="1:5" x14ac:dyDescent="0.15">
      <c r="A22">
        <v>21</v>
      </c>
      <c r="B22" s="200" t="s">
        <v>212</v>
      </c>
      <c r="C22">
        <v>0.8</v>
      </c>
      <c r="D22">
        <v>0</v>
      </c>
      <c r="E22">
        <v>0.8</v>
      </c>
    </row>
    <row r="23" spans="1:5" x14ac:dyDescent="0.15">
      <c r="A23">
        <v>22</v>
      </c>
      <c r="B23" s="200" t="s">
        <v>213</v>
      </c>
      <c r="C23">
        <v>0</v>
      </c>
      <c r="D23">
        <v>0</v>
      </c>
      <c r="E23">
        <v>0.8</v>
      </c>
    </row>
    <row r="24" spans="1:5" x14ac:dyDescent="0.15">
      <c r="A24">
        <v>23</v>
      </c>
      <c r="B24" s="200" t="s">
        <v>214</v>
      </c>
      <c r="C24">
        <v>0.8</v>
      </c>
      <c r="D24">
        <v>0</v>
      </c>
      <c r="E24">
        <v>0.8</v>
      </c>
    </row>
    <row r="25" spans="1:5" x14ac:dyDescent="0.15">
      <c r="A25">
        <v>24</v>
      </c>
      <c r="B25" s="200" t="s">
        <v>215</v>
      </c>
      <c r="C25">
        <v>0</v>
      </c>
      <c r="D25">
        <v>0</v>
      </c>
      <c r="E25">
        <v>0.8</v>
      </c>
    </row>
    <row r="26" spans="1:5" x14ac:dyDescent="0.15">
      <c r="A26">
        <v>25</v>
      </c>
      <c r="B26" s="200" t="s">
        <v>216</v>
      </c>
      <c r="C26">
        <v>0</v>
      </c>
      <c r="D26">
        <v>0.8</v>
      </c>
      <c r="E26">
        <v>0</v>
      </c>
    </row>
    <row r="27" spans="1:5" x14ac:dyDescent="0.15">
      <c r="A27">
        <v>26</v>
      </c>
      <c r="B27" s="200" t="s">
        <v>217</v>
      </c>
      <c r="C27">
        <v>0.8</v>
      </c>
      <c r="D27">
        <v>0</v>
      </c>
      <c r="E27">
        <v>0.8</v>
      </c>
    </row>
    <row r="28" spans="1:5" x14ac:dyDescent="0.15">
      <c r="A28">
        <v>27</v>
      </c>
      <c r="B28" s="200" t="s">
        <v>218</v>
      </c>
      <c r="C28">
        <v>0</v>
      </c>
      <c r="D28">
        <v>0</v>
      </c>
      <c r="E28">
        <v>0.8</v>
      </c>
    </row>
    <row r="29" spans="1:5" x14ac:dyDescent="0.15">
      <c r="A29">
        <v>28</v>
      </c>
      <c r="B29" s="200" t="s">
        <v>219</v>
      </c>
      <c r="C29">
        <v>0</v>
      </c>
      <c r="D29">
        <v>0</v>
      </c>
      <c r="E29">
        <v>0.8</v>
      </c>
    </row>
    <row r="30" spans="1:5" x14ac:dyDescent="0.15">
      <c r="A30">
        <v>29</v>
      </c>
      <c r="B30" s="200" t="s">
        <v>220</v>
      </c>
      <c r="C30">
        <v>0</v>
      </c>
      <c r="D30">
        <v>0</v>
      </c>
      <c r="E30">
        <v>0.8</v>
      </c>
    </row>
    <row r="31" spans="1:5" x14ac:dyDescent="0.15">
      <c r="A31">
        <v>30</v>
      </c>
      <c r="B31" s="200" t="s">
        <v>221</v>
      </c>
      <c r="C31">
        <v>0</v>
      </c>
      <c r="D31">
        <v>0</v>
      </c>
      <c r="E31">
        <v>0.8</v>
      </c>
    </row>
    <row r="32" spans="1:5" x14ac:dyDescent="0.15">
      <c r="A32">
        <v>31</v>
      </c>
      <c r="B32" s="200" t="s">
        <v>222</v>
      </c>
      <c r="C32">
        <v>0</v>
      </c>
      <c r="D32">
        <v>0</v>
      </c>
      <c r="E32">
        <v>0.8</v>
      </c>
    </row>
    <row r="33" spans="1:5" x14ac:dyDescent="0.15">
      <c r="A33">
        <v>32</v>
      </c>
      <c r="B33" s="200" t="s">
        <v>223</v>
      </c>
      <c r="C33">
        <v>0</v>
      </c>
      <c r="D33">
        <v>0</v>
      </c>
      <c r="E33">
        <v>0.8</v>
      </c>
    </row>
    <row r="34" spans="1:5" x14ac:dyDescent="0.15">
      <c r="A34">
        <v>33</v>
      </c>
      <c r="B34" s="200" t="s">
        <v>224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200" t="s">
        <v>225</v>
      </c>
      <c r="C35">
        <v>0</v>
      </c>
      <c r="D35">
        <v>0</v>
      </c>
      <c r="E35">
        <v>0.8</v>
      </c>
    </row>
    <row r="36" spans="1:5" x14ac:dyDescent="0.15">
      <c r="A36">
        <v>35</v>
      </c>
      <c r="B36" s="200" t="s">
        <v>226</v>
      </c>
      <c r="C36">
        <v>0.8</v>
      </c>
      <c r="D36">
        <v>0</v>
      </c>
      <c r="E36">
        <v>0.8</v>
      </c>
    </row>
    <row r="37" spans="1:5" x14ac:dyDescent="0.15">
      <c r="A37">
        <v>36</v>
      </c>
      <c r="B37" s="200" t="s">
        <v>227</v>
      </c>
      <c r="C37">
        <v>0</v>
      </c>
      <c r="D37">
        <v>0</v>
      </c>
      <c r="E37">
        <v>0</v>
      </c>
    </row>
    <row r="38" spans="1:5" x14ac:dyDescent="0.15">
      <c r="A38">
        <v>37</v>
      </c>
      <c r="B38" s="200" t="s">
        <v>228</v>
      </c>
      <c r="C38">
        <v>0</v>
      </c>
      <c r="D38">
        <v>0</v>
      </c>
      <c r="E38">
        <v>0</v>
      </c>
    </row>
    <row r="39" spans="1:5" x14ac:dyDescent="0.15">
      <c r="A39">
        <v>38</v>
      </c>
      <c r="B39" s="200" t="s">
        <v>229</v>
      </c>
      <c r="C39">
        <v>0</v>
      </c>
      <c r="D39">
        <v>0</v>
      </c>
      <c r="E39">
        <v>0</v>
      </c>
    </row>
    <row r="40" spans="1:5" x14ac:dyDescent="0.15">
      <c r="A40">
        <v>39</v>
      </c>
      <c r="B40" s="200" t="s">
        <v>230</v>
      </c>
      <c r="C40">
        <v>0</v>
      </c>
      <c r="D40">
        <v>0</v>
      </c>
      <c r="E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82</v>
      </c>
      <c r="B1" s="3" t="s">
        <v>0</v>
      </c>
      <c r="C1" s="203" t="s">
        <v>231</v>
      </c>
      <c r="D1" s="203" t="s">
        <v>232</v>
      </c>
      <c r="E1" s="203" t="s">
        <v>233</v>
      </c>
    </row>
    <row r="2" spans="1:5" x14ac:dyDescent="0.15">
      <c r="A2">
        <v>1</v>
      </c>
      <c r="B2" s="202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202" t="s">
        <v>193</v>
      </c>
      <c r="C3">
        <v>0.8</v>
      </c>
      <c r="D3">
        <v>0</v>
      </c>
      <c r="E3">
        <v>0</v>
      </c>
    </row>
    <row r="4" spans="1:5" x14ac:dyDescent="0.15">
      <c r="A4">
        <v>3</v>
      </c>
      <c r="B4" s="202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202" t="s">
        <v>195</v>
      </c>
      <c r="C5">
        <v>0.8</v>
      </c>
      <c r="D5">
        <v>0</v>
      </c>
      <c r="E5">
        <v>0</v>
      </c>
    </row>
    <row r="6" spans="1:5" x14ac:dyDescent="0.15">
      <c r="A6">
        <v>5</v>
      </c>
      <c r="B6" s="202" t="s">
        <v>196</v>
      </c>
      <c r="C6">
        <v>0.8</v>
      </c>
      <c r="D6">
        <v>0</v>
      </c>
      <c r="E6">
        <v>0</v>
      </c>
    </row>
    <row r="7" spans="1:5" x14ac:dyDescent="0.15">
      <c r="A7">
        <v>6</v>
      </c>
      <c r="B7" s="202" t="s">
        <v>197</v>
      </c>
      <c r="C7">
        <v>0</v>
      </c>
      <c r="D7">
        <v>0</v>
      </c>
      <c r="E7">
        <v>0.8</v>
      </c>
    </row>
    <row r="8" spans="1:5" x14ac:dyDescent="0.15">
      <c r="A8">
        <v>7</v>
      </c>
      <c r="B8" s="202" t="s">
        <v>198</v>
      </c>
      <c r="C8">
        <v>0</v>
      </c>
      <c r="D8">
        <v>0</v>
      </c>
      <c r="E8">
        <v>0.8</v>
      </c>
    </row>
    <row r="9" spans="1:5" x14ac:dyDescent="0.15">
      <c r="A9">
        <v>8</v>
      </c>
      <c r="B9" s="202" t="s">
        <v>199</v>
      </c>
      <c r="C9">
        <v>0.8</v>
      </c>
      <c r="D9">
        <v>0</v>
      </c>
      <c r="E9">
        <v>0</v>
      </c>
    </row>
    <row r="10" spans="1:5" x14ac:dyDescent="0.15">
      <c r="A10">
        <v>9</v>
      </c>
      <c r="B10" s="202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202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202" t="s">
        <v>202</v>
      </c>
      <c r="C12">
        <v>0.8</v>
      </c>
      <c r="D12">
        <v>0</v>
      </c>
      <c r="E12">
        <v>0</v>
      </c>
    </row>
    <row r="13" spans="1:5" x14ac:dyDescent="0.15">
      <c r="A13">
        <v>12</v>
      </c>
      <c r="B13" s="202" t="s">
        <v>203</v>
      </c>
      <c r="C13">
        <v>0</v>
      </c>
      <c r="D13">
        <v>0</v>
      </c>
      <c r="E13">
        <v>0.8</v>
      </c>
    </row>
    <row r="14" spans="1:5" x14ac:dyDescent="0.15">
      <c r="A14">
        <v>13</v>
      </c>
      <c r="B14" s="202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202" t="s">
        <v>205</v>
      </c>
      <c r="C15">
        <v>0</v>
      </c>
      <c r="D15">
        <v>0</v>
      </c>
      <c r="E15">
        <v>0.8</v>
      </c>
    </row>
    <row r="16" spans="1:5" x14ac:dyDescent="0.15">
      <c r="A16">
        <v>15</v>
      </c>
      <c r="B16" s="202" t="s">
        <v>206</v>
      </c>
      <c r="C16">
        <v>0.8</v>
      </c>
      <c r="D16">
        <v>0</v>
      </c>
      <c r="E16">
        <v>0.8</v>
      </c>
    </row>
    <row r="17" spans="1:5" x14ac:dyDescent="0.15">
      <c r="A17">
        <v>16</v>
      </c>
      <c r="B17" s="202" t="s">
        <v>207</v>
      </c>
      <c r="C17">
        <v>0.8</v>
      </c>
      <c r="D17">
        <v>0</v>
      </c>
      <c r="E17">
        <v>0.8</v>
      </c>
    </row>
    <row r="18" spans="1:5" x14ac:dyDescent="0.15">
      <c r="A18">
        <v>17</v>
      </c>
      <c r="B18" s="202" t="s">
        <v>208</v>
      </c>
      <c r="C18">
        <v>0</v>
      </c>
      <c r="D18">
        <v>0</v>
      </c>
      <c r="E18">
        <v>0.8</v>
      </c>
    </row>
    <row r="19" spans="1:5" x14ac:dyDescent="0.15">
      <c r="A19">
        <v>18</v>
      </c>
      <c r="B19" s="202" t="s">
        <v>209</v>
      </c>
      <c r="C19">
        <v>0.8</v>
      </c>
      <c r="D19">
        <v>0</v>
      </c>
      <c r="E19">
        <v>0.8</v>
      </c>
    </row>
    <row r="20" spans="1:5" x14ac:dyDescent="0.15">
      <c r="A20">
        <v>19</v>
      </c>
      <c r="B20" s="202" t="s">
        <v>210</v>
      </c>
      <c r="C20">
        <v>0.8</v>
      </c>
      <c r="D20">
        <v>0</v>
      </c>
      <c r="E20">
        <v>0.8</v>
      </c>
    </row>
    <row r="21" spans="1:5" x14ac:dyDescent="0.15">
      <c r="A21">
        <v>20</v>
      </c>
      <c r="B21" s="202" t="s">
        <v>211</v>
      </c>
      <c r="C21">
        <v>0</v>
      </c>
      <c r="D21">
        <v>0</v>
      </c>
      <c r="E21">
        <v>0.8</v>
      </c>
    </row>
    <row r="22" spans="1:5" x14ac:dyDescent="0.15">
      <c r="A22">
        <v>21</v>
      </c>
      <c r="B22" s="202" t="s">
        <v>212</v>
      </c>
      <c r="C22">
        <v>0.8</v>
      </c>
      <c r="D22">
        <v>0</v>
      </c>
      <c r="E22">
        <v>0.8</v>
      </c>
    </row>
    <row r="23" spans="1:5" x14ac:dyDescent="0.15">
      <c r="A23">
        <v>22</v>
      </c>
      <c r="B23" s="202" t="s">
        <v>213</v>
      </c>
      <c r="C23">
        <v>0</v>
      </c>
      <c r="D23">
        <v>0</v>
      </c>
      <c r="E23">
        <v>0.8</v>
      </c>
    </row>
    <row r="24" spans="1:5" x14ac:dyDescent="0.15">
      <c r="A24">
        <v>23</v>
      </c>
      <c r="B24" s="202" t="s">
        <v>214</v>
      </c>
      <c r="C24">
        <v>0.8</v>
      </c>
      <c r="D24">
        <v>0</v>
      </c>
      <c r="E24">
        <v>0.8</v>
      </c>
    </row>
    <row r="25" spans="1:5" x14ac:dyDescent="0.15">
      <c r="A25">
        <v>24</v>
      </c>
      <c r="B25" s="202" t="s">
        <v>215</v>
      </c>
      <c r="C25">
        <v>0</v>
      </c>
      <c r="D25">
        <v>0</v>
      </c>
      <c r="E25">
        <v>0.8</v>
      </c>
    </row>
    <row r="26" spans="1:5" x14ac:dyDescent="0.15">
      <c r="A26">
        <v>25</v>
      </c>
      <c r="B26" s="202" t="s">
        <v>216</v>
      </c>
      <c r="C26">
        <v>0</v>
      </c>
      <c r="D26">
        <v>0.8</v>
      </c>
      <c r="E26">
        <v>0</v>
      </c>
    </row>
    <row r="27" spans="1:5" x14ac:dyDescent="0.15">
      <c r="A27">
        <v>26</v>
      </c>
      <c r="B27" s="202" t="s">
        <v>217</v>
      </c>
      <c r="C27">
        <v>0.8</v>
      </c>
      <c r="D27">
        <v>0</v>
      </c>
      <c r="E27">
        <v>0.8</v>
      </c>
    </row>
    <row r="28" spans="1:5" x14ac:dyDescent="0.15">
      <c r="A28">
        <v>27</v>
      </c>
      <c r="B28" s="202" t="s">
        <v>218</v>
      </c>
      <c r="C28">
        <v>0</v>
      </c>
      <c r="D28">
        <v>0</v>
      </c>
      <c r="E28">
        <v>0.8</v>
      </c>
    </row>
    <row r="29" spans="1:5" x14ac:dyDescent="0.15">
      <c r="A29">
        <v>28</v>
      </c>
      <c r="B29" s="202" t="s">
        <v>219</v>
      </c>
      <c r="C29">
        <v>0</v>
      </c>
      <c r="D29">
        <v>0</v>
      </c>
      <c r="E29">
        <v>0.8</v>
      </c>
    </row>
    <row r="30" spans="1:5" x14ac:dyDescent="0.15">
      <c r="A30">
        <v>29</v>
      </c>
      <c r="B30" s="202" t="s">
        <v>220</v>
      </c>
      <c r="C30">
        <v>0</v>
      </c>
      <c r="D30">
        <v>0</v>
      </c>
      <c r="E30">
        <v>0.8</v>
      </c>
    </row>
    <row r="31" spans="1:5" x14ac:dyDescent="0.15">
      <c r="A31">
        <v>30</v>
      </c>
      <c r="B31" s="202" t="s">
        <v>221</v>
      </c>
      <c r="C31">
        <v>0</v>
      </c>
      <c r="D31">
        <v>0</v>
      </c>
      <c r="E31">
        <v>0.8</v>
      </c>
    </row>
    <row r="32" spans="1:5" x14ac:dyDescent="0.15">
      <c r="A32">
        <v>31</v>
      </c>
      <c r="B32" s="202" t="s">
        <v>222</v>
      </c>
      <c r="C32">
        <v>0</v>
      </c>
      <c r="D32">
        <v>0</v>
      </c>
      <c r="E32">
        <v>0.8</v>
      </c>
    </row>
    <row r="33" spans="1:5" x14ac:dyDescent="0.15">
      <c r="A33">
        <v>32</v>
      </c>
      <c r="B33" s="202" t="s">
        <v>223</v>
      </c>
      <c r="C33">
        <v>0</v>
      </c>
      <c r="D33">
        <v>0</v>
      </c>
      <c r="E33">
        <v>0.8</v>
      </c>
    </row>
    <row r="34" spans="1:5" x14ac:dyDescent="0.15">
      <c r="A34">
        <v>33</v>
      </c>
      <c r="B34" s="202" t="s">
        <v>224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202" t="s">
        <v>225</v>
      </c>
      <c r="C35">
        <v>0</v>
      </c>
      <c r="D35">
        <v>0</v>
      </c>
      <c r="E35">
        <v>0.8</v>
      </c>
    </row>
    <row r="36" spans="1:5" x14ac:dyDescent="0.15">
      <c r="A36">
        <v>35</v>
      </c>
      <c r="B36" s="202" t="s">
        <v>226</v>
      </c>
      <c r="C36">
        <v>0.8</v>
      </c>
      <c r="D36">
        <v>0</v>
      </c>
      <c r="E36">
        <v>0.8</v>
      </c>
    </row>
    <row r="37" spans="1:5" x14ac:dyDescent="0.15">
      <c r="A37">
        <v>36</v>
      </c>
      <c r="B37" s="202" t="s">
        <v>227</v>
      </c>
      <c r="C37">
        <v>0</v>
      </c>
      <c r="D37">
        <v>0</v>
      </c>
      <c r="E37">
        <v>0</v>
      </c>
    </row>
    <row r="38" spans="1:5" x14ac:dyDescent="0.15">
      <c r="A38">
        <v>37</v>
      </c>
      <c r="B38" s="202" t="s">
        <v>228</v>
      </c>
      <c r="C38">
        <v>0</v>
      </c>
      <c r="D38">
        <v>0</v>
      </c>
      <c r="E38">
        <v>0</v>
      </c>
    </row>
    <row r="39" spans="1:5" x14ac:dyDescent="0.15">
      <c r="A39">
        <v>38</v>
      </c>
      <c r="B39" s="202" t="s">
        <v>229</v>
      </c>
      <c r="C39">
        <v>0</v>
      </c>
      <c r="D39">
        <v>0</v>
      </c>
      <c r="E39">
        <v>0</v>
      </c>
    </row>
    <row r="40" spans="1:5" x14ac:dyDescent="0.15">
      <c r="A40">
        <v>39</v>
      </c>
      <c r="B40" s="202" t="s">
        <v>230</v>
      </c>
      <c r="C40">
        <v>0</v>
      </c>
      <c r="D40">
        <v>0</v>
      </c>
      <c r="E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85"/>
    <col min="2" max="2" width="41.83203125" style="85" bestFit="1" customWidth="1"/>
    <col min="3" max="3" width="9.33203125" style="85" bestFit="1" customWidth="1"/>
    <col min="4" max="4" width="13" style="85" bestFit="1" customWidth="1"/>
    <col min="5" max="6" width="9.33203125" style="85" bestFit="1" customWidth="1"/>
    <col min="7" max="7" width="9.33203125" style="101" bestFit="1" customWidth="1"/>
    <col min="8" max="8" width="9.33203125" style="85" bestFit="1" customWidth="1"/>
    <col min="9" max="9" width="11" style="85" customWidth="1"/>
    <col min="10" max="10" width="8.83203125" style="85"/>
    <col min="15" max="16384" width="8.83203125" style="8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5">
        <v>1</v>
      </c>
      <c r="B2" s="155" t="s">
        <v>192</v>
      </c>
      <c r="C2" s="8">
        <v>4.0984883308410645</v>
      </c>
      <c r="D2" s="9">
        <v>0.33799999952316284</v>
      </c>
      <c r="E2" s="9">
        <v>3.0864717960357666</v>
      </c>
      <c r="F2" s="9">
        <v>12.543074607849121</v>
      </c>
      <c r="G2" s="7">
        <v>0.31674668192863464</v>
      </c>
      <c r="H2" s="7">
        <v>0.24606978893280029</v>
      </c>
      <c r="I2">
        <v>0</v>
      </c>
      <c r="J2"/>
    </row>
    <row r="3" spans="1:10" ht="15" customHeight="1" x14ac:dyDescent="0.15">
      <c r="A3" s="156">
        <v>2</v>
      </c>
      <c r="B3" s="156" t="s">
        <v>193</v>
      </c>
      <c r="C3" s="8">
        <v>4.0890498161315918</v>
      </c>
      <c r="D3" s="9">
        <v>1.8438160419464111</v>
      </c>
      <c r="E3" s="9">
        <v>2.1596684455871582</v>
      </c>
      <c r="F3" s="9">
        <v>5.2384700775146484</v>
      </c>
      <c r="G3" s="7">
        <v>0.44075140357017517</v>
      </c>
      <c r="H3" s="7">
        <v>0.41227084398269653</v>
      </c>
      <c r="I3">
        <v>0.141184002161026</v>
      </c>
      <c r="J3"/>
    </row>
    <row r="4" spans="1:10" ht="15" customHeight="1" x14ac:dyDescent="0.15">
      <c r="A4" s="157">
        <v>3</v>
      </c>
      <c r="B4" s="157" t="s">
        <v>194</v>
      </c>
      <c r="C4" s="8">
        <v>4.0336313247680664</v>
      </c>
      <c r="D4" s="9">
        <v>0.82400000095367432</v>
      </c>
      <c r="E4" s="9">
        <v>2.2622790336608887</v>
      </c>
      <c r="F4" s="9">
        <v>7.379694938659668</v>
      </c>
      <c r="G4" s="7">
        <v>0.79393184185028076</v>
      </c>
      <c r="H4" s="7">
        <v>0.30655455589294434</v>
      </c>
      <c r="I4">
        <v>0</v>
      </c>
      <c r="J4"/>
    </row>
    <row r="5" spans="1:10" ht="15" customHeight="1" x14ac:dyDescent="0.15">
      <c r="A5" s="158">
        <v>4</v>
      </c>
      <c r="B5" s="158" t="s">
        <v>195</v>
      </c>
      <c r="C5" s="8">
        <v>3.7911298274993896</v>
      </c>
      <c r="D5" s="9">
        <v>1.5002310276031494</v>
      </c>
      <c r="E5" s="9">
        <v>0.63852095603942871</v>
      </c>
      <c r="F5" s="9">
        <v>5.2337651252746582</v>
      </c>
      <c r="G5" s="7">
        <v>0.96406334638595581</v>
      </c>
      <c r="H5" s="7">
        <v>0.1220003068447113</v>
      </c>
      <c r="I5">
        <v>0.90776902437210083</v>
      </c>
      <c r="J5"/>
    </row>
    <row r="6" spans="1:10" ht="15" customHeight="1" x14ac:dyDescent="0.15">
      <c r="A6" s="159">
        <v>5</v>
      </c>
      <c r="B6" s="159" t="s">
        <v>196</v>
      </c>
      <c r="C6" s="8">
        <v>3.7152044773101807</v>
      </c>
      <c r="D6" s="9">
        <v>4.7803449630737305</v>
      </c>
      <c r="E6" s="9">
        <v>1.342389702796936</v>
      </c>
      <c r="F6" s="9">
        <v>4.5298161506652832</v>
      </c>
      <c r="G6" s="7">
        <v>0.66249966621398926</v>
      </c>
      <c r="H6" s="7">
        <v>0.2963452935218811</v>
      </c>
      <c r="I6">
        <v>0.42465499043464661</v>
      </c>
      <c r="J6"/>
    </row>
    <row r="7" spans="1:10" ht="15" customHeight="1" x14ac:dyDescent="0.15">
      <c r="A7" s="160">
        <v>6</v>
      </c>
      <c r="B7" s="160" t="s">
        <v>197</v>
      </c>
      <c r="C7" s="8">
        <v>3.6694486141204834</v>
      </c>
      <c r="D7" s="9">
        <v>0.94728773832321167</v>
      </c>
      <c r="E7" s="9">
        <v>1.1889170408248901</v>
      </c>
      <c r="F7" s="9">
        <v>6.3645172119140625</v>
      </c>
      <c r="G7" s="7">
        <v>0.76255923509597778</v>
      </c>
      <c r="H7" s="7">
        <v>0.18680396676063538</v>
      </c>
      <c r="I7">
        <v>3.4542001783847809E-2</v>
      </c>
      <c r="J7"/>
    </row>
    <row r="8" spans="1:10" ht="15" customHeight="1" x14ac:dyDescent="0.15">
      <c r="A8" s="161">
        <v>7</v>
      </c>
      <c r="B8" s="161" t="s">
        <v>198</v>
      </c>
      <c r="C8" s="8">
        <v>3.6497733592987061</v>
      </c>
      <c r="D8" s="9">
        <v>0.39381599426269531</v>
      </c>
      <c r="E8" s="9">
        <v>1.5474036931991577</v>
      </c>
      <c r="F8" s="9">
        <v>8.1140375137329102</v>
      </c>
      <c r="G8" s="7">
        <v>0.83254379034042358</v>
      </c>
      <c r="H8" s="7">
        <v>0.1907069981098175</v>
      </c>
      <c r="I8">
        <v>2.7270000427961349E-2</v>
      </c>
      <c r="J8"/>
    </row>
    <row r="9" spans="1:10" ht="15" customHeight="1" x14ac:dyDescent="0.15">
      <c r="A9" s="162">
        <v>8</v>
      </c>
      <c r="B9" s="162" t="s">
        <v>199</v>
      </c>
      <c r="C9" s="8">
        <v>3.6271791458129883</v>
      </c>
      <c r="D9" s="9">
        <v>2.1549019813537598</v>
      </c>
      <c r="E9" s="9">
        <v>1.0420006513595581</v>
      </c>
      <c r="F9" s="9">
        <v>6.38665771484375</v>
      </c>
      <c r="G9" s="7">
        <v>0.89772152900695801</v>
      </c>
      <c r="H9" s="7">
        <v>0.16315272450447083</v>
      </c>
      <c r="I9">
        <v>0.18309800326824188</v>
      </c>
      <c r="J9"/>
    </row>
    <row r="10" spans="1:10" ht="15" customHeight="1" x14ac:dyDescent="0.15">
      <c r="A10" s="163">
        <v>9</v>
      </c>
      <c r="B10" s="163" t="s">
        <v>200</v>
      </c>
      <c r="C10" s="8">
        <v>3.6152737140655518</v>
      </c>
      <c r="D10" s="9">
        <v>1.5490000247955322</v>
      </c>
      <c r="E10" s="9">
        <v>1.0440983772277832</v>
      </c>
      <c r="F10" s="9">
        <v>4.8579182624816895</v>
      </c>
      <c r="G10" s="7">
        <v>0.88347327709197998</v>
      </c>
      <c r="H10" s="7">
        <v>0.21492712199687958</v>
      </c>
      <c r="I10">
        <v>0</v>
      </c>
      <c r="J10"/>
    </row>
    <row r="11" spans="1:10" ht="15" customHeight="1" x14ac:dyDescent="0.15">
      <c r="A11" s="164">
        <v>10</v>
      </c>
      <c r="B11" s="164" t="s">
        <v>201</v>
      </c>
      <c r="C11" s="8">
        <v>3.547931432723999</v>
      </c>
      <c r="D11" s="9">
        <v>2.6800001040101051E-2</v>
      </c>
      <c r="E11" s="9">
        <v>6.7806906700134277</v>
      </c>
      <c r="F11" s="9">
        <v>71.374862670898438</v>
      </c>
      <c r="G11" s="7">
        <v>4.3294534087181091E-2</v>
      </c>
      <c r="H11" s="7">
        <v>9.5001101493835449E-2</v>
      </c>
      <c r="I11">
        <v>0</v>
      </c>
      <c r="J11"/>
    </row>
    <row r="12" spans="1:10" ht="15" customHeight="1" x14ac:dyDescent="0.15">
      <c r="A12" s="165">
        <v>11</v>
      </c>
      <c r="B12" s="165" t="s">
        <v>202</v>
      </c>
      <c r="C12" s="8">
        <v>3.1687419414520264</v>
      </c>
      <c r="D12" s="9">
        <v>0.46778851747512817</v>
      </c>
      <c r="E12" s="9">
        <v>0.69325840473175049</v>
      </c>
      <c r="F12" s="9">
        <v>4.5549921989440918</v>
      </c>
      <c r="G12" s="7">
        <v>0.87658041715621948</v>
      </c>
      <c r="H12" s="7">
        <v>0.15219749510288239</v>
      </c>
      <c r="I12">
        <v>0.27023500204086304</v>
      </c>
      <c r="J12"/>
    </row>
    <row r="13" spans="1:10" ht="15" customHeight="1" x14ac:dyDescent="0.15">
      <c r="A13" s="166">
        <v>12</v>
      </c>
      <c r="B13" s="166" t="s">
        <v>203</v>
      </c>
      <c r="C13" s="8">
        <v>3.1550402641296387</v>
      </c>
      <c r="D13" s="9">
        <v>0.14738079905509949</v>
      </c>
      <c r="E13" s="9">
        <v>1.0411140918731689</v>
      </c>
      <c r="F13" s="9">
        <v>3.4566168785095215</v>
      </c>
      <c r="G13" s="7">
        <v>0.85780841112136841</v>
      </c>
      <c r="H13" s="7">
        <v>0.30119451880455017</v>
      </c>
      <c r="I13">
        <v>1.4543999917805195E-2</v>
      </c>
      <c r="J13"/>
    </row>
    <row r="14" spans="1:10" ht="15" customHeight="1" x14ac:dyDescent="0.15">
      <c r="A14" s="167">
        <v>13</v>
      </c>
      <c r="B14" s="167" t="s">
        <v>204</v>
      </c>
      <c r="C14" s="8">
        <v>3.1447579860687256</v>
      </c>
      <c r="D14" s="9">
        <v>2.5409998893737793</v>
      </c>
      <c r="E14" s="9">
        <v>0.13126592338085175</v>
      </c>
      <c r="F14" s="9">
        <v>4.1419658660888672</v>
      </c>
      <c r="G14" s="7">
        <v>0.61809843778610229</v>
      </c>
      <c r="H14" s="7">
        <v>3.1691696494817734E-2</v>
      </c>
      <c r="I14">
        <v>0</v>
      </c>
      <c r="J14"/>
    </row>
    <row r="15" spans="1:10" ht="15" customHeight="1" x14ac:dyDescent="0.15">
      <c r="A15" s="168">
        <v>14</v>
      </c>
      <c r="B15" s="168" t="s">
        <v>205</v>
      </c>
      <c r="C15" s="8">
        <v>3.1073267459869385</v>
      </c>
      <c r="D15" s="9">
        <v>1.4256772994995117</v>
      </c>
      <c r="E15" s="9">
        <v>1.6015878915786743</v>
      </c>
      <c r="F15" s="9">
        <v>5.6551213264465332</v>
      </c>
      <c r="G15" s="7">
        <v>0.6706281304359436</v>
      </c>
      <c r="H15" s="7">
        <v>0.28321018815040588</v>
      </c>
      <c r="I15">
        <v>4.9086000770330429E-2</v>
      </c>
      <c r="J15"/>
    </row>
    <row r="16" spans="1:10" ht="15" customHeight="1" x14ac:dyDescent="0.15">
      <c r="A16" s="169">
        <v>15</v>
      </c>
      <c r="B16" s="169" t="s">
        <v>206</v>
      </c>
      <c r="C16" s="8">
        <v>3.0778582096099854</v>
      </c>
      <c r="D16" s="9">
        <v>0.62139600515365601</v>
      </c>
      <c r="E16" s="9">
        <v>1.3595274686813354</v>
      </c>
      <c r="F16" s="9">
        <v>11.052345275878906</v>
      </c>
      <c r="G16" s="7">
        <v>0.79020607471466064</v>
      </c>
      <c r="H16" s="7">
        <v>0.12300805002450943</v>
      </c>
      <c r="I16">
        <v>0.45419198274612427</v>
      </c>
      <c r="J16"/>
    </row>
    <row r="17" spans="1:10" ht="15" customHeight="1" x14ac:dyDescent="0.15">
      <c r="A17" s="170">
        <v>16</v>
      </c>
      <c r="B17" s="170" t="s">
        <v>207</v>
      </c>
      <c r="C17" s="8">
        <v>3.0524623394012451</v>
      </c>
      <c r="D17" s="9">
        <v>2.8887228965759277</v>
      </c>
      <c r="E17" s="9">
        <v>1.5179902315139771</v>
      </c>
      <c r="F17" s="9">
        <v>10.15318489074707</v>
      </c>
      <c r="G17" s="7">
        <v>0.72333574295043945</v>
      </c>
      <c r="H17" s="7">
        <v>0.1495087742805481</v>
      </c>
      <c r="I17">
        <v>0.22539900243282318</v>
      </c>
      <c r="J17"/>
    </row>
    <row r="18" spans="1:10" ht="15" customHeight="1" x14ac:dyDescent="0.15">
      <c r="A18" s="171">
        <v>17</v>
      </c>
      <c r="B18" s="171" t="s">
        <v>208</v>
      </c>
      <c r="C18" s="8">
        <v>3.0299360752105713</v>
      </c>
      <c r="D18" s="9">
        <v>2.4843559265136719</v>
      </c>
      <c r="E18" s="9">
        <v>0.69013100862503052</v>
      </c>
      <c r="F18" s="9">
        <v>4.1004858016967773</v>
      </c>
      <c r="G18" s="7">
        <v>0.88679021596908569</v>
      </c>
      <c r="H18" s="7">
        <v>0.1683046966791153</v>
      </c>
      <c r="I18">
        <v>9.5444999635219574E-2</v>
      </c>
      <c r="J18"/>
    </row>
    <row r="19" spans="1:10" ht="15" customHeight="1" x14ac:dyDescent="0.15">
      <c r="A19" s="172">
        <v>18</v>
      </c>
      <c r="B19" s="172" t="s">
        <v>209</v>
      </c>
      <c r="C19" s="8">
        <v>2.9968788623809814</v>
      </c>
      <c r="D19" s="9">
        <v>1.0026704072952271</v>
      </c>
      <c r="E19" s="9">
        <v>1.5031803846359253</v>
      </c>
      <c r="F19" s="9">
        <v>5.500399112701416</v>
      </c>
      <c r="G19" s="7">
        <v>0.69632643461227417</v>
      </c>
      <c r="H19" s="7">
        <v>0.27328568696975708</v>
      </c>
      <c r="I19">
        <v>0.14328999817371368</v>
      </c>
      <c r="J19"/>
    </row>
    <row r="20" spans="1:10" ht="15" customHeight="1" x14ac:dyDescent="0.15">
      <c r="A20" s="173">
        <v>19</v>
      </c>
      <c r="B20" s="173" t="s">
        <v>210</v>
      </c>
      <c r="C20" s="8">
        <v>2.9181973934173584</v>
      </c>
      <c r="D20" s="9">
        <v>6.3792338371276855</v>
      </c>
      <c r="E20" s="9">
        <v>1.7315936088562012</v>
      </c>
      <c r="F20" s="9">
        <v>4.2577009201049805</v>
      </c>
      <c r="G20" s="7">
        <v>0.98896414041519165</v>
      </c>
      <c r="H20" s="7">
        <v>0.4066968560218811</v>
      </c>
      <c r="I20">
        <v>0.50970602035522461</v>
      </c>
      <c r="J20"/>
    </row>
    <row r="21" spans="1:10" ht="15" customHeight="1" x14ac:dyDescent="0.15">
      <c r="A21" s="174">
        <v>20</v>
      </c>
      <c r="B21" s="174" t="s">
        <v>211</v>
      </c>
      <c r="C21" s="8">
        <v>2.8172922134399414</v>
      </c>
      <c r="D21" s="9">
        <v>36.911907196044922</v>
      </c>
      <c r="E21" s="9">
        <v>1.6085325479507446</v>
      </c>
      <c r="F21" s="9">
        <v>12.914379119873047</v>
      </c>
      <c r="G21" s="7">
        <v>0.90151458978652954</v>
      </c>
      <c r="H21" s="7">
        <v>0.1245536133646965</v>
      </c>
      <c r="I21">
        <v>9.0899999486282468E-4</v>
      </c>
      <c r="J21"/>
    </row>
    <row r="22" spans="1:10" ht="15" customHeight="1" x14ac:dyDescent="0.15">
      <c r="A22" s="175">
        <v>21</v>
      </c>
      <c r="B22" s="175" t="s">
        <v>212</v>
      </c>
      <c r="C22" s="8">
        <v>2.7882981300354004</v>
      </c>
      <c r="D22" s="9">
        <v>0.14435678720474243</v>
      </c>
      <c r="E22" s="9">
        <v>1.0831842422485352</v>
      </c>
      <c r="F22" s="9">
        <v>11.402809143066406</v>
      </c>
      <c r="G22" s="7">
        <v>0.96946096420288086</v>
      </c>
      <c r="H22" s="7">
        <v>9.4992756843566895E-2</v>
      </c>
      <c r="I22">
        <v>2.9138000681996346E-2</v>
      </c>
      <c r="J22"/>
    </row>
    <row r="23" spans="1:10" ht="15" customHeight="1" x14ac:dyDescent="0.15">
      <c r="A23" s="176">
        <v>22</v>
      </c>
      <c r="B23" s="176" t="s">
        <v>213</v>
      </c>
      <c r="C23" s="8">
        <v>2.7186758518218994</v>
      </c>
      <c r="D23" s="9">
        <v>4.5411467552185059</v>
      </c>
      <c r="E23" s="9">
        <v>1.1169811487197876</v>
      </c>
      <c r="F23" s="9">
        <v>8.7624797821044922</v>
      </c>
      <c r="G23" s="7">
        <v>0.88425111770629883</v>
      </c>
      <c r="H23" s="7">
        <v>0.12747317552566528</v>
      </c>
      <c r="I23">
        <v>0.21543300151824951</v>
      </c>
      <c r="J23"/>
    </row>
    <row r="24" spans="1:10" ht="15" customHeight="1" x14ac:dyDescent="0.15">
      <c r="A24" s="177">
        <v>23</v>
      </c>
      <c r="B24" s="177" t="s">
        <v>214</v>
      </c>
      <c r="C24" s="8">
        <v>2.7066078186035156</v>
      </c>
      <c r="D24" s="9">
        <v>20.503240585327148</v>
      </c>
      <c r="E24" s="9">
        <v>0.54810249805450439</v>
      </c>
      <c r="F24" s="9">
        <v>1.9671427011489868</v>
      </c>
      <c r="G24" s="7">
        <v>0.28953653573989868</v>
      </c>
      <c r="H24" s="7">
        <v>0.27862873673439026</v>
      </c>
      <c r="I24">
        <v>0.913673996925354</v>
      </c>
      <c r="J24"/>
    </row>
    <row r="25" spans="1:10" ht="15" customHeight="1" x14ac:dyDescent="0.15">
      <c r="A25" s="178">
        <v>24</v>
      </c>
      <c r="B25" s="178" t="s">
        <v>215</v>
      </c>
      <c r="C25" s="8">
        <v>2.7022004127502441</v>
      </c>
      <c r="D25" s="9">
        <v>15.430048942565918</v>
      </c>
      <c r="E25" s="9">
        <v>0.84639930725097656</v>
      </c>
      <c r="F25" s="9">
        <v>2.621490478515625</v>
      </c>
      <c r="G25" s="7">
        <v>0.60040712356567383</v>
      </c>
      <c r="H25" s="7">
        <v>0.32286950945854187</v>
      </c>
      <c r="I25">
        <v>0.46449899673461914</v>
      </c>
      <c r="J25"/>
    </row>
    <row r="26" spans="1:10" ht="15" customHeight="1" x14ac:dyDescent="0.15">
      <c r="A26" s="179">
        <v>25</v>
      </c>
      <c r="B26" s="179" t="s">
        <v>216</v>
      </c>
      <c r="C26" s="8">
        <v>2.6907751560211182</v>
      </c>
      <c r="D26" s="9">
        <v>3.1266000270843506</v>
      </c>
      <c r="E26" s="9">
        <v>1.0254398584365845</v>
      </c>
      <c r="F26" s="9">
        <v>3.0582828521728516</v>
      </c>
      <c r="G26" s="7">
        <v>0.95516538619995117</v>
      </c>
      <c r="H26" s="7">
        <v>0.33529922366142273</v>
      </c>
      <c r="I26">
        <v>1.0247999429702759</v>
      </c>
      <c r="J26"/>
    </row>
    <row r="27" spans="1:10" ht="15" customHeight="1" x14ac:dyDescent="0.15">
      <c r="A27" s="180">
        <v>26</v>
      </c>
      <c r="B27" s="180" t="s">
        <v>217</v>
      </c>
      <c r="C27" s="8">
        <v>2.6390266418457031</v>
      </c>
      <c r="D27" s="9">
        <v>0.4804217517375946</v>
      </c>
      <c r="E27" s="9">
        <v>0.65215253829956055</v>
      </c>
      <c r="F27" s="9">
        <v>6.2223572731018066</v>
      </c>
      <c r="G27" s="7">
        <v>0.83060795068740845</v>
      </c>
      <c r="H27" s="7">
        <v>0.10480795800685883</v>
      </c>
      <c r="I27">
        <v>0.14028599858283997</v>
      </c>
      <c r="J27"/>
    </row>
    <row r="28" spans="1:10" ht="15" customHeight="1" x14ac:dyDescent="0.15">
      <c r="A28" s="181">
        <v>27</v>
      </c>
      <c r="B28" s="181" t="s">
        <v>218</v>
      </c>
      <c r="C28" s="8">
        <v>2.1076107025146484</v>
      </c>
      <c r="D28" s="9">
        <v>0.20919869840145111</v>
      </c>
      <c r="E28" s="9">
        <v>2.8435375690460205</v>
      </c>
      <c r="F28" s="9">
        <v>9.2519865036010742</v>
      </c>
      <c r="G28" s="7">
        <v>0.77330076694488525</v>
      </c>
      <c r="H28" s="7">
        <v>0.30734345316886902</v>
      </c>
      <c r="I28">
        <v>0.11544299870729446</v>
      </c>
      <c r="J28"/>
    </row>
    <row r="29" spans="1:10" ht="15" customHeight="1" x14ac:dyDescent="0.15">
      <c r="A29" s="182">
        <v>28</v>
      </c>
      <c r="B29" s="182" t="s">
        <v>219</v>
      </c>
      <c r="C29" s="8">
        <v>2.1033997535705566</v>
      </c>
      <c r="D29" s="9">
        <v>0.41899761557579041</v>
      </c>
      <c r="E29" s="9">
        <v>4.7177777290344238</v>
      </c>
      <c r="F29" s="9">
        <v>19.282386779785156</v>
      </c>
      <c r="G29" s="7">
        <v>0.92551195621490479</v>
      </c>
      <c r="H29" s="7">
        <v>0.24466772377490997</v>
      </c>
      <c r="I29">
        <v>0.6835399866104126</v>
      </c>
      <c r="J29"/>
    </row>
    <row r="30" spans="1:10" ht="15" customHeight="1" x14ac:dyDescent="0.15">
      <c r="A30" s="183">
        <v>29</v>
      </c>
      <c r="B30" s="183" t="s">
        <v>220</v>
      </c>
      <c r="C30" s="8">
        <v>2.1024651527404785</v>
      </c>
      <c r="D30" s="9">
        <v>0.52493071556091309</v>
      </c>
      <c r="E30" s="9">
        <v>4.1111574172973633</v>
      </c>
      <c r="F30" s="9">
        <v>8.4148073196411133</v>
      </c>
      <c r="G30" s="7">
        <v>0.51374220848083496</v>
      </c>
      <c r="H30" s="7">
        <v>0.48856228590011597</v>
      </c>
      <c r="I30">
        <v>8.0900996923446655E-2</v>
      </c>
      <c r="J30"/>
    </row>
    <row r="31" spans="1:10" ht="15" customHeight="1" x14ac:dyDescent="0.15">
      <c r="A31" s="184">
        <v>30</v>
      </c>
      <c r="B31" s="184" t="s">
        <v>221</v>
      </c>
      <c r="C31" s="8">
        <v>2.0979762077331543</v>
      </c>
      <c r="D31" s="9">
        <v>3.8133718967437744</v>
      </c>
      <c r="E31" s="9">
        <v>3.0919771194458008</v>
      </c>
      <c r="F31" s="9">
        <v>6.498377799987793</v>
      </c>
      <c r="G31" s="7">
        <v>0.67826038599014282</v>
      </c>
      <c r="H31" s="7">
        <v>0.4758075475692749</v>
      </c>
      <c r="I31">
        <v>0.1090800017118454</v>
      </c>
      <c r="J31"/>
    </row>
    <row r="32" spans="1:10" ht="15" customHeight="1" x14ac:dyDescent="0.15">
      <c r="A32" s="216">
        <v>31</v>
      </c>
      <c r="B32" s="216" t="s">
        <v>222</v>
      </c>
      <c r="C32" s="8">
        <v>2.067488431930542</v>
      </c>
      <c r="D32" s="9">
        <v>0.27535268664360046</v>
      </c>
      <c r="E32" s="9">
        <v>0.81357878446578979</v>
      </c>
      <c r="F32" s="9">
        <v>6.5438089370727539</v>
      </c>
      <c r="G32" s="7">
        <v>0.90678483247756958</v>
      </c>
      <c r="H32" s="7">
        <v>0.12432801723480225</v>
      </c>
      <c r="I32">
        <v>2.6360999792814255E-2</v>
      </c>
      <c r="J32"/>
    </row>
    <row r="33" spans="1:10" ht="15" customHeight="1" x14ac:dyDescent="0.15">
      <c r="A33" s="217">
        <v>32</v>
      </c>
      <c r="B33" s="217" t="s">
        <v>223</v>
      </c>
      <c r="C33" s="8">
        <v>2.0534510612487793</v>
      </c>
      <c r="D33" s="9">
        <v>1.5838929414749146</v>
      </c>
      <c r="E33" s="9">
        <v>0.9621281623840332</v>
      </c>
      <c r="F33" s="9">
        <v>4.017399787902832</v>
      </c>
      <c r="G33" s="7">
        <v>0.72287863492965698</v>
      </c>
      <c r="H33" s="7">
        <v>0.23949027061462402</v>
      </c>
      <c r="I33">
        <v>0.16089299321174622</v>
      </c>
      <c r="J33"/>
    </row>
    <row r="34" spans="1:10" ht="15" customHeight="1" x14ac:dyDescent="0.15">
      <c r="A34" s="218">
        <v>33</v>
      </c>
      <c r="B34" s="218" t="s">
        <v>224</v>
      </c>
      <c r="C34" s="8">
        <v>2.0332481861114502</v>
      </c>
      <c r="D34" s="9">
        <v>27.093000411987305</v>
      </c>
      <c r="E34" s="9">
        <v>23.57843017578125</v>
      </c>
      <c r="F34" s="9">
        <v>64.177848815917969</v>
      </c>
      <c r="G34" s="7">
        <v>0.77105921506881714</v>
      </c>
      <c r="H34" s="7">
        <v>0.36739203333854675</v>
      </c>
      <c r="I34">
        <v>0</v>
      </c>
      <c r="J34"/>
    </row>
    <row r="35" spans="1:10" ht="15" customHeight="1" x14ac:dyDescent="0.15">
      <c r="A35" s="219">
        <v>34</v>
      </c>
      <c r="B35" s="219" t="s">
        <v>225</v>
      </c>
      <c r="C35" s="8">
        <v>2.0304083824157715</v>
      </c>
      <c r="D35" s="9">
        <v>13.738452911376953</v>
      </c>
      <c r="E35" s="9">
        <v>4.4163455963134766</v>
      </c>
      <c r="F35" s="9">
        <v>19.767728805541992</v>
      </c>
      <c r="G35" s="7">
        <v>0.80983424186706543</v>
      </c>
      <c r="H35" s="7">
        <v>0.22341188788414001</v>
      </c>
      <c r="I35">
        <v>1.5452999621629715E-2</v>
      </c>
      <c r="J35"/>
    </row>
    <row r="36" spans="1:10" ht="15" customHeight="1" x14ac:dyDescent="0.15">
      <c r="A36" s="220">
        <v>35</v>
      </c>
      <c r="B36" s="220" t="s">
        <v>226</v>
      </c>
      <c r="C36" s="8">
        <v>2.0175473690032959</v>
      </c>
      <c r="D36" s="9">
        <v>22.949939727783203</v>
      </c>
      <c r="E36" s="9">
        <v>4.0778903961181641</v>
      </c>
      <c r="F36" s="9">
        <v>9.3669548034667969</v>
      </c>
      <c r="G36" s="7">
        <v>0.5129401683807373</v>
      </c>
      <c r="H36" s="7">
        <v>0.43534857034683228</v>
      </c>
      <c r="I36">
        <v>6.0430660247802734</v>
      </c>
      <c r="J36"/>
    </row>
    <row r="37" spans="1:10" ht="15" customHeight="1" x14ac:dyDescent="0.15">
      <c r="A37" s="221">
        <v>36</v>
      </c>
      <c r="B37" s="221" t="s">
        <v>227</v>
      </c>
      <c r="C37" s="8">
        <v>1</v>
      </c>
      <c r="D37" s="9">
        <v>40.96099853515625</v>
      </c>
      <c r="E37" s="9">
        <v>71.018875122070312</v>
      </c>
      <c r="F37" s="10"/>
      <c r="G37" s="7">
        <v>0.61456203460693359</v>
      </c>
      <c r="H37" s="10"/>
      <c r="I37">
        <v>0</v>
      </c>
      <c r="J37"/>
    </row>
    <row r="38" spans="1:10" ht="15" customHeight="1" x14ac:dyDescent="0.15">
      <c r="A38" s="222">
        <v>37</v>
      </c>
      <c r="B38" s="222" t="s">
        <v>228</v>
      </c>
      <c r="C38" s="8">
        <v>1</v>
      </c>
      <c r="D38" s="9">
        <v>2.1570000648498535</v>
      </c>
      <c r="E38" s="10"/>
      <c r="F38" s="10"/>
      <c r="G38" s="7">
        <v>0.89729738235473633</v>
      </c>
      <c r="H38" s="10"/>
      <c r="I38">
        <v>0</v>
      </c>
      <c r="J38"/>
    </row>
    <row r="39" spans="1:10" ht="15" customHeight="1" x14ac:dyDescent="0.15">
      <c r="A39" s="223">
        <v>38</v>
      </c>
      <c r="B39" s="223" t="s">
        <v>229</v>
      </c>
      <c r="C39" s="8">
        <v>1</v>
      </c>
      <c r="D39" s="9">
        <v>5</v>
      </c>
      <c r="E39" s="10"/>
      <c r="F39" s="10"/>
      <c r="G39" s="7">
        <v>0.29248359799385071</v>
      </c>
      <c r="H39" s="10"/>
      <c r="I39">
        <v>0</v>
      </c>
      <c r="J39"/>
    </row>
    <row r="40" spans="1:10" ht="15" customHeight="1" x14ac:dyDescent="0.15">
      <c r="A40" s="224">
        <v>39</v>
      </c>
      <c r="B40" s="224" t="s">
        <v>230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25">
        <v>40</v>
      </c>
      <c r="B41" s="225" t="s">
        <v>231</v>
      </c>
      <c r="C41" s="8">
        <v>4.3402523994445801</v>
      </c>
      <c r="D41" s="10"/>
      <c r="E41" s="10"/>
      <c r="F41" s="10"/>
      <c r="G41" s="10"/>
      <c r="H41" s="10"/>
      <c r="I41">
        <v>3.22186279296875</v>
      </c>
      <c r="J41"/>
    </row>
    <row r="42" spans="1:10" ht="15" customHeight="1" x14ac:dyDescent="0.15">
      <c r="A42" s="226">
        <v>41</v>
      </c>
      <c r="B42" s="226" t="s">
        <v>232</v>
      </c>
      <c r="C42" s="8">
        <v>3.6907753944396973</v>
      </c>
      <c r="D42" s="10"/>
      <c r="E42" s="10"/>
      <c r="F42" s="10"/>
      <c r="G42" s="10"/>
      <c r="H42" s="10"/>
      <c r="I42">
        <v>1.0247999429702759</v>
      </c>
      <c r="J42"/>
    </row>
    <row r="43" spans="1:10" ht="15" customHeight="1" x14ac:dyDescent="0.15">
      <c r="A43" s="227">
        <v>42</v>
      </c>
      <c r="B43" s="227" t="s">
        <v>233</v>
      </c>
      <c r="C43" s="8">
        <v>3.2175142765045166</v>
      </c>
      <c r="D43" s="10"/>
      <c r="E43" s="10"/>
      <c r="F43" s="10"/>
      <c r="G43" s="10"/>
      <c r="H43" s="10"/>
      <c r="I43">
        <v>9.257227897644043</v>
      </c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5" bestFit="1" customWidth="1"/>
    <col min="2" max="4" width="9.5" style="85" bestFit="1" customWidth="1"/>
    <col min="5" max="7" width="9" style="85" bestFit="1" customWidth="1"/>
    <col min="8" max="16" width="12.6640625" style="85" bestFit="1" customWidth="1"/>
    <col min="17" max="17" width="12.33203125" style="85" bestFit="1" customWidth="1"/>
    <col min="18" max="18" width="8.83203125" style="85"/>
    <col min="19" max="21" width="9.33203125" style="85" bestFit="1" customWidth="1"/>
    <col min="22" max="23" width="8.83203125" style="85"/>
    <col min="24" max="24" width="9.33203125" style="85" bestFit="1" customWidth="1"/>
    <col min="25" max="27" width="8.83203125" style="85"/>
    <col min="28" max="58" width="9" style="85" bestFit="1" customWidth="1"/>
    <col min="59" max="59" width="12.33203125" style="85" bestFit="1" customWidth="1"/>
    <col min="60" max="60" width="9" style="85" bestFit="1" customWidth="1"/>
    <col min="61" max="61" width="11.33203125" style="85" bestFit="1" customWidth="1"/>
    <col min="62" max="77" width="9" style="85" bestFit="1" customWidth="1"/>
    <col min="78" max="78" width="12.33203125" style="85" bestFit="1" customWidth="1"/>
    <col min="79" max="79" width="9" style="85" bestFit="1" customWidth="1"/>
    <col min="80" max="80" width="12.33203125" style="85" bestFit="1" customWidth="1"/>
    <col min="81" max="107" width="9" style="85" bestFit="1" customWidth="1"/>
    <col min="108" max="108" width="11.33203125" style="85" bestFit="1" customWidth="1"/>
    <col min="109" max="124" width="9" style="85" bestFit="1" customWidth="1"/>
    <col min="125" max="125" width="10.33203125" style="85" bestFit="1" customWidth="1"/>
    <col min="126" max="129" width="9.33203125" style="85" bestFit="1" customWidth="1"/>
    <col min="130" max="130" width="9" style="85" bestFit="1" customWidth="1"/>
    <col min="131" max="134" width="9.33203125" style="85" bestFit="1" customWidth="1"/>
    <col min="135" max="165" width="9" style="85" bestFit="1" customWidth="1"/>
    <col min="166" max="166" width="12.33203125" style="85" bestFit="1" customWidth="1"/>
    <col min="167" max="170" width="9" style="85" bestFit="1" customWidth="1"/>
    <col min="171" max="176" width="8.83203125" style="85"/>
    <col min="177" max="177" width="13.83203125" style="85" bestFit="1" customWidth="1"/>
    <col min="178" max="16384" width="8.83203125" style="8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240</v>
      </c>
      <c r="E1" t="s">
        <v>241</v>
      </c>
      <c r="F1" t="s">
        <v>242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t="s">
        <v>216</v>
      </c>
      <c r="AF1" t="s">
        <v>217</v>
      </c>
      <c r="AG1" t="s">
        <v>218</v>
      </c>
      <c r="AH1" t="s">
        <v>219</v>
      </c>
      <c r="AI1" t="s">
        <v>220</v>
      </c>
      <c r="AJ1" t="s">
        <v>221</v>
      </c>
      <c r="AK1" t="s">
        <v>222</v>
      </c>
      <c r="AL1" t="s">
        <v>223</v>
      </c>
      <c r="AM1" t="s">
        <v>224</v>
      </c>
      <c r="AN1" t="s">
        <v>225</v>
      </c>
      <c r="AO1" t="s">
        <v>226</v>
      </c>
      <c r="AP1" t="s">
        <v>227</v>
      </c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3.0864717960357666</v>
      </c>
      <c r="C2">
        <v>2.108842134475708</v>
      </c>
      <c r="D2"/>
      <c r="E2"/>
      <c r="F2"/>
      <c r="G2"/>
      <c r="H2"/>
      <c r="I2"/>
      <c r="J2" s="266">
        <v>0.97762972116470337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2.1596684455871582</v>
      </c>
      <c r="C3">
        <v>1.2077915668487549</v>
      </c>
      <c r="D3" s="28">
        <v>7.6571628451347351E-2</v>
      </c>
      <c r="E3"/>
      <c r="F3"/>
      <c r="G3" s="27">
        <v>0.16538707911968231</v>
      </c>
      <c r="H3" s="269">
        <v>0.23573119938373566</v>
      </c>
      <c r="I3" s="273">
        <v>0.32662689685821533</v>
      </c>
      <c r="J3" s="235">
        <v>9.8141342401504517E-2</v>
      </c>
      <c r="K3"/>
      <c r="L3"/>
      <c r="M3"/>
      <c r="N3"/>
      <c r="O3" s="232">
        <v>4.9418732523918152E-2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2.2622790336608887</v>
      </c>
      <c r="C4">
        <v>0.46618366241455078</v>
      </c>
      <c r="D4"/>
      <c r="E4"/>
      <c r="F4"/>
      <c r="G4" s="264">
        <v>0.34437704086303711</v>
      </c>
      <c r="H4" s="66">
        <v>9.3774519860744476E-2</v>
      </c>
      <c r="I4" s="265">
        <v>0.37608060240745544</v>
      </c>
      <c r="J4" s="274">
        <v>0.75429582595825195</v>
      </c>
      <c r="K4"/>
      <c r="L4"/>
      <c r="M4"/>
      <c r="N4" s="70">
        <v>0.1169154942035675</v>
      </c>
      <c r="O4" s="235">
        <v>0.10136628150939941</v>
      </c>
      <c r="P4" s="12">
        <v>9.2856632545590401E-3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0.63852095603942871</v>
      </c>
      <c r="C5">
        <v>2.2946305572986603E-2</v>
      </c>
      <c r="D5" s="228">
        <v>0.60508614778518677</v>
      </c>
      <c r="E5"/>
      <c r="F5"/>
      <c r="G5"/>
      <c r="H5"/>
      <c r="I5"/>
      <c r="J5" s="16">
        <v>1.0488506406545639E-2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1.342389702796936</v>
      </c>
      <c r="C6">
        <v>0.45305696129798889</v>
      </c>
      <c r="D6" s="112">
        <v>8.8833548128604889E-2</v>
      </c>
      <c r="E6"/>
      <c r="F6"/>
      <c r="G6" s="146">
        <v>0.17276747524738312</v>
      </c>
      <c r="H6" s="282">
        <v>0.4586576521396637</v>
      </c>
      <c r="I6"/>
      <c r="J6"/>
      <c r="K6" s="259">
        <v>0.14028401672840118</v>
      </c>
      <c r="L6"/>
      <c r="M6"/>
      <c r="N6" s="65">
        <v>2.879001758992672E-2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1.1889170408248901</v>
      </c>
      <c r="C7">
        <v>0.28229737281799316</v>
      </c>
      <c r="D7"/>
      <c r="E7"/>
      <c r="F7" s="25">
        <v>3.6464106291532516E-2</v>
      </c>
      <c r="G7" s="237">
        <v>6.7065030336380005E-2</v>
      </c>
      <c r="H7"/>
      <c r="I7"/>
      <c r="J7" s="259">
        <v>0.12458080798387527</v>
      </c>
      <c r="K7"/>
      <c r="L7"/>
      <c r="M7"/>
      <c r="N7"/>
      <c r="O7"/>
      <c r="P7"/>
      <c r="Q7" s="242">
        <v>4.7236163169145584E-2</v>
      </c>
      <c r="R7" s="66">
        <v>4.8843946307897568E-2</v>
      </c>
      <c r="S7"/>
      <c r="T7"/>
      <c r="U7"/>
      <c r="V7"/>
      <c r="W7"/>
      <c r="X7"/>
      <c r="Y7"/>
      <c r="Z7"/>
      <c r="AA7"/>
      <c r="AB7"/>
      <c r="AC7" s="271">
        <v>0.55405664443969727</v>
      </c>
      <c r="AD7"/>
      <c r="AE7"/>
      <c r="AF7" s="232">
        <v>2.8372928500175476E-2</v>
      </c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1.5474036931991577</v>
      </c>
      <c r="C8">
        <v>0.25912237167358398</v>
      </c>
      <c r="D8"/>
      <c r="E8"/>
      <c r="F8" s="235">
        <v>6.9245539605617523E-2</v>
      </c>
      <c r="G8" s="24">
        <v>4.301830381155014E-2</v>
      </c>
      <c r="H8"/>
      <c r="I8"/>
      <c r="J8" s="242">
        <v>5.9933509677648544E-2</v>
      </c>
      <c r="K8"/>
      <c r="L8" s="79">
        <v>0.21937517821788788</v>
      </c>
      <c r="M8" s="261">
        <v>0.34925293922424316</v>
      </c>
      <c r="N8"/>
      <c r="O8" s="13">
        <v>5.7843670248985291E-2</v>
      </c>
      <c r="P8"/>
      <c r="Q8"/>
      <c r="R8"/>
      <c r="S8"/>
      <c r="T8" s="113">
        <v>0.26640817523002625</v>
      </c>
      <c r="U8"/>
      <c r="V8" s="258">
        <v>0.22320401668548584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1.0420006513595581</v>
      </c>
      <c r="C9">
        <v>0.10657422989606857</v>
      </c>
      <c r="D9" s="229">
        <v>8.4968134760856628E-2</v>
      </c>
      <c r="E9"/>
      <c r="F9"/>
      <c r="G9" s="13">
        <v>3.9308734238147736E-2</v>
      </c>
      <c r="H9" s="275">
        <v>0.31375640630722046</v>
      </c>
      <c r="I9" s="111">
        <v>0.16280061006546021</v>
      </c>
      <c r="J9" s="65">
        <v>2.190612256526947E-2</v>
      </c>
      <c r="K9"/>
      <c r="L9"/>
      <c r="M9" s="25">
        <v>3.2655779272317886E-2</v>
      </c>
      <c r="N9" s="262">
        <v>0.10218653082847595</v>
      </c>
      <c r="O9" s="66">
        <v>4.2284544557332993E-2</v>
      </c>
      <c r="P9" s="242">
        <v>4.1720584034919739E-2</v>
      </c>
      <c r="Q9" s="12">
        <v>3.9552114903926849E-3</v>
      </c>
      <c r="R9"/>
      <c r="S9"/>
      <c r="T9" s="260">
        <v>8.9883781969547272E-2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1.0440983772277832</v>
      </c>
      <c r="C10">
        <v>0.12166536599397659</v>
      </c>
      <c r="D10"/>
      <c r="E10"/>
      <c r="F10"/>
      <c r="G10" s="257">
        <v>0.17225655913352966</v>
      </c>
      <c r="H10" s="267">
        <v>0.21824216842651367</v>
      </c>
      <c r="I10" s="114">
        <v>0.30952426791191101</v>
      </c>
      <c r="J10" s="239">
        <v>0.12189943343400955</v>
      </c>
      <c r="K10"/>
      <c r="L10"/>
      <c r="M10"/>
      <c r="N10"/>
      <c r="O10" s="75">
        <v>9.8040759563446045E-2</v>
      </c>
      <c r="P10" s="14">
        <v>2.4697820190340281E-3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6.7806906700134277</v>
      </c>
      <c r="C11">
        <v>6.487123966217041</v>
      </c>
      <c r="D11"/>
      <c r="E11"/>
      <c r="F11"/>
      <c r="G11"/>
      <c r="H11"/>
      <c r="I11"/>
      <c r="J11" s="20">
        <v>0.29356682300567627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0.69325840473175049</v>
      </c>
      <c r="C12">
        <v>8.5561662912368774E-2</v>
      </c>
      <c r="D12" s="230">
        <v>0.57768625020980835</v>
      </c>
      <c r="E12"/>
      <c r="F12"/>
      <c r="G12"/>
      <c r="H12"/>
      <c r="I12"/>
      <c r="J12" s="232">
        <v>1.6818692907691002E-2</v>
      </c>
      <c r="K12"/>
      <c r="L12" s="21">
        <v>1.3191783800721169E-2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1.0411140918731689</v>
      </c>
      <c r="C13">
        <v>0.14803767204284668</v>
      </c>
      <c r="D13"/>
      <c r="E13"/>
      <c r="F13" s="75">
        <v>9.868314117193222E-2</v>
      </c>
      <c r="G13"/>
      <c r="H13" s="245">
        <v>0.13107235729694366</v>
      </c>
      <c r="I13"/>
      <c r="J13"/>
      <c r="K13"/>
      <c r="L13" s="255">
        <v>0.29309603571891785</v>
      </c>
      <c r="M13"/>
      <c r="N13"/>
      <c r="O13"/>
      <c r="P13"/>
      <c r="Q13"/>
      <c r="R13"/>
      <c r="S13"/>
      <c r="T13" s="236">
        <v>5.4759163409471512E-2</v>
      </c>
      <c r="U13"/>
      <c r="V13"/>
      <c r="W13"/>
      <c r="X13" s="241">
        <v>7.2310455143451691E-2</v>
      </c>
      <c r="Y13"/>
      <c r="Z13"/>
      <c r="AA13"/>
      <c r="AB13"/>
      <c r="AC13"/>
      <c r="AD13"/>
      <c r="AE13"/>
      <c r="AF13" s="254">
        <v>0.24315531551837921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0.13126592338085175</v>
      </c>
      <c r="C14">
        <v>5.0130661576986313E-2</v>
      </c>
      <c r="D14"/>
      <c r="E14"/>
      <c r="F14"/>
      <c r="G14"/>
      <c r="H14"/>
      <c r="I14"/>
      <c r="J14" s="239">
        <v>1.5481289476156235E-2</v>
      </c>
      <c r="K14"/>
      <c r="L14"/>
      <c r="M14"/>
      <c r="N14" s="257">
        <v>2.1664896979928017E-2</v>
      </c>
      <c r="O14"/>
      <c r="P14" s="151">
        <v>3.7639637012034655E-3</v>
      </c>
      <c r="Q14"/>
      <c r="R14"/>
      <c r="S14" s="75">
        <v>1.2438337318599224E-2</v>
      </c>
      <c r="T14" s="247">
        <v>1.2704367749392986E-2</v>
      </c>
      <c r="U14"/>
      <c r="V14"/>
      <c r="W14"/>
      <c r="X14" s="247">
        <v>1.2582260183990002E-2</v>
      </c>
      <c r="Y14"/>
      <c r="Z14"/>
      <c r="AA14"/>
      <c r="AB14"/>
      <c r="AC14"/>
      <c r="AD14"/>
      <c r="AE14"/>
      <c r="AF14"/>
      <c r="AG14" s="21">
        <v>2.5001405738294125E-3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1.6015878915786743</v>
      </c>
      <c r="C15">
        <v>0.52751797437667847</v>
      </c>
      <c r="D15"/>
      <c r="E15"/>
      <c r="F15" s="65">
        <v>3.4429952502250671E-2</v>
      </c>
      <c r="G15"/>
      <c r="H15"/>
      <c r="I15"/>
      <c r="J15"/>
      <c r="K15"/>
      <c r="L15" s="279">
        <v>0.93494367599487305</v>
      </c>
      <c r="M15" s="152">
        <v>9.8718017339706421E-2</v>
      </c>
      <c r="N15"/>
      <c r="O15"/>
      <c r="P15"/>
      <c r="Q15" s="12">
        <v>5.9782760217785835E-3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1.3595274686813354</v>
      </c>
      <c r="C16">
        <v>0.28522059321403503</v>
      </c>
      <c r="D16" s="148">
        <v>0.69581395387649536</v>
      </c>
      <c r="E16"/>
      <c r="F16" s="26">
        <v>3.5108048468828201E-2</v>
      </c>
      <c r="G16" s="15">
        <v>1.3631641864776611E-2</v>
      </c>
      <c r="H16" s="232">
        <v>3.1087338924407959E-2</v>
      </c>
      <c r="I16" s="17">
        <v>1.881888136267662E-2</v>
      </c>
      <c r="J16" s="15">
        <v>1.2661155313253403E-2</v>
      </c>
      <c r="K16" s="26">
        <v>3.4812670201063156E-2</v>
      </c>
      <c r="L16" s="17">
        <v>1.9861605018377304E-2</v>
      </c>
      <c r="M16" s="22">
        <v>1.0295003652572632E-2</v>
      </c>
      <c r="N16" s="16">
        <v>2.2147908806800842E-2</v>
      </c>
      <c r="O16" s="19">
        <v>2.4439349770545959E-2</v>
      </c>
      <c r="P16" s="15">
        <v>1.2313221581280231E-2</v>
      </c>
      <c r="Q16" s="16">
        <v>2.057405561208725E-2</v>
      </c>
      <c r="R16" s="16">
        <v>2.0726034417748451E-2</v>
      </c>
      <c r="S16"/>
      <c r="T16" s="21">
        <v>2.5975221768021584E-2</v>
      </c>
      <c r="U16"/>
      <c r="V16"/>
      <c r="W16" s="232">
        <v>3.2787684351205826E-2</v>
      </c>
      <c r="X16"/>
      <c r="Y16"/>
      <c r="Z16"/>
      <c r="AA16"/>
      <c r="AB16"/>
      <c r="AC16"/>
      <c r="AD16"/>
      <c r="AE16"/>
      <c r="AF16" s="25">
        <v>4.3253138661384583E-2</v>
      </c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1.5179902315139771</v>
      </c>
      <c r="C17">
        <v>0.41997364163398743</v>
      </c>
      <c r="D17" s="15">
        <v>1.6036843881011009E-2</v>
      </c>
      <c r="E17"/>
      <c r="F17" s="66">
        <v>6.1990372836589813E-2</v>
      </c>
      <c r="G17" s="272">
        <v>0.18473583459854126</v>
      </c>
      <c r="H17"/>
      <c r="I17"/>
      <c r="J17"/>
      <c r="K17"/>
      <c r="L17"/>
      <c r="M17" s="235">
        <v>6.7544333636760712E-2</v>
      </c>
      <c r="N17"/>
      <c r="O17"/>
      <c r="P17"/>
      <c r="Q17"/>
      <c r="R17"/>
      <c r="S17"/>
      <c r="T17" s="256">
        <v>0.11454486846923828</v>
      </c>
      <c r="U17"/>
      <c r="V17" s="147">
        <v>0.18257476389408112</v>
      </c>
      <c r="W17"/>
      <c r="X17"/>
      <c r="Y17" s="280">
        <v>0.47058954834938049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0.69013100862503052</v>
      </c>
      <c r="C18">
        <v>7.8129582107067108E-2</v>
      </c>
      <c r="D18"/>
      <c r="E18"/>
      <c r="F18" s="64">
        <v>3.841840848326683E-2</v>
      </c>
      <c r="G18" s="19">
        <v>1.1933582834899426E-2</v>
      </c>
      <c r="H18" s="242">
        <v>2.721487358212471E-2</v>
      </c>
      <c r="I18"/>
      <c r="J18" s="69">
        <v>6.3337065279483795E-2</v>
      </c>
      <c r="K18"/>
      <c r="L18" s="78">
        <v>4.4710710644721985E-2</v>
      </c>
      <c r="M18" s="17">
        <v>9.0125799179077148E-3</v>
      </c>
      <c r="N18"/>
      <c r="O18"/>
      <c r="P18"/>
      <c r="Q18" s="25">
        <v>2.1441904827952385E-2</v>
      </c>
      <c r="R18" s="11">
        <v>5.7600776199251413E-4</v>
      </c>
      <c r="S18"/>
      <c r="T18" s="270">
        <v>0.18841344118118286</v>
      </c>
      <c r="U18"/>
      <c r="V18"/>
      <c r="W18"/>
      <c r="X18"/>
      <c r="Y18" s="263">
        <v>0.10943704098463058</v>
      </c>
      <c r="Z18"/>
      <c r="AA18"/>
      <c r="AB18"/>
      <c r="AC18" s="79">
        <v>9.7505763173103333E-2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1.5031803846359253</v>
      </c>
      <c r="C19">
        <v>0.45647615194320679</v>
      </c>
      <c r="D19" s="112">
        <v>0.1012057363986969</v>
      </c>
      <c r="E19"/>
      <c r="F19" s="24">
        <v>4.1702635586261749E-2</v>
      </c>
      <c r="G19" s="18">
        <v>1.689617708325386E-2</v>
      </c>
      <c r="H19"/>
      <c r="I19"/>
      <c r="J19"/>
      <c r="K19"/>
      <c r="L19" s="255">
        <v>0.42466232180595398</v>
      </c>
      <c r="M19" s="29">
        <v>7.0182584226131439E-2</v>
      </c>
      <c r="N19"/>
      <c r="O19"/>
      <c r="P19" s="21">
        <v>3.0524028465151787E-2</v>
      </c>
      <c r="Q19" s="260">
        <v>0.12963096797466278</v>
      </c>
      <c r="R19"/>
      <c r="S19"/>
      <c r="T19"/>
      <c r="U19" s="76">
        <v>0.11644304543733597</v>
      </c>
      <c r="V19"/>
      <c r="W19"/>
      <c r="X19" s="236">
        <v>7.9715900123119354E-2</v>
      </c>
      <c r="Y19"/>
      <c r="Z19"/>
      <c r="AA19"/>
      <c r="AB19"/>
      <c r="AC19"/>
      <c r="AD19"/>
      <c r="AE19"/>
      <c r="AF19" s="232">
        <v>3.5740982741117477E-2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1.7315936088562012</v>
      </c>
      <c r="C20">
        <v>1.910962350666523E-2</v>
      </c>
      <c r="D20" s="17">
        <v>2.4898286908864975E-2</v>
      </c>
      <c r="E20"/>
      <c r="F20" s="25">
        <v>5.5002529174089432E-2</v>
      </c>
      <c r="G20"/>
      <c r="H20" s="17">
        <v>2.4225540459156036E-2</v>
      </c>
      <c r="I20" s="272">
        <v>0.21081022918224335</v>
      </c>
      <c r="J20" s="109">
        <v>0.21336312592029572</v>
      </c>
      <c r="K20"/>
      <c r="L20" s="80">
        <v>0.38307112455368042</v>
      </c>
      <c r="M20"/>
      <c r="N20"/>
      <c r="O20" s="283">
        <v>0.43089160323143005</v>
      </c>
      <c r="P20"/>
      <c r="Q20"/>
      <c r="R20"/>
      <c r="S20"/>
      <c r="T20"/>
      <c r="U20"/>
      <c r="V20"/>
      <c r="W20"/>
      <c r="X20"/>
      <c r="Y20" s="21">
        <v>3.4095708280801773E-2</v>
      </c>
      <c r="Z20"/>
      <c r="AA20"/>
      <c r="AB20"/>
      <c r="AC20" s="64">
        <v>9.4932675361633301E-2</v>
      </c>
      <c r="AD20" s="276">
        <v>0.24119320511817932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1.6085325479507446</v>
      </c>
      <c r="C21">
        <v>0.1584169864654541</v>
      </c>
      <c r="D21"/>
      <c r="E21"/>
      <c r="F21" s="11">
        <v>2.4626198865007609E-5</v>
      </c>
      <c r="G21" s="17">
        <v>2.2718796506524086E-2</v>
      </c>
      <c r="H21" s="229">
        <v>0.13240551948547363</v>
      </c>
      <c r="I21" s="25">
        <v>5.1639653742313385E-2</v>
      </c>
      <c r="J21" s="19">
        <v>2.9627174139022827E-2</v>
      </c>
      <c r="K21" s="288">
        <v>0.49521747231483459</v>
      </c>
      <c r="L21"/>
      <c r="M21" s="19">
        <v>2.937636710703373E-2</v>
      </c>
      <c r="N21" s="257">
        <v>0.26360529661178589</v>
      </c>
      <c r="O21" s="65">
        <v>3.3531196415424347E-2</v>
      </c>
      <c r="P21" s="21">
        <v>3.2855108380317688E-2</v>
      </c>
      <c r="Q21" s="12">
        <v>5.5416855029761791E-3</v>
      </c>
      <c r="R21" s="11">
        <v>9.175142040476203E-4</v>
      </c>
      <c r="S21"/>
      <c r="T21" s="12">
        <v>6.3405833207070827E-3</v>
      </c>
      <c r="U21" s="23">
        <v>9.1170119121670723E-3</v>
      </c>
      <c r="V21" s="229">
        <v>0.13097597658634186</v>
      </c>
      <c r="W21"/>
      <c r="X21"/>
      <c r="Y21" s="281">
        <v>0.20476537942886353</v>
      </c>
      <c r="Z21"/>
      <c r="AA21"/>
      <c r="AB21"/>
      <c r="AC21"/>
      <c r="AD21"/>
      <c r="AE21"/>
      <c r="AF21" s="11">
        <v>1.4562957221642137E-3</v>
      </c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1.0831842422485352</v>
      </c>
      <c r="C22">
        <v>3.3079400658607483E-2</v>
      </c>
      <c r="D22" s="231">
        <v>0.1451750248670578</v>
      </c>
      <c r="E22"/>
      <c r="F22" s="236">
        <v>5.6672085076570511E-2</v>
      </c>
      <c r="G22"/>
      <c r="H22"/>
      <c r="I22"/>
      <c r="J22"/>
      <c r="K22"/>
      <c r="L22"/>
      <c r="M22" s="152">
        <v>6.6473565995693207E-2</v>
      </c>
      <c r="N22" s="251">
        <v>0.19067509472370148</v>
      </c>
      <c r="O22"/>
      <c r="P22" s="249">
        <v>0.185511514544487</v>
      </c>
      <c r="Q22"/>
      <c r="R22"/>
      <c r="S22"/>
      <c r="T22" s="248">
        <v>0.1677187979221344</v>
      </c>
      <c r="U22" s="253">
        <v>0.23787875473499298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1.1169811487197876</v>
      </c>
      <c r="C23">
        <v>0.12928931415081024</v>
      </c>
      <c r="D23"/>
      <c r="E23"/>
      <c r="F23" s="20">
        <v>4.7440219670534134E-2</v>
      </c>
      <c r="G23" s="28">
        <v>3.9171516895294189E-2</v>
      </c>
      <c r="H23"/>
      <c r="I23"/>
      <c r="J23" s="239">
        <v>0.13167090713977814</v>
      </c>
      <c r="K23"/>
      <c r="L23"/>
      <c r="M23" s="15">
        <v>1.0565517470240593E-2</v>
      </c>
      <c r="N23"/>
      <c r="O23"/>
      <c r="P23"/>
      <c r="Q23" s="25">
        <v>3.4252673387527466E-2</v>
      </c>
      <c r="R23" s="14">
        <v>2.3108832538127899E-3</v>
      </c>
      <c r="S23"/>
      <c r="T23" s="276">
        <v>0.15639212727546692</v>
      </c>
      <c r="U23"/>
      <c r="V23"/>
      <c r="W23"/>
      <c r="X23"/>
      <c r="Y23" s="153">
        <v>0.2813912034034729</v>
      </c>
      <c r="Z23"/>
      <c r="AA23"/>
      <c r="AB23"/>
      <c r="AC23" s="154">
        <v>0.28449678421020508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0.54810249805450439</v>
      </c>
      <c r="C24">
        <v>0.38940680027008057</v>
      </c>
      <c r="D24" s="232">
        <v>1.3395297341048717E-2</v>
      </c>
      <c r="E24"/>
      <c r="F24" s="237">
        <v>3.1167121604084969E-2</v>
      </c>
      <c r="G24"/>
      <c r="H24"/>
      <c r="I24"/>
      <c r="J24" s="229">
        <v>4.5279473066329956E-2</v>
      </c>
      <c r="K24"/>
      <c r="L24"/>
      <c r="M24"/>
      <c r="N24"/>
      <c r="O24"/>
      <c r="P24"/>
      <c r="Q24"/>
      <c r="R24"/>
      <c r="S24" s="245">
        <v>6.8853795528411865E-2</v>
      </c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0.84639930725097656</v>
      </c>
      <c r="C25">
        <v>0.33821514248847961</v>
      </c>
      <c r="D25"/>
      <c r="E25"/>
      <c r="F25" s="28">
        <v>3.0103534460067749E-2</v>
      </c>
      <c r="G25" s="14">
        <v>1.3724270975217223E-3</v>
      </c>
      <c r="H25"/>
      <c r="I25"/>
      <c r="J25"/>
      <c r="K25"/>
      <c r="L25"/>
      <c r="M25" s="237">
        <v>4.8922602087259293E-2</v>
      </c>
      <c r="N25"/>
      <c r="O25"/>
      <c r="P25"/>
      <c r="Q25"/>
      <c r="R25"/>
      <c r="S25" s="13">
        <v>3.2090485095977783E-2</v>
      </c>
      <c r="T25"/>
      <c r="U25"/>
      <c r="V25"/>
      <c r="W25"/>
      <c r="X25"/>
      <c r="Y25"/>
      <c r="Z25"/>
      <c r="AA25"/>
      <c r="AB25"/>
      <c r="AC25" s="284">
        <v>0.18839007616043091</v>
      </c>
      <c r="AD25" s="285">
        <v>0.20730507373809814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1.0254398584365845</v>
      </c>
      <c r="C26">
        <v>4.5975200831890106E-2</v>
      </c>
      <c r="D26"/>
      <c r="E26" s="234">
        <v>0.32776814699172974</v>
      </c>
      <c r="F26"/>
      <c r="G26"/>
      <c r="H26" s="15">
        <v>9.2676784843206406E-3</v>
      </c>
      <c r="I26" s="260">
        <v>8.7893716990947723E-2</v>
      </c>
      <c r="J26"/>
      <c r="K26"/>
      <c r="L26" s="268">
        <v>0.13815878331661224</v>
      </c>
      <c r="M26" s="22">
        <v>7.1612796746194363E-3</v>
      </c>
      <c r="N26" s="27">
        <v>7.9232126474380493E-2</v>
      </c>
      <c r="O26" s="75">
        <v>9.7143925726413727E-2</v>
      </c>
      <c r="P26"/>
      <c r="Q26" s="22">
        <v>8.1779807806015015E-3</v>
      </c>
      <c r="R26"/>
      <c r="S26"/>
      <c r="T26"/>
      <c r="U26" s="241">
        <v>7.0291146636009216E-2</v>
      </c>
      <c r="V26"/>
      <c r="W26"/>
      <c r="X26" s="23">
        <v>5.1128254272043705E-3</v>
      </c>
      <c r="Y26"/>
      <c r="Z26"/>
      <c r="AA26"/>
      <c r="AB26" s="68">
        <v>6.3634157180786133E-2</v>
      </c>
      <c r="AC26"/>
      <c r="AD26"/>
      <c r="AE26" s="241">
        <v>7.0340506732463837E-2</v>
      </c>
      <c r="AF26" s="16">
        <v>1.5282390639185905E-2</v>
      </c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0.65215253829956055</v>
      </c>
      <c r="C27">
        <v>0.11046945303678513</v>
      </c>
      <c r="D27" s="233">
        <v>0.2617325484752655</v>
      </c>
      <c r="E27"/>
      <c r="F27" s="29">
        <v>3.0273400247097015E-2</v>
      </c>
      <c r="G27"/>
      <c r="H27"/>
      <c r="I27" s="75">
        <v>6.0852665454149246E-2</v>
      </c>
      <c r="J27" s="70">
        <v>3.2752852886915207E-2</v>
      </c>
      <c r="K27"/>
      <c r="L27" s="242">
        <v>2.5689765810966492E-2</v>
      </c>
      <c r="M27"/>
      <c r="N27" s="250">
        <v>5.729391798377037E-2</v>
      </c>
      <c r="O27"/>
      <c r="P27"/>
      <c r="Q27"/>
      <c r="R27"/>
      <c r="S27"/>
      <c r="T27" s="70">
        <v>3.3597350120544434E-2</v>
      </c>
      <c r="U27"/>
      <c r="V27"/>
      <c r="W27"/>
      <c r="X27" s="70">
        <v>3.3274430781602859E-2</v>
      </c>
      <c r="Y27"/>
      <c r="Z27"/>
      <c r="AA27"/>
      <c r="AB27"/>
      <c r="AC27"/>
      <c r="AD27"/>
      <c r="AE27"/>
      <c r="AF27" s="15">
        <v>6.2161418609321117E-3</v>
      </c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2.8435375690460205</v>
      </c>
      <c r="C28">
        <v>0.64462780952453613</v>
      </c>
      <c r="D28"/>
      <c r="E28"/>
      <c r="F28" s="115">
        <v>0.55183422565460205</v>
      </c>
      <c r="G28"/>
      <c r="H28"/>
      <c r="I28"/>
      <c r="J28"/>
      <c r="K28"/>
      <c r="L28" s="68">
        <v>0.17698852717876434</v>
      </c>
      <c r="M28"/>
      <c r="N28"/>
      <c r="O28"/>
      <c r="P28" s="16">
        <v>4.5718405395746231E-2</v>
      </c>
      <c r="Q28" s="26">
        <v>7.1297809481620789E-2</v>
      </c>
      <c r="R28" s="236">
        <v>0.15048940479755402</v>
      </c>
      <c r="S28" s="236">
        <v>0.15108035504817963</v>
      </c>
      <c r="T28"/>
      <c r="U28"/>
      <c r="V28" s="252">
        <v>0.14006033539772034</v>
      </c>
      <c r="W28" s="246">
        <v>9.7391314804553986E-2</v>
      </c>
      <c r="X28" s="19">
        <v>5.094282329082489E-2</v>
      </c>
      <c r="Y28"/>
      <c r="Z28"/>
      <c r="AA28" s="256">
        <v>0.21266129612922668</v>
      </c>
      <c r="AB28"/>
      <c r="AC28" s="241">
        <v>0.19298957288265228</v>
      </c>
      <c r="AD28"/>
      <c r="AE28" s="25">
        <v>9.1415748000144958E-2</v>
      </c>
      <c r="AF28" s="242">
        <v>0.11420222371816635</v>
      </c>
      <c r="AG28" s="236">
        <v>0.15183787047863007</v>
      </c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4.7177777290344238</v>
      </c>
      <c r="C29">
        <v>0.35141804814338684</v>
      </c>
      <c r="D29"/>
      <c r="E29"/>
      <c r="F29" s="238">
        <v>1.6313697099685669</v>
      </c>
      <c r="G29" s="12">
        <v>2.0216459408402443E-2</v>
      </c>
      <c r="H29"/>
      <c r="I29"/>
      <c r="J29"/>
      <c r="K29"/>
      <c r="L29" s="16">
        <v>7.3639571666717529E-2</v>
      </c>
      <c r="M29" s="19">
        <v>8.397422730922699E-2</v>
      </c>
      <c r="N29" s="28">
        <v>0.16423270106315613</v>
      </c>
      <c r="O29"/>
      <c r="P29"/>
      <c r="Q29" s="12">
        <v>2.0341625437140465E-2</v>
      </c>
      <c r="R29" s="17">
        <v>6.6029399633407593E-2</v>
      </c>
      <c r="S29" s="24">
        <v>0.12571994960308075</v>
      </c>
      <c r="T29" s="237">
        <v>0.26965844631195068</v>
      </c>
      <c r="U29" s="19">
        <v>8.1956103444099426E-2</v>
      </c>
      <c r="V29" s="151">
        <v>0.13985967636108398</v>
      </c>
      <c r="W29" s="237">
        <v>0.26744243502616882</v>
      </c>
      <c r="X29" s="25">
        <v>0.15260951220989227</v>
      </c>
      <c r="Y29" s="241">
        <v>0.32444167137145996</v>
      </c>
      <c r="Z29"/>
      <c r="AA29" s="246">
        <v>0.15730118751525879</v>
      </c>
      <c r="AB29" s="21">
        <v>9.4968833029270172E-2</v>
      </c>
      <c r="AC29" s="66">
        <v>0.19271312654018402</v>
      </c>
      <c r="AD29" s="66">
        <v>0.19327183067798615</v>
      </c>
      <c r="AE29" s="252">
        <v>0.22821195423603058</v>
      </c>
      <c r="AF29" s="16">
        <v>7.8401543200016022E-2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4.1111574172973633</v>
      </c>
      <c r="C30">
        <v>1.9990823268890381</v>
      </c>
      <c r="D30"/>
      <c r="E30"/>
      <c r="F30" s="13">
        <v>0.15411747992038727</v>
      </c>
      <c r="G30"/>
      <c r="H30"/>
      <c r="I30"/>
      <c r="J30"/>
      <c r="K30"/>
      <c r="L30" s="22">
        <v>3.5267282277345657E-2</v>
      </c>
      <c r="M30" s="17">
        <v>5.484100803732872E-2</v>
      </c>
      <c r="N30"/>
      <c r="O30" s="19">
        <v>7.2326257824897766E-2</v>
      </c>
      <c r="P30"/>
      <c r="Q30" s="15">
        <v>3.6532357335090637E-2</v>
      </c>
      <c r="R30"/>
      <c r="S30" s="232">
        <v>0.10034916549921036</v>
      </c>
      <c r="T30" s="252">
        <v>0.19986601173877716</v>
      </c>
      <c r="U30"/>
      <c r="V30" s="24">
        <v>0.11163543909788132</v>
      </c>
      <c r="W30" s="232">
        <v>9.7032494843006134E-2</v>
      </c>
      <c r="X30" s="29">
        <v>0.19286954402923584</v>
      </c>
      <c r="Y30" s="70">
        <v>0.20717443525791168</v>
      </c>
      <c r="Z30"/>
      <c r="AA30" s="67">
        <v>0.24169759452342987</v>
      </c>
      <c r="AB30" s="64">
        <v>0.22741121053695679</v>
      </c>
      <c r="AC30" s="13">
        <v>0.15382285416126251</v>
      </c>
      <c r="AD30" s="13">
        <v>0.15426880121231079</v>
      </c>
      <c r="AE30" s="19">
        <v>7.2863161563873291E-2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3.0919771194458008</v>
      </c>
      <c r="C31">
        <v>0.9948115348815918</v>
      </c>
      <c r="D31"/>
      <c r="E31"/>
      <c r="F31" s="15">
        <v>2.8604606166481972E-2</v>
      </c>
      <c r="G31"/>
      <c r="H31" s="66">
        <v>0.12917636334896088</v>
      </c>
      <c r="I31" s="26">
        <v>7.9730860888957977E-2</v>
      </c>
      <c r="J31" s="24">
        <v>8.2526341080665588E-2</v>
      </c>
      <c r="K31"/>
      <c r="L31"/>
      <c r="M31"/>
      <c r="N31" s="23">
        <v>1.804521307349205E-2</v>
      </c>
      <c r="O31" s="12">
        <v>1.1947309598326683E-2</v>
      </c>
      <c r="P31"/>
      <c r="Q31" s="14">
        <v>5.0288713537156582E-3</v>
      </c>
      <c r="R31"/>
      <c r="S31"/>
      <c r="T31"/>
      <c r="U31" s="64">
        <v>0.17109501361846924</v>
      </c>
      <c r="V31" s="243">
        <v>0.22282449901103973</v>
      </c>
      <c r="W31"/>
      <c r="X31" s="277">
        <v>0.25152170658111572</v>
      </c>
      <c r="Y31" s="278">
        <v>0.33509418368339539</v>
      </c>
      <c r="Z31"/>
      <c r="AA31" s="15">
        <v>3.0246317386627197E-2</v>
      </c>
      <c r="AB31" s="21">
        <v>6.2608711421489716E-2</v>
      </c>
      <c r="AC31" s="70">
        <v>0.15880899131298065</v>
      </c>
      <c r="AD31" s="28">
        <v>0.10617957264184952</v>
      </c>
      <c r="AE31" s="281">
        <v>0.39116990566253662</v>
      </c>
      <c r="AF31"/>
      <c r="AG31"/>
      <c r="AH31"/>
      <c r="AI31"/>
      <c r="AJ31" s="12">
        <v>1.2557250447571278E-2</v>
      </c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0.81357878446578979</v>
      </c>
      <c r="C32">
        <v>7.5837880373001099E-2</v>
      </c>
      <c r="D32"/>
      <c r="E32"/>
      <c r="F32" s="239">
        <v>9.5735400915145874E-2</v>
      </c>
      <c r="G32"/>
      <c r="H32"/>
      <c r="I32"/>
      <c r="J32"/>
      <c r="K32"/>
      <c r="L32"/>
      <c r="M32"/>
      <c r="N32"/>
      <c r="O32"/>
      <c r="P32"/>
      <c r="Q32" s="247">
        <v>7.7383406460285187E-2</v>
      </c>
      <c r="R32" s="244">
        <v>6.9293364882469177E-2</v>
      </c>
      <c r="S32" s="75">
        <v>7.6522015035152435E-2</v>
      </c>
      <c r="T32" s="243">
        <v>5.8619000017642975E-2</v>
      </c>
      <c r="U32" s="109">
        <v>9.9768541753292084E-2</v>
      </c>
      <c r="V32"/>
      <c r="W32"/>
      <c r="X32" s="232">
        <v>1.9351862370967865E-2</v>
      </c>
      <c r="Y32"/>
      <c r="Z32"/>
      <c r="AA32" s="112">
        <v>5.385633185505867E-2</v>
      </c>
      <c r="AB32"/>
      <c r="AC32"/>
      <c r="AD32"/>
      <c r="AE32"/>
      <c r="AF32" s="113">
        <v>0.14099296927452087</v>
      </c>
      <c r="AG32"/>
      <c r="AH32"/>
      <c r="AI32"/>
      <c r="AJ32"/>
      <c r="AK32"/>
      <c r="AL32" s="237">
        <v>4.6218045055866241E-2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0.9621281623840332</v>
      </c>
      <c r="C33">
        <v>0.2666262686252594</v>
      </c>
      <c r="D33"/>
      <c r="E33"/>
      <c r="F33" s="240">
        <v>0.10158072412014008</v>
      </c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 s="259">
        <v>9.9729776382446289E-2</v>
      </c>
      <c r="V33"/>
      <c r="W33"/>
      <c r="X33" s="72">
        <v>6.7284673452377319E-2</v>
      </c>
      <c r="Y33" s="250">
        <v>8.5826687514781952E-2</v>
      </c>
      <c r="Z33"/>
      <c r="AA33" s="24">
        <v>2.6007447391748428E-2</v>
      </c>
      <c r="AB33" s="76">
        <v>7.5368180871009827E-2</v>
      </c>
      <c r="AC33"/>
      <c r="AD33"/>
      <c r="AE33"/>
      <c r="AF33"/>
      <c r="AG33"/>
      <c r="AH33"/>
      <c r="AI33"/>
      <c r="AJ33" s="25">
        <v>3.0232766643166542E-2</v>
      </c>
      <c r="AK33" s="27">
        <v>7.2880037128925323E-2</v>
      </c>
      <c r="AL33" s="79">
        <v>0.1365915983915329</v>
      </c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23.57843017578125</v>
      </c>
      <c r="C34">
        <v>5.398064136505127</v>
      </c>
      <c r="D34"/>
      <c r="E34"/>
      <c r="F34"/>
      <c r="G34" s="11">
        <v>2.2667188197374344E-2</v>
      </c>
      <c r="H34"/>
      <c r="I34"/>
      <c r="J34" s="14">
        <v>2.8458418324589729E-2</v>
      </c>
      <c r="K34" s="12">
        <v>7.345755398273468E-2</v>
      </c>
      <c r="L34"/>
      <c r="M34"/>
      <c r="N34" s="14">
        <v>5.4353538900613785E-2</v>
      </c>
      <c r="O34" s="14">
        <v>4.9887411296367645E-2</v>
      </c>
      <c r="P34" s="11">
        <v>1.0237430222332478E-2</v>
      </c>
      <c r="Q34" s="11">
        <v>3.1458653975278139E-3</v>
      </c>
      <c r="R34" s="11">
        <v>3.2747392542660236E-3</v>
      </c>
      <c r="S34"/>
      <c r="T34"/>
      <c r="U34" s="11">
        <v>4.0558855980634689E-3</v>
      </c>
      <c r="V34" s="232">
        <v>0.53641223907470703</v>
      </c>
      <c r="W34" s="17">
        <v>0.33652326464653015</v>
      </c>
      <c r="X34" s="12">
        <v>9.0668365359306335E-2</v>
      </c>
      <c r="Y34"/>
      <c r="Z34" s="289">
        <v>13.917320251464844</v>
      </c>
      <c r="AA34" s="11">
        <v>7.5413333252072334E-3</v>
      </c>
      <c r="AB34" s="28">
        <v>0.81072688102722168</v>
      </c>
      <c r="AC34"/>
      <c r="AD34"/>
      <c r="AE34"/>
      <c r="AF34" s="14">
        <v>4.3319057673215866E-2</v>
      </c>
      <c r="AG34" s="11">
        <v>2.422994002699852E-3</v>
      </c>
      <c r="AH34" s="14">
        <v>2.6865337044000626E-2</v>
      </c>
      <c r="AI34" s="11">
        <v>1.4376102946698666E-2</v>
      </c>
      <c r="AJ34" s="12">
        <v>7.6000258326530457E-2</v>
      </c>
      <c r="AK34"/>
      <c r="AL34" s="11">
        <v>3.5229381173849106E-3</v>
      </c>
      <c r="AM34" s="250">
        <v>2.0651288032531738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4.4163455963134766</v>
      </c>
      <c r="C35">
        <v>0.83983772993087769</v>
      </c>
      <c r="D35"/>
      <c r="E35"/>
      <c r="F35" s="11">
        <v>1.1247991351410747E-3</v>
      </c>
      <c r="G35"/>
      <c r="H35"/>
      <c r="I35"/>
      <c r="J35"/>
      <c r="K35"/>
      <c r="L35" s="12">
        <v>1.8865324556827545E-2</v>
      </c>
      <c r="M35" s="23">
        <v>2.5610597804188728E-2</v>
      </c>
      <c r="N35"/>
      <c r="O35"/>
      <c r="P35" s="11">
        <v>1.5315631171688437E-3</v>
      </c>
      <c r="Q35" s="22">
        <v>3.4741401672363281E-2</v>
      </c>
      <c r="R35" s="11">
        <v>5.208038492128253E-4</v>
      </c>
      <c r="S35"/>
      <c r="T35"/>
      <c r="U35" s="14">
        <v>9.9980439990758896E-3</v>
      </c>
      <c r="V35" s="235">
        <v>0.19834409654140472</v>
      </c>
      <c r="W35" s="15">
        <v>4.4490016996860504E-2</v>
      </c>
      <c r="X35" s="65">
        <v>9.1146953403949738E-2</v>
      </c>
      <c r="Y35" s="14">
        <v>7.9159010201692581E-3</v>
      </c>
      <c r="Z35"/>
      <c r="AA35" s="22">
        <v>3.7659574300050735E-2</v>
      </c>
      <c r="AB35" s="277">
        <v>0.35335773229598999</v>
      </c>
      <c r="AC35" s="113">
        <v>0.76112300157546997</v>
      </c>
      <c r="AD35" s="110">
        <v>1.2790926694869995</v>
      </c>
      <c r="AE35" s="18">
        <v>5.2896354347467422E-2</v>
      </c>
      <c r="AF35"/>
      <c r="AG35" s="14">
        <v>6.4737992361187935E-3</v>
      </c>
      <c r="AH35" s="14">
        <v>5.886660423129797E-3</v>
      </c>
      <c r="AI35" s="11">
        <v>3.5438088234513998E-3</v>
      </c>
      <c r="AJ35" s="12">
        <v>1.3942025601863861E-2</v>
      </c>
      <c r="AK35"/>
      <c r="AL35"/>
      <c r="AM35"/>
      <c r="AN35" s="286">
        <v>0.58336460590362549</v>
      </c>
      <c r="AO35" s="15">
        <v>4.4877815991640091E-2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4.0778903961181641</v>
      </c>
      <c r="C36">
        <v>1.986176609992981</v>
      </c>
      <c r="D36" s="14">
        <v>5.863457452505827E-3</v>
      </c>
      <c r="E36"/>
      <c r="F36" s="68">
        <v>0.25745165348052979</v>
      </c>
      <c r="G36"/>
      <c r="H36"/>
      <c r="I36" s="23">
        <v>2.0381715148687363E-2</v>
      </c>
      <c r="J36" s="22">
        <v>3.0853383243083954E-2</v>
      </c>
      <c r="K36"/>
      <c r="L36" s="11">
        <v>8.0666359281167388E-4</v>
      </c>
      <c r="M36"/>
      <c r="N36" s="18">
        <v>4.8574090003967285E-2</v>
      </c>
      <c r="O36" s="17">
        <v>5.8562520891427994E-2</v>
      </c>
      <c r="P36" s="11">
        <v>1.0001836344599724E-3</v>
      </c>
      <c r="Q36" s="23">
        <v>2.4975141510367393E-2</v>
      </c>
      <c r="R36" s="14">
        <v>7.3161395266652107E-3</v>
      </c>
      <c r="S36" s="287">
        <v>0.36632543802261353</v>
      </c>
      <c r="T36" s="29">
        <v>0.18919013440608978</v>
      </c>
      <c r="U36" s="70">
        <v>0.21067547798156738</v>
      </c>
      <c r="V36" s="21">
        <v>7.9156085848808289E-2</v>
      </c>
      <c r="W36" s="14">
        <v>8.4337592124938965E-3</v>
      </c>
      <c r="X36"/>
      <c r="Y36" s="28">
        <v>0.14216013252735138</v>
      </c>
      <c r="Z36"/>
      <c r="AA36" s="14">
        <v>4.5231673866510391E-3</v>
      </c>
      <c r="AB36"/>
      <c r="AC36" s="241">
        <v>0.28322872519493103</v>
      </c>
      <c r="AD36" s="17">
        <v>5.4692808538675308E-2</v>
      </c>
      <c r="AE36" s="242">
        <v>0.15749262273311615</v>
      </c>
      <c r="AF36" s="14">
        <v>5.7255169376730919E-3</v>
      </c>
      <c r="AG36"/>
      <c r="AH36"/>
      <c r="AI36"/>
      <c r="AJ36"/>
      <c r="AK36"/>
      <c r="AL36"/>
      <c r="AM36"/>
      <c r="AN36"/>
      <c r="AO36" s="246">
        <v>0.134325310587883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71.018875122070312</v>
      </c>
      <c r="C37">
        <v>27.373371124267578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11">
        <v>5.3197462111711502E-3</v>
      </c>
      <c r="U37"/>
      <c r="V37"/>
      <c r="W37"/>
      <c r="X37"/>
      <c r="Y37"/>
      <c r="Z37" s="246">
        <v>2.4323728084564209</v>
      </c>
      <c r="AA37"/>
      <c r="AB37"/>
      <c r="AC37"/>
      <c r="AD37"/>
      <c r="AE37"/>
      <c r="AF37" s="11">
        <v>1.2175576761364937E-2</v>
      </c>
      <c r="AG37" s="11">
        <v>9.3057128833606839E-4</v>
      </c>
      <c r="AH37" s="11">
        <v>1.2833632528781891E-2</v>
      </c>
      <c r="AI37"/>
      <c r="AJ37" s="11">
        <v>5.3191792219877243E-2</v>
      </c>
      <c r="AK37" s="11">
        <v>4.9757934175431728E-3</v>
      </c>
      <c r="AL37" s="11">
        <v>4.023464024066925E-2</v>
      </c>
      <c r="AM37" s="290">
        <v>41.083469390869141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/>
      <c r="C38">
        <v>0.89729738235473633</v>
      </c>
      <c r="D38"/>
      <c r="E38"/>
      <c r="F38"/>
      <c r="G38" s="9">
        <v>0.14400103688240051</v>
      </c>
      <c r="H38" s="9">
        <v>0.12556406855583191</v>
      </c>
      <c r="I38"/>
      <c r="J38" s="9">
        <v>0.31470364332199097</v>
      </c>
      <c r="K38" s="9">
        <v>0.692238450050354</v>
      </c>
      <c r="L38" s="9">
        <v>0.75902819633483887</v>
      </c>
      <c r="M38" s="9">
        <v>0.21750731766223907</v>
      </c>
      <c r="N38" s="9">
        <v>0.15138883888721466</v>
      </c>
      <c r="O38"/>
      <c r="P38" s="9">
        <v>0.19319745898246765</v>
      </c>
      <c r="Q38"/>
      <c r="R38"/>
      <c r="S38" s="9">
        <v>2.1070541813969612E-2</v>
      </c>
      <c r="T38" s="9">
        <v>0.21790212392807007</v>
      </c>
      <c r="U38" s="9">
        <v>3.4339413046836853E-2</v>
      </c>
      <c r="V38"/>
      <c r="W38" s="9">
        <v>6.1122413724660873E-2</v>
      </c>
      <c r="X38" s="9">
        <v>1.598576083779335E-2</v>
      </c>
      <c r="Y38" s="9">
        <v>1.6856595277786255</v>
      </c>
      <c r="Z38"/>
      <c r="AA38"/>
      <c r="AB38" s="9">
        <v>0.23875029385089874</v>
      </c>
      <c r="AC38" s="9">
        <v>1.4130611419677734</v>
      </c>
      <c r="AD38" s="9">
        <v>0.2834315299987793</v>
      </c>
      <c r="AE38" s="9">
        <v>0.14343041181564331</v>
      </c>
      <c r="AF38"/>
      <c r="AG38" s="9">
        <v>2.1176189184188843E-3</v>
      </c>
      <c r="AH38"/>
      <c r="AI38"/>
      <c r="AJ38"/>
      <c r="AK38"/>
      <c r="AL38"/>
      <c r="AM38"/>
      <c r="AN38"/>
      <c r="AO38" s="9">
        <v>1.0275863409042358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0.29248359799385071</v>
      </c>
      <c r="D39"/>
      <c r="E39"/>
      <c r="F39"/>
      <c r="G39"/>
      <c r="H39" s="9">
        <v>0.14488162100315094</v>
      </c>
      <c r="I39"/>
      <c r="J39"/>
      <c r="K39"/>
      <c r="L39"/>
      <c r="M39"/>
      <c r="N39" s="9">
        <v>0.33030292391777039</v>
      </c>
      <c r="O39"/>
      <c r="P39"/>
      <c r="Q39" s="9">
        <v>0.26847741007804871</v>
      </c>
      <c r="R39" s="9">
        <v>6.2487374991178513E-2</v>
      </c>
      <c r="S39"/>
      <c r="T39" s="9">
        <v>0.91196054220199585</v>
      </c>
      <c r="U39" s="9">
        <v>0.17169705033302307</v>
      </c>
      <c r="V39" s="9">
        <v>3.8090560436248779</v>
      </c>
      <c r="W39"/>
      <c r="X39" s="9">
        <v>0.38898685574531555</v>
      </c>
      <c r="Y39" s="9">
        <v>9.7605133056640625</v>
      </c>
      <c r="Z39"/>
      <c r="AA39" s="9">
        <v>0.41193011403083801</v>
      </c>
      <c r="AB39" s="9">
        <v>12.017095565795898</v>
      </c>
      <c r="AC39" s="9">
        <v>15.584044456481934</v>
      </c>
      <c r="AD39" s="9">
        <v>16.034126281738281</v>
      </c>
      <c r="AE39" s="9">
        <v>3.2128410339355469</v>
      </c>
      <c r="AF39" s="9">
        <v>0.86007434129714966</v>
      </c>
      <c r="AG39" s="9">
        <v>1.7025654315948486</v>
      </c>
      <c r="AH39" s="9">
        <v>6.7448592185974121</v>
      </c>
      <c r="AI39" s="9">
        <v>3.9790124893188477</v>
      </c>
      <c r="AJ39" s="9">
        <v>20.25555419921875</v>
      </c>
      <c r="AK39" s="9">
        <v>1.4826077222824097</v>
      </c>
      <c r="AL39" s="9">
        <v>4.3905606269836426</v>
      </c>
      <c r="AM39"/>
      <c r="AN39" s="9">
        <v>263.5634765625</v>
      </c>
      <c r="AO39" s="9">
        <v>210.24415588378906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7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4" t="s">
        <v>192</v>
      </c>
      <c r="E5">
        <v>4</v>
      </c>
      <c r="F5">
        <v>3.16</v>
      </c>
      <c r="G5">
        <v>4</v>
      </c>
      <c r="H5" s="205" t="s">
        <v>192</v>
      </c>
      <c r="J5" s="57"/>
      <c r="K5" s="58"/>
    </row>
    <row r="6" spans="1:12" ht="14" thickBot="1" x14ac:dyDescent="0.2">
      <c r="A6" s="41" t="s">
        <v>121</v>
      </c>
      <c r="D6" s="204" t="s">
        <v>193</v>
      </c>
      <c r="E6">
        <v>5</v>
      </c>
      <c r="F6">
        <v>3.14</v>
      </c>
      <c r="G6">
        <v>5</v>
      </c>
      <c r="H6" s="205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4" t="s">
        <v>194</v>
      </c>
      <c r="E7">
        <v>6</v>
      </c>
      <c r="F7">
        <v>3</v>
      </c>
      <c r="G7">
        <v>6</v>
      </c>
      <c r="H7" s="205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4" t="s">
        <v>195</v>
      </c>
      <c r="E8">
        <v>7</v>
      </c>
      <c r="F8">
        <v>3.14</v>
      </c>
      <c r="G8">
        <v>7</v>
      </c>
      <c r="H8" s="205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4" t="s">
        <v>196</v>
      </c>
      <c r="E9">
        <v>8</v>
      </c>
      <c r="F9">
        <v>3</v>
      </c>
      <c r="G9">
        <v>8</v>
      </c>
      <c r="H9" s="205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4" t="s">
        <v>197</v>
      </c>
      <c r="E10">
        <v>9</v>
      </c>
      <c r="F10">
        <v>3.24</v>
      </c>
      <c r="G10">
        <v>9</v>
      </c>
      <c r="H10" s="205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4" t="s">
        <v>198</v>
      </c>
      <c r="E11">
        <v>10</v>
      </c>
      <c r="F11">
        <v>3.24</v>
      </c>
      <c r="G11">
        <v>10</v>
      </c>
      <c r="H11" s="205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4" t="s">
        <v>199</v>
      </c>
      <c r="E12">
        <v>11</v>
      </c>
      <c r="F12">
        <v>3.14</v>
      </c>
      <c r="G12">
        <v>11</v>
      </c>
      <c r="H12" s="205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4" t="s">
        <v>200</v>
      </c>
      <c r="E13">
        <v>12</v>
      </c>
      <c r="F13">
        <v>3.14</v>
      </c>
      <c r="G13">
        <v>12</v>
      </c>
      <c r="H13" s="205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4" t="s">
        <v>201</v>
      </c>
      <c r="E14">
        <v>13</v>
      </c>
      <c r="F14">
        <v>3.16</v>
      </c>
      <c r="G14">
        <v>13</v>
      </c>
      <c r="H14" s="205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4" t="s">
        <v>202</v>
      </c>
      <c r="E15">
        <v>14</v>
      </c>
      <c r="F15">
        <v>3.24</v>
      </c>
      <c r="G15">
        <v>14</v>
      </c>
      <c r="H15" s="205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4" t="s">
        <v>203</v>
      </c>
      <c r="E16">
        <v>15</v>
      </c>
      <c r="F16">
        <v>3.24</v>
      </c>
      <c r="G16">
        <v>15</v>
      </c>
      <c r="H16" s="205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4" t="s">
        <v>204</v>
      </c>
      <c r="E17">
        <v>16</v>
      </c>
      <c r="F17">
        <v>3.15</v>
      </c>
      <c r="G17">
        <v>16</v>
      </c>
      <c r="H17" s="205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4" t="s">
        <v>205</v>
      </c>
      <c r="E18">
        <v>17</v>
      </c>
      <c r="F18">
        <v>3.24</v>
      </c>
      <c r="G18">
        <v>17</v>
      </c>
      <c r="H18" s="205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4" t="s">
        <v>206</v>
      </c>
      <c r="E19">
        <v>18</v>
      </c>
      <c r="F19">
        <v>3.04</v>
      </c>
      <c r="G19">
        <v>18</v>
      </c>
      <c r="H19" s="205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4" t="s">
        <v>207</v>
      </c>
      <c r="E20">
        <v>19</v>
      </c>
      <c r="F20">
        <v>3.24</v>
      </c>
      <c r="G20">
        <v>19</v>
      </c>
      <c r="H20" s="205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4" t="s">
        <v>208</v>
      </c>
      <c r="E21">
        <v>20</v>
      </c>
      <c r="F21">
        <v>3.04</v>
      </c>
      <c r="G21">
        <v>20</v>
      </c>
      <c r="H21" s="205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4" t="s">
        <v>209</v>
      </c>
      <c r="E22">
        <v>21</v>
      </c>
      <c r="F22">
        <v>3.24</v>
      </c>
      <c r="G22">
        <v>21</v>
      </c>
      <c r="H22" s="205" t="s">
        <v>209</v>
      </c>
    </row>
    <row r="23" spans="1:12" x14ac:dyDescent="0.15">
      <c r="A23" s="36" t="s">
        <v>129</v>
      </c>
      <c r="B23" s="44">
        <v>4</v>
      </c>
      <c r="C23" s="38"/>
      <c r="D23" s="204" t="s">
        <v>210</v>
      </c>
      <c r="E23">
        <v>22</v>
      </c>
      <c r="F23">
        <v>3.24</v>
      </c>
      <c r="G23">
        <v>22</v>
      </c>
      <c r="H23" s="205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4" t="s">
        <v>211</v>
      </c>
      <c r="E24">
        <v>23</v>
      </c>
      <c r="F24">
        <v>3.14</v>
      </c>
      <c r="G24">
        <v>23</v>
      </c>
      <c r="H24" s="205" t="s">
        <v>211</v>
      </c>
    </row>
    <row r="25" spans="1:12" x14ac:dyDescent="0.15">
      <c r="A25" s="36" t="s">
        <v>70</v>
      </c>
      <c r="B25" s="44">
        <v>4.2</v>
      </c>
      <c r="C25" s="38"/>
      <c r="D25" s="204" t="s">
        <v>212</v>
      </c>
      <c r="E25">
        <v>24</v>
      </c>
      <c r="F25">
        <v>3.04</v>
      </c>
      <c r="G25">
        <v>24</v>
      </c>
      <c r="H25" s="205" t="s">
        <v>212</v>
      </c>
    </row>
    <row r="26" spans="1:12" x14ac:dyDescent="0.15">
      <c r="A26" s="36" t="s">
        <v>123</v>
      </c>
      <c r="B26" s="44">
        <v>4.3</v>
      </c>
      <c r="C26" s="38"/>
      <c r="D26" s="204" t="s">
        <v>213</v>
      </c>
      <c r="E26">
        <v>25</v>
      </c>
      <c r="F26">
        <v>3.14</v>
      </c>
      <c r="G26">
        <v>25</v>
      </c>
      <c r="H26" s="205" t="s">
        <v>213</v>
      </c>
    </row>
    <row r="27" spans="1:12" x14ac:dyDescent="0.15">
      <c r="A27" s="36" t="s">
        <v>125</v>
      </c>
      <c r="B27" s="44">
        <v>6.1</v>
      </c>
      <c r="D27" s="204" t="s">
        <v>214</v>
      </c>
      <c r="E27">
        <v>26</v>
      </c>
      <c r="F27">
        <v>3.24</v>
      </c>
      <c r="G27">
        <v>26</v>
      </c>
      <c r="H27" s="205" t="s">
        <v>214</v>
      </c>
    </row>
    <row r="28" spans="1:12" x14ac:dyDescent="0.15">
      <c r="A28" s="36" t="s">
        <v>124</v>
      </c>
      <c r="B28" s="44">
        <v>6.2</v>
      </c>
      <c r="D28" s="204" t="s">
        <v>215</v>
      </c>
      <c r="E28">
        <v>27</v>
      </c>
      <c r="F28">
        <v>3.24</v>
      </c>
      <c r="G28">
        <v>27</v>
      </c>
      <c r="H28" s="205" t="s">
        <v>215</v>
      </c>
    </row>
    <row r="29" spans="1:12" x14ac:dyDescent="0.15">
      <c r="A29" s="36" t="s">
        <v>44</v>
      </c>
      <c r="B29" s="44">
        <v>5</v>
      </c>
      <c r="D29" s="204" t="s">
        <v>216</v>
      </c>
      <c r="E29">
        <v>28</v>
      </c>
      <c r="F29">
        <v>3.23</v>
      </c>
      <c r="G29">
        <v>28</v>
      </c>
      <c r="H29" s="205" t="s">
        <v>216</v>
      </c>
    </row>
    <row r="30" spans="1:12" x14ac:dyDescent="0.15">
      <c r="A30" s="36" t="s">
        <v>73</v>
      </c>
      <c r="B30" s="44">
        <v>7</v>
      </c>
      <c r="D30" s="204" t="s">
        <v>217</v>
      </c>
      <c r="E30">
        <v>29</v>
      </c>
      <c r="F30">
        <v>3.24</v>
      </c>
      <c r="G30">
        <v>29</v>
      </c>
      <c r="H30" s="205" t="s">
        <v>217</v>
      </c>
    </row>
    <row r="31" spans="1:12" x14ac:dyDescent="0.15">
      <c r="A31" s="36" t="s">
        <v>169</v>
      </c>
      <c r="B31" s="44">
        <v>3.14</v>
      </c>
      <c r="D31" s="204" t="s">
        <v>218</v>
      </c>
      <c r="E31">
        <v>30</v>
      </c>
      <c r="F31">
        <v>3.01</v>
      </c>
      <c r="G31">
        <v>30</v>
      </c>
      <c r="H31" s="205" t="s">
        <v>218</v>
      </c>
    </row>
    <row r="32" spans="1:12" ht="12" customHeight="1" thickBot="1" x14ac:dyDescent="0.2">
      <c r="A32" s="42" t="s">
        <v>170</v>
      </c>
      <c r="B32" s="45">
        <v>9</v>
      </c>
      <c r="D32" s="204" t="s">
        <v>219</v>
      </c>
      <c r="E32">
        <v>31</v>
      </c>
      <c r="F32">
        <v>3.12</v>
      </c>
      <c r="G32">
        <v>31</v>
      </c>
      <c r="H32" s="205" t="s">
        <v>219</v>
      </c>
    </row>
    <row r="33" spans="4:8" customFormat="1" ht="12" customHeight="1" x14ac:dyDescent="0.15">
      <c r="D33" s="204" t="s">
        <v>220</v>
      </c>
      <c r="E33">
        <v>32</v>
      </c>
      <c r="F33">
        <v>3.21</v>
      </c>
      <c r="G33">
        <v>32</v>
      </c>
      <c r="H33" s="205" t="s">
        <v>220</v>
      </c>
    </row>
    <row r="34" spans="4:8" customFormat="1" ht="12" customHeight="1" x14ac:dyDescent="0.15">
      <c r="D34" s="204" t="s">
        <v>221</v>
      </c>
      <c r="E34">
        <v>33</v>
      </c>
      <c r="F34">
        <v>3.01</v>
      </c>
      <c r="G34">
        <v>33</v>
      </c>
      <c r="H34" s="205" t="s">
        <v>221</v>
      </c>
    </row>
    <row r="35" spans="4:8" customFormat="1" x14ac:dyDescent="0.15">
      <c r="D35" s="204" t="s">
        <v>222</v>
      </c>
      <c r="E35">
        <v>34</v>
      </c>
      <c r="F35">
        <v>3.01</v>
      </c>
      <c r="G35">
        <v>34</v>
      </c>
      <c r="H35" s="205" t="s">
        <v>222</v>
      </c>
    </row>
    <row r="36" spans="4:8" customFormat="1" x14ac:dyDescent="0.15">
      <c r="D36" s="204" t="s">
        <v>223</v>
      </c>
      <c r="E36">
        <v>35</v>
      </c>
      <c r="F36">
        <v>3.21</v>
      </c>
      <c r="G36">
        <v>35</v>
      </c>
      <c r="H36" s="205" t="s">
        <v>223</v>
      </c>
    </row>
    <row r="37" spans="4:8" customFormat="1" ht="12" customHeight="1" x14ac:dyDescent="0.15">
      <c r="D37" s="204" t="s">
        <v>224</v>
      </c>
      <c r="E37">
        <v>36</v>
      </c>
      <c r="F37">
        <v>3.11</v>
      </c>
      <c r="G37">
        <v>36</v>
      </c>
      <c r="H37" s="205" t="s">
        <v>224</v>
      </c>
    </row>
    <row r="38" spans="4:8" customFormat="1" x14ac:dyDescent="0.15">
      <c r="D38" s="204" t="s">
        <v>225</v>
      </c>
      <c r="E38">
        <v>37</v>
      </c>
      <c r="F38">
        <v>3.21</v>
      </c>
      <c r="G38">
        <v>37</v>
      </c>
      <c r="H38" s="205" t="s">
        <v>225</v>
      </c>
    </row>
    <row r="39" spans="4:8" customFormat="1" x14ac:dyDescent="0.15">
      <c r="D39" s="204" t="s">
        <v>226</v>
      </c>
      <c r="E39">
        <v>38</v>
      </c>
      <c r="F39">
        <v>3.21</v>
      </c>
      <c r="G39">
        <v>38</v>
      </c>
      <c r="H39" s="205" t="s">
        <v>226</v>
      </c>
    </row>
    <row r="40" spans="4:8" customFormat="1" x14ac:dyDescent="0.15">
      <c r="D40" s="204" t="s">
        <v>227</v>
      </c>
      <c r="E40">
        <v>39</v>
      </c>
      <c r="F40">
        <v>2.1</v>
      </c>
      <c r="G40">
        <v>39</v>
      </c>
      <c r="H40" s="205" t="s">
        <v>227</v>
      </c>
    </row>
    <row r="41" spans="4:8" customFormat="1" x14ac:dyDescent="0.15">
      <c r="D41" s="204" t="s">
        <v>228</v>
      </c>
      <c r="E41">
        <v>40</v>
      </c>
      <c r="F41">
        <v>4.22</v>
      </c>
      <c r="G41">
        <v>40</v>
      </c>
      <c r="H41" s="205" t="s">
        <v>228</v>
      </c>
    </row>
    <row r="42" spans="4:8" customFormat="1" x14ac:dyDescent="0.15">
      <c r="D42" s="204" t="s">
        <v>229</v>
      </c>
      <c r="E42">
        <v>41</v>
      </c>
      <c r="F42">
        <v>4.0999999999999996</v>
      </c>
      <c r="G42">
        <v>41</v>
      </c>
      <c r="H42" s="205" t="s">
        <v>229</v>
      </c>
    </row>
    <row r="43" spans="4:8" customFormat="1" x14ac:dyDescent="0.15">
      <c r="D43" s="204" t="s">
        <v>230</v>
      </c>
      <c r="E43">
        <v>42</v>
      </c>
      <c r="F43">
        <v>4.3</v>
      </c>
      <c r="G43">
        <v>42</v>
      </c>
      <c r="H43" s="205" t="s">
        <v>230</v>
      </c>
    </row>
    <row r="44" spans="4:8" customFormat="1" x14ac:dyDescent="0.15">
      <c r="D44" s="204" t="s">
        <v>231</v>
      </c>
      <c r="E44">
        <v>43</v>
      </c>
      <c r="F44">
        <v>5</v>
      </c>
      <c r="G44">
        <v>43</v>
      </c>
      <c r="H44" s="205" t="s">
        <v>231</v>
      </c>
    </row>
    <row r="45" spans="4:8" customFormat="1" x14ac:dyDescent="0.15">
      <c r="D45" s="204" t="s">
        <v>232</v>
      </c>
      <c r="E45">
        <v>44</v>
      </c>
      <c r="F45">
        <v>5</v>
      </c>
      <c r="G45">
        <v>44</v>
      </c>
      <c r="H45" s="205" t="s">
        <v>232</v>
      </c>
    </row>
    <row r="46" spans="4:8" customFormat="1" x14ac:dyDescent="0.15">
      <c r="D46" s="204" t="s">
        <v>233</v>
      </c>
      <c r="E46">
        <v>45</v>
      </c>
      <c r="F46">
        <v>5</v>
      </c>
      <c r="G46">
        <v>45</v>
      </c>
      <c r="H46" s="205" t="s">
        <v>233</v>
      </c>
    </row>
    <row r="47" spans="4:8" customFormat="1" x14ac:dyDescent="0.15">
      <c r="D47" s="204" t="s">
        <v>138</v>
      </c>
      <c r="E47">
        <v>46</v>
      </c>
      <c r="F47">
        <v>6.1</v>
      </c>
      <c r="G47">
        <v>46</v>
      </c>
      <c r="H47" s="205" t="s">
        <v>138</v>
      </c>
    </row>
    <row r="48" spans="4:8" customFormat="1" x14ac:dyDescent="0.15">
      <c r="D48" s="204" t="s">
        <v>45</v>
      </c>
      <c r="E48">
        <v>47</v>
      </c>
      <c r="F48">
        <v>6.2</v>
      </c>
      <c r="G48">
        <v>47</v>
      </c>
      <c r="H48" s="205" t="s">
        <v>45</v>
      </c>
    </row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T12" sqref="T12"/>
    </sheetView>
  </sheetViews>
  <sheetFormatPr baseColWidth="10" defaultColWidth="11.5" defaultRowHeight="15" customHeight="1" x14ac:dyDescent="0.15"/>
  <cols>
    <col min="1" max="1" width="40.1640625" style="86" bestFit="1" customWidth="1"/>
    <col min="2" max="2" width="6.83203125" style="85" customWidth="1"/>
    <col min="3" max="3" width="11.5" style="85" customWidth="1"/>
    <col min="4" max="4" width="39.6640625" style="85" customWidth="1"/>
    <col min="5" max="5" width="8.1640625" style="85" customWidth="1"/>
    <col min="6" max="6" width="21.6640625" style="85" bestFit="1" customWidth="1"/>
    <col min="7" max="9" width="2.33203125" style="85" customWidth="1"/>
    <col min="10" max="10" width="2.33203125" style="85" bestFit="1" customWidth="1"/>
    <col min="11" max="15" width="2.33203125" style="85" customWidth="1"/>
    <col min="16" max="16" width="2.33203125" style="73" customWidth="1"/>
    <col min="17" max="17" width="2.33203125" style="85" customWidth="1"/>
    <col min="18" max="18" width="2.33203125" style="74" customWidth="1"/>
    <col min="19" max="16384" width="11.5" style="85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7" t="s">
        <v>48</v>
      </c>
      <c r="L1" s="74"/>
      <c r="M1" s="87" t="s">
        <v>119</v>
      </c>
      <c r="N1" s="74"/>
      <c r="O1" s="87" t="s">
        <v>49</v>
      </c>
      <c r="P1" s="77"/>
      <c r="Q1" s="87" t="s">
        <v>50</v>
      </c>
      <c r="R1" s="71" t="s">
        <v>154</v>
      </c>
    </row>
    <row r="2" spans="1:23" ht="15" customHeight="1" x14ac:dyDescent="0.15">
      <c r="A2" s="87" t="s">
        <v>51</v>
      </c>
      <c r="B2" s="88">
        <v>0.5</v>
      </c>
      <c r="C2" s="86" t="s">
        <v>52</v>
      </c>
      <c r="D2" s="89"/>
      <c r="F2" s="1"/>
      <c r="G2" s="90"/>
      <c r="H2" s="90"/>
      <c r="I2" s="90" t="s">
        <v>133</v>
      </c>
      <c r="J2" s="90" t="s">
        <v>133</v>
      </c>
      <c r="K2" s="90" t="s">
        <v>52</v>
      </c>
      <c r="L2" s="90" t="s">
        <v>53</v>
      </c>
      <c r="M2" s="90" t="s">
        <v>52</v>
      </c>
      <c r="N2" s="90" t="s">
        <v>53</v>
      </c>
      <c r="O2" s="90" t="s">
        <v>52</v>
      </c>
      <c r="P2" s="91" t="s">
        <v>53</v>
      </c>
      <c r="Q2" s="90"/>
      <c r="R2" s="92" t="s">
        <v>155</v>
      </c>
    </row>
    <row r="3" spans="1:23" ht="15" customHeight="1" thickBot="1" x14ac:dyDescent="0.2">
      <c r="A3" s="87" t="s">
        <v>54</v>
      </c>
      <c r="B3" s="93">
        <v>0.5</v>
      </c>
      <c r="C3" s="86" t="s">
        <v>53</v>
      </c>
      <c r="D3" s="8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5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5">
        <v>0</v>
      </c>
      <c r="R4" s="117">
        <v>0</v>
      </c>
    </row>
    <row r="5" spans="1:23" ht="15" customHeight="1" x14ac:dyDescent="0.15">
      <c r="A5" s="87" t="s">
        <v>55</v>
      </c>
      <c r="B5" s="94">
        <v>0.5</v>
      </c>
      <c r="C5" s="86" t="s">
        <v>52</v>
      </c>
      <c r="D5" s="8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5">
        <v>0</v>
      </c>
      <c r="R5" s="117">
        <v>0</v>
      </c>
    </row>
    <row r="6" spans="1:23" ht="15" customHeight="1" thickBot="1" x14ac:dyDescent="0.2">
      <c r="A6" s="87"/>
      <c r="B6" s="95">
        <v>0.5</v>
      </c>
      <c r="C6" s="86" t="s">
        <v>53</v>
      </c>
      <c r="D6" s="89"/>
      <c r="F6" s="206" t="s">
        <v>192</v>
      </c>
      <c r="G6" s="85">
        <v>0</v>
      </c>
      <c r="H6" s="85">
        <v>0</v>
      </c>
      <c r="I6" s="85">
        <v>0</v>
      </c>
      <c r="J6" s="85">
        <v>0</v>
      </c>
      <c r="K6" s="85">
        <v>1</v>
      </c>
      <c r="L6" s="85">
        <v>0</v>
      </c>
      <c r="M6" s="85">
        <v>1</v>
      </c>
      <c r="N6" s="85">
        <v>0</v>
      </c>
      <c r="O6" s="85">
        <v>1</v>
      </c>
      <c r="P6" s="73">
        <v>0</v>
      </c>
      <c r="Q6" s="85">
        <v>0</v>
      </c>
      <c r="R6" s="74">
        <v>1</v>
      </c>
      <c r="S6"/>
      <c r="T6"/>
    </row>
    <row r="7" spans="1:23" ht="15" customHeight="1" thickBot="1" x14ac:dyDescent="0.2">
      <c r="F7" s="206" t="s">
        <v>193</v>
      </c>
      <c r="G7" s="85">
        <v>0</v>
      </c>
      <c r="H7" s="85">
        <v>0</v>
      </c>
      <c r="I7" s="85">
        <v>0</v>
      </c>
      <c r="J7" s="85">
        <v>0</v>
      </c>
      <c r="K7" s="85">
        <v>1</v>
      </c>
      <c r="L7" s="85">
        <v>0</v>
      </c>
      <c r="M7" s="85">
        <v>1</v>
      </c>
      <c r="N7" s="85">
        <v>0</v>
      </c>
      <c r="O7" s="85">
        <v>1</v>
      </c>
      <c r="P7" s="73">
        <v>0</v>
      </c>
      <c r="Q7" s="85">
        <v>0</v>
      </c>
      <c r="R7" s="74">
        <v>1</v>
      </c>
      <c r="S7"/>
      <c r="T7"/>
    </row>
    <row r="8" spans="1:23" ht="15" customHeight="1" x14ac:dyDescent="0.15">
      <c r="A8" s="87" t="s">
        <v>56</v>
      </c>
      <c r="B8" s="94">
        <v>1</v>
      </c>
      <c r="C8" s="207" t="s">
        <v>227</v>
      </c>
      <c r="D8" s="89" t="s">
        <v>160</v>
      </c>
      <c r="F8" s="206" t="s">
        <v>194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1</v>
      </c>
      <c r="M8" s="85">
        <v>0</v>
      </c>
      <c r="N8" s="85">
        <v>1</v>
      </c>
      <c r="O8" s="85">
        <v>0</v>
      </c>
      <c r="P8" s="73">
        <v>1</v>
      </c>
      <c r="Q8" s="85">
        <v>0</v>
      </c>
      <c r="R8" s="74">
        <v>1</v>
      </c>
      <c r="S8"/>
      <c r="T8"/>
      <c r="W8"/>
    </row>
    <row r="9" spans="1:23" ht="15" customHeight="1" x14ac:dyDescent="0.15">
      <c r="A9" s="131" t="s">
        <v>168</v>
      </c>
      <c r="B9" s="96"/>
      <c r="C9" s="84"/>
      <c r="D9" s="89" t="s">
        <v>160</v>
      </c>
      <c r="F9" s="206" t="s">
        <v>195</v>
      </c>
      <c r="G9" s="85">
        <v>0</v>
      </c>
      <c r="H9" s="85">
        <v>0</v>
      </c>
      <c r="I9" s="85">
        <v>0</v>
      </c>
      <c r="J9" s="85">
        <v>0</v>
      </c>
      <c r="K9" s="85">
        <v>1</v>
      </c>
      <c r="L9" s="85">
        <v>0</v>
      </c>
      <c r="M9" s="85">
        <v>1</v>
      </c>
      <c r="N9" s="85">
        <v>0</v>
      </c>
      <c r="O9" s="85">
        <v>1</v>
      </c>
      <c r="P9" s="73">
        <v>0</v>
      </c>
      <c r="Q9" s="85">
        <v>0</v>
      </c>
      <c r="R9" s="74">
        <v>1</v>
      </c>
      <c r="S9"/>
      <c r="T9"/>
      <c r="W9"/>
    </row>
    <row r="10" spans="1:23" ht="15" customHeight="1" x14ac:dyDescent="0.15">
      <c r="B10" s="96"/>
      <c r="C10" s="84"/>
      <c r="D10" s="89" t="s">
        <v>160</v>
      </c>
      <c r="F10" s="206" t="s">
        <v>196</v>
      </c>
      <c r="G10" s="85">
        <v>0</v>
      </c>
      <c r="H10" s="85">
        <v>0</v>
      </c>
      <c r="I10" s="85">
        <v>0</v>
      </c>
      <c r="J10" s="85">
        <v>0</v>
      </c>
      <c r="K10" s="85">
        <v>1</v>
      </c>
      <c r="L10" s="85">
        <v>0</v>
      </c>
      <c r="M10" s="85">
        <v>1</v>
      </c>
      <c r="N10" s="85">
        <v>0</v>
      </c>
      <c r="O10" s="85">
        <v>1</v>
      </c>
      <c r="P10" s="73">
        <v>0</v>
      </c>
      <c r="Q10" s="85">
        <v>0</v>
      </c>
      <c r="R10" s="74">
        <v>1</v>
      </c>
      <c r="S10"/>
      <c r="T10"/>
      <c r="W10"/>
    </row>
    <row r="11" spans="1:23" ht="15" customHeight="1" x14ac:dyDescent="0.15">
      <c r="A11" s="87"/>
      <c r="B11" s="96"/>
      <c r="C11" s="99"/>
      <c r="D11" s="89" t="s">
        <v>160</v>
      </c>
      <c r="F11" s="206" t="s">
        <v>197</v>
      </c>
      <c r="G11" s="85">
        <v>0</v>
      </c>
      <c r="H11" s="85">
        <v>0</v>
      </c>
      <c r="I11" s="85">
        <v>0</v>
      </c>
      <c r="J11" s="85">
        <v>0</v>
      </c>
      <c r="K11" s="85">
        <v>1</v>
      </c>
      <c r="L11" s="85">
        <v>0</v>
      </c>
      <c r="M11" s="85">
        <v>1</v>
      </c>
      <c r="N11" s="85">
        <v>0</v>
      </c>
      <c r="O11" s="85">
        <v>1</v>
      </c>
      <c r="P11" s="73">
        <v>0</v>
      </c>
      <c r="Q11" s="85">
        <v>0</v>
      </c>
      <c r="R11" s="74">
        <v>1</v>
      </c>
      <c r="S11"/>
      <c r="T11"/>
      <c r="W11"/>
    </row>
    <row r="12" spans="1:23" ht="15" customHeight="1" x14ac:dyDescent="0.15">
      <c r="B12" s="96"/>
      <c r="C12" s="100"/>
      <c r="D12" s="89" t="s">
        <v>160</v>
      </c>
      <c r="F12" s="206" t="s">
        <v>198</v>
      </c>
      <c r="G12" s="85">
        <v>0</v>
      </c>
      <c r="H12" s="85">
        <v>0</v>
      </c>
      <c r="I12" s="85">
        <v>0</v>
      </c>
      <c r="J12" s="85">
        <v>0</v>
      </c>
      <c r="K12" s="85">
        <v>1</v>
      </c>
      <c r="L12" s="85">
        <v>0</v>
      </c>
      <c r="M12" s="85">
        <v>1</v>
      </c>
      <c r="N12" s="85">
        <v>0</v>
      </c>
      <c r="O12" s="85">
        <v>1</v>
      </c>
      <c r="P12" s="73">
        <v>0</v>
      </c>
      <c r="Q12" s="85">
        <v>0</v>
      </c>
      <c r="R12" s="74">
        <v>1</v>
      </c>
      <c r="S12"/>
      <c r="T12"/>
      <c r="W12"/>
    </row>
    <row r="13" spans="1:23" ht="15" customHeight="1" x14ac:dyDescent="0.15">
      <c r="B13" s="96"/>
      <c r="C13" s="100"/>
      <c r="D13" s="89" t="s">
        <v>160</v>
      </c>
      <c r="F13" s="206" t="s">
        <v>199</v>
      </c>
      <c r="G13" s="85">
        <v>0</v>
      </c>
      <c r="H13" s="85">
        <v>0</v>
      </c>
      <c r="I13" s="85">
        <v>0</v>
      </c>
      <c r="J13" s="85">
        <v>0</v>
      </c>
      <c r="K13" s="85">
        <v>1</v>
      </c>
      <c r="L13" s="85">
        <v>0</v>
      </c>
      <c r="M13" s="85">
        <v>1</v>
      </c>
      <c r="N13" s="85">
        <v>0</v>
      </c>
      <c r="O13" s="85">
        <v>1</v>
      </c>
      <c r="P13" s="73">
        <v>0</v>
      </c>
      <c r="Q13" s="85">
        <v>0</v>
      </c>
      <c r="R13" s="74">
        <v>1</v>
      </c>
      <c r="S13"/>
      <c r="T13"/>
      <c r="W13"/>
    </row>
    <row r="14" spans="1:23" ht="15" customHeight="1" x14ac:dyDescent="0.15">
      <c r="B14" s="96"/>
      <c r="C14" s="84"/>
      <c r="D14" s="89" t="s">
        <v>160</v>
      </c>
      <c r="F14" s="206" t="s">
        <v>200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1</v>
      </c>
      <c r="M14" s="85">
        <v>0</v>
      </c>
      <c r="N14" s="85">
        <v>1</v>
      </c>
      <c r="O14" s="85">
        <v>0</v>
      </c>
      <c r="P14" s="73">
        <v>1</v>
      </c>
      <c r="Q14" s="85">
        <v>0</v>
      </c>
      <c r="R14" s="74">
        <v>1</v>
      </c>
      <c r="S14"/>
      <c r="T14"/>
      <c r="W14"/>
    </row>
    <row r="15" spans="1:23" ht="15" customHeight="1" x14ac:dyDescent="0.15">
      <c r="B15" s="96"/>
      <c r="C15" s="84"/>
      <c r="D15" s="89" t="s">
        <v>160</v>
      </c>
      <c r="F15" s="206" t="s">
        <v>201</v>
      </c>
      <c r="G15" s="85">
        <v>0</v>
      </c>
      <c r="H15" s="85">
        <v>0</v>
      </c>
      <c r="I15" s="85">
        <v>0</v>
      </c>
      <c r="J15" s="85">
        <v>0</v>
      </c>
      <c r="K15" s="85">
        <v>1</v>
      </c>
      <c r="L15" s="85">
        <v>0</v>
      </c>
      <c r="M15" s="85">
        <v>1</v>
      </c>
      <c r="N15" s="85">
        <v>0</v>
      </c>
      <c r="O15" s="85">
        <v>1</v>
      </c>
      <c r="P15" s="73">
        <v>0</v>
      </c>
      <c r="Q15" s="85">
        <v>0</v>
      </c>
      <c r="R15" s="74">
        <v>1</v>
      </c>
      <c r="S15"/>
      <c r="T15"/>
      <c r="W15"/>
    </row>
    <row r="16" spans="1:23" ht="15" customHeight="1" x14ac:dyDescent="0.15">
      <c r="B16" s="96"/>
      <c r="C16" s="84"/>
      <c r="D16" s="89" t="s">
        <v>160</v>
      </c>
      <c r="F16" s="206" t="s">
        <v>202</v>
      </c>
      <c r="G16" s="85">
        <v>0</v>
      </c>
      <c r="H16" s="85">
        <v>0</v>
      </c>
      <c r="I16" s="85">
        <v>0</v>
      </c>
      <c r="J16" s="85">
        <v>0</v>
      </c>
      <c r="K16" s="85">
        <v>1</v>
      </c>
      <c r="L16" s="85">
        <v>0</v>
      </c>
      <c r="M16" s="85">
        <v>1</v>
      </c>
      <c r="N16" s="85">
        <v>0</v>
      </c>
      <c r="O16" s="85">
        <v>1</v>
      </c>
      <c r="P16" s="73">
        <v>0</v>
      </c>
      <c r="Q16" s="85">
        <v>0</v>
      </c>
      <c r="R16" s="74">
        <v>1</v>
      </c>
      <c r="S16"/>
      <c r="T16"/>
    </row>
    <row r="17" spans="1:20" ht="15" customHeight="1" thickBot="1" x14ac:dyDescent="0.2">
      <c r="B17" s="95"/>
      <c r="C17" s="84"/>
      <c r="D17" s="89" t="s">
        <v>160</v>
      </c>
      <c r="F17" s="206" t="s">
        <v>203</v>
      </c>
      <c r="G17" s="85">
        <v>0</v>
      </c>
      <c r="H17" s="85">
        <v>0</v>
      </c>
      <c r="I17" s="85">
        <v>0</v>
      </c>
      <c r="J17" s="85">
        <v>0</v>
      </c>
      <c r="K17" s="85">
        <v>1</v>
      </c>
      <c r="L17" s="85">
        <v>0</v>
      </c>
      <c r="M17" s="85">
        <v>1</v>
      </c>
      <c r="N17" s="85">
        <v>0</v>
      </c>
      <c r="O17" s="85">
        <v>1</v>
      </c>
      <c r="P17" s="73">
        <v>0</v>
      </c>
      <c r="Q17" s="85">
        <v>0</v>
      </c>
      <c r="R17" s="74">
        <v>1</v>
      </c>
      <c r="S17"/>
      <c r="T17"/>
    </row>
    <row r="18" spans="1:20" ht="15" customHeight="1" thickBot="1" x14ac:dyDescent="0.2">
      <c r="B18" s="97"/>
      <c r="F18" s="206" t="s">
        <v>204</v>
      </c>
      <c r="G18" s="85">
        <v>0</v>
      </c>
      <c r="H18" s="85">
        <v>0</v>
      </c>
      <c r="I18" s="85">
        <v>0</v>
      </c>
      <c r="J18" s="85">
        <v>0</v>
      </c>
      <c r="K18" s="85">
        <v>1</v>
      </c>
      <c r="L18" s="85">
        <v>0</v>
      </c>
      <c r="M18" s="85">
        <v>1</v>
      </c>
      <c r="N18" s="85">
        <v>0</v>
      </c>
      <c r="O18" s="85">
        <v>1</v>
      </c>
      <c r="P18" s="73">
        <v>0</v>
      </c>
      <c r="Q18" s="85">
        <v>0</v>
      </c>
      <c r="R18" s="74">
        <v>1</v>
      </c>
      <c r="S18"/>
      <c r="T18"/>
    </row>
    <row r="19" spans="1:20" ht="15" customHeight="1" x14ac:dyDescent="0.15">
      <c r="A19" s="87" t="s">
        <v>57</v>
      </c>
      <c r="B19" s="94">
        <v>1</v>
      </c>
      <c r="C19" s="208" t="s">
        <v>227</v>
      </c>
      <c r="D19" s="89" t="s">
        <v>160</v>
      </c>
      <c r="F19" s="206" t="s">
        <v>205</v>
      </c>
      <c r="G19" s="85">
        <v>0</v>
      </c>
      <c r="H19" s="85">
        <v>0</v>
      </c>
      <c r="I19" s="85">
        <v>0</v>
      </c>
      <c r="J19" s="85">
        <v>0</v>
      </c>
      <c r="K19" s="85">
        <v>1</v>
      </c>
      <c r="L19" s="85">
        <v>0</v>
      </c>
      <c r="M19" s="85">
        <v>1</v>
      </c>
      <c r="N19" s="85">
        <v>0</v>
      </c>
      <c r="O19" s="85">
        <v>1</v>
      </c>
      <c r="P19" s="73">
        <v>0</v>
      </c>
      <c r="Q19" s="85">
        <v>0</v>
      </c>
      <c r="R19" s="74">
        <v>1</v>
      </c>
      <c r="S19"/>
      <c r="T19"/>
    </row>
    <row r="20" spans="1:20" ht="15" customHeight="1" x14ac:dyDescent="0.15">
      <c r="A20" s="131" t="s">
        <v>168</v>
      </c>
      <c r="B20" s="96"/>
      <c r="C20" s="84"/>
      <c r="D20" s="89" t="s">
        <v>160</v>
      </c>
      <c r="F20" s="206" t="s">
        <v>206</v>
      </c>
      <c r="G20" s="85">
        <v>0</v>
      </c>
      <c r="H20" s="85">
        <v>0</v>
      </c>
      <c r="I20" s="85">
        <v>0</v>
      </c>
      <c r="J20" s="85">
        <v>0</v>
      </c>
      <c r="K20" s="85">
        <v>1</v>
      </c>
      <c r="L20" s="85">
        <v>0</v>
      </c>
      <c r="M20" s="85">
        <v>1</v>
      </c>
      <c r="N20" s="85">
        <v>0</v>
      </c>
      <c r="O20" s="85">
        <v>1</v>
      </c>
      <c r="P20" s="73">
        <v>0</v>
      </c>
      <c r="Q20" s="85">
        <v>0</v>
      </c>
      <c r="R20" s="74">
        <v>1</v>
      </c>
      <c r="S20"/>
      <c r="T20"/>
    </row>
    <row r="21" spans="1:20" ht="15" customHeight="1" x14ac:dyDescent="0.15">
      <c r="B21" s="96"/>
      <c r="C21" s="84"/>
      <c r="D21" s="89" t="s">
        <v>160</v>
      </c>
      <c r="F21" s="206" t="s">
        <v>207</v>
      </c>
      <c r="G21" s="85">
        <v>0</v>
      </c>
      <c r="H21" s="85">
        <v>0</v>
      </c>
      <c r="I21" s="85">
        <v>0</v>
      </c>
      <c r="J21" s="85">
        <v>0</v>
      </c>
      <c r="K21" s="85">
        <v>1</v>
      </c>
      <c r="L21" s="85">
        <v>0</v>
      </c>
      <c r="M21" s="85">
        <v>1</v>
      </c>
      <c r="N21" s="85">
        <v>0</v>
      </c>
      <c r="O21" s="85">
        <v>1</v>
      </c>
      <c r="P21" s="73">
        <v>0</v>
      </c>
      <c r="Q21" s="85">
        <v>0</v>
      </c>
      <c r="R21" s="74">
        <v>1</v>
      </c>
      <c r="S21"/>
      <c r="T21"/>
    </row>
    <row r="22" spans="1:20" ht="15" customHeight="1" x14ac:dyDescent="0.15">
      <c r="A22" s="85"/>
      <c r="B22" s="96"/>
      <c r="C22" s="99"/>
      <c r="D22" s="89" t="s">
        <v>160</v>
      </c>
      <c r="F22" s="206" t="s">
        <v>208</v>
      </c>
      <c r="G22" s="85">
        <v>0</v>
      </c>
      <c r="H22" s="85">
        <v>0</v>
      </c>
      <c r="I22" s="85">
        <v>0</v>
      </c>
      <c r="J22" s="85">
        <v>0</v>
      </c>
      <c r="K22" s="85">
        <v>1</v>
      </c>
      <c r="L22" s="85">
        <v>0</v>
      </c>
      <c r="M22" s="85">
        <v>1</v>
      </c>
      <c r="N22" s="85">
        <v>0</v>
      </c>
      <c r="O22" s="85">
        <v>1</v>
      </c>
      <c r="P22" s="73">
        <v>0</v>
      </c>
      <c r="Q22" s="85">
        <v>0</v>
      </c>
      <c r="R22" s="74">
        <v>1</v>
      </c>
      <c r="S22"/>
      <c r="T22"/>
    </row>
    <row r="23" spans="1:20" ht="15" customHeight="1" x14ac:dyDescent="0.15">
      <c r="A23" s="85"/>
      <c r="B23" s="96"/>
      <c r="C23" s="100"/>
      <c r="D23" s="89" t="s">
        <v>160</v>
      </c>
      <c r="F23" s="206" t="s">
        <v>209</v>
      </c>
      <c r="G23" s="85">
        <v>0</v>
      </c>
      <c r="H23" s="85">
        <v>0</v>
      </c>
      <c r="I23" s="85">
        <v>0</v>
      </c>
      <c r="J23" s="85">
        <v>0</v>
      </c>
      <c r="K23" s="85">
        <v>1</v>
      </c>
      <c r="L23" s="85">
        <v>0</v>
      </c>
      <c r="M23" s="85">
        <v>1</v>
      </c>
      <c r="N23" s="85">
        <v>0</v>
      </c>
      <c r="O23" s="85">
        <v>1</v>
      </c>
      <c r="P23" s="73">
        <v>0</v>
      </c>
      <c r="Q23" s="85">
        <v>0</v>
      </c>
      <c r="R23" s="74">
        <v>1</v>
      </c>
      <c r="S23"/>
      <c r="T23"/>
    </row>
    <row r="24" spans="1:20" ht="15" customHeight="1" x14ac:dyDescent="0.15">
      <c r="A24" s="85"/>
      <c r="B24" s="96"/>
      <c r="C24" s="100"/>
      <c r="D24" s="89" t="s">
        <v>160</v>
      </c>
      <c r="F24" s="206" t="s">
        <v>210</v>
      </c>
      <c r="G24" s="85">
        <v>0</v>
      </c>
      <c r="H24" s="85">
        <v>0</v>
      </c>
      <c r="I24" s="85">
        <v>0</v>
      </c>
      <c r="J24" s="85">
        <v>0</v>
      </c>
      <c r="K24" s="85">
        <v>1</v>
      </c>
      <c r="L24" s="85">
        <v>0</v>
      </c>
      <c r="M24" s="85">
        <v>1</v>
      </c>
      <c r="N24" s="85">
        <v>0</v>
      </c>
      <c r="O24" s="85">
        <v>1</v>
      </c>
      <c r="P24" s="73">
        <v>0</v>
      </c>
      <c r="Q24" s="85">
        <v>0</v>
      </c>
      <c r="R24" s="74">
        <v>1</v>
      </c>
      <c r="S24"/>
      <c r="T24"/>
    </row>
    <row r="25" spans="1:20" ht="15" customHeight="1" x14ac:dyDescent="0.15">
      <c r="A25" s="85"/>
      <c r="B25" s="96"/>
      <c r="C25" s="84"/>
      <c r="D25" s="89" t="s">
        <v>160</v>
      </c>
      <c r="F25" s="206" t="s">
        <v>211</v>
      </c>
      <c r="G25" s="85">
        <v>0</v>
      </c>
      <c r="H25" s="85">
        <v>0</v>
      </c>
      <c r="I25" s="85">
        <v>0</v>
      </c>
      <c r="J25" s="85">
        <v>0</v>
      </c>
      <c r="K25" s="85">
        <v>1</v>
      </c>
      <c r="L25" s="85">
        <v>0</v>
      </c>
      <c r="M25" s="85">
        <v>1</v>
      </c>
      <c r="N25" s="85">
        <v>0</v>
      </c>
      <c r="O25" s="85">
        <v>1</v>
      </c>
      <c r="P25" s="73">
        <v>0</v>
      </c>
      <c r="Q25" s="85">
        <v>0</v>
      </c>
      <c r="R25" s="74">
        <v>1</v>
      </c>
      <c r="S25"/>
      <c r="T25"/>
    </row>
    <row r="26" spans="1:20" ht="15" customHeight="1" x14ac:dyDescent="0.15">
      <c r="B26" s="96"/>
      <c r="C26" s="84"/>
      <c r="D26" s="89" t="s">
        <v>160</v>
      </c>
      <c r="F26" s="206" t="s">
        <v>212</v>
      </c>
      <c r="G26" s="85">
        <v>0</v>
      </c>
      <c r="H26" s="85">
        <v>0</v>
      </c>
      <c r="I26" s="85">
        <v>0</v>
      </c>
      <c r="J26" s="85">
        <v>0</v>
      </c>
      <c r="K26" s="85">
        <v>1</v>
      </c>
      <c r="L26" s="85">
        <v>0</v>
      </c>
      <c r="M26" s="85">
        <v>1</v>
      </c>
      <c r="N26" s="85">
        <v>0</v>
      </c>
      <c r="O26" s="85">
        <v>1</v>
      </c>
      <c r="P26" s="73">
        <v>0</v>
      </c>
      <c r="Q26" s="85">
        <v>0</v>
      </c>
      <c r="R26" s="74">
        <v>1</v>
      </c>
      <c r="S26"/>
      <c r="T26"/>
    </row>
    <row r="27" spans="1:20" ht="15" customHeight="1" x14ac:dyDescent="0.15">
      <c r="B27" s="96"/>
      <c r="C27" s="84"/>
      <c r="D27" s="89" t="s">
        <v>160</v>
      </c>
      <c r="F27" s="206" t="s">
        <v>213</v>
      </c>
      <c r="G27" s="85">
        <v>0</v>
      </c>
      <c r="H27" s="85">
        <v>0</v>
      </c>
      <c r="I27" s="85">
        <v>0</v>
      </c>
      <c r="J27" s="85">
        <v>0</v>
      </c>
      <c r="K27" s="85">
        <v>1</v>
      </c>
      <c r="L27" s="85">
        <v>0</v>
      </c>
      <c r="M27" s="85">
        <v>1</v>
      </c>
      <c r="N27" s="85">
        <v>0</v>
      </c>
      <c r="O27" s="85">
        <v>1</v>
      </c>
      <c r="P27" s="73">
        <v>0</v>
      </c>
      <c r="Q27" s="85">
        <v>0</v>
      </c>
      <c r="R27" s="74">
        <v>1</v>
      </c>
      <c r="S27"/>
      <c r="T27"/>
    </row>
    <row r="28" spans="1:20" ht="15" customHeight="1" thickBot="1" x14ac:dyDescent="0.2">
      <c r="B28" s="95"/>
      <c r="C28" s="84"/>
      <c r="D28" s="89" t="s">
        <v>160</v>
      </c>
      <c r="F28" s="206" t="s">
        <v>214</v>
      </c>
      <c r="G28" s="85">
        <v>0</v>
      </c>
      <c r="H28" s="85">
        <v>0</v>
      </c>
      <c r="I28" s="85">
        <v>0</v>
      </c>
      <c r="J28" s="85">
        <v>0</v>
      </c>
      <c r="K28" s="85">
        <v>1</v>
      </c>
      <c r="L28" s="85">
        <v>0</v>
      </c>
      <c r="M28" s="85">
        <v>1</v>
      </c>
      <c r="N28" s="85">
        <v>0</v>
      </c>
      <c r="O28" s="85">
        <v>1</v>
      </c>
      <c r="P28" s="73">
        <v>0</v>
      </c>
      <c r="Q28" s="85">
        <v>0</v>
      </c>
      <c r="R28" s="74">
        <v>1</v>
      </c>
      <c r="S28"/>
      <c r="T28"/>
    </row>
    <row r="29" spans="1:20" ht="15" customHeight="1" x14ac:dyDescent="0.15">
      <c r="F29" s="206" t="s">
        <v>215</v>
      </c>
      <c r="G29" s="85">
        <v>0</v>
      </c>
      <c r="H29" s="85">
        <v>0</v>
      </c>
      <c r="I29" s="85">
        <v>0</v>
      </c>
      <c r="J29" s="85">
        <v>0</v>
      </c>
      <c r="K29" s="85">
        <v>1</v>
      </c>
      <c r="L29" s="85">
        <v>0</v>
      </c>
      <c r="M29" s="85">
        <v>1</v>
      </c>
      <c r="N29" s="85">
        <v>0</v>
      </c>
      <c r="O29" s="85">
        <v>1</v>
      </c>
      <c r="P29" s="73">
        <v>0</v>
      </c>
      <c r="Q29" s="85">
        <v>0</v>
      </c>
      <c r="R29" s="74">
        <v>1</v>
      </c>
      <c r="S29"/>
      <c r="T29"/>
    </row>
    <row r="30" spans="1:20" ht="15" customHeight="1" x14ac:dyDescent="0.15">
      <c r="F30" s="206" t="s">
        <v>216</v>
      </c>
      <c r="G30" s="85">
        <v>0</v>
      </c>
      <c r="H30" s="85">
        <v>0</v>
      </c>
      <c r="I30" s="85">
        <v>0</v>
      </c>
      <c r="J30" s="85">
        <v>0</v>
      </c>
      <c r="K30" s="85">
        <v>1</v>
      </c>
      <c r="L30" s="85">
        <v>0</v>
      </c>
      <c r="M30" s="85">
        <v>1</v>
      </c>
      <c r="N30" s="85">
        <v>0</v>
      </c>
      <c r="O30" s="85">
        <v>1</v>
      </c>
      <c r="P30" s="73">
        <v>0</v>
      </c>
      <c r="Q30" s="85">
        <v>0</v>
      </c>
      <c r="R30" s="74">
        <v>1</v>
      </c>
      <c r="S30"/>
      <c r="T30"/>
    </row>
    <row r="31" spans="1:20" ht="15" customHeight="1" x14ac:dyDescent="0.15">
      <c r="A31" s="132"/>
      <c r="B31" s="143" t="s">
        <v>17</v>
      </c>
      <c r="C31" s="143" t="s">
        <v>1</v>
      </c>
      <c r="D31" s="143" t="s">
        <v>161</v>
      </c>
      <c r="E31" s="144" t="s">
        <v>163</v>
      </c>
      <c r="F31" s="206" t="s">
        <v>217</v>
      </c>
      <c r="G31" s="85">
        <v>0</v>
      </c>
      <c r="H31" s="85">
        <v>0</v>
      </c>
      <c r="I31" s="85">
        <v>0</v>
      </c>
      <c r="J31" s="85">
        <v>0</v>
      </c>
      <c r="K31" s="85">
        <v>1</v>
      </c>
      <c r="L31" s="85">
        <v>0</v>
      </c>
      <c r="M31" s="85">
        <v>1</v>
      </c>
      <c r="N31" s="85">
        <v>0</v>
      </c>
      <c r="O31" s="85">
        <v>1</v>
      </c>
      <c r="P31" s="73">
        <v>0</v>
      </c>
      <c r="Q31" s="85">
        <v>0</v>
      </c>
      <c r="R31" s="74">
        <v>1</v>
      </c>
      <c r="S31"/>
      <c r="T31"/>
    </row>
    <row r="32" spans="1:20" ht="15" customHeight="1" x14ac:dyDescent="0.15">
      <c r="A32" s="209" t="s">
        <v>227</v>
      </c>
      <c r="B32" s="97">
        <v>40.960999999999999</v>
      </c>
      <c r="C32" s="97">
        <v>71.018875100000002</v>
      </c>
      <c r="D32" s="97">
        <v>2909.0041429711</v>
      </c>
      <c r="E32" s="134">
        <v>1</v>
      </c>
      <c r="F32" s="206" t="s">
        <v>218</v>
      </c>
      <c r="G32" s="85">
        <v>0</v>
      </c>
      <c r="H32" s="85">
        <v>0</v>
      </c>
      <c r="I32" s="85">
        <v>0</v>
      </c>
      <c r="J32" s="85">
        <v>0</v>
      </c>
      <c r="K32" s="85">
        <v>1</v>
      </c>
      <c r="L32" s="85">
        <v>0</v>
      </c>
      <c r="M32" s="85">
        <v>1</v>
      </c>
      <c r="N32" s="85">
        <v>0</v>
      </c>
      <c r="O32" s="85">
        <v>1</v>
      </c>
      <c r="P32" s="73">
        <v>0</v>
      </c>
      <c r="Q32" s="85">
        <v>0</v>
      </c>
      <c r="R32" s="74">
        <v>1</v>
      </c>
      <c r="S32"/>
      <c r="T32"/>
    </row>
    <row r="33" spans="1:20" ht="15" customHeight="1" x14ac:dyDescent="0.15">
      <c r="A33" s="133"/>
      <c r="B33" s="97"/>
      <c r="C33" s="97"/>
      <c r="D33" s="97"/>
      <c r="E33" s="134"/>
      <c r="F33" s="206" t="s">
        <v>219</v>
      </c>
      <c r="G33" s="85">
        <v>0</v>
      </c>
      <c r="H33" s="85">
        <v>0</v>
      </c>
      <c r="I33" s="85">
        <v>0</v>
      </c>
      <c r="J33" s="85">
        <v>0</v>
      </c>
      <c r="K33" s="85">
        <v>1</v>
      </c>
      <c r="L33" s="85">
        <v>0</v>
      </c>
      <c r="M33" s="85">
        <v>1</v>
      </c>
      <c r="N33" s="85">
        <v>0</v>
      </c>
      <c r="O33" s="85">
        <v>1</v>
      </c>
      <c r="P33" s="73">
        <v>0</v>
      </c>
      <c r="Q33" s="85">
        <v>0</v>
      </c>
      <c r="R33" s="74">
        <v>1</v>
      </c>
      <c r="S33"/>
      <c r="T33"/>
    </row>
    <row r="34" spans="1:20" ht="15" customHeight="1" x14ac:dyDescent="0.15">
      <c r="A34" s="135"/>
      <c r="B34" s="97"/>
      <c r="C34" s="97"/>
      <c r="D34" s="97"/>
      <c r="E34" s="134"/>
      <c r="F34" s="206" t="s">
        <v>220</v>
      </c>
      <c r="G34" s="85">
        <v>0</v>
      </c>
      <c r="H34" s="85">
        <v>0</v>
      </c>
      <c r="I34" s="85">
        <v>0</v>
      </c>
      <c r="J34" s="85">
        <v>0</v>
      </c>
      <c r="K34" s="85">
        <v>1</v>
      </c>
      <c r="L34" s="85">
        <v>0</v>
      </c>
      <c r="M34" s="85">
        <v>1</v>
      </c>
      <c r="N34" s="85">
        <v>0</v>
      </c>
      <c r="O34" s="85">
        <v>1</v>
      </c>
      <c r="P34" s="73">
        <v>0</v>
      </c>
      <c r="Q34" s="85">
        <v>0</v>
      </c>
      <c r="R34" s="74">
        <v>1</v>
      </c>
      <c r="S34"/>
      <c r="T34"/>
    </row>
    <row r="35" spans="1:20" ht="15" customHeight="1" x14ac:dyDescent="0.15">
      <c r="A35" s="136"/>
      <c r="B35" s="97"/>
      <c r="C35" s="97"/>
      <c r="D35" s="97"/>
      <c r="E35" s="134"/>
      <c r="F35" s="206" t="s">
        <v>221</v>
      </c>
      <c r="G35" s="85">
        <v>0</v>
      </c>
      <c r="H35" s="85">
        <v>0</v>
      </c>
      <c r="I35" s="85">
        <v>0</v>
      </c>
      <c r="J35" s="85">
        <v>0</v>
      </c>
      <c r="K35" s="85">
        <v>1</v>
      </c>
      <c r="L35" s="85">
        <v>0</v>
      </c>
      <c r="M35" s="85">
        <v>1</v>
      </c>
      <c r="N35" s="85">
        <v>0</v>
      </c>
      <c r="O35" s="85">
        <v>1</v>
      </c>
      <c r="P35" s="73">
        <v>0</v>
      </c>
      <c r="Q35" s="85">
        <v>0</v>
      </c>
      <c r="R35" s="74">
        <v>1</v>
      </c>
      <c r="S35"/>
      <c r="T35"/>
    </row>
    <row r="36" spans="1:20" ht="15" customHeight="1" x14ac:dyDescent="0.15">
      <c r="A36" s="137"/>
      <c r="B36" s="97"/>
      <c r="C36" s="97"/>
      <c r="D36" s="97"/>
      <c r="E36" s="134"/>
      <c r="F36" s="206" t="s">
        <v>222</v>
      </c>
      <c r="G36" s="85">
        <v>0</v>
      </c>
      <c r="H36" s="85">
        <v>0</v>
      </c>
      <c r="I36" s="85">
        <v>0</v>
      </c>
      <c r="J36" s="85">
        <v>0</v>
      </c>
      <c r="K36" s="85">
        <v>1</v>
      </c>
      <c r="L36" s="85">
        <v>0</v>
      </c>
      <c r="M36" s="85">
        <v>1</v>
      </c>
      <c r="N36" s="85">
        <v>0</v>
      </c>
      <c r="O36" s="85">
        <v>1</v>
      </c>
      <c r="P36" s="73">
        <v>0</v>
      </c>
      <c r="Q36" s="85">
        <v>0</v>
      </c>
      <c r="R36" s="74">
        <v>1</v>
      </c>
      <c r="S36"/>
      <c r="T36"/>
    </row>
    <row r="37" spans="1:20" ht="15" customHeight="1" x14ac:dyDescent="0.15">
      <c r="A37" s="137"/>
      <c r="B37" s="97"/>
      <c r="C37" s="97"/>
      <c r="D37" s="97"/>
      <c r="E37" s="134"/>
      <c r="F37" s="206" t="s">
        <v>223</v>
      </c>
      <c r="G37" s="85">
        <v>0</v>
      </c>
      <c r="H37" s="85">
        <v>0</v>
      </c>
      <c r="I37" s="85">
        <v>0</v>
      </c>
      <c r="J37" s="85">
        <v>0</v>
      </c>
      <c r="K37" s="85">
        <v>1</v>
      </c>
      <c r="L37" s="85">
        <v>0</v>
      </c>
      <c r="M37" s="85">
        <v>1</v>
      </c>
      <c r="N37" s="85">
        <v>0</v>
      </c>
      <c r="O37" s="85">
        <v>1</v>
      </c>
      <c r="P37" s="73">
        <v>0</v>
      </c>
      <c r="Q37" s="85">
        <v>0</v>
      </c>
      <c r="R37" s="74">
        <v>1</v>
      </c>
      <c r="S37"/>
      <c r="T37"/>
    </row>
    <row r="38" spans="1:20" ht="15" customHeight="1" x14ac:dyDescent="0.15">
      <c r="A38" s="138"/>
      <c r="B38" s="97"/>
      <c r="C38" s="97"/>
      <c r="D38" s="97"/>
      <c r="E38" s="134"/>
      <c r="F38" s="206" t="s">
        <v>224</v>
      </c>
      <c r="G38" s="85">
        <v>0</v>
      </c>
      <c r="H38" s="85">
        <v>0</v>
      </c>
      <c r="I38" s="85">
        <v>0</v>
      </c>
      <c r="J38" s="85">
        <v>0</v>
      </c>
      <c r="K38" s="85">
        <v>1</v>
      </c>
      <c r="L38" s="85">
        <v>0</v>
      </c>
      <c r="M38" s="85">
        <v>1</v>
      </c>
      <c r="N38" s="85">
        <v>0</v>
      </c>
      <c r="O38" s="85">
        <v>1</v>
      </c>
      <c r="P38" s="73">
        <v>0</v>
      </c>
      <c r="Q38" s="85">
        <v>0</v>
      </c>
      <c r="R38" s="74">
        <v>1</v>
      </c>
      <c r="S38"/>
      <c r="T38"/>
    </row>
    <row r="39" spans="1:20" ht="15" customHeight="1" x14ac:dyDescent="0.15">
      <c r="A39" s="138"/>
      <c r="B39" s="97"/>
      <c r="C39" s="97"/>
      <c r="D39" s="97"/>
      <c r="E39" s="134"/>
      <c r="F39" s="206" t="s">
        <v>225</v>
      </c>
      <c r="G39" s="85">
        <v>0</v>
      </c>
      <c r="H39" s="85">
        <v>0</v>
      </c>
      <c r="I39" s="85">
        <v>0</v>
      </c>
      <c r="J39" s="85">
        <v>0</v>
      </c>
      <c r="K39" s="85">
        <v>1</v>
      </c>
      <c r="L39" s="85">
        <v>0</v>
      </c>
      <c r="M39" s="85">
        <v>1</v>
      </c>
      <c r="N39" s="85">
        <v>0</v>
      </c>
      <c r="O39" s="85">
        <v>1</v>
      </c>
      <c r="P39" s="73">
        <v>0</v>
      </c>
      <c r="Q39" s="85">
        <v>0</v>
      </c>
      <c r="R39" s="74">
        <v>1</v>
      </c>
      <c r="S39"/>
      <c r="T39"/>
    </row>
    <row r="40" spans="1:20" ht="15" customHeight="1" x14ac:dyDescent="0.15">
      <c r="A40" s="138"/>
      <c r="B40" s="97"/>
      <c r="C40" s="97"/>
      <c r="D40" s="97"/>
      <c r="E40" s="134"/>
      <c r="F40" s="206" t="s">
        <v>226</v>
      </c>
      <c r="G40" s="85">
        <v>0</v>
      </c>
      <c r="H40" s="85">
        <v>0</v>
      </c>
      <c r="I40" s="85">
        <v>0</v>
      </c>
      <c r="J40" s="85">
        <v>0</v>
      </c>
      <c r="K40" s="85">
        <v>1</v>
      </c>
      <c r="L40" s="85">
        <v>0</v>
      </c>
      <c r="M40" s="85">
        <v>1</v>
      </c>
      <c r="N40" s="85">
        <v>0</v>
      </c>
      <c r="O40" s="85">
        <v>1</v>
      </c>
      <c r="P40" s="73">
        <v>0</v>
      </c>
      <c r="Q40" s="85">
        <v>0</v>
      </c>
      <c r="R40" s="74">
        <v>1</v>
      </c>
      <c r="S40"/>
      <c r="T40"/>
    </row>
    <row r="41" spans="1:20" ht="15" customHeight="1" thickBot="1" x14ac:dyDescent="0.2">
      <c r="A41" s="138"/>
      <c r="B41" s="97"/>
      <c r="C41" s="97"/>
      <c r="D41" s="98"/>
      <c r="E41" s="139"/>
      <c r="F41" s="206" t="s">
        <v>227</v>
      </c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85">
        <v>0</v>
      </c>
      <c r="M41" s="85">
        <v>1</v>
      </c>
      <c r="N41" s="85">
        <v>0</v>
      </c>
      <c r="O41" s="85">
        <v>0</v>
      </c>
      <c r="P41" s="73">
        <v>0</v>
      </c>
      <c r="Q41" s="85">
        <v>0</v>
      </c>
      <c r="R41" s="74">
        <v>1</v>
      </c>
      <c r="S41"/>
      <c r="T41"/>
    </row>
    <row r="42" spans="1:20" ht="15" customHeight="1" x14ac:dyDescent="0.15">
      <c r="A42" s="140"/>
      <c r="B42" s="141"/>
      <c r="C42" s="141" t="s">
        <v>162</v>
      </c>
      <c r="D42" s="141">
        <f>SUM(D32:D41)</f>
        <v>2909.0041429711</v>
      </c>
      <c r="E42" s="142">
        <f>SUM(E32:E41)</f>
        <v>1</v>
      </c>
      <c r="F42" s="206" t="s">
        <v>228</v>
      </c>
      <c r="G42" s="85">
        <v>0</v>
      </c>
      <c r="H42" s="85">
        <v>0</v>
      </c>
      <c r="I42" s="85">
        <v>0</v>
      </c>
      <c r="J42" s="85">
        <v>0</v>
      </c>
      <c r="K42" s="85">
        <v>1</v>
      </c>
      <c r="L42" s="85">
        <v>0</v>
      </c>
      <c r="M42" s="85">
        <v>1</v>
      </c>
      <c r="N42" s="85">
        <v>0</v>
      </c>
      <c r="O42" s="85">
        <v>1</v>
      </c>
      <c r="P42" s="73">
        <v>0</v>
      </c>
      <c r="Q42" s="85">
        <v>0</v>
      </c>
      <c r="R42" s="74">
        <v>1</v>
      </c>
      <c r="S42"/>
      <c r="T42"/>
    </row>
    <row r="43" spans="1:20" ht="15" customHeight="1" x14ac:dyDescent="0.15">
      <c r="A43" s="85"/>
      <c r="F43" s="206" t="s">
        <v>229</v>
      </c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1</v>
      </c>
      <c r="M43" s="85">
        <v>0</v>
      </c>
      <c r="N43" s="85">
        <v>1</v>
      </c>
      <c r="O43" s="85">
        <v>0</v>
      </c>
      <c r="P43" s="73">
        <v>1</v>
      </c>
      <c r="Q43" s="85">
        <v>0</v>
      </c>
      <c r="R43" s="74">
        <v>1</v>
      </c>
      <c r="S43"/>
      <c r="T43"/>
    </row>
    <row r="44" spans="1:20" ht="15" customHeight="1" x14ac:dyDescent="0.15">
      <c r="A44" s="85"/>
      <c r="F44" s="206" t="s">
        <v>230</v>
      </c>
      <c r="G44" s="85">
        <v>0</v>
      </c>
      <c r="H44" s="85">
        <v>0</v>
      </c>
      <c r="I44" s="85">
        <v>0</v>
      </c>
      <c r="J44" s="85">
        <v>0</v>
      </c>
      <c r="K44" s="85">
        <v>0</v>
      </c>
      <c r="L44" s="85">
        <v>1</v>
      </c>
      <c r="M44" s="85">
        <v>0</v>
      </c>
      <c r="N44" s="85">
        <v>1</v>
      </c>
      <c r="O44" s="85">
        <v>0</v>
      </c>
      <c r="P44" s="73">
        <v>1</v>
      </c>
      <c r="Q44" s="85">
        <v>0</v>
      </c>
      <c r="R44" s="74">
        <v>1</v>
      </c>
    </row>
    <row r="45" spans="1:20" ht="15" customHeight="1" x14ac:dyDescent="0.15">
      <c r="A45" s="85"/>
      <c r="F45" s="206" t="s">
        <v>231</v>
      </c>
      <c r="G45" s="85">
        <v>0</v>
      </c>
      <c r="H45" s="85">
        <v>0</v>
      </c>
      <c r="I45" s="85">
        <v>0</v>
      </c>
      <c r="J45" s="85">
        <v>0</v>
      </c>
      <c r="K45" s="85">
        <v>0</v>
      </c>
      <c r="L45" s="85">
        <v>1</v>
      </c>
      <c r="M45" s="85">
        <v>0</v>
      </c>
      <c r="N45" s="85">
        <v>0</v>
      </c>
      <c r="O45" s="85">
        <v>0</v>
      </c>
      <c r="P45" s="73">
        <v>0</v>
      </c>
      <c r="Q45" s="85">
        <v>0</v>
      </c>
      <c r="R45" s="74">
        <v>1</v>
      </c>
    </row>
    <row r="46" spans="1:20" ht="15" customHeight="1" x14ac:dyDescent="0.15">
      <c r="A46" s="85"/>
      <c r="F46" s="206" t="s">
        <v>232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1</v>
      </c>
      <c r="M46" s="85">
        <v>0</v>
      </c>
      <c r="N46" s="85">
        <v>0</v>
      </c>
      <c r="O46" s="85">
        <v>0</v>
      </c>
      <c r="P46" s="73">
        <v>0</v>
      </c>
      <c r="Q46" s="85">
        <v>0</v>
      </c>
      <c r="R46" s="74">
        <v>1</v>
      </c>
    </row>
    <row r="47" spans="1:20" ht="15" customHeight="1" x14ac:dyDescent="0.15">
      <c r="A47" s="85"/>
      <c r="F47" s="206" t="s">
        <v>233</v>
      </c>
      <c r="G47" s="85">
        <v>0</v>
      </c>
      <c r="H47" s="85">
        <v>0</v>
      </c>
      <c r="I47" s="85">
        <v>0</v>
      </c>
      <c r="J47" s="85">
        <v>0</v>
      </c>
      <c r="K47" s="85">
        <v>0</v>
      </c>
      <c r="L47" s="85">
        <v>1</v>
      </c>
      <c r="M47" s="85">
        <v>0</v>
      </c>
      <c r="N47" s="85">
        <v>0</v>
      </c>
      <c r="O47" s="85">
        <v>0</v>
      </c>
      <c r="P47" s="73">
        <v>0</v>
      </c>
      <c r="Q47" s="85">
        <v>0</v>
      </c>
      <c r="R47" s="74">
        <v>1</v>
      </c>
    </row>
    <row r="48" spans="1:20" ht="15" customHeight="1" x14ac:dyDescent="0.15">
      <c r="A48" s="85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5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5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X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7" customWidth="1"/>
    <col min="3" max="5" width="7.83203125" style="117" customWidth="1"/>
    <col min="6" max="8" width="8.83203125" style="6"/>
    <col min="9" max="9" width="15" style="6" customWidth="1"/>
    <col min="10" max="10" width="12.1640625" style="6" customWidth="1"/>
    <col min="11" max="11" width="8" style="6" customWidth="1"/>
    <col min="12" max="12" width="9.33203125" style="6" customWidth="1"/>
    <col min="13" max="13" width="6.1640625" style="6" customWidth="1"/>
    <col min="14" max="14" width="14.6640625" style="6" customWidth="1"/>
    <col min="15" max="15" width="12.5" style="6" customWidth="1"/>
    <col min="16" max="16" width="10.5" style="6" customWidth="1"/>
    <col min="17" max="17" width="7.1640625" style="6" customWidth="1"/>
    <col min="18" max="18" width="12.5" style="6" customWidth="1"/>
    <col min="19" max="19" width="14.1640625" style="6" customWidth="1"/>
    <col min="20" max="20" width="13.33203125" style="6" customWidth="1"/>
    <col min="21" max="21" width="14.5" style="6" customWidth="1"/>
    <col min="22" max="22" width="10.1640625" style="6" customWidth="1"/>
    <col min="23" max="23" width="11.5" style="6" customWidth="1"/>
    <col min="24" max="24" width="9.5" style="6" customWidth="1"/>
    <col min="25" max="25" width="13.83203125" style="6" customWidth="1"/>
    <col min="26" max="26" width="11" style="6" customWidth="1"/>
    <col min="27" max="27" width="13.5" style="6" customWidth="1"/>
    <col min="28" max="28" width="8.5" style="6" customWidth="1"/>
    <col min="29" max="29" width="9.33203125" style="6" customWidth="1"/>
    <col min="30" max="30" width="10" style="6" customWidth="1"/>
    <col min="31" max="31" width="6.5" style="6" customWidth="1"/>
    <col min="32" max="32" width="13.5" style="6" customWidth="1"/>
    <col min="33" max="33" width="6" style="6" customWidth="1"/>
    <col min="34" max="34" width="13.33203125" style="6" customWidth="1"/>
    <col min="35" max="35" width="14.5" style="6" customWidth="1"/>
    <col min="36" max="36" width="9" style="6" customWidth="1"/>
    <col min="37" max="37" width="14.33203125" style="6" customWidth="1"/>
    <col min="38" max="38" width="9.33203125" style="6" customWidth="1"/>
    <col min="39" max="39" width="14.6640625" customWidth="1"/>
    <col min="40" max="40" width="13.1640625" customWidth="1"/>
    <col min="41" max="41" width="11.33203125" customWidth="1"/>
    <col min="42" max="42" width="7.1640625" customWidth="1"/>
    <col min="43" max="43" width="10.1640625" customWidth="1"/>
    <col min="44" max="44" width="11.5" customWidth="1"/>
    <col min="45" max="45" width="13.83203125" customWidth="1"/>
    <col min="46" max="46" width="7.6640625" customWidth="1"/>
    <col min="47" max="47" width="21.6640625" customWidth="1"/>
    <col min="48" max="48" width="14.5" customWidth="1"/>
    <col min="49" max="49" width="15.1640625" customWidth="1"/>
    <col min="50" max="50" width="11.33203125" customWidth="1"/>
    <col min="81" max="81" width="22.1640625" bestFit="1" customWidth="1"/>
  </cols>
  <sheetData>
    <row r="1" spans="1:5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11" t="s">
        <v>192</v>
      </c>
      <c r="J1" s="211" t="s">
        <v>193</v>
      </c>
      <c r="K1" s="211" t="s">
        <v>194</v>
      </c>
      <c r="L1" s="211" t="s">
        <v>195</v>
      </c>
      <c r="M1" s="211" t="s">
        <v>196</v>
      </c>
      <c r="N1" s="211" t="s">
        <v>197</v>
      </c>
      <c r="O1" s="211" t="s">
        <v>198</v>
      </c>
      <c r="P1" s="211" t="s">
        <v>199</v>
      </c>
      <c r="Q1" s="211" t="s">
        <v>200</v>
      </c>
      <c r="R1" s="211" t="s">
        <v>201</v>
      </c>
      <c r="S1" s="211" t="s">
        <v>202</v>
      </c>
      <c r="T1" s="211" t="s">
        <v>203</v>
      </c>
      <c r="U1" s="211" t="s">
        <v>204</v>
      </c>
      <c r="V1" s="211" t="s">
        <v>205</v>
      </c>
      <c r="W1" s="211" t="s">
        <v>206</v>
      </c>
      <c r="X1" s="211" t="s">
        <v>207</v>
      </c>
      <c r="Y1" s="211" t="s">
        <v>208</v>
      </c>
      <c r="Z1" s="211" t="s">
        <v>209</v>
      </c>
      <c r="AA1" s="211" t="s">
        <v>210</v>
      </c>
      <c r="AB1" s="211" t="s">
        <v>211</v>
      </c>
      <c r="AC1" s="211" t="s">
        <v>212</v>
      </c>
      <c r="AD1" s="211" t="s">
        <v>213</v>
      </c>
      <c r="AE1" s="211" t="s">
        <v>214</v>
      </c>
      <c r="AF1" s="211" t="s">
        <v>215</v>
      </c>
      <c r="AG1" s="211" t="s">
        <v>216</v>
      </c>
      <c r="AH1" s="211" t="s">
        <v>217</v>
      </c>
      <c r="AI1" s="211" t="s">
        <v>218</v>
      </c>
      <c r="AJ1" s="211" t="s">
        <v>219</v>
      </c>
      <c r="AK1" s="211" t="s">
        <v>220</v>
      </c>
      <c r="AL1" s="211" t="s">
        <v>221</v>
      </c>
      <c r="AM1" s="211" t="s">
        <v>222</v>
      </c>
      <c r="AN1" s="211" t="s">
        <v>223</v>
      </c>
      <c r="AO1" s="211" t="s">
        <v>224</v>
      </c>
      <c r="AP1" s="211" t="s">
        <v>225</v>
      </c>
      <c r="AQ1" s="211" t="s">
        <v>226</v>
      </c>
      <c r="AR1" s="211" t="s">
        <v>227</v>
      </c>
      <c r="AS1" s="211" t="s">
        <v>228</v>
      </c>
      <c r="AT1" s="211" t="s">
        <v>229</v>
      </c>
      <c r="AU1" s="211" t="s">
        <v>230</v>
      </c>
      <c r="AV1" s="211" t="s">
        <v>231</v>
      </c>
      <c r="AW1" s="211" t="s">
        <v>232</v>
      </c>
      <c r="AX1" s="211" t="s">
        <v>233</v>
      </c>
    </row>
    <row r="2" spans="1:50" x14ac:dyDescent="0.15">
      <c r="A2" t="s">
        <v>38</v>
      </c>
      <c r="B2" s="11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0" x14ac:dyDescent="0.15">
      <c r="A3" t="s">
        <v>40</v>
      </c>
      <c r="B3" s="11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0" x14ac:dyDescent="0.15">
      <c r="A4" t="s">
        <v>41</v>
      </c>
      <c r="B4" s="11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0" x14ac:dyDescent="0.15">
      <c r="A5" s="210" t="s">
        <v>192</v>
      </c>
      <c r="B5" s="11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0" x14ac:dyDescent="0.15">
      <c r="A6" s="210" t="s">
        <v>193</v>
      </c>
      <c r="B6" s="11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0" x14ac:dyDescent="0.15">
      <c r="A7" s="210" t="s">
        <v>194</v>
      </c>
      <c r="B7" s="11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0" x14ac:dyDescent="0.15">
      <c r="A8" s="210" t="s">
        <v>195</v>
      </c>
      <c r="B8" s="11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0" x14ac:dyDescent="0.15">
      <c r="A9" s="210" t="s">
        <v>196</v>
      </c>
      <c r="B9" s="11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0" x14ac:dyDescent="0.15">
      <c r="A10" s="210" t="s">
        <v>197</v>
      </c>
      <c r="B10" s="11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0" x14ac:dyDescent="0.15">
      <c r="A11" s="210" t="s">
        <v>198</v>
      </c>
      <c r="B11" s="11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0" x14ac:dyDescent="0.15">
      <c r="A12" s="210" t="s">
        <v>199</v>
      </c>
      <c r="B12" s="11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0" x14ac:dyDescent="0.15">
      <c r="A13" s="210" t="s">
        <v>200</v>
      </c>
      <c r="B13" s="11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0" x14ac:dyDescent="0.15">
      <c r="A14" s="210" t="s">
        <v>201</v>
      </c>
      <c r="B14" s="11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0" x14ac:dyDescent="0.15">
      <c r="A15" s="210" t="s">
        <v>202</v>
      </c>
      <c r="B15" s="11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0" x14ac:dyDescent="0.15">
      <c r="A16" s="210" t="s">
        <v>203</v>
      </c>
      <c r="B16" s="11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10" t="s">
        <v>204</v>
      </c>
      <c r="B17" s="11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10" t="s">
        <v>205</v>
      </c>
      <c r="B18" s="11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10" t="s">
        <v>206</v>
      </c>
      <c r="B19" s="11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10" t="s">
        <v>207</v>
      </c>
      <c r="B20" s="11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10" t="s">
        <v>208</v>
      </c>
      <c r="B21" s="11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10" t="s">
        <v>209</v>
      </c>
      <c r="B22" s="11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10" t="s">
        <v>210</v>
      </c>
      <c r="B23" s="11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10" t="s">
        <v>211</v>
      </c>
      <c r="B24" s="11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10" t="s">
        <v>212</v>
      </c>
      <c r="B25" s="11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10" t="s">
        <v>213</v>
      </c>
      <c r="B26" s="11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10" t="s">
        <v>214</v>
      </c>
      <c r="B27" s="11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10" t="s">
        <v>215</v>
      </c>
      <c r="B28" s="11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10" t="s">
        <v>216</v>
      </c>
      <c r="B29" s="11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10" t="s">
        <v>217</v>
      </c>
      <c r="B30" s="11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10" t="s">
        <v>218</v>
      </c>
      <c r="B31" s="11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10" t="s">
        <v>219</v>
      </c>
      <c r="B32" s="11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10" t="s">
        <v>220</v>
      </c>
      <c r="B33" s="11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10" t="s">
        <v>221</v>
      </c>
      <c r="B34" s="11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10" t="s">
        <v>222</v>
      </c>
      <c r="B35" s="11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10" t="s">
        <v>223</v>
      </c>
      <c r="B36" s="117">
        <v>0</v>
      </c>
      <c r="C36"/>
      <c r="D36"/>
    </row>
    <row r="37" spans="1:38" ht="15" customHeight="1" x14ac:dyDescent="0.15">
      <c r="A37" s="210" t="s">
        <v>224</v>
      </c>
      <c r="B37" s="117">
        <v>0</v>
      </c>
      <c r="C37"/>
      <c r="D37"/>
    </row>
    <row r="38" spans="1:38" ht="15" customHeight="1" x14ac:dyDescent="0.15">
      <c r="A38" s="210" t="s">
        <v>225</v>
      </c>
      <c r="B38" s="11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10" t="s">
        <v>226</v>
      </c>
      <c r="B39" s="117">
        <v>0</v>
      </c>
      <c r="C39"/>
      <c r="D39"/>
    </row>
    <row r="40" spans="1:38" ht="15" customHeight="1" x14ac:dyDescent="0.15">
      <c r="A40" s="210" t="s">
        <v>227</v>
      </c>
      <c r="B40" s="117">
        <v>0</v>
      </c>
      <c r="C40"/>
      <c r="D40"/>
    </row>
    <row r="41" spans="1:38" ht="15" customHeight="1" x14ac:dyDescent="0.15">
      <c r="A41" s="210" t="s">
        <v>228</v>
      </c>
      <c r="B41" s="117">
        <v>0</v>
      </c>
      <c r="C41"/>
      <c r="D41"/>
    </row>
    <row r="42" spans="1:38" ht="15" customHeight="1" x14ac:dyDescent="0.15">
      <c r="A42" s="210" t="s">
        <v>229</v>
      </c>
      <c r="B42" s="117">
        <v>0</v>
      </c>
    </row>
    <row r="43" spans="1:38" ht="15" customHeight="1" x14ac:dyDescent="0.15">
      <c r="A43" s="210" t="s">
        <v>230</v>
      </c>
      <c r="B43" s="117">
        <v>0</v>
      </c>
    </row>
    <row r="44" spans="1:38" ht="15" customHeight="1" x14ac:dyDescent="0.15">
      <c r="A44" s="210" t="s">
        <v>231</v>
      </c>
      <c r="B44" s="117">
        <v>0</v>
      </c>
    </row>
    <row r="45" spans="1:38" ht="15" customHeight="1" x14ac:dyDescent="0.15">
      <c r="A45" s="210" t="s">
        <v>232</v>
      </c>
      <c r="B45" s="117">
        <v>0</v>
      </c>
    </row>
    <row r="46" spans="1:38" ht="15" customHeight="1" x14ac:dyDescent="0.15">
      <c r="A46" s="210" t="s">
        <v>233</v>
      </c>
      <c r="B46" s="117">
        <v>0</v>
      </c>
    </row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2023-08-14T22:58:40Z</dcterms:modified>
</cp:coreProperties>
</file>