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186F56A2-A4F6-B743-B23A-2506CAD0E891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Main!$C$2:$N$19</definedName>
    <definedName name="matDetritus">Detritus!$C$2:$E$19</definedName>
    <definedName name="matDiet">Diets!$B$2:$P$19</definedName>
    <definedName name="matDiscards">Discards!$C$2:$C$18</definedName>
    <definedName name="matFishery">Fishing!$C$2:$C$18</definedName>
    <definedName name="matFishing">Fishing!#REF!</definedName>
    <definedName name="matMort">Mortalities!$A$1:$U$18</definedName>
    <definedName name="matOut">MainOutputs!$A$2:$I$19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<sst xmlns="http://schemas.openxmlformats.org/spreadsheetml/2006/main" count="662" uniqueCount="215">
  <si>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</si>
  <si>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</si>
  <si>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</si>
  <si>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</si>
  <si>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</si>
  <si>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</si>
  <si>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</si>
  <si>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</si>
  <si>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</si>
  <si>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</si>
  <si>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</si>
  <si>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</si>
  <si>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</si>
  <si>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</si>
  <si>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</si>
  <si>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</si>
  <si>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</si>
  <si>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</si>
  <si>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</si>
  <si>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</si>
  <si>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</si>
  <si>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</si>
  <si>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</si>
  <si>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</si>
  <si>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</si>
  <si>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</si>
  <si>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</si>
  <si>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</si>
  <si>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</si>
  <si>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</si>
  <si>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</si>
  <si>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</si>
  <si>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</si>
  <si>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</si>
  <si>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</si>
  <si>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</si>
  <si>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</si>
  <si>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</si>
  <si>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</si>
  <si>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</si>
  <si>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</si>
  <si>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</si>
  <si>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</si>
  <si>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</si>
  <si>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</si>
  <si>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</si>
  <si>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</si>
  <si>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</si>
  <si>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</si>
  <si>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</si>
  <si>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</si>
  <si>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</si>
  <si>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</si>
  <si>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</si>
  <si>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</si>
  <si>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</si>
  <si>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</si>
  <si>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</si>
  <si>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</si>
  <si>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</si>
  <si>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</si>
  <si>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</si>
  <si>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</si>
  <si>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</si>
  <si>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</si>
  <si>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</si>
  <si>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</si>
  <si>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</si>
  <si>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</si>
  <si>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</si>
  <si>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</si>
  <si>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</si>
  <si>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</si>
  <si>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</si>
  <si>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</si>
  <si>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</si>
  <si>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</si>
  <si>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</si>
  <si>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</si>
  <si>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</si>
  <si>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</si>
  <si>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</si>
  <si>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</si>
  <si>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</si>
  <si>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</si>
  <si>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</si>
  <si>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</si>
  <si>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</si>
  <si>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</si>
  <si>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</si>
  <si>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</si>
  <si>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</si>
  <si>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</si>
  <si>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</si>
  <si>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</si>
  <si>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</si>
  <si>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</si>
  <si>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</si>
  <si>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</si>
  <si>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</si>
  <si>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</si>
  <si>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</si>
  <si>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</si>
  <si>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</si>
  <si>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</si>
  <si>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</si>
  <si>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</si>
  <si>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</si>
  <si>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</si>
  <si>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</si>
  <si>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</si>
  <si>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</si>
  <si>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</si>
  <si>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</si>
  <si>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</si>
  <si>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</si>
  <si>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</si>
  <si>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</si>
  <si>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</si>
  <si>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</si>
  <si>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</si>
  <si>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</si>
  <si>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</si>
  <si>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</si>
  <si>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</si>
  <si>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</si>
  <si>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</si>
  <si>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</si>
  <si>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</si>
  <si>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</si>
  <si>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</si>
  <si>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</si>
  <si>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</si>
  <si>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</si>
  <si>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</si>
  <si>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</si>
  <si>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</si>
  <si>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</si>
  <si>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</si>
  <si>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</si>
  <si>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</si>
  <si>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</si>
  <si>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</si>
  <si>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</si>
  <si>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</si>
  <si>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</si>
  <si>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</si>
  <si>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</si>
  <si>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</si>
  <si>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</si>
  <si>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</si>
  <si>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</si>
  <si>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</si>
  <si>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</si>
  <si>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</si>
  <si>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</si>
  <si>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</si>
  <si>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</si>
  <si>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</si>
  <si>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</si>
  <si>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</si>
  <si>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</si>
  <si>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</si>
  <si>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</si>
  <si>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</si>
  <si>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</si>
  <si>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</si>
  <si>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</si>
  <si>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</si>
  <si>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</si>
  <si>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</si>
  <si>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</si>
  <si>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</si>
  <si>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</si>
  <si>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</si>
  <si>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</si>
  <si>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</si>
  <si>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</si>
  <si>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</si>
  <si>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</si>
  <si>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</si>
  <si>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</si>
  <si>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</si>
  <si>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</si>
  <si>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</si>
  <si>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Venezuela shelf</t>
  </si>
  <si>
    <t>Venezuela</t>
  </si>
  <si>
    <t>BOX(-66.277978226492 10.5805523366566,-61.9787496453386 11.4972207747828)</t>
  </si>
  <si>
    <t>continental shelf</t>
  </si>
  <si>
    <t>WetWeight</t>
  </si>
  <si>
    <t>Northeastern Venezuela Shelf ecosystem (Mendoza 1991); 06/03/2006 01:14:17 a.m.; 08/04/2006 11:17:48 p.m.; 09/04/2006 01:00:40 a.m.</t>
  </si>
  <si>
    <t>Mendoza J.J.(1993). A preliminary biomass budget for the Northeastern Venezuela shelf ecosystem . pp 285-297. In Christensen V.,Pauly D.</t>
  </si>
  <si>
    <t>Small sharks</t>
  </si>
  <si>
    <t>Scombrids/barr.</t>
  </si>
  <si>
    <t>Snappers/group.</t>
  </si>
  <si>
    <t>Carangids</t>
  </si>
  <si>
    <t>Mackerel</t>
  </si>
  <si>
    <t>Squid</t>
  </si>
  <si>
    <t>Oth. demersal</t>
  </si>
  <si>
    <t>Catfish</t>
  </si>
  <si>
    <t>Grunts</t>
  </si>
  <si>
    <t>Croakers</t>
  </si>
  <si>
    <t>Small pelagics</t>
  </si>
  <si>
    <t>Zooplankton</t>
  </si>
  <si>
    <t>Het. benthos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</si>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</sst>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9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9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8" borderId="2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8" xfId="0" applyFill="1" applyBorder="1"/>
    <xf numFmtId="0" fontId="0" fillId="18" borderId="9" xfId="0" applyFill="1" applyBorder="1"/>
    <xf numFmtId="0" fontId="0" fillId="1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4" borderId="0" xfId="0" applyFill="1"/>
    <xf numFmtId="0" fontId="0" fillId="25" borderId="0" xfId="0" applyFill="1"/>
    <xf numFmtId="0" fontId="1" fillId="0" borderId="0" xfId="0" applyFont="1" applyAlignment="1">
      <alignment horizontal="center"/>
    </xf>
    <xf numFmtId="0" fontId="0" fillId="2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28" borderId="0" xfId="0" applyFill="1"/>
    <xf numFmtId="0" fontId="0" fillId="0" borderId="0" xfId="0" applyFont="1" applyFill="1" applyAlignment="1">
      <alignment horizontal="center"/>
    </xf>
    <xf numFmtId="0" fontId="0" fillId="2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7" borderId="3" xfId="0" applyNumberFormat="1" applyFont="1" applyFill="1" applyBorder="1"/>
    <xf numFmtId="0" fontId="0" fillId="27" borderId="2" xfId="0" applyFont="1" applyFill="1" applyBorder="1"/>
    <xf numFmtId="0" fontId="0" fillId="27" borderId="3" xfId="0" applyFont="1" applyFill="1" applyBorder="1"/>
    <xf numFmtId="0" fontId="0" fillId="2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30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8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17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5" t="s">
        <v>164</v>
      </c>
    </row>
    <row r="6" spans="2:4" ht="14" thickBot="1" x14ac:dyDescent="0.2">
      <c r="B6" s="39" t="s">
        <v>141</v>
      </c>
    </row>
    <row r="7" spans="2:4" x14ac:dyDescent="0.15">
      <c r="B7" s="55" t="s">
        <v>143</v>
      </c>
    </row>
    <row r="8" spans="2:4" x14ac:dyDescent="0.15">
      <c r="B8" s="55" t="s">
        <v>142</v>
      </c>
    </row>
    <row r="9" spans="2:4" x14ac:dyDescent="0.15">
      <c r="B9" s="55" t="s">
        <v>144</v>
      </c>
    </row>
    <row r="10" spans="2:4" x14ac:dyDescent="0.15">
      <c r="B10" s="55" t="s">
        <v>147</v>
      </c>
    </row>
    <row r="11" spans="2:4" x14ac:dyDescent="0.15">
      <c r="B11" s="55" t="s">
        <v>151</v>
      </c>
    </row>
    <row r="12" spans="2:4" x14ac:dyDescent="0.15">
      <c r="B12" s="55" t="s">
        <v>153</v>
      </c>
    </row>
    <row r="13" spans="2:4" x14ac:dyDescent="0.15">
      <c r="B13" s="55" t="s">
        <v>165</v>
      </c>
    </row>
    <row r="15" spans="2:4" ht="14" thickBot="1" x14ac:dyDescent="0.2"/>
    <row r="16" spans="2:4" ht="14" thickBot="1" x14ac:dyDescent="0.2">
      <c r="B16" s="40" t="s">
        <v>137</v>
      </c>
      <c r="C16" s="41"/>
      <c r="D16" s="23">
        <v>41373</v>
      </c>
    </row>
    <row r="17" spans="2:4" x14ac:dyDescent="0.15">
      <c r="B17" s="42" t="s">
        <v>58</v>
      </c>
      <c r="C17" s="26">
        <v>0</v>
      </c>
    </row>
    <row r="18" spans="2:4" x14ac:dyDescent="0.15">
      <c r="B18" s="42" t="s">
        <v>59</v>
      </c>
      <c r="C18" s="26">
        <v>1</v>
      </c>
    </row>
    <row r="19" spans="2:4" x14ac:dyDescent="0.15">
      <c r="B19" s="42" t="s">
        <v>60</v>
      </c>
      <c r="C19" s="26">
        <v>2</v>
      </c>
    </row>
    <row r="20" spans="2:4" ht="14" thickBot="1" x14ac:dyDescent="0.2">
      <c r="B20" s="43" t="s">
        <v>44</v>
      </c>
      <c r="C20" s="27">
        <v>3</v>
      </c>
    </row>
    <row r="21" spans="2:4" x14ac:dyDescent="0.15">
      <c r="B21" s="44" t="s">
        <v>140</v>
      </c>
    </row>
    <row r="22" spans="2:4" ht="14" thickBot="1" x14ac:dyDescent="0.2"/>
    <row r="23" spans="2:4" ht="14" thickBot="1" x14ac:dyDescent="0.2">
      <c r="B23" s="40" t="s">
        <v>65</v>
      </c>
      <c r="C23" s="41"/>
      <c r="D23" s="23" t="s">
        <v>148</v>
      </c>
    </row>
    <row r="24" spans="2:4" x14ac:dyDescent="0.15">
      <c r="B24" s="46" t="s">
        <v>38</v>
      </c>
      <c r="C24" s="24">
        <v>1</v>
      </c>
    </row>
    <row r="25" spans="2:4" x14ac:dyDescent="0.15">
      <c r="B25" s="42" t="s">
        <v>40</v>
      </c>
      <c r="C25" s="26">
        <v>1.1000000000000001</v>
      </c>
    </row>
    <row r="26" spans="2:4" x14ac:dyDescent="0.15">
      <c r="B26" s="42" t="s">
        <v>41</v>
      </c>
      <c r="C26" s="26">
        <v>1.2</v>
      </c>
    </row>
    <row r="27" spans="2:4" x14ac:dyDescent="0.15">
      <c r="B27" s="42"/>
      <c r="C27" s="26"/>
    </row>
    <row r="28" spans="2:4" x14ac:dyDescent="0.15">
      <c r="B28" s="42" t="s">
        <v>42</v>
      </c>
      <c r="C28" s="26">
        <v>2.1</v>
      </c>
    </row>
    <row r="29" spans="2:4" x14ac:dyDescent="0.15">
      <c r="B29" s="42" t="s">
        <v>43</v>
      </c>
      <c r="C29" s="26">
        <v>2.2000000000000002</v>
      </c>
    </row>
    <row r="30" spans="2:4" x14ac:dyDescent="0.15">
      <c r="B30" s="42" t="s">
        <v>67</v>
      </c>
      <c r="C30" s="26">
        <v>2.2999999999999998</v>
      </c>
    </row>
    <row r="31" spans="2:4" x14ac:dyDescent="0.15">
      <c r="B31" s="42"/>
      <c r="C31" s="26"/>
    </row>
    <row r="32" spans="2:4" x14ac:dyDescent="0.15">
      <c r="B32" s="42" t="s">
        <v>62</v>
      </c>
      <c r="C32" s="26">
        <v>3.11</v>
      </c>
    </row>
    <row r="33" spans="2:3" x14ac:dyDescent="0.15">
      <c r="B33" s="42" t="s">
        <v>61</v>
      </c>
      <c r="C33" s="26">
        <v>3.12</v>
      </c>
    </row>
    <row r="34" spans="2:3" x14ac:dyDescent="0.15">
      <c r="B34" s="42" t="s">
        <v>68</v>
      </c>
      <c r="C34" s="26">
        <v>3.13</v>
      </c>
    </row>
    <row r="35" spans="2:3" x14ac:dyDescent="0.15">
      <c r="B35" s="42"/>
      <c r="C35" s="26"/>
    </row>
    <row r="36" spans="2:3" x14ac:dyDescent="0.15">
      <c r="B36" s="42" t="s">
        <v>66</v>
      </c>
      <c r="C36" s="26">
        <v>3.21</v>
      </c>
    </row>
    <row r="37" spans="2:3" x14ac:dyDescent="0.15">
      <c r="B37" s="42" t="s">
        <v>63</v>
      </c>
      <c r="C37" s="26">
        <v>3.22</v>
      </c>
    </row>
    <row r="38" spans="2:3" x14ac:dyDescent="0.15">
      <c r="B38" s="42" t="s">
        <v>69</v>
      </c>
      <c r="C38" s="26">
        <v>3.23</v>
      </c>
    </row>
    <row r="39" spans="2:3" x14ac:dyDescent="0.15">
      <c r="B39" s="42"/>
      <c r="C39" s="26"/>
    </row>
    <row r="40" spans="2:3" x14ac:dyDescent="0.15">
      <c r="B40" s="42" t="s">
        <v>64</v>
      </c>
      <c r="C40" s="26">
        <v>8</v>
      </c>
    </row>
    <row r="41" spans="2:3" x14ac:dyDescent="0.15">
      <c r="B41" s="42"/>
      <c r="C41" s="26"/>
    </row>
    <row r="42" spans="2:3" x14ac:dyDescent="0.15">
      <c r="B42" s="42" t="s">
        <v>71</v>
      </c>
      <c r="C42" s="26">
        <v>4.0999999999999996</v>
      </c>
    </row>
    <row r="43" spans="2:3" x14ac:dyDescent="0.15">
      <c r="B43" s="42" t="s">
        <v>70</v>
      </c>
      <c r="C43" s="26">
        <v>4.2</v>
      </c>
    </row>
    <row r="44" spans="2:3" x14ac:dyDescent="0.15">
      <c r="B44" s="42" t="s">
        <v>72</v>
      </c>
      <c r="C44" s="26">
        <v>4.3</v>
      </c>
    </row>
    <row r="45" spans="2:3" x14ac:dyDescent="0.15">
      <c r="B45" s="25"/>
      <c r="C45" s="26"/>
    </row>
    <row r="46" spans="2:3" x14ac:dyDescent="0.15">
      <c r="B46" s="42" t="s">
        <v>138</v>
      </c>
      <c r="C46" s="26">
        <v>6.1</v>
      </c>
    </row>
    <row r="47" spans="2:3" x14ac:dyDescent="0.15">
      <c r="B47" s="42" t="s">
        <v>45</v>
      </c>
      <c r="C47" s="26">
        <v>6.2</v>
      </c>
    </row>
    <row r="48" spans="2:3" x14ac:dyDescent="0.15">
      <c r="B48" s="42"/>
      <c r="C48" s="26"/>
    </row>
    <row r="49" spans="2:4" x14ac:dyDescent="0.15">
      <c r="B49" s="42" t="s">
        <v>44</v>
      </c>
      <c r="C49" s="26">
        <v>5</v>
      </c>
    </row>
    <row r="50" spans="2:4" x14ac:dyDescent="0.15">
      <c r="B50" s="42"/>
      <c r="C50" s="26"/>
    </row>
    <row r="51" spans="2:4" ht="14" thickBot="1" x14ac:dyDescent="0.2">
      <c r="B51" s="43" t="s">
        <v>73</v>
      </c>
      <c r="C51" s="27">
        <v>7</v>
      </c>
    </row>
    <row r="53" spans="2:4" x14ac:dyDescent="0.15">
      <c r="B53" s="146" t="s">
        <v>171</v>
      </c>
      <c r="C53" s="94">
        <v>282</v>
      </c>
      <c r="D53" s="94"/>
    </row>
    <row r="54" spans="2:4" x14ac:dyDescent="0.15">
      <c r="B54" s="146" t="s">
        <v>172</v>
      </c>
      <c r="C54" s="146" t="s">
        <v>185</v>
      </c>
      <c r="D54" s="94"/>
    </row>
    <row r="55" spans="2:4" x14ac:dyDescent="0.15">
      <c r="B55" s="146" t="s">
        <v>173</v>
      </c>
      <c r="C55" s="146" t="s">
        <v>186</v>
      </c>
      <c r="D55" s="94"/>
    </row>
    <row r="56" spans="2:4" x14ac:dyDescent="0.15">
      <c r="B56" s="146" t="s">
        <v>174</v>
      </c>
      <c r="C56" s="94">
        <v>30000</v>
      </c>
      <c r="D56" s="94"/>
    </row>
    <row r="57" spans="2:4" x14ac:dyDescent="0.15">
      <c r="B57" s="146" t="s">
        <v>175</v>
      </c>
      <c r="C57" s="146" t="s">
        <v>187</v>
      </c>
      <c r="D57" s="94"/>
    </row>
    <row r="58" spans="2:4" x14ac:dyDescent="0.15">
      <c r="B58" s="146" t="s">
        <v>176</v>
      </c>
      <c r="C58" s="146" t="s">
        <v>188</v>
      </c>
      <c r="D58" s="94"/>
    </row>
    <row r="59" spans="2:4" x14ac:dyDescent="0.15">
      <c r="B59" s="146" t="s">
        <v>177</v>
      </c>
      <c r="C59" s="146" t="s">
        <v>189</v>
      </c>
      <c r="D59" s="94"/>
    </row>
    <row r="60" spans="2:4" x14ac:dyDescent="0.15">
      <c r="B60" s="146" t="s">
        <v>178</v>
      </c>
      <c r="C60" s="146" t="s">
        <v>190</v>
      </c>
      <c r="D60" s="94"/>
    </row>
    <row r="61" spans="2:4" x14ac:dyDescent="0.15">
      <c r="B61" s="146" t="s">
        <v>179</v>
      </c>
      <c r="C61" s="94">
        <v>16</v>
      </c>
      <c r="D61" s="94"/>
    </row>
    <row r="62" spans="2:4" x14ac:dyDescent="0.15">
      <c r="B62" s="146" t="s">
        <v>180</v>
      </c>
      <c r="C62" s="94">
        <v>1</v>
      </c>
      <c r="D62" s="94"/>
    </row>
    <row r="63" spans="2:4" x14ac:dyDescent="0.15">
      <c r="B63" s="146" t="s">
        <v>181</v>
      </c>
      <c r="C63" s="94">
        <v>1980</v>
      </c>
      <c r="D63" s="94"/>
    </row>
    <row r="64" spans="2:4" x14ac:dyDescent="0.15">
      <c r="B64" s="146" t="s">
        <v>182</v>
      </c>
      <c r="C64" s="94">
        <v>9</v>
      </c>
      <c r="D64" s="94"/>
    </row>
    <row r="65" spans="2:4" x14ac:dyDescent="0.15">
      <c r="B65" s="146" t="s">
        <v>183</v>
      </c>
      <c r="C65" s="146" t="s">
        <v>191</v>
      </c>
      <c r="D65" s="94"/>
    </row>
    <row r="66" spans="2:4" x14ac:dyDescent="0.15">
      <c r="B66" s="146" t="s">
        <v>184</v>
      </c>
      <c r="D66" s="94"/>
    </row>
    <row r="67" spans="2:4" x14ac:dyDescent="0.15">
      <c r="B67" s="94"/>
      <c r="C67" s="94"/>
      <c r="D67" s="94"/>
    </row>
    <row r="68" spans="2:4" x14ac:dyDescent="0.15">
      <c r="B68" s="94"/>
      <c r="C68" s="94"/>
      <c r="D68" s="9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0" customWidth="1"/>
    <col min="2" max="3" width="3.33203125" style="70" customWidth="1"/>
    <col min="4" max="4" width="14.33203125" style="70" customWidth="1"/>
    <col min="5" max="5" width="21.6640625" style="70" bestFit="1" customWidth="1"/>
    <col min="6" max="6" width="2.33203125" style="70" bestFit="1" customWidth="1"/>
    <col min="7" max="7" width="5.83203125" style="70" bestFit="1" customWidth="1"/>
    <col min="8" max="8" width="5.83203125" style="70" customWidth="1"/>
    <col min="9" max="9" width="7.83203125" style="70" customWidth="1"/>
    <col min="10" max="11" width="12.83203125" style="70" customWidth="1"/>
    <col min="12" max="12" width="2.33203125" style="70" customWidth="1"/>
    <col min="13" max="13" width="3.83203125" style="70" customWidth="1"/>
    <col min="14" max="14" width="2.33203125" style="70" customWidth="1"/>
    <col min="16" max="25" width="8.83203125" style="7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0"/>
  </cols>
  <sheetData>
    <row r="1" spans="1:46" s="87" customFormat="1" ht="15" customHeight="1" x14ac:dyDescent="0.15">
      <c r="A1" s="66" t="s">
        <v>18</v>
      </c>
      <c r="C1" s="67" t="s">
        <v>8</v>
      </c>
      <c r="D1" s="66" t="s">
        <v>23</v>
      </c>
      <c r="E1" s="66" t="s">
        <v>0</v>
      </c>
      <c r="F1" s="66" t="s">
        <v>7</v>
      </c>
      <c r="G1" s="68" t="s">
        <v>13</v>
      </c>
      <c r="H1" s="66" t="s">
        <v>1</v>
      </c>
      <c r="I1" s="66" t="s">
        <v>2</v>
      </c>
      <c r="J1" s="66" t="s">
        <v>14</v>
      </c>
      <c r="K1" s="66" t="s">
        <v>3</v>
      </c>
      <c r="L1" s="66" t="s">
        <v>4</v>
      </c>
      <c r="M1" s="66" t="s">
        <v>5</v>
      </c>
      <c r="N1" s="6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7">
        <v>1</v>
      </c>
      <c r="D2"/>
      <c r="E2" s="147" t="s">
        <v>192</v>
      </c>
      <c r="F2" s="70">
        <v>0</v>
      </c>
      <c r="G2" s="70">
        <v>8.2000000000000003E-2</v>
      </c>
      <c r="H2" s="70">
        <v>0.4</v>
      </c>
      <c r="I2" s="6">
        <v>4.5</v>
      </c>
      <c r="J2" s="6">
        <v>0.82766765399999997</v>
      </c>
      <c r="K2" s="6">
        <v>8.8888889999999998E-2</v>
      </c>
      <c r="L2" s="6">
        <v>0</v>
      </c>
      <c r="M2" s="70">
        <v>0.2</v>
      </c>
      <c r="N2" s="70">
        <v>0</v>
      </c>
    </row>
    <row r="3" spans="1:46" ht="15" customHeight="1" x14ac:dyDescent="0.15">
      <c r="A3" s="1" t="s">
        <v>9</v>
      </c>
      <c r="B3" s="4">
        <v>15</v>
      </c>
      <c r="C3" s="70">
        <v>2</v>
      </c>
      <c r="D3"/>
      <c r="E3" s="147" t="s">
        <v>193</v>
      </c>
      <c r="F3" s="70">
        <v>0</v>
      </c>
      <c r="G3" s="70">
        <v>0.55000000000000004</v>
      </c>
      <c r="H3" s="70">
        <v>0.56999999999999995</v>
      </c>
      <c r="I3" s="70">
        <v>5.94</v>
      </c>
      <c r="J3" s="70">
        <v>0.82746410000000004</v>
      </c>
      <c r="K3" s="70">
        <v>9.5959600000000006E-2</v>
      </c>
      <c r="L3" s="70">
        <v>0</v>
      </c>
      <c r="M3" s="70">
        <v>0.2</v>
      </c>
      <c r="N3" s="70">
        <v>0</v>
      </c>
    </row>
    <row r="4" spans="1:46" ht="15" customHeight="1" x14ac:dyDescent="0.15">
      <c r="A4" s="1" t="s">
        <v>10</v>
      </c>
      <c r="B4" s="4">
        <v>2</v>
      </c>
      <c r="C4" s="70">
        <v>3</v>
      </c>
      <c r="D4"/>
      <c r="E4" s="147" t="s">
        <v>194</v>
      </c>
      <c r="F4" s="70">
        <v>0</v>
      </c>
      <c r="G4" s="70">
        <v>0.75</v>
      </c>
      <c r="H4" s="70">
        <v>0.49</v>
      </c>
      <c r="I4" s="70">
        <v>5.6</v>
      </c>
      <c r="J4" s="70">
        <v>0.87174149999999995</v>
      </c>
      <c r="K4" s="70">
        <v>8.7500006000000005E-2</v>
      </c>
      <c r="L4" s="70">
        <v>0</v>
      </c>
      <c r="M4" s="70">
        <v>0.2</v>
      </c>
      <c r="N4" s="7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0">
        <v>4</v>
      </c>
      <c r="D5"/>
      <c r="E5" s="147" t="s">
        <v>195</v>
      </c>
      <c r="F5" s="70">
        <v>0</v>
      </c>
      <c r="G5" s="70">
        <v>6.67</v>
      </c>
      <c r="H5" s="70">
        <v>0.45</v>
      </c>
      <c r="I5" s="70">
        <v>7.601</v>
      </c>
      <c r="J5" s="70">
        <v>0.93270146799999998</v>
      </c>
      <c r="K5" s="70">
        <v>5.9202734399999998E-2</v>
      </c>
      <c r="L5" s="70">
        <v>0</v>
      </c>
      <c r="M5" s="70">
        <v>0.2</v>
      </c>
      <c r="N5" s="70">
        <v>0</v>
      </c>
      <c r="P5" s="61"/>
      <c r="Q5" s="61"/>
      <c r="R5" s="61"/>
    </row>
    <row r="6" spans="1:46" ht="15" customHeight="1" thickBot="1" x14ac:dyDescent="0.2">
      <c r="B6" s="1"/>
      <c r="C6" s="70">
        <v>5</v>
      </c>
      <c r="D6"/>
      <c r="E6" s="147" t="s">
        <v>196</v>
      </c>
      <c r="F6" s="70">
        <v>0</v>
      </c>
      <c r="G6" s="70">
        <v>0.8</v>
      </c>
      <c r="H6" s="70">
        <v>0.60499999999999998</v>
      </c>
      <c r="I6" s="70">
        <v>9.0299999999999994</v>
      </c>
      <c r="J6" s="70">
        <v>0.90623960000000003</v>
      </c>
      <c r="K6" s="70">
        <v>6.69989E-2</v>
      </c>
      <c r="L6" s="70">
        <v>0</v>
      </c>
      <c r="M6" s="70">
        <v>0.2</v>
      </c>
      <c r="N6" s="70">
        <v>0</v>
      </c>
      <c r="P6" s="61"/>
      <c r="Q6" s="61"/>
      <c r="R6" s="61"/>
      <c r="W6" s="29" t="s">
        <v>31</v>
      </c>
      <c r="X6" s="45">
        <f>MAX(MainOutputs!G:G)</f>
        <v>0.97442328929901123</v>
      </c>
    </row>
    <row r="7" spans="1:46" ht="15" customHeight="1" x14ac:dyDescent="0.15">
      <c r="A7" s="2" t="s">
        <v>27</v>
      </c>
      <c r="B7" s="70">
        <f ca="1">COUNTIF(OFFSET(cornerDiets,1,1,NumLiving+NumDead+1,NumLiving+NumDead),"&gt;0")+NumLiving+NumDead+1</f>
        <v>90</v>
      </c>
      <c r="C7" s="70">
        <v>6</v>
      </c>
      <c r="D7"/>
      <c r="E7" s="147" t="s">
        <v>197</v>
      </c>
      <c r="F7" s="70">
        <v>0</v>
      </c>
      <c r="G7" s="70">
        <v>0.26700000000000002</v>
      </c>
      <c r="H7" s="70">
        <v>1.7</v>
      </c>
      <c r="I7" s="70">
        <v>36.5</v>
      </c>
      <c r="J7" s="70">
        <v>0.96382784799999999</v>
      </c>
      <c r="K7" s="70">
        <v>4.6575345099999998E-2</v>
      </c>
      <c r="L7" s="70">
        <v>0</v>
      </c>
      <c r="M7" s="70">
        <v>0.2</v>
      </c>
      <c r="N7" s="70">
        <v>0</v>
      </c>
      <c r="P7" s="61"/>
      <c r="Q7" s="61"/>
      <c r="R7" s="61"/>
    </row>
    <row r="8" spans="1:46" ht="15" customHeight="1" x14ac:dyDescent="0.15">
      <c r="A8" s="2" t="s">
        <v>28</v>
      </c>
      <c r="B8" s="70">
        <f ca="1">COUNTIF(OFFSET(cornerFishing,1,2,NumLiving+NumDead,NumGears),"&gt;0")+NumDead*COUNTIF(OFFSET(cornerDiscards,1,2,NumLiving+NumDead,NumGears),"&gt;0")+NumLiving+NumDead+1</f>
        <v>30</v>
      </c>
      <c r="C8" s="70">
        <v>7</v>
      </c>
      <c r="D8"/>
      <c r="E8" s="147" t="s">
        <v>198</v>
      </c>
      <c r="F8" s="70">
        <v>0</v>
      </c>
      <c r="G8" s="70">
        <v>0.85</v>
      </c>
      <c r="H8" s="70">
        <v>1.92</v>
      </c>
      <c r="I8" s="70">
        <v>8.3529999999999998</v>
      </c>
      <c r="J8" s="70">
        <v>0.91709569999999996</v>
      </c>
      <c r="K8" s="70">
        <v>0.229857534</v>
      </c>
      <c r="L8" s="70">
        <v>0</v>
      </c>
      <c r="M8" s="70">
        <v>0.2</v>
      </c>
      <c r="N8" s="70">
        <v>0</v>
      </c>
      <c r="P8" s="61"/>
      <c r="Q8" s="61"/>
      <c r="R8" s="61"/>
    </row>
    <row r="9" spans="1:46" ht="15" customHeight="1" x14ac:dyDescent="0.15">
      <c r="B9" s="1"/>
      <c r="C9" s="70">
        <v>8</v>
      </c>
      <c r="D9"/>
      <c r="E9" s="147" t="s">
        <v>199</v>
      </c>
      <c r="F9" s="70">
        <v>0</v>
      </c>
      <c r="G9" s="70">
        <v>0.38</v>
      </c>
      <c r="H9" s="70">
        <v>0.62</v>
      </c>
      <c r="I9" s="70">
        <v>7.19</v>
      </c>
      <c r="J9" s="70">
        <v>0.93414473499999995</v>
      </c>
      <c r="K9" s="70">
        <v>8.6230874099999993E-2</v>
      </c>
      <c r="L9" s="70">
        <v>0</v>
      </c>
      <c r="M9" s="70">
        <v>0.2</v>
      </c>
      <c r="N9" s="70">
        <v>0</v>
      </c>
      <c r="P9" s="61"/>
      <c r="Q9" s="61"/>
      <c r="R9" s="61"/>
    </row>
    <row r="10" spans="1:46" ht="15" customHeight="1" x14ac:dyDescent="0.15">
      <c r="B10" s="1"/>
      <c r="C10" s="70">
        <v>9</v>
      </c>
      <c r="D10"/>
      <c r="E10" s="147" t="s">
        <v>200</v>
      </c>
      <c r="F10" s="70">
        <v>0</v>
      </c>
      <c r="G10" s="70">
        <v>0.48</v>
      </c>
      <c r="H10" s="70">
        <v>0.56999999999999995</v>
      </c>
      <c r="I10" s="70">
        <v>6.68</v>
      </c>
      <c r="J10" s="70">
        <v>0.95193720000000004</v>
      </c>
      <c r="K10" s="70">
        <v>8.5329340000000004E-2</v>
      </c>
      <c r="L10" s="70">
        <v>0</v>
      </c>
      <c r="M10" s="70">
        <v>0.2</v>
      </c>
      <c r="N10" s="70">
        <v>0</v>
      </c>
    </row>
    <row r="11" spans="1:46" ht="15" customHeight="1" x14ac:dyDescent="0.15">
      <c r="C11" s="70">
        <v>10</v>
      </c>
      <c r="D11"/>
      <c r="E11" s="147" t="s">
        <v>201</v>
      </c>
      <c r="F11" s="70">
        <v>0</v>
      </c>
      <c r="G11" s="70">
        <v>0.23</v>
      </c>
      <c r="H11" s="70">
        <v>0.64</v>
      </c>
      <c r="I11" s="70">
        <v>4.9000000000000004</v>
      </c>
      <c r="J11" s="70">
        <v>0.91824050000000002</v>
      </c>
      <c r="K11" s="70">
        <v>0.13061223899999999</v>
      </c>
      <c r="L11" s="70">
        <v>0</v>
      </c>
      <c r="M11" s="70">
        <v>0.2</v>
      </c>
      <c r="N11" s="70">
        <v>0</v>
      </c>
    </row>
    <row r="12" spans="1:46" ht="15" customHeight="1" x14ac:dyDescent="0.15">
      <c r="C12" s="70">
        <v>11</v>
      </c>
      <c r="D12"/>
      <c r="E12" s="147" t="s">
        <v>202</v>
      </c>
      <c r="F12" s="70">
        <v>0</v>
      </c>
      <c r="G12" s="70">
        <v>33.299999999999997</v>
      </c>
      <c r="H12" s="70">
        <v>1.1299999999999999</v>
      </c>
      <c r="I12" s="70">
        <v>9.82</v>
      </c>
      <c r="J12" s="70">
        <v>0.93340190000000001</v>
      </c>
      <c r="K12" s="70">
        <v>0.11507128899999999</v>
      </c>
      <c r="L12" s="70">
        <v>0</v>
      </c>
      <c r="M12" s="70">
        <v>0.2</v>
      </c>
      <c r="N12" s="70">
        <v>0</v>
      </c>
    </row>
    <row r="13" spans="1:46" ht="15" customHeight="1" x14ac:dyDescent="0.15">
      <c r="C13" s="70">
        <v>12</v>
      </c>
      <c r="D13"/>
      <c r="E13" s="147" t="s">
        <v>203</v>
      </c>
      <c r="F13" s="70">
        <v>0</v>
      </c>
      <c r="G13" s="70">
        <v>8.16</v>
      </c>
      <c r="H13" s="70">
        <v>40</v>
      </c>
      <c r="I13" s="70">
        <v>279.90199999999999</v>
      </c>
      <c r="J13" s="70">
        <v>0.97442329999999999</v>
      </c>
      <c r="K13" s="70">
        <v>0.14290715800000001</v>
      </c>
      <c r="L13" s="70">
        <v>0</v>
      </c>
      <c r="M13" s="70">
        <v>0.4</v>
      </c>
      <c r="N13" s="70">
        <v>0</v>
      </c>
    </row>
    <row r="14" spans="1:46" ht="15" customHeight="1" x14ac:dyDescent="0.15">
      <c r="C14" s="70">
        <v>13</v>
      </c>
      <c r="D14"/>
      <c r="E14" s="147" t="s">
        <v>204</v>
      </c>
      <c r="F14" s="70">
        <v>0</v>
      </c>
      <c r="G14" s="70">
        <v>13.4</v>
      </c>
      <c r="H14" s="70">
        <v>3</v>
      </c>
      <c r="I14" s="70">
        <v>12.462999999999999</v>
      </c>
      <c r="J14" s="70">
        <v>0.97235009999999999</v>
      </c>
      <c r="K14" s="70">
        <v>0.24071250899999999</v>
      </c>
      <c r="L14" s="70">
        <v>0</v>
      </c>
      <c r="M14" s="70">
        <v>0.2</v>
      </c>
      <c r="N14" s="70">
        <v>0</v>
      </c>
    </row>
    <row r="15" spans="1:46" ht="15" customHeight="1" x14ac:dyDescent="0.15">
      <c r="C15" s="70">
        <v>14</v>
      </c>
      <c r="D15"/>
      <c r="E15" s="147" t="s">
        <v>205</v>
      </c>
      <c r="F15" s="70">
        <v>1</v>
      </c>
      <c r="G15" s="70">
        <v>45</v>
      </c>
      <c r="H15" s="70">
        <v>70</v>
      </c>
      <c r="I15" s="70">
        <v>0</v>
      </c>
      <c r="J15" s="70">
        <v>0.74510589999999999</v>
      </c>
      <c r="K15" s="70">
        <v>0</v>
      </c>
      <c r="L15" s="70">
        <v>0</v>
      </c>
      <c r="M15" s="70">
        <v>0</v>
      </c>
      <c r="N15" s="70">
        <v>0</v>
      </c>
    </row>
    <row r="16" spans="1:46" ht="15" customHeight="1" x14ac:dyDescent="0.15">
      <c r="C16" s="70">
        <v>15</v>
      </c>
      <c r="D16"/>
      <c r="E16" s="147" t="s">
        <v>206</v>
      </c>
      <c r="F16" s="70">
        <v>1</v>
      </c>
      <c r="G16" s="70">
        <v>11.2</v>
      </c>
      <c r="H16" s="70">
        <v>12.5</v>
      </c>
      <c r="I16" s="70">
        <v>0</v>
      </c>
      <c r="J16" s="70">
        <v>0.60870504400000003</v>
      </c>
      <c r="K16" s="70">
        <v>0</v>
      </c>
      <c r="L16" s="70">
        <v>0</v>
      </c>
      <c r="M16" s="70">
        <v>0</v>
      </c>
      <c r="N16" s="70">
        <v>0</v>
      </c>
    </row>
    <row r="17" spans="1:22" ht="15" customHeight="1" x14ac:dyDescent="0.15">
      <c r="C17" s="70">
        <v>16</v>
      </c>
      <c r="D17"/>
      <c r="E17" s="147" t="s">
        <v>207</v>
      </c>
      <c r="F17" s="70">
        <v>2</v>
      </c>
      <c r="G17" s="70">
        <v>135</v>
      </c>
      <c r="H17" s="70">
        <v>0</v>
      </c>
      <c r="I17" s="70">
        <v>0</v>
      </c>
      <c r="J17" s="70">
        <v>2.20713913E-2</v>
      </c>
      <c r="K17" s="70">
        <v>0</v>
      </c>
      <c r="L17" s="70">
        <v>0</v>
      </c>
      <c r="M17" s="70">
        <v>0</v>
      </c>
      <c r="N17" s="70">
        <v>0</v>
      </c>
      <c r="V17" s="1" t="s">
        <v>30</v>
      </c>
    </row>
    <row r="18" spans="1:22" ht="15" customHeight="1" x14ac:dyDescent="0.15">
      <c r="C18" s="70">
        <v>17</v>
      </c>
      <c r="D18"/>
      <c r="E18" s="147" t="s">
        <v>208</v>
      </c>
      <c r="F18" s="70">
        <v>2</v>
      </c>
      <c r="G18" s="70">
        <v>5</v>
      </c>
      <c r="H18" s="70">
        <v>0</v>
      </c>
      <c r="I18" s="70">
        <v>0</v>
      </c>
      <c r="J18" s="70">
        <v>0</v>
      </c>
      <c r="K18" s="70">
        <v>0</v>
      </c>
      <c r="L18" s="70">
        <v>0</v>
      </c>
      <c r="M18" s="70">
        <v>0</v>
      </c>
      <c r="N18" s="70">
        <v>0</v>
      </c>
      <c r="V18" s="1"/>
    </row>
    <row r="19" spans="1:22" ht="15" customHeight="1" x14ac:dyDescent="0.15">
      <c r="C19" s="70">
        <v>18</v>
      </c>
      <c r="D19"/>
      <c r="E19" s="147" t="s">
        <v>209</v>
      </c>
      <c r="F19" s="70">
        <v>3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0</v>
      </c>
      <c r="N19" s="70">
        <v>0</v>
      </c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40" t="s">
        <v>137</v>
      </c>
      <c r="B21" s="88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9" t="s">
        <v>58</v>
      </c>
      <c r="B22" s="90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9" t="s">
        <v>59</v>
      </c>
      <c r="B23" s="90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9" t="s">
        <v>60</v>
      </c>
      <c r="B24" s="90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1" t="s">
        <v>44</v>
      </c>
      <c r="B25" s="92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3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6" bestFit="1" customWidth="1"/>
    <col min="2" max="3" width="6.83203125" style="126" bestFit="1" customWidth="1"/>
    <col min="4" max="6" width="5.83203125" style="126" bestFit="1" customWidth="1"/>
    <col min="7" max="7" width="4.83203125" style="126" bestFit="1" customWidth="1"/>
    <col min="8" max="8" width="5.83203125" style="126" bestFit="1" customWidth="1"/>
    <col min="9" max="14" width="4.83203125" style="126" bestFit="1" customWidth="1"/>
    <col min="15" max="18" width="2.33203125" style="126" bestFit="1" customWidth="1"/>
    <col min="19" max="29" width="9" style="126" bestFit="1" customWidth="1"/>
    <col min="30" max="16384" width="8.83203125" style="126"/>
  </cols>
  <sheetData>
    <row r="1" spans="1:34" x14ac:dyDescent="0.15">
      <c r="A1" s="125" t="s">
        <v>19</v>
      </c>
      <c r="B1" s="149" t="s">
        <v>192</v>
      </c>
      <c r="C1" s="149" t="s">
        <v>193</v>
      </c>
      <c r="D1" s="149" t="s">
        <v>194</v>
      </c>
      <c r="E1" s="149" t="s">
        <v>195</v>
      </c>
      <c r="F1" s="149" t="s">
        <v>196</v>
      </c>
      <c r="G1" s="149" t="s">
        <v>197</v>
      </c>
      <c r="H1" s="149" t="s">
        <v>198</v>
      </c>
      <c r="I1" s="149" t="s">
        <v>199</v>
      </c>
      <c r="J1" s="149" t="s">
        <v>200</v>
      </c>
      <c r="K1" s="149" t="s">
        <v>201</v>
      </c>
      <c r="L1" s="149" t="s">
        <v>202</v>
      </c>
      <c r="M1" s="149" t="s">
        <v>203</v>
      </c>
      <c r="N1" s="149" t="s">
        <v>204</v>
      </c>
      <c r="O1" s="149" t="s">
        <v>205</v>
      </c>
      <c r="P1" s="149" t="s">
        <v>206</v>
      </c>
      <c r="Q1" s="149" t="s">
        <v>207</v>
      </c>
      <c r="R1" s="149" t="s">
        <v>208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8" t="s">
        <v>192</v>
      </c>
      <c r="B2" s="126">
        <v>2.75E-2</v>
      </c>
      <c r="C2" s="126">
        <v>0</v>
      </c>
      <c r="D2" s="126">
        <v>0</v>
      </c>
      <c r="E2" s="126">
        <v>0</v>
      </c>
      <c r="F2" s="126">
        <v>0</v>
      </c>
      <c r="G2" s="126">
        <v>0</v>
      </c>
      <c r="H2" s="126">
        <v>0</v>
      </c>
      <c r="I2" s="126">
        <v>0</v>
      </c>
      <c r="J2" s="126">
        <v>0</v>
      </c>
      <c r="K2" s="126">
        <v>0</v>
      </c>
      <c r="L2" s="126">
        <v>0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  <c r="R2" s="126">
        <v>0</v>
      </c>
    </row>
    <row r="3" spans="1:34" customFormat="1" x14ac:dyDescent="0.15">
      <c r="A3" s="148" t="s">
        <v>193</v>
      </c>
      <c r="B3" s="126">
        <v>0.03</v>
      </c>
      <c r="C3" s="126">
        <v>0.02</v>
      </c>
      <c r="D3" s="126">
        <v>0</v>
      </c>
      <c r="E3" s="126">
        <v>0</v>
      </c>
      <c r="F3" s="126">
        <v>0</v>
      </c>
      <c r="G3" s="126">
        <v>0</v>
      </c>
      <c r="H3" s="126">
        <v>0</v>
      </c>
      <c r="I3" s="126">
        <v>0</v>
      </c>
      <c r="J3" s="126">
        <v>0</v>
      </c>
      <c r="K3" s="126">
        <v>0</v>
      </c>
      <c r="L3" s="126">
        <v>0</v>
      </c>
      <c r="M3" s="126">
        <v>0</v>
      </c>
      <c r="N3" s="126">
        <v>0</v>
      </c>
      <c r="O3" s="126">
        <v>0</v>
      </c>
      <c r="P3" s="126">
        <v>0</v>
      </c>
      <c r="Q3" s="126">
        <v>0</v>
      </c>
      <c r="R3" s="126">
        <v>0</v>
      </c>
    </row>
    <row r="4" spans="1:34" customFormat="1" x14ac:dyDescent="0.15">
      <c r="A4" s="148" t="s">
        <v>194</v>
      </c>
      <c r="B4" s="126">
        <v>5.5E-2</v>
      </c>
      <c r="C4" s="126">
        <v>0.01</v>
      </c>
      <c r="D4" s="126">
        <v>2.1999999999999999E-2</v>
      </c>
      <c r="E4" s="126">
        <v>0</v>
      </c>
      <c r="F4" s="126">
        <v>0</v>
      </c>
      <c r="G4" s="126">
        <v>0</v>
      </c>
      <c r="H4" s="126">
        <v>0</v>
      </c>
      <c r="I4" s="126">
        <v>0</v>
      </c>
      <c r="J4" s="126">
        <v>0</v>
      </c>
      <c r="K4" s="126">
        <v>0</v>
      </c>
      <c r="L4" s="126">
        <v>0</v>
      </c>
      <c r="M4" s="126">
        <v>0</v>
      </c>
      <c r="N4" s="126">
        <v>0</v>
      </c>
      <c r="O4" s="126">
        <v>0</v>
      </c>
      <c r="P4" s="126">
        <v>0</v>
      </c>
      <c r="Q4" s="126">
        <v>0</v>
      </c>
      <c r="R4" s="126">
        <v>0</v>
      </c>
    </row>
    <row r="5" spans="1:34" customFormat="1" x14ac:dyDescent="0.15">
      <c r="A5" s="148" t="s">
        <v>195</v>
      </c>
      <c r="B5" s="126">
        <v>0.15</v>
      </c>
      <c r="C5" s="126">
        <v>0.1</v>
      </c>
      <c r="D5" s="126">
        <v>0.08</v>
      </c>
      <c r="E5" s="126">
        <v>3.5000000000000003E-2</v>
      </c>
      <c r="F5" s="126">
        <v>0</v>
      </c>
      <c r="G5" s="126">
        <v>0</v>
      </c>
      <c r="H5" s="126">
        <v>0</v>
      </c>
      <c r="I5" s="126">
        <v>0</v>
      </c>
      <c r="J5" s="126">
        <v>0</v>
      </c>
      <c r="K5" s="126">
        <v>0</v>
      </c>
      <c r="L5" s="126">
        <v>0</v>
      </c>
      <c r="M5" s="126">
        <v>0</v>
      </c>
      <c r="N5" s="126">
        <v>0</v>
      </c>
      <c r="O5" s="126">
        <v>0</v>
      </c>
      <c r="P5" s="126">
        <v>0</v>
      </c>
      <c r="Q5" s="126">
        <v>0</v>
      </c>
      <c r="R5" s="126">
        <v>0</v>
      </c>
    </row>
    <row r="6" spans="1:34" customFormat="1" x14ac:dyDescent="0.15">
      <c r="A6" s="148" t="s">
        <v>196</v>
      </c>
      <c r="B6" s="126">
        <v>0</v>
      </c>
      <c r="C6" s="126">
        <v>0.06</v>
      </c>
      <c r="D6" s="126">
        <v>0.01</v>
      </c>
      <c r="E6" s="126">
        <v>0</v>
      </c>
      <c r="F6" s="126">
        <v>2.5000000000000001E-2</v>
      </c>
      <c r="G6" s="126">
        <v>0</v>
      </c>
      <c r="H6" s="126">
        <v>0</v>
      </c>
      <c r="I6" s="126">
        <v>0</v>
      </c>
      <c r="J6" s="126">
        <v>0</v>
      </c>
      <c r="K6" s="126">
        <v>0</v>
      </c>
      <c r="L6" s="126">
        <v>0</v>
      </c>
      <c r="M6" s="126">
        <v>0</v>
      </c>
      <c r="N6" s="126">
        <v>0</v>
      </c>
      <c r="O6" s="126">
        <v>0</v>
      </c>
      <c r="P6" s="126">
        <v>0</v>
      </c>
      <c r="Q6" s="126">
        <v>0</v>
      </c>
      <c r="R6" s="126">
        <v>0</v>
      </c>
    </row>
    <row r="7" spans="1:34" customFormat="1" x14ac:dyDescent="0.15">
      <c r="A7" s="148" t="s">
        <v>197</v>
      </c>
      <c r="B7" s="126">
        <v>0</v>
      </c>
      <c r="C7" s="126">
        <v>2.2499999999999999E-2</v>
      </c>
      <c r="D7" s="126">
        <v>0.02</v>
      </c>
      <c r="E7" s="126">
        <v>0</v>
      </c>
      <c r="F7" s="126">
        <v>0</v>
      </c>
      <c r="G7" s="126">
        <v>0.02</v>
      </c>
      <c r="H7" s="126">
        <v>0</v>
      </c>
      <c r="I7" s="126">
        <v>0</v>
      </c>
      <c r="J7" s="126">
        <v>0.01</v>
      </c>
      <c r="K7" s="126">
        <v>0</v>
      </c>
      <c r="L7" s="126">
        <v>0</v>
      </c>
      <c r="M7" s="126">
        <v>0</v>
      </c>
      <c r="N7" s="126">
        <v>0</v>
      </c>
      <c r="O7" s="126">
        <v>0</v>
      </c>
      <c r="P7" s="126">
        <v>0</v>
      </c>
      <c r="Q7" s="126">
        <v>0</v>
      </c>
      <c r="R7" s="126">
        <v>0</v>
      </c>
    </row>
    <row r="8" spans="1:34" customFormat="1" x14ac:dyDescent="0.15">
      <c r="A8" s="148" t="s">
        <v>198</v>
      </c>
      <c r="B8" s="126">
        <v>5.6500000000000002E-2</v>
      </c>
      <c r="C8" s="126">
        <v>2.5000000000000001E-3</v>
      </c>
      <c r="D8" s="126">
        <v>2.5000000000000001E-2</v>
      </c>
      <c r="E8" s="126">
        <v>0</v>
      </c>
      <c r="F8" s="126">
        <v>0</v>
      </c>
      <c r="G8" s="126">
        <v>0</v>
      </c>
      <c r="H8" s="126">
        <v>4.4999999999999998E-2</v>
      </c>
      <c r="I8" s="126">
        <v>0.01</v>
      </c>
      <c r="J8" s="126">
        <v>0.05</v>
      </c>
      <c r="K8" s="126">
        <v>0.02</v>
      </c>
      <c r="L8" s="126">
        <v>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1:34" customFormat="1" x14ac:dyDescent="0.15">
      <c r="A9" s="148" t="s">
        <v>199</v>
      </c>
      <c r="B9" s="126">
        <v>0.02</v>
      </c>
      <c r="C9" s="126">
        <v>1.35E-2</v>
      </c>
      <c r="D9" s="126">
        <v>2.3E-2</v>
      </c>
      <c r="E9" s="126">
        <v>0</v>
      </c>
      <c r="F9" s="126">
        <v>0</v>
      </c>
      <c r="G9" s="126">
        <v>0</v>
      </c>
      <c r="H9" s="126">
        <v>0</v>
      </c>
      <c r="I9" s="126">
        <v>0</v>
      </c>
      <c r="J9" s="126">
        <v>0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1:34" customFormat="1" x14ac:dyDescent="0.15">
      <c r="A10" s="148" t="s">
        <v>200</v>
      </c>
      <c r="B10" s="126">
        <v>0.02</v>
      </c>
      <c r="C10" s="126">
        <v>0.01</v>
      </c>
      <c r="D10" s="126">
        <v>2.1999999999999999E-2</v>
      </c>
      <c r="E10" s="126">
        <v>0</v>
      </c>
      <c r="F10" s="126">
        <v>0</v>
      </c>
      <c r="G10" s="126">
        <v>0</v>
      </c>
      <c r="H10" s="126">
        <v>0</v>
      </c>
      <c r="I10" s="126">
        <v>0</v>
      </c>
      <c r="J10" s="126">
        <v>0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1:34" customFormat="1" x14ac:dyDescent="0.15">
      <c r="A11" s="148" t="s">
        <v>201</v>
      </c>
      <c r="B11" s="126">
        <v>7.0000000000000007E-2</v>
      </c>
      <c r="C11" s="126">
        <v>5.0000000000000001E-3</v>
      </c>
      <c r="D11" s="126">
        <v>0</v>
      </c>
      <c r="E11" s="126">
        <v>0</v>
      </c>
      <c r="F11" s="126">
        <v>0</v>
      </c>
      <c r="G11" s="126">
        <v>0</v>
      </c>
      <c r="H11" s="126">
        <v>0</v>
      </c>
      <c r="I11" s="126">
        <v>0</v>
      </c>
      <c r="J11" s="126">
        <v>0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1:34" customFormat="1" x14ac:dyDescent="0.15">
      <c r="A12" s="148" t="s">
        <v>202</v>
      </c>
      <c r="B12" s="126">
        <v>0.251</v>
      </c>
      <c r="C12" s="126">
        <v>0.74150000000000005</v>
      </c>
      <c r="D12" s="126">
        <v>0.39800000000000002</v>
      </c>
      <c r="E12" s="126">
        <v>0.36499999999999999</v>
      </c>
      <c r="F12" s="126">
        <v>0.39</v>
      </c>
      <c r="G12" s="126">
        <v>0.41</v>
      </c>
      <c r="H12" s="126">
        <v>0.18</v>
      </c>
      <c r="I12" s="126">
        <v>0.26</v>
      </c>
      <c r="J12" s="126">
        <v>0.23</v>
      </c>
      <c r="K12" s="126">
        <v>0.2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1:34" customFormat="1" x14ac:dyDescent="0.15">
      <c r="A13" s="148" t="s">
        <v>203</v>
      </c>
      <c r="B13" s="126">
        <v>0</v>
      </c>
      <c r="C13" s="126">
        <v>0</v>
      </c>
      <c r="D13" s="126">
        <v>0</v>
      </c>
      <c r="E13" s="126">
        <v>0.5</v>
      </c>
      <c r="F13" s="126">
        <v>0.58499999999999996</v>
      </c>
      <c r="G13" s="126">
        <v>0.46</v>
      </c>
      <c r="H13" s="126">
        <v>0.06</v>
      </c>
      <c r="I13" s="126">
        <v>0.11</v>
      </c>
      <c r="J13" s="126">
        <v>0.1</v>
      </c>
      <c r="K13" s="126">
        <v>0.1</v>
      </c>
      <c r="L13" s="126">
        <v>0.56000000000000005</v>
      </c>
      <c r="M13" s="126">
        <v>0.04</v>
      </c>
      <c r="N13" s="126">
        <v>0.05</v>
      </c>
      <c r="O13" s="126">
        <v>0</v>
      </c>
      <c r="P13" s="126">
        <v>0</v>
      </c>
      <c r="Q13" s="126">
        <v>0</v>
      </c>
      <c r="R13" s="126">
        <v>0</v>
      </c>
    </row>
    <row r="14" spans="1:34" customFormat="1" x14ac:dyDescent="0.15">
      <c r="A14" s="148" t="s">
        <v>204</v>
      </c>
      <c r="B14" s="126">
        <v>0.32</v>
      </c>
      <c r="C14" s="126">
        <v>1.4999999999999999E-2</v>
      </c>
      <c r="D14" s="126">
        <v>0.4</v>
      </c>
      <c r="E14" s="126">
        <v>0.1</v>
      </c>
      <c r="F14" s="126">
        <v>0</v>
      </c>
      <c r="G14" s="126">
        <v>0.11</v>
      </c>
      <c r="H14" s="126">
        <v>0.62</v>
      </c>
      <c r="I14" s="126">
        <v>0.57999999999999996</v>
      </c>
      <c r="J14" s="126">
        <v>0.61</v>
      </c>
      <c r="K14" s="126">
        <v>0.68</v>
      </c>
      <c r="L14" s="126">
        <v>0</v>
      </c>
      <c r="M14" s="126">
        <v>0</v>
      </c>
      <c r="N14" s="126">
        <v>0.13</v>
      </c>
      <c r="O14" s="126">
        <v>0</v>
      </c>
      <c r="P14" s="126">
        <v>0</v>
      </c>
      <c r="Q14" s="126">
        <v>0</v>
      </c>
      <c r="R14" s="126">
        <v>0</v>
      </c>
    </row>
    <row r="15" spans="1:34" customFormat="1" x14ac:dyDescent="0.15">
      <c r="A15" s="148" t="s">
        <v>205</v>
      </c>
      <c r="B15" s="126">
        <v>0</v>
      </c>
      <c r="C15" s="126">
        <v>0</v>
      </c>
      <c r="D15" s="126">
        <v>0</v>
      </c>
      <c r="E15" s="126">
        <v>0</v>
      </c>
      <c r="F15" s="126">
        <v>0</v>
      </c>
      <c r="G15" s="126">
        <v>0</v>
      </c>
      <c r="H15" s="126">
        <v>0</v>
      </c>
      <c r="I15" s="126">
        <v>0</v>
      </c>
      <c r="J15" s="126">
        <v>0</v>
      </c>
      <c r="K15" s="126">
        <v>0</v>
      </c>
      <c r="L15" s="126">
        <v>0.44</v>
      </c>
      <c r="M15" s="126">
        <v>0.95</v>
      </c>
      <c r="N15" s="126">
        <v>0.2</v>
      </c>
      <c r="O15" s="126">
        <v>0</v>
      </c>
      <c r="P15" s="126">
        <v>0</v>
      </c>
      <c r="Q15" s="126">
        <v>0</v>
      </c>
      <c r="R15" s="126">
        <v>0</v>
      </c>
    </row>
    <row r="16" spans="1:34" customFormat="1" x14ac:dyDescent="0.15">
      <c r="A16" s="148" t="s">
        <v>206</v>
      </c>
      <c r="B16" s="126">
        <v>0</v>
      </c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7.4999999999999997E-2</v>
      </c>
      <c r="I16" s="126">
        <v>0.02</v>
      </c>
      <c r="J16" s="126">
        <v>0</v>
      </c>
      <c r="K16" s="126">
        <v>0</v>
      </c>
      <c r="L16" s="126">
        <v>0</v>
      </c>
      <c r="M16" s="126">
        <v>0.01</v>
      </c>
      <c r="N16" s="126">
        <v>0.37</v>
      </c>
      <c r="O16" s="126">
        <v>0</v>
      </c>
      <c r="P16" s="126">
        <v>0</v>
      </c>
      <c r="Q16" s="126">
        <v>0</v>
      </c>
      <c r="R16" s="126">
        <v>0</v>
      </c>
    </row>
    <row r="17" spans="1:18" customFormat="1" x14ac:dyDescent="0.15">
      <c r="A17" s="148" t="s">
        <v>207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6">
        <v>0</v>
      </c>
      <c r="H17" s="126">
        <v>0.02</v>
      </c>
      <c r="I17" s="126">
        <v>0.02</v>
      </c>
      <c r="J17" s="126">
        <v>0</v>
      </c>
      <c r="K17" s="126">
        <v>0</v>
      </c>
      <c r="L17" s="126">
        <v>0</v>
      </c>
      <c r="M17" s="126">
        <v>0</v>
      </c>
      <c r="N17" s="126">
        <v>0.25</v>
      </c>
      <c r="O17" s="126">
        <v>0</v>
      </c>
      <c r="P17" s="126">
        <v>0</v>
      </c>
      <c r="Q17" s="126">
        <v>0</v>
      </c>
      <c r="R17" s="126">
        <v>0</v>
      </c>
    </row>
    <row r="18" spans="1:18" customFormat="1" x14ac:dyDescent="0.15">
      <c r="A18" s="148" t="s">
        <v>208</v>
      </c>
      <c r="B18" s="126">
        <v>0</v>
      </c>
      <c r="C18" s="126">
        <v>0</v>
      </c>
      <c r="D18" s="126">
        <v>0</v>
      </c>
      <c r="E18" s="126">
        <v>0</v>
      </c>
      <c r="F18" s="126">
        <v>0</v>
      </c>
      <c r="G18" s="126">
        <v>0</v>
      </c>
      <c r="H18" s="126">
        <v>0</v>
      </c>
      <c r="I18" s="126">
        <v>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1:18" customFormat="1" x14ac:dyDescent="0.15">
      <c r="A19" s="148" t="s">
        <v>210</v>
      </c>
      <c r="B19" s="126">
        <v>0</v>
      </c>
      <c r="C19" s="126">
        <v>0</v>
      </c>
      <c r="D19" s="126">
        <v>0</v>
      </c>
      <c r="E19" s="126">
        <v>0</v>
      </c>
      <c r="F19" s="126">
        <v>0</v>
      </c>
      <c r="G19" s="126">
        <v>0</v>
      </c>
      <c r="H19" s="126">
        <v>0</v>
      </c>
      <c r="I19" s="126">
        <v>0</v>
      </c>
      <c r="J19" s="126">
        <v>0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  <row r="32" spans="1:1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7" customWidth="1"/>
    <col min="5" max="6" width="2.33203125" style="96" bestFit="1" customWidth="1"/>
    <col min="7" max="8" width="8.83203125" style="97"/>
  </cols>
  <sheetData>
    <row r="1" spans="1:8" ht="70" x14ac:dyDescent="0.15">
      <c r="A1" s="5" t="s">
        <v>20</v>
      </c>
      <c r="B1" s="1" t="s">
        <v>0</v>
      </c>
      <c r="C1" s="151" t="s">
        <v>207</v>
      </c>
      <c r="D1" s="151" t="s">
        <v>208</v>
      </c>
      <c r="E1" s="151" t="s">
        <v>211</v>
      </c>
      <c r="F1" s="151" t="s">
        <v>212</v>
      </c>
      <c r="G1"/>
      <c r="H1"/>
    </row>
    <row r="2" spans="1:8" x14ac:dyDescent="0.15">
      <c r="A2">
        <v>1</v>
      </c>
      <c r="B2" s="150" t="s">
        <v>192</v>
      </c>
      <c r="C2" s="97">
        <v>1</v>
      </c>
      <c r="D2" s="97">
        <v>0</v>
      </c>
      <c r="E2" s="96">
        <v>0</v>
      </c>
      <c r="F2" s="96">
        <v>1</v>
      </c>
      <c r="G2"/>
      <c r="H2"/>
    </row>
    <row r="3" spans="1:8" x14ac:dyDescent="0.15">
      <c r="A3">
        <v>2</v>
      </c>
      <c r="B3" s="150" t="s">
        <v>193</v>
      </c>
      <c r="C3" s="97">
        <v>1</v>
      </c>
      <c r="D3" s="97">
        <v>0</v>
      </c>
      <c r="E3" s="96">
        <v>0</v>
      </c>
      <c r="F3" s="96">
        <v>1</v>
      </c>
      <c r="G3"/>
      <c r="H3"/>
    </row>
    <row r="4" spans="1:8" x14ac:dyDescent="0.15">
      <c r="A4">
        <v>3</v>
      </c>
      <c r="B4" s="150" t="s">
        <v>194</v>
      </c>
      <c r="C4" s="97">
        <v>1</v>
      </c>
      <c r="D4" s="97">
        <v>0</v>
      </c>
      <c r="E4" s="96">
        <v>0</v>
      </c>
      <c r="F4" s="96">
        <v>1</v>
      </c>
      <c r="G4"/>
      <c r="H4"/>
    </row>
    <row r="5" spans="1:8" x14ac:dyDescent="0.15">
      <c r="A5">
        <v>4</v>
      </c>
      <c r="B5" s="150" t="s">
        <v>195</v>
      </c>
      <c r="C5" s="97">
        <v>1</v>
      </c>
      <c r="D5" s="97">
        <v>0</v>
      </c>
      <c r="E5" s="96">
        <v>0</v>
      </c>
      <c r="F5" s="96">
        <v>1</v>
      </c>
      <c r="G5"/>
      <c r="H5"/>
    </row>
    <row r="6" spans="1:8" x14ac:dyDescent="0.15">
      <c r="A6">
        <v>5</v>
      </c>
      <c r="B6" s="150" t="s">
        <v>196</v>
      </c>
      <c r="C6" s="97">
        <v>1</v>
      </c>
      <c r="D6" s="97">
        <v>0</v>
      </c>
      <c r="E6" s="96">
        <v>0</v>
      </c>
      <c r="F6" s="96">
        <v>1</v>
      </c>
      <c r="G6"/>
      <c r="H6"/>
    </row>
    <row r="7" spans="1:8" x14ac:dyDescent="0.15">
      <c r="A7">
        <v>6</v>
      </c>
      <c r="B7" s="150" t="s">
        <v>197</v>
      </c>
      <c r="C7" s="97">
        <v>1</v>
      </c>
      <c r="D7" s="97">
        <v>0</v>
      </c>
      <c r="E7" s="96">
        <v>0</v>
      </c>
      <c r="F7" s="96">
        <v>1</v>
      </c>
      <c r="G7"/>
      <c r="H7"/>
    </row>
    <row r="8" spans="1:8" x14ac:dyDescent="0.15">
      <c r="A8">
        <v>7</v>
      </c>
      <c r="B8" s="150" t="s">
        <v>198</v>
      </c>
      <c r="C8" s="97">
        <v>1</v>
      </c>
      <c r="D8" s="97">
        <v>0</v>
      </c>
      <c r="E8" s="96">
        <v>0</v>
      </c>
      <c r="F8" s="96">
        <v>1</v>
      </c>
      <c r="G8"/>
      <c r="H8"/>
    </row>
    <row r="9" spans="1:8" x14ac:dyDescent="0.15">
      <c r="A9">
        <v>8</v>
      </c>
      <c r="B9" s="150" t="s">
        <v>199</v>
      </c>
      <c r="C9" s="97">
        <v>1</v>
      </c>
      <c r="D9" s="97">
        <v>0</v>
      </c>
      <c r="E9" s="96">
        <v>0</v>
      </c>
      <c r="F9" s="96">
        <v>1</v>
      </c>
      <c r="G9"/>
      <c r="H9"/>
    </row>
    <row r="10" spans="1:8" x14ac:dyDescent="0.15">
      <c r="A10">
        <v>9</v>
      </c>
      <c r="B10" s="150" t="s">
        <v>200</v>
      </c>
      <c r="C10" s="97">
        <v>1</v>
      </c>
      <c r="D10" s="97">
        <v>0</v>
      </c>
      <c r="E10" s="96">
        <v>0</v>
      </c>
      <c r="F10" s="96">
        <v>1</v>
      </c>
      <c r="G10"/>
      <c r="H10"/>
    </row>
    <row r="11" spans="1:8" x14ac:dyDescent="0.15">
      <c r="A11">
        <v>10</v>
      </c>
      <c r="B11" s="150" t="s">
        <v>201</v>
      </c>
      <c r="C11" s="97">
        <v>1</v>
      </c>
      <c r="D11" s="97">
        <v>0</v>
      </c>
      <c r="E11" s="96">
        <v>0</v>
      </c>
      <c r="F11" s="96">
        <v>1</v>
      </c>
      <c r="G11"/>
      <c r="H11"/>
    </row>
    <row r="12" spans="1:8" x14ac:dyDescent="0.15">
      <c r="A12">
        <v>11</v>
      </c>
      <c r="B12" s="150" t="s">
        <v>202</v>
      </c>
      <c r="C12" s="97">
        <v>1</v>
      </c>
      <c r="D12" s="97">
        <v>0</v>
      </c>
      <c r="E12" s="96">
        <v>0</v>
      </c>
      <c r="F12" s="96">
        <v>1</v>
      </c>
      <c r="G12"/>
      <c r="H12"/>
    </row>
    <row r="13" spans="1:8" x14ac:dyDescent="0.15">
      <c r="A13">
        <v>12</v>
      </c>
      <c r="B13" s="150" t="s">
        <v>203</v>
      </c>
      <c r="C13" s="97">
        <v>1</v>
      </c>
      <c r="D13" s="97">
        <v>0</v>
      </c>
      <c r="E13" s="96">
        <v>0</v>
      </c>
      <c r="F13" s="96">
        <v>1</v>
      </c>
      <c r="G13"/>
      <c r="H13"/>
    </row>
    <row r="14" spans="1:8" x14ac:dyDescent="0.15">
      <c r="A14">
        <v>13</v>
      </c>
      <c r="B14" s="150" t="s">
        <v>204</v>
      </c>
      <c r="C14" s="97">
        <v>1</v>
      </c>
      <c r="D14" s="97">
        <v>0</v>
      </c>
      <c r="E14" s="96">
        <v>0</v>
      </c>
      <c r="F14" s="96">
        <v>1</v>
      </c>
      <c r="G14"/>
      <c r="H14"/>
    </row>
    <row r="15" spans="1:8" x14ac:dyDescent="0.15">
      <c r="A15">
        <v>14</v>
      </c>
      <c r="B15" s="150" t="s">
        <v>205</v>
      </c>
      <c r="C15" s="97">
        <v>1</v>
      </c>
      <c r="D15" s="97">
        <v>0</v>
      </c>
      <c r="E15" s="96">
        <v>0</v>
      </c>
      <c r="F15" s="96">
        <v>1</v>
      </c>
      <c r="G15"/>
      <c r="H15"/>
    </row>
    <row r="16" spans="1:8" x14ac:dyDescent="0.15">
      <c r="A16">
        <v>15</v>
      </c>
      <c r="B16" s="150" t="s">
        <v>206</v>
      </c>
      <c r="C16" s="97">
        <v>1</v>
      </c>
      <c r="D16" s="97">
        <v>0</v>
      </c>
      <c r="E16" s="96">
        <v>0</v>
      </c>
      <c r="F16" s="96">
        <v>1</v>
      </c>
      <c r="G16"/>
      <c r="H16"/>
    </row>
    <row r="17" spans="1:8" ht="15" customHeight="1" x14ac:dyDescent="0.15">
      <c r="A17">
        <v>16</v>
      </c>
      <c r="B17" s="150" t="s">
        <v>207</v>
      </c>
      <c r="C17" s="97">
        <v>0</v>
      </c>
      <c r="D17" s="97">
        <v>1</v>
      </c>
      <c r="E17" s="96">
        <v>0</v>
      </c>
      <c r="F17" s="96">
        <v>1</v>
      </c>
      <c r="G17"/>
      <c r="H17"/>
    </row>
    <row r="18" spans="1:8" ht="15" customHeight="1" x14ac:dyDescent="0.15">
      <c r="A18">
        <v>17</v>
      </c>
      <c r="B18" s="150" t="s">
        <v>208</v>
      </c>
      <c r="C18" s="97">
        <v>0</v>
      </c>
      <c r="D18" s="97">
        <v>0</v>
      </c>
      <c r="E18" s="96">
        <v>1</v>
      </c>
      <c r="F18" s="96">
        <v>1</v>
      </c>
      <c r="G18"/>
      <c r="H18"/>
    </row>
    <row r="19" spans="1:8" ht="15" customHeight="1" x14ac:dyDescent="0.15">
      <c r="A19">
        <v>18</v>
      </c>
      <c r="B19" s="150" t="s">
        <v>209</v>
      </c>
      <c r="C19" s="97">
        <v>0</v>
      </c>
      <c r="D19" s="97">
        <v>1</v>
      </c>
      <c r="E19" s="96">
        <v>0</v>
      </c>
      <c r="F19" s="96">
        <v>1</v>
      </c>
      <c r="G19"/>
      <c r="H19"/>
    </row>
    <row r="20" spans="1:8" ht="15" customHeight="1" x14ac:dyDescent="0.15">
      <c r="C20"/>
      <c r="D20"/>
      <c r="E20"/>
      <c r="F20"/>
      <c r="G20"/>
      <c r="H20"/>
    </row>
    <row r="21" spans="1:8" ht="15" customHeight="1" x14ac:dyDescent="0.15">
      <c r="C21"/>
      <c r="D21"/>
      <c r="E21"/>
      <c r="F21"/>
      <c r="G21"/>
      <c r="H21"/>
    </row>
    <row r="22" spans="1:8" ht="15" customHeight="1" x14ac:dyDescent="0.15">
      <c r="C22"/>
      <c r="D22"/>
      <c r="E22"/>
      <c r="F22"/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7"/>
      <c r="F36" s="97"/>
      <c r="G36"/>
      <c r="H36"/>
    </row>
    <row r="37" spans="3:8" ht="15" customHeight="1" x14ac:dyDescent="0.15">
      <c r="C37"/>
      <c r="D37"/>
      <c r="E37" s="97"/>
      <c r="F37" s="97"/>
      <c r="G37"/>
      <c r="H37"/>
    </row>
    <row r="38" spans="3:8" ht="15" customHeight="1" x14ac:dyDescent="0.15">
      <c r="C38"/>
      <c r="D38"/>
      <c r="E38" s="97"/>
      <c r="F38" s="97"/>
      <c r="G38"/>
      <c r="H38"/>
    </row>
    <row r="39" spans="3:8" ht="15" customHeight="1" x14ac:dyDescent="0.15">
      <c r="C39"/>
      <c r="D39"/>
      <c r="E39" s="97"/>
      <c r="F39" s="97"/>
      <c r="G39"/>
      <c r="H39"/>
    </row>
    <row r="40" spans="3:8" ht="15" customHeight="1" x14ac:dyDescent="0.15">
      <c r="C40"/>
      <c r="D40"/>
      <c r="E40" s="97"/>
      <c r="F40" s="97"/>
      <c r="G40"/>
      <c r="H40"/>
    </row>
    <row r="41" spans="3:8" ht="15" customHeight="1" x14ac:dyDescent="0.15">
      <c r="C41"/>
      <c r="D41"/>
      <c r="E41" s="97"/>
      <c r="F41" s="97"/>
      <c r="G41"/>
      <c r="H41"/>
    </row>
    <row r="42" spans="3:8" ht="15" customHeight="1" x14ac:dyDescent="0.15">
      <c r="C42"/>
      <c r="D42"/>
      <c r="E42" s="97"/>
      <c r="F42" s="97"/>
      <c r="G42"/>
      <c r="H42"/>
    </row>
    <row r="43" spans="3:8" ht="15" customHeight="1" x14ac:dyDescent="0.15">
      <c r="C43"/>
      <c r="D43"/>
      <c r="E43" s="97"/>
      <c r="F43" s="97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7"/>
      <c r="F46" s="97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4" width="5.83203125" bestFit="1" customWidth="1"/>
    <col min="5" max="5" width="12.1640625" bestFit="1" customWidth="1"/>
  </cols>
  <sheetData>
    <row r="1" spans="1:5" s="98" customFormat="1" ht="112" x14ac:dyDescent="0.15">
      <c r="A1" s="5" t="s">
        <v>21</v>
      </c>
      <c r="B1" s="3" t="s">
        <v>0</v>
      </c>
      <c r="C1" s="153" t="s">
        <v>209</v>
      </c>
      <c r="D1" s="153" t="s">
        <v>213</v>
      </c>
      <c r="E1"/>
    </row>
    <row r="2" spans="1:5" ht="15" customHeight="1" x14ac:dyDescent="0.15">
      <c r="A2">
        <v>1</v>
      </c>
      <c r="B2" s="152" t="s">
        <v>192</v>
      </c>
      <c r="C2">
        <v>1.7000000000000001E-2</v>
      </c>
      <c r="D2">
        <v>1.7000000000000001E-2</v>
      </c>
    </row>
    <row r="3" spans="1:5" ht="15" customHeight="1" x14ac:dyDescent="0.15">
      <c r="A3">
        <v>2</v>
      </c>
      <c r="B3" s="152" t="s">
        <v>193</v>
      </c>
      <c r="C3">
        <v>0.183</v>
      </c>
      <c r="D3">
        <v>0.183</v>
      </c>
    </row>
    <row r="4" spans="1:5" ht="15" customHeight="1" x14ac:dyDescent="0.15">
      <c r="A4">
        <v>3</v>
      </c>
      <c r="B4" s="152" t="s">
        <v>194</v>
      </c>
      <c r="C4">
        <v>0.17499999999999999</v>
      </c>
      <c r="D4">
        <v>0.17499999999999999</v>
      </c>
    </row>
    <row r="5" spans="1:5" ht="15" customHeight="1" x14ac:dyDescent="0.15">
      <c r="A5">
        <v>4</v>
      </c>
      <c r="B5" s="152" t="s">
        <v>195</v>
      </c>
      <c r="C5">
        <v>0.307</v>
      </c>
      <c r="D5">
        <v>0.307</v>
      </c>
    </row>
    <row r="6" spans="1:5" ht="15" customHeight="1" x14ac:dyDescent="0.15">
      <c r="A6">
        <v>5</v>
      </c>
      <c r="B6" s="152" t="s">
        <v>196</v>
      </c>
      <c r="C6">
        <v>0.02</v>
      </c>
      <c r="D6">
        <v>0.02</v>
      </c>
    </row>
    <row r="7" spans="1:5" ht="15" customHeight="1" x14ac:dyDescent="0.15">
      <c r="A7">
        <v>6</v>
      </c>
      <c r="B7" s="152" t="s">
        <v>197</v>
      </c>
      <c r="C7">
        <v>5.2999999999999999E-2</v>
      </c>
      <c r="D7">
        <v>5.2999999999999999E-2</v>
      </c>
    </row>
    <row r="8" spans="1:5" ht="15" customHeight="1" x14ac:dyDescent="0.15">
      <c r="A8">
        <v>7</v>
      </c>
      <c r="B8" s="152" t="s">
        <v>198</v>
      </c>
      <c r="C8">
        <v>0.83299999999999996</v>
      </c>
      <c r="D8">
        <v>0.83299999999999996</v>
      </c>
    </row>
    <row r="9" spans="1:5" ht="15" customHeight="1" x14ac:dyDescent="0.15">
      <c r="A9">
        <v>8</v>
      </c>
      <c r="B9" s="152" t="s">
        <v>199</v>
      </c>
      <c r="C9">
        <v>7.1999999999999995E-2</v>
      </c>
      <c r="D9">
        <v>7.1999999999999995E-2</v>
      </c>
    </row>
    <row r="10" spans="1:5" ht="15" customHeight="1" x14ac:dyDescent="0.15">
      <c r="A10">
        <v>9</v>
      </c>
      <c r="B10" s="152" t="s">
        <v>200</v>
      </c>
      <c r="C10">
        <v>0.128</v>
      </c>
      <c r="D10">
        <v>0.128</v>
      </c>
    </row>
    <row r="11" spans="1:5" ht="15" customHeight="1" x14ac:dyDescent="0.15">
      <c r="A11">
        <v>10</v>
      </c>
      <c r="B11" s="152" t="s">
        <v>201</v>
      </c>
      <c r="C11">
        <v>9.2999999999999999E-2</v>
      </c>
      <c r="D11">
        <v>9.2999999999999999E-2</v>
      </c>
    </row>
    <row r="12" spans="1:5" ht="15" customHeight="1" x14ac:dyDescent="0.15">
      <c r="A12">
        <v>11</v>
      </c>
      <c r="B12" s="152" t="s">
        <v>202</v>
      </c>
      <c r="C12">
        <v>2.6669999999999998</v>
      </c>
      <c r="D12">
        <v>2.6669999999999998</v>
      </c>
    </row>
    <row r="13" spans="1:5" ht="15" customHeight="1" x14ac:dyDescent="0.15">
      <c r="A13">
        <v>12</v>
      </c>
      <c r="B13" s="152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52" t="s">
        <v>204</v>
      </c>
      <c r="C14">
        <v>0.68</v>
      </c>
      <c r="D14">
        <v>0.68</v>
      </c>
    </row>
    <row r="15" spans="1:5" ht="15" customHeight="1" x14ac:dyDescent="0.15">
      <c r="A15">
        <v>14</v>
      </c>
      <c r="B15" s="152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52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52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52" t="s">
        <v>208</v>
      </c>
      <c r="C18">
        <v>0</v>
      </c>
      <c r="D18">
        <v>0</v>
      </c>
    </row>
    <row r="19" spans="1:4" ht="15" customHeight="1" x14ac:dyDescent="0.15"/>
    <row r="20" spans="1:4" ht="15" customHeight="1" x14ac:dyDescent="0.15"/>
    <row r="21" spans="1:4" ht="15" customHeight="1" x14ac:dyDescent="0.15"/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4" width="2.33203125" bestFit="1" customWidth="1"/>
    <col min="5" max="5" width="12.1640625" bestFit="1" customWidth="1"/>
  </cols>
  <sheetData>
    <row r="1" spans="1:4" s="98" customFormat="1" ht="112" x14ac:dyDescent="0.15">
      <c r="A1" s="5" t="s">
        <v>22</v>
      </c>
      <c r="B1" s="3" t="s">
        <v>0</v>
      </c>
      <c r="C1" s="155" t="s">
        <v>209</v>
      </c>
      <c r="D1" s="155" t="s">
        <v>213</v>
      </c>
    </row>
    <row r="2" spans="1:4" x14ac:dyDescent="0.15">
      <c r="A2">
        <v>1</v>
      </c>
      <c r="B2" s="154" t="s">
        <v>192</v>
      </c>
      <c r="C2">
        <v>0</v>
      </c>
      <c r="D2">
        <v>0</v>
      </c>
    </row>
    <row r="3" spans="1:4" x14ac:dyDescent="0.15">
      <c r="A3">
        <v>2</v>
      </c>
      <c r="B3" s="154" t="s">
        <v>193</v>
      </c>
      <c r="C3">
        <v>0</v>
      </c>
      <c r="D3">
        <v>0</v>
      </c>
    </row>
    <row r="4" spans="1:4" x14ac:dyDescent="0.15">
      <c r="A4">
        <v>3</v>
      </c>
      <c r="B4" s="154" t="s">
        <v>194</v>
      </c>
      <c r="C4">
        <v>0</v>
      </c>
      <c r="D4">
        <v>0</v>
      </c>
    </row>
    <row r="5" spans="1:4" x14ac:dyDescent="0.15">
      <c r="A5">
        <v>4</v>
      </c>
      <c r="B5" s="154" t="s">
        <v>195</v>
      </c>
      <c r="C5">
        <v>0</v>
      </c>
      <c r="D5">
        <v>0</v>
      </c>
    </row>
    <row r="6" spans="1:4" x14ac:dyDescent="0.15">
      <c r="A6">
        <v>5</v>
      </c>
      <c r="B6" s="154" t="s">
        <v>196</v>
      </c>
      <c r="C6">
        <v>0</v>
      </c>
      <c r="D6">
        <v>0</v>
      </c>
    </row>
    <row r="7" spans="1:4" x14ac:dyDescent="0.15">
      <c r="A7">
        <v>6</v>
      </c>
      <c r="B7" s="154" t="s">
        <v>197</v>
      </c>
      <c r="C7">
        <v>0</v>
      </c>
      <c r="D7">
        <v>0</v>
      </c>
    </row>
    <row r="8" spans="1:4" x14ac:dyDescent="0.15">
      <c r="A8">
        <v>7</v>
      </c>
      <c r="B8" s="154" t="s">
        <v>198</v>
      </c>
      <c r="C8">
        <v>0</v>
      </c>
      <c r="D8">
        <v>0</v>
      </c>
    </row>
    <row r="9" spans="1:4" x14ac:dyDescent="0.15">
      <c r="A9">
        <v>8</v>
      </c>
      <c r="B9" s="154" t="s">
        <v>199</v>
      </c>
      <c r="C9">
        <v>0</v>
      </c>
      <c r="D9">
        <v>0</v>
      </c>
    </row>
    <row r="10" spans="1:4" x14ac:dyDescent="0.15">
      <c r="A10">
        <v>9</v>
      </c>
      <c r="B10" s="154" t="s">
        <v>200</v>
      </c>
      <c r="C10">
        <v>0</v>
      </c>
      <c r="D10">
        <v>0</v>
      </c>
    </row>
    <row r="11" spans="1:4" x14ac:dyDescent="0.15">
      <c r="A11">
        <v>10</v>
      </c>
      <c r="B11" s="154" t="s">
        <v>201</v>
      </c>
      <c r="C11">
        <v>0</v>
      </c>
      <c r="D11">
        <v>0</v>
      </c>
    </row>
    <row r="12" spans="1:4" x14ac:dyDescent="0.15">
      <c r="A12">
        <v>11</v>
      </c>
      <c r="B12" s="154" t="s">
        <v>202</v>
      </c>
      <c r="C12">
        <v>0</v>
      </c>
      <c r="D12">
        <v>0</v>
      </c>
    </row>
    <row r="13" spans="1:4" x14ac:dyDescent="0.15">
      <c r="A13">
        <v>12</v>
      </c>
      <c r="B13" s="154" t="s">
        <v>203</v>
      </c>
      <c r="C13">
        <v>0</v>
      </c>
      <c r="D13">
        <v>0</v>
      </c>
    </row>
    <row r="14" spans="1:4" x14ac:dyDescent="0.15">
      <c r="A14">
        <v>13</v>
      </c>
      <c r="B14" s="154" t="s">
        <v>204</v>
      </c>
      <c r="C14">
        <v>0</v>
      </c>
      <c r="D14">
        <v>0</v>
      </c>
    </row>
    <row r="15" spans="1:4" x14ac:dyDescent="0.15">
      <c r="A15">
        <v>14</v>
      </c>
      <c r="B15" s="154" t="s">
        <v>205</v>
      </c>
      <c r="C15">
        <v>0</v>
      </c>
      <c r="D15">
        <v>0</v>
      </c>
    </row>
    <row r="16" spans="1:4" x14ac:dyDescent="0.15">
      <c r="A16">
        <v>15</v>
      </c>
      <c r="B16" s="154" t="s">
        <v>206</v>
      </c>
      <c r="C16">
        <v>0</v>
      </c>
      <c r="D16">
        <v>0</v>
      </c>
    </row>
    <row r="17" spans="1:4" x14ac:dyDescent="0.15">
      <c r="A17">
        <v>16</v>
      </c>
      <c r="B17" s="154" t="s">
        <v>207</v>
      </c>
      <c r="C17">
        <v>0</v>
      </c>
      <c r="D17">
        <v>0</v>
      </c>
    </row>
    <row r="18" spans="1:4" x14ac:dyDescent="0.15">
      <c r="A18">
        <v>17</v>
      </c>
      <c r="B18" s="154" t="s">
        <v>208</v>
      </c>
      <c r="C18">
        <v>0</v>
      </c>
      <c r="D1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83203125" bestFit="1" customWidth="1"/>
    <col min="6" max="6" width="4.83203125" bestFit="1" customWidth="1"/>
    <col min="7" max="9" width="3.83203125" bestFit="1" customWidth="1"/>
    <col min="10" max="11" width="4.83203125" style="9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9" customFormat="1" ht="14" thickBot="1" x14ac:dyDescent="0.2">
      <c r="D1" s="100" t="s">
        <v>8</v>
      </c>
      <c r="E1" s="100" t="s">
        <v>0</v>
      </c>
      <c r="F1" s="101" t="s">
        <v>99</v>
      </c>
      <c r="G1" s="102" t="s">
        <v>84</v>
      </c>
      <c r="H1" s="102" t="s">
        <v>85</v>
      </c>
      <c r="I1" s="102" t="s">
        <v>86</v>
      </c>
      <c r="J1" s="102" t="s">
        <v>87</v>
      </c>
      <c r="K1" s="102" t="s">
        <v>88</v>
      </c>
      <c r="L1" s="103" t="s">
        <v>89</v>
      </c>
      <c r="M1" s="103" t="s">
        <v>93</v>
      </c>
      <c r="N1" s="103" t="s">
        <v>92</v>
      </c>
      <c r="O1" s="103" t="s">
        <v>90</v>
      </c>
      <c r="P1" s="103" t="s">
        <v>91</v>
      </c>
      <c r="Q1" s="104" t="s">
        <v>94</v>
      </c>
      <c r="R1" s="104" t="s">
        <v>95</v>
      </c>
      <c r="S1" s="104" t="s">
        <v>96</v>
      </c>
      <c r="T1" s="104" t="s">
        <v>97</v>
      </c>
      <c r="U1" s="104" t="s">
        <v>98</v>
      </c>
      <c r="V1" s="102" t="s">
        <v>100</v>
      </c>
      <c r="W1" s="102" t="s">
        <v>101</v>
      </c>
      <c r="X1" s="102" t="s">
        <v>102</v>
      </c>
      <c r="Y1" s="102" t="s">
        <v>134</v>
      </c>
      <c r="Z1" s="103" t="s">
        <v>103</v>
      </c>
      <c r="AA1" s="103" t="s">
        <v>104</v>
      </c>
      <c r="AB1" s="103" t="s">
        <v>105</v>
      </c>
      <c r="AC1" s="105" t="s">
        <v>135</v>
      </c>
      <c r="AD1" s="104" t="s">
        <v>106</v>
      </c>
      <c r="AE1" s="104" t="s">
        <v>107</v>
      </c>
      <c r="AF1" s="104" t="s">
        <v>108</v>
      </c>
      <c r="AG1" s="104" t="s">
        <v>136</v>
      </c>
      <c r="AH1" s="102" t="s">
        <v>109</v>
      </c>
      <c r="AI1" s="102" t="s">
        <v>111</v>
      </c>
      <c r="AJ1" s="102" t="s">
        <v>110</v>
      </c>
      <c r="AK1" s="103" t="s">
        <v>115</v>
      </c>
      <c r="AL1" s="103" t="s">
        <v>116</v>
      </c>
      <c r="AM1" s="103" t="s">
        <v>117</v>
      </c>
      <c r="AN1" s="104" t="s">
        <v>112</v>
      </c>
      <c r="AO1" s="104" t="s">
        <v>113</v>
      </c>
      <c r="AP1" s="104" t="s">
        <v>114</v>
      </c>
    </row>
    <row r="2" spans="1:42" x14ac:dyDescent="0.15">
      <c r="A2" s="106" t="s">
        <v>74</v>
      </c>
      <c r="B2" s="107">
        <v>1</v>
      </c>
      <c r="D2">
        <v>1</v>
      </c>
      <c r="E2" s="156" t="s">
        <v>192</v>
      </c>
      <c r="F2">
        <v>0.98</v>
      </c>
      <c r="G2">
        <v>0.8</v>
      </c>
      <c r="H2">
        <v>0.8</v>
      </c>
      <c r="I2">
        <v>0.8</v>
      </c>
      <c r="J2" s="97">
        <v>0.25</v>
      </c>
      <c r="K2" s="97">
        <v>0.05</v>
      </c>
    </row>
    <row r="3" spans="1:42" x14ac:dyDescent="0.15">
      <c r="A3" s="106" t="s">
        <v>75</v>
      </c>
      <c r="B3" s="108">
        <v>1</v>
      </c>
      <c r="D3">
        <v>2</v>
      </c>
      <c r="E3" s="156" t="s">
        <v>193</v>
      </c>
      <c r="F3">
        <v>0.98</v>
      </c>
      <c r="G3">
        <v>0.8</v>
      </c>
      <c r="H3">
        <v>0.8</v>
      </c>
      <c r="I3">
        <v>0.8</v>
      </c>
      <c r="J3" s="97">
        <v>0.25</v>
      </c>
      <c r="K3" s="97">
        <v>0.05</v>
      </c>
    </row>
    <row r="4" spans="1:42" x14ac:dyDescent="0.15">
      <c r="A4" s="106" t="s">
        <v>76</v>
      </c>
      <c r="B4" s="108">
        <v>1</v>
      </c>
      <c r="D4">
        <v>3</v>
      </c>
      <c r="E4" s="156" t="s">
        <v>194</v>
      </c>
      <c r="F4">
        <v>0.98</v>
      </c>
      <c r="G4">
        <v>0.8</v>
      </c>
      <c r="H4">
        <v>0.8</v>
      </c>
      <c r="I4">
        <v>0.8</v>
      </c>
      <c r="J4" s="97">
        <v>0.25</v>
      </c>
      <c r="K4" s="97">
        <v>0.05</v>
      </c>
    </row>
    <row r="5" spans="1:42" x14ac:dyDescent="0.15">
      <c r="A5" s="106" t="s">
        <v>77</v>
      </c>
      <c r="B5" s="108">
        <v>1</v>
      </c>
      <c r="D5">
        <v>4</v>
      </c>
      <c r="E5" s="156" t="s">
        <v>195</v>
      </c>
      <c r="F5">
        <v>0.98</v>
      </c>
      <c r="G5">
        <v>0.8</v>
      </c>
      <c r="H5">
        <v>0.8</v>
      </c>
      <c r="I5">
        <v>0.8</v>
      </c>
      <c r="J5" s="97">
        <v>0.25</v>
      </c>
      <c r="K5" s="97">
        <v>0.05</v>
      </c>
    </row>
    <row r="6" spans="1:42" x14ac:dyDescent="0.15">
      <c r="A6" s="106" t="s">
        <v>78</v>
      </c>
      <c r="B6" s="108">
        <v>1</v>
      </c>
      <c r="D6">
        <v>5</v>
      </c>
      <c r="E6" s="156" t="s">
        <v>196</v>
      </c>
      <c r="F6">
        <v>0.98</v>
      </c>
      <c r="G6">
        <v>0.8</v>
      </c>
      <c r="H6">
        <v>0.8</v>
      </c>
      <c r="I6">
        <v>0.8</v>
      </c>
      <c r="J6" s="97">
        <v>0.25</v>
      </c>
      <c r="K6" s="97">
        <v>0.05</v>
      </c>
    </row>
    <row r="7" spans="1:42" x14ac:dyDescent="0.15">
      <c r="A7" s="106" t="s">
        <v>79</v>
      </c>
      <c r="B7" s="108">
        <v>1</v>
      </c>
      <c r="D7">
        <v>6</v>
      </c>
      <c r="E7" s="156" t="s">
        <v>197</v>
      </c>
      <c r="F7">
        <v>0.98</v>
      </c>
      <c r="G7">
        <v>0.8</v>
      </c>
      <c r="H7">
        <v>0.8</v>
      </c>
      <c r="I7">
        <v>0.8</v>
      </c>
      <c r="J7" s="97">
        <v>0.25</v>
      </c>
      <c r="K7" s="97">
        <v>0.05</v>
      </c>
    </row>
    <row r="8" spans="1:42" x14ac:dyDescent="0.15">
      <c r="A8" s="106" t="s">
        <v>80</v>
      </c>
      <c r="B8" s="108">
        <v>1</v>
      </c>
      <c r="D8">
        <v>7</v>
      </c>
      <c r="E8" s="156" t="s">
        <v>198</v>
      </c>
      <c r="F8">
        <v>0.98</v>
      </c>
      <c r="G8">
        <v>0.8</v>
      </c>
      <c r="H8">
        <v>0.8</v>
      </c>
      <c r="I8">
        <v>0.8</v>
      </c>
      <c r="J8" s="97">
        <v>0.25</v>
      </c>
      <c r="K8" s="97">
        <v>0.05</v>
      </c>
    </row>
    <row r="9" spans="1:42" x14ac:dyDescent="0.15">
      <c r="A9" s="106" t="s">
        <v>81</v>
      </c>
      <c r="B9" s="108">
        <v>0.1</v>
      </c>
      <c r="C9" s="54" t="s">
        <v>150</v>
      </c>
      <c r="D9">
        <v>8</v>
      </c>
      <c r="E9" s="156" t="s">
        <v>199</v>
      </c>
      <c r="F9">
        <v>0.98</v>
      </c>
      <c r="G9">
        <v>0.8</v>
      </c>
      <c r="H9">
        <v>0.8</v>
      </c>
      <c r="I9">
        <v>0.8</v>
      </c>
      <c r="J9" s="97">
        <v>0.25</v>
      </c>
      <c r="K9" s="97">
        <v>0.05</v>
      </c>
    </row>
    <row r="10" spans="1:42" ht="14" thickBot="1" x14ac:dyDescent="0.2">
      <c r="A10" s="106" t="s">
        <v>149</v>
      </c>
      <c r="B10" s="109">
        <f>1/3</f>
        <v>0.33333333333333331</v>
      </c>
      <c r="C10" s="54" t="s">
        <v>150</v>
      </c>
      <c r="D10">
        <v>9</v>
      </c>
      <c r="E10" s="156" t="s">
        <v>200</v>
      </c>
      <c r="F10">
        <v>0.98</v>
      </c>
      <c r="G10">
        <v>0.8</v>
      </c>
      <c r="H10">
        <v>0.8</v>
      </c>
      <c r="I10">
        <v>0.8</v>
      </c>
      <c r="J10" s="97">
        <v>0.25</v>
      </c>
      <c r="K10" s="97">
        <v>0.05</v>
      </c>
    </row>
    <row r="11" spans="1:42" x14ac:dyDescent="0.15">
      <c r="D11">
        <v>10</v>
      </c>
      <c r="E11" s="156" t="s">
        <v>201</v>
      </c>
      <c r="F11">
        <v>0.98</v>
      </c>
      <c r="G11">
        <v>0.8</v>
      </c>
      <c r="H11">
        <v>0.8</v>
      </c>
      <c r="I11">
        <v>0.8</v>
      </c>
      <c r="J11" s="97">
        <v>0.25</v>
      </c>
      <c r="K11" s="97">
        <v>0.05</v>
      </c>
    </row>
    <row r="12" spans="1:42" x14ac:dyDescent="0.15">
      <c r="D12">
        <v>11</v>
      </c>
      <c r="E12" s="156" t="s">
        <v>202</v>
      </c>
      <c r="F12">
        <v>0.98</v>
      </c>
      <c r="G12">
        <v>0.8</v>
      </c>
      <c r="H12">
        <v>0.8</v>
      </c>
      <c r="I12">
        <v>0.8</v>
      </c>
      <c r="J12" s="97">
        <v>0.25</v>
      </c>
      <c r="K12" s="97">
        <v>0.05</v>
      </c>
    </row>
    <row r="13" spans="1:42" x14ac:dyDescent="0.15">
      <c r="D13">
        <v>12</v>
      </c>
      <c r="E13" s="156" t="s">
        <v>203</v>
      </c>
      <c r="F13">
        <v>0.98</v>
      </c>
      <c r="G13">
        <v>0.8</v>
      </c>
      <c r="H13">
        <v>0.8</v>
      </c>
      <c r="I13">
        <v>0.8</v>
      </c>
      <c r="J13" s="97">
        <v>0.25</v>
      </c>
      <c r="K13" s="97">
        <v>0.05</v>
      </c>
    </row>
    <row r="14" spans="1:42" x14ac:dyDescent="0.15">
      <c r="D14">
        <v>13</v>
      </c>
      <c r="E14" s="156" t="s">
        <v>204</v>
      </c>
      <c r="F14">
        <v>0.98</v>
      </c>
      <c r="G14">
        <v>0.8</v>
      </c>
      <c r="H14">
        <v>0.8</v>
      </c>
      <c r="I14">
        <v>0.8</v>
      </c>
      <c r="J14" s="97">
        <v>0.25</v>
      </c>
      <c r="K14" s="97">
        <v>0.05</v>
      </c>
    </row>
    <row r="15" spans="1:42" x14ac:dyDescent="0.15">
      <c r="D15">
        <v>14</v>
      </c>
      <c r="E15" s="156" t="s">
        <v>205</v>
      </c>
      <c r="F15">
        <v>0.98</v>
      </c>
      <c r="G15">
        <v>0.8</v>
      </c>
      <c r="H15">
        <v>0.8</v>
      </c>
      <c r="I15">
        <v>0</v>
      </c>
      <c r="J15" s="97">
        <v>0</v>
      </c>
      <c r="K15" s="97">
        <v>0</v>
      </c>
    </row>
    <row r="16" spans="1:42" x14ac:dyDescent="0.15">
      <c r="D16">
        <v>15</v>
      </c>
      <c r="E16" s="156" t="s">
        <v>206</v>
      </c>
      <c r="F16">
        <v>0.98</v>
      </c>
      <c r="G16">
        <v>0.8</v>
      </c>
      <c r="H16">
        <v>0.8</v>
      </c>
      <c r="I16">
        <v>0</v>
      </c>
      <c r="J16" s="97">
        <v>0</v>
      </c>
      <c r="K16" s="97">
        <v>0</v>
      </c>
    </row>
    <row r="17" spans="4:33" ht="15" customHeight="1" x14ac:dyDescent="0.15">
      <c r="D17">
        <v>16</v>
      </c>
      <c r="E17" s="156" t="s">
        <v>207</v>
      </c>
      <c r="F17">
        <v>0.98</v>
      </c>
      <c r="G17">
        <v>0.8</v>
      </c>
      <c r="H17">
        <v>0</v>
      </c>
      <c r="I17">
        <v>0</v>
      </c>
      <c r="J17" s="97">
        <v>0</v>
      </c>
      <c r="K17" s="97">
        <v>0</v>
      </c>
    </row>
    <row r="18" spans="4:33" ht="15" customHeight="1" x14ac:dyDescent="0.15">
      <c r="D18">
        <v>17</v>
      </c>
      <c r="E18" s="156" t="s">
        <v>208</v>
      </c>
      <c r="F18">
        <v>0.98</v>
      </c>
      <c r="G18">
        <v>0.8</v>
      </c>
      <c r="H18">
        <v>0</v>
      </c>
      <c r="I18">
        <v>0</v>
      </c>
      <c r="J18" s="97">
        <v>0</v>
      </c>
      <c r="K18" s="97">
        <v>0</v>
      </c>
    </row>
    <row r="19" spans="4:33" ht="15" customHeight="1" x14ac:dyDescent="0.15">
      <c r="J19"/>
      <c r="K19"/>
    </row>
    <row r="20" spans="4:33" ht="15" customHeight="1" x14ac:dyDescent="0.15">
      <c r="J20"/>
      <c r="K20"/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4" bestFit="1" customWidth="1"/>
    <col min="2" max="14" width="3.83203125" style="94" customWidth="1"/>
    <col min="15" max="18" width="2.33203125" style="94" customWidth="1"/>
    <col min="19" max="16384" width="10.83203125" style="94"/>
  </cols>
  <sheetData>
    <row r="1" spans="1:30" x14ac:dyDescent="0.15">
      <c r="A1" s="56" t="s">
        <v>118</v>
      </c>
      <c r="B1" s="158" t="s">
        <v>192</v>
      </c>
      <c r="C1" s="158" t="s">
        <v>193</v>
      </c>
      <c r="D1" s="158" t="s">
        <v>194</v>
      </c>
      <c r="E1" s="158" t="s">
        <v>195</v>
      </c>
      <c r="F1" s="158" t="s">
        <v>196</v>
      </c>
      <c r="G1" s="158" t="s">
        <v>197</v>
      </c>
      <c r="H1" s="158" t="s">
        <v>198</v>
      </c>
      <c r="I1" s="158" t="s">
        <v>199</v>
      </c>
      <c r="J1" s="158" t="s">
        <v>200</v>
      </c>
      <c r="K1" s="158" t="s">
        <v>201</v>
      </c>
      <c r="L1" s="158" t="s">
        <v>202</v>
      </c>
      <c r="M1" s="158" t="s">
        <v>203</v>
      </c>
      <c r="N1" s="158" t="s">
        <v>204</v>
      </c>
      <c r="O1" s="158" t="s">
        <v>205</v>
      </c>
      <c r="P1" s="158" t="s">
        <v>206</v>
      </c>
      <c r="Q1" s="158" t="s">
        <v>207</v>
      </c>
      <c r="R1" s="158" t="s">
        <v>208</v>
      </c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57" t="s">
        <v>192</v>
      </c>
      <c r="B2" s="94">
        <v>0.8</v>
      </c>
      <c r="C2" s="94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4">
        <v>0</v>
      </c>
      <c r="L2" s="94">
        <v>0</v>
      </c>
      <c r="M2" s="94">
        <v>0</v>
      </c>
      <c r="N2" s="94">
        <v>0</v>
      </c>
      <c r="O2" s="94">
        <v>0</v>
      </c>
      <c r="P2" s="94">
        <v>0</v>
      </c>
      <c r="Q2" s="94">
        <v>0</v>
      </c>
      <c r="R2" s="94">
        <v>0</v>
      </c>
    </row>
    <row r="3" spans="1:30" customFormat="1" x14ac:dyDescent="0.15">
      <c r="A3" s="157" t="s">
        <v>193</v>
      </c>
      <c r="B3" s="94">
        <v>0.8</v>
      </c>
      <c r="C3" s="94">
        <v>0.8</v>
      </c>
      <c r="D3" s="94">
        <v>0</v>
      </c>
      <c r="E3" s="94">
        <v>0</v>
      </c>
      <c r="F3" s="94">
        <v>0</v>
      </c>
      <c r="G3" s="94">
        <v>0</v>
      </c>
      <c r="H3" s="94">
        <v>0</v>
      </c>
      <c r="I3" s="94">
        <v>0</v>
      </c>
      <c r="J3" s="94">
        <v>0</v>
      </c>
      <c r="K3" s="94">
        <v>0</v>
      </c>
      <c r="L3" s="94">
        <v>0</v>
      </c>
      <c r="M3" s="94">
        <v>0</v>
      </c>
      <c r="N3" s="94">
        <v>0</v>
      </c>
      <c r="O3" s="94">
        <v>0</v>
      </c>
      <c r="P3" s="94">
        <v>0</v>
      </c>
      <c r="Q3" s="94">
        <v>0</v>
      </c>
      <c r="R3" s="94">
        <v>0</v>
      </c>
    </row>
    <row r="4" spans="1:30" customFormat="1" x14ac:dyDescent="0.15">
      <c r="A4" s="157" t="s">
        <v>194</v>
      </c>
      <c r="B4" s="94">
        <v>0.8</v>
      </c>
      <c r="C4" s="94">
        <v>0.8</v>
      </c>
      <c r="D4" s="94">
        <v>0.8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4">
        <v>0</v>
      </c>
      <c r="L4" s="94">
        <v>0</v>
      </c>
      <c r="M4" s="94">
        <v>0</v>
      </c>
      <c r="N4" s="94">
        <v>0</v>
      </c>
      <c r="O4" s="94">
        <v>0</v>
      </c>
      <c r="P4" s="94">
        <v>0</v>
      </c>
      <c r="Q4" s="94">
        <v>0</v>
      </c>
      <c r="R4" s="94">
        <v>0</v>
      </c>
    </row>
    <row r="5" spans="1:30" customFormat="1" x14ac:dyDescent="0.15">
      <c r="A5" s="157" t="s">
        <v>195</v>
      </c>
      <c r="B5" s="94">
        <v>0.8</v>
      </c>
      <c r="C5" s="94">
        <v>0.8</v>
      </c>
      <c r="D5" s="94">
        <v>0.8</v>
      </c>
      <c r="E5" s="94">
        <v>0.8</v>
      </c>
      <c r="F5" s="94">
        <v>0</v>
      </c>
      <c r="G5" s="94">
        <v>0</v>
      </c>
      <c r="H5" s="94">
        <v>0</v>
      </c>
      <c r="I5" s="94">
        <v>0</v>
      </c>
      <c r="J5" s="94">
        <v>0</v>
      </c>
      <c r="K5" s="94">
        <v>0</v>
      </c>
      <c r="L5" s="94">
        <v>0</v>
      </c>
      <c r="M5" s="94">
        <v>0</v>
      </c>
      <c r="N5" s="94">
        <v>0</v>
      </c>
      <c r="O5" s="94">
        <v>0</v>
      </c>
      <c r="P5" s="94">
        <v>0</v>
      </c>
      <c r="Q5" s="94">
        <v>0</v>
      </c>
      <c r="R5" s="94">
        <v>0</v>
      </c>
    </row>
    <row r="6" spans="1:30" customFormat="1" x14ac:dyDescent="0.15">
      <c r="A6" s="157" t="s">
        <v>196</v>
      </c>
      <c r="B6" s="94">
        <v>0</v>
      </c>
      <c r="C6" s="94">
        <v>0.8</v>
      </c>
      <c r="D6" s="94">
        <v>0.8</v>
      </c>
      <c r="E6" s="94">
        <v>0</v>
      </c>
      <c r="F6" s="94">
        <v>0.8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</row>
    <row r="7" spans="1:30" customFormat="1" x14ac:dyDescent="0.15">
      <c r="A7" s="157" t="s">
        <v>197</v>
      </c>
      <c r="B7" s="94">
        <v>0</v>
      </c>
      <c r="C7" s="94">
        <v>0.8</v>
      </c>
      <c r="D7" s="94">
        <v>0.8</v>
      </c>
      <c r="E7" s="94">
        <v>0</v>
      </c>
      <c r="F7" s="94">
        <v>0</v>
      </c>
      <c r="G7" s="94">
        <v>0.8</v>
      </c>
      <c r="H7" s="94">
        <v>0</v>
      </c>
      <c r="I7" s="94">
        <v>0</v>
      </c>
      <c r="J7" s="94">
        <v>0.8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</row>
    <row r="8" spans="1:30" customFormat="1" x14ac:dyDescent="0.15">
      <c r="A8" s="157" t="s">
        <v>198</v>
      </c>
      <c r="B8" s="94">
        <v>0.8</v>
      </c>
      <c r="C8" s="94">
        <v>0.8</v>
      </c>
      <c r="D8" s="94">
        <v>0.8</v>
      </c>
      <c r="E8" s="94">
        <v>0</v>
      </c>
      <c r="F8" s="94">
        <v>0</v>
      </c>
      <c r="G8" s="94">
        <v>0</v>
      </c>
      <c r="H8" s="94">
        <v>0.8</v>
      </c>
      <c r="I8" s="94">
        <v>0.8</v>
      </c>
      <c r="J8" s="94">
        <v>0.8</v>
      </c>
      <c r="K8" s="94">
        <v>0.8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</row>
    <row r="9" spans="1:30" customFormat="1" x14ac:dyDescent="0.15">
      <c r="A9" s="157" t="s">
        <v>199</v>
      </c>
      <c r="B9" s="94">
        <v>0.8</v>
      </c>
      <c r="C9" s="94">
        <v>0.8</v>
      </c>
      <c r="D9" s="94">
        <v>0.8</v>
      </c>
      <c r="E9" s="94">
        <v>0</v>
      </c>
      <c r="F9" s="94">
        <v>0</v>
      </c>
      <c r="G9" s="94">
        <v>0</v>
      </c>
      <c r="H9" s="94">
        <v>0</v>
      </c>
      <c r="I9" s="94">
        <v>0</v>
      </c>
      <c r="J9" s="94">
        <v>0</v>
      </c>
      <c r="K9" s="94">
        <v>0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</row>
    <row r="10" spans="1:30" customFormat="1" x14ac:dyDescent="0.15">
      <c r="A10" s="157" t="s">
        <v>200</v>
      </c>
      <c r="B10" s="94">
        <v>0.8</v>
      </c>
      <c r="C10" s="94">
        <v>0.8</v>
      </c>
      <c r="D10" s="94">
        <v>0.8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</row>
    <row r="11" spans="1:30" customFormat="1" x14ac:dyDescent="0.15">
      <c r="A11" s="157" t="s">
        <v>201</v>
      </c>
      <c r="B11" s="94">
        <v>0.8</v>
      </c>
      <c r="C11" s="94">
        <v>0.8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4">
        <v>0</v>
      </c>
      <c r="J11" s="94">
        <v>0</v>
      </c>
      <c r="K11" s="94">
        <v>0</v>
      </c>
      <c r="L11" s="94">
        <v>0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</row>
    <row r="12" spans="1:30" customFormat="1" x14ac:dyDescent="0.15">
      <c r="A12" s="157" t="s">
        <v>202</v>
      </c>
      <c r="B12" s="94">
        <v>0.8</v>
      </c>
      <c r="C12" s="94">
        <v>0.8</v>
      </c>
      <c r="D12" s="94">
        <v>0.8</v>
      </c>
      <c r="E12" s="94">
        <v>0.8</v>
      </c>
      <c r="F12" s="94">
        <v>0.8</v>
      </c>
      <c r="G12" s="94">
        <v>0.8</v>
      </c>
      <c r="H12" s="94">
        <v>0.8</v>
      </c>
      <c r="I12" s="94">
        <v>0.8</v>
      </c>
      <c r="J12" s="94">
        <v>0.8</v>
      </c>
      <c r="K12" s="94">
        <v>0.8</v>
      </c>
      <c r="L12" s="94">
        <v>0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</row>
    <row r="13" spans="1:30" customFormat="1" x14ac:dyDescent="0.15">
      <c r="A13" s="157" t="s">
        <v>203</v>
      </c>
      <c r="B13" s="94">
        <v>0</v>
      </c>
      <c r="C13" s="94">
        <v>0</v>
      </c>
      <c r="D13" s="94">
        <v>0</v>
      </c>
      <c r="E13" s="94">
        <v>0.8</v>
      </c>
      <c r="F13" s="94">
        <v>0.8</v>
      </c>
      <c r="G13" s="94">
        <v>0.8</v>
      </c>
      <c r="H13" s="94">
        <v>0.8</v>
      </c>
      <c r="I13" s="94">
        <v>0.8</v>
      </c>
      <c r="J13" s="94">
        <v>0.8</v>
      </c>
      <c r="K13" s="94">
        <v>0.8</v>
      </c>
      <c r="L13" s="94">
        <v>0.8</v>
      </c>
      <c r="M13" s="94">
        <v>0.8</v>
      </c>
      <c r="N13" s="94">
        <v>0.8</v>
      </c>
      <c r="O13" s="94">
        <v>0</v>
      </c>
      <c r="P13" s="94">
        <v>0</v>
      </c>
      <c r="Q13" s="94">
        <v>0</v>
      </c>
      <c r="R13" s="94">
        <v>0</v>
      </c>
    </row>
    <row r="14" spans="1:30" customFormat="1" x14ac:dyDescent="0.15">
      <c r="A14" s="157" t="s">
        <v>204</v>
      </c>
      <c r="B14" s="94">
        <v>0.8</v>
      </c>
      <c r="C14" s="94">
        <v>0.8</v>
      </c>
      <c r="D14" s="94">
        <v>0.8</v>
      </c>
      <c r="E14" s="94">
        <v>0.8</v>
      </c>
      <c r="F14" s="94">
        <v>0</v>
      </c>
      <c r="G14" s="94">
        <v>0.8</v>
      </c>
      <c r="H14" s="94">
        <v>0.8</v>
      </c>
      <c r="I14" s="94">
        <v>0.8</v>
      </c>
      <c r="J14" s="94">
        <v>0.8</v>
      </c>
      <c r="K14" s="94">
        <v>0.8</v>
      </c>
      <c r="L14" s="94">
        <v>0</v>
      </c>
      <c r="M14" s="94">
        <v>0</v>
      </c>
      <c r="N14" s="94">
        <v>0.8</v>
      </c>
      <c r="O14" s="94">
        <v>0</v>
      </c>
      <c r="P14" s="94">
        <v>0</v>
      </c>
      <c r="Q14" s="94">
        <v>0</v>
      </c>
      <c r="R14" s="94">
        <v>0</v>
      </c>
    </row>
    <row r="15" spans="1:30" customFormat="1" x14ac:dyDescent="0.15">
      <c r="A15" s="157" t="s">
        <v>205</v>
      </c>
      <c r="B15" s="94">
        <v>0</v>
      </c>
      <c r="C15" s="94">
        <v>0</v>
      </c>
      <c r="D15" s="94">
        <v>0</v>
      </c>
      <c r="E15" s="94">
        <v>0</v>
      </c>
      <c r="F15" s="94">
        <v>0</v>
      </c>
      <c r="G15" s="94">
        <v>0</v>
      </c>
      <c r="H15" s="94">
        <v>0</v>
      </c>
      <c r="I15" s="94">
        <v>0</v>
      </c>
      <c r="J15" s="94">
        <v>0</v>
      </c>
      <c r="K15" s="94">
        <v>0</v>
      </c>
      <c r="L15" s="94">
        <v>0.8</v>
      </c>
      <c r="M15" s="94">
        <v>0.8</v>
      </c>
      <c r="N15" s="94">
        <v>0.8</v>
      </c>
      <c r="O15" s="94">
        <v>0</v>
      </c>
      <c r="P15" s="94">
        <v>0</v>
      </c>
      <c r="Q15" s="94">
        <v>0</v>
      </c>
      <c r="R15" s="94">
        <v>0</v>
      </c>
    </row>
    <row r="16" spans="1:30" customFormat="1" x14ac:dyDescent="0.15">
      <c r="A16" s="157" t="s">
        <v>206</v>
      </c>
      <c r="B16" s="94">
        <v>0</v>
      </c>
      <c r="C16" s="94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0.8</v>
      </c>
      <c r="I16" s="94">
        <v>0.8</v>
      </c>
      <c r="J16" s="94">
        <v>0</v>
      </c>
      <c r="K16" s="94">
        <v>0</v>
      </c>
      <c r="L16" s="94">
        <v>0</v>
      </c>
      <c r="M16" s="94">
        <v>0.8</v>
      </c>
      <c r="N16" s="94">
        <v>0.8</v>
      </c>
      <c r="O16" s="94">
        <v>0</v>
      </c>
      <c r="P16" s="94">
        <v>0</v>
      </c>
      <c r="Q16" s="94">
        <v>0</v>
      </c>
      <c r="R16" s="94">
        <v>0</v>
      </c>
    </row>
    <row r="17" spans="1:18" customFormat="1" x14ac:dyDescent="0.15">
      <c r="A17" s="157" t="s">
        <v>207</v>
      </c>
      <c r="B17" s="94">
        <v>0</v>
      </c>
      <c r="C17" s="94">
        <v>0</v>
      </c>
      <c r="D17" s="94">
        <v>0</v>
      </c>
      <c r="E17" s="94">
        <v>0</v>
      </c>
      <c r="F17" s="94">
        <v>0</v>
      </c>
      <c r="G17" s="94">
        <v>0</v>
      </c>
      <c r="H17" s="94">
        <v>0.8</v>
      </c>
      <c r="I17" s="94">
        <v>0.8</v>
      </c>
      <c r="J17" s="94">
        <v>0</v>
      </c>
      <c r="K17" s="94">
        <v>0</v>
      </c>
      <c r="L17" s="94">
        <v>0</v>
      </c>
      <c r="M17" s="94">
        <v>0</v>
      </c>
      <c r="N17" s="94">
        <v>0.8</v>
      </c>
      <c r="O17" s="94">
        <v>0</v>
      </c>
      <c r="P17" s="94">
        <v>0</v>
      </c>
      <c r="Q17" s="94">
        <v>0</v>
      </c>
      <c r="R17" s="94">
        <v>0</v>
      </c>
    </row>
    <row r="18" spans="1:18" customFormat="1" x14ac:dyDescent="0.15">
      <c r="A18" s="157" t="s">
        <v>208</v>
      </c>
      <c r="B18" s="94">
        <v>0</v>
      </c>
      <c r="C18" s="94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4">
        <v>0</v>
      </c>
      <c r="L18" s="94">
        <v>0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</row>
    <row r="19" spans="1:18" customFormat="1" x14ac:dyDescent="0.15">
      <c r="A19" s="157" t="s">
        <v>210</v>
      </c>
      <c r="B19" s="94">
        <v>0</v>
      </c>
      <c r="C19" s="94">
        <v>0</v>
      </c>
      <c r="D19" s="94">
        <v>0</v>
      </c>
      <c r="E19" s="94">
        <v>0</v>
      </c>
      <c r="F19" s="94">
        <v>0</v>
      </c>
      <c r="G19" s="94">
        <v>0</v>
      </c>
      <c r="H19" s="94">
        <v>0</v>
      </c>
      <c r="I19" s="94">
        <v>0</v>
      </c>
      <c r="J19" s="94">
        <v>0</v>
      </c>
      <c r="K19" s="94">
        <v>0</v>
      </c>
      <c r="L19" s="94">
        <v>0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  <row r="32" spans="1:1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4" bestFit="1" customWidth="1"/>
    <col min="2" max="18" width="2.33203125" style="94" customWidth="1"/>
    <col min="19" max="16384" width="10.83203125" style="94"/>
  </cols>
  <sheetData>
    <row r="1" spans="1:31" x14ac:dyDescent="0.15">
      <c r="A1" s="56" t="s">
        <v>139</v>
      </c>
      <c r="B1" s="160" t="s">
        <v>192</v>
      </c>
      <c r="C1" s="160" t="s">
        <v>193</v>
      </c>
      <c r="D1" s="160" t="s">
        <v>194</v>
      </c>
      <c r="E1" s="160" t="s">
        <v>195</v>
      </c>
      <c r="F1" s="160" t="s">
        <v>196</v>
      </c>
      <c r="G1" s="160" t="s">
        <v>197</v>
      </c>
      <c r="H1" s="160" t="s">
        <v>198</v>
      </c>
      <c r="I1" s="160" t="s">
        <v>199</v>
      </c>
      <c r="J1" s="160" t="s">
        <v>200</v>
      </c>
      <c r="K1" s="160" t="s">
        <v>201</v>
      </c>
      <c r="L1" s="160" t="s">
        <v>202</v>
      </c>
      <c r="M1" s="160" t="s">
        <v>203</v>
      </c>
      <c r="N1" s="160" t="s">
        <v>204</v>
      </c>
      <c r="O1" s="160" t="s">
        <v>205</v>
      </c>
      <c r="P1" s="160" t="s">
        <v>206</v>
      </c>
      <c r="Q1" s="160" t="s">
        <v>207</v>
      </c>
      <c r="R1" s="160" t="s">
        <v>208</v>
      </c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9" t="s">
        <v>192</v>
      </c>
      <c r="B2" s="94">
        <v>1</v>
      </c>
      <c r="C2" s="94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4">
        <v>0</v>
      </c>
      <c r="L2" s="94">
        <v>0</v>
      </c>
      <c r="M2" s="94">
        <v>0</v>
      </c>
      <c r="N2" s="94">
        <v>0</v>
      </c>
      <c r="O2" s="94">
        <v>0</v>
      </c>
      <c r="P2" s="94">
        <v>0</v>
      </c>
      <c r="Q2" s="94">
        <v>0</v>
      </c>
      <c r="R2" s="94">
        <v>0</v>
      </c>
    </row>
    <row r="3" spans="1:31" customFormat="1" x14ac:dyDescent="0.15">
      <c r="A3" s="159" t="s">
        <v>193</v>
      </c>
      <c r="B3" s="94">
        <v>1</v>
      </c>
      <c r="C3" s="94">
        <v>1</v>
      </c>
      <c r="D3" s="94">
        <v>0</v>
      </c>
      <c r="E3" s="94">
        <v>0</v>
      </c>
      <c r="F3" s="94">
        <v>0</v>
      </c>
      <c r="G3" s="94">
        <v>0</v>
      </c>
      <c r="H3" s="94">
        <v>0</v>
      </c>
      <c r="I3" s="94">
        <v>0</v>
      </c>
      <c r="J3" s="94">
        <v>0</v>
      </c>
      <c r="K3" s="94">
        <v>0</v>
      </c>
      <c r="L3" s="94">
        <v>0</v>
      </c>
      <c r="M3" s="94">
        <v>0</v>
      </c>
      <c r="N3" s="94">
        <v>0</v>
      </c>
      <c r="O3" s="94">
        <v>0</v>
      </c>
      <c r="P3" s="94">
        <v>0</v>
      </c>
      <c r="Q3" s="94">
        <v>0</v>
      </c>
      <c r="R3" s="94">
        <v>0</v>
      </c>
    </row>
    <row r="4" spans="1:31" customFormat="1" x14ac:dyDescent="0.15">
      <c r="A4" s="159" t="s">
        <v>194</v>
      </c>
      <c r="B4" s="94">
        <v>1</v>
      </c>
      <c r="C4" s="94">
        <v>1</v>
      </c>
      <c r="D4" s="94">
        <v>1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4">
        <v>0</v>
      </c>
      <c r="L4" s="94">
        <v>0</v>
      </c>
      <c r="M4" s="94">
        <v>0</v>
      </c>
      <c r="N4" s="94">
        <v>0</v>
      </c>
      <c r="O4" s="94">
        <v>0</v>
      </c>
      <c r="P4" s="94">
        <v>0</v>
      </c>
      <c r="Q4" s="94">
        <v>0</v>
      </c>
      <c r="R4" s="94">
        <v>0</v>
      </c>
    </row>
    <row r="5" spans="1:31" customFormat="1" x14ac:dyDescent="0.15">
      <c r="A5" s="159" t="s">
        <v>195</v>
      </c>
      <c r="B5" s="94">
        <v>1</v>
      </c>
      <c r="C5" s="94">
        <v>1</v>
      </c>
      <c r="D5" s="94">
        <v>1</v>
      </c>
      <c r="E5" s="94">
        <v>1</v>
      </c>
      <c r="F5" s="94">
        <v>0</v>
      </c>
      <c r="G5" s="94">
        <v>0</v>
      </c>
      <c r="H5" s="94">
        <v>0</v>
      </c>
      <c r="I5" s="94">
        <v>0</v>
      </c>
      <c r="J5" s="94">
        <v>0</v>
      </c>
      <c r="K5" s="94">
        <v>0</v>
      </c>
      <c r="L5" s="94">
        <v>0</v>
      </c>
      <c r="M5" s="94">
        <v>0</v>
      </c>
      <c r="N5" s="94">
        <v>0</v>
      </c>
      <c r="O5" s="94">
        <v>0</v>
      </c>
      <c r="P5" s="94">
        <v>0</v>
      </c>
      <c r="Q5" s="94">
        <v>0</v>
      </c>
      <c r="R5" s="94">
        <v>0</v>
      </c>
    </row>
    <row r="6" spans="1:31" customFormat="1" x14ac:dyDescent="0.15">
      <c r="A6" s="159" t="s">
        <v>196</v>
      </c>
      <c r="B6" s="94">
        <v>0</v>
      </c>
      <c r="C6" s="94">
        <v>1</v>
      </c>
      <c r="D6" s="94">
        <v>1</v>
      </c>
      <c r="E6" s="94">
        <v>0</v>
      </c>
      <c r="F6" s="94">
        <v>1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</row>
    <row r="7" spans="1:31" customFormat="1" x14ac:dyDescent="0.15">
      <c r="A7" s="159" t="s">
        <v>197</v>
      </c>
      <c r="B7" s="94">
        <v>0</v>
      </c>
      <c r="C7" s="94">
        <v>1</v>
      </c>
      <c r="D7" s="94">
        <v>1</v>
      </c>
      <c r="E7" s="94">
        <v>0</v>
      </c>
      <c r="F7" s="94">
        <v>0</v>
      </c>
      <c r="G7" s="94">
        <v>1</v>
      </c>
      <c r="H7" s="94">
        <v>0</v>
      </c>
      <c r="I7" s="94">
        <v>0</v>
      </c>
      <c r="J7" s="94">
        <v>1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</row>
    <row r="8" spans="1:31" customFormat="1" x14ac:dyDescent="0.15">
      <c r="A8" s="159" t="s">
        <v>198</v>
      </c>
      <c r="B8" s="94">
        <v>1</v>
      </c>
      <c r="C8" s="94">
        <v>1</v>
      </c>
      <c r="D8" s="94">
        <v>1</v>
      </c>
      <c r="E8" s="94">
        <v>0</v>
      </c>
      <c r="F8" s="94">
        <v>0</v>
      </c>
      <c r="G8" s="94">
        <v>0</v>
      </c>
      <c r="H8" s="94">
        <v>1</v>
      </c>
      <c r="I8" s="94">
        <v>1</v>
      </c>
      <c r="J8" s="94">
        <v>1</v>
      </c>
      <c r="K8" s="94">
        <v>1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</row>
    <row r="9" spans="1:31" customFormat="1" x14ac:dyDescent="0.15">
      <c r="A9" s="159" t="s">
        <v>199</v>
      </c>
      <c r="B9" s="94">
        <v>1</v>
      </c>
      <c r="C9" s="94">
        <v>1</v>
      </c>
      <c r="D9" s="94">
        <v>1</v>
      </c>
      <c r="E9" s="94">
        <v>0</v>
      </c>
      <c r="F9" s="94">
        <v>0</v>
      </c>
      <c r="G9" s="94">
        <v>0</v>
      </c>
      <c r="H9" s="94">
        <v>0</v>
      </c>
      <c r="I9" s="94">
        <v>0</v>
      </c>
      <c r="J9" s="94">
        <v>0</v>
      </c>
      <c r="K9" s="94">
        <v>0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</row>
    <row r="10" spans="1:31" customFormat="1" x14ac:dyDescent="0.15">
      <c r="A10" s="159" t="s">
        <v>200</v>
      </c>
      <c r="B10" s="94">
        <v>1</v>
      </c>
      <c r="C10" s="94">
        <v>1</v>
      </c>
      <c r="D10" s="94">
        <v>1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</row>
    <row r="11" spans="1:31" customFormat="1" x14ac:dyDescent="0.15">
      <c r="A11" s="159" t="s">
        <v>201</v>
      </c>
      <c r="B11" s="94">
        <v>1</v>
      </c>
      <c r="C11" s="94">
        <v>1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4">
        <v>0</v>
      </c>
      <c r="J11" s="94">
        <v>0</v>
      </c>
      <c r="K11" s="94">
        <v>0</v>
      </c>
      <c r="L11" s="94">
        <v>0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</row>
    <row r="12" spans="1:31" customFormat="1" x14ac:dyDescent="0.15">
      <c r="A12" s="159" t="s">
        <v>202</v>
      </c>
      <c r="B12" s="94">
        <v>1</v>
      </c>
      <c r="C12" s="94">
        <v>1</v>
      </c>
      <c r="D12" s="94">
        <v>1</v>
      </c>
      <c r="E12" s="94">
        <v>1</v>
      </c>
      <c r="F12" s="94">
        <v>1</v>
      </c>
      <c r="G12" s="94">
        <v>1</v>
      </c>
      <c r="H12" s="94">
        <v>1</v>
      </c>
      <c r="I12" s="94">
        <v>1</v>
      </c>
      <c r="J12" s="94">
        <v>1</v>
      </c>
      <c r="K12" s="94">
        <v>1</v>
      </c>
      <c r="L12" s="94">
        <v>0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</row>
    <row r="13" spans="1:31" customFormat="1" x14ac:dyDescent="0.15">
      <c r="A13" s="159" t="s">
        <v>203</v>
      </c>
      <c r="B13" s="94">
        <v>0</v>
      </c>
      <c r="C13" s="94">
        <v>0</v>
      </c>
      <c r="D13" s="94">
        <v>0</v>
      </c>
      <c r="E13" s="94">
        <v>1</v>
      </c>
      <c r="F13" s="94">
        <v>1</v>
      </c>
      <c r="G13" s="94">
        <v>1</v>
      </c>
      <c r="H13" s="94">
        <v>1</v>
      </c>
      <c r="I13" s="94">
        <v>1</v>
      </c>
      <c r="J13" s="94">
        <v>1</v>
      </c>
      <c r="K13" s="94">
        <v>1</v>
      </c>
      <c r="L13" s="94">
        <v>1</v>
      </c>
      <c r="M13" s="94">
        <v>1</v>
      </c>
      <c r="N13" s="94">
        <v>1</v>
      </c>
      <c r="O13" s="94">
        <v>0</v>
      </c>
      <c r="P13" s="94">
        <v>0</v>
      </c>
      <c r="Q13" s="94">
        <v>0</v>
      </c>
      <c r="R13" s="94">
        <v>0</v>
      </c>
    </row>
    <row r="14" spans="1:31" customFormat="1" x14ac:dyDescent="0.15">
      <c r="A14" s="159" t="s">
        <v>204</v>
      </c>
      <c r="B14" s="94">
        <v>1</v>
      </c>
      <c r="C14" s="94">
        <v>1</v>
      </c>
      <c r="D14" s="94">
        <v>1</v>
      </c>
      <c r="E14" s="94">
        <v>1</v>
      </c>
      <c r="F14" s="94">
        <v>0</v>
      </c>
      <c r="G14" s="94">
        <v>1</v>
      </c>
      <c r="H14" s="94">
        <v>1</v>
      </c>
      <c r="I14" s="94">
        <v>1</v>
      </c>
      <c r="J14" s="94">
        <v>1</v>
      </c>
      <c r="K14" s="94">
        <v>1</v>
      </c>
      <c r="L14" s="94">
        <v>0</v>
      </c>
      <c r="M14" s="94">
        <v>0</v>
      </c>
      <c r="N14" s="94">
        <v>1</v>
      </c>
      <c r="O14" s="94">
        <v>0</v>
      </c>
      <c r="P14" s="94">
        <v>0</v>
      </c>
      <c r="Q14" s="94">
        <v>0</v>
      </c>
      <c r="R14" s="94">
        <v>0</v>
      </c>
    </row>
    <row r="15" spans="1:31" customFormat="1" x14ac:dyDescent="0.15">
      <c r="A15" s="159" t="s">
        <v>205</v>
      </c>
      <c r="B15" s="94">
        <v>0</v>
      </c>
      <c r="C15" s="94">
        <v>0</v>
      </c>
      <c r="D15" s="94">
        <v>0</v>
      </c>
      <c r="E15" s="94">
        <v>0</v>
      </c>
      <c r="F15" s="94">
        <v>0</v>
      </c>
      <c r="G15" s="94">
        <v>0</v>
      </c>
      <c r="H15" s="94">
        <v>0</v>
      </c>
      <c r="I15" s="94">
        <v>0</v>
      </c>
      <c r="J15" s="94">
        <v>0</v>
      </c>
      <c r="K15" s="94">
        <v>0</v>
      </c>
      <c r="L15" s="94">
        <v>1</v>
      </c>
      <c r="M15" s="94">
        <v>1</v>
      </c>
      <c r="N15" s="94">
        <v>1</v>
      </c>
      <c r="O15" s="94">
        <v>0</v>
      </c>
      <c r="P15" s="94">
        <v>0</v>
      </c>
      <c r="Q15" s="94">
        <v>0</v>
      </c>
      <c r="R15" s="94">
        <v>0</v>
      </c>
    </row>
    <row r="16" spans="1:31" customFormat="1" x14ac:dyDescent="0.15">
      <c r="A16" s="159" t="s">
        <v>206</v>
      </c>
      <c r="B16" s="94">
        <v>0</v>
      </c>
      <c r="C16" s="94">
        <v>0</v>
      </c>
      <c r="D16" s="94">
        <v>0</v>
      </c>
      <c r="E16" s="94">
        <v>0</v>
      </c>
      <c r="F16" s="94">
        <v>0</v>
      </c>
      <c r="G16" s="94">
        <v>0</v>
      </c>
      <c r="H16" s="94">
        <v>1</v>
      </c>
      <c r="I16" s="94">
        <v>1</v>
      </c>
      <c r="J16" s="94">
        <v>0</v>
      </c>
      <c r="K16" s="94">
        <v>0</v>
      </c>
      <c r="L16" s="94">
        <v>0</v>
      </c>
      <c r="M16" s="94">
        <v>1</v>
      </c>
      <c r="N16" s="94">
        <v>1</v>
      </c>
      <c r="O16" s="94">
        <v>0</v>
      </c>
      <c r="P16" s="94">
        <v>0</v>
      </c>
      <c r="Q16" s="94">
        <v>0</v>
      </c>
      <c r="R16" s="94">
        <v>0</v>
      </c>
    </row>
    <row r="17" spans="1:18" customFormat="1" x14ac:dyDescent="0.15">
      <c r="A17" s="159" t="s">
        <v>207</v>
      </c>
      <c r="B17" s="94">
        <v>0</v>
      </c>
      <c r="C17" s="94">
        <v>0</v>
      </c>
      <c r="D17" s="94">
        <v>0</v>
      </c>
      <c r="E17" s="94">
        <v>0</v>
      </c>
      <c r="F17" s="94">
        <v>0</v>
      </c>
      <c r="G17" s="94">
        <v>0</v>
      </c>
      <c r="H17" s="94">
        <v>1</v>
      </c>
      <c r="I17" s="94">
        <v>1</v>
      </c>
      <c r="J17" s="94">
        <v>0</v>
      </c>
      <c r="K17" s="94">
        <v>0</v>
      </c>
      <c r="L17" s="94">
        <v>0</v>
      </c>
      <c r="M17" s="94">
        <v>0</v>
      </c>
      <c r="N17" s="94">
        <v>1</v>
      </c>
      <c r="O17" s="94">
        <v>0</v>
      </c>
      <c r="P17" s="94">
        <v>0</v>
      </c>
      <c r="Q17" s="94">
        <v>0</v>
      </c>
      <c r="R17" s="94">
        <v>0</v>
      </c>
    </row>
    <row r="18" spans="1:18" customFormat="1" x14ac:dyDescent="0.15">
      <c r="A18" s="159" t="s">
        <v>208</v>
      </c>
      <c r="B18" s="94">
        <v>0</v>
      </c>
      <c r="C18" s="94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4">
        <v>0</v>
      </c>
      <c r="L18" s="94">
        <v>0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</row>
    <row r="19" spans="1:18" customFormat="1" x14ac:dyDescent="0.15">
      <c r="A19" s="159" t="s">
        <v>210</v>
      </c>
      <c r="B19" s="94">
        <v>0</v>
      </c>
      <c r="C19" s="94">
        <v>0</v>
      </c>
      <c r="D19" s="94">
        <v>0</v>
      </c>
      <c r="E19" s="94">
        <v>0</v>
      </c>
      <c r="F19" s="94">
        <v>0</v>
      </c>
      <c r="G19" s="94">
        <v>0</v>
      </c>
      <c r="H19" s="94">
        <v>0</v>
      </c>
      <c r="I19" s="94">
        <v>0</v>
      </c>
      <c r="J19" s="94">
        <v>0</v>
      </c>
      <c r="K19" s="94">
        <v>0</v>
      </c>
      <c r="L19" s="94">
        <v>0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</row>
    <row r="20" spans="1:18" customFormat="1" x14ac:dyDescent="0.15"/>
    <row r="21" spans="1:18" customFormat="1" x14ac:dyDescent="0.15"/>
    <row r="22" spans="1:18" customFormat="1" x14ac:dyDescent="0.15"/>
    <row r="23" spans="1:18" customFormat="1" x14ac:dyDescent="0.15"/>
    <row r="24" spans="1:18" customFormat="1" x14ac:dyDescent="0.15"/>
    <row r="25" spans="1:18" customFormat="1" x14ac:dyDescent="0.15"/>
    <row r="26" spans="1:18" customFormat="1" x14ac:dyDescent="0.15"/>
    <row r="27" spans="1:18" customFormat="1" x14ac:dyDescent="0.15"/>
    <row r="28" spans="1:18" customFormat="1" x14ac:dyDescent="0.15"/>
    <row r="29" spans="1:18" customFormat="1" x14ac:dyDescent="0.15"/>
    <row r="30" spans="1:18" customFormat="1" x14ac:dyDescent="0.15"/>
    <row r="31" spans="1:1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2" t="s">
        <v>209</v>
      </c>
    </row>
    <row r="2" spans="1:3" x14ac:dyDescent="0.15">
      <c r="A2">
        <v>1</v>
      </c>
      <c r="B2" s="161" t="s">
        <v>192</v>
      </c>
      <c r="C2">
        <v>0.8</v>
      </c>
    </row>
    <row r="3" spans="1:3" x14ac:dyDescent="0.15">
      <c r="A3">
        <v>2</v>
      </c>
      <c r="B3" s="161" t="s">
        <v>193</v>
      </c>
      <c r="C3">
        <v>0.8</v>
      </c>
    </row>
    <row r="4" spans="1:3" x14ac:dyDescent="0.15">
      <c r="A4">
        <v>3</v>
      </c>
      <c r="B4" s="161" t="s">
        <v>194</v>
      </c>
      <c r="C4">
        <v>0.8</v>
      </c>
    </row>
    <row r="5" spans="1:3" x14ac:dyDescent="0.15">
      <c r="A5">
        <v>4</v>
      </c>
      <c r="B5" s="161" t="s">
        <v>195</v>
      </c>
      <c r="C5">
        <v>0.8</v>
      </c>
    </row>
    <row r="6" spans="1:3" x14ac:dyDescent="0.15">
      <c r="A6">
        <v>5</v>
      </c>
      <c r="B6" s="161" t="s">
        <v>196</v>
      </c>
      <c r="C6">
        <v>0.8</v>
      </c>
    </row>
    <row r="7" spans="1:3" x14ac:dyDescent="0.15">
      <c r="A7">
        <v>6</v>
      </c>
      <c r="B7" s="161" t="s">
        <v>197</v>
      </c>
      <c r="C7">
        <v>0.8</v>
      </c>
    </row>
    <row r="8" spans="1:3" x14ac:dyDescent="0.15">
      <c r="A8">
        <v>7</v>
      </c>
      <c r="B8" s="161" t="s">
        <v>198</v>
      </c>
      <c r="C8">
        <v>0.8</v>
      </c>
    </row>
    <row r="9" spans="1:3" x14ac:dyDescent="0.15">
      <c r="A9">
        <v>8</v>
      </c>
      <c r="B9" s="161" t="s">
        <v>199</v>
      </c>
      <c r="C9">
        <v>0.8</v>
      </c>
    </row>
    <row r="10" spans="1:3" x14ac:dyDescent="0.15">
      <c r="A10">
        <v>9</v>
      </c>
      <c r="B10" s="161" t="s">
        <v>200</v>
      </c>
      <c r="C10">
        <v>0.8</v>
      </c>
    </row>
    <row r="11" spans="1:3" x14ac:dyDescent="0.15">
      <c r="A11">
        <v>10</v>
      </c>
      <c r="B11" s="161" t="s">
        <v>201</v>
      </c>
      <c r="C11">
        <v>0.8</v>
      </c>
    </row>
    <row r="12" spans="1:3" x14ac:dyDescent="0.15">
      <c r="A12">
        <v>11</v>
      </c>
      <c r="B12" s="161" t="s">
        <v>202</v>
      </c>
      <c r="C12">
        <v>0.8</v>
      </c>
    </row>
    <row r="13" spans="1:3" x14ac:dyDescent="0.15">
      <c r="A13">
        <v>12</v>
      </c>
      <c r="B13" s="161" t="s">
        <v>203</v>
      </c>
      <c r="C13">
        <v>0</v>
      </c>
    </row>
    <row r="14" spans="1:3" x14ac:dyDescent="0.15">
      <c r="A14">
        <v>13</v>
      </c>
      <c r="B14" s="161" t="s">
        <v>204</v>
      </c>
      <c r="C14">
        <v>0.8</v>
      </c>
    </row>
    <row r="15" spans="1:3" x14ac:dyDescent="0.15">
      <c r="A15">
        <v>14</v>
      </c>
      <c r="B15" s="161" t="s">
        <v>205</v>
      </c>
      <c r="C15">
        <v>0</v>
      </c>
    </row>
    <row r="16" spans="1:3" x14ac:dyDescent="0.15">
      <c r="A16">
        <v>15</v>
      </c>
      <c r="B16" s="161" t="s">
        <v>206</v>
      </c>
      <c r="C16">
        <v>0</v>
      </c>
    </row>
    <row r="17" spans="1:3" x14ac:dyDescent="0.15">
      <c r="A17">
        <v>16</v>
      </c>
      <c r="B17" s="161" t="s">
        <v>207</v>
      </c>
      <c r="C17">
        <v>0</v>
      </c>
    </row>
    <row r="18" spans="1:3" x14ac:dyDescent="0.15">
      <c r="A18">
        <v>17</v>
      </c>
      <c r="B18" s="161" t="s">
        <v>208</v>
      </c>
      <c r="C1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4" t="s">
        <v>209</v>
      </c>
    </row>
    <row r="2" spans="1:3" x14ac:dyDescent="0.15">
      <c r="A2">
        <v>1</v>
      </c>
      <c r="B2" s="163" t="s">
        <v>192</v>
      </c>
      <c r="C2">
        <v>0.8</v>
      </c>
    </row>
    <row r="3" spans="1:3" x14ac:dyDescent="0.15">
      <c r="A3">
        <v>2</v>
      </c>
      <c r="B3" s="163" t="s">
        <v>193</v>
      </c>
      <c r="C3">
        <v>0.8</v>
      </c>
    </row>
    <row r="4" spans="1:3" x14ac:dyDescent="0.15">
      <c r="A4">
        <v>3</v>
      </c>
      <c r="B4" s="163" t="s">
        <v>194</v>
      </c>
      <c r="C4">
        <v>0.8</v>
      </c>
    </row>
    <row r="5" spans="1:3" x14ac:dyDescent="0.15">
      <c r="A5">
        <v>4</v>
      </c>
      <c r="B5" s="163" t="s">
        <v>195</v>
      </c>
      <c r="C5">
        <v>0.8</v>
      </c>
    </row>
    <row r="6" spans="1:3" x14ac:dyDescent="0.15">
      <c r="A6">
        <v>5</v>
      </c>
      <c r="B6" s="163" t="s">
        <v>196</v>
      </c>
      <c r="C6">
        <v>0.8</v>
      </c>
    </row>
    <row r="7" spans="1:3" x14ac:dyDescent="0.15">
      <c r="A7">
        <v>6</v>
      </c>
      <c r="B7" s="163" t="s">
        <v>197</v>
      </c>
      <c r="C7">
        <v>0.8</v>
      </c>
    </row>
    <row r="8" spans="1:3" x14ac:dyDescent="0.15">
      <c r="A8">
        <v>7</v>
      </c>
      <c r="B8" s="163" t="s">
        <v>198</v>
      </c>
      <c r="C8">
        <v>0.8</v>
      </c>
    </row>
    <row r="9" spans="1:3" x14ac:dyDescent="0.15">
      <c r="A9">
        <v>8</v>
      </c>
      <c r="B9" s="163" t="s">
        <v>199</v>
      </c>
      <c r="C9">
        <v>0.8</v>
      </c>
    </row>
    <row r="10" spans="1:3" x14ac:dyDescent="0.15">
      <c r="A10">
        <v>9</v>
      </c>
      <c r="B10" s="163" t="s">
        <v>200</v>
      </c>
      <c r="C10">
        <v>0.8</v>
      </c>
    </row>
    <row r="11" spans="1:3" x14ac:dyDescent="0.15">
      <c r="A11">
        <v>10</v>
      </c>
      <c r="B11" s="163" t="s">
        <v>201</v>
      </c>
      <c r="C11">
        <v>0.8</v>
      </c>
    </row>
    <row r="12" spans="1:3" x14ac:dyDescent="0.15">
      <c r="A12">
        <v>11</v>
      </c>
      <c r="B12" s="163" t="s">
        <v>202</v>
      </c>
      <c r="C12">
        <v>0.8</v>
      </c>
    </row>
    <row r="13" spans="1:3" x14ac:dyDescent="0.15">
      <c r="A13">
        <v>12</v>
      </c>
      <c r="B13" s="163" t="s">
        <v>203</v>
      </c>
      <c r="C13">
        <v>0</v>
      </c>
    </row>
    <row r="14" spans="1:3" x14ac:dyDescent="0.15">
      <c r="A14">
        <v>13</v>
      </c>
      <c r="B14" s="163" t="s">
        <v>204</v>
      </c>
      <c r="C14">
        <v>0.8</v>
      </c>
    </row>
    <row r="15" spans="1:3" x14ac:dyDescent="0.15">
      <c r="A15">
        <v>14</v>
      </c>
      <c r="B15" s="163" t="s">
        <v>205</v>
      </c>
      <c r="C15">
        <v>0</v>
      </c>
    </row>
    <row r="16" spans="1:3" x14ac:dyDescent="0.15">
      <c r="A16">
        <v>15</v>
      </c>
      <c r="B16" s="163" t="s">
        <v>206</v>
      </c>
      <c r="C16">
        <v>0</v>
      </c>
    </row>
    <row r="17" spans="1:3" x14ac:dyDescent="0.15">
      <c r="A17">
        <v>16</v>
      </c>
      <c r="B17" s="163" t="s">
        <v>207</v>
      </c>
      <c r="C17">
        <v>0</v>
      </c>
    </row>
    <row r="18" spans="1:3" x14ac:dyDescent="0.15">
      <c r="A18">
        <v>17</v>
      </c>
      <c r="B18" s="163" t="s">
        <v>208</v>
      </c>
      <c r="C1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70"/>
    <col min="2" max="2" width="41.83203125" style="70" bestFit="1" customWidth="1"/>
    <col min="3" max="3" width="9.33203125" style="70" bestFit="1" customWidth="1"/>
    <col min="4" max="4" width="13" style="70" bestFit="1" customWidth="1"/>
    <col min="5" max="6" width="9.33203125" style="70" bestFit="1" customWidth="1"/>
    <col min="7" max="7" width="9.33203125" style="86" bestFit="1" customWidth="1"/>
    <col min="8" max="8" width="9.33203125" style="70" bestFit="1" customWidth="1"/>
    <col min="9" max="9" width="11" style="70" customWidth="1"/>
    <col min="10" max="10" width="8.83203125" style="70"/>
    <col min="15" max="16384" width="8.83203125" style="7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8" t="s">
        <v>14</v>
      </c>
      <c r="H1" s="1" t="s">
        <v>26</v>
      </c>
      <c r="I1" s="1" t="s">
        <v>24</v>
      </c>
    </row>
    <row r="2" spans="1:10" ht="15" customHeight="1" x14ac:dyDescent="0.15">
      <c r="A2" s="128">
        <v>1</v>
      </c>
      <c r="B2" s="128" t="s">
        <v>192</v>
      </c>
      <c r="C2" s="8">
        <v>3.8074522018432617</v>
      </c>
      <c r="D2" s="9">
        <v>8.2000002264976501E-2</v>
      </c>
      <c r="E2" s="9">
        <v>0.40000000596046448</v>
      </c>
      <c r="F2" s="9">
        <v>4.5</v>
      </c>
      <c r="G2" s="9">
        <v>0.82766765356063843</v>
      </c>
      <c r="H2" s="9">
        <v>8.8888891041278839E-2</v>
      </c>
      <c r="I2">
        <v>1.7000000923871994E-2</v>
      </c>
      <c r="J2"/>
    </row>
    <row r="3" spans="1:10" ht="15" customHeight="1" x14ac:dyDescent="0.15">
      <c r="A3" s="129">
        <v>2</v>
      </c>
      <c r="B3" s="129" t="s">
        <v>193</v>
      </c>
      <c r="C3" s="8">
        <v>3.7629170417785645</v>
      </c>
      <c r="D3" s="9">
        <v>0.55000001192092896</v>
      </c>
      <c r="E3" s="9">
        <v>0.56999999284744263</v>
      </c>
      <c r="F3" s="9">
        <v>5.940000057220459</v>
      </c>
      <c r="G3" s="9">
        <v>0.82746410369873047</v>
      </c>
      <c r="H3" s="9">
        <v>9.5959596335887909E-2</v>
      </c>
      <c r="I3">
        <v>0.18299999833106995</v>
      </c>
      <c r="J3"/>
    </row>
    <row r="4" spans="1:10" ht="15" customHeight="1" x14ac:dyDescent="0.15">
      <c r="A4" s="130">
        <v>3</v>
      </c>
      <c r="B4" s="130" t="s">
        <v>194</v>
      </c>
      <c r="C4" s="8">
        <v>3.5817856788635254</v>
      </c>
      <c r="D4" s="9">
        <v>0.75</v>
      </c>
      <c r="E4" s="9">
        <v>0.49000000953674316</v>
      </c>
      <c r="F4" s="9">
        <v>5.5999999046325684</v>
      </c>
      <c r="G4" s="9">
        <v>0.87174147367477417</v>
      </c>
      <c r="H4" s="9">
        <v>8.7500005960464478E-2</v>
      </c>
      <c r="I4">
        <v>0.17499999701976776</v>
      </c>
      <c r="J4"/>
    </row>
    <row r="5" spans="1:10" ht="15" customHeight="1" x14ac:dyDescent="0.15">
      <c r="A5" s="131">
        <v>4</v>
      </c>
      <c r="B5" s="131" t="s">
        <v>195</v>
      </c>
      <c r="C5" s="8">
        <v>3.3001859188079834</v>
      </c>
      <c r="D5" s="9">
        <v>6.6700000762939453</v>
      </c>
      <c r="E5" s="9">
        <v>0.44999998807907104</v>
      </c>
      <c r="F5" s="9">
        <v>7.6009998321533203</v>
      </c>
      <c r="G5" s="9">
        <v>0.9327014684677124</v>
      </c>
      <c r="H5" s="9">
        <v>5.9202734380960464E-2</v>
      </c>
      <c r="I5">
        <v>0.30700001120567322</v>
      </c>
      <c r="J5"/>
    </row>
    <row r="6" spans="1:10" ht="15" customHeight="1" x14ac:dyDescent="0.15">
      <c r="A6" s="132">
        <v>5</v>
      </c>
      <c r="B6" s="132" t="s">
        <v>196</v>
      </c>
      <c r="C6" s="8">
        <v>3.2839741706848145</v>
      </c>
      <c r="D6" s="9">
        <v>0.80000001192092896</v>
      </c>
      <c r="E6" s="9">
        <v>0.60500001907348633</v>
      </c>
      <c r="F6" s="9">
        <v>9.0299997329711914</v>
      </c>
      <c r="G6" s="9">
        <v>0.90623962879180908</v>
      </c>
      <c r="H6" s="9">
        <v>6.6998898983001709E-2</v>
      </c>
      <c r="I6">
        <v>1.9999999552965164E-2</v>
      </c>
      <c r="J6"/>
    </row>
    <row r="7" spans="1:10" ht="15" customHeight="1" x14ac:dyDescent="0.15">
      <c r="A7" s="133">
        <v>6</v>
      </c>
      <c r="B7" s="133" t="s">
        <v>197</v>
      </c>
      <c r="C7" s="8">
        <v>3.3075053691864014</v>
      </c>
      <c r="D7" s="9">
        <v>0.2669999897480011</v>
      </c>
      <c r="E7" s="9">
        <v>1.7000000476837158</v>
      </c>
      <c r="F7" s="9">
        <v>36.5</v>
      </c>
      <c r="G7" s="9">
        <v>0.96382784843444824</v>
      </c>
      <c r="H7" s="9">
        <v>4.6575345098972321E-2</v>
      </c>
      <c r="I7">
        <v>5.299999937415123E-2</v>
      </c>
      <c r="J7"/>
    </row>
    <row r="8" spans="1:10" ht="15" customHeight="1" x14ac:dyDescent="0.15">
      <c r="A8" s="134">
        <v>7</v>
      </c>
      <c r="B8" s="134" t="s">
        <v>198</v>
      </c>
      <c r="C8" s="8">
        <v>3.19608473777771</v>
      </c>
      <c r="D8" s="9">
        <v>0.85000002384185791</v>
      </c>
      <c r="E8" s="9">
        <v>1.9199999570846558</v>
      </c>
      <c r="F8" s="9">
        <v>8.3529996871948242</v>
      </c>
      <c r="G8" s="9">
        <v>0.91709572076797485</v>
      </c>
      <c r="H8" s="9">
        <v>0.22985753417015076</v>
      </c>
      <c r="I8">
        <v>0.83300000429153442</v>
      </c>
      <c r="J8"/>
    </row>
    <row r="9" spans="1:10" ht="15" customHeight="1" x14ac:dyDescent="0.15">
      <c r="A9" s="135">
        <v>8</v>
      </c>
      <c r="B9" s="135" t="s">
        <v>199</v>
      </c>
      <c r="C9" s="8">
        <v>3.2496001720428467</v>
      </c>
      <c r="D9" s="9">
        <v>0.37999999523162842</v>
      </c>
      <c r="E9" s="9">
        <v>0.62000000476837158</v>
      </c>
      <c r="F9" s="9">
        <v>7.190000057220459</v>
      </c>
      <c r="G9" s="9">
        <v>0.93414473533630371</v>
      </c>
      <c r="H9" s="9">
        <v>8.6230874061584473E-2</v>
      </c>
      <c r="I9">
        <v>7.1999996900558472E-2</v>
      </c>
      <c r="J9"/>
    </row>
    <row r="10" spans="1:10" ht="15" customHeight="1" x14ac:dyDescent="0.15">
      <c r="A10" s="136">
        <v>9</v>
      </c>
      <c r="B10" s="136" t="s">
        <v>200</v>
      </c>
      <c r="C10" s="8">
        <v>3.3388805389404297</v>
      </c>
      <c r="D10" s="9">
        <v>0.47999998927116394</v>
      </c>
      <c r="E10" s="9">
        <v>0.56999999284744263</v>
      </c>
      <c r="F10" s="9">
        <v>6.679999828338623</v>
      </c>
      <c r="G10" s="9">
        <v>0.95193719863891602</v>
      </c>
      <c r="H10" s="9">
        <v>8.5329338908195496E-2</v>
      </c>
      <c r="I10">
        <v>0.12800000607967377</v>
      </c>
      <c r="J10"/>
    </row>
    <row r="11" spans="1:10" ht="15" customHeight="1" x14ac:dyDescent="0.15">
      <c r="A11" s="137">
        <v>10</v>
      </c>
      <c r="B11" s="137" t="s">
        <v>201</v>
      </c>
      <c r="C11" s="8">
        <v>3.2870731353759766</v>
      </c>
      <c r="D11" s="9">
        <v>0.23000000417232513</v>
      </c>
      <c r="E11" s="9">
        <v>0.63999998569488525</v>
      </c>
      <c r="F11" s="9">
        <v>4.9000000953674316</v>
      </c>
      <c r="G11" s="9">
        <v>0.91824048757553101</v>
      </c>
      <c r="H11" s="9">
        <v>0.13061223924160004</v>
      </c>
      <c r="I11">
        <v>9.3000002205371857E-2</v>
      </c>
      <c r="J11"/>
    </row>
    <row r="12" spans="1:10" ht="15" customHeight="1" x14ac:dyDescent="0.15">
      <c r="A12" s="138">
        <v>11</v>
      </c>
      <c r="B12" s="138" t="s">
        <v>202</v>
      </c>
      <c r="C12" s="8">
        <v>2.5833334922790527</v>
      </c>
      <c r="D12" s="9">
        <v>33.299999237060547</v>
      </c>
      <c r="E12" s="9">
        <v>1.1299999952316284</v>
      </c>
      <c r="F12" s="9">
        <v>9.8199996948242188</v>
      </c>
      <c r="G12" s="9">
        <v>0.93340200185775757</v>
      </c>
      <c r="H12" s="9">
        <v>0.11507128924131393</v>
      </c>
      <c r="I12">
        <v>2.6670000553131104</v>
      </c>
      <c r="J12"/>
    </row>
    <row r="13" spans="1:10" ht="15" customHeight="1" x14ac:dyDescent="0.15">
      <c r="A13" s="139">
        <v>12</v>
      </c>
      <c r="B13" s="139" t="s">
        <v>203</v>
      </c>
      <c r="C13" s="8">
        <v>2.0416667461395264</v>
      </c>
      <c r="D13" s="9">
        <v>8.1599998474121094</v>
      </c>
      <c r="E13" s="9">
        <v>40</v>
      </c>
      <c r="F13" s="9">
        <v>279.90200805664062</v>
      </c>
      <c r="G13" s="9">
        <v>0.97442328929901123</v>
      </c>
      <c r="H13" s="9">
        <v>0.14290715754032135</v>
      </c>
      <c r="I13">
        <v>0</v>
      </c>
      <c r="J13"/>
    </row>
    <row r="14" spans="1:10" ht="15" customHeight="1" x14ac:dyDescent="0.15">
      <c r="A14" s="140">
        <v>13</v>
      </c>
      <c r="B14" s="140" t="s">
        <v>204</v>
      </c>
      <c r="C14" s="8">
        <v>2.2092912197113037</v>
      </c>
      <c r="D14" s="9">
        <v>13.399999618530273</v>
      </c>
      <c r="E14" s="9">
        <v>3</v>
      </c>
      <c r="F14" s="9">
        <v>12.463000297546387</v>
      </c>
      <c r="G14" s="9">
        <v>0.97235012054443359</v>
      </c>
      <c r="H14" s="9">
        <v>0.24071250855922699</v>
      </c>
      <c r="I14">
        <v>0.68000000715255737</v>
      </c>
      <c r="J14"/>
    </row>
    <row r="15" spans="1:10" ht="15" customHeight="1" x14ac:dyDescent="0.15">
      <c r="A15" s="141">
        <v>14</v>
      </c>
      <c r="B15" s="141" t="s">
        <v>205</v>
      </c>
      <c r="C15" s="8">
        <v>1</v>
      </c>
      <c r="D15" s="9">
        <v>45</v>
      </c>
      <c r="E15" s="9">
        <v>70</v>
      </c>
      <c r="F15" s="10"/>
      <c r="G15" s="9">
        <v>0.74510592222213745</v>
      </c>
      <c r="H15" s="10"/>
      <c r="I15">
        <v>0</v>
      </c>
      <c r="J15"/>
    </row>
    <row r="16" spans="1:10" ht="15" customHeight="1" x14ac:dyDescent="0.15">
      <c r="A16" s="142">
        <v>15</v>
      </c>
      <c r="B16" s="142" t="s">
        <v>206</v>
      </c>
      <c r="C16" s="8">
        <v>1</v>
      </c>
      <c r="D16" s="9">
        <v>11.199999809265137</v>
      </c>
      <c r="E16" s="9">
        <v>12.5</v>
      </c>
      <c r="F16" s="10"/>
      <c r="G16" s="9">
        <v>0.60870504379272461</v>
      </c>
      <c r="H16" s="10"/>
      <c r="I16">
        <v>0</v>
      </c>
      <c r="J16"/>
    </row>
    <row r="17" spans="1:10" ht="15" customHeight="1" x14ac:dyDescent="0.15">
      <c r="A17" s="143">
        <v>16</v>
      </c>
      <c r="B17" s="143" t="s">
        <v>207</v>
      </c>
      <c r="C17" s="8">
        <v>1</v>
      </c>
      <c r="D17" s="9">
        <v>135</v>
      </c>
      <c r="E17" s="10"/>
      <c r="F17" s="10"/>
      <c r="G17" s="9">
        <v>2.2071389481425285E-2</v>
      </c>
      <c r="H17" s="10"/>
      <c r="I17">
        <v>0</v>
      </c>
      <c r="J17"/>
    </row>
    <row r="18" spans="1:10" ht="15" customHeight="1" x14ac:dyDescent="0.15">
      <c r="A18" s="144">
        <v>17</v>
      </c>
      <c r="B18" s="144" t="s">
        <v>208</v>
      </c>
      <c r="C18" s="8">
        <v>1</v>
      </c>
      <c r="D18" s="9">
        <v>5</v>
      </c>
      <c r="E18" s="10"/>
      <c r="F18" s="10"/>
      <c r="G18" s="7">
        <v>0</v>
      </c>
      <c r="H18" s="10"/>
      <c r="I18">
        <v>0</v>
      </c>
      <c r="J18"/>
    </row>
    <row r="19" spans="1:10" ht="15" customHeight="1" x14ac:dyDescent="0.15">
      <c r="A19" s="145">
        <v>18</v>
      </c>
      <c r="B19" s="145" t="s">
        <v>209</v>
      </c>
      <c r="C19" s="8">
        <v>3.8033168315887451</v>
      </c>
      <c r="D19" s="10"/>
      <c r="E19" s="10"/>
      <c r="F19" s="10"/>
      <c r="G19" s="10"/>
      <c r="H19" s="10"/>
      <c r="I19">
        <v>5.2280001640319824</v>
      </c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0" bestFit="1" customWidth="1"/>
    <col min="2" max="4" width="9.5" style="70" bestFit="1" customWidth="1"/>
    <col min="5" max="7" width="9" style="70" bestFit="1" customWidth="1"/>
    <col min="8" max="16" width="12.6640625" style="70" bestFit="1" customWidth="1"/>
    <col min="17" max="17" width="12.33203125" style="70" bestFit="1" customWidth="1"/>
    <col min="18" max="18" width="8.83203125" style="70"/>
    <col min="19" max="21" width="9.33203125" style="70" bestFit="1" customWidth="1"/>
    <col min="22" max="23" width="8.83203125" style="70"/>
    <col min="24" max="24" width="9.33203125" style="70" bestFit="1" customWidth="1"/>
    <col min="25" max="27" width="8.83203125" style="70"/>
    <col min="28" max="58" width="9" style="70" bestFit="1" customWidth="1"/>
    <col min="59" max="59" width="12.33203125" style="70" bestFit="1" customWidth="1"/>
    <col min="60" max="60" width="9" style="70" bestFit="1" customWidth="1"/>
    <col min="61" max="61" width="11.33203125" style="70" bestFit="1" customWidth="1"/>
    <col min="62" max="77" width="9" style="70" bestFit="1" customWidth="1"/>
    <col min="78" max="78" width="12.33203125" style="70" bestFit="1" customWidth="1"/>
    <col min="79" max="79" width="9" style="70" bestFit="1" customWidth="1"/>
    <col min="80" max="80" width="12.33203125" style="70" bestFit="1" customWidth="1"/>
    <col min="81" max="107" width="9" style="70" bestFit="1" customWidth="1"/>
    <col min="108" max="108" width="11.33203125" style="70" bestFit="1" customWidth="1"/>
    <col min="109" max="124" width="9" style="70" bestFit="1" customWidth="1"/>
    <col min="125" max="125" width="10.33203125" style="70" bestFit="1" customWidth="1"/>
    <col min="126" max="129" width="9.33203125" style="70" bestFit="1" customWidth="1"/>
    <col min="130" max="130" width="9" style="70" bestFit="1" customWidth="1"/>
    <col min="131" max="134" width="9.33203125" style="70" bestFit="1" customWidth="1"/>
    <col min="135" max="165" width="9" style="70" bestFit="1" customWidth="1"/>
    <col min="166" max="166" width="12.33203125" style="70" bestFit="1" customWidth="1"/>
    <col min="167" max="170" width="9" style="70" bestFit="1" customWidth="1"/>
    <col min="171" max="176" width="8.83203125" style="70"/>
    <col min="177" max="177" width="13.83203125" style="70" bestFit="1" customWidth="1"/>
    <col min="178" max="16384" width="8.83203125" style="7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214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0.40000000596046448</v>
      </c>
      <c r="C2">
        <v>6.8932943046092987E-2</v>
      </c>
      <c r="D2" s="173">
        <v>0.20731708407402039</v>
      </c>
      <c r="E2" s="182">
        <v>0.1237499937415123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0.56999999284744263</v>
      </c>
      <c r="C3">
        <v>9.8345458507537842E-2</v>
      </c>
      <c r="D3" s="174">
        <v>0.33272725343704224</v>
      </c>
      <c r="E3" s="22">
        <v>2.0127270370721817E-2</v>
      </c>
      <c r="F3" s="188">
        <v>0.11879999190568924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0.49000000953674316</v>
      </c>
      <c r="C4">
        <v>6.2846675515174866E-2</v>
      </c>
      <c r="D4" s="175">
        <v>0.23333333432674408</v>
      </c>
      <c r="E4" s="57">
        <v>2.7060000225901604E-2</v>
      </c>
      <c r="F4" s="185">
        <v>4.3559998273849487E-2</v>
      </c>
      <c r="G4" s="127">
        <v>0.12319999933242798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0.44999998807907104</v>
      </c>
      <c r="C5">
        <v>3.02843376994133E-2</v>
      </c>
      <c r="D5" s="176">
        <v>4.6026986092329025E-2</v>
      </c>
      <c r="E5" s="16">
        <v>8.2983514294028282E-3</v>
      </c>
      <c r="F5" s="198">
        <v>4.8980507999658585E-2</v>
      </c>
      <c r="G5" s="183">
        <v>5.037480965256691E-2</v>
      </c>
      <c r="H5" s="95">
        <v>0.26603499054908752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0.60500001907348633</v>
      </c>
      <c r="C6">
        <v>5.6725025177001953E-2</v>
      </c>
      <c r="D6" s="58">
        <v>2.4999998509883881E-2</v>
      </c>
      <c r="E6"/>
      <c r="F6" s="196">
        <v>0.24502500891685486</v>
      </c>
      <c r="G6" s="186">
        <v>5.2499998360872269E-2</v>
      </c>
      <c r="H6"/>
      <c r="I6" s="194">
        <v>0.22574999928474426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1.7000000476837158</v>
      </c>
      <c r="C7">
        <v>6.1492659151554108E-2</v>
      </c>
      <c r="D7" s="177">
        <v>0.19850188493728638</v>
      </c>
      <c r="E7"/>
      <c r="F7" s="189">
        <v>0.2753089964389801</v>
      </c>
      <c r="G7" s="190">
        <v>0.31460675597190857</v>
      </c>
      <c r="H7"/>
      <c r="I7"/>
      <c r="J7" s="195">
        <v>0.73000001907348633</v>
      </c>
      <c r="K7"/>
      <c r="L7"/>
      <c r="M7" s="60">
        <v>0.12008988857269287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1.9199999570846558</v>
      </c>
      <c r="C8">
        <v>0.15917621552944183</v>
      </c>
      <c r="D8" s="178">
        <v>0.97999995946884155</v>
      </c>
      <c r="E8" s="15">
        <v>2.4527646601200104E-2</v>
      </c>
      <c r="F8" s="18">
        <v>9.608822874724865E-3</v>
      </c>
      <c r="G8" s="65">
        <v>0.12352940440177917</v>
      </c>
      <c r="H8"/>
      <c r="I8"/>
      <c r="J8"/>
      <c r="K8" s="197">
        <v>0.375885009765625</v>
      </c>
      <c r="L8" s="16">
        <v>3.2143529504537582E-2</v>
      </c>
      <c r="M8" s="193">
        <v>0.18861176073551178</v>
      </c>
      <c r="N8" s="15">
        <v>2.6517648249864578E-2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0.62000000476837158</v>
      </c>
      <c r="C9">
        <v>4.0830265730619431E-2</v>
      </c>
      <c r="D9" s="179">
        <v>0.18947367370128632</v>
      </c>
      <c r="E9" s="20">
        <v>1.9421052187681198E-2</v>
      </c>
      <c r="F9" s="187">
        <v>0.11606448143720627</v>
      </c>
      <c r="G9" s="192">
        <v>0.25421053171157837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0.56999999284744263</v>
      </c>
      <c r="C10">
        <v>2.7395796030759811E-2</v>
      </c>
      <c r="D10" s="180">
        <v>0.26666668057441711</v>
      </c>
      <c r="E10" s="19">
        <v>1.5375000424683094E-2</v>
      </c>
      <c r="F10" s="124">
        <v>6.8062499165534973E-2</v>
      </c>
      <c r="G10" s="191">
        <v>0.19250001013278961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0.63999998569488525</v>
      </c>
      <c r="C11">
        <v>5.2326086908578873E-2</v>
      </c>
      <c r="D11" s="181">
        <v>0.40434783697128296</v>
      </c>
      <c r="E11" s="184">
        <v>0.11230435222387314</v>
      </c>
      <c r="F11" s="183">
        <v>7.1021735668182373E-2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1.1299999952316284</v>
      </c>
      <c r="C12">
        <v>7.5255736708641052E-2</v>
      </c>
      <c r="D12" s="60">
        <v>8.009009063243866E-2</v>
      </c>
      <c r="E12" s="13">
        <v>2.7813513297587633E-3</v>
      </c>
      <c r="F12" s="65">
        <v>7.2747163474559784E-2</v>
      </c>
      <c r="G12" s="201">
        <v>5.0198197364807129E-2</v>
      </c>
      <c r="H12" s="206">
        <v>0.55570614337921143</v>
      </c>
      <c r="I12" s="203">
        <v>8.4605403244495392E-2</v>
      </c>
      <c r="J12" s="204">
        <v>0.11998963356018066</v>
      </c>
      <c r="K12" s="199">
        <v>3.8378652185201645E-2</v>
      </c>
      <c r="L12" s="17">
        <v>2.1332493051886559E-2</v>
      </c>
      <c r="M12" s="17">
        <v>2.2146306931972504E-2</v>
      </c>
      <c r="N12" s="18">
        <v>6.7687695845961571E-3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40</v>
      </c>
      <c r="C13">
        <v>1.0230684280395508</v>
      </c>
      <c r="D13"/>
      <c r="E13"/>
      <c r="F13"/>
      <c r="G13"/>
      <c r="H13" s="63">
        <v>3.1065361499786377</v>
      </c>
      <c r="I13" s="15">
        <v>0.51789706945419312</v>
      </c>
      <c r="J13" s="15">
        <v>0.54937863349914551</v>
      </c>
      <c r="K13" s="13">
        <v>5.2206244319677353E-2</v>
      </c>
      <c r="L13" s="11">
        <v>3.683113306760788E-2</v>
      </c>
      <c r="M13" s="13">
        <v>3.929411992430687E-2</v>
      </c>
      <c r="N13" s="11">
        <v>1.3811275362968445E-2</v>
      </c>
      <c r="O13" s="210">
        <v>22.441587448120117</v>
      </c>
      <c r="P13" s="209">
        <v>11.196079254150391</v>
      </c>
      <c r="Q13" s="21">
        <v>1.0233100652694702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3</v>
      </c>
      <c r="C14">
        <v>8.2949638366699219E-2</v>
      </c>
      <c r="D14" s="16">
        <v>5.0746269524097443E-2</v>
      </c>
      <c r="E14" s="13">
        <v>8.8119404390454292E-3</v>
      </c>
      <c r="F14" s="13">
        <v>3.6570897791534662E-3</v>
      </c>
      <c r="G14" s="58">
        <v>0.12537313997745514</v>
      </c>
      <c r="H14" s="205">
        <v>0.37834829092025757</v>
      </c>
      <c r="I14"/>
      <c r="J14" s="19">
        <v>8.0000370740890503E-2</v>
      </c>
      <c r="K14" s="198">
        <v>0.32850977778434753</v>
      </c>
      <c r="L14" s="200">
        <v>0.11825941503047943</v>
      </c>
      <c r="M14" s="202">
        <v>0.14596298336982727</v>
      </c>
      <c r="N14" s="17">
        <v>5.7191051542758942E-2</v>
      </c>
      <c r="O14"/>
      <c r="P14"/>
      <c r="Q14" s="207">
        <v>1.620189905166626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70</v>
      </c>
      <c r="C15">
        <v>17.842584609985352</v>
      </c>
      <c r="D15"/>
      <c r="E15"/>
      <c r="F15"/>
      <c r="G15"/>
      <c r="H15"/>
      <c r="I15"/>
      <c r="J15"/>
      <c r="K15"/>
      <c r="L15"/>
      <c r="M15"/>
      <c r="N15"/>
      <c r="O15" s="201">
        <v>3.1973917484283447</v>
      </c>
      <c r="P15" s="211">
        <v>48.217784881591797</v>
      </c>
      <c r="Q15" s="14">
        <v>0.74224090576171875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12.5</v>
      </c>
      <c r="C16">
        <v>4.8911867141723633</v>
      </c>
      <c r="D16"/>
      <c r="E16"/>
      <c r="F16"/>
      <c r="G16"/>
      <c r="H16"/>
      <c r="I16"/>
      <c r="J16"/>
      <c r="K16" s="12">
        <v>4.754498228430748E-2</v>
      </c>
      <c r="L16" s="11">
        <v>4.8789288848638535E-3</v>
      </c>
      <c r="M16"/>
      <c r="N16"/>
      <c r="O16"/>
      <c r="P16" s="189">
        <v>2.0392858982086182</v>
      </c>
      <c r="Q16" s="208">
        <v>5.5171031951904297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/>
      <c r="C17">
        <v>2.2071389481425285E-2</v>
      </c>
      <c r="D17"/>
      <c r="E17"/>
      <c r="F17"/>
      <c r="G17"/>
      <c r="H17"/>
      <c r="I17"/>
      <c r="J17"/>
      <c r="K17" s="9">
        <v>0.14200098812580109</v>
      </c>
      <c r="L17" s="9">
        <v>5.4644003510475159E-2</v>
      </c>
      <c r="M17"/>
      <c r="N17"/>
      <c r="O17"/>
      <c r="P17"/>
      <c r="Q17" s="9">
        <v>41.751049041748047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/>
      <c r="C18">
        <v>0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5" t="s">
        <v>166</v>
      </c>
    </row>
    <row r="2" spans="1:12" x14ac:dyDescent="0.15">
      <c r="A2" s="1" t="s">
        <v>37</v>
      </c>
      <c r="B2" s="32">
        <v>3</v>
      </c>
      <c r="C2" s="30"/>
      <c r="D2" t="s">
        <v>38</v>
      </c>
      <c r="E2">
        <v>1</v>
      </c>
      <c r="F2">
        <v>1</v>
      </c>
      <c r="G2">
        <v>1</v>
      </c>
      <c r="H2" t="s">
        <v>38</v>
      </c>
      <c r="J2" s="48"/>
      <c r="K2" s="49"/>
      <c r="L2" s="55" t="s">
        <v>167</v>
      </c>
    </row>
    <row r="3" spans="1:12" ht="14" thickBot="1" x14ac:dyDescent="0.2">
      <c r="A3" s="1" t="s">
        <v>39</v>
      </c>
      <c r="B3" s="33">
        <v>0</v>
      </c>
      <c r="C3" s="3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0"/>
      <c r="K3" s="5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0"/>
      <c r="K4" s="51"/>
    </row>
    <row r="5" spans="1:12" x14ac:dyDescent="0.15">
      <c r="D5" s="165" t="s">
        <v>192</v>
      </c>
      <c r="E5">
        <v>4</v>
      </c>
      <c r="F5">
        <v>3.12</v>
      </c>
      <c r="G5">
        <v>4</v>
      </c>
      <c r="H5" s="166" t="s">
        <v>192</v>
      </c>
      <c r="J5" s="50"/>
      <c r="K5" s="51"/>
    </row>
    <row r="6" spans="1:12" ht="14" thickBot="1" x14ac:dyDescent="0.2">
      <c r="A6" s="34" t="s">
        <v>121</v>
      </c>
      <c r="D6" s="165" t="s">
        <v>193</v>
      </c>
      <c r="E6">
        <v>5</v>
      </c>
      <c r="F6">
        <v>3.12</v>
      </c>
      <c r="G6">
        <v>5</v>
      </c>
      <c r="H6" s="166" t="s">
        <v>193</v>
      </c>
      <c r="J6" s="50"/>
      <c r="K6" s="51"/>
    </row>
    <row r="7" spans="1:12" x14ac:dyDescent="0.15">
      <c r="A7" s="29" t="s">
        <v>126</v>
      </c>
      <c r="B7" s="36">
        <v>1</v>
      </c>
      <c r="C7" s="31"/>
      <c r="D7" s="165" t="s">
        <v>194</v>
      </c>
      <c r="E7">
        <v>6</v>
      </c>
      <c r="F7">
        <v>3.22</v>
      </c>
      <c r="G7">
        <v>6</v>
      </c>
      <c r="H7" s="166" t="s">
        <v>194</v>
      </c>
      <c r="J7" s="50"/>
      <c r="K7" s="51"/>
    </row>
    <row r="8" spans="1:12" x14ac:dyDescent="0.15">
      <c r="A8" s="29" t="s">
        <v>38</v>
      </c>
      <c r="B8" s="37">
        <v>1</v>
      </c>
      <c r="C8" s="31"/>
      <c r="D8" s="165" t="s">
        <v>195</v>
      </c>
      <c r="E8">
        <v>7</v>
      </c>
      <c r="F8">
        <v>3.12</v>
      </c>
      <c r="G8">
        <v>7</v>
      </c>
      <c r="H8" s="166" t="s">
        <v>195</v>
      </c>
      <c r="J8" s="50"/>
      <c r="K8" s="51"/>
    </row>
    <row r="9" spans="1:12" x14ac:dyDescent="0.15">
      <c r="A9" s="29" t="s">
        <v>40</v>
      </c>
      <c r="B9" s="37">
        <v>1.1000000000000001</v>
      </c>
      <c r="C9" s="31"/>
      <c r="D9" s="165" t="s">
        <v>196</v>
      </c>
      <c r="E9">
        <v>8</v>
      </c>
      <c r="F9">
        <v>3.12</v>
      </c>
      <c r="G9">
        <v>8</v>
      </c>
      <c r="H9" s="166" t="s">
        <v>196</v>
      </c>
      <c r="J9" s="50"/>
      <c r="K9" s="51"/>
    </row>
    <row r="10" spans="1:12" x14ac:dyDescent="0.15">
      <c r="A10" s="29" t="s">
        <v>41</v>
      </c>
      <c r="B10" s="37">
        <v>1.2</v>
      </c>
      <c r="C10" s="31"/>
      <c r="D10" s="165" t="s">
        <v>197</v>
      </c>
      <c r="E10">
        <v>9</v>
      </c>
      <c r="F10">
        <v>3.12</v>
      </c>
      <c r="G10">
        <v>9</v>
      </c>
      <c r="H10" s="166" t="s">
        <v>197</v>
      </c>
      <c r="J10" s="50"/>
      <c r="K10" s="51"/>
    </row>
    <row r="11" spans="1:12" ht="12" customHeight="1" x14ac:dyDescent="0.15">
      <c r="A11" s="35" t="s">
        <v>127</v>
      </c>
      <c r="B11" s="37">
        <v>2</v>
      </c>
      <c r="C11" s="31"/>
      <c r="D11" s="165" t="s">
        <v>198</v>
      </c>
      <c r="E11">
        <v>10</v>
      </c>
      <c r="F11">
        <v>3.2</v>
      </c>
      <c r="G11">
        <v>10</v>
      </c>
      <c r="H11" s="166" t="s">
        <v>198</v>
      </c>
      <c r="J11" s="50"/>
      <c r="K11" s="51"/>
    </row>
    <row r="12" spans="1:12" x14ac:dyDescent="0.15">
      <c r="A12" s="29" t="s">
        <v>42</v>
      </c>
      <c r="B12" s="37">
        <v>2.1</v>
      </c>
      <c r="C12" s="31"/>
      <c r="D12" s="165" t="s">
        <v>199</v>
      </c>
      <c r="E12">
        <v>11</v>
      </c>
      <c r="F12">
        <v>3.22</v>
      </c>
      <c r="G12">
        <v>11</v>
      </c>
      <c r="H12" s="166" t="s">
        <v>199</v>
      </c>
      <c r="J12" s="50"/>
      <c r="K12" s="51"/>
    </row>
    <row r="13" spans="1:12" x14ac:dyDescent="0.15">
      <c r="A13" s="29" t="s">
        <v>43</v>
      </c>
      <c r="B13" s="37">
        <v>2.2000000000000002</v>
      </c>
      <c r="C13" s="31"/>
      <c r="D13" s="165" t="s">
        <v>200</v>
      </c>
      <c r="E13">
        <v>12</v>
      </c>
      <c r="F13">
        <v>3.22</v>
      </c>
      <c r="G13">
        <v>12</v>
      </c>
      <c r="H13" s="166" t="s">
        <v>200</v>
      </c>
      <c r="J13" s="50"/>
      <c r="K13" s="51"/>
    </row>
    <row r="14" spans="1:12" x14ac:dyDescent="0.15">
      <c r="A14" s="29" t="s">
        <v>67</v>
      </c>
      <c r="B14" s="37">
        <v>2.2999999999999998</v>
      </c>
      <c r="C14" s="31"/>
      <c r="D14" s="165" t="s">
        <v>201</v>
      </c>
      <c r="E14">
        <v>13</v>
      </c>
      <c r="F14">
        <v>3.22</v>
      </c>
      <c r="G14">
        <v>13</v>
      </c>
      <c r="H14" s="166" t="s">
        <v>201</v>
      </c>
      <c r="J14" s="50"/>
      <c r="K14" s="51"/>
    </row>
    <row r="15" spans="1:12" x14ac:dyDescent="0.15">
      <c r="A15" s="35" t="s">
        <v>128</v>
      </c>
      <c r="B15" s="37">
        <v>3</v>
      </c>
      <c r="C15" s="31"/>
      <c r="D15" s="165" t="s">
        <v>202</v>
      </c>
      <c r="E15">
        <v>14</v>
      </c>
      <c r="F15">
        <v>3.12</v>
      </c>
      <c r="G15">
        <v>14</v>
      </c>
      <c r="H15" s="166" t="s">
        <v>202</v>
      </c>
      <c r="J15" s="50"/>
      <c r="K15" s="51"/>
    </row>
    <row r="16" spans="1:12" x14ac:dyDescent="0.15">
      <c r="A16" s="29" t="s">
        <v>62</v>
      </c>
      <c r="B16" s="37">
        <v>3.11</v>
      </c>
      <c r="C16" s="31"/>
      <c r="D16" s="165" t="s">
        <v>203</v>
      </c>
      <c r="E16">
        <v>15</v>
      </c>
      <c r="F16">
        <v>3.11</v>
      </c>
      <c r="G16">
        <v>15</v>
      </c>
      <c r="H16" s="166" t="s">
        <v>203</v>
      </c>
      <c r="J16" s="50"/>
      <c r="K16" s="51"/>
    </row>
    <row r="17" spans="1:12" x14ac:dyDescent="0.15">
      <c r="A17" s="29" t="s">
        <v>61</v>
      </c>
      <c r="B17" s="37">
        <v>3.12</v>
      </c>
      <c r="C17" s="31"/>
      <c r="D17" s="165" t="s">
        <v>204</v>
      </c>
      <c r="E17">
        <v>16</v>
      </c>
      <c r="F17">
        <v>3.2</v>
      </c>
      <c r="G17">
        <v>16</v>
      </c>
      <c r="H17" s="166" t="s">
        <v>204</v>
      </c>
      <c r="J17" s="50"/>
      <c r="K17" s="51"/>
    </row>
    <row r="18" spans="1:12" x14ac:dyDescent="0.15">
      <c r="A18" s="29" t="s">
        <v>68</v>
      </c>
      <c r="B18" s="37">
        <v>3.13</v>
      </c>
      <c r="C18" s="31"/>
      <c r="D18" s="165" t="s">
        <v>205</v>
      </c>
      <c r="E18">
        <v>17</v>
      </c>
      <c r="F18">
        <v>2</v>
      </c>
      <c r="G18">
        <v>17</v>
      </c>
      <c r="H18" s="166" t="s">
        <v>205</v>
      </c>
      <c r="J18" s="50"/>
      <c r="K18" s="51"/>
    </row>
    <row r="19" spans="1:12" x14ac:dyDescent="0.15">
      <c r="A19" s="29" t="s">
        <v>66</v>
      </c>
      <c r="B19" s="37">
        <v>3.21</v>
      </c>
      <c r="C19" s="31"/>
      <c r="D19" s="165" t="s">
        <v>206</v>
      </c>
      <c r="E19">
        <v>18</v>
      </c>
      <c r="F19">
        <v>2</v>
      </c>
      <c r="G19">
        <v>18</v>
      </c>
      <c r="H19" s="166" t="s">
        <v>206</v>
      </c>
      <c r="J19" s="50"/>
      <c r="K19" s="51"/>
    </row>
    <row r="20" spans="1:12" x14ac:dyDescent="0.15">
      <c r="A20" s="29" t="s">
        <v>63</v>
      </c>
      <c r="B20" s="37">
        <v>3.22</v>
      </c>
      <c r="C20" s="31"/>
      <c r="D20" s="165" t="s">
        <v>207</v>
      </c>
      <c r="E20">
        <v>19</v>
      </c>
      <c r="F20">
        <v>4.0999999999999996</v>
      </c>
      <c r="G20">
        <v>19</v>
      </c>
      <c r="H20" s="166" t="s">
        <v>207</v>
      </c>
      <c r="J20" s="50"/>
      <c r="K20" s="51"/>
    </row>
    <row r="21" spans="1:12" ht="14" thickBot="1" x14ac:dyDescent="0.2">
      <c r="A21" s="29" t="s">
        <v>69</v>
      </c>
      <c r="B21" s="37">
        <v>3.23</v>
      </c>
      <c r="C21" s="31"/>
      <c r="D21" s="165" t="s">
        <v>208</v>
      </c>
      <c r="E21">
        <v>20</v>
      </c>
      <c r="F21">
        <v>4.3</v>
      </c>
      <c r="G21">
        <v>20</v>
      </c>
      <c r="H21" s="166" t="s">
        <v>208</v>
      </c>
      <c r="J21" s="52"/>
      <c r="K21" s="53"/>
      <c r="L21" s="55" t="s">
        <v>152</v>
      </c>
    </row>
    <row r="22" spans="1:12" x14ac:dyDescent="0.15">
      <c r="A22" s="29" t="s">
        <v>64</v>
      </c>
      <c r="B22" s="37">
        <v>8</v>
      </c>
      <c r="C22" s="31"/>
      <c r="D22" s="165" t="s">
        <v>209</v>
      </c>
      <c r="E22">
        <v>21</v>
      </c>
      <c r="F22">
        <v>5</v>
      </c>
      <c r="G22">
        <v>21</v>
      </c>
      <c r="H22" s="166" t="s">
        <v>209</v>
      </c>
    </row>
    <row r="23" spans="1:12" x14ac:dyDescent="0.15">
      <c r="A23" s="29" t="s">
        <v>129</v>
      </c>
      <c r="B23" s="37">
        <v>4</v>
      </c>
      <c r="C23" s="31"/>
      <c r="D23" s="165" t="s">
        <v>138</v>
      </c>
      <c r="E23">
        <v>22</v>
      </c>
      <c r="F23">
        <v>6.1</v>
      </c>
      <c r="G23">
        <v>22</v>
      </c>
      <c r="H23" s="166" t="s">
        <v>138</v>
      </c>
    </row>
    <row r="24" spans="1:12" x14ac:dyDescent="0.15">
      <c r="A24" s="29" t="s">
        <v>122</v>
      </c>
      <c r="B24" s="37">
        <v>4.0999999999999996</v>
      </c>
      <c r="C24" s="31"/>
      <c r="D24" s="165" t="s">
        <v>45</v>
      </c>
      <c r="E24">
        <v>23</v>
      </c>
      <c r="F24">
        <v>6.2</v>
      </c>
      <c r="G24">
        <v>23</v>
      </c>
      <c r="H24" s="166" t="s">
        <v>45</v>
      </c>
    </row>
    <row r="25" spans="1:12" x14ac:dyDescent="0.15">
      <c r="A25" s="29" t="s">
        <v>70</v>
      </c>
      <c r="B25" s="37">
        <v>4.2</v>
      </c>
      <c r="C25" s="31"/>
    </row>
    <row r="26" spans="1:12" x14ac:dyDescent="0.15">
      <c r="A26" s="29" t="s">
        <v>123</v>
      </c>
      <c r="B26" s="37">
        <v>4.3</v>
      </c>
      <c r="C26" s="31"/>
    </row>
    <row r="27" spans="1:12" x14ac:dyDescent="0.15">
      <c r="A27" s="29" t="s">
        <v>125</v>
      </c>
      <c r="B27" s="37">
        <v>6.1</v>
      </c>
    </row>
    <row r="28" spans="1:12" x14ac:dyDescent="0.15">
      <c r="A28" s="29" t="s">
        <v>124</v>
      </c>
      <c r="B28" s="37">
        <v>6.2</v>
      </c>
    </row>
    <row r="29" spans="1:12" x14ac:dyDescent="0.15">
      <c r="A29" s="29" t="s">
        <v>44</v>
      </c>
      <c r="B29" s="37">
        <v>5</v>
      </c>
    </row>
    <row r="30" spans="1:12" x14ac:dyDescent="0.15">
      <c r="A30" s="29" t="s">
        <v>73</v>
      </c>
      <c r="B30" s="37">
        <v>7</v>
      </c>
    </row>
    <row r="31" spans="1:12" x14ac:dyDescent="0.15">
      <c r="A31" s="29" t="s">
        <v>169</v>
      </c>
      <c r="B31" s="37">
        <v>3.14</v>
      </c>
    </row>
    <row r="32" spans="1:12" ht="12" customHeight="1" thickBot="1" x14ac:dyDescent="0.2">
      <c r="A32" s="35" t="s">
        <v>170</v>
      </c>
      <c r="B32" s="38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1" bestFit="1" customWidth="1"/>
    <col min="2" max="2" width="12.83203125" style="70" customWidth="1"/>
    <col min="3" max="3" width="13.1640625" style="70" customWidth="1"/>
    <col min="4" max="4" width="5.33203125" style="70" customWidth="1"/>
    <col min="5" max="5" width="12.83203125" style="70" customWidth="1"/>
    <col min="6" max="6" width="21.6640625" style="70" bestFit="1" customWidth="1"/>
    <col min="7" max="9" width="2.33203125" style="70" customWidth="1"/>
    <col min="10" max="10" width="2.33203125" style="70" bestFit="1" customWidth="1"/>
    <col min="11" max="15" width="2.33203125" style="70" customWidth="1"/>
    <col min="16" max="16" width="2.33203125" style="61" customWidth="1"/>
    <col min="17" max="17" width="2.33203125" style="70" customWidth="1"/>
    <col min="18" max="18" width="2.33203125" style="62" customWidth="1"/>
    <col min="19" max="16384" width="11.5" style="70"/>
  </cols>
  <sheetData>
    <row r="1" spans="1:23" ht="15" customHeight="1" thickBot="1" x14ac:dyDescent="0.2">
      <c r="F1" s="1"/>
      <c r="G1" s="59" t="s">
        <v>46</v>
      </c>
      <c r="H1" s="59" t="s">
        <v>47</v>
      </c>
      <c r="I1" s="59" t="s">
        <v>120</v>
      </c>
      <c r="J1" s="59" t="s">
        <v>132</v>
      </c>
      <c r="K1" s="72" t="s">
        <v>48</v>
      </c>
      <c r="L1" s="62"/>
      <c r="M1" s="72" t="s">
        <v>119</v>
      </c>
      <c r="N1" s="62"/>
      <c r="O1" s="72" t="s">
        <v>49</v>
      </c>
      <c r="P1" s="64"/>
      <c r="Q1" s="72" t="s">
        <v>50</v>
      </c>
      <c r="R1" s="59" t="s">
        <v>154</v>
      </c>
    </row>
    <row r="2" spans="1:23" ht="15" customHeight="1" x14ac:dyDescent="0.15">
      <c r="A2" s="72" t="s">
        <v>51</v>
      </c>
      <c r="B2" s="73">
        <v>0.5</v>
      </c>
      <c r="C2" s="71" t="s">
        <v>52</v>
      </c>
      <c r="D2" s="74"/>
      <c r="F2" s="1"/>
      <c r="G2" s="75"/>
      <c r="H2" s="75"/>
      <c r="I2" s="75" t="s">
        <v>133</v>
      </c>
      <c r="J2" s="75" t="s">
        <v>133</v>
      </c>
      <c r="K2" s="75" t="s">
        <v>52</v>
      </c>
      <c r="L2" s="75" t="s">
        <v>53</v>
      </c>
      <c r="M2" s="75" t="s">
        <v>52</v>
      </c>
      <c r="N2" s="75" t="s">
        <v>53</v>
      </c>
      <c r="O2" s="75" t="s">
        <v>52</v>
      </c>
      <c r="P2" s="76" t="s">
        <v>53</v>
      </c>
      <c r="Q2" s="75"/>
      <c r="R2" s="77" t="s">
        <v>155</v>
      </c>
    </row>
    <row r="3" spans="1:23" ht="15" customHeight="1" thickBot="1" x14ac:dyDescent="0.2">
      <c r="A3" s="72" t="s">
        <v>54</v>
      </c>
      <c r="B3" s="78">
        <v>0.5</v>
      </c>
      <c r="C3" s="71" t="s">
        <v>53</v>
      </c>
      <c r="D3" s="7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3">
        <v>0</v>
      </c>
      <c r="R3" s="3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3">
        <v>0</v>
      </c>
      <c r="R4" s="96">
        <v>0</v>
      </c>
    </row>
    <row r="5" spans="1:23" ht="15" customHeight="1" x14ac:dyDescent="0.15">
      <c r="A5" s="72" t="s">
        <v>55</v>
      </c>
      <c r="B5" s="79">
        <v>0.5</v>
      </c>
      <c r="C5" s="71" t="s">
        <v>52</v>
      </c>
      <c r="D5" s="7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3">
        <v>0</v>
      </c>
      <c r="R5" s="96">
        <v>0</v>
      </c>
    </row>
    <row r="6" spans="1:23" ht="15" customHeight="1" thickBot="1" x14ac:dyDescent="0.2">
      <c r="A6" s="72"/>
      <c r="B6" s="80">
        <v>0.5</v>
      </c>
      <c r="C6" s="71" t="s">
        <v>53</v>
      </c>
      <c r="D6" s="74"/>
      <c r="F6" s="167" t="s">
        <v>192</v>
      </c>
      <c r="G6" s="70">
        <v>0</v>
      </c>
      <c r="H6" s="70">
        <v>0</v>
      </c>
      <c r="I6" s="70">
        <v>0</v>
      </c>
      <c r="J6" s="70">
        <v>0</v>
      </c>
      <c r="K6" s="70">
        <v>1</v>
      </c>
      <c r="L6" s="70">
        <v>0</v>
      </c>
      <c r="M6" s="70">
        <v>1</v>
      </c>
      <c r="N6" s="70">
        <v>0</v>
      </c>
      <c r="O6" s="70">
        <v>1</v>
      </c>
      <c r="P6" s="61">
        <v>0</v>
      </c>
      <c r="Q6" s="70">
        <v>0</v>
      </c>
      <c r="R6" s="62">
        <v>1</v>
      </c>
      <c r="S6"/>
      <c r="T6"/>
    </row>
    <row r="7" spans="1:23" ht="15" customHeight="1" thickBot="1" x14ac:dyDescent="0.2">
      <c r="F7" s="167" t="s">
        <v>193</v>
      </c>
      <c r="G7" s="70">
        <v>0</v>
      </c>
      <c r="H7" s="70">
        <v>0</v>
      </c>
      <c r="I7" s="70">
        <v>0</v>
      </c>
      <c r="J7" s="70">
        <v>0</v>
      </c>
      <c r="K7" s="70">
        <v>1</v>
      </c>
      <c r="L7" s="70">
        <v>0</v>
      </c>
      <c r="M7" s="70">
        <v>1</v>
      </c>
      <c r="N7" s="70">
        <v>0</v>
      </c>
      <c r="O7" s="70">
        <v>1</v>
      </c>
      <c r="P7" s="61">
        <v>0</v>
      </c>
      <c r="Q7" s="70">
        <v>0</v>
      </c>
      <c r="R7" s="62">
        <v>1</v>
      </c>
      <c r="S7"/>
      <c r="T7"/>
    </row>
    <row r="8" spans="1:23" ht="15" customHeight="1" x14ac:dyDescent="0.15">
      <c r="A8" s="72" t="s">
        <v>56</v>
      </c>
      <c r="B8" s="79">
        <v>0.95744680851063835</v>
      </c>
      <c r="C8" s="168" t="s">
        <v>205</v>
      </c>
      <c r="D8" s="74" t="s">
        <v>160</v>
      </c>
      <c r="F8" s="167" t="s">
        <v>194</v>
      </c>
      <c r="G8" s="70">
        <v>0</v>
      </c>
      <c r="H8" s="70">
        <v>0</v>
      </c>
      <c r="I8" s="70">
        <v>0</v>
      </c>
      <c r="J8" s="70">
        <v>0</v>
      </c>
      <c r="K8" s="70">
        <v>1</v>
      </c>
      <c r="L8" s="70">
        <v>0</v>
      </c>
      <c r="M8" s="70">
        <v>1</v>
      </c>
      <c r="N8" s="70">
        <v>0</v>
      </c>
      <c r="O8" s="70">
        <v>1</v>
      </c>
      <c r="P8" s="61">
        <v>0</v>
      </c>
      <c r="Q8" s="70">
        <v>0</v>
      </c>
      <c r="R8" s="62">
        <v>1</v>
      </c>
      <c r="S8"/>
      <c r="T8"/>
      <c r="W8"/>
    </row>
    <row r="9" spans="1:23" ht="15" customHeight="1" x14ac:dyDescent="0.15">
      <c r="A9" s="110" t="s">
        <v>168</v>
      </c>
      <c r="B9" s="81">
        <v>4.2553191489361701E-2</v>
      </c>
      <c r="C9" s="168" t="s">
        <v>206</v>
      </c>
      <c r="D9" s="74" t="s">
        <v>160</v>
      </c>
      <c r="F9" s="167" t="s">
        <v>195</v>
      </c>
      <c r="G9" s="70">
        <v>0</v>
      </c>
      <c r="H9" s="70">
        <v>0</v>
      </c>
      <c r="I9" s="70">
        <v>0</v>
      </c>
      <c r="J9" s="70">
        <v>0</v>
      </c>
      <c r="K9" s="70">
        <v>1</v>
      </c>
      <c r="L9" s="70">
        <v>0</v>
      </c>
      <c r="M9" s="70">
        <v>1</v>
      </c>
      <c r="N9" s="70">
        <v>0</v>
      </c>
      <c r="O9" s="70">
        <v>1</v>
      </c>
      <c r="P9" s="61">
        <v>0</v>
      </c>
      <c r="Q9" s="70">
        <v>0</v>
      </c>
      <c r="R9" s="62">
        <v>1</v>
      </c>
      <c r="S9"/>
      <c r="T9"/>
      <c r="W9"/>
    </row>
    <row r="10" spans="1:23" ht="15" customHeight="1" x14ac:dyDescent="0.15">
      <c r="B10" s="81"/>
      <c r="C10" s="69"/>
      <c r="D10" s="74" t="s">
        <v>160</v>
      </c>
      <c r="F10" s="167" t="s">
        <v>196</v>
      </c>
      <c r="G10" s="70">
        <v>0</v>
      </c>
      <c r="H10" s="70">
        <v>0</v>
      </c>
      <c r="I10" s="70">
        <v>0</v>
      </c>
      <c r="J10" s="70">
        <v>0</v>
      </c>
      <c r="K10" s="70">
        <v>1</v>
      </c>
      <c r="L10" s="70">
        <v>0</v>
      </c>
      <c r="M10" s="70">
        <v>1</v>
      </c>
      <c r="N10" s="70">
        <v>0</v>
      </c>
      <c r="O10" s="70">
        <v>1</v>
      </c>
      <c r="P10" s="61">
        <v>0</v>
      </c>
      <c r="Q10" s="70">
        <v>0</v>
      </c>
      <c r="R10" s="62">
        <v>1</v>
      </c>
      <c r="S10"/>
      <c r="T10"/>
      <c r="W10"/>
    </row>
    <row r="11" spans="1:23" ht="15" customHeight="1" x14ac:dyDescent="0.15">
      <c r="A11" s="72"/>
      <c r="B11" s="81"/>
      <c r="C11" s="84"/>
      <c r="D11" s="74" t="s">
        <v>160</v>
      </c>
      <c r="F11" s="167" t="s">
        <v>197</v>
      </c>
      <c r="G11" s="70">
        <v>0</v>
      </c>
      <c r="H11" s="70">
        <v>0</v>
      </c>
      <c r="I11" s="70">
        <v>0</v>
      </c>
      <c r="J11" s="70">
        <v>0</v>
      </c>
      <c r="K11" s="70">
        <v>1</v>
      </c>
      <c r="L11" s="70">
        <v>0</v>
      </c>
      <c r="M11" s="70">
        <v>1</v>
      </c>
      <c r="N11" s="70">
        <v>0</v>
      </c>
      <c r="O11" s="70">
        <v>1</v>
      </c>
      <c r="P11" s="61">
        <v>0</v>
      </c>
      <c r="Q11" s="70">
        <v>0</v>
      </c>
      <c r="R11" s="62">
        <v>1</v>
      </c>
      <c r="S11"/>
      <c r="T11"/>
      <c r="W11"/>
    </row>
    <row r="12" spans="1:23" ht="15" customHeight="1" x14ac:dyDescent="0.15">
      <c r="B12" s="81"/>
      <c r="C12" s="85"/>
      <c r="D12" s="74" t="s">
        <v>160</v>
      </c>
      <c r="F12" s="167" t="s">
        <v>198</v>
      </c>
      <c r="G12" s="70">
        <v>0</v>
      </c>
      <c r="H12" s="70">
        <v>0</v>
      </c>
      <c r="I12" s="70">
        <v>0</v>
      </c>
      <c r="J12" s="70">
        <v>0</v>
      </c>
      <c r="K12" s="70">
        <v>1</v>
      </c>
      <c r="L12" s="70">
        <v>0</v>
      </c>
      <c r="M12" s="70">
        <v>1</v>
      </c>
      <c r="N12" s="70">
        <v>0</v>
      </c>
      <c r="O12" s="70">
        <v>1</v>
      </c>
      <c r="P12" s="61">
        <v>0</v>
      </c>
      <c r="Q12" s="70">
        <v>0</v>
      </c>
      <c r="R12" s="62">
        <v>1</v>
      </c>
      <c r="S12"/>
      <c r="T12"/>
      <c r="W12"/>
    </row>
    <row r="13" spans="1:23" ht="15" customHeight="1" x14ac:dyDescent="0.15">
      <c r="B13" s="81"/>
      <c r="C13" s="85"/>
      <c r="D13" s="74" t="s">
        <v>160</v>
      </c>
      <c r="F13" s="167" t="s">
        <v>199</v>
      </c>
      <c r="G13" s="70">
        <v>0</v>
      </c>
      <c r="H13" s="70">
        <v>0</v>
      </c>
      <c r="I13" s="70">
        <v>0</v>
      </c>
      <c r="J13" s="70">
        <v>0</v>
      </c>
      <c r="K13" s="70">
        <v>1</v>
      </c>
      <c r="L13" s="70">
        <v>0</v>
      </c>
      <c r="M13" s="70">
        <v>1</v>
      </c>
      <c r="N13" s="70">
        <v>0</v>
      </c>
      <c r="O13" s="70">
        <v>1</v>
      </c>
      <c r="P13" s="61">
        <v>0</v>
      </c>
      <c r="Q13" s="70">
        <v>0</v>
      </c>
      <c r="R13" s="62">
        <v>1</v>
      </c>
      <c r="S13"/>
      <c r="T13"/>
      <c r="W13"/>
    </row>
    <row r="14" spans="1:23" ht="15" customHeight="1" x14ac:dyDescent="0.15">
      <c r="B14" s="81"/>
      <c r="C14" s="69"/>
      <c r="D14" s="74" t="s">
        <v>160</v>
      </c>
      <c r="F14" s="167" t="s">
        <v>200</v>
      </c>
      <c r="G14" s="70">
        <v>0</v>
      </c>
      <c r="H14" s="70">
        <v>0</v>
      </c>
      <c r="I14" s="70">
        <v>0</v>
      </c>
      <c r="J14" s="70">
        <v>0</v>
      </c>
      <c r="K14" s="70">
        <v>1</v>
      </c>
      <c r="L14" s="70">
        <v>0</v>
      </c>
      <c r="M14" s="70">
        <v>1</v>
      </c>
      <c r="N14" s="70">
        <v>0</v>
      </c>
      <c r="O14" s="70">
        <v>1</v>
      </c>
      <c r="P14" s="61">
        <v>0</v>
      </c>
      <c r="Q14" s="70">
        <v>0</v>
      </c>
      <c r="R14" s="62">
        <v>1</v>
      </c>
      <c r="S14"/>
      <c r="T14"/>
      <c r="W14"/>
    </row>
    <row r="15" spans="1:23" ht="15" customHeight="1" x14ac:dyDescent="0.15">
      <c r="B15" s="81"/>
      <c r="C15" s="69"/>
      <c r="D15" s="74" t="s">
        <v>160</v>
      </c>
      <c r="F15" s="167" t="s">
        <v>201</v>
      </c>
      <c r="G15" s="70">
        <v>0</v>
      </c>
      <c r="H15" s="70">
        <v>0</v>
      </c>
      <c r="I15" s="70">
        <v>0</v>
      </c>
      <c r="J15" s="70">
        <v>0</v>
      </c>
      <c r="K15" s="70">
        <v>1</v>
      </c>
      <c r="L15" s="70">
        <v>0</v>
      </c>
      <c r="M15" s="70">
        <v>1</v>
      </c>
      <c r="N15" s="70">
        <v>0</v>
      </c>
      <c r="O15" s="70">
        <v>1</v>
      </c>
      <c r="P15" s="61">
        <v>0</v>
      </c>
      <c r="Q15" s="70">
        <v>0</v>
      </c>
      <c r="R15" s="62">
        <v>1</v>
      </c>
      <c r="S15"/>
      <c r="T15"/>
      <c r="W15"/>
    </row>
    <row r="16" spans="1:23" ht="15" customHeight="1" x14ac:dyDescent="0.15">
      <c r="B16" s="81"/>
      <c r="C16" s="69"/>
      <c r="D16" s="74" t="s">
        <v>160</v>
      </c>
      <c r="F16" s="167" t="s">
        <v>202</v>
      </c>
      <c r="G16" s="70">
        <v>0</v>
      </c>
      <c r="H16" s="70">
        <v>0</v>
      </c>
      <c r="I16" s="70">
        <v>0</v>
      </c>
      <c r="J16" s="70">
        <v>0</v>
      </c>
      <c r="K16" s="70">
        <v>1</v>
      </c>
      <c r="L16" s="70">
        <v>0</v>
      </c>
      <c r="M16" s="70">
        <v>1</v>
      </c>
      <c r="N16" s="70">
        <v>0</v>
      </c>
      <c r="O16" s="70">
        <v>1</v>
      </c>
      <c r="P16" s="61">
        <v>0</v>
      </c>
      <c r="Q16" s="70">
        <v>0</v>
      </c>
      <c r="R16" s="62">
        <v>1</v>
      </c>
      <c r="S16"/>
      <c r="T16"/>
    </row>
    <row r="17" spans="1:20" ht="15" customHeight="1" thickBot="1" x14ac:dyDescent="0.2">
      <c r="B17" s="80"/>
      <c r="C17" s="69"/>
      <c r="D17" s="74" t="s">
        <v>160</v>
      </c>
      <c r="F17" s="167" t="s">
        <v>203</v>
      </c>
      <c r="G17" s="70">
        <v>0</v>
      </c>
      <c r="H17" s="70">
        <v>0</v>
      </c>
      <c r="I17" s="70">
        <v>0</v>
      </c>
      <c r="J17" s="70">
        <v>0</v>
      </c>
      <c r="K17" s="70">
        <v>1</v>
      </c>
      <c r="L17" s="70">
        <v>0</v>
      </c>
      <c r="M17" s="70">
        <v>1</v>
      </c>
      <c r="N17" s="70">
        <v>0</v>
      </c>
      <c r="O17" s="70">
        <v>1</v>
      </c>
      <c r="P17" s="61">
        <v>0</v>
      </c>
      <c r="Q17" s="70">
        <v>0</v>
      </c>
      <c r="R17" s="62">
        <v>1</v>
      </c>
      <c r="S17"/>
      <c r="T17"/>
    </row>
    <row r="18" spans="1:20" ht="15" customHeight="1" thickBot="1" x14ac:dyDescent="0.2">
      <c r="B18" s="82"/>
      <c r="F18" s="167" t="s">
        <v>204</v>
      </c>
      <c r="G18" s="70">
        <v>0</v>
      </c>
      <c r="H18" s="70">
        <v>0</v>
      </c>
      <c r="I18" s="70">
        <v>0</v>
      </c>
      <c r="J18" s="70">
        <v>0</v>
      </c>
      <c r="K18" s="70">
        <v>1</v>
      </c>
      <c r="L18" s="70">
        <v>0</v>
      </c>
      <c r="M18" s="70">
        <v>1</v>
      </c>
      <c r="N18" s="70">
        <v>0</v>
      </c>
      <c r="O18" s="70">
        <v>1</v>
      </c>
      <c r="P18" s="61">
        <v>0</v>
      </c>
      <c r="Q18" s="70">
        <v>0</v>
      </c>
      <c r="R18" s="62">
        <v>1</v>
      </c>
      <c r="S18"/>
      <c r="T18"/>
    </row>
    <row r="19" spans="1:20" ht="15" customHeight="1" x14ac:dyDescent="0.15">
      <c r="A19" s="72" t="s">
        <v>57</v>
      </c>
      <c r="B19" s="79">
        <v>0.95744680851063835</v>
      </c>
      <c r="C19" s="169" t="s">
        <v>205</v>
      </c>
      <c r="D19" s="74" t="s">
        <v>160</v>
      </c>
      <c r="F19" s="167" t="s">
        <v>205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61">
        <v>0</v>
      </c>
      <c r="Q19" s="70">
        <v>0</v>
      </c>
      <c r="R19" s="62">
        <v>1</v>
      </c>
      <c r="S19"/>
      <c r="T19"/>
    </row>
    <row r="20" spans="1:20" ht="15" customHeight="1" x14ac:dyDescent="0.15">
      <c r="A20" s="110" t="s">
        <v>168</v>
      </c>
      <c r="B20" s="81">
        <v>4.2553191489361701E-2</v>
      </c>
      <c r="C20" s="169" t="s">
        <v>206</v>
      </c>
      <c r="D20" s="74" t="s">
        <v>160</v>
      </c>
      <c r="F20" s="167" t="s">
        <v>206</v>
      </c>
      <c r="G20" s="70">
        <v>0</v>
      </c>
      <c r="H20" s="70">
        <v>0</v>
      </c>
      <c r="I20" s="70">
        <v>0</v>
      </c>
      <c r="J20" s="70">
        <v>0</v>
      </c>
      <c r="K20" s="70">
        <v>0</v>
      </c>
      <c r="L20" s="70">
        <v>0</v>
      </c>
      <c r="M20" s="70">
        <v>1</v>
      </c>
      <c r="N20" s="70">
        <v>0</v>
      </c>
      <c r="O20" s="70">
        <v>0</v>
      </c>
      <c r="P20" s="61">
        <v>0</v>
      </c>
      <c r="Q20" s="70">
        <v>0</v>
      </c>
      <c r="R20" s="62">
        <v>1</v>
      </c>
      <c r="S20"/>
      <c r="T20"/>
    </row>
    <row r="21" spans="1:20" ht="15" customHeight="1" x14ac:dyDescent="0.15">
      <c r="B21" s="81"/>
      <c r="C21" s="69"/>
      <c r="D21" s="74" t="s">
        <v>160</v>
      </c>
      <c r="F21" s="167" t="s">
        <v>207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1</v>
      </c>
      <c r="M21" s="70">
        <v>0</v>
      </c>
      <c r="N21" s="70">
        <v>1</v>
      </c>
      <c r="O21" s="70">
        <v>0</v>
      </c>
      <c r="P21" s="61">
        <v>1</v>
      </c>
      <c r="Q21" s="70">
        <v>0</v>
      </c>
      <c r="R21" s="62">
        <v>1</v>
      </c>
      <c r="S21"/>
      <c r="T21"/>
    </row>
    <row r="22" spans="1:20" ht="15" customHeight="1" x14ac:dyDescent="0.15">
      <c r="A22" s="70"/>
      <c r="B22" s="81"/>
      <c r="C22" s="84"/>
      <c r="D22" s="74" t="s">
        <v>160</v>
      </c>
      <c r="F22" s="167" t="s">
        <v>208</v>
      </c>
      <c r="G22" s="70">
        <v>0</v>
      </c>
      <c r="H22" s="70">
        <v>0</v>
      </c>
      <c r="I22" s="70">
        <v>0</v>
      </c>
      <c r="J22" s="70">
        <v>0</v>
      </c>
      <c r="K22" s="70">
        <v>0</v>
      </c>
      <c r="L22" s="70">
        <v>1</v>
      </c>
      <c r="M22" s="70">
        <v>0</v>
      </c>
      <c r="N22" s="70">
        <v>1</v>
      </c>
      <c r="O22" s="70">
        <v>0</v>
      </c>
      <c r="P22" s="61">
        <v>1</v>
      </c>
      <c r="Q22" s="70">
        <v>0</v>
      </c>
      <c r="R22" s="62">
        <v>1</v>
      </c>
      <c r="S22"/>
      <c r="T22"/>
    </row>
    <row r="23" spans="1:20" ht="15" customHeight="1" x14ac:dyDescent="0.15">
      <c r="A23" s="70"/>
      <c r="B23" s="81"/>
      <c r="C23" s="85"/>
      <c r="D23" s="74" t="s">
        <v>160</v>
      </c>
      <c r="F23" s="167" t="s">
        <v>209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1</v>
      </c>
      <c r="M23" s="70">
        <v>0</v>
      </c>
      <c r="N23" s="70">
        <v>0</v>
      </c>
      <c r="O23" s="70">
        <v>0</v>
      </c>
      <c r="P23" s="61">
        <v>0</v>
      </c>
      <c r="Q23" s="70">
        <v>0</v>
      </c>
      <c r="R23" s="62">
        <v>1</v>
      </c>
      <c r="S23"/>
      <c r="T23"/>
    </row>
    <row r="24" spans="1:20" ht="15" customHeight="1" x14ac:dyDescent="0.15">
      <c r="A24" s="70"/>
      <c r="B24" s="81"/>
      <c r="C24" s="85"/>
      <c r="D24" s="74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70"/>
      <c r="B25" s="81"/>
      <c r="C25" s="69"/>
      <c r="D25" s="74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81"/>
      <c r="C26" s="69"/>
      <c r="D26" s="74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81"/>
      <c r="C27" s="69"/>
      <c r="D27" s="74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80"/>
      <c r="C28" s="69"/>
      <c r="D28" s="74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1"/>
      <c r="B31" s="121" t="s">
        <v>17</v>
      </c>
      <c r="C31" s="121" t="s">
        <v>1</v>
      </c>
      <c r="D31" s="121" t="s">
        <v>161</v>
      </c>
      <c r="E31" s="122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0" t="s">
        <v>205</v>
      </c>
      <c r="B32" s="82">
        <v>45</v>
      </c>
      <c r="C32" s="82">
        <v>70</v>
      </c>
      <c r="D32" s="82">
        <v>3150</v>
      </c>
      <c r="E32" s="112">
        <v>0.95744680851063835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0" t="s">
        <v>206</v>
      </c>
      <c r="B33" s="82">
        <v>11.2</v>
      </c>
      <c r="C33" s="82">
        <v>12.5</v>
      </c>
      <c r="D33" s="82">
        <v>140</v>
      </c>
      <c r="E33" s="112">
        <v>4.2553191489361701E-2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3"/>
      <c r="B34" s="82"/>
      <c r="C34" s="82"/>
      <c r="D34" s="82"/>
      <c r="E34" s="112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4"/>
      <c r="B35" s="82"/>
      <c r="C35" s="82"/>
      <c r="D35" s="82"/>
      <c r="E35" s="112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5"/>
      <c r="B36" s="82"/>
      <c r="C36" s="82"/>
      <c r="D36" s="82"/>
      <c r="E36" s="112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5"/>
      <c r="B37" s="82"/>
      <c r="C37" s="82"/>
      <c r="D37" s="82"/>
      <c r="E37" s="112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6"/>
      <c r="B38" s="82"/>
      <c r="C38" s="82"/>
      <c r="D38" s="82"/>
      <c r="E38" s="112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6"/>
      <c r="B39" s="82"/>
      <c r="C39" s="82"/>
      <c r="D39" s="82"/>
      <c r="E39" s="112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6"/>
      <c r="B40" s="82"/>
      <c r="C40" s="82"/>
      <c r="D40" s="82"/>
      <c r="E40" s="112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6"/>
      <c r="B41" s="82"/>
      <c r="C41" s="82"/>
      <c r="D41" s="83"/>
      <c r="E41" s="11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8"/>
      <c r="B42" s="119"/>
      <c r="C42" s="119" t="s">
        <v>162</v>
      </c>
      <c r="D42" s="119">
        <f>SUM(D32:D41)</f>
        <v>3290</v>
      </c>
      <c r="E42" s="120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6" customWidth="1"/>
    <col min="3" max="5" width="7.83203125" style="96" customWidth="1"/>
    <col min="6" max="8" width="8.83203125" style="6"/>
    <col min="9" max="9" width="12.1640625" style="6" customWidth="1"/>
    <col min="10" max="10" width="14.5" style="6" customWidth="1"/>
    <col min="11" max="11" width="14.83203125" style="6" customWidth="1"/>
    <col min="12" max="12" width="9.5" style="6" customWidth="1"/>
    <col min="13" max="13" width="8.83203125" style="6" customWidth="1"/>
    <col min="14" max="14" width="6" style="6" customWidth="1"/>
    <col min="15" max="15" width="13" style="6" customWidth="1"/>
    <col min="16" max="16" width="7" style="6" customWidth="1"/>
    <col min="17" max="17" width="6.83203125" style="6" customWidth="1"/>
    <col min="18" max="18" width="8.6640625" style="6" customWidth="1"/>
    <col min="19" max="19" width="13.5" style="6" customWidth="1"/>
    <col min="20" max="20" width="11.33203125" style="6" customWidth="1"/>
    <col min="21" max="21" width="11.83203125" style="6" customWidth="1"/>
    <col min="22" max="22" width="13.1640625" style="6" customWidth="1"/>
    <col min="23" max="23" width="12.33203125" style="6" customWidth="1"/>
    <col min="24" max="24" width="7.6640625" style="6" customWidth="1"/>
    <col min="25" max="25" width="21.6640625" style="6" customWidth="1"/>
    <col min="26" max="26" width="6.5" style="6" customWidth="1"/>
    <col min="27" max="38" width="8.83203125" style="6"/>
    <col min="81" max="81" width="22.1640625" bestFit="1" customWidth="1"/>
  </cols>
  <sheetData>
    <row r="1" spans="1:38" x14ac:dyDescent="0.15">
      <c r="A1" s="4" t="s">
        <v>156</v>
      </c>
      <c r="B1" s="30" t="s">
        <v>157</v>
      </c>
      <c r="C1" s="30" t="s">
        <v>17</v>
      </c>
      <c r="D1" s="30" t="s">
        <v>158</v>
      </c>
      <c r="E1" s="30" t="s">
        <v>159</v>
      </c>
      <c r="F1" t="s">
        <v>38</v>
      </c>
      <c r="G1" t="s">
        <v>40</v>
      </c>
      <c r="H1" t="s">
        <v>41</v>
      </c>
      <c r="I1" s="172" t="s">
        <v>192</v>
      </c>
      <c r="J1" s="172" t="s">
        <v>193</v>
      </c>
      <c r="K1" s="172" t="s">
        <v>194</v>
      </c>
      <c r="L1" s="172" t="s">
        <v>195</v>
      </c>
      <c r="M1" s="172" t="s">
        <v>196</v>
      </c>
      <c r="N1" s="172" t="s">
        <v>197</v>
      </c>
      <c r="O1" s="172" t="s">
        <v>198</v>
      </c>
      <c r="P1" s="172" t="s">
        <v>199</v>
      </c>
      <c r="Q1" s="172" t="s">
        <v>200</v>
      </c>
      <c r="R1" s="172" t="s">
        <v>201</v>
      </c>
      <c r="S1" s="172" t="s">
        <v>202</v>
      </c>
      <c r="T1" s="172" t="s">
        <v>203</v>
      </c>
      <c r="U1" s="172" t="s">
        <v>204</v>
      </c>
      <c r="V1" s="172" t="s">
        <v>205</v>
      </c>
      <c r="W1" s="172" t="s">
        <v>206</v>
      </c>
      <c r="X1" s="172" t="s">
        <v>207</v>
      </c>
      <c r="Y1" s="172" t="s">
        <v>208</v>
      </c>
      <c r="Z1" s="172" t="s">
        <v>209</v>
      </c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1" t="s">
        <v>192</v>
      </c>
      <c r="B5" s="9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1" t="s">
        <v>193</v>
      </c>
      <c r="B6" s="9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1" t="s">
        <v>194</v>
      </c>
      <c r="B7" s="9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1" t="s">
        <v>195</v>
      </c>
      <c r="B8" s="9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1" t="s">
        <v>196</v>
      </c>
      <c r="B9" s="9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1" t="s">
        <v>197</v>
      </c>
      <c r="B10" s="9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1" t="s">
        <v>198</v>
      </c>
      <c r="B11" s="9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1" t="s">
        <v>199</v>
      </c>
      <c r="B12" s="9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1" t="s">
        <v>200</v>
      </c>
      <c r="B13" s="9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1" t="s">
        <v>201</v>
      </c>
      <c r="B14" s="9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1" t="s">
        <v>202</v>
      </c>
      <c r="B15" s="9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1" t="s">
        <v>203</v>
      </c>
      <c r="B16" s="9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1" t="s">
        <v>204</v>
      </c>
      <c r="B17" s="9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1" t="s">
        <v>205</v>
      </c>
      <c r="B18" s="9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1" t="s">
        <v>206</v>
      </c>
      <c r="B19" s="9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1" t="s">
        <v>207</v>
      </c>
      <c r="B20" s="9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1" t="s">
        <v>208</v>
      </c>
      <c r="B21" s="9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1" t="s">
        <v>209</v>
      </c>
      <c r="B22" s="9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2022-10-23T22:40:25Z</dcterms:modified>
</cp:coreProperties>
</file>