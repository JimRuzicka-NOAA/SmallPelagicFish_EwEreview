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44D4C501-3850-2E42-92AB-E2BFBB3C5A63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Main!$C$2:$N$31</definedName>
    <definedName name="matDetritus">Detritus!$C$2:$E$31</definedName>
    <definedName name="matDiet">Diets!$B$2:$AB$31</definedName>
    <definedName name="matDiscards">Discards!$C$2:$C$30</definedName>
    <definedName name="matFishery">Fishing!$C$2:$C$30</definedName>
    <definedName name="matFishing">Fishing!#REF!</definedName>
    <definedName name="matMort">Mortalities!$A$1:$AG$30</definedName>
    <definedName name="matOut">MainOutputs!$A$2:$I$31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<sst xmlns="http://schemas.openxmlformats.org/spreadsheetml/2006/main" count="917" uniqueCount="226">
  <si>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</si>
  <si>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</si>
  <si>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</si>
  <si>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</si>
  <si>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</si>
  <si>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</si>
  <si>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</si>
  <si>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</si>
  <si>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</si>
  <si>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</si>
  <si>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</si>
  <si>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</si>
  <si>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</si>
  <si>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</si>
  <si>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</si>
  <si>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</si>
  <si>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</si>
  <si>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</si>
  <si>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</si>
  <si>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</si>
  <si>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</si>
  <si>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</si>
  <si>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</si>
  <si>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</si>
  <si>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</si>
  <si>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</si>
  <si>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</si>
  <si>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</si>
  <si>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</si>
  <si>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</si>
  <si>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</si>
  <si>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</si>
  <si>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</si>
  <si>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</si>
  <si>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</si>
  <si>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</si>
  <si>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</si>
  <si>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</si>
  <si>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</si>
  <si>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</si>
  <si>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</si>
  <si>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</si>
  <si>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</si>
  <si>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</si>
  <si>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</si>
  <si>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</si>
  <si>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</si>
  <si>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</si>
  <si>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</si>
  <si>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</si>
  <si>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</si>
  <si>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</si>
  <si>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</si>
  <si>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</si>
  <si>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</si>
  <si>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</si>
  <si>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</si>
  <si>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</si>
  <si>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</si>
  <si>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</si>
  <si>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</si>
  <si>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</si>
  <si>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</si>
  <si>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</si>
  <si>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</si>
  <si>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</si>
  <si>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</si>
  <si>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</si>
  <si>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</si>
  <si>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</si>
  <si>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</si>
  <si>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</si>
  <si>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</si>
  <si>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</si>
  <si>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</si>
  <si>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</si>
  <si>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</si>
  <si>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</si>
  <si>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</si>
  <si>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</si>
  <si>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</si>
  <si>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</si>
  <si>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</si>
  <si>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</si>
  <si>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</si>
  <si>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</si>
  <si>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</si>
  <si>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</si>
  <si>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</si>
  <si>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</si>
  <si>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</si>
  <si>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</si>
  <si>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</si>
  <si>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</si>
  <si>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</si>
  <si>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</si>
  <si>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</si>
  <si>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</si>
  <si>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</si>
  <si>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</si>
  <si>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</si>
  <si>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</si>
  <si>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</si>
  <si>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</si>
  <si>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</si>
  <si>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</si>
  <si>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</si>
  <si>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</si>
  <si>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</si>
  <si>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</si>
  <si>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</si>
  <si>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</si>
  <si>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</si>
  <si>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</si>
  <si>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</si>
  <si>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</si>
  <si>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</si>
  <si>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</si>
  <si>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</si>
  <si>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</si>
  <si>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</si>
  <si>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</si>
  <si>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</si>
  <si>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</si>
  <si>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</si>
  <si>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</si>
  <si>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</si>
  <si>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</si>
  <si>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</si>
  <si>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</si>
  <si>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</si>
  <si>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</si>
  <si>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</si>
  <si>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</si>
  <si>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</si>
  <si>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</si>
  <si>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</si>
  <si>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</si>
  <si>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</si>
  <si>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</si>
  <si>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</si>
  <si>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</si>
  <si>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</si>
  <si>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</si>
  <si>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</si>
  <si>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</si>
  <si>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</si>
  <si>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</si>
  <si>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</si>
  <si>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</si>
  <si>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</si>
  <si>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</si>
  <si>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</si>
  <si>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</si>
  <si>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</si>
  <si>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</si>
  <si>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</si>
  <si>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</si>
  <si>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</si>
  <si>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</si>
  <si>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</si>
  <si>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</si>
  <si>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</si>
  <si>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</si>
  <si>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</si>
  <si>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</si>
  <si>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cephalopods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</si>
  <si>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</si>
  <si>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</si>
  <si>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</si>
  <si>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</si>
  <si>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</si>
  <si>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</si>
  <si>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</si>
  <si>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</si>
  <si>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</si>
  <si>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</si>
  <si>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</si>
  <si>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</si>
  <si>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</si>
  <si>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</si>
  <si>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</si>
  <si>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</si>
  <si>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</si>
  <si>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</si>
  <si>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</si>
  <si>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Peru</t>
  </si>
  <si>
    <t>BOX(-83.2344952945721 -13.999529636928,-74.774781777221 -3.9999287123891)</t>
  </si>
  <si>
    <t>upwelling</t>
  </si>
  <si>
    <t>WetWeight</t>
  </si>
  <si>
    <t>tweaking of diet on stanza model; 16-04-07 19:54:50; 16-04-07 20:52:41; 16-04-07 21:11:44; 17-04-07 01:04:25; 19-04-07 16:44:22; 21/05/2008 17:36:13</t>
  </si>
  <si>
    <t>Guénette S.,Christensen V.,Pauly D.(2008). Trophic modelling of the Peruvian upwelling ecosystem: Towards reconciliation of multiple datasets Progress in Oceanography. pp 326-335</t>
  </si>
  <si>
    <t>pinnipeds</t>
  </si>
  <si>
    <t>birds</t>
  </si>
  <si>
    <t>sharks</t>
  </si>
  <si>
    <t>rays</t>
  </si>
  <si>
    <t>bonito</t>
  </si>
  <si>
    <t>mackerel</t>
  </si>
  <si>
    <t>horse mackerel</t>
  </si>
  <si>
    <t>anchoveta larvae</t>
  </si>
  <si>
    <t>anchoveta</t>
  </si>
  <si>
    <t>sardine larvae</t>
  </si>
  <si>
    <t>sardine</t>
  </si>
  <si>
    <t>pelagic S</t>
  </si>
  <si>
    <t>pelagic L</t>
  </si>
  <si>
    <t>hake</t>
  </si>
  <si>
    <t>demersal L</t>
  </si>
  <si>
    <t>demersal M</t>
  </si>
  <si>
    <t>demersal S</t>
  </si>
  <si>
    <t>shrimps</t>
  </si>
  <si>
    <t>lobster crab</t>
  </si>
  <si>
    <t>macrobenthos</t>
  </si>
  <si>
    <t>meiobenthos</t>
  </si>
  <si>
    <t>Lg zoopl</t>
  </si>
  <si>
    <t>Sm. zoopl</t>
  </si>
  <si>
    <t>Dinoflagellates</t>
  </si>
  <si>
    <t>Diatoms</t>
  </si>
  <si>
    <t>macroalgae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</si>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</sst>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0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FF64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 applyAlignment="1">
      <alignment horizontal="center"/>
    </xf>
    <xf numFmtId="0" fontId="0" fillId="38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0" borderId="0" xfId="0" applyBorder="1"/>
    <xf numFmtId="0" fontId="0" fillId="42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2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69" t="s">
        <v>172</v>
      </c>
      <c r="C53" s="106">
        <v>439</v>
      </c>
      <c r="D53" s="106"/>
    </row>
    <row r="54" spans="2:4" x14ac:dyDescent="0.15">
      <c r="B54" s="169" t="s">
        <v>173</v>
      </c>
      <c r="C54" s="169" t="s">
        <v>186</v>
      </c>
      <c r="D54" s="106"/>
    </row>
    <row r="55" spans="2:4" x14ac:dyDescent="0.15">
      <c r="B55" s="169" t="s">
        <v>174</v>
      </c>
      <c r="C55" s="169" t="s">
        <v>186</v>
      </c>
      <c r="D55" s="106"/>
    </row>
    <row r="56" spans="2:4" x14ac:dyDescent="0.15">
      <c r="B56" s="169" t="s">
        <v>175</v>
      </c>
      <c r="C56" s="106">
        <v>82000</v>
      </c>
      <c r="D56" s="106"/>
    </row>
    <row r="57" spans="2:4" x14ac:dyDescent="0.15">
      <c r="B57" s="169" t="s">
        <v>176</v>
      </c>
      <c r="C57" s="169" t="s">
        <v>187</v>
      </c>
      <c r="D57" s="106"/>
    </row>
    <row r="58" spans="2:4" x14ac:dyDescent="0.15">
      <c r="B58" s="169" t="s">
        <v>177</v>
      </c>
      <c r="C58" s="169" t="s">
        <v>188</v>
      </c>
      <c r="D58" s="106"/>
    </row>
    <row r="59" spans="2:4" x14ac:dyDescent="0.15">
      <c r="B59" s="169" t="s">
        <v>178</v>
      </c>
      <c r="C59" s="169" t="s">
        <v>189</v>
      </c>
      <c r="D59" s="106"/>
    </row>
    <row r="60" spans="2:4" x14ac:dyDescent="0.15">
      <c r="B60" s="169" t="s">
        <v>179</v>
      </c>
      <c r="C60" s="169" t="s">
        <v>190</v>
      </c>
      <c r="D60" s="106"/>
    </row>
    <row r="61" spans="2:4" x14ac:dyDescent="0.15">
      <c r="B61" s="169" t="s">
        <v>180</v>
      </c>
      <c r="C61" s="106">
        <v>28</v>
      </c>
      <c r="D61" s="106"/>
    </row>
    <row r="62" spans="2:4" x14ac:dyDescent="0.15">
      <c r="B62" s="169" t="s">
        <v>181</v>
      </c>
      <c r="C62" s="106">
        <v>1</v>
      </c>
      <c r="D62" s="106"/>
    </row>
    <row r="63" spans="2:4" x14ac:dyDescent="0.15">
      <c r="B63" s="169" t="s">
        <v>182</v>
      </c>
      <c r="C63" s="106">
        <v>1953</v>
      </c>
      <c r="D63" s="106"/>
    </row>
    <row r="64" spans="2:4" x14ac:dyDescent="0.15">
      <c r="B64" s="169" t="s">
        <v>183</v>
      </c>
      <c r="C64" s="106">
        <v>0</v>
      </c>
      <c r="D64" s="106"/>
    </row>
    <row r="65" spans="2:4" x14ac:dyDescent="0.15">
      <c r="B65" s="169" t="s">
        <v>184</v>
      </c>
      <c r="C65" s="169" t="s">
        <v>191</v>
      </c>
      <c r="D65" s="106"/>
    </row>
    <row r="66" spans="2:4" x14ac:dyDescent="0.15">
      <c r="B66" s="169" t="s">
        <v>185</v>
      </c>
      <c r="D66" s="106"/>
    </row>
    <row r="67" spans="2:4" x14ac:dyDescent="0.15">
      <c r="B67" s="106"/>
      <c r="C67" s="106"/>
      <c r="D67" s="106"/>
    </row>
    <row r="68" spans="2:4" x14ac:dyDescent="0.15">
      <c r="B68" s="106"/>
      <c r="C68" s="106"/>
      <c r="D68" s="10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6" sqref="P6"/>
    </sheetView>
  </sheetViews>
  <sheetFormatPr baseColWidth="10" defaultColWidth="8.83203125" defaultRowHeight="15" customHeight="1" x14ac:dyDescent="0.15"/>
  <cols>
    <col min="1" max="1" width="22.5" style="79" customWidth="1"/>
    <col min="2" max="3" width="3.33203125" style="79" customWidth="1"/>
    <col min="4" max="4" width="14.33203125" style="79" customWidth="1"/>
    <col min="5" max="5" width="21.6640625" style="79" bestFit="1" customWidth="1"/>
    <col min="6" max="6" width="2.33203125" style="79" bestFit="1" customWidth="1"/>
    <col min="7" max="7" width="12.83203125" style="79" bestFit="1" customWidth="1"/>
    <col min="8" max="8" width="4.83203125" style="79" customWidth="1"/>
    <col min="9" max="9" width="10.83203125" style="79" customWidth="1"/>
    <col min="10" max="10" width="12.83203125" style="79" customWidth="1"/>
    <col min="11" max="11" width="14.83203125" style="79" customWidth="1"/>
    <col min="12" max="12" width="2.33203125" style="79" customWidth="1"/>
    <col min="13" max="13" width="3.83203125" style="79" customWidth="1"/>
    <col min="14" max="14" width="2.33203125" style="79" customWidth="1"/>
    <col min="16" max="25" width="8.83203125" style="79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9"/>
  </cols>
  <sheetData>
    <row r="1" spans="1:46" s="96" customFormat="1" ht="15" customHeight="1" x14ac:dyDescent="0.15">
      <c r="A1" s="75" t="s">
        <v>18</v>
      </c>
      <c r="C1" s="76" t="s">
        <v>8</v>
      </c>
      <c r="D1" s="75" t="s">
        <v>23</v>
      </c>
      <c r="E1" s="75" t="s">
        <v>0</v>
      </c>
      <c r="F1" s="75" t="s">
        <v>7</v>
      </c>
      <c r="G1" s="77" t="s">
        <v>13</v>
      </c>
      <c r="H1" s="75" t="s">
        <v>1</v>
      </c>
      <c r="I1" s="75" t="s">
        <v>2</v>
      </c>
      <c r="J1" s="75" t="s">
        <v>14</v>
      </c>
      <c r="K1" s="75" t="s">
        <v>3</v>
      </c>
      <c r="L1" s="75" t="s">
        <v>4</v>
      </c>
      <c r="M1" s="75" t="s">
        <v>5</v>
      </c>
      <c r="N1" s="75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6">
        <v>1</v>
      </c>
      <c r="D2"/>
      <c r="E2" s="170" t="s">
        <v>192</v>
      </c>
      <c r="F2" s="79">
        <v>0</v>
      </c>
      <c r="G2" s="79">
        <v>4.4390239999999997E-3</v>
      </c>
      <c r="H2" s="79">
        <v>0.09</v>
      </c>
      <c r="I2" s="6">
        <v>28</v>
      </c>
      <c r="J2" s="6">
        <v>0</v>
      </c>
      <c r="K2" s="6">
        <v>3.2142859999999998E-3</v>
      </c>
      <c r="L2" s="6">
        <v>0</v>
      </c>
      <c r="M2" s="79">
        <v>0.2</v>
      </c>
      <c r="N2" s="79">
        <v>0</v>
      </c>
    </row>
    <row r="3" spans="1:46" ht="15" customHeight="1" x14ac:dyDescent="0.15">
      <c r="A3" s="1" t="s">
        <v>9</v>
      </c>
      <c r="B3" s="4">
        <v>27</v>
      </c>
      <c r="C3" s="79">
        <v>2</v>
      </c>
      <c r="D3"/>
      <c r="E3" s="170" t="s">
        <v>193</v>
      </c>
      <c r="F3" s="79">
        <v>0</v>
      </c>
      <c r="G3" s="79">
        <v>0.56341463300000005</v>
      </c>
      <c r="H3" s="79">
        <v>0.04</v>
      </c>
      <c r="I3" s="79">
        <v>62</v>
      </c>
      <c r="J3" s="79">
        <v>0</v>
      </c>
      <c r="K3" s="79">
        <v>6.4516125699999995E-4</v>
      </c>
      <c r="L3" s="79">
        <v>0</v>
      </c>
      <c r="M3" s="79">
        <v>0.2</v>
      </c>
      <c r="N3" s="79">
        <v>0</v>
      </c>
    </row>
    <row r="4" spans="1:46" ht="15" customHeight="1" x14ac:dyDescent="0.15">
      <c r="A4" s="1" t="s">
        <v>10</v>
      </c>
      <c r="B4" s="4">
        <v>2</v>
      </c>
      <c r="C4" s="79">
        <v>3</v>
      </c>
      <c r="D4"/>
      <c r="E4" s="170" t="s">
        <v>194</v>
      </c>
      <c r="F4" s="79">
        <v>0</v>
      </c>
      <c r="G4" s="79">
        <v>0.57743895099999998</v>
      </c>
      <c r="H4" s="79">
        <v>0.2</v>
      </c>
      <c r="I4" s="79">
        <v>1</v>
      </c>
      <c r="J4" s="79">
        <v>0.1</v>
      </c>
      <c r="K4" s="79">
        <v>0.2</v>
      </c>
      <c r="L4" s="79">
        <v>0</v>
      </c>
      <c r="M4" s="79">
        <v>0.2</v>
      </c>
      <c r="N4" s="79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9">
        <v>4</v>
      </c>
      <c r="D5"/>
      <c r="E5" s="170" t="s">
        <v>195</v>
      </c>
      <c r="F5" s="79">
        <v>0</v>
      </c>
      <c r="G5" s="79">
        <v>0.42131239999999998</v>
      </c>
      <c r="H5" s="79">
        <v>0.5</v>
      </c>
      <c r="I5" s="79">
        <v>2.5</v>
      </c>
      <c r="J5" s="79">
        <v>0.05</v>
      </c>
      <c r="K5" s="79">
        <v>0.2</v>
      </c>
      <c r="L5" s="79">
        <v>0</v>
      </c>
      <c r="M5" s="79">
        <v>0.2</v>
      </c>
      <c r="N5" s="79">
        <v>0</v>
      </c>
      <c r="P5" s="70"/>
      <c r="Q5" s="70"/>
      <c r="R5" s="70"/>
    </row>
    <row r="6" spans="1:46" ht="15" customHeight="1" thickBot="1" x14ac:dyDescent="0.2">
      <c r="B6" s="1"/>
      <c r="C6" s="79">
        <v>5</v>
      </c>
      <c r="D6"/>
      <c r="E6" s="170" t="s">
        <v>196</v>
      </c>
      <c r="F6" s="79">
        <v>0</v>
      </c>
      <c r="G6" s="79">
        <v>7.87</v>
      </c>
      <c r="H6" s="79">
        <v>0.2</v>
      </c>
      <c r="I6" s="79">
        <v>1</v>
      </c>
      <c r="J6" s="79">
        <v>0.26617600000000002</v>
      </c>
      <c r="K6" s="79">
        <v>0.2</v>
      </c>
      <c r="L6" s="79">
        <v>0</v>
      </c>
      <c r="M6" s="79">
        <v>0.2</v>
      </c>
      <c r="N6" s="79">
        <v>0</v>
      </c>
      <c r="P6" s="70"/>
      <c r="Q6" s="70"/>
      <c r="R6" s="70"/>
      <c r="W6" s="35" t="s">
        <v>31</v>
      </c>
      <c r="X6" s="51">
        <f>MAX(MainOutputs!G:G)</f>
        <v>0.95837503671646118</v>
      </c>
    </row>
    <row r="7" spans="1:46" ht="15" customHeight="1" x14ac:dyDescent="0.15">
      <c r="A7" s="2" t="s">
        <v>27</v>
      </c>
      <c r="B7" s="79">
        <f ca="1">COUNTIF(OFFSET(cornerDiets,1,1,NumLiving+NumDead+1,NumLiving+NumDead),"&gt;0")+NumLiving+NumDead+1</f>
        <v>182</v>
      </c>
      <c r="C7" s="79">
        <v>6</v>
      </c>
      <c r="D7"/>
      <c r="E7" s="170" t="s">
        <v>197</v>
      </c>
      <c r="F7" s="79">
        <v>0</v>
      </c>
      <c r="G7" s="79">
        <v>2.8</v>
      </c>
      <c r="H7" s="79">
        <v>0.85</v>
      </c>
      <c r="I7" s="79">
        <v>10</v>
      </c>
      <c r="J7" s="79">
        <v>0.11205809999999999</v>
      </c>
      <c r="K7" s="79">
        <v>8.5000000000000006E-2</v>
      </c>
      <c r="L7" s="79">
        <v>0</v>
      </c>
      <c r="M7" s="79">
        <v>0.2</v>
      </c>
      <c r="N7" s="79">
        <v>0</v>
      </c>
      <c r="P7" s="70"/>
      <c r="Q7" s="70"/>
      <c r="R7" s="70"/>
    </row>
    <row r="8" spans="1:46" ht="15" customHeight="1" x14ac:dyDescent="0.15">
      <c r="A8" s="2" t="s">
        <v>28</v>
      </c>
      <c r="B8" s="79">
        <f ca="1">COUNTIF(OFFSET(cornerFishing,1,2,NumLiving+NumDead,NumGears),"&gt;0")+NumDead*COUNTIF(OFFSET(cornerDiscards,1,2,NumLiving+NumDead,NumGears),"&gt;0")+NumLiving+NumDead+1</f>
        <v>40</v>
      </c>
      <c r="C8" s="79">
        <v>7</v>
      </c>
      <c r="D8"/>
      <c r="E8" s="170" t="s">
        <v>198</v>
      </c>
      <c r="F8" s="79">
        <v>0</v>
      </c>
      <c r="G8" s="79">
        <v>12.68</v>
      </c>
      <c r="H8" s="79">
        <v>0.85</v>
      </c>
      <c r="I8" s="79">
        <v>10</v>
      </c>
      <c r="J8" s="79">
        <v>3.7541289999999998E-2</v>
      </c>
      <c r="K8" s="79">
        <v>8.5000000000000006E-2</v>
      </c>
      <c r="L8" s="79">
        <v>0</v>
      </c>
      <c r="M8" s="79">
        <v>0.2</v>
      </c>
      <c r="N8" s="79">
        <v>0</v>
      </c>
      <c r="P8" s="70"/>
      <c r="Q8" s="70"/>
      <c r="R8" s="70"/>
    </row>
    <row r="9" spans="1:46" ht="15" customHeight="1" x14ac:dyDescent="0.15">
      <c r="B9" s="1"/>
      <c r="C9" s="79">
        <v>8</v>
      </c>
      <c r="D9"/>
      <c r="E9" s="170" t="s">
        <v>199</v>
      </c>
      <c r="F9" s="79">
        <v>0</v>
      </c>
      <c r="G9" s="79">
        <v>0.230979189</v>
      </c>
      <c r="H9" s="79">
        <v>7</v>
      </c>
      <c r="I9" s="79">
        <v>102.04433400000001</v>
      </c>
      <c r="J9" s="79">
        <v>1.4843638100000001E-2</v>
      </c>
      <c r="K9" s="79">
        <v>6.8597640000000001E-2</v>
      </c>
      <c r="L9" s="79">
        <v>0</v>
      </c>
      <c r="M9" s="79">
        <v>0.2</v>
      </c>
      <c r="N9" s="79">
        <v>0</v>
      </c>
      <c r="P9" s="70"/>
      <c r="Q9" s="70"/>
      <c r="R9" s="70"/>
    </row>
    <row r="10" spans="1:46" ht="15" customHeight="1" x14ac:dyDescent="0.15">
      <c r="B10" s="1"/>
      <c r="C10" s="79">
        <v>9</v>
      </c>
      <c r="D10"/>
      <c r="E10" s="170" t="s">
        <v>200</v>
      </c>
      <c r="F10" s="79">
        <v>0</v>
      </c>
      <c r="G10" s="79">
        <v>75</v>
      </c>
      <c r="H10" s="79">
        <v>1.8</v>
      </c>
      <c r="I10" s="79">
        <v>15</v>
      </c>
      <c r="J10" s="79">
        <v>0.95837503700000004</v>
      </c>
      <c r="K10" s="79">
        <v>0.12</v>
      </c>
      <c r="L10" s="79">
        <v>0</v>
      </c>
      <c r="M10" s="79">
        <v>0.2</v>
      </c>
      <c r="N10" s="79">
        <v>0</v>
      </c>
    </row>
    <row r="11" spans="1:46" ht="15" customHeight="1" x14ac:dyDescent="0.15">
      <c r="C11" s="79">
        <v>10</v>
      </c>
      <c r="D11"/>
      <c r="E11" s="170" t="s">
        <v>201</v>
      </c>
      <c r="F11" s="79">
        <v>0</v>
      </c>
      <c r="G11" s="79">
        <v>4.1220147200000001E-2</v>
      </c>
      <c r="H11" s="79">
        <v>7</v>
      </c>
      <c r="I11" s="79">
        <v>97.926699999999997</v>
      </c>
      <c r="J11" s="79">
        <v>0.38989254800000001</v>
      </c>
      <c r="K11" s="79">
        <v>7.1482039999999997E-2</v>
      </c>
      <c r="L11" s="79">
        <v>0</v>
      </c>
      <c r="M11" s="79">
        <v>0.2</v>
      </c>
      <c r="N11" s="79">
        <v>0</v>
      </c>
    </row>
    <row r="12" spans="1:46" ht="15" customHeight="1" x14ac:dyDescent="0.15">
      <c r="C12" s="79">
        <v>11</v>
      </c>
      <c r="D12"/>
      <c r="E12" s="170" t="s">
        <v>202</v>
      </c>
      <c r="F12" s="79">
        <v>0</v>
      </c>
      <c r="G12" s="79">
        <v>20</v>
      </c>
      <c r="H12" s="79">
        <v>1.8</v>
      </c>
      <c r="I12" s="79">
        <v>12</v>
      </c>
      <c r="J12" s="79">
        <v>0.48602986300000001</v>
      </c>
      <c r="K12" s="79">
        <v>0.149999991</v>
      </c>
      <c r="L12" s="79">
        <v>0</v>
      </c>
      <c r="M12" s="79">
        <v>0.2</v>
      </c>
      <c r="N12" s="79">
        <v>0</v>
      </c>
    </row>
    <row r="13" spans="1:46" ht="15" customHeight="1" x14ac:dyDescent="0.15">
      <c r="C13" s="79">
        <v>12</v>
      </c>
      <c r="D13"/>
      <c r="E13" s="170" t="s">
        <v>203</v>
      </c>
      <c r="F13" s="79">
        <v>0</v>
      </c>
      <c r="G13" s="79">
        <v>8.3646460000000005</v>
      </c>
      <c r="H13" s="79">
        <v>1.8</v>
      </c>
      <c r="I13" s="79">
        <v>7.2</v>
      </c>
      <c r="J13" s="79">
        <v>0.9</v>
      </c>
      <c r="K13" s="79">
        <v>0.25</v>
      </c>
      <c r="L13" s="79">
        <v>0</v>
      </c>
      <c r="M13" s="79">
        <v>0.2</v>
      </c>
      <c r="N13" s="79">
        <v>0</v>
      </c>
    </row>
    <row r="14" spans="1:46" ht="15" customHeight="1" x14ac:dyDescent="0.15">
      <c r="C14" s="79">
        <v>13</v>
      </c>
      <c r="D14"/>
      <c r="E14" s="170" t="s">
        <v>204</v>
      </c>
      <c r="F14" s="79">
        <v>0</v>
      </c>
      <c r="G14" s="79">
        <v>2.2472591400000002</v>
      </c>
      <c r="H14" s="79">
        <v>0.1</v>
      </c>
      <c r="I14" s="79">
        <v>0.5</v>
      </c>
      <c r="J14" s="79">
        <v>0.1</v>
      </c>
      <c r="K14" s="79">
        <v>0.2</v>
      </c>
      <c r="L14" s="79">
        <v>0</v>
      </c>
      <c r="M14" s="79">
        <v>0.2</v>
      </c>
      <c r="N14" s="79">
        <v>0</v>
      </c>
    </row>
    <row r="15" spans="1:46" ht="15" customHeight="1" x14ac:dyDescent="0.15">
      <c r="C15" s="79">
        <v>14</v>
      </c>
      <c r="D15"/>
      <c r="E15" s="170" t="s">
        <v>205</v>
      </c>
      <c r="F15" s="79">
        <v>0</v>
      </c>
      <c r="G15" s="79">
        <v>3.28</v>
      </c>
      <c r="H15" s="79">
        <v>0.3</v>
      </c>
      <c r="I15" s="79">
        <v>1.5</v>
      </c>
      <c r="J15" s="79">
        <v>0.11006500600000001</v>
      </c>
      <c r="K15" s="79">
        <v>0.2</v>
      </c>
      <c r="L15" s="79">
        <v>0</v>
      </c>
      <c r="M15" s="79">
        <v>0.2</v>
      </c>
      <c r="N15" s="79">
        <v>0</v>
      </c>
    </row>
    <row r="16" spans="1:46" ht="15" customHeight="1" x14ac:dyDescent="0.15">
      <c r="C16" s="79">
        <v>15</v>
      </c>
      <c r="D16"/>
      <c r="E16" s="170" t="s">
        <v>206</v>
      </c>
      <c r="F16" s="79">
        <v>0</v>
      </c>
      <c r="G16" s="79">
        <v>0.89249414199999999</v>
      </c>
      <c r="H16" s="79">
        <v>0.2</v>
      </c>
      <c r="I16" s="79">
        <v>1</v>
      </c>
      <c r="J16" s="79">
        <v>0.1</v>
      </c>
      <c r="K16" s="79">
        <v>0.2</v>
      </c>
      <c r="L16" s="79">
        <v>0</v>
      </c>
      <c r="M16" s="79">
        <v>0.2</v>
      </c>
      <c r="N16" s="79">
        <v>0</v>
      </c>
    </row>
    <row r="17" spans="1:22" ht="15" customHeight="1" x14ac:dyDescent="0.15">
      <c r="C17" s="79">
        <v>16</v>
      </c>
      <c r="D17"/>
      <c r="E17" s="170" t="s">
        <v>207</v>
      </c>
      <c r="F17" s="79">
        <v>0</v>
      </c>
      <c r="G17" s="79">
        <v>3.0844118599999999</v>
      </c>
      <c r="H17" s="79">
        <v>0.5</v>
      </c>
      <c r="I17" s="79">
        <v>2.5</v>
      </c>
      <c r="J17" s="79">
        <v>0.3</v>
      </c>
      <c r="K17" s="79">
        <v>0.2</v>
      </c>
      <c r="L17" s="79">
        <v>0</v>
      </c>
      <c r="M17" s="79">
        <v>0.2</v>
      </c>
      <c r="N17" s="79">
        <v>0</v>
      </c>
      <c r="V17" s="1" t="s">
        <v>30</v>
      </c>
    </row>
    <row r="18" spans="1:22" ht="15" customHeight="1" x14ac:dyDescent="0.15">
      <c r="C18" s="79">
        <v>17</v>
      </c>
      <c r="D18"/>
      <c r="E18" s="170" t="s">
        <v>208</v>
      </c>
      <c r="F18" s="79">
        <v>0</v>
      </c>
      <c r="G18" s="79">
        <v>5.2352185200000001</v>
      </c>
      <c r="H18" s="79">
        <v>0.9</v>
      </c>
      <c r="I18" s="79">
        <v>4.5</v>
      </c>
      <c r="J18" s="79">
        <v>0.9</v>
      </c>
      <c r="K18" s="79">
        <v>0.2</v>
      </c>
      <c r="L18" s="79">
        <v>0</v>
      </c>
      <c r="M18" s="79">
        <v>0.2</v>
      </c>
      <c r="N18" s="79">
        <v>0</v>
      </c>
      <c r="V18" s="1"/>
    </row>
    <row r="19" spans="1:22" ht="15" customHeight="1" x14ac:dyDescent="0.15">
      <c r="C19" s="79">
        <v>18</v>
      </c>
      <c r="D19"/>
      <c r="E19" s="170" t="s">
        <v>166</v>
      </c>
      <c r="F19" s="79">
        <v>0</v>
      </c>
      <c r="G19" s="79">
        <v>0.69940203400000001</v>
      </c>
      <c r="H19" s="79">
        <v>2</v>
      </c>
      <c r="I19" s="79">
        <v>10</v>
      </c>
      <c r="J19" s="79">
        <v>0.7</v>
      </c>
      <c r="K19" s="79">
        <v>0.2</v>
      </c>
      <c r="L19" s="79">
        <v>0</v>
      </c>
      <c r="M19" s="79">
        <v>0.2</v>
      </c>
      <c r="N19" s="79">
        <v>0</v>
      </c>
    </row>
    <row r="20" spans="1:22" ht="15" customHeight="1" thickBot="1" x14ac:dyDescent="0.2">
      <c r="C20" s="79">
        <v>19</v>
      </c>
      <c r="D20"/>
      <c r="E20" s="170" t="s">
        <v>209</v>
      </c>
      <c r="F20" s="79">
        <v>0</v>
      </c>
      <c r="G20" s="79">
        <v>1.9981015900000001</v>
      </c>
      <c r="H20" s="79">
        <v>2.5</v>
      </c>
      <c r="I20" s="79">
        <v>16.666665999999999</v>
      </c>
      <c r="J20" s="79">
        <v>0.9</v>
      </c>
      <c r="K20" s="79">
        <v>0.15</v>
      </c>
      <c r="L20" s="79">
        <v>0</v>
      </c>
      <c r="M20" s="79">
        <v>0.2</v>
      </c>
      <c r="N20" s="79">
        <v>0</v>
      </c>
    </row>
    <row r="21" spans="1:22" ht="15" customHeight="1" thickBot="1" x14ac:dyDescent="0.2">
      <c r="A21" s="46" t="s">
        <v>137</v>
      </c>
      <c r="B21" s="97"/>
      <c r="C21" s="79">
        <v>20</v>
      </c>
      <c r="D21"/>
      <c r="E21" s="170" t="s">
        <v>210</v>
      </c>
      <c r="F21" s="79">
        <v>0</v>
      </c>
      <c r="G21" s="79">
        <v>1.9907368400000001</v>
      </c>
      <c r="H21" s="79">
        <v>2</v>
      </c>
      <c r="I21" s="79">
        <v>13.333333</v>
      </c>
      <c r="J21" s="79">
        <v>0.9</v>
      </c>
      <c r="K21" s="79">
        <v>0.15</v>
      </c>
      <c r="L21" s="79">
        <v>0</v>
      </c>
      <c r="M21" s="79">
        <v>0.2</v>
      </c>
      <c r="N21" s="79">
        <v>0</v>
      </c>
    </row>
    <row r="22" spans="1:22" ht="15" customHeight="1" x14ac:dyDescent="0.15">
      <c r="A22" s="98" t="s">
        <v>58</v>
      </c>
      <c r="B22" s="99">
        <v>0</v>
      </c>
      <c r="C22" s="79">
        <v>21</v>
      </c>
      <c r="D22"/>
      <c r="E22" s="170" t="s">
        <v>211</v>
      </c>
      <c r="F22" s="79">
        <v>0</v>
      </c>
      <c r="G22" s="79">
        <v>38.297553999999998</v>
      </c>
      <c r="H22" s="79">
        <v>3</v>
      </c>
      <c r="I22" s="79">
        <v>12</v>
      </c>
      <c r="J22" s="79">
        <v>0.5</v>
      </c>
      <c r="K22" s="79">
        <v>0.25</v>
      </c>
      <c r="L22" s="79">
        <v>0</v>
      </c>
      <c r="M22" s="79">
        <v>0.2</v>
      </c>
      <c r="N22" s="79">
        <v>0</v>
      </c>
    </row>
    <row r="23" spans="1:22" ht="15" customHeight="1" x14ac:dyDescent="0.15">
      <c r="A23" s="98" t="s">
        <v>59</v>
      </c>
      <c r="B23" s="99">
        <v>1</v>
      </c>
      <c r="C23" s="79">
        <v>22</v>
      </c>
      <c r="D23"/>
      <c r="E23" s="170" t="s">
        <v>212</v>
      </c>
      <c r="F23" s="79">
        <v>0</v>
      </c>
      <c r="G23" s="79">
        <v>8</v>
      </c>
      <c r="H23" s="79">
        <v>9</v>
      </c>
      <c r="I23" s="79">
        <v>45</v>
      </c>
      <c r="J23" s="79">
        <v>0.50722223499999997</v>
      </c>
      <c r="K23" s="79">
        <v>0.2</v>
      </c>
      <c r="L23" s="79">
        <v>0</v>
      </c>
      <c r="M23" s="79">
        <v>0.2</v>
      </c>
      <c r="N23" s="79">
        <v>0</v>
      </c>
    </row>
    <row r="24" spans="1:22" ht="15" customHeight="1" x14ac:dyDescent="0.15">
      <c r="A24" s="98" t="s">
        <v>60</v>
      </c>
      <c r="B24" s="99">
        <v>2</v>
      </c>
      <c r="C24" s="79">
        <v>23</v>
      </c>
      <c r="D24"/>
      <c r="E24" s="170" t="s">
        <v>213</v>
      </c>
      <c r="F24" s="79">
        <v>0</v>
      </c>
      <c r="G24" s="79">
        <v>16</v>
      </c>
      <c r="H24" s="79">
        <v>20</v>
      </c>
      <c r="I24" s="79">
        <v>100</v>
      </c>
      <c r="J24" s="79">
        <v>0.82368814899999998</v>
      </c>
      <c r="K24" s="79">
        <v>0.2</v>
      </c>
      <c r="L24" s="79">
        <v>0</v>
      </c>
      <c r="M24" s="79">
        <v>0.2</v>
      </c>
      <c r="N24" s="79">
        <v>0</v>
      </c>
    </row>
    <row r="25" spans="1:22" ht="15" customHeight="1" thickBot="1" x14ac:dyDescent="0.2">
      <c r="A25" s="100" t="s">
        <v>44</v>
      </c>
      <c r="B25" s="101">
        <v>3</v>
      </c>
      <c r="C25" s="79">
        <v>24</v>
      </c>
      <c r="D25"/>
      <c r="E25" s="170" t="s">
        <v>214</v>
      </c>
      <c r="F25" s="79">
        <v>0</v>
      </c>
      <c r="G25" s="79">
        <v>25</v>
      </c>
      <c r="H25" s="79">
        <v>40</v>
      </c>
      <c r="I25" s="79">
        <v>200</v>
      </c>
      <c r="J25" s="79">
        <v>0.63306750000000001</v>
      </c>
      <c r="K25" s="79">
        <v>0.2</v>
      </c>
      <c r="L25" s="79">
        <v>0</v>
      </c>
      <c r="M25" s="79">
        <v>0.2</v>
      </c>
      <c r="N25" s="79">
        <v>0</v>
      </c>
    </row>
    <row r="26" spans="1:22" ht="15" customHeight="1" x14ac:dyDescent="0.15">
      <c r="A26" s="102" t="s">
        <v>140</v>
      </c>
      <c r="C26" s="79">
        <v>25</v>
      </c>
      <c r="D26"/>
      <c r="E26" s="170" t="s">
        <v>215</v>
      </c>
      <c r="F26" s="79">
        <v>1</v>
      </c>
      <c r="G26" s="79">
        <v>71</v>
      </c>
      <c r="H26" s="79">
        <v>70</v>
      </c>
      <c r="I26" s="79">
        <v>0</v>
      </c>
      <c r="J26" s="79">
        <v>0.8786195</v>
      </c>
      <c r="K26" s="79">
        <v>0</v>
      </c>
      <c r="L26" s="79">
        <v>0</v>
      </c>
      <c r="M26" s="79">
        <v>0</v>
      </c>
      <c r="N26" s="79">
        <v>0</v>
      </c>
    </row>
    <row r="27" spans="1:22" ht="15" customHeight="1" x14ac:dyDescent="0.15">
      <c r="C27" s="79">
        <v>26</v>
      </c>
      <c r="D27"/>
      <c r="E27" s="170" t="s">
        <v>216</v>
      </c>
      <c r="F27" s="79">
        <v>1</v>
      </c>
      <c r="G27" s="79">
        <v>55</v>
      </c>
      <c r="H27" s="79">
        <v>70</v>
      </c>
      <c r="I27" s="79">
        <v>0</v>
      </c>
      <c r="J27" s="79">
        <v>0.7972958</v>
      </c>
      <c r="K27" s="79">
        <v>0</v>
      </c>
      <c r="L27" s="79">
        <v>0</v>
      </c>
      <c r="M27" s="79">
        <v>0</v>
      </c>
      <c r="N27" s="79">
        <v>0</v>
      </c>
    </row>
    <row r="28" spans="1:22" ht="15" customHeight="1" x14ac:dyDescent="0.15">
      <c r="C28" s="79">
        <v>27</v>
      </c>
      <c r="D28"/>
      <c r="E28" s="170" t="s">
        <v>217</v>
      </c>
      <c r="F28" s="79">
        <v>1</v>
      </c>
      <c r="G28" s="79">
        <v>19.72</v>
      </c>
      <c r="H28" s="79">
        <v>12.5</v>
      </c>
      <c r="I28" s="79">
        <v>0</v>
      </c>
      <c r="J28" s="79">
        <v>0.61285940000000005</v>
      </c>
      <c r="K28" s="79">
        <v>0</v>
      </c>
      <c r="L28" s="79">
        <v>0</v>
      </c>
      <c r="M28" s="79">
        <v>0</v>
      </c>
      <c r="N28" s="79">
        <v>0</v>
      </c>
    </row>
    <row r="29" spans="1:22" customFormat="1" ht="15" customHeight="1" x14ac:dyDescent="0.15">
      <c r="C29" s="79">
        <v>28</v>
      </c>
      <c r="E29" s="170" t="s">
        <v>218</v>
      </c>
      <c r="F29" s="79">
        <v>2</v>
      </c>
      <c r="G29" s="79">
        <v>900</v>
      </c>
      <c r="H29" s="79">
        <v>0</v>
      </c>
      <c r="I29" s="79">
        <v>0</v>
      </c>
      <c r="J29" s="79">
        <v>0</v>
      </c>
      <c r="K29" s="79">
        <v>0</v>
      </c>
      <c r="L29" s="79">
        <v>0</v>
      </c>
      <c r="M29" s="79">
        <v>0</v>
      </c>
      <c r="N29" s="79">
        <v>0</v>
      </c>
    </row>
    <row r="30" spans="1:22" customFormat="1" ht="15" customHeight="1" x14ac:dyDescent="0.15">
      <c r="C30" s="79">
        <v>29</v>
      </c>
      <c r="E30" s="170" t="s">
        <v>219</v>
      </c>
      <c r="F30" s="79">
        <v>2</v>
      </c>
      <c r="G30" s="79">
        <v>5</v>
      </c>
      <c r="H30" s="79">
        <v>0</v>
      </c>
      <c r="I30" s="79">
        <v>0</v>
      </c>
      <c r="J30" s="79">
        <v>0</v>
      </c>
      <c r="K30" s="79">
        <v>0</v>
      </c>
      <c r="L30" s="79">
        <v>0</v>
      </c>
      <c r="M30" s="79">
        <v>0</v>
      </c>
      <c r="N30" s="79">
        <v>0</v>
      </c>
    </row>
    <row r="31" spans="1:22" customFormat="1" ht="15" customHeight="1" x14ac:dyDescent="0.15">
      <c r="C31" s="79">
        <v>30</v>
      </c>
      <c r="E31" s="170" t="s">
        <v>220</v>
      </c>
      <c r="F31" s="79">
        <v>3</v>
      </c>
      <c r="G31" s="79">
        <v>0</v>
      </c>
      <c r="H31" s="79">
        <v>0</v>
      </c>
      <c r="I31" s="79">
        <v>0</v>
      </c>
      <c r="J31" s="79">
        <v>0</v>
      </c>
      <c r="K31" s="79">
        <v>0</v>
      </c>
      <c r="L31" s="79">
        <v>0</v>
      </c>
      <c r="M31" s="79">
        <v>0</v>
      </c>
      <c r="N31" s="79">
        <v>0</v>
      </c>
    </row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7" bestFit="1" customWidth="1"/>
    <col min="2" max="2" width="14.83203125" style="137" bestFit="1" customWidth="1"/>
    <col min="3" max="3" width="4.83203125" style="137" bestFit="1" customWidth="1"/>
    <col min="4" max="4" width="14.83203125" style="137" bestFit="1" customWidth="1"/>
    <col min="5" max="5" width="13.83203125" style="137" bestFit="1" customWidth="1"/>
    <col min="6" max="8" width="4.83203125" style="137" bestFit="1" customWidth="1"/>
    <col min="9" max="9" width="2.33203125" style="137" bestFit="1" customWidth="1"/>
    <col min="10" max="10" width="13.83203125" style="137" bestFit="1" customWidth="1"/>
    <col min="11" max="11" width="2.33203125" style="137" bestFit="1" customWidth="1"/>
    <col min="12" max="14" width="13.83203125" style="137" bestFit="1" customWidth="1"/>
    <col min="15" max="15" width="5.83203125" style="137" bestFit="1" customWidth="1"/>
    <col min="16" max="17" width="14.83203125" style="137" bestFit="1" customWidth="1"/>
    <col min="18" max="20" width="4.83203125" style="137" bestFit="1" customWidth="1"/>
    <col min="21" max="21" width="3.83203125" style="137" bestFit="1" customWidth="1"/>
    <col min="22" max="22" width="4.83203125" style="137" bestFit="1" customWidth="1"/>
    <col min="23" max="23" width="5.83203125" style="137" bestFit="1" customWidth="1"/>
    <col min="24" max="25" width="3.83203125" style="137" bestFit="1" customWidth="1"/>
    <col min="26" max="29" width="2.33203125" style="137" bestFit="1" customWidth="1"/>
    <col min="30" max="30" width="2.33203125" style="137" customWidth="1"/>
    <col min="31" max="16384" width="8.83203125" style="137"/>
  </cols>
  <sheetData>
    <row r="1" spans="1:34" x14ac:dyDescent="0.15">
      <c r="A1" s="136" t="s">
        <v>19</v>
      </c>
      <c r="B1" s="172" t="s">
        <v>192</v>
      </c>
      <c r="C1" s="172" t="s">
        <v>193</v>
      </c>
      <c r="D1" s="172" t="s">
        <v>194</v>
      </c>
      <c r="E1" s="172" t="s">
        <v>195</v>
      </c>
      <c r="F1" s="172" t="s">
        <v>196</v>
      </c>
      <c r="G1" s="172" t="s">
        <v>197</v>
      </c>
      <c r="H1" s="172" t="s">
        <v>198</v>
      </c>
      <c r="I1" s="172" t="s">
        <v>199</v>
      </c>
      <c r="J1" s="172" t="s">
        <v>200</v>
      </c>
      <c r="K1" s="172" t="s">
        <v>201</v>
      </c>
      <c r="L1" s="172" t="s">
        <v>202</v>
      </c>
      <c r="M1" s="172" t="s">
        <v>203</v>
      </c>
      <c r="N1" s="172" t="s">
        <v>204</v>
      </c>
      <c r="O1" s="172" t="s">
        <v>205</v>
      </c>
      <c r="P1" s="172" t="s">
        <v>206</v>
      </c>
      <c r="Q1" s="172" t="s">
        <v>207</v>
      </c>
      <c r="R1" s="172" t="s">
        <v>208</v>
      </c>
      <c r="S1" s="172" t="s">
        <v>166</v>
      </c>
      <c r="T1" s="172" t="s">
        <v>209</v>
      </c>
      <c r="U1" s="172" t="s">
        <v>210</v>
      </c>
      <c r="V1" s="172" t="s">
        <v>211</v>
      </c>
      <c r="W1" s="172" t="s">
        <v>212</v>
      </c>
      <c r="X1" s="172" t="s">
        <v>213</v>
      </c>
      <c r="Y1" s="172" t="s">
        <v>214</v>
      </c>
      <c r="Z1" s="172" t="s">
        <v>215</v>
      </c>
      <c r="AA1" s="172" t="s">
        <v>216</v>
      </c>
      <c r="AB1" s="172" t="s">
        <v>217</v>
      </c>
      <c r="AC1" s="172" t="s">
        <v>218</v>
      </c>
      <c r="AD1" s="172" t="s">
        <v>219</v>
      </c>
      <c r="AE1"/>
      <c r="AF1"/>
      <c r="AG1"/>
      <c r="AH1"/>
    </row>
    <row r="2" spans="1:34" customFormat="1" x14ac:dyDescent="0.15">
      <c r="A2" s="171" t="s">
        <v>192</v>
      </c>
      <c r="B2" s="137">
        <v>0</v>
      </c>
      <c r="C2" s="137">
        <v>0</v>
      </c>
      <c r="D2" s="137">
        <v>0</v>
      </c>
      <c r="E2" s="137">
        <v>0</v>
      </c>
      <c r="F2" s="137">
        <v>0</v>
      </c>
      <c r="G2" s="137">
        <v>0</v>
      </c>
      <c r="H2" s="137">
        <v>0</v>
      </c>
      <c r="I2" s="137">
        <v>0</v>
      </c>
      <c r="J2" s="137">
        <v>0</v>
      </c>
      <c r="K2" s="137">
        <v>0</v>
      </c>
      <c r="L2" s="137">
        <v>0</v>
      </c>
      <c r="M2" s="137">
        <v>0</v>
      </c>
      <c r="N2" s="137">
        <v>0</v>
      </c>
      <c r="O2" s="137">
        <v>0</v>
      </c>
      <c r="P2" s="137">
        <v>0</v>
      </c>
      <c r="Q2" s="137">
        <v>0</v>
      </c>
      <c r="R2" s="137">
        <v>0</v>
      </c>
      <c r="S2" s="137">
        <v>0</v>
      </c>
      <c r="T2" s="137">
        <v>0</v>
      </c>
      <c r="U2" s="137">
        <v>0</v>
      </c>
      <c r="V2" s="137">
        <v>0</v>
      </c>
      <c r="W2" s="137">
        <v>0</v>
      </c>
      <c r="X2" s="137">
        <v>0</v>
      </c>
      <c r="Y2" s="137">
        <v>0</v>
      </c>
      <c r="Z2" s="137">
        <v>0</v>
      </c>
      <c r="AA2" s="137">
        <v>0</v>
      </c>
      <c r="AB2" s="137">
        <v>0</v>
      </c>
      <c r="AC2" s="137">
        <v>0</v>
      </c>
      <c r="AD2" s="137">
        <v>0</v>
      </c>
    </row>
    <row r="3" spans="1:34" customFormat="1" x14ac:dyDescent="0.15">
      <c r="A3" s="171" t="s">
        <v>193</v>
      </c>
      <c r="B3" s="137">
        <v>0</v>
      </c>
      <c r="C3" s="137">
        <v>0</v>
      </c>
      <c r="D3" s="137">
        <v>0</v>
      </c>
      <c r="E3" s="137">
        <v>0</v>
      </c>
      <c r="F3" s="137">
        <v>0</v>
      </c>
      <c r="G3" s="137">
        <v>0</v>
      </c>
      <c r="H3" s="137">
        <v>0</v>
      </c>
      <c r="I3" s="137">
        <v>0</v>
      </c>
      <c r="J3" s="137">
        <v>0</v>
      </c>
      <c r="K3" s="137">
        <v>0</v>
      </c>
      <c r="L3" s="137">
        <v>0</v>
      </c>
      <c r="M3" s="137">
        <v>0</v>
      </c>
      <c r="N3" s="137">
        <v>0</v>
      </c>
      <c r="O3" s="137">
        <v>0</v>
      </c>
      <c r="P3" s="137">
        <v>0</v>
      </c>
      <c r="Q3" s="137">
        <v>0</v>
      </c>
      <c r="R3" s="137">
        <v>0</v>
      </c>
      <c r="S3" s="137">
        <v>0</v>
      </c>
      <c r="T3" s="137">
        <v>0</v>
      </c>
      <c r="U3" s="137">
        <v>0</v>
      </c>
      <c r="V3" s="137">
        <v>0</v>
      </c>
      <c r="W3" s="137">
        <v>0</v>
      </c>
      <c r="X3" s="137">
        <v>0</v>
      </c>
      <c r="Y3" s="137">
        <v>0</v>
      </c>
      <c r="Z3" s="137">
        <v>0</v>
      </c>
      <c r="AA3" s="137">
        <v>0</v>
      </c>
      <c r="AB3" s="137">
        <v>0</v>
      </c>
      <c r="AC3" s="137">
        <v>0</v>
      </c>
      <c r="AD3" s="137">
        <v>0</v>
      </c>
    </row>
    <row r="4" spans="1:34" customFormat="1" x14ac:dyDescent="0.15">
      <c r="A4" s="171" t="s">
        <v>194</v>
      </c>
      <c r="B4" s="137">
        <v>0</v>
      </c>
      <c r="C4" s="137">
        <v>0</v>
      </c>
      <c r="D4" s="137">
        <v>0</v>
      </c>
      <c r="E4" s="137">
        <v>0</v>
      </c>
      <c r="F4" s="137">
        <v>0</v>
      </c>
      <c r="G4" s="137">
        <v>0</v>
      </c>
      <c r="H4" s="137">
        <v>0</v>
      </c>
      <c r="I4" s="137">
        <v>0</v>
      </c>
      <c r="J4" s="137">
        <v>0</v>
      </c>
      <c r="K4" s="137">
        <v>0</v>
      </c>
      <c r="L4" s="137">
        <v>0</v>
      </c>
      <c r="M4" s="137">
        <v>0</v>
      </c>
      <c r="N4" s="137">
        <v>0</v>
      </c>
      <c r="O4" s="137">
        <v>0</v>
      </c>
      <c r="P4" s="137">
        <v>0</v>
      </c>
      <c r="Q4" s="137">
        <v>0</v>
      </c>
      <c r="R4" s="137">
        <v>0</v>
      </c>
      <c r="S4" s="137">
        <v>0</v>
      </c>
      <c r="T4" s="137">
        <v>0</v>
      </c>
      <c r="U4" s="137">
        <v>0</v>
      </c>
      <c r="V4" s="137">
        <v>0</v>
      </c>
      <c r="W4" s="137">
        <v>0</v>
      </c>
      <c r="X4" s="137">
        <v>0</v>
      </c>
      <c r="Y4" s="137">
        <v>0</v>
      </c>
      <c r="Z4" s="137">
        <v>0</v>
      </c>
      <c r="AA4" s="137">
        <v>0</v>
      </c>
      <c r="AB4" s="137">
        <v>0</v>
      </c>
      <c r="AC4" s="137">
        <v>0</v>
      </c>
      <c r="AD4" s="137">
        <v>0</v>
      </c>
    </row>
    <row r="5" spans="1:34" customFormat="1" x14ac:dyDescent="0.15">
      <c r="A5" s="171" t="s">
        <v>195</v>
      </c>
      <c r="B5" s="137">
        <v>0</v>
      </c>
      <c r="C5" s="137">
        <v>0</v>
      </c>
      <c r="D5" s="137">
        <v>1.1904761383333328E-2</v>
      </c>
      <c r="E5" s="137">
        <v>0</v>
      </c>
      <c r="F5" s="137">
        <v>0</v>
      </c>
      <c r="G5" s="137">
        <v>0</v>
      </c>
      <c r="H5" s="137">
        <v>0</v>
      </c>
      <c r="I5" s="137">
        <v>0</v>
      </c>
      <c r="J5" s="137">
        <v>0</v>
      </c>
      <c r="K5" s="137">
        <v>0</v>
      </c>
      <c r="L5" s="137">
        <v>0</v>
      </c>
      <c r="M5" s="137">
        <v>0</v>
      </c>
      <c r="N5" s="137">
        <v>0</v>
      </c>
      <c r="O5" s="137">
        <v>0</v>
      </c>
      <c r="P5" s="137">
        <v>0</v>
      </c>
      <c r="Q5" s="137">
        <v>0</v>
      </c>
      <c r="R5" s="137">
        <v>0</v>
      </c>
      <c r="S5" s="137">
        <v>0</v>
      </c>
      <c r="T5" s="137">
        <v>0</v>
      </c>
      <c r="U5" s="137">
        <v>0</v>
      </c>
      <c r="V5" s="137">
        <v>0</v>
      </c>
      <c r="W5" s="137">
        <v>0</v>
      </c>
      <c r="X5" s="137">
        <v>0</v>
      </c>
      <c r="Y5" s="137">
        <v>0</v>
      </c>
      <c r="Z5" s="137">
        <v>0</v>
      </c>
      <c r="AA5" s="137">
        <v>0</v>
      </c>
      <c r="AB5" s="137">
        <v>0</v>
      </c>
      <c r="AC5" s="137">
        <v>0</v>
      </c>
      <c r="AD5" s="137">
        <v>0</v>
      </c>
    </row>
    <row r="6" spans="1:34" customFormat="1" x14ac:dyDescent="0.15">
      <c r="A6" s="171" t="s">
        <v>196</v>
      </c>
      <c r="B6" s="137">
        <v>0</v>
      </c>
      <c r="C6" s="137">
        <v>0</v>
      </c>
      <c r="D6" s="137">
        <v>1.1904761383333328E-2</v>
      </c>
      <c r="E6" s="137">
        <v>0</v>
      </c>
      <c r="F6" s="137">
        <v>0</v>
      </c>
      <c r="G6" s="137">
        <v>0</v>
      </c>
      <c r="H6" s="137">
        <v>0</v>
      </c>
      <c r="I6" s="137">
        <v>0</v>
      </c>
      <c r="J6" s="137">
        <v>0</v>
      </c>
      <c r="K6" s="137">
        <v>0</v>
      </c>
      <c r="L6" s="137">
        <v>0</v>
      </c>
      <c r="M6" s="137">
        <v>0</v>
      </c>
      <c r="N6" s="137">
        <v>2.0020020213113103E-2</v>
      </c>
      <c r="O6" s="137">
        <v>0</v>
      </c>
      <c r="P6" s="137">
        <v>2.0020020847247282E-3</v>
      </c>
      <c r="Q6" s="137">
        <v>0</v>
      </c>
      <c r="R6" s="137">
        <v>0</v>
      </c>
      <c r="S6" s="137">
        <v>0</v>
      </c>
      <c r="T6" s="137">
        <v>0</v>
      </c>
      <c r="U6" s="137">
        <v>0</v>
      </c>
      <c r="V6" s="137">
        <v>0</v>
      </c>
      <c r="W6" s="137">
        <v>0</v>
      </c>
      <c r="X6" s="137">
        <v>0</v>
      </c>
      <c r="Y6" s="137">
        <v>0</v>
      </c>
      <c r="Z6" s="137">
        <v>0</v>
      </c>
      <c r="AA6" s="137">
        <v>0</v>
      </c>
      <c r="AB6" s="137">
        <v>0</v>
      </c>
      <c r="AC6" s="137">
        <v>0</v>
      </c>
      <c r="AD6" s="137">
        <v>0</v>
      </c>
    </row>
    <row r="7" spans="1:34" customFormat="1" x14ac:dyDescent="0.15">
      <c r="A7" s="171" t="s">
        <v>197</v>
      </c>
      <c r="B7" s="137">
        <v>0</v>
      </c>
      <c r="C7" s="137">
        <v>0</v>
      </c>
      <c r="D7" s="137">
        <v>1.1904761383333328E-2</v>
      </c>
      <c r="E7" s="137">
        <v>0</v>
      </c>
      <c r="F7" s="137">
        <v>2.0000000000000004E-2</v>
      </c>
      <c r="G7" s="137">
        <v>0</v>
      </c>
      <c r="H7" s="137">
        <v>0</v>
      </c>
      <c r="I7" s="137">
        <v>0</v>
      </c>
      <c r="J7" s="137">
        <v>0</v>
      </c>
      <c r="K7" s="137">
        <v>0</v>
      </c>
      <c r="L7" s="137">
        <v>0</v>
      </c>
      <c r="M7" s="137">
        <v>0</v>
      </c>
      <c r="N7" s="137">
        <v>2.0020020213113103E-2</v>
      </c>
      <c r="O7" s="137">
        <v>9.9999999999999985E-3</v>
      </c>
      <c r="P7" s="137">
        <v>3.0030029670870852E-3</v>
      </c>
      <c r="Q7" s="137">
        <v>0</v>
      </c>
      <c r="R7" s="137">
        <v>0</v>
      </c>
      <c r="S7" s="137">
        <v>0</v>
      </c>
      <c r="T7" s="137">
        <v>0</v>
      </c>
      <c r="U7" s="137">
        <v>0</v>
      </c>
      <c r="V7" s="137">
        <v>0</v>
      </c>
      <c r="W7" s="137">
        <v>0</v>
      </c>
      <c r="X7" s="137">
        <v>0</v>
      </c>
      <c r="Y7" s="137">
        <v>0</v>
      </c>
      <c r="Z7" s="137">
        <v>0</v>
      </c>
      <c r="AA7" s="137">
        <v>0</v>
      </c>
      <c r="AB7" s="137">
        <v>0</v>
      </c>
      <c r="AC7" s="137">
        <v>0</v>
      </c>
      <c r="AD7" s="137">
        <v>0</v>
      </c>
    </row>
    <row r="8" spans="1:34" customFormat="1" x14ac:dyDescent="0.15">
      <c r="A8" s="171" t="s">
        <v>198</v>
      </c>
      <c r="B8" s="137">
        <v>0</v>
      </c>
      <c r="C8" s="137">
        <v>0</v>
      </c>
      <c r="D8" s="137">
        <v>4.7619050733333388E-3</v>
      </c>
      <c r="E8" s="137">
        <v>0</v>
      </c>
      <c r="F8" s="137">
        <v>2.0000000000000004E-2</v>
      </c>
      <c r="G8" s="137">
        <v>0</v>
      </c>
      <c r="H8" s="137">
        <v>0</v>
      </c>
      <c r="I8" s="137">
        <v>0</v>
      </c>
      <c r="J8" s="137">
        <v>0</v>
      </c>
      <c r="K8" s="137">
        <v>0</v>
      </c>
      <c r="L8" s="137">
        <v>0</v>
      </c>
      <c r="M8" s="137">
        <v>0</v>
      </c>
      <c r="N8" s="137">
        <v>4.00400405262262E-2</v>
      </c>
      <c r="O8" s="137">
        <v>3.9999999999999994E-2</v>
      </c>
      <c r="P8" s="137">
        <v>3.0030029670870852E-3</v>
      </c>
      <c r="Q8" s="137">
        <v>0</v>
      </c>
      <c r="R8" s="137">
        <v>0</v>
      </c>
      <c r="S8" s="137">
        <v>0</v>
      </c>
      <c r="T8" s="137">
        <v>0</v>
      </c>
      <c r="U8" s="137">
        <v>0</v>
      </c>
      <c r="V8" s="137">
        <v>0</v>
      </c>
      <c r="W8" s="137">
        <v>0</v>
      </c>
      <c r="X8" s="137">
        <v>0</v>
      </c>
      <c r="Y8" s="137">
        <v>0</v>
      </c>
      <c r="Z8" s="137">
        <v>0</v>
      </c>
      <c r="AA8" s="137">
        <v>0</v>
      </c>
      <c r="AB8" s="137">
        <v>0</v>
      </c>
      <c r="AC8" s="137">
        <v>0</v>
      </c>
      <c r="AD8" s="137">
        <v>0</v>
      </c>
    </row>
    <row r="9" spans="1:34" customFormat="1" x14ac:dyDescent="0.15">
      <c r="A9" s="171" t="s">
        <v>199</v>
      </c>
      <c r="B9" s="137">
        <v>0</v>
      </c>
      <c r="C9" s="137">
        <v>0</v>
      </c>
      <c r="D9" s="137">
        <v>0</v>
      </c>
      <c r="E9" s="137">
        <v>0</v>
      </c>
      <c r="F9" s="137">
        <v>0</v>
      </c>
      <c r="G9" s="137">
        <v>0</v>
      </c>
      <c r="H9" s="137">
        <v>0</v>
      </c>
      <c r="I9" s="137">
        <v>0</v>
      </c>
      <c r="J9" s="137">
        <v>0</v>
      </c>
      <c r="K9" s="137">
        <v>0</v>
      </c>
      <c r="L9" s="137">
        <v>9.9990000999900015E-5</v>
      </c>
      <c r="M9" s="137">
        <v>0</v>
      </c>
      <c r="N9" s="137">
        <v>0</v>
      </c>
      <c r="O9" s="137">
        <v>0</v>
      </c>
      <c r="P9" s="137">
        <v>0</v>
      </c>
      <c r="Q9" s="137">
        <v>0</v>
      </c>
      <c r="R9" s="137">
        <v>0</v>
      </c>
      <c r="S9" s="137">
        <v>0</v>
      </c>
      <c r="T9" s="137">
        <v>0</v>
      </c>
      <c r="U9" s="137">
        <v>0</v>
      </c>
      <c r="V9" s="137">
        <v>0</v>
      </c>
      <c r="W9" s="137">
        <v>0</v>
      </c>
      <c r="X9" s="137">
        <v>0</v>
      </c>
      <c r="Y9" s="137">
        <v>0</v>
      </c>
      <c r="Z9" s="137">
        <v>0</v>
      </c>
      <c r="AA9" s="137">
        <v>0</v>
      </c>
      <c r="AB9" s="137">
        <v>0</v>
      </c>
      <c r="AC9" s="137">
        <v>0</v>
      </c>
      <c r="AD9" s="137">
        <v>0</v>
      </c>
    </row>
    <row r="10" spans="1:34" customFormat="1" x14ac:dyDescent="0.15">
      <c r="A10" s="171" t="s">
        <v>200</v>
      </c>
      <c r="B10" s="137">
        <v>0.80000001223999873</v>
      </c>
      <c r="C10" s="137">
        <v>0.8</v>
      </c>
      <c r="D10" s="137">
        <v>3.3333330513333294E-2</v>
      </c>
      <c r="E10" s="137">
        <v>0</v>
      </c>
      <c r="F10" s="137">
        <v>0.70000000000000007</v>
      </c>
      <c r="G10" s="137">
        <v>0.6</v>
      </c>
      <c r="H10" s="137">
        <v>0.6</v>
      </c>
      <c r="I10" s="137">
        <v>0</v>
      </c>
      <c r="J10" s="137">
        <v>0</v>
      </c>
      <c r="K10" s="137">
        <v>0</v>
      </c>
      <c r="L10" s="137">
        <v>0</v>
      </c>
      <c r="M10" s="137">
        <v>0</v>
      </c>
      <c r="N10" s="137">
        <v>5.0050051482782715E-2</v>
      </c>
      <c r="O10" s="137">
        <v>0.54999999999999993</v>
      </c>
      <c r="P10" s="137">
        <v>0.16116116182034035</v>
      </c>
      <c r="Q10" s="137">
        <v>1.997668772268135E-3</v>
      </c>
      <c r="R10" s="137">
        <v>0</v>
      </c>
      <c r="S10" s="137">
        <v>0</v>
      </c>
      <c r="T10" s="137">
        <v>0</v>
      </c>
      <c r="U10" s="137">
        <v>0</v>
      </c>
      <c r="V10" s="137">
        <v>0</v>
      </c>
      <c r="W10" s="137">
        <v>0</v>
      </c>
      <c r="X10" s="137">
        <v>0</v>
      </c>
      <c r="Y10" s="137">
        <v>0</v>
      </c>
      <c r="Z10" s="137">
        <v>0</v>
      </c>
      <c r="AA10" s="137">
        <v>0</v>
      </c>
      <c r="AB10" s="137">
        <v>0</v>
      </c>
      <c r="AC10" s="137">
        <v>0</v>
      </c>
      <c r="AD10" s="137">
        <v>0</v>
      </c>
    </row>
    <row r="11" spans="1:34" customFormat="1" x14ac:dyDescent="0.15">
      <c r="A11" s="171" t="s">
        <v>201</v>
      </c>
      <c r="B11" s="137">
        <v>0</v>
      </c>
      <c r="C11" s="137">
        <v>0</v>
      </c>
      <c r="D11" s="137">
        <v>0</v>
      </c>
      <c r="E11" s="137">
        <v>0</v>
      </c>
      <c r="F11" s="137">
        <v>0</v>
      </c>
      <c r="G11" s="137">
        <v>0</v>
      </c>
      <c r="H11" s="137">
        <v>0</v>
      </c>
      <c r="I11" s="137">
        <v>0</v>
      </c>
      <c r="J11" s="137">
        <v>9.9990000999900015E-5</v>
      </c>
      <c r="K11" s="137">
        <v>0</v>
      </c>
      <c r="L11" s="137">
        <v>0</v>
      </c>
      <c r="M11" s="137">
        <v>0</v>
      </c>
      <c r="N11" s="137">
        <v>0</v>
      </c>
      <c r="O11" s="137">
        <v>0</v>
      </c>
      <c r="P11" s="137">
        <v>0</v>
      </c>
      <c r="Q11" s="137">
        <v>0</v>
      </c>
      <c r="R11" s="137">
        <v>0</v>
      </c>
      <c r="S11" s="137">
        <v>0</v>
      </c>
      <c r="T11" s="137">
        <v>0</v>
      </c>
      <c r="U11" s="137">
        <v>0</v>
      </c>
      <c r="V11" s="137">
        <v>0</v>
      </c>
      <c r="W11" s="137">
        <v>0</v>
      </c>
      <c r="X11" s="137">
        <v>0</v>
      </c>
      <c r="Y11" s="137">
        <v>0</v>
      </c>
      <c r="Z11" s="137">
        <v>0</v>
      </c>
      <c r="AA11" s="137">
        <v>0</v>
      </c>
      <c r="AB11" s="137">
        <v>0</v>
      </c>
      <c r="AC11" s="137">
        <v>0</v>
      </c>
      <c r="AD11" s="137">
        <v>0</v>
      </c>
    </row>
    <row r="12" spans="1:34" customFormat="1" x14ac:dyDescent="0.15">
      <c r="A12" s="171" t="s">
        <v>202</v>
      </c>
      <c r="B12" s="137">
        <v>0.11999999183600091</v>
      </c>
      <c r="C12" s="137">
        <v>0.05</v>
      </c>
      <c r="D12" s="137">
        <v>3.5714284149999984E-2</v>
      </c>
      <c r="E12" s="137">
        <v>0</v>
      </c>
      <c r="F12" s="137">
        <v>0.18000000000000002</v>
      </c>
      <c r="G12" s="137">
        <v>0.09</v>
      </c>
      <c r="H12" s="137">
        <v>0.09</v>
      </c>
      <c r="I12" s="137">
        <v>0</v>
      </c>
      <c r="J12" s="137">
        <v>0</v>
      </c>
      <c r="K12" s="137">
        <v>0</v>
      </c>
      <c r="L12" s="137">
        <v>0</v>
      </c>
      <c r="M12" s="137">
        <v>0</v>
      </c>
      <c r="N12" s="137">
        <v>2.0020020213113103E-2</v>
      </c>
      <c r="O12" s="137">
        <v>4.9999999999999989E-2</v>
      </c>
      <c r="P12" s="137">
        <v>1.4014014593073098E-2</v>
      </c>
      <c r="Q12" s="137">
        <v>1.997668772268135E-3</v>
      </c>
      <c r="R12" s="137">
        <v>0</v>
      </c>
      <c r="S12" s="137">
        <v>0.01</v>
      </c>
      <c r="T12" s="137">
        <v>0</v>
      </c>
      <c r="U12" s="137">
        <v>0</v>
      </c>
      <c r="V12" s="137">
        <v>0</v>
      </c>
      <c r="W12" s="137">
        <v>0</v>
      </c>
      <c r="X12" s="137">
        <v>0</v>
      </c>
      <c r="Y12" s="137">
        <v>0</v>
      </c>
      <c r="Z12" s="137">
        <v>0</v>
      </c>
      <c r="AA12" s="137">
        <v>0</v>
      </c>
      <c r="AB12" s="137">
        <v>0</v>
      </c>
      <c r="AC12" s="137">
        <v>0</v>
      </c>
      <c r="AD12" s="137">
        <v>0</v>
      </c>
    </row>
    <row r="13" spans="1:34" customFormat="1" x14ac:dyDescent="0.15">
      <c r="A13" s="171" t="s">
        <v>203</v>
      </c>
      <c r="B13" s="137">
        <v>1.9999999206000086E-2</v>
      </c>
      <c r="C13" s="137">
        <v>0.1</v>
      </c>
      <c r="D13" s="137">
        <v>7.1428571100000005E-2</v>
      </c>
      <c r="E13" s="137">
        <v>0</v>
      </c>
      <c r="F13" s="137">
        <v>8.0000000000000016E-2</v>
      </c>
      <c r="G13" s="137">
        <v>0.01</v>
      </c>
      <c r="H13" s="137">
        <v>0.06</v>
      </c>
      <c r="I13" s="137">
        <v>0</v>
      </c>
      <c r="J13" s="137">
        <v>0</v>
      </c>
      <c r="K13" s="137">
        <v>0</v>
      </c>
      <c r="L13" s="137">
        <v>0</v>
      </c>
      <c r="M13" s="137">
        <v>0</v>
      </c>
      <c r="N13" s="137">
        <v>9.0090092009008915E-2</v>
      </c>
      <c r="O13" s="137">
        <v>9.9999999999999985E-3</v>
      </c>
      <c r="P13" s="137">
        <v>5.4054052287567489E-2</v>
      </c>
      <c r="Q13" s="137">
        <v>5.1939387978988186E-2</v>
      </c>
      <c r="R13" s="137">
        <v>0.02</v>
      </c>
      <c r="S13" s="137">
        <v>0.05</v>
      </c>
      <c r="T13" s="137">
        <v>0</v>
      </c>
      <c r="U13" s="137">
        <v>0</v>
      </c>
      <c r="V13" s="137">
        <v>0</v>
      </c>
      <c r="W13" s="137">
        <v>0</v>
      </c>
      <c r="X13" s="137">
        <v>0</v>
      </c>
      <c r="Y13" s="137">
        <v>0</v>
      </c>
      <c r="Z13" s="137">
        <v>0</v>
      </c>
      <c r="AA13" s="137">
        <v>0</v>
      </c>
      <c r="AB13" s="137">
        <v>0</v>
      </c>
      <c r="AC13" s="137">
        <v>0</v>
      </c>
      <c r="AD13" s="137">
        <v>0</v>
      </c>
    </row>
    <row r="14" spans="1:34" customFormat="1" x14ac:dyDescent="0.15">
      <c r="A14" s="171" t="s">
        <v>204</v>
      </c>
      <c r="B14" s="137">
        <v>0</v>
      </c>
      <c r="C14" s="137">
        <v>0</v>
      </c>
      <c r="D14" s="137">
        <v>1.1904761383333328E-2</v>
      </c>
      <c r="E14" s="137">
        <v>0</v>
      </c>
      <c r="F14" s="137">
        <v>0</v>
      </c>
      <c r="G14" s="137">
        <v>0</v>
      </c>
      <c r="H14" s="137">
        <v>0</v>
      </c>
      <c r="I14" s="137">
        <v>0</v>
      </c>
      <c r="J14" s="137">
        <v>0</v>
      </c>
      <c r="K14" s="137">
        <v>0</v>
      </c>
      <c r="L14" s="137">
        <v>0</v>
      </c>
      <c r="M14" s="137">
        <v>0</v>
      </c>
      <c r="N14" s="137">
        <v>0</v>
      </c>
      <c r="O14" s="137">
        <v>0</v>
      </c>
      <c r="P14" s="137">
        <v>8.0080083388989129E-3</v>
      </c>
      <c r="Q14" s="137">
        <v>0</v>
      </c>
      <c r="R14" s="137">
        <v>0</v>
      </c>
      <c r="S14" s="137">
        <v>0</v>
      </c>
      <c r="T14" s="137">
        <v>0</v>
      </c>
      <c r="U14" s="137">
        <v>0</v>
      </c>
      <c r="V14" s="137">
        <v>0</v>
      </c>
      <c r="W14" s="137">
        <v>0</v>
      </c>
      <c r="X14" s="137">
        <v>0</v>
      </c>
      <c r="Y14" s="137">
        <v>0</v>
      </c>
      <c r="Z14" s="137">
        <v>0</v>
      </c>
      <c r="AA14" s="137">
        <v>0</v>
      </c>
      <c r="AB14" s="137">
        <v>0</v>
      </c>
      <c r="AC14" s="137">
        <v>0</v>
      </c>
      <c r="AD14" s="137">
        <v>0</v>
      </c>
    </row>
    <row r="15" spans="1:34" customFormat="1" x14ac:dyDescent="0.15">
      <c r="A15" s="171" t="s">
        <v>205</v>
      </c>
      <c r="B15" s="137">
        <v>9.999999603000043E-3</v>
      </c>
      <c r="C15" s="137">
        <v>0</v>
      </c>
      <c r="D15" s="137">
        <v>1.1904761383333328E-2</v>
      </c>
      <c r="E15" s="137">
        <v>0</v>
      </c>
      <c r="F15" s="137">
        <v>0</v>
      </c>
      <c r="G15" s="137">
        <v>0</v>
      </c>
      <c r="H15" s="137">
        <v>0</v>
      </c>
      <c r="I15" s="137">
        <v>0</v>
      </c>
      <c r="J15" s="137">
        <v>0</v>
      </c>
      <c r="K15" s="137">
        <v>0</v>
      </c>
      <c r="L15" s="137">
        <v>0</v>
      </c>
      <c r="M15" s="137">
        <v>0</v>
      </c>
      <c r="N15" s="137">
        <v>0</v>
      </c>
      <c r="O15" s="137">
        <v>1.9999999999999997E-2</v>
      </c>
      <c r="P15" s="137">
        <v>2.0020020847247282E-3</v>
      </c>
      <c r="Q15" s="137">
        <v>0</v>
      </c>
      <c r="R15" s="137">
        <v>0</v>
      </c>
      <c r="S15" s="137">
        <v>0</v>
      </c>
      <c r="T15" s="137">
        <v>0</v>
      </c>
      <c r="U15" s="137">
        <v>0</v>
      </c>
      <c r="V15" s="137">
        <v>0</v>
      </c>
      <c r="W15" s="137">
        <v>0</v>
      </c>
      <c r="X15" s="137">
        <v>0</v>
      </c>
      <c r="Y15" s="137">
        <v>0</v>
      </c>
      <c r="Z15" s="137">
        <v>0</v>
      </c>
      <c r="AA15" s="137">
        <v>0</v>
      </c>
      <c r="AB15" s="137">
        <v>0</v>
      </c>
      <c r="AC15" s="137">
        <v>0</v>
      </c>
      <c r="AD15" s="137">
        <v>0</v>
      </c>
    </row>
    <row r="16" spans="1:34" customFormat="1" x14ac:dyDescent="0.15">
      <c r="A16" s="171" t="s">
        <v>206</v>
      </c>
      <c r="B16" s="137">
        <v>0</v>
      </c>
      <c r="C16" s="137">
        <v>0</v>
      </c>
      <c r="D16" s="137">
        <v>1.1904761383333328E-2</v>
      </c>
      <c r="E16" s="137">
        <v>0</v>
      </c>
      <c r="F16" s="137">
        <v>0</v>
      </c>
      <c r="G16" s="137">
        <v>0</v>
      </c>
      <c r="H16" s="137">
        <v>0</v>
      </c>
      <c r="I16" s="137">
        <v>0</v>
      </c>
      <c r="J16" s="137">
        <v>0</v>
      </c>
      <c r="K16" s="137">
        <v>0</v>
      </c>
      <c r="L16" s="137">
        <v>0</v>
      </c>
      <c r="M16" s="137">
        <v>0</v>
      </c>
      <c r="N16" s="137">
        <v>0</v>
      </c>
      <c r="O16" s="137">
        <v>0</v>
      </c>
      <c r="P16" s="137">
        <v>0</v>
      </c>
      <c r="Q16" s="137">
        <v>0</v>
      </c>
      <c r="R16" s="137">
        <v>0</v>
      </c>
      <c r="S16" s="137">
        <v>0</v>
      </c>
      <c r="T16" s="137">
        <v>0</v>
      </c>
      <c r="U16" s="137">
        <v>0</v>
      </c>
      <c r="V16" s="137">
        <v>0</v>
      </c>
      <c r="W16" s="137">
        <v>0</v>
      </c>
      <c r="X16" s="137">
        <v>0</v>
      </c>
      <c r="Y16" s="137">
        <v>0</v>
      </c>
      <c r="Z16" s="137">
        <v>0</v>
      </c>
      <c r="AA16" s="137">
        <v>0</v>
      </c>
      <c r="AB16" s="137">
        <v>0</v>
      </c>
      <c r="AC16" s="137">
        <v>0</v>
      </c>
      <c r="AD16" s="137">
        <v>0</v>
      </c>
    </row>
    <row r="17" spans="1:30" customFormat="1" x14ac:dyDescent="0.15">
      <c r="A17" s="171" t="s">
        <v>207</v>
      </c>
      <c r="B17" s="137">
        <v>1.9999999206000086E-2</v>
      </c>
      <c r="C17" s="137">
        <v>0</v>
      </c>
      <c r="D17" s="137">
        <v>3.5714284149999984E-2</v>
      </c>
      <c r="E17" s="137">
        <v>0</v>
      </c>
      <c r="F17" s="137">
        <v>0</v>
      </c>
      <c r="G17" s="137">
        <v>0</v>
      </c>
      <c r="H17" s="137">
        <v>0</v>
      </c>
      <c r="I17" s="137">
        <v>0</v>
      </c>
      <c r="J17" s="137">
        <v>0</v>
      </c>
      <c r="K17" s="137">
        <v>0</v>
      </c>
      <c r="L17" s="137">
        <v>0</v>
      </c>
      <c r="M17" s="137">
        <v>0</v>
      </c>
      <c r="N17" s="137">
        <v>0</v>
      </c>
      <c r="O17" s="137">
        <v>1.9999999999999996E-3</v>
      </c>
      <c r="P17" s="137">
        <v>8.0080083388989129E-2</v>
      </c>
      <c r="Q17" s="137">
        <v>3.0963864970322875E-2</v>
      </c>
      <c r="R17" s="137">
        <v>0</v>
      </c>
      <c r="S17" s="137">
        <v>0</v>
      </c>
      <c r="T17" s="137">
        <v>0</v>
      </c>
      <c r="U17" s="137">
        <v>0</v>
      </c>
      <c r="V17" s="137">
        <v>0</v>
      </c>
      <c r="W17" s="137">
        <v>0</v>
      </c>
      <c r="X17" s="137">
        <v>0</v>
      </c>
      <c r="Y17" s="137">
        <v>0</v>
      </c>
      <c r="Z17" s="137">
        <v>0</v>
      </c>
      <c r="AA17" s="137">
        <v>0</v>
      </c>
      <c r="AB17" s="137">
        <v>0</v>
      </c>
      <c r="AC17" s="137">
        <v>0</v>
      </c>
      <c r="AD17" s="137">
        <v>0</v>
      </c>
    </row>
    <row r="18" spans="1:30" customFormat="1" x14ac:dyDescent="0.15">
      <c r="A18" s="171" t="s">
        <v>208</v>
      </c>
      <c r="B18" s="137">
        <v>2.999999790900023E-2</v>
      </c>
      <c r="C18" s="137">
        <v>0.05</v>
      </c>
      <c r="D18" s="137">
        <v>0.10238095557666672</v>
      </c>
      <c r="E18" s="137">
        <v>0.16666666883333328</v>
      </c>
      <c r="F18" s="137">
        <v>0</v>
      </c>
      <c r="G18" s="137">
        <v>0</v>
      </c>
      <c r="H18" s="137">
        <v>0</v>
      </c>
      <c r="I18" s="137">
        <v>0</v>
      </c>
      <c r="J18" s="137">
        <v>0</v>
      </c>
      <c r="K18" s="137">
        <v>0</v>
      </c>
      <c r="L18" s="137">
        <v>0</v>
      </c>
      <c r="M18" s="137">
        <v>0</v>
      </c>
      <c r="N18" s="137">
        <v>0</v>
      </c>
      <c r="O18" s="137">
        <v>7.9999999999999984E-3</v>
      </c>
      <c r="P18" s="137">
        <v>0.13913913688836826</v>
      </c>
      <c r="Q18" s="137">
        <v>0.13384380474246538</v>
      </c>
      <c r="R18" s="137">
        <v>0.03</v>
      </c>
      <c r="S18" s="137">
        <v>0.05</v>
      </c>
      <c r="T18" s="137">
        <v>0</v>
      </c>
      <c r="U18" s="137">
        <v>0</v>
      </c>
      <c r="V18" s="137">
        <v>0</v>
      </c>
      <c r="W18" s="137">
        <v>0</v>
      </c>
      <c r="X18" s="137">
        <v>0</v>
      </c>
      <c r="Y18" s="137">
        <v>0</v>
      </c>
      <c r="Z18" s="137">
        <v>0</v>
      </c>
      <c r="AA18" s="137">
        <v>0</v>
      </c>
      <c r="AB18" s="137">
        <v>0</v>
      </c>
      <c r="AC18" s="137">
        <v>0</v>
      </c>
      <c r="AD18" s="137">
        <v>0</v>
      </c>
    </row>
    <row r="19" spans="1:30" customFormat="1" x14ac:dyDescent="0.15">
      <c r="A19" s="171" t="s">
        <v>166</v>
      </c>
      <c r="B19" s="137">
        <v>0</v>
      </c>
      <c r="C19" s="137">
        <v>0</v>
      </c>
      <c r="D19" s="137">
        <v>1.1904761383333328E-2</v>
      </c>
      <c r="E19" s="137">
        <v>5.5555554944444453E-2</v>
      </c>
      <c r="F19" s="137">
        <v>0</v>
      </c>
      <c r="G19" s="137">
        <v>0</v>
      </c>
      <c r="H19" s="137">
        <v>0</v>
      </c>
      <c r="I19" s="137">
        <v>0</v>
      </c>
      <c r="J19" s="137">
        <v>0</v>
      </c>
      <c r="K19" s="137">
        <v>0</v>
      </c>
      <c r="L19" s="137">
        <v>2.9997000299970002E-3</v>
      </c>
      <c r="M19" s="137">
        <v>0</v>
      </c>
      <c r="N19" s="137">
        <v>6.0060057339339452E-2</v>
      </c>
      <c r="O19" s="137">
        <v>0</v>
      </c>
      <c r="P19" s="137">
        <v>8.1081083431351453E-2</v>
      </c>
      <c r="Q19" s="137">
        <v>6.9918407029384722E-3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137">
        <v>0</v>
      </c>
      <c r="Z19" s="137">
        <v>0</v>
      </c>
      <c r="AA19" s="137">
        <v>0</v>
      </c>
      <c r="AB19" s="137">
        <v>0</v>
      </c>
      <c r="AC19" s="137">
        <v>0</v>
      </c>
      <c r="AD19" s="137">
        <v>0</v>
      </c>
    </row>
    <row r="20" spans="1:30" customFormat="1" x14ac:dyDescent="0.15">
      <c r="A20" s="171" t="s">
        <v>209</v>
      </c>
      <c r="B20" s="137">
        <v>0</v>
      </c>
      <c r="C20" s="137">
        <v>0</v>
      </c>
      <c r="D20" s="137">
        <v>0.33571428617000004</v>
      </c>
      <c r="E20" s="137">
        <v>0.22222221977777781</v>
      </c>
      <c r="F20" s="137">
        <v>0</v>
      </c>
      <c r="G20" s="137">
        <v>0</v>
      </c>
      <c r="H20" s="137">
        <v>0</v>
      </c>
      <c r="I20" s="137">
        <v>0</v>
      </c>
      <c r="J20" s="137">
        <v>0</v>
      </c>
      <c r="K20" s="137">
        <v>0</v>
      </c>
      <c r="L20" s="137">
        <v>0</v>
      </c>
      <c r="M20" s="137">
        <v>0</v>
      </c>
      <c r="N20" s="137">
        <v>0.23323323266776777</v>
      </c>
      <c r="O20" s="137">
        <v>0</v>
      </c>
      <c r="P20" s="137">
        <v>0.13313313363419421</v>
      </c>
      <c r="Q20" s="137">
        <v>8.1904417663327095E-2</v>
      </c>
      <c r="R20" s="137">
        <v>0.1</v>
      </c>
      <c r="S20" s="137">
        <v>0.1</v>
      </c>
      <c r="T20" s="137">
        <v>0</v>
      </c>
      <c r="U20" s="137">
        <v>0</v>
      </c>
      <c r="V20" s="137">
        <v>0</v>
      </c>
      <c r="W20" s="137">
        <v>0</v>
      </c>
      <c r="X20" s="137">
        <v>0</v>
      </c>
      <c r="Y20" s="137">
        <v>0</v>
      </c>
      <c r="Z20" s="137">
        <v>0</v>
      </c>
      <c r="AA20" s="137">
        <v>0</v>
      </c>
      <c r="AB20" s="137">
        <v>0</v>
      </c>
      <c r="AC20" s="137">
        <v>0</v>
      </c>
      <c r="AD20" s="137">
        <v>0</v>
      </c>
    </row>
    <row r="21" spans="1:30" customFormat="1" x14ac:dyDescent="0.15">
      <c r="A21" s="171" t="s">
        <v>210</v>
      </c>
      <c r="B21" s="137">
        <v>0</v>
      </c>
      <c r="C21" s="137">
        <v>0</v>
      </c>
      <c r="D21" s="137">
        <v>0.23809524266666676</v>
      </c>
      <c r="E21" s="137">
        <v>0.22222221977777781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0.17017016520160136</v>
      </c>
      <c r="Q21" s="137">
        <v>4.5946380662350558E-2</v>
      </c>
      <c r="R21" s="137">
        <v>0.1</v>
      </c>
      <c r="S21" s="137">
        <v>0.05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</row>
    <row r="22" spans="1:30" customFormat="1" x14ac:dyDescent="0.15">
      <c r="A22" s="171" t="s">
        <v>211</v>
      </c>
      <c r="B22" s="137">
        <v>0</v>
      </c>
      <c r="C22" s="137">
        <v>0</v>
      </c>
      <c r="D22" s="137">
        <v>5.9523810916666704E-2</v>
      </c>
      <c r="E22" s="137">
        <v>0.33333333666666659</v>
      </c>
      <c r="F22" s="137">
        <v>0</v>
      </c>
      <c r="G22" s="137">
        <v>0</v>
      </c>
      <c r="H22" s="137">
        <v>0</v>
      </c>
      <c r="I22" s="137">
        <v>0</v>
      </c>
      <c r="J22" s="137">
        <v>7.9992000799920006E-3</v>
      </c>
      <c r="K22" s="137">
        <v>0</v>
      </c>
      <c r="L22" s="137">
        <v>2.9997000299970002E-3</v>
      </c>
      <c r="M22" s="137">
        <v>0.19970724354120081</v>
      </c>
      <c r="N22" s="137">
        <v>0.23323323266776777</v>
      </c>
      <c r="O22" s="137">
        <v>2.9999999999999992E-2</v>
      </c>
      <c r="P22" s="137">
        <v>0.10310310436332337</v>
      </c>
      <c r="Q22" s="137">
        <v>0.15981349378278506</v>
      </c>
      <c r="R22" s="137">
        <v>0.3</v>
      </c>
      <c r="S22" s="137">
        <v>0.34</v>
      </c>
      <c r="T22" s="137">
        <v>0.05</v>
      </c>
      <c r="U22" s="137">
        <v>0.5</v>
      </c>
      <c r="V22" s="137">
        <v>0.02</v>
      </c>
      <c r="W22" s="137">
        <v>0</v>
      </c>
      <c r="X22" s="137">
        <v>0</v>
      </c>
      <c r="Y22" s="137">
        <v>0</v>
      </c>
      <c r="Z22" s="137">
        <v>0</v>
      </c>
      <c r="AA22" s="137">
        <v>0</v>
      </c>
      <c r="AB22" s="137">
        <v>0</v>
      </c>
      <c r="AC22" s="137">
        <v>0</v>
      </c>
      <c r="AD22" s="137">
        <v>0</v>
      </c>
    </row>
    <row r="23" spans="1:30" customFormat="1" x14ac:dyDescent="0.15">
      <c r="A23" s="171" t="s">
        <v>212</v>
      </c>
      <c r="B23" s="137">
        <v>0</v>
      </c>
      <c r="C23" s="137">
        <v>0</v>
      </c>
      <c r="D23" s="137">
        <v>0</v>
      </c>
      <c r="E23" s="137">
        <v>0</v>
      </c>
      <c r="F23" s="137">
        <v>0</v>
      </c>
      <c r="G23" s="137">
        <v>0</v>
      </c>
      <c r="H23" s="137">
        <v>0</v>
      </c>
      <c r="I23" s="137">
        <v>0</v>
      </c>
      <c r="J23" s="137">
        <v>0</v>
      </c>
      <c r="K23" s="137">
        <v>0</v>
      </c>
      <c r="L23" s="137">
        <v>0</v>
      </c>
      <c r="M23" s="137">
        <v>0</v>
      </c>
      <c r="N23" s="137">
        <v>0.23323323266776777</v>
      </c>
      <c r="O23" s="137">
        <v>0</v>
      </c>
      <c r="P23" s="137">
        <v>4.2042041779219205E-2</v>
      </c>
      <c r="Q23" s="137">
        <v>0.17979018950413214</v>
      </c>
      <c r="R23" s="137">
        <v>0.2</v>
      </c>
      <c r="S23" s="137">
        <v>0</v>
      </c>
      <c r="T23" s="137">
        <v>0.4</v>
      </c>
      <c r="U23" s="137">
        <v>0.1</v>
      </c>
      <c r="V23" s="137">
        <v>0.03</v>
      </c>
      <c r="W23" s="137">
        <v>1E-3</v>
      </c>
      <c r="X23" s="137">
        <v>0</v>
      </c>
      <c r="Y23" s="137">
        <v>0</v>
      </c>
      <c r="Z23" s="137">
        <v>0</v>
      </c>
      <c r="AA23" s="137">
        <v>0</v>
      </c>
      <c r="AB23" s="137">
        <v>0</v>
      </c>
      <c r="AC23" s="137">
        <v>0</v>
      </c>
      <c r="AD23" s="137">
        <v>0</v>
      </c>
    </row>
    <row r="24" spans="1:30" customFormat="1" x14ac:dyDescent="0.15">
      <c r="A24" s="171" t="s">
        <v>213</v>
      </c>
      <c r="B24" s="137">
        <v>0</v>
      </c>
      <c r="C24" s="137">
        <v>0</v>
      </c>
      <c r="D24" s="137">
        <v>0</v>
      </c>
      <c r="E24" s="137">
        <v>0</v>
      </c>
      <c r="F24" s="137">
        <v>0</v>
      </c>
      <c r="G24" s="137">
        <v>0</v>
      </c>
      <c r="H24" s="137">
        <v>0.14000000000000001</v>
      </c>
      <c r="I24" s="137">
        <v>0</v>
      </c>
      <c r="J24" s="137">
        <v>0.19198080191980801</v>
      </c>
      <c r="K24" s="137">
        <v>0</v>
      </c>
      <c r="L24" s="137">
        <v>0</v>
      </c>
      <c r="M24" s="137">
        <v>0.46578314124403947</v>
      </c>
      <c r="N24" s="137">
        <v>0</v>
      </c>
      <c r="O24" s="137">
        <v>0.27999999999999997</v>
      </c>
      <c r="P24" s="137">
        <v>0</v>
      </c>
      <c r="Q24" s="137">
        <v>4.9991660976018419E-2</v>
      </c>
      <c r="R24" s="137">
        <v>0</v>
      </c>
      <c r="S24" s="137">
        <v>0</v>
      </c>
      <c r="T24" s="137">
        <v>0</v>
      </c>
      <c r="U24" s="137">
        <v>0</v>
      </c>
      <c r="V24" s="137">
        <v>0</v>
      </c>
      <c r="W24" s="137">
        <v>0</v>
      </c>
      <c r="X24" s="137">
        <v>0</v>
      </c>
      <c r="Y24" s="137">
        <v>0</v>
      </c>
      <c r="Z24" s="137">
        <v>0</v>
      </c>
      <c r="AA24" s="137">
        <v>0</v>
      </c>
      <c r="AB24" s="137">
        <v>0</v>
      </c>
      <c r="AC24" s="137">
        <v>0</v>
      </c>
      <c r="AD24" s="137">
        <v>0</v>
      </c>
    </row>
    <row r="25" spans="1:30" customFormat="1" x14ac:dyDescent="0.15">
      <c r="A25" s="171" t="s">
        <v>214</v>
      </c>
      <c r="B25" s="137">
        <v>0</v>
      </c>
      <c r="C25" s="137">
        <v>0</v>
      </c>
      <c r="D25" s="137">
        <v>0</v>
      </c>
      <c r="E25" s="137">
        <v>0</v>
      </c>
      <c r="F25" s="137">
        <v>0</v>
      </c>
      <c r="G25" s="137">
        <v>0.25</v>
      </c>
      <c r="H25" s="137">
        <v>0.11</v>
      </c>
      <c r="I25" s="137">
        <v>0</v>
      </c>
      <c r="J25" s="137">
        <v>0</v>
      </c>
      <c r="K25" s="137">
        <v>1</v>
      </c>
      <c r="L25" s="137">
        <v>0.96990300969903009</v>
      </c>
      <c r="M25" s="137">
        <v>0.28458280427948296</v>
      </c>
      <c r="N25" s="137">
        <v>0</v>
      </c>
      <c r="O25" s="137">
        <v>0</v>
      </c>
      <c r="P25" s="137">
        <v>0</v>
      </c>
      <c r="Q25" s="137">
        <v>0.1169804866838831</v>
      </c>
      <c r="R25" s="137">
        <v>0.1</v>
      </c>
      <c r="S25" s="137">
        <v>0.4</v>
      </c>
      <c r="T25" s="137">
        <v>0.3</v>
      </c>
      <c r="U25" s="137">
        <v>0</v>
      </c>
      <c r="V25" s="137">
        <v>0.35</v>
      </c>
      <c r="W25" s="137">
        <v>5.8999999999999997E-2</v>
      </c>
      <c r="X25" s="137">
        <v>0.1</v>
      </c>
      <c r="Y25" s="137">
        <v>0</v>
      </c>
      <c r="Z25" s="137">
        <v>0</v>
      </c>
      <c r="AA25" s="137">
        <v>0</v>
      </c>
      <c r="AB25" s="137">
        <v>0</v>
      </c>
      <c r="AC25" s="137">
        <v>0</v>
      </c>
      <c r="AD25" s="137">
        <v>0</v>
      </c>
    </row>
    <row r="26" spans="1:30" customFormat="1" x14ac:dyDescent="0.15">
      <c r="A26" s="171" t="s">
        <v>215</v>
      </c>
      <c r="B26" s="137">
        <v>0</v>
      </c>
      <c r="C26" s="137">
        <v>0</v>
      </c>
      <c r="D26" s="137">
        <v>0</v>
      </c>
      <c r="E26" s="137">
        <v>0</v>
      </c>
      <c r="F26" s="137">
        <v>0</v>
      </c>
      <c r="G26" s="137">
        <v>0</v>
      </c>
      <c r="H26" s="137">
        <v>0</v>
      </c>
      <c r="I26" s="137">
        <v>0</v>
      </c>
      <c r="J26" s="137">
        <v>0</v>
      </c>
      <c r="K26" s="137">
        <v>0</v>
      </c>
      <c r="L26" s="137">
        <v>2.3997600239976002E-2</v>
      </c>
      <c r="M26" s="137">
        <v>0</v>
      </c>
      <c r="N26" s="137">
        <v>0</v>
      </c>
      <c r="O26" s="137">
        <v>0</v>
      </c>
      <c r="P26" s="137">
        <v>0</v>
      </c>
      <c r="Q26" s="137">
        <v>0</v>
      </c>
      <c r="R26" s="137">
        <v>0</v>
      </c>
      <c r="S26" s="137">
        <v>0</v>
      </c>
      <c r="T26" s="137">
        <v>0</v>
      </c>
      <c r="U26" s="137">
        <v>0</v>
      </c>
      <c r="V26" s="137">
        <v>0.05</v>
      </c>
      <c r="W26" s="137">
        <v>0.05</v>
      </c>
      <c r="X26" s="137">
        <v>0.2</v>
      </c>
      <c r="Y26" s="137">
        <v>0.8</v>
      </c>
      <c r="Z26" s="137">
        <v>0</v>
      </c>
      <c r="AA26" s="137">
        <v>0</v>
      </c>
      <c r="AB26" s="137">
        <v>0</v>
      </c>
      <c r="AC26" s="137">
        <v>0</v>
      </c>
      <c r="AD26" s="137">
        <v>0</v>
      </c>
    </row>
    <row r="27" spans="1:30" customFormat="1" x14ac:dyDescent="0.15">
      <c r="A27" s="171" t="s">
        <v>216</v>
      </c>
      <c r="B27" s="137">
        <v>0</v>
      </c>
      <c r="C27" s="137">
        <v>0</v>
      </c>
      <c r="D27" s="137">
        <v>0</v>
      </c>
      <c r="E27" s="137">
        <v>0</v>
      </c>
      <c r="F27" s="137">
        <v>0</v>
      </c>
      <c r="G27" s="137">
        <v>0.05</v>
      </c>
      <c r="H27" s="137">
        <v>0</v>
      </c>
      <c r="I27" s="137">
        <v>1</v>
      </c>
      <c r="J27" s="137">
        <v>0.79992000799920016</v>
      </c>
      <c r="K27" s="137">
        <v>0</v>
      </c>
      <c r="L27" s="137">
        <v>0</v>
      </c>
      <c r="M27" s="137">
        <v>0</v>
      </c>
      <c r="N27" s="137">
        <v>0</v>
      </c>
      <c r="O27" s="137">
        <v>0</v>
      </c>
      <c r="P27" s="137">
        <v>0</v>
      </c>
      <c r="Q27" s="137">
        <v>5.9930058168877955E-2</v>
      </c>
      <c r="R27" s="137">
        <v>0.05</v>
      </c>
      <c r="S27" s="137">
        <v>0</v>
      </c>
      <c r="T27" s="137">
        <v>0</v>
      </c>
      <c r="U27" s="137">
        <v>0</v>
      </c>
      <c r="V27" s="137">
        <v>0.05</v>
      </c>
      <c r="W27" s="137">
        <v>0</v>
      </c>
      <c r="X27" s="137">
        <v>0.7</v>
      </c>
      <c r="Y27" s="137">
        <v>0.2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</row>
    <row r="28" spans="1:30" customFormat="1" x14ac:dyDescent="0.15">
      <c r="A28" s="171" t="s">
        <v>217</v>
      </c>
      <c r="B28" s="137">
        <v>0</v>
      </c>
      <c r="C28" s="137">
        <v>0</v>
      </c>
      <c r="D28" s="137">
        <v>0</v>
      </c>
      <c r="E28" s="137">
        <v>0</v>
      </c>
      <c r="F28" s="137">
        <v>0</v>
      </c>
      <c r="G28" s="137">
        <v>0</v>
      </c>
      <c r="H28" s="137">
        <v>0</v>
      </c>
      <c r="I28" s="137">
        <v>0</v>
      </c>
      <c r="J28" s="137">
        <v>0</v>
      </c>
      <c r="K28" s="137">
        <v>0</v>
      </c>
      <c r="L28" s="137">
        <v>0</v>
      </c>
      <c r="M28" s="137">
        <v>0</v>
      </c>
      <c r="N28" s="137">
        <v>0</v>
      </c>
      <c r="O28" s="137">
        <v>0</v>
      </c>
      <c r="P28" s="137">
        <v>0</v>
      </c>
      <c r="Q28" s="137">
        <v>2.2973190381166943E-2</v>
      </c>
      <c r="R28" s="137">
        <v>0</v>
      </c>
      <c r="S28" s="137">
        <v>0</v>
      </c>
      <c r="T28" s="137">
        <v>0</v>
      </c>
      <c r="U28" s="137">
        <v>0</v>
      </c>
      <c r="V28" s="137">
        <v>0.25</v>
      </c>
      <c r="W28" s="137">
        <v>0.1</v>
      </c>
      <c r="X28" s="137">
        <v>0</v>
      </c>
      <c r="Y28" s="137">
        <v>0</v>
      </c>
      <c r="Z28" s="137">
        <v>0</v>
      </c>
      <c r="AA28" s="137">
        <v>0</v>
      </c>
      <c r="AB28" s="137">
        <v>0</v>
      </c>
      <c r="AC28" s="137">
        <v>0</v>
      </c>
      <c r="AD28" s="137">
        <v>0</v>
      </c>
    </row>
    <row r="29" spans="1:30" customFormat="1" x14ac:dyDescent="0.15">
      <c r="A29" s="171" t="s">
        <v>218</v>
      </c>
      <c r="B29" s="137">
        <v>0</v>
      </c>
      <c r="C29" s="137">
        <v>0</v>
      </c>
      <c r="D29" s="137">
        <v>0</v>
      </c>
      <c r="E29" s="137">
        <v>0</v>
      </c>
      <c r="F29" s="137">
        <v>0</v>
      </c>
      <c r="G29" s="137">
        <v>0</v>
      </c>
      <c r="H29" s="137">
        <v>0</v>
      </c>
      <c r="I29" s="137">
        <v>0</v>
      </c>
      <c r="J29" s="137">
        <v>0</v>
      </c>
      <c r="K29" s="137">
        <v>0</v>
      </c>
      <c r="L29" s="137">
        <v>0</v>
      </c>
      <c r="M29" s="137">
        <v>4.9926810935276927E-2</v>
      </c>
      <c r="N29" s="137">
        <v>0</v>
      </c>
      <c r="O29" s="137">
        <v>0</v>
      </c>
      <c r="P29" s="137">
        <v>4.0040041694494564E-3</v>
      </c>
      <c r="Q29" s="137">
        <v>5.4935886238207617E-2</v>
      </c>
      <c r="R29" s="137">
        <v>0.1</v>
      </c>
      <c r="S29" s="137">
        <v>0</v>
      </c>
      <c r="T29" s="137">
        <v>0.25</v>
      </c>
      <c r="U29" s="137">
        <v>0.4</v>
      </c>
      <c r="V29" s="137">
        <v>0.25</v>
      </c>
      <c r="W29" s="137">
        <v>0.79</v>
      </c>
      <c r="X29" s="137">
        <v>0</v>
      </c>
      <c r="Y29" s="137">
        <v>0</v>
      </c>
      <c r="Z29" s="137">
        <v>0</v>
      </c>
      <c r="AA29" s="137">
        <v>0</v>
      </c>
      <c r="AB29" s="137">
        <v>0</v>
      </c>
      <c r="AC29" s="137">
        <v>0</v>
      </c>
      <c r="AD29" s="137">
        <v>0</v>
      </c>
    </row>
    <row r="30" spans="1:30" customFormat="1" x14ac:dyDescent="0.15">
      <c r="A30" s="171" t="s">
        <v>219</v>
      </c>
      <c r="B30" s="137">
        <v>0</v>
      </c>
      <c r="C30" s="137">
        <v>0</v>
      </c>
      <c r="D30" s="137">
        <v>0</v>
      </c>
      <c r="E30" s="137">
        <v>0</v>
      </c>
      <c r="F30" s="137">
        <v>0</v>
      </c>
      <c r="G30" s="137">
        <v>0</v>
      </c>
      <c r="H30" s="137">
        <v>0</v>
      </c>
      <c r="I30" s="137">
        <v>0</v>
      </c>
      <c r="J30" s="137">
        <v>0</v>
      </c>
      <c r="K30" s="137">
        <v>0</v>
      </c>
      <c r="L30" s="137">
        <v>0</v>
      </c>
      <c r="M30" s="137">
        <v>0</v>
      </c>
      <c r="N30" s="137">
        <v>0</v>
      </c>
      <c r="O30" s="137">
        <v>0</v>
      </c>
      <c r="P30" s="137">
        <v>0</v>
      </c>
      <c r="Q30" s="137">
        <v>0</v>
      </c>
      <c r="R30" s="137">
        <v>0</v>
      </c>
      <c r="S30" s="137">
        <v>0</v>
      </c>
      <c r="T30" s="137">
        <v>0</v>
      </c>
      <c r="U30" s="137">
        <v>0</v>
      </c>
      <c r="V30" s="137">
        <v>0</v>
      </c>
      <c r="W30" s="137">
        <v>0</v>
      </c>
      <c r="X30" s="137">
        <v>0</v>
      </c>
      <c r="Y30" s="137">
        <v>0</v>
      </c>
      <c r="Z30" s="137">
        <v>0</v>
      </c>
      <c r="AA30" s="137">
        <v>0</v>
      </c>
      <c r="AB30" s="137">
        <v>0</v>
      </c>
      <c r="AC30" s="137">
        <v>0</v>
      </c>
      <c r="AD30" s="137">
        <v>0</v>
      </c>
    </row>
    <row r="31" spans="1:30" customFormat="1" x14ac:dyDescent="0.15">
      <c r="A31" s="171" t="s">
        <v>221</v>
      </c>
      <c r="B31" s="137">
        <v>0</v>
      </c>
      <c r="C31" s="137">
        <v>0</v>
      </c>
      <c r="D31" s="137">
        <v>0</v>
      </c>
      <c r="E31" s="137">
        <v>0</v>
      </c>
      <c r="F31" s="137">
        <v>0</v>
      </c>
      <c r="G31" s="137">
        <v>0</v>
      </c>
      <c r="H31" s="137">
        <v>0</v>
      </c>
      <c r="I31" s="137">
        <v>0</v>
      </c>
      <c r="J31" s="137">
        <v>0</v>
      </c>
      <c r="K31" s="137">
        <v>0</v>
      </c>
      <c r="L31" s="137">
        <v>0</v>
      </c>
      <c r="M31" s="137">
        <v>0</v>
      </c>
      <c r="N31" s="137">
        <v>0</v>
      </c>
      <c r="O31" s="137">
        <v>0</v>
      </c>
      <c r="P31" s="137">
        <v>0</v>
      </c>
      <c r="Q31" s="137">
        <v>0</v>
      </c>
      <c r="R31" s="137">
        <v>0</v>
      </c>
      <c r="S31" s="137">
        <v>0</v>
      </c>
      <c r="T31" s="137">
        <v>0</v>
      </c>
      <c r="U31" s="137">
        <v>0</v>
      </c>
      <c r="V31" s="137">
        <v>0</v>
      </c>
      <c r="W31" s="137">
        <v>0</v>
      </c>
      <c r="X31" s="137">
        <v>0</v>
      </c>
      <c r="Y31" s="137">
        <v>0</v>
      </c>
      <c r="Z31" s="137">
        <v>0</v>
      </c>
      <c r="AA31" s="137">
        <v>0</v>
      </c>
      <c r="AB31" s="137">
        <v>0</v>
      </c>
      <c r="AC31" s="137">
        <v>0</v>
      </c>
      <c r="AD31" s="137">
        <v>0</v>
      </c>
    </row>
    <row r="32" spans="1:30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9" customWidth="1"/>
    <col min="5" max="6" width="2.33203125" style="108" bestFit="1" customWidth="1"/>
    <col min="7" max="8" width="8.83203125" style="109"/>
  </cols>
  <sheetData>
    <row r="1" spans="1:8" ht="70" x14ac:dyDescent="0.15">
      <c r="A1" s="5" t="s">
        <v>20</v>
      </c>
      <c r="B1" s="1" t="s">
        <v>0</v>
      </c>
      <c r="C1" s="174" t="s">
        <v>218</v>
      </c>
      <c r="D1" s="174" t="s">
        <v>219</v>
      </c>
      <c r="E1" s="174" t="s">
        <v>222</v>
      </c>
      <c r="F1" s="174" t="s">
        <v>223</v>
      </c>
      <c r="G1"/>
      <c r="H1"/>
    </row>
    <row r="2" spans="1:8" x14ac:dyDescent="0.15">
      <c r="A2">
        <v>1</v>
      </c>
      <c r="B2" s="173" t="s">
        <v>192</v>
      </c>
      <c r="C2" s="109">
        <v>1</v>
      </c>
      <c r="D2" s="109">
        <v>0</v>
      </c>
      <c r="E2" s="108">
        <v>0</v>
      </c>
      <c r="F2" s="108">
        <v>1</v>
      </c>
      <c r="G2"/>
      <c r="H2"/>
    </row>
    <row r="3" spans="1:8" x14ac:dyDescent="0.15">
      <c r="A3">
        <v>2</v>
      </c>
      <c r="B3" s="173" t="s">
        <v>193</v>
      </c>
      <c r="C3" s="109">
        <v>1</v>
      </c>
      <c r="D3" s="109">
        <v>0</v>
      </c>
      <c r="E3" s="108">
        <v>0</v>
      </c>
      <c r="F3" s="108">
        <v>1</v>
      </c>
      <c r="G3"/>
      <c r="H3"/>
    </row>
    <row r="4" spans="1:8" x14ac:dyDescent="0.15">
      <c r="A4">
        <v>3</v>
      </c>
      <c r="B4" s="173" t="s">
        <v>194</v>
      </c>
      <c r="C4" s="109">
        <v>1</v>
      </c>
      <c r="D4" s="109">
        <v>0</v>
      </c>
      <c r="E4" s="108">
        <v>0</v>
      </c>
      <c r="F4" s="108">
        <v>1</v>
      </c>
      <c r="G4"/>
      <c r="H4"/>
    </row>
    <row r="5" spans="1:8" x14ac:dyDescent="0.15">
      <c r="A5">
        <v>4</v>
      </c>
      <c r="B5" s="173" t="s">
        <v>195</v>
      </c>
      <c r="C5" s="109">
        <v>1</v>
      </c>
      <c r="D5" s="109">
        <v>0</v>
      </c>
      <c r="E5" s="108">
        <v>0</v>
      </c>
      <c r="F5" s="108">
        <v>1</v>
      </c>
      <c r="G5"/>
      <c r="H5"/>
    </row>
    <row r="6" spans="1:8" x14ac:dyDescent="0.15">
      <c r="A6">
        <v>5</v>
      </c>
      <c r="B6" s="173" t="s">
        <v>196</v>
      </c>
      <c r="C6" s="109">
        <v>1</v>
      </c>
      <c r="D6" s="109">
        <v>0</v>
      </c>
      <c r="E6" s="108">
        <v>0</v>
      </c>
      <c r="F6" s="108">
        <v>1</v>
      </c>
      <c r="G6"/>
      <c r="H6"/>
    </row>
    <row r="7" spans="1:8" x14ac:dyDescent="0.15">
      <c r="A7">
        <v>6</v>
      </c>
      <c r="B7" s="173" t="s">
        <v>197</v>
      </c>
      <c r="C7" s="109">
        <v>1</v>
      </c>
      <c r="D7" s="109">
        <v>0</v>
      </c>
      <c r="E7" s="108">
        <v>0</v>
      </c>
      <c r="F7" s="108">
        <v>1</v>
      </c>
      <c r="G7"/>
      <c r="H7"/>
    </row>
    <row r="8" spans="1:8" x14ac:dyDescent="0.15">
      <c r="A8">
        <v>7</v>
      </c>
      <c r="B8" s="173" t="s">
        <v>198</v>
      </c>
      <c r="C8" s="109">
        <v>1</v>
      </c>
      <c r="D8" s="109">
        <v>0</v>
      </c>
      <c r="E8" s="108">
        <v>0</v>
      </c>
      <c r="F8" s="108">
        <v>1</v>
      </c>
      <c r="G8"/>
      <c r="H8"/>
    </row>
    <row r="9" spans="1:8" x14ac:dyDescent="0.15">
      <c r="A9">
        <v>8</v>
      </c>
      <c r="B9" s="173" t="s">
        <v>199</v>
      </c>
      <c r="C9" s="109">
        <v>1</v>
      </c>
      <c r="D9" s="109">
        <v>0</v>
      </c>
      <c r="E9" s="108">
        <v>0</v>
      </c>
      <c r="F9" s="108">
        <v>1</v>
      </c>
      <c r="G9"/>
      <c r="H9"/>
    </row>
    <row r="10" spans="1:8" x14ac:dyDescent="0.15">
      <c r="A10">
        <v>9</v>
      </c>
      <c r="B10" s="173" t="s">
        <v>200</v>
      </c>
      <c r="C10" s="109">
        <v>1</v>
      </c>
      <c r="D10" s="109">
        <v>0</v>
      </c>
      <c r="E10" s="108">
        <v>0</v>
      </c>
      <c r="F10" s="108">
        <v>1</v>
      </c>
      <c r="G10"/>
      <c r="H10"/>
    </row>
    <row r="11" spans="1:8" x14ac:dyDescent="0.15">
      <c r="A11">
        <v>10</v>
      </c>
      <c r="B11" s="173" t="s">
        <v>201</v>
      </c>
      <c r="C11" s="109">
        <v>1</v>
      </c>
      <c r="D11" s="109">
        <v>0</v>
      </c>
      <c r="E11" s="108">
        <v>0</v>
      </c>
      <c r="F11" s="108">
        <v>1</v>
      </c>
      <c r="G11"/>
      <c r="H11"/>
    </row>
    <row r="12" spans="1:8" x14ac:dyDescent="0.15">
      <c r="A12">
        <v>11</v>
      </c>
      <c r="B12" s="173" t="s">
        <v>202</v>
      </c>
      <c r="C12" s="109">
        <v>1</v>
      </c>
      <c r="D12" s="109">
        <v>0</v>
      </c>
      <c r="E12" s="108">
        <v>0</v>
      </c>
      <c r="F12" s="108">
        <v>1</v>
      </c>
      <c r="G12"/>
      <c r="H12"/>
    </row>
    <row r="13" spans="1:8" x14ac:dyDescent="0.15">
      <c r="A13">
        <v>12</v>
      </c>
      <c r="B13" s="173" t="s">
        <v>203</v>
      </c>
      <c r="C13" s="109">
        <v>1</v>
      </c>
      <c r="D13" s="109">
        <v>0</v>
      </c>
      <c r="E13" s="108">
        <v>0</v>
      </c>
      <c r="F13" s="108">
        <v>1</v>
      </c>
      <c r="G13"/>
      <c r="H13"/>
    </row>
    <row r="14" spans="1:8" x14ac:dyDescent="0.15">
      <c r="A14">
        <v>13</v>
      </c>
      <c r="B14" s="173" t="s">
        <v>204</v>
      </c>
      <c r="C14" s="109">
        <v>1</v>
      </c>
      <c r="D14" s="109">
        <v>0</v>
      </c>
      <c r="E14" s="108">
        <v>0</v>
      </c>
      <c r="F14" s="108">
        <v>1</v>
      </c>
      <c r="G14"/>
      <c r="H14"/>
    </row>
    <row r="15" spans="1:8" x14ac:dyDescent="0.15">
      <c r="A15">
        <v>14</v>
      </c>
      <c r="B15" s="173" t="s">
        <v>205</v>
      </c>
      <c r="C15" s="109">
        <v>1</v>
      </c>
      <c r="D15" s="109">
        <v>0</v>
      </c>
      <c r="E15" s="108">
        <v>0</v>
      </c>
      <c r="F15" s="108">
        <v>1</v>
      </c>
      <c r="G15"/>
      <c r="H15"/>
    </row>
    <row r="16" spans="1:8" x14ac:dyDescent="0.15">
      <c r="A16">
        <v>15</v>
      </c>
      <c r="B16" s="173" t="s">
        <v>206</v>
      </c>
      <c r="C16" s="109">
        <v>1</v>
      </c>
      <c r="D16" s="109">
        <v>0</v>
      </c>
      <c r="E16" s="108">
        <v>0</v>
      </c>
      <c r="F16" s="108">
        <v>1</v>
      </c>
      <c r="G16"/>
      <c r="H16"/>
    </row>
    <row r="17" spans="1:8" ht="15" customHeight="1" x14ac:dyDescent="0.15">
      <c r="A17">
        <v>16</v>
      </c>
      <c r="B17" s="173" t="s">
        <v>207</v>
      </c>
      <c r="C17" s="109">
        <v>1</v>
      </c>
      <c r="D17" s="109">
        <v>0</v>
      </c>
      <c r="E17" s="108">
        <v>0</v>
      </c>
      <c r="F17" s="108">
        <v>1</v>
      </c>
      <c r="G17"/>
      <c r="H17"/>
    </row>
    <row r="18" spans="1:8" ht="15" customHeight="1" x14ac:dyDescent="0.15">
      <c r="A18">
        <v>17</v>
      </c>
      <c r="B18" s="173" t="s">
        <v>208</v>
      </c>
      <c r="C18" s="109">
        <v>1</v>
      </c>
      <c r="D18" s="109">
        <v>0</v>
      </c>
      <c r="E18" s="108">
        <v>0</v>
      </c>
      <c r="F18" s="108">
        <v>1</v>
      </c>
      <c r="G18"/>
      <c r="H18"/>
    </row>
    <row r="19" spans="1:8" ht="15" customHeight="1" x14ac:dyDescent="0.15">
      <c r="A19">
        <v>18</v>
      </c>
      <c r="B19" s="173" t="s">
        <v>166</v>
      </c>
      <c r="C19" s="109">
        <v>1</v>
      </c>
      <c r="D19" s="109">
        <v>0</v>
      </c>
      <c r="E19" s="108">
        <v>0</v>
      </c>
      <c r="F19" s="108">
        <v>1</v>
      </c>
      <c r="G19"/>
      <c r="H19"/>
    </row>
    <row r="20" spans="1:8" ht="15" customHeight="1" x14ac:dyDescent="0.15">
      <c r="A20">
        <v>19</v>
      </c>
      <c r="B20" s="173" t="s">
        <v>209</v>
      </c>
      <c r="C20" s="109">
        <v>1</v>
      </c>
      <c r="D20" s="109">
        <v>0</v>
      </c>
      <c r="E20" s="108">
        <v>0</v>
      </c>
      <c r="F20" s="108">
        <v>1</v>
      </c>
      <c r="G20"/>
      <c r="H20"/>
    </row>
    <row r="21" spans="1:8" ht="15" customHeight="1" x14ac:dyDescent="0.15">
      <c r="A21">
        <v>20</v>
      </c>
      <c r="B21" s="173" t="s">
        <v>210</v>
      </c>
      <c r="C21" s="109">
        <v>1</v>
      </c>
      <c r="D21" s="109">
        <v>0</v>
      </c>
      <c r="E21" s="108">
        <v>0</v>
      </c>
      <c r="F21" s="108">
        <v>1</v>
      </c>
      <c r="G21"/>
      <c r="H21"/>
    </row>
    <row r="22" spans="1:8" ht="15" customHeight="1" x14ac:dyDescent="0.15">
      <c r="A22">
        <v>21</v>
      </c>
      <c r="B22" s="173" t="s">
        <v>211</v>
      </c>
      <c r="C22" s="109">
        <v>1</v>
      </c>
      <c r="D22" s="109">
        <v>0</v>
      </c>
      <c r="E22" s="108">
        <v>0</v>
      </c>
      <c r="F22" s="108">
        <v>1</v>
      </c>
      <c r="G22"/>
      <c r="H22"/>
    </row>
    <row r="23" spans="1:8" ht="15" customHeight="1" x14ac:dyDescent="0.15">
      <c r="A23">
        <v>22</v>
      </c>
      <c r="B23" s="173" t="s">
        <v>212</v>
      </c>
      <c r="C23" s="109">
        <v>1</v>
      </c>
      <c r="D23" s="109">
        <v>0</v>
      </c>
      <c r="E23" s="108">
        <v>0</v>
      </c>
      <c r="F23" s="108">
        <v>1</v>
      </c>
      <c r="G23"/>
      <c r="H23"/>
    </row>
    <row r="24" spans="1:8" ht="15" customHeight="1" x14ac:dyDescent="0.15">
      <c r="A24">
        <v>23</v>
      </c>
      <c r="B24" s="173" t="s">
        <v>213</v>
      </c>
      <c r="C24" s="109">
        <v>1</v>
      </c>
      <c r="D24" s="109">
        <v>0</v>
      </c>
      <c r="E24" s="108">
        <v>0</v>
      </c>
      <c r="F24" s="108">
        <v>1</v>
      </c>
      <c r="G24"/>
      <c r="H24"/>
    </row>
    <row r="25" spans="1:8" ht="15" customHeight="1" x14ac:dyDescent="0.15">
      <c r="A25">
        <v>24</v>
      </c>
      <c r="B25" s="173" t="s">
        <v>214</v>
      </c>
      <c r="C25" s="109">
        <v>1</v>
      </c>
      <c r="D25" s="109">
        <v>0</v>
      </c>
      <c r="E25" s="108">
        <v>0</v>
      </c>
      <c r="F25" s="108">
        <v>1</v>
      </c>
      <c r="G25"/>
      <c r="H25"/>
    </row>
    <row r="26" spans="1:8" ht="15" customHeight="1" x14ac:dyDescent="0.15">
      <c r="A26">
        <v>25</v>
      </c>
      <c r="B26" s="173" t="s">
        <v>215</v>
      </c>
      <c r="C26" s="109">
        <v>1</v>
      </c>
      <c r="D26" s="109">
        <v>0</v>
      </c>
      <c r="E26" s="108">
        <v>0</v>
      </c>
      <c r="F26" s="108">
        <v>1</v>
      </c>
      <c r="G26"/>
      <c r="H26"/>
    </row>
    <row r="27" spans="1:8" ht="15" customHeight="1" x14ac:dyDescent="0.15">
      <c r="A27">
        <v>26</v>
      </c>
      <c r="B27" s="173" t="s">
        <v>216</v>
      </c>
      <c r="C27" s="109">
        <v>1</v>
      </c>
      <c r="D27" s="109">
        <v>0</v>
      </c>
      <c r="E27" s="108">
        <v>0</v>
      </c>
      <c r="F27" s="108">
        <v>1</v>
      </c>
      <c r="G27"/>
      <c r="H27"/>
    </row>
    <row r="28" spans="1:8" ht="15" customHeight="1" x14ac:dyDescent="0.15">
      <c r="A28">
        <v>27</v>
      </c>
      <c r="B28" s="173" t="s">
        <v>217</v>
      </c>
      <c r="C28" s="109">
        <v>1</v>
      </c>
      <c r="D28" s="109">
        <v>0</v>
      </c>
      <c r="E28" s="108">
        <v>0</v>
      </c>
      <c r="F28" s="108">
        <v>1</v>
      </c>
      <c r="G28"/>
      <c r="H28"/>
    </row>
    <row r="29" spans="1:8" ht="15" customHeight="1" x14ac:dyDescent="0.15">
      <c r="A29">
        <v>28</v>
      </c>
      <c r="B29" s="173" t="s">
        <v>218</v>
      </c>
      <c r="C29" s="109">
        <v>0</v>
      </c>
      <c r="D29" s="109">
        <v>1</v>
      </c>
      <c r="E29" s="108">
        <v>0</v>
      </c>
      <c r="F29" s="108">
        <v>1</v>
      </c>
      <c r="G29"/>
      <c r="H29"/>
    </row>
    <row r="30" spans="1:8" ht="15" customHeight="1" x14ac:dyDescent="0.15">
      <c r="A30">
        <v>29</v>
      </c>
      <c r="B30" s="173" t="s">
        <v>219</v>
      </c>
      <c r="C30" s="109">
        <v>0</v>
      </c>
      <c r="D30" s="109">
        <v>0</v>
      </c>
      <c r="E30" s="108">
        <v>1</v>
      </c>
      <c r="F30" s="108">
        <v>1</v>
      </c>
      <c r="G30"/>
      <c r="H30"/>
    </row>
    <row r="31" spans="1:8" ht="15" customHeight="1" x14ac:dyDescent="0.15">
      <c r="A31">
        <v>30</v>
      </c>
      <c r="B31" s="173" t="s">
        <v>220</v>
      </c>
      <c r="C31" s="109">
        <v>0</v>
      </c>
      <c r="D31" s="109">
        <v>1</v>
      </c>
      <c r="E31" s="108">
        <v>0</v>
      </c>
      <c r="F31" s="108">
        <v>1</v>
      </c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9"/>
      <c r="F36" s="109"/>
      <c r="G36"/>
      <c r="H36"/>
    </row>
    <row r="37" spans="3:8" ht="15" customHeight="1" x14ac:dyDescent="0.15">
      <c r="C37"/>
      <c r="D37"/>
      <c r="E37" s="109"/>
      <c r="F37" s="109"/>
      <c r="G37"/>
      <c r="H37"/>
    </row>
    <row r="38" spans="3:8" ht="15" customHeight="1" x14ac:dyDescent="0.15">
      <c r="C38"/>
      <c r="D38"/>
      <c r="E38" s="109"/>
      <c r="F38" s="109"/>
      <c r="G38"/>
      <c r="H38"/>
    </row>
    <row r="39" spans="3:8" ht="15" customHeight="1" x14ac:dyDescent="0.15">
      <c r="C39"/>
      <c r="D39"/>
      <c r="E39" s="109"/>
      <c r="F39" s="109"/>
      <c r="G39"/>
      <c r="H39"/>
    </row>
    <row r="40" spans="3:8" ht="15" customHeight="1" x14ac:dyDescent="0.15">
      <c r="C40"/>
      <c r="D40"/>
      <c r="E40" s="109"/>
      <c r="F40" s="109"/>
      <c r="G40"/>
      <c r="H40"/>
    </row>
    <row r="41" spans="3:8" ht="15" customHeight="1" x14ac:dyDescent="0.15">
      <c r="C41"/>
      <c r="D41"/>
      <c r="E41" s="109"/>
      <c r="F41" s="109"/>
      <c r="G41"/>
      <c r="H41"/>
    </row>
    <row r="42" spans="3:8" ht="15" customHeight="1" x14ac:dyDescent="0.15">
      <c r="C42"/>
      <c r="D42"/>
      <c r="E42" s="109"/>
      <c r="F42" s="109"/>
      <c r="G42"/>
      <c r="H42"/>
    </row>
    <row r="43" spans="3:8" ht="15" customHeight="1" x14ac:dyDescent="0.15">
      <c r="C43"/>
      <c r="D43"/>
      <c r="E43" s="109"/>
      <c r="F43" s="109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9"/>
      <c r="F46" s="109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83203125" bestFit="1" customWidth="1"/>
    <col min="3" max="4" width="11.83203125" bestFit="1" customWidth="1"/>
    <col min="5" max="5" width="12.1640625" bestFit="1" customWidth="1"/>
  </cols>
  <sheetData>
    <row r="1" spans="1:5" s="110" customFormat="1" ht="112" x14ac:dyDescent="0.15">
      <c r="A1" s="5" t="s">
        <v>21</v>
      </c>
      <c r="B1" s="3" t="s">
        <v>0</v>
      </c>
      <c r="C1" s="176" t="s">
        <v>220</v>
      </c>
      <c r="D1" s="176" t="s">
        <v>224</v>
      </c>
      <c r="E1"/>
    </row>
    <row r="2" spans="1:5" ht="15" customHeight="1" x14ac:dyDescent="0.15">
      <c r="A2">
        <v>1</v>
      </c>
      <c r="B2" s="175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75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75" t="s">
        <v>194</v>
      </c>
      <c r="C4">
        <v>1.154878E-2</v>
      </c>
      <c r="D4">
        <v>1.154878E-2</v>
      </c>
    </row>
    <row r="5" spans="1:5" ht="15" customHeight="1" x14ac:dyDescent="0.15">
      <c r="A5">
        <v>4</v>
      </c>
      <c r="B5" s="175" t="s">
        <v>195</v>
      </c>
      <c r="C5">
        <v>3.6585369999999999E-3</v>
      </c>
      <c r="D5">
        <v>3.6585369999999999E-3</v>
      </c>
    </row>
    <row r="6" spans="1:5" ht="15" customHeight="1" x14ac:dyDescent="0.15">
      <c r="A6">
        <v>5</v>
      </c>
      <c r="B6" s="175" t="s">
        <v>196</v>
      </c>
      <c r="C6">
        <v>0.38780486600000003</v>
      </c>
      <c r="D6">
        <v>0.38780486600000003</v>
      </c>
    </row>
    <row r="7" spans="1:5" ht="15" customHeight="1" x14ac:dyDescent="0.15">
      <c r="A7">
        <v>6</v>
      </c>
      <c r="B7" s="175" t="s">
        <v>197</v>
      </c>
      <c r="C7">
        <v>2.8048779999999999E-2</v>
      </c>
      <c r="D7">
        <v>2.8048779999999999E-2</v>
      </c>
    </row>
    <row r="8" spans="1:5" ht="15" customHeight="1" x14ac:dyDescent="0.15">
      <c r="A8">
        <v>7</v>
      </c>
      <c r="B8" s="175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75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75" t="s">
        <v>200</v>
      </c>
      <c r="C10">
        <v>6.0975609999999996E-3</v>
      </c>
      <c r="D10">
        <v>6.0975609999999996E-3</v>
      </c>
    </row>
    <row r="11" spans="1:5" ht="15" customHeight="1" x14ac:dyDescent="0.15">
      <c r="A11">
        <v>10</v>
      </c>
      <c r="B11" s="175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75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75" t="s">
        <v>203</v>
      </c>
      <c r="C13">
        <v>7.6109759999999999E-2</v>
      </c>
      <c r="D13">
        <v>7.6109759999999999E-2</v>
      </c>
    </row>
    <row r="14" spans="1:5" ht="15" customHeight="1" x14ac:dyDescent="0.15">
      <c r="A14">
        <v>13</v>
      </c>
      <c r="B14" s="175" t="s">
        <v>204</v>
      </c>
      <c r="C14">
        <v>8.4512200000000006E-3</v>
      </c>
      <c r="D14">
        <v>8.4512200000000006E-3</v>
      </c>
    </row>
    <row r="15" spans="1:5" ht="15" customHeight="1" x14ac:dyDescent="0.15">
      <c r="A15">
        <v>14</v>
      </c>
      <c r="B15" s="175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75" t="s">
        <v>206</v>
      </c>
      <c r="C16">
        <v>1.097561E-2</v>
      </c>
      <c r="D16">
        <v>1.097561E-2</v>
      </c>
    </row>
    <row r="17" spans="1:4" ht="15" customHeight="1" x14ac:dyDescent="0.15">
      <c r="A17">
        <v>16</v>
      </c>
      <c r="B17" s="175" t="s">
        <v>207</v>
      </c>
      <c r="C17">
        <v>0.11943902100000001</v>
      </c>
      <c r="D17">
        <v>0.11943902100000001</v>
      </c>
    </row>
    <row r="18" spans="1:4" ht="15" customHeight="1" x14ac:dyDescent="0.15">
      <c r="A18">
        <v>17</v>
      </c>
      <c r="B18" s="175" t="s">
        <v>208</v>
      </c>
      <c r="C18">
        <v>3.3048779999999998E-3</v>
      </c>
      <c r="D18">
        <v>3.3048779999999998E-3</v>
      </c>
    </row>
    <row r="19" spans="1:4" ht="15" customHeight="1" x14ac:dyDescent="0.15">
      <c r="A19">
        <v>18</v>
      </c>
      <c r="B19" s="175" t="s">
        <v>166</v>
      </c>
      <c r="C19">
        <v>0</v>
      </c>
      <c r="D19">
        <v>0</v>
      </c>
    </row>
    <row r="20" spans="1:4" ht="15" customHeight="1" x14ac:dyDescent="0.15">
      <c r="A20">
        <v>19</v>
      </c>
      <c r="B20" s="175" t="s">
        <v>209</v>
      </c>
      <c r="C20">
        <v>0</v>
      </c>
      <c r="D20">
        <v>0</v>
      </c>
    </row>
    <row r="21" spans="1:4" ht="15" customHeight="1" x14ac:dyDescent="0.15">
      <c r="A21">
        <v>20</v>
      </c>
      <c r="B21" s="175" t="s">
        <v>210</v>
      </c>
      <c r="C21">
        <v>0</v>
      </c>
      <c r="D21">
        <v>0</v>
      </c>
    </row>
    <row r="22" spans="1:4" ht="15" customHeight="1" x14ac:dyDescent="0.15">
      <c r="A22">
        <v>21</v>
      </c>
      <c r="B22" s="175" t="s">
        <v>211</v>
      </c>
      <c r="C22">
        <v>0</v>
      </c>
      <c r="D22">
        <v>0</v>
      </c>
    </row>
    <row r="23" spans="1:4" ht="15" customHeight="1" x14ac:dyDescent="0.15">
      <c r="A23">
        <v>22</v>
      </c>
      <c r="B23" s="175" t="s">
        <v>212</v>
      </c>
      <c r="C23">
        <v>0</v>
      </c>
      <c r="D23">
        <v>0</v>
      </c>
    </row>
    <row r="24" spans="1:4" ht="15" customHeight="1" x14ac:dyDescent="0.15">
      <c r="A24">
        <v>23</v>
      </c>
      <c r="B24" s="175" t="s">
        <v>213</v>
      </c>
      <c r="C24">
        <v>0</v>
      </c>
      <c r="D24">
        <v>0</v>
      </c>
    </row>
    <row r="25" spans="1:4" ht="15" customHeight="1" x14ac:dyDescent="0.15">
      <c r="A25">
        <v>24</v>
      </c>
      <c r="B25" s="175" t="s">
        <v>214</v>
      </c>
      <c r="C25">
        <v>0</v>
      </c>
      <c r="D25">
        <v>0</v>
      </c>
    </row>
    <row r="26" spans="1:4" ht="15" customHeight="1" x14ac:dyDescent="0.15">
      <c r="A26">
        <v>25</v>
      </c>
      <c r="B26" s="175" t="s">
        <v>215</v>
      </c>
      <c r="C26">
        <v>0</v>
      </c>
      <c r="D26">
        <v>0</v>
      </c>
    </row>
    <row r="27" spans="1:4" ht="15" customHeight="1" x14ac:dyDescent="0.15">
      <c r="A27">
        <v>26</v>
      </c>
      <c r="B27" s="175" t="s">
        <v>216</v>
      </c>
      <c r="C27">
        <v>0</v>
      </c>
      <c r="D27">
        <v>0</v>
      </c>
    </row>
    <row r="28" spans="1:4" ht="15" customHeight="1" x14ac:dyDescent="0.15">
      <c r="A28">
        <v>27</v>
      </c>
      <c r="B28" s="175" t="s">
        <v>217</v>
      </c>
      <c r="C28">
        <v>0</v>
      </c>
      <c r="D28">
        <v>0</v>
      </c>
    </row>
    <row r="29" spans="1:4" ht="15" customHeight="1" x14ac:dyDescent="0.15">
      <c r="A29">
        <v>28</v>
      </c>
      <c r="B29" s="175" t="s">
        <v>218</v>
      </c>
      <c r="C29">
        <v>0</v>
      </c>
      <c r="D29">
        <v>0</v>
      </c>
    </row>
    <row r="30" spans="1:4" ht="15" customHeight="1" x14ac:dyDescent="0.15">
      <c r="A30">
        <v>29</v>
      </c>
      <c r="B30" s="175" t="s">
        <v>219</v>
      </c>
      <c r="C30">
        <v>0</v>
      </c>
      <c r="D30">
        <v>0</v>
      </c>
    </row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83203125" bestFit="1" customWidth="1"/>
    <col min="3" max="4" width="2.33203125" bestFit="1" customWidth="1"/>
    <col min="5" max="5" width="12.1640625" bestFit="1" customWidth="1"/>
  </cols>
  <sheetData>
    <row r="1" spans="1:4" s="110" customFormat="1" ht="112" x14ac:dyDescent="0.15">
      <c r="A1" s="5" t="s">
        <v>22</v>
      </c>
      <c r="B1" s="3" t="s">
        <v>0</v>
      </c>
      <c r="C1" s="178" t="s">
        <v>220</v>
      </c>
      <c r="D1" s="178" t="s">
        <v>224</v>
      </c>
    </row>
    <row r="2" spans="1:4" x14ac:dyDescent="0.15">
      <c r="A2">
        <v>1</v>
      </c>
      <c r="B2" s="177" t="s">
        <v>192</v>
      </c>
      <c r="C2">
        <v>0</v>
      </c>
      <c r="D2">
        <v>0</v>
      </c>
    </row>
    <row r="3" spans="1:4" x14ac:dyDescent="0.15">
      <c r="A3">
        <v>2</v>
      </c>
      <c r="B3" s="177" t="s">
        <v>193</v>
      </c>
      <c r="C3">
        <v>0</v>
      </c>
      <c r="D3">
        <v>0</v>
      </c>
    </row>
    <row r="4" spans="1:4" x14ac:dyDescent="0.15">
      <c r="A4">
        <v>3</v>
      </c>
      <c r="B4" s="177" t="s">
        <v>194</v>
      </c>
      <c r="C4">
        <v>0</v>
      </c>
      <c r="D4">
        <v>0</v>
      </c>
    </row>
    <row r="5" spans="1:4" x14ac:dyDescent="0.15">
      <c r="A5">
        <v>4</v>
      </c>
      <c r="B5" s="177" t="s">
        <v>195</v>
      </c>
      <c r="C5">
        <v>0</v>
      </c>
      <c r="D5">
        <v>0</v>
      </c>
    </row>
    <row r="6" spans="1:4" x14ac:dyDescent="0.15">
      <c r="A6">
        <v>5</v>
      </c>
      <c r="B6" s="177" t="s">
        <v>196</v>
      </c>
      <c r="C6">
        <v>0</v>
      </c>
      <c r="D6">
        <v>0</v>
      </c>
    </row>
    <row r="7" spans="1:4" x14ac:dyDescent="0.15">
      <c r="A7">
        <v>6</v>
      </c>
      <c r="B7" s="177" t="s">
        <v>197</v>
      </c>
      <c r="C7">
        <v>0</v>
      </c>
      <c r="D7">
        <v>0</v>
      </c>
    </row>
    <row r="8" spans="1:4" x14ac:dyDescent="0.15">
      <c r="A8">
        <v>7</v>
      </c>
      <c r="B8" s="177" t="s">
        <v>198</v>
      </c>
      <c r="C8">
        <v>0</v>
      </c>
      <c r="D8">
        <v>0</v>
      </c>
    </row>
    <row r="9" spans="1:4" x14ac:dyDescent="0.15">
      <c r="A9">
        <v>8</v>
      </c>
      <c r="B9" s="177" t="s">
        <v>199</v>
      </c>
      <c r="C9">
        <v>0</v>
      </c>
      <c r="D9">
        <v>0</v>
      </c>
    </row>
    <row r="10" spans="1:4" x14ac:dyDescent="0.15">
      <c r="A10">
        <v>9</v>
      </c>
      <c r="B10" s="177" t="s">
        <v>200</v>
      </c>
      <c r="C10">
        <v>0</v>
      </c>
      <c r="D10">
        <v>0</v>
      </c>
    </row>
    <row r="11" spans="1:4" x14ac:dyDescent="0.15">
      <c r="A11">
        <v>10</v>
      </c>
      <c r="B11" s="177" t="s">
        <v>201</v>
      </c>
      <c r="C11">
        <v>0</v>
      </c>
      <c r="D11">
        <v>0</v>
      </c>
    </row>
    <row r="12" spans="1:4" x14ac:dyDescent="0.15">
      <c r="A12">
        <v>11</v>
      </c>
      <c r="B12" s="177" t="s">
        <v>202</v>
      </c>
      <c r="C12">
        <v>0</v>
      </c>
      <c r="D12">
        <v>0</v>
      </c>
    </row>
    <row r="13" spans="1:4" x14ac:dyDescent="0.15">
      <c r="A13">
        <v>12</v>
      </c>
      <c r="B13" s="177" t="s">
        <v>203</v>
      </c>
      <c r="C13">
        <v>0</v>
      </c>
      <c r="D13">
        <v>0</v>
      </c>
    </row>
    <row r="14" spans="1:4" x14ac:dyDescent="0.15">
      <c r="A14">
        <v>13</v>
      </c>
      <c r="B14" s="177" t="s">
        <v>204</v>
      </c>
      <c r="C14">
        <v>0</v>
      </c>
      <c r="D14">
        <v>0</v>
      </c>
    </row>
    <row r="15" spans="1:4" x14ac:dyDescent="0.15">
      <c r="A15">
        <v>14</v>
      </c>
      <c r="B15" s="177" t="s">
        <v>205</v>
      </c>
      <c r="C15">
        <v>0</v>
      </c>
      <c r="D15">
        <v>0</v>
      </c>
    </row>
    <row r="16" spans="1:4" x14ac:dyDescent="0.15">
      <c r="A16">
        <v>15</v>
      </c>
      <c r="B16" s="177" t="s">
        <v>206</v>
      </c>
      <c r="C16">
        <v>0</v>
      </c>
      <c r="D16">
        <v>0</v>
      </c>
    </row>
    <row r="17" spans="1:4" x14ac:dyDescent="0.15">
      <c r="A17">
        <v>16</v>
      </c>
      <c r="B17" s="177" t="s">
        <v>207</v>
      </c>
      <c r="C17">
        <v>0</v>
      </c>
      <c r="D17">
        <v>0</v>
      </c>
    </row>
    <row r="18" spans="1:4" x14ac:dyDescent="0.15">
      <c r="A18">
        <v>17</v>
      </c>
      <c r="B18" s="177" t="s">
        <v>208</v>
      </c>
      <c r="C18">
        <v>0</v>
      </c>
      <c r="D18">
        <v>0</v>
      </c>
    </row>
    <row r="19" spans="1:4" x14ac:dyDescent="0.15">
      <c r="A19">
        <v>18</v>
      </c>
      <c r="B19" s="177" t="s">
        <v>166</v>
      </c>
      <c r="C19">
        <v>0</v>
      </c>
      <c r="D19">
        <v>0</v>
      </c>
    </row>
    <row r="20" spans="1:4" x14ac:dyDescent="0.15">
      <c r="A20">
        <v>19</v>
      </c>
      <c r="B20" s="177" t="s">
        <v>209</v>
      </c>
      <c r="C20">
        <v>0</v>
      </c>
      <c r="D20">
        <v>0</v>
      </c>
    </row>
    <row r="21" spans="1:4" x14ac:dyDescent="0.15">
      <c r="A21">
        <v>20</v>
      </c>
      <c r="B21" s="177" t="s">
        <v>210</v>
      </c>
      <c r="C21">
        <v>0</v>
      </c>
      <c r="D21">
        <v>0</v>
      </c>
    </row>
    <row r="22" spans="1:4" x14ac:dyDescent="0.15">
      <c r="A22">
        <v>21</v>
      </c>
      <c r="B22" s="177" t="s">
        <v>211</v>
      </c>
      <c r="C22">
        <v>0</v>
      </c>
      <c r="D22">
        <v>0</v>
      </c>
    </row>
    <row r="23" spans="1:4" x14ac:dyDescent="0.15">
      <c r="A23">
        <v>22</v>
      </c>
      <c r="B23" s="177" t="s">
        <v>212</v>
      </c>
      <c r="C23">
        <v>0</v>
      </c>
      <c r="D23">
        <v>0</v>
      </c>
    </row>
    <row r="24" spans="1:4" x14ac:dyDescent="0.15">
      <c r="A24">
        <v>23</v>
      </c>
      <c r="B24" s="177" t="s">
        <v>213</v>
      </c>
      <c r="C24">
        <v>0</v>
      </c>
      <c r="D24">
        <v>0</v>
      </c>
    </row>
    <row r="25" spans="1:4" x14ac:dyDescent="0.15">
      <c r="A25">
        <v>24</v>
      </c>
      <c r="B25" s="177" t="s">
        <v>214</v>
      </c>
      <c r="C25">
        <v>0</v>
      </c>
      <c r="D25">
        <v>0</v>
      </c>
    </row>
    <row r="26" spans="1:4" x14ac:dyDescent="0.15">
      <c r="A26">
        <v>25</v>
      </c>
      <c r="B26" s="177" t="s">
        <v>215</v>
      </c>
      <c r="C26">
        <v>0</v>
      </c>
      <c r="D26">
        <v>0</v>
      </c>
    </row>
    <row r="27" spans="1:4" x14ac:dyDescent="0.15">
      <c r="A27">
        <v>26</v>
      </c>
      <c r="B27" s="177" t="s">
        <v>216</v>
      </c>
      <c r="C27">
        <v>0</v>
      </c>
      <c r="D27">
        <v>0</v>
      </c>
    </row>
    <row r="28" spans="1:4" x14ac:dyDescent="0.15">
      <c r="A28">
        <v>27</v>
      </c>
      <c r="B28" s="177" t="s">
        <v>217</v>
      </c>
      <c r="C28">
        <v>0</v>
      </c>
      <c r="D28">
        <v>0</v>
      </c>
    </row>
    <row r="29" spans="1:4" x14ac:dyDescent="0.15">
      <c r="A29">
        <v>28</v>
      </c>
      <c r="B29" s="177" t="s">
        <v>218</v>
      </c>
      <c r="C29">
        <v>0</v>
      </c>
      <c r="D29">
        <v>0</v>
      </c>
    </row>
    <row r="30" spans="1:4" x14ac:dyDescent="0.15">
      <c r="A30">
        <v>29</v>
      </c>
      <c r="B30" s="177" t="s">
        <v>219</v>
      </c>
      <c r="C30">
        <v>0</v>
      </c>
      <c r="D3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4.83203125" bestFit="1" customWidth="1"/>
    <col min="6" max="6" width="4.83203125" bestFit="1" customWidth="1"/>
    <col min="7" max="9" width="3.83203125" bestFit="1" customWidth="1"/>
    <col min="10" max="11" width="4.83203125" style="10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1" customFormat="1" ht="14" thickBot="1" x14ac:dyDescent="0.2">
      <c r="D1" s="112" t="s">
        <v>8</v>
      </c>
      <c r="E1" s="112" t="s">
        <v>0</v>
      </c>
      <c r="F1" s="113" t="s">
        <v>99</v>
      </c>
      <c r="G1" s="114" t="s">
        <v>84</v>
      </c>
      <c r="H1" s="114" t="s">
        <v>85</v>
      </c>
      <c r="I1" s="114" t="s">
        <v>86</v>
      </c>
      <c r="J1" s="114" t="s">
        <v>87</v>
      </c>
      <c r="K1" s="114" t="s">
        <v>88</v>
      </c>
      <c r="L1" s="115" t="s">
        <v>89</v>
      </c>
      <c r="M1" s="115" t="s">
        <v>93</v>
      </c>
      <c r="N1" s="115" t="s">
        <v>92</v>
      </c>
      <c r="O1" s="115" t="s">
        <v>90</v>
      </c>
      <c r="P1" s="115" t="s">
        <v>91</v>
      </c>
      <c r="Q1" s="116" t="s">
        <v>94</v>
      </c>
      <c r="R1" s="116" t="s">
        <v>95</v>
      </c>
      <c r="S1" s="116" t="s">
        <v>96</v>
      </c>
      <c r="T1" s="116" t="s">
        <v>97</v>
      </c>
      <c r="U1" s="116" t="s">
        <v>98</v>
      </c>
      <c r="V1" s="114" t="s">
        <v>100</v>
      </c>
      <c r="W1" s="114" t="s">
        <v>101</v>
      </c>
      <c r="X1" s="114" t="s">
        <v>102</v>
      </c>
      <c r="Y1" s="114" t="s">
        <v>134</v>
      </c>
      <c r="Z1" s="115" t="s">
        <v>103</v>
      </c>
      <c r="AA1" s="115" t="s">
        <v>104</v>
      </c>
      <c r="AB1" s="115" t="s">
        <v>105</v>
      </c>
      <c r="AC1" s="117" t="s">
        <v>135</v>
      </c>
      <c r="AD1" s="116" t="s">
        <v>106</v>
      </c>
      <c r="AE1" s="116" t="s">
        <v>107</v>
      </c>
      <c r="AF1" s="116" t="s">
        <v>108</v>
      </c>
      <c r="AG1" s="116" t="s">
        <v>136</v>
      </c>
      <c r="AH1" s="114" t="s">
        <v>109</v>
      </c>
      <c r="AI1" s="114" t="s">
        <v>111</v>
      </c>
      <c r="AJ1" s="114" t="s">
        <v>110</v>
      </c>
      <c r="AK1" s="115" t="s">
        <v>115</v>
      </c>
      <c r="AL1" s="115" t="s">
        <v>116</v>
      </c>
      <c r="AM1" s="115" t="s">
        <v>117</v>
      </c>
      <c r="AN1" s="116" t="s">
        <v>112</v>
      </c>
      <c r="AO1" s="116" t="s">
        <v>113</v>
      </c>
      <c r="AP1" s="116" t="s">
        <v>114</v>
      </c>
    </row>
    <row r="2" spans="1:42" x14ac:dyDescent="0.15">
      <c r="A2" s="118" t="s">
        <v>74</v>
      </c>
      <c r="B2" s="119">
        <v>1</v>
      </c>
      <c r="D2">
        <v>1</v>
      </c>
      <c r="E2" s="179" t="s">
        <v>192</v>
      </c>
      <c r="F2">
        <v>0.98</v>
      </c>
      <c r="G2">
        <v>0.8</v>
      </c>
      <c r="H2">
        <v>0.8</v>
      </c>
      <c r="I2">
        <v>0.8</v>
      </c>
      <c r="J2" s="109">
        <v>0.25</v>
      </c>
      <c r="K2" s="109">
        <v>0.05</v>
      </c>
    </row>
    <row r="3" spans="1:42" x14ac:dyDescent="0.15">
      <c r="A3" s="118" t="s">
        <v>75</v>
      </c>
      <c r="B3" s="120">
        <v>1</v>
      </c>
      <c r="D3">
        <v>2</v>
      </c>
      <c r="E3" s="179" t="s">
        <v>193</v>
      </c>
      <c r="F3">
        <v>0.98</v>
      </c>
      <c r="G3">
        <v>0.8</v>
      </c>
      <c r="H3">
        <v>0.8</v>
      </c>
      <c r="I3">
        <v>0.8</v>
      </c>
      <c r="J3" s="109">
        <v>0.25</v>
      </c>
      <c r="K3" s="109">
        <v>0.05</v>
      </c>
    </row>
    <row r="4" spans="1:42" x14ac:dyDescent="0.15">
      <c r="A4" s="118" t="s">
        <v>76</v>
      </c>
      <c r="B4" s="120">
        <v>1</v>
      </c>
      <c r="D4">
        <v>3</v>
      </c>
      <c r="E4" s="179" t="s">
        <v>194</v>
      </c>
      <c r="F4">
        <v>0.98</v>
      </c>
      <c r="G4">
        <v>0.8</v>
      </c>
      <c r="H4">
        <v>0.8</v>
      </c>
      <c r="I4">
        <v>0.8</v>
      </c>
      <c r="J4" s="109">
        <v>0.25</v>
      </c>
      <c r="K4" s="109">
        <v>0.05</v>
      </c>
    </row>
    <row r="5" spans="1:42" x14ac:dyDescent="0.15">
      <c r="A5" s="118" t="s">
        <v>77</v>
      </c>
      <c r="B5" s="120">
        <v>1</v>
      </c>
      <c r="D5">
        <v>4</v>
      </c>
      <c r="E5" s="179" t="s">
        <v>195</v>
      </c>
      <c r="F5">
        <v>0.98</v>
      </c>
      <c r="G5">
        <v>0.8</v>
      </c>
      <c r="H5">
        <v>0.8</v>
      </c>
      <c r="I5">
        <v>0.8</v>
      </c>
      <c r="J5" s="109">
        <v>0.25</v>
      </c>
      <c r="K5" s="109">
        <v>0.05</v>
      </c>
    </row>
    <row r="6" spans="1:42" x14ac:dyDescent="0.15">
      <c r="A6" s="118" t="s">
        <v>78</v>
      </c>
      <c r="B6" s="120">
        <v>1</v>
      </c>
      <c r="D6">
        <v>5</v>
      </c>
      <c r="E6" s="179" t="s">
        <v>196</v>
      </c>
      <c r="F6">
        <v>0.98</v>
      </c>
      <c r="G6">
        <v>0.8</v>
      </c>
      <c r="H6">
        <v>0.8</v>
      </c>
      <c r="I6">
        <v>0.8</v>
      </c>
      <c r="J6" s="109">
        <v>0.25</v>
      </c>
      <c r="K6" s="109">
        <v>0.05</v>
      </c>
    </row>
    <row r="7" spans="1:42" x14ac:dyDescent="0.15">
      <c r="A7" s="118" t="s">
        <v>79</v>
      </c>
      <c r="B7" s="120">
        <v>1</v>
      </c>
      <c r="D7">
        <v>6</v>
      </c>
      <c r="E7" s="179" t="s">
        <v>197</v>
      </c>
      <c r="F7">
        <v>0.98</v>
      </c>
      <c r="G7">
        <v>0.8</v>
      </c>
      <c r="H7">
        <v>0.8</v>
      </c>
      <c r="I7">
        <v>0.8</v>
      </c>
      <c r="J7" s="109">
        <v>0.25</v>
      </c>
      <c r="K7" s="109">
        <v>0.05</v>
      </c>
    </row>
    <row r="8" spans="1:42" x14ac:dyDescent="0.15">
      <c r="A8" s="118" t="s">
        <v>80</v>
      </c>
      <c r="B8" s="120">
        <v>1</v>
      </c>
      <c r="D8">
        <v>7</v>
      </c>
      <c r="E8" s="179" t="s">
        <v>198</v>
      </c>
      <c r="F8">
        <v>0.98</v>
      </c>
      <c r="G8">
        <v>0.8</v>
      </c>
      <c r="H8">
        <v>0.8</v>
      </c>
      <c r="I8">
        <v>0.8</v>
      </c>
      <c r="J8" s="109">
        <v>0.25</v>
      </c>
      <c r="K8" s="109">
        <v>0.05</v>
      </c>
    </row>
    <row r="9" spans="1:42" x14ac:dyDescent="0.15">
      <c r="A9" s="118" t="s">
        <v>81</v>
      </c>
      <c r="B9" s="120">
        <v>0.1</v>
      </c>
      <c r="C9" s="60" t="s">
        <v>150</v>
      </c>
      <c r="D9">
        <v>8</v>
      </c>
      <c r="E9" s="179" t="s">
        <v>199</v>
      </c>
      <c r="F9">
        <v>0.98</v>
      </c>
      <c r="G9">
        <v>0.8</v>
      </c>
      <c r="H9">
        <v>0.8</v>
      </c>
      <c r="I9">
        <v>0.8</v>
      </c>
      <c r="J9" s="109">
        <v>0.25</v>
      </c>
      <c r="K9" s="109">
        <v>0.05</v>
      </c>
    </row>
    <row r="10" spans="1:42" ht="14" thickBot="1" x14ac:dyDescent="0.2">
      <c r="A10" s="118" t="s">
        <v>149</v>
      </c>
      <c r="B10" s="121">
        <f>1/3</f>
        <v>0.33333333333333331</v>
      </c>
      <c r="C10" s="60" t="s">
        <v>150</v>
      </c>
      <c r="D10">
        <v>9</v>
      </c>
      <c r="E10" s="179" t="s">
        <v>200</v>
      </c>
      <c r="F10">
        <v>0.98</v>
      </c>
      <c r="G10">
        <v>0.8</v>
      </c>
      <c r="H10">
        <v>0.8</v>
      </c>
      <c r="I10">
        <v>0.8</v>
      </c>
      <c r="J10" s="109">
        <v>0.25</v>
      </c>
      <c r="K10" s="109">
        <v>0.05</v>
      </c>
    </row>
    <row r="11" spans="1:42" x14ac:dyDescent="0.15">
      <c r="D11">
        <v>10</v>
      </c>
      <c r="E11" s="179" t="s">
        <v>201</v>
      </c>
      <c r="F11">
        <v>0.98</v>
      </c>
      <c r="G11">
        <v>0.8</v>
      </c>
      <c r="H11">
        <v>0.8</v>
      </c>
      <c r="I11">
        <v>0.8</v>
      </c>
      <c r="J11" s="109">
        <v>0.25</v>
      </c>
      <c r="K11" s="109">
        <v>0.05</v>
      </c>
    </row>
    <row r="12" spans="1:42" x14ac:dyDescent="0.15">
      <c r="D12">
        <v>11</v>
      </c>
      <c r="E12" s="179" t="s">
        <v>202</v>
      </c>
      <c r="F12">
        <v>0.98</v>
      </c>
      <c r="G12">
        <v>0.8</v>
      </c>
      <c r="H12">
        <v>0.8</v>
      </c>
      <c r="I12">
        <v>0.8</v>
      </c>
      <c r="J12" s="109">
        <v>0.25</v>
      </c>
      <c r="K12" s="109">
        <v>0.05</v>
      </c>
    </row>
    <row r="13" spans="1:42" x14ac:dyDescent="0.15">
      <c r="D13">
        <v>12</v>
      </c>
      <c r="E13" s="179" t="s">
        <v>203</v>
      </c>
      <c r="F13">
        <v>0.98</v>
      </c>
      <c r="G13">
        <v>0.8</v>
      </c>
      <c r="H13">
        <v>0.8</v>
      </c>
      <c r="I13">
        <v>0.8</v>
      </c>
      <c r="J13" s="109">
        <v>0.25</v>
      </c>
      <c r="K13" s="109">
        <v>0.05</v>
      </c>
    </row>
    <row r="14" spans="1:42" x14ac:dyDescent="0.15">
      <c r="D14">
        <v>13</v>
      </c>
      <c r="E14" s="179" t="s">
        <v>204</v>
      </c>
      <c r="F14">
        <v>0.98</v>
      </c>
      <c r="G14">
        <v>0.8</v>
      </c>
      <c r="H14">
        <v>0.8</v>
      </c>
      <c r="I14">
        <v>0.8</v>
      </c>
      <c r="J14" s="109">
        <v>0.25</v>
      </c>
      <c r="K14" s="109">
        <v>0.05</v>
      </c>
    </row>
    <row r="15" spans="1:42" x14ac:dyDescent="0.15">
      <c r="D15">
        <v>14</v>
      </c>
      <c r="E15" s="179" t="s">
        <v>205</v>
      </c>
      <c r="F15">
        <v>0.98</v>
      </c>
      <c r="G15">
        <v>0.8</v>
      </c>
      <c r="H15">
        <v>0.8</v>
      </c>
      <c r="I15">
        <v>0.8</v>
      </c>
      <c r="J15" s="109">
        <v>0.25</v>
      </c>
      <c r="K15" s="109">
        <v>0.05</v>
      </c>
    </row>
    <row r="16" spans="1:42" x14ac:dyDescent="0.15">
      <c r="D16">
        <v>15</v>
      </c>
      <c r="E16" s="179" t="s">
        <v>206</v>
      </c>
      <c r="F16">
        <v>0.98</v>
      </c>
      <c r="G16">
        <v>0.8</v>
      </c>
      <c r="H16">
        <v>0.8</v>
      </c>
      <c r="I16">
        <v>0.8</v>
      </c>
      <c r="J16" s="109">
        <v>0.25</v>
      </c>
      <c r="K16" s="109">
        <v>0.05</v>
      </c>
    </row>
    <row r="17" spans="4:33" ht="15" customHeight="1" x14ac:dyDescent="0.15">
      <c r="D17">
        <v>16</v>
      </c>
      <c r="E17" s="179" t="s">
        <v>207</v>
      </c>
      <c r="F17">
        <v>0.98</v>
      </c>
      <c r="G17">
        <v>0.8</v>
      </c>
      <c r="H17">
        <v>0.8</v>
      </c>
      <c r="I17">
        <v>0.8</v>
      </c>
      <c r="J17" s="109">
        <v>0.25</v>
      </c>
      <c r="K17" s="109">
        <v>0.05</v>
      </c>
    </row>
    <row r="18" spans="4:33" ht="15" customHeight="1" x14ac:dyDescent="0.15">
      <c r="D18">
        <v>17</v>
      </c>
      <c r="E18" s="179" t="s">
        <v>208</v>
      </c>
      <c r="F18">
        <v>0.98</v>
      </c>
      <c r="G18">
        <v>0.8</v>
      </c>
      <c r="H18">
        <v>0.8</v>
      </c>
      <c r="I18">
        <v>0.8</v>
      </c>
      <c r="J18" s="109">
        <v>0.25</v>
      </c>
      <c r="K18" s="109">
        <v>0.05</v>
      </c>
    </row>
    <row r="19" spans="4:33" ht="15" customHeight="1" x14ac:dyDescent="0.15">
      <c r="D19">
        <v>18</v>
      </c>
      <c r="E19" s="179" t="s">
        <v>166</v>
      </c>
      <c r="F19">
        <v>0.98</v>
      </c>
      <c r="G19">
        <v>0.8</v>
      </c>
      <c r="H19">
        <v>0.8</v>
      </c>
      <c r="I19">
        <v>0.8</v>
      </c>
      <c r="J19" s="109">
        <v>0.25</v>
      </c>
      <c r="K19" s="109">
        <v>0.05</v>
      </c>
    </row>
    <row r="20" spans="4:33" ht="15" customHeight="1" x14ac:dyDescent="0.15">
      <c r="D20">
        <v>19</v>
      </c>
      <c r="E20" s="179" t="s">
        <v>209</v>
      </c>
      <c r="F20">
        <v>0.98</v>
      </c>
      <c r="G20">
        <v>0.8</v>
      </c>
      <c r="H20">
        <v>0.8</v>
      </c>
      <c r="I20">
        <v>0.8</v>
      </c>
      <c r="J20" s="109">
        <v>0.25</v>
      </c>
      <c r="K20" s="109">
        <v>0.05</v>
      </c>
    </row>
    <row r="21" spans="4:33" ht="15" customHeight="1" x14ac:dyDescent="0.15">
      <c r="D21">
        <v>20</v>
      </c>
      <c r="E21" s="179" t="s">
        <v>210</v>
      </c>
      <c r="F21">
        <v>0.98</v>
      </c>
      <c r="G21">
        <v>0.8</v>
      </c>
      <c r="H21">
        <v>0.8</v>
      </c>
      <c r="I21">
        <v>0.8</v>
      </c>
      <c r="J21" s="109">
        <v>0.25</v>
      </c>
      <c r="K21" s="109">
        <v>0.05</v>
      </c>
    </row>
    <row r="22" spans="4:33" ht="15" customHeight="1" x14ac:dyDescent="0.15">
      <c r="D22">
        <v>21</v>
      </c>
      <c r="E22" s="179" t="s">
        <v>211</v>
      </c>
      <c r="F22">
        <v>0.98</v>
      </c>
      <c r="G22">
        <v>0.8</v>
      </c>
      <c r="H22">
        <v>0.8</v>
      </c>
      <c r="I22">
        <v>0.8</v>
      </c>
      <c r="J22" s="109">
        <v>0.25</v>
      </c>
      <c r="K22" s="109">
        <v>0.05</v>
      </c>
    </row>
    <row r="23" spans="4:33" ht="15" customHeight="1" x14ac:dyDescent="0.15">
      <c r="D23">
        <v>22</v>
      </c>
      <c r="E23" s="179" t="s">
        <v>212</v>
      </c>
      <c r="F23">
        <v>0.98</v>
      </c>
      <c r="G23">
        <v>0.8</v>
      </c>
      <c r="H23">
        <v>0.8</v>
      </c>
      <c r="I23">
        <v>0.8</v>
      </c>
      <c r="J23" s="109">
        <v>0.25</v>
      </c>
      <c r="K23" s="109">
        <v>0.05</v>
      </c>
    </row>
    <row r="24" spans="4:33" ht="15" customHeight="1" x14ac:dyDescent="0.15">
      <c r="D24">
        <v>23</v>
      </c>
      <c r="E24" s="179" t="s">
        <v>213</v>
      </c>
      <c r="F24">
        <v>0.98</v>
      </c>
      <c r="G24">
        <v>0.8</v>
      </c>
      <c r="H24">
        <v>0.8</v>
      </c>
      <c r="I24">
        <v>0.8</v>
      </c>
      <c r="J24" s="109">
        <v>0.25</v>
      </c>
      <c r="K24" s="109">
        <v>0.05</v>
      </c>
    </row>
    <row r="25" spans="4:33" ht="15" customHeight="1" x14ac:dyDescent="0.15">
      <c r="D25">
        <v>24</v>
      </c>
      <c r="E25" s="179" t="s">
        <v>214</v>
      </c>
      <c r="F25">
        <v>0.98</v>
      </c>
      <c r="G25">
        <v>0.8</v>
      </c>
      <c r="H25">
        <v>0.8</v>
      </c>
      <c r="I25">
        <v>0.8</v>
      </c>
      <c r="J25" s="109">
        <v>0.25</v>
      </c>
      <c r="K25" s="109">
        <v>0.05</v>
      </c>
    </row>
    <row r="26" spans="4:33" ht="15" customHeight="1" x14ac:dyDescent="0.15">
      <c r="D26">
        <v>25</v>
      </c>
      <c r="E26" s="179" t="s">
        <v>215</v>
      </c>
      <c r="F26">
        <v>0.98</v>
      </c>
      <c r="G26">
        <v>0.8</v>
      </c>
      <c r="H26">
        <v>0.8</v>
      </c>
      <c r="I26">
        <v>0</v>
      </c>
      <c r="J26" s="109">
        <v>0</v>
      </c>
      <c r="K26" s="109">
        <v>0</v>
      </c>
    </row>
    <row r="27" spans="4:33" ht="15" customHeight="1" x14ac:dyDescent="0.15">
      <c r="D27">
        <v>26</v>
      </c>
      <c r="E27" s="179" t="s">
        <v>216</v>
      </c>
      <c r="F27">
        <v>0.98</v>
      </c>
      <c r="G27">
        <v>0.8</v>
      </c>
      <c r="H27">
        <v>0.8</v>
      </c>
      <c r="I27">
        <v>0</v>
      </c>
      <c r="J27" s="109">
        <v>0</v>
      </c>
      <c r="K27" s="109">
        <v>0</v>
      </c>
    </row>
    <row r="28" spans="4:33" ht="15" customHeight="1" x14ac:dyDescent="0.15">
      <c r="D28">
        <v>27</v>
      </c>
      <c r="E28" s="179" t="s">
        <v>217</v>
      </c>
      <c r="F28">
        <v>0.98</v>
      </c>
      <c r="G28">
        <v>0.8</v>
      </c>
      <c r="H28">
        <v>0.8</v>
      </c>
      <c r="I28">
        <v>0</v>
      </c>
      <c r="J28" s="109">
        <v>0</v>
      </c>
      <c r="K28" s="109">
        <v>0</v>
      </c>
    </row>
    <row r="29" spans="4:33" ht="15" customHeight="1" x14ac:dyDescent="0.15">
      <c r="D29">
        <v>28</v>
      </c>
      <c r="E29" s="179" t="s">
        <v>218</v>
      </c>
      <c r="F29">
        <v>0.98</v>
      </c>
      <c r="G29">
        <v>0.8</v>
      </c>
      <c r="H29">
        <v>0</v>
      </c>
      <c r="I29">
        <v>0</v>
      </c>
      <c r="J29" s="109">
        <v>0</v>
      </c>
      <c r="K29" s="109">
        <v>0</v>
      </c>
      <c r="Y29"/>
      <c r="AC29"/>
      <c r="AG29"/>
    </row>
    <row r="30" spans="4:33" ht="15" customHeight="1" x14ac:dyDescent="0.15">
      <c r="D30">
        <v>29</v>
      </c>
      <c r="E30" s="179" t="s">
        <v>219</v>
      </c>
      <c r="F30">
        <v>0.98</v>
      </c>
      <c r="G30">
        <v>0.8</v>
      </c>
      <c r="H30">
        <v>0</v>
      </c>
      <c r="I30">
        <v>0</v>
      </c>
      <c r="J30" s="109">
        <v>0</v>
      </c>
      <c r="K30" s="109">
        <v>0</v>
      </c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6" bestFit="1" customWidth="1"/>
    <col min="2" max="25" width="3.83203125" style="106" customWidth="1"/>
    <col min="26" max="30" width="2.33203125" style="106" customWidth="1"/>
    <col min="31" max="16384" width="10.83203125" style="106"/>
  </cols>
  <sheetData>
    <row r="1" spans="1:30" x14ac:dyDescent="0.15">
      <c r="A1" s="62" t="s">
        <v>118</v>
      </c>
      <c r="B1" s="181" t="s">
        <v>192</v>
      </c>
      <c r="C1" s="181" t="s">
        <v>193</v>
      </c>
      <c r="D1" s="181" t="s">
        <v>194</v>
      </c>
      <c r="E1" s="181" t="s">
        <v>195</v>
      </c>
      <c r="F1" s="181" t="s">
        <v>196</v>
      </c>
      <c r="G1" s="181" t="s">
        <v>197</v>
      </c>
      <c r="H1" s="181" t="s">
        <v>198</v>
      </c>
      <c r="I1" s="181" t="s">
        <v>199</v>
      </c>
      <c r="J1" s="181" t="s">
        <v>200</v>
      </c>
      <c r="K1" s="181" t="s">
        <v>201</v>
      </c>
      <c r="L1" s="181" t="s">
        <v>202</v>
      </c>
      <c r="M1" s="181" t="s">
        <v>203</v>
      </c>
      <c r="N1" s="181" t="s">
        <v>204</v>
      </c>
      <c r="O1" s="181" t="s">
        <v>205</v>
      </c>
      <c r="P1" s="181" t="s">
        <v>206</v>
      </c>
      <c r="Q1" s="181" t="s">
        <v>207</v>
      </c>
      <c r="R1" s="181" t="s">
        <v>208</v>
      </c>
      <c r="S1" s="181" t="s">
        <v>166</v>
      </c>
      <c r="T1" s="181" t="s">
        <v>209</v>
      </c>
      <c r="U1" s="181" t="s">
        <v>210</v>
      </c>
      <c r="V1" s="181" t="s">
        <v>211</v>
      </c>
      <c r="W1" s="181" t="s">
        <v>212</v>
      </c>
      <c r="X1" s="181" t="s">
        <v>213</v>
      </c>
      <c r="Y1" s="181" t="s">
        <v>214</v>
      </c>
      <c r="Z1" s="181" t="s">
        <v>215</v>
      </c>
      <c r="AA1" s="181" t="s">
        <v>216</v>
      </c>
      <c r="AB1" s="181" t="s">
        <v>217</v>
      </c>
      <c r="AC1" s="181" t="s">
        <v>218</v>
      </c>
      <c r="AD1" s="181" t="s">
        <v>219</v>
      </c>
    </row>
    <row r="2" spans="1:30" customFormat="1" x14ac:dyDescent="0.15">
      <c r="A2" s="180" t="s">
        <v>192</v>
      </c>
      <c r="B2" s="106">
        <v>0</v>
      </c>
      <c r="C2" s="106">
        <v>0</v>
      </c>
      <c r="D2" s="106">
        <v>0</v>
      </c>
      <c r="E2" s="106">
        <v>0</v>
      </c>
      <c r="F2" s="106">
        <v>0</v>
      </c>
      <c r="G2" s="106">
        <v>0</v>
      </c>
      <c r="H2" s="106">
        <v>0</v>
      </c>
      <c r="I2" s="106">
        <v>0</v>
      </c>
      <c r="J2" s="106">
        <v>0</v>
      </c>
      <c r="K2" s="106">
        <v>0</v>
      </c>
      <c r="L2" s="106">
        <v>0</v>
      </c>
      <c r="M2" s="106">
        <v>0</v>
      </c>
      <c r="N2" s="106">
        <v>0</v>
      </c>
      <c r="O2" s="106">
        <v>0</v>
      </c>
      <c r="P2" s="106">
        <v>0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</row>
    <row r="3" spans="1:30" customFormat="1" x14ac:dyDescent="0.15">
      <c r="A3" s="180" t="s">
        <v>193</v>
      </c>
      <c r="B3" s="106">
        <v>0</v>
      </c>
      <c r="C3" s="106">
        <v>0</v>
      </c>
      <c r="D3" s="106">
        <v>0</v>
      </c>
      <c r="E3" s="106">
        <v>0</v>
      </c>
      <c r="F3" s="106">
        <v>0</v>
      </c>
      <c r="G3" s="106">
        <v>0</v>
      </c>
      <c r="H3" s="106">
        <v>0</v>
      </c>
      <c r="I3" s="106">
        <v>0</v>
      </c>
      <c r="J3" s="106">
        <v>0</v>
      </c>
      <c r="K3" s="106">
        <v>0</v>
      </c>
      <c r="L3" s="106">
        <v>0</v>
      </c>
      <c r="M3" s="106">
        <v>0</v>
      </c>
      <c r="N3" s="106">
        <v>0</v>
      </c>
      <c r="O3" s="106">
        <v>0</v>
      </c>
      <c r="P3" s="106">
        <v>0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</row>
    <row r="4" spans="1:30" customFormat="1" x14ac:dyDescent="0.15">
      <c r="A4" s="180" t="s">
        <v>194</v>
      </c>
      <c r="B4" s="106">
        <v>0</v>
      </c>
      <c r="C4" s="106">
        <v>0</v>
      </c>
      <c r="D4" s="106">
        <v>0</v>
      </c>
      <c r="E4" s="106">
        <v>0</v>
      </c>
      <c r="F4" s="106">
        <v>0</v>
      </c>
      <c r="G4" s="106">
        <v>0</v>
      </c>
      <c r="H4" s="106">
        <v>0</v>
      </c>
      <c r="I4" s="106">
        <v>0</v>
      </c>
      <c r="J4" s="106">
        <v>0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</row>
    <row r="5" spans="1:30" customFormat="1" x14ac:dyDescent="0.15">
      <c r="A5" s="180" t="s">
        <v>195</v>
      </c>
      <c r="B5" s="106">
        <v>0</v>
      </c>
      <c r="C5" s="106">
        <v>0</v>
      </c>
      <c r="D5" s="106">
        <v>0.8</v>
      </c>
      <c r="E5" s="106">
        <v>0</v>
      </c>
      <c r="F5" s="106">
        <v>0</v>
      </c>
      <c r="G5" s="106">
        <v>0</v>
      </c>
      <c r="H5" s="106">
        <v>0</v>
      </c>
      <c r="I5" s="106">
        <v>0</v>
      </c>
      <c r="J5" s="106">
        <v>0</v>
      </c>
      <c r="K5" s="106">
        <v>0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  <c r="R5" s="106">
        <v>0</v>
      </c>
      <c r="S5" s="106">
        <v>0</v>
      </c>
      <c r="T5" s="106">
        <v>0</v>
      </c>
      <c r="U5" s="106">
        <v>0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</v>
      </c>
      <c r="AC5" s="106">
        <v>0</v>
      </c>
      <c r="AD5" s="106">
        <v>0</v>
      </c>
    </row>
    <row r="6" spans="1:30" customFormat="1" x14ac:dyDescent="0.15">
      <c r="A6" s="180" t="s">
        <v>196</v>
      </c>
      <c r="B6" s="106">
        <v>0</v>
      </c>
      <c r="C6" s="106">
        <v>0</v>
      </c>
      <c r="D6" s="106">
        <v>0.8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0.8</v>
      </c>
      <c r="O6" s="106">
        <v>0</v>
      </c>
      <c r="P6" s="106">
        <v>0.8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</row>
    <row r="7" spans="1:30" customFormat="1" x14ac:dyDescent="0.15">
      <c r="A7" s="180" t="s">
        <v>197</v>
      </c>
      <c r="B7" s="106">
        <v>0</v>
      </c>
      <c r="C7" s="106">
        <v>0</v>
      </c>
      <c r="D7" s="106">
        <v>0.8</v>
      </c>
      <c r="E7" s="106">
        <v>0</v>
      </c>
      <c r="F7" s="106">
        <v>0.8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0.8</v>
      </c>
      <c r="O7" s="106">
        <v>0.8</v>
      </c>
      <c r="P7" s="106">
        <v>0.8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</row>
    <row r="8" spans="1:30" customFormat="1" x14ac:dyDescent="0.15">
      <c r="A8" s="180" t="s">
        <v>198</v>
      </c>
      <c r="B8" s="106">
        <v>0</v>
      </c>
      <c r="C8" s="106">
        <v>0</v>
      </c>
      <c r="D8" s="106">
        <v>0.8</v>
      </c>
      <c r="E8" s="106">
        <v>0</v>
      </c>
      <c r="F8" s="106">
        <v>0.8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0.8</v>
      </c>
      <c r="O8" s="106">
        <v>0.8</v>
      </c>
      <c r="P8" s="106">
        <v>0.8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</row>
    <row r="9" spans="1:30" customFormat="1" x14ac:dyDescent="0.15">
      <c r="A9" s="180" t="s">
        <v>199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0.8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</row>
    <row r="10" spans="1:30" customFormat="1" x14ac:dyDescent="0.15">
      <c r="A10" s="180" t="s">
        <v>200</v>
      </c>
      <c r="B10" s="106">
        <v>0.8</v>
      </c>
      <c r="C10" s="106">
        <v>0.8</v>
      </c>
      <c r="D10" s="106">
        <v>0.8</v>
      </c>
      <c r="E10" s="106">
        <v>0</v>
      </c>
      <c r="F10" s="106">
        <v>0.8</v>
      </c>
      <c r="G10" s="106">
        <v>0.8</v>
      </c>
      <c r="H10" s="106">
        <v>0.8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0.8</v>
      </c>
      <c r="O10" s="106">
        <v>0.8</v>
      </c>
      <c r="P10" s="106">
        <v>0.8</v>
      </c>
      <c r="Q10" s="106">
        <v>0.8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</row>
    <row r="11" spans="1:30" customFormat="1" x14ac:dyDescent="0.15">
      <c r="A11" s="180" t="s">
        <v>201</v>
      </c>
      <c r="B11" s="106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0.8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</row>
    <row r="12" spans="1:30" customFormat="1" x14ac:dyDescent="0.15">
      <c r="A12" s="180" t="s">
        <v>202</v>
      </c>
      <c r="B12" s="106">
        <v>0.8</v>
      </c>
      <c r="C12" s="106">
        <v>0.8</v>
      </c>
      <c r="D12" s="106">
        <v>0.8</v>
      </c>
      <c r="E12" s="106">
        <v>0</v>
      </c>
      <c r="F12" s="106">
        <v>0.8</v>
      </c>
      <c r="G12" s="106">
        <v>0.8</v>
      </c>
      <c r="H12" s="106">
        <v>0.8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0.8</v>
      </c>
      <c r="O12" s="106">
        <v>0.8</v>
      </c>
      <c r="P12" s="106">
        <v>0.8</v>
      </c>
      <c r="Q12" s="106">
        <v>0.8</v>
      </c>
      <c r="R12" s="106">
        <v>0</v>
      </c>
      <c r="S12" s="106">
        <v>0.8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</row>
    <row r="13" spans="1:30" customFormat="1" x14ac:dyDescent="0.15">
      <c r="A13" s="180" t="s">
        <v>203</v>
      </c>
      <c r="B13" s="106">
        <v>0.8</v>
      </c>
      <c r="C13" s="106">
        <v>0.8</v>
      </c>
      <c r="D13" s="106">
        <v>0.8</v>
      </c>
      <c r="E13" s="106">
        <v>0</v>
      </c>
      <c r="F13" s="106">
        <v>0.8</v>
      </c>
      <c r="G13" s="106">
        <v>0.8</v>
      </c>
      <c r="H13" s="106">
        <v>0.8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0.8</v>
      </c>
      <c r="O13" s="106">
        <v>0.8</v>
      </c>
      <c r="P13" s="106">
        <v>0.8</v>
      </c>
      <c r="Q13" s="106">
        <v>0.8</v>
      </c>
      <c r="R13" s="106">
        <v>0.8</v>
      </c>
      <c r="S13" s="106">
        <v>0.8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</row>
    <row r="14" spans="1:30" customFormat="1" x14ac:dyDescent="0.15">
      <c r="A14" s="180" t="s">
        <v>204</v>
      </c>
      <c r="B14" s="106">
        <v>0</v>
      </c>
      <c r="C14" s="106">
        <v>0</v>
      </c>
      <c r="D14" s="106">
        <v>0.8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0.8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</row>
    <row r="15" spans="1:30" customFormat="1" x14ac:dyDescent="0.15">
      <c r="A15" s="180" t="s">
        <v>205</v>
      </c>
      <c r="B15" s="106">
        <v>0.8</v>
      </c>
      <c r="C15" s="106">
        <v>0</v>
      </c>
      <c r="D15" s="106">
        <v>0.8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0.8</v>
      </c>
      <c r="P15" s="106">
        <v>0.8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</row>
    <row r="16" spans="1:30" customFormat="1" x14ac:dyDescent="0.15">
      <c r="A16" s="180" t="s">
        <v>206</v>
      </c>
      <c r="B16" s="106">
        <v>0</v>
      </c>
      <c r="C16" s="106">
        <v>0</v>
      </c>
      <c r="D16" s="106">
        <v>0.8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</row>
    <row r="17" spans="1:30" customFormat="1" x14ac:dyDescent="0.15">
      <c r="A17" s="180" t="s">
        <v>207</v>
      </c>
      <c r="B17" s="106">
        <v>0.8</v>
      </c>
      <c r="C17" s="106">
        <v>0</v>
      </c>
      <c r="D17" s="106">
        <v>0.8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0.8</v>
      </c>
      <c r="P17" s="106">
        <v>0.8</v>
      </c>
      <c r="Q17" s="106">
        <v>0.8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</row>
    <row r="18" spans="1:30" customFormat="1" x14ac:dyDescent="0.15">
      <c r="A18" s="180" t="s">
        <v>208</v>
      </c>
      <c r="B18" s="106">
        <v>0.8</v>
      </c>
      <c r="C18" s="106">
        <v>0.8</v>
      </c>
      <c r="D18" s="106">
        <v>0.8</v>
      </c>
      <c r="E18" s="106">
        <v>0.8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0.8</v>
      </c>
      <c r="P18" s="106">
        <v>0.8</v>
      </c>
      <c r="Q18" s="106">
        <v>0.8</v>
      </c>
      <c r="R18" s="106">
        <v>0.8</v>
      </c>
      <c r="S18" s="106">
        <v>0.8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</row>
    <row r="19" spans="1:30" customFormat="1" x14ac:dyDescent="0.15">
      <c r="A19" s="180" t="s">
        <v>166</v>
      </c>
      <c r="B19" s="106">
        <v>0</v>
      </c>
      <c r="C19" s="106">
        <v>0</v>
      </c>
      <c r="D19" s="106">
        <v>0.8</v>
      </c>
      <c r="E19" s="106">
        <v>0.8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0.8</v>
      </c>
      <c r="M19" s="106">
        <v>0</v>
      </c>
      <c r="N19" s="106">
        <v>0.8</v>
      </c>
      <c r="O19" s="106">
        <v>0</v>
      </c>
      <c r="P19" s="106">
        <v>0.8</v>
      </c>
      <c r="Q19" s="106">
        <v>0.8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</row>
    <row r="20" spans="1:30" customFormat="1" x14ac:dyDescent="0.15">
      <c r="A20" s="180" t="s">
        <v>209</v>
      </c>
      <c r="B20" s="106">
        <v>0</v>
      </c>
      <c r="C20" s="106">
        <v>0</v>
      </c>
      <c r="D20" s="106">
        <v>0.8</v>
      </c>
      <c r="E20" s="106">
        <v>0.8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0.8</v>
      </c>
      <c r="O20" s="106">
        <v>0</v>
      </c>
      <c r="P20" s="106">
        <v>0.8</v>
      </c>
      <c r="Q20" s="106">
        <v>0.8</v>
      </c>
      <c r="R20" s="106">
        <v>0.8</v>
      </c>
      <c r="S20" s="106">
        <v>0.8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</row>
    <row r="21" spans="1:30" customFormat="1" x14ac:dyDescent="0.15">
      <c r="A21" s="180" t="s">
        <v>210</v>
      </c>
      <c r="B21" s="106">
        <v>0</v>
      </c>
      <c r="C21" s="106">
        <v>0</v>
      </c>
      <c r="D21" s="106">
        <v>0.8</v>
      </c>
      <c r="E21" s="106">
        <v>0.8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0.8</v>
      </c>
      <c r="Q21" s="106">
        <v>0.8</v>
      </c>
      <c r="R21" s="106">
        <v>0.8</v>
      </c>
      <c r="S21" s="106">
        <v>0.8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</row>
    <row r="22" spans="1:30" customFormat="1" x14ac:dyDescent="0.15">
      <c r="A22" s="180" t="s">
        <v>211</v>
      </c>
      <c r="B22" s="106">
        <v>0</v>
      </c>
      <c r="C22" s="106">
        <v>0</v>
      </c>
      <c r="D22" s="106">
        <v>0.8</v>
      </c>
      <c r="E22" s="106">
        <v>0.8</v>
      </c>
      <c r="F22" s="106">
        <v>0</v>
      </c>
      <c r="G22" s="106">
        <v>0</v>
      </c>
      <c r="H22" s="106">
        <v>0</v>
      </c>
      <c r="I22" s="106">
        <v>0</v>
      </c>
      <c r="J22" s="106">
        <v>0.8</v>
      </c>
      <c r="K22" s="106">
        <v>0</v>
      </c>
      <c r="L22" s="106">
        <v>0.8</v>
      </c>
      <c r="M22" s="106">
        <v>0.8</v>
      </c>
      <c r="N22" s="106">
        <v>0.8</v>
      </c>
      <c r="O22" s="106">
        <v>0.8</v>
      </c>
      <c r="P22" s="106">
        <v>0.8</v>
      </c>
      <c r="Q22" s="106">
        <v>0.8</v>
      </c>
      <c r="R22" s="106">
        <v>0.8</v>
      </c>
      <c r="S22" s="106">
        <v>0.8</v>
      </c>
      <c r="T22" s="106">
        <v>0.8</v>
      </c>
      <c r="U22" s="106">
        <v>0.8</v>
      </c>
      <c r="V22" s="106">
        <v>0.8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</row>
    <row r="23" spans="1:30" customFormat="1" x14ac:dyDescent="0.15">
      <c r="A23" s="180" t="s">
        <v>212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0.8</v>
      </c>
      <c r="O23" s="106">
        <v>0</v>
      </c>
      <c r="P23" s="106">
        <v>0.8</v>
      </c>
      <c r="Q23" s="106">
        <v>0.8</v>
      </c>
      <c r="R23" s="106">
        <v>0.8</v>
      </c>
      <c r="S23" s="106">
        <v>0</v>
      </c>
      <c r="T23" s="106">
        <v>0.8</v>
      </c>
      <c r="U23" s="106">
        <v>0.8</v>
      </c>
      <c r="V23" s="106">
        <v>0.8</v>
      </c>
      <c r="W23" s="106">
        <v>0.8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</row>
    <row r="24" spans="1:30" customFormat="1" x14ac:dyDescent="0.15">
      <c r="A24" s="180" t="s">
        <v>213</v>
      </c>
      <c r="B24" s="106">
        <v>0</v>
      </c>
      <c r="C24" s="106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0.8</v>
      </c>
      <c r="I24" s="106">
        <v>0</v>
      </c>
      <c r="J24" s="106">
        <v>0.8</v>
      </c>
      <c r="K24" s="106">
        <v>0</v>
      </c>
      <c r="L24" s="106">
        <v>0</v>
      </c>
      <c r="M24" s="106">
        <v>0.8</v>
      </c>
      <c r="N24" s="106">
        <v>0</v>
      </c>
      <c r="O24" s="106">
        <v>0.8</v>
      </c>
      <c r="P24" s="106">
        <v>0</v>
      </c>
      <c r="Q24" s="106">
        <v>0.8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</row>
    <row r="25" spans="1:30" customFormat="1" x14ac:dyDescent="0.15">
      <c r="A25" s="180" t="s">
        <v>214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0.8</v>
      </c>
      <c r="H25" s="106">
        <v>0.8</v>
      </c>
      <c r="I25" s="106">
        <v>0</v>
      </c>
      <c r="J25" s="106">
        <v>0</v>
      </c>
      <c r="K25" s="106">
        <v>0.8</v>
      </c>
      <c r="L25" s="106">
        <v>0.8</v>
      </c>
      <c r="M25" s="106">
        <v>0.8</v>
      </c>
      <c r="N25" s="106">
        <v>0</v>
      </c>
      <c r="O25" s="106">
        <v>0</v>
      </c>
      <c r="P25" s="106">
        <v>0</v>
      </c>
      <c r="Q25" s="106">
        <v>0.8</v>
      </c>
      <c r="R25" s="106">
        <v>0.8</v>
      </c>
      <c r="S25" s="106">
        <v>0.8</v>
      </c>
      <c r="T25" s="106">
        <v>0.8</v>
      </c>
      <c r="U25" s="106">
        <v>0</v>
      </c>
      <c r="V25" s="106">
        <v>0.8</v>
      </c>
      <c r="W25" s="106">
        <v>0.8</v>
      </c>
      <c r="X25" s="106">
        <v>0.8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</row>
    <row r="26" spans="1:30" customFormat="1" x14ac:dyDescent="0.15">
      <c r="A26" s="180" t="s">
        <v>215</v>
      </c>
      <c r="B26" s="106">
        <v>0</v>
      </c>
      <c r="C26" s="106">
        <v>0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0.8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0.8</v>
      </c>
      <c r="W26" s="106">
        <v>0.8</v>
      </c>
      <c r="X26" s="106">
        <v>0.8</v>
      </c>
      <c r="Y26" s="106">
        <v>0.8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</row>
    <row r="27" spans="1:30" customFormat="1" x14ac:dyDescent="0.15">
      <c r="A27" s="180" t="s">
        <v>216</v>
      </c>
      <c r="B27" s="106">
        <v>0</v>
      </c>
      <c r="C27" s="106">
        <v>0</v>
      </c>
      <c r="D27" s="106">
        <v>0</v>
      </c>
      <c r="E27" s="106">
        <v>0</v>
      </c>
      <c r="F27" s="106">
        <v>0</v>
      </c>
      <c r="G27" s="106">
        <v>0.8</v>
      </c>
      <c r="H27" s="106">
        <v>0</v>
      </c>
      <c r="I27" s="106">
        <v>0.8</v>
      </c>
      <c r="J27" s="106">
        <v>0.8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0.8</v>
      </c>
      <c r="R27" s="106">
        <v>0.8</v>
      </c>
      <c r="S27" s="106">
        <v>0</v>
      </c>
      <c r="T27" s="106">
        <v>0</v>
      </c>
      <c r="U27" s="106">
        <v>0</v>
      </c>
      <c r="V27" s="106">
        <v>0.8</v>
      </c>
      <c r="W27" s="106">
        <v>0</v>
      </c>
      <c r="X27" s="106">
        <v>0.8</v>
      </c>
      <c r="Y27" s="106">
        <v>0.8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</row>
    <row r="28" spans="1:30" customFormat="1" x14ac:dyDescent="0.15">
      <c r="A28" s="180" t="s">
        <v>217</v>
      </c>
      <c r="B28" s="106">
        <v>0</v>
      </c>
      <c r="C28" s="106">
        <v>0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0.8</v>
      </c>
      <c r="R28" s="106">
        <v>0</v>
      </c>
      <c r="S28" s="106">
        <v>0</v>
      </c>
      <c r="T28" s="106">
        <v>0</v>
      </c>
      <c r="U28" s="106">
        <v>0</v>
      </c>
      <c r="V28" s="106">
        <v>0.8</v>
      </c>
      <c r="W28" s="106">
        <v>0.8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</row>
    <row r="29" spans="1:30" customFormat="1" x14ac:dyDescent="0.15">
      <c r="A29" s="180" t="s">
        <v>218</v>
      </c>
      <c r="B29" s="106">
        <v>0</v>
      </c>
      <c r="C29" s="106">
        <v>0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0.8</v>
      </c>
      <c r="N29" s="106">
        <v>0</v>
      </c>
      <c r="O29" s="106">
        <v>0</v>
      </c>
      <c r="P29" s="106">
        <v>0.8</v>
      </c>
      <c r="Q29" s="106">
        <v>0.8</v>
      </c>
      <c r="R29" s="106">
        <v>0.8</v>
      </c>
      <c r="S29" s="106">
        <v>0</v>
      </c>
      <c r="T29" s="106">
        <v>0.8</v>
      </c>
      <c r="U29" s="106">
        <v>0.8</v>
      </c>
      <c r="V29" s="106">
        <v>0.8</v>
      </c>
      <c r="W29" s="106">
        <v>0.8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</row>
    <row r="30" spans="1:30" customFormat="1" x14ac:dyDescent="0.15">
      <c r="A30" s="180" t="s">
        <v>219</v>
      </c>
      <c r="B30" s="106">
        <v>0</v>
      </c>
      <c r="C30" s="106">
        <v>0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</row>
    <row r="31" spans="1:30" customFormat="1" x14ac:dyDescent="0.15">
      <c r="A31" s="180" t="s">
        <v>221</v>
      </c>
      <c r="B31" s="106">
        <v>0</v>
      </c>
      <c r="C31" s="106">
        <v>0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</row>
    <row r="32" spans="1:30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6" bestFit="1" customWidth="1"/>
    <col min="2" max="30" width="2.33203125" style="106" customWidth="1"/>
    <col min="31" max="16384" width="10.83203125" style="106"/>
  </cols>
  <sheetData>
    <row r="1" spans="1:31" x14ac:dyDescent="0.15">
      <c r="A1" s="62" t="s">
        <v>139</v>
      </c>
      <c r="B1" s="183" t="s">
        <v>192</v>
      </c>
      <c r="C1" s="183" t="s">
        <v>193</v>
      </c>
      <c r="D1" s="183" t="s">
        <v>194</v>
      </c>
      <c r="E1" s="183" t="s">
        <v>195</v>
      </c>
      <c r="F1" s="183" t="s">
        <v>196</v>
      </c>
      <c r="G1" s="183" t="s">
        <v>197</v>
      </c>
      <c r="H1" s="183" t="s">
        <v>198</v>
      </c>
      <c r="I1" s="183" t="s">
        <v>199</v>
      </c>
      <c r="J1" s="183" t="s">
        <v>200</v>
      </c>
      <c r="K1" s="183" t="s">
        <v>201</v>
      </c>
      <c r="L1" s="183" t="s">
        <v>202</v>
      </c>
      <c r="M1" s="183" t="s">
        <v>203</v>
      </c>
      <c r="N1" s="183" t="s">
        <v>204</v>
      </c>
      <c r="O1" s="183" t="s">
        <v>205</v>
      </c>
      <c r="P1" s="183" t="s">
        <v>206</v>
      </c>
      <c r="Q1" s="183" t="s">
        <v>207</v>
      </c>
      <c r="R1" s="183" t="s">
        <v>208</v>
      </c>
      <c r="S1" s="183" t="s">
        <v>166</v>
      </c>
      <c r="T1" s="183" t="s">
        <v>209</v>
      </c>
      <c r="U1" s="183" t="s">
        <v>210</v>
      </c>
      <c r="V1" s="183" t="s">
        <v>211</v>
      </c>
      <c r="W1" s="183" t="s">
        <v>212</v>
      </c>
      <c r="X1" s="183" t="s">
        <v>213</v>
      </c>
      <c r="Y1" s="183" t="s">
        <v>214</v>
      </c>
      <c r="Z1" s="183" t="s">
        <v>215</v>
      </c>
      <c r="AA1" s="183" t="s">
        <v>216</v>
      </c>
      <c r="AB1" s="183" t="s">
        <v>217</v>
      </c>
      <c r="AC1" s="183" t="s">
        <v>218</v>
      </c>
      <c r="AD1" s="183" t="s">
        <v>219</v>
      </c>
      <c r="AE1"/>
    </row>
    <row r="2" spans="1:31" customFormat="1" x14ac:dyDescent="0.15">
      <c r="A2" s="182" t="s">
        <v>192</v>
      </c>
      <c r="B2" s="106">
        <v>0</v>
      </c>
      <c r="C2" s="106">
        <v>0</v>
      </c>
      <c r="D2" s="106">
        <v>0</v>
      </c>
      <c r="E2" s="106">
        <v>0</v>
      </c>
      <c r="F2" s="106">
        <v>0</v>
      </c>
      <c r="G2" s="106">
        <v>0</v>
      </c>
      <c r="H2" s="106">
        <v>0</v>
      </c>
      <c r="I2" s="106">
        <v>0</v>
      </c>
      <c r="J2" s="106">
        <v>0</v>
      </c>
      <c r="K2" s="106">
        <v>0</v>
      </c>
      <c r="L2" s="106">
        <v>0</v>
      </c>
      <c r="M2" s="106">
        <v>0</v>
      </c>
      <c r="N2" s="106">
        <v>0</v>
      </c>
      <c r="O2" s="106">
        <v>0</v>
      </c>
      <c r="P2" s="106">
        <v>0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</row>
    <row r="3" spans="1:31" customFormat="1" x14ac:dyDescent="0.15">
      <c r="A3" s="182" t="s">
        <v>193</v>
      </c>
      <c r="B3" s="106">
        <v>0</v>
      </c>
      <c r="C3" s="106">
        <v>0</v>
      </c>
      <c r="D3" s="106">
        <v>0</v>
      </c>
      <c r="E3" s="106">
        <v>0</v>
      </c>
      <c r="F3" s="106">
        <v>0</v>
      </c>
      <c r="G3" s="106">
        <v>0</v>
      </c>
      <c r="H3" s="106">
        <v>0</v>
      </c>
      <c r="I3" s="106">
        <v>0</v>
      </c>
      <c r="J3" s="106">
        <v>0</v>
      </c>
      <c r="K3" s="106">
        <v>0</v>
      </c>
      <c r="L3" s="106">
        <v>0</v>
      </c>
      <c r="M3" s="106">
        <v>0</v>
      </c>
      <c r="N3" s="106">
        <v>0</v>
      </c>
      <c r="O3" s="106">
        <v>0</v>
      </c>
      <c r="P3" s="106">
        <v>0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</row>
    <row r="4" spans="1:31" customFormat="1" x14ac:dyDescent="0.15">
      <c r="A4" s="182" t="s">
        <v>194</v>
      </c>
      <c r="B4" s="106">
        <v>0</v>
      </c>
      <c r="C4" s="106">
        <v>0</v>
      </c>
      <c r="D4" s="106">
        <v>0</v>
      </c>
      <c r="E4" s="106">
        <v>0</v>
      </c>
      <c r="F4" s="106">
        <v>0</v>
      </c>
      <c r="G4" s="106">
        <v>0</v>
      </c>
      <c r="H4" s="106">
        <v>0</v>
      </c>
      <c r="I4" s="106">
        <v>0</v>
      </c>
      <c r="J4" s="106">
        <v>0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</row>
    <row r="5" spans="1:31" customFormat="1" x14ac:dyDescent="0.15">
      <c r="A5" s="182" t="s">
        <v>195</v>
      </c>
      <c r="B5" s="106">
        <v>0</v>
      </c>
      <c r="C5" s="106">
        <v>0</v>
      </c>
      <c r="D5" s="106">
        <v>1</v>
      </c>
      <c r="E5" s="106">
        <v>0</v>
      </c>
      <c r="F5" s="106">
        <v>0</v>
      </c>
      <c r="G5" s="106">
        <v>0</v>
      </c>
      <c r="H5" s="106">
        <v>0</v>
      </c>
      <c r="I5" s="106">
        <v>0</v>
      </c>
      <c r="J5" s="106">
        <v>0</v>
      </c>
      <c r="K5" s="106">
        <v>0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  <c r="R5" s="106">
        <v>0</v>
      </c>
      <c r="S5" s="106">
        <v>0</v>
      </c>
      <c r="T5" s="106">
        <v>0</v>
      </c>
      <c r="U5" s="106">
        <v>0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</v>
      </c>
      <c r="AC5" s="106">
        <v>0</v>
      </c>
      <c r="AD5" s="106">
        <v>0</v>
      </c>
    </row>
    <row r="6" spans="1:31" customFormat="1" x14ac:dyDescent="0.15">
      <c r="A6" s="182" t="s">
        <v>196</v>
      </c>
      <c r="B6" s="106">
        <v>0</v>
      </c>
      <c r="C6" s="106">
        <v>0</v>
      </c>
      <c r="D6" s="106">
        <v>1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1</v>
      </c>
      <c r="O6" s="106">
        <v>0</v>
      </c>
      <c r="P6" s="106">
        <v>1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</row>
    <row r="7" spans="1:31" customFormat="1" x14ac:dyDescent="0.15">
      <c r="A7" s="182" t="s">
        <v>197</v>
      </c>
      <c r="B7" s="106">
        <v>0</v>
      </c>
      <c r="C7" s="106">
        <v>0</v>
      </c>
      <c r="D7" s="106">
        <v>1</v>
      </c>
      <c r="E7" s="106">
        <v>0</v>
      </c>
      <c r="F7" s="106">
        <v>1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1</v>
      </c>
      <c r="O7" s="106">
        <v>1</v>
      </c>
      <c r="P7" s="106">
        <v>1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</row>
    <row r="8" spans="1:31" customFormat="1" x14ac:dyDescent="0.15">
      <c r="A8" s="182" t="s">
        <v>198</v>
      </c>
      <c r="B8" s="106">
        <v>0</v>
      </c>
      <c r="C8" s="106">
        <v>0</v>
      </c>
      <c r="D8" s="106">
        <v>1</v>
      </c>
      <c r="E8" s="106">
        <v>0</v>
      </c>
      <c r="F8" s="106">
        <v>1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1</v>
      </c>
      <c r="O8" s="106">
        <v>1</v>
      </c>
      <c r="P8" s="106">
        <v>1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</row>
    <row r="9" spans="1:31" customFormat="1" x14ac:dyDescent="0.15">
      <c r="A9" s="182" t="s">
        <v>199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1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</row>
    <row r="10" spans="1:31" customFormat="1" x14ac:dyDescent="0.15">
      <c r="A10" s="182" t="s">
        <v>200</v>
      </c>
      <c r="B10" s="106">
        <v>1</v>
      </c>
      <c r="C10" s="106">
        <v>1</v>
      </c>
      <c r="D10" s="106">
        <v>1</v>
      </c>
      <c r="E10" s="106">
        <v>0</v>
      </c>
      <c r="F10" s="106">
        <v>1</v>
      </c>
      <c r="G10" s="106">
        <v>1</v>
      </c>
      <c r="H10" s="106">
        <v>1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1</v>
      </c>
      <c r="O10" s="106">
        <v>1</v>
      </c>
      <c r="P10" s="106">
        <v>1</v>
      </c>
      <c r="Q10" s="106">
        <v>1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</row>
    <row r="11" spans="1:31" customFormat="1" x14ac:dyDescent="0.15">
      <c r="A11" s="182" t="s">
        <v>201</v>
      </c>
      <c r="B11" s="106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1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</row>
    <row r="12" spans="1:31" customFormat="1" x14ac:dyDescent="0.15">
      <c r="A12" s="182" t="s">
        <v>202</v>
      </c>
      <c r="B12" s="106">
        <v>1</v>
      </c>
      <c r="C12" s="106">
        <v>1</v>
      </c>
      <c r="D12" s="106">
        <v>1</v>
      </c>
      <c r="E12" s="106">
        <v>0</v>
      </c>
      <c r="F12" s="106">
        <v>1</v>
      </c>
      <c r="G12" s="106">
        <v>1</v>
      </c>
      <c r="H12" s="106">
        <v>1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1</v>
      </c>
      <c r="O12" s="106">
        <v>1</v>
      </c>
      <c r="P12" s="106">
        <v>1</v>
      </c>
      <c r="Q12" s="106">
        <v>1</v>
      </c>
      <c r="R12" s="106">
        <v>0</v>
      </c>
      <c r="S12" s="106">
        <v>1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</row>
    <row r="13" spans="1:31" customFormat="1" x14ac:dyDescent="0.15">
      <c r="A13" s="182" t="s">
        <v>203</v>
      </c>
      <c r="B13" s="106">
        <v>1</v>
      </c>
      <c r="C13" s="106">
        <v>1</v>
      </c>
      <c r="D13" s="106">
        <v>1</v>
      </c>
      <c r="E13" s="106">
        <v>0</v>
      </c>
      <c r="F13" s="106">
        <v>1</v>
      </c>
      <c r="G13" s="106">
        <v>1</v>
      </c>
      <c r="H13" s="106">
        <v>1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1</v>
      </c>
      <c r="O13" s="106">
        <v>1</v>
      </c>
      <c r="P13" s="106">
        <v>1</v>
      </c>
      <c r="Q13" s="106">
        <v>1</v>
      </c>
      <c r="R13" s="106">
        <v>1</v>
      </c>
      <c r="S13" s="106">
        <v>1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</row>
    <row r="14" spans="1:31" customFormat="1" x14ac:dyDescent="0.15">
      <c r="A14" s="182" t="s">
        <v>204</v>
      </c>
      <c r="B14" s="106">
        <v>0</v>
      </c>
      <c r="C14" s="106">
        <v>0</v>
      </c>
      <c r="D14" s="106">
        <v>1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1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</row>
    <row r="15" spans="1:31" customFormat="1" x14ac:dyDescent="0.15">
      <c r="A15" s="182" t="s">
        <v>205</v>
      </c>
      <c r="B15" s="106">
        <v>1</v>
      </c>
      <c r="C15" s="106">
        <v>0</v>
      </c>
      <c r="D15" s="106">
        <v>1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1</v>
      </c>
      <c r="P15" s="106">
        <v>1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</row>
    <row r="16" spans="1:31" customFormat="1" x14ac:dyDescent="0.15">
      <c r="A16" s="182" t="s">
        <v>206</v>
      </c>
      <c r="B16" s="106">
        <v>0</v>
      </c>
      <c r="C16" s="106">
        <v>0</v>
      </c>
      <c r="D16" s="106">
        <v>1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</row>
    <row r="17" spans="1:30" customFormat="1" x14ac:dyDescent="0.15">
      <c r="A17" s="182" t="s">
        <v>207</v>
      </c>
      <c r="B17" s="106">
        <v>1</v>
      </c>
      <c r="C17" s="106">
        <v>0</v>
      </c>
      <c r="D17" s="106">
        <v>1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1</v>
      </c>
      <c r="P17" s="106">
        <v>1</v>
      </c>
      <c r="Q17" s="106">
        <v>1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</row>
    <row r="18" spans="1:30" customFormat="1" x14ac:dyDescent="0.15">
      <c r="A18" s="182" t="s">
        <v>208</v>
      </c>
      <c r="B18" s="106">
        <v>1</v>
      </c>
      <c r="C18" s="106">
        <v>1</v>
      </c>
      <c r="D18" s="106">
        <v>1</v>
      </c>
      <c r="E18" s="106">
        <v>1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1</v>
      </c>
      <c r="P18" s="106">
        <v>1</v>
      </c>
      <c r="Q18" s="106">
        <v>1</v>
      </c>
      <c r="R18" s="106">
        <v>1</v>
      </c>
      <c r="S18" s="106">
        <v>1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</row>
    <row r="19" spans="1:30" customFormat="1" x14ac:dyDescent="0.15">
      <c r="A19" s="182" t="s">
        <v>166</v>
      </c>
      <c r="B19" s="106">
        <v>0</v>
      </c>
      <c r="C19" s="106">
        <v>0</v>
      </c>
      <c r="D19" s="106">
        <v>1</v>
      </c>
      <c r="E19" s="106">
        <v>1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1</v>
      </c>
      <c r="M19" s="106">
        <v>0</v>
      </c>
      <c r="N19" s="106">
        <v>1</v>
      </c>
      <c r="O19" s="106">
        <v>0</v>
      </c>
      <c r="P19" s="106">
        <v>1</v>
      </c>
      <c r="Q19" s="106">
        <v>1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</row>
    <row r="20" spans="1:30" customFormat="1" x14ac:dyDescent="0.15">
      <c r="A20" s="182" t="s">
        <v>209</v>
      </c>
      <c r="B20" s="106">
        <v>0</v>
      </c>
      <c r="C20" s="106">
        <v>0</v>
      </c>
      <c r="D20" s="106">
        <v>1</v>
      </c>
      <c r="E20" s="106">
        <v>1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1</v>
      </c>
      <c r="O20" s="106">
        <v>0</v>
      </c>
      <c r="P20" s="106">
        <v>1</v>
      </c>
      <c r="Q20" s="106">
        <v>1</v>
      </c>
      <c r="R20" s="106">
        <v>1</v>
      </c>
      <c r="S20" s="106">
        <v>1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</row>
    <row r="21" spans="1:30" customFormat="1" x14ac:dyDescent="0.15">
      <c r="A21" s="182" t="s">
        <v>210</v>
      </c>
      <c r="B21" s="106">
        <v>0</v>
      </c>
      <c r="C21" s="106">
        <v>0</v>
      </c>
      <c r="D21" s="106">
        <v>1</v>
      </c>
      <c r="E21" s="106">
        <v>1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1</v>
      </c>
      <c r="Q21" s="106">
        <v>1</v>
      </c>
      <c r="R21" s="106">
        <v>1</v>
      </c>
      <c r="S21" s="106">
        <v>1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</row>
    <row r="22" spans="1:30" customFormat="1" x14ac:dyDescent="0.15">
      <c r="A22" s="182" t="s">
        <v>211</v>
      </c>
      <c r="B22" s="106">
        <v>0</v>
      </c>
      <c r="C22" s="106">
        <v>0</v>
      </c>
      <c r="D22" s="106">
        <v>1</v>
      </c>
      <c r="E22" s="106">
        <v>1</v>
      </c>
      <c r="F22" s="106">
        <v>0</v>
      </c>
      <c r="G22" s="106">
        <v>0</v>
      </c>
      <c r="H22" s="106">
        <v>0</v>
      </c>
      <c r="I22" s="106">
        <v>0</v>
      </c>
      <c r="J22" s="106">
        <v>1</v>
      </c>
      <c r="K22" s="106">
        <v>0</v>
      </c>
      <c r="L22" s="106">
        <v>1</v>
      </c>
      <c r="M22" s="106">
        <v>1</v>
      </c>
      <c r="N22" s="106">
        <v>1</v>
      </c>
      <c r="O22" s="106">
        <v>1</v>
      </c>
      <c r="P22" s="106">
        <v>1</v>
      </c>
      <c r="Q22" s="106">
        <v>1</v>
      </c>
      <c r="R22" s="106">
        <v>1</v>
      </c>
      <c r="S22" s="106">
        <v>1</v>
      </c>
      <c r="T22" s="106">
        <v>1</v>
      </c>
      <c r="U22" s="106">
        <v>1</v>
      </c>
      <c r="V22" s="106">
        <v>1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</row>
    <row r="23" spans="1:30" customFormat="1" x14ac:dyDescent="0.15">
      <c r="A23" s="182" t="s">
        <v>212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1</v>
      </c>
      <c r="O23" s="106">
        <v>0</v>
      </c>
      <c r="P23" s="106">
        <v>1</v>
      </c>
      <c r="Q23" s="106">
        <v>1</v>
      </c>
      <c r="R23" s="106">
        <v>1</v>
      </c>
      <c r="S23" s="106">
        <v>0</v>
      </c>
      <c r="T23" s="106">
        <v>1</v>
      </c>
      <c r="U23" s="106">
        <v>1</v>
      </c>
      <c r="V23" s="106">
        <v>1</v>
      </c>
      <c r="W23" s="106">
        <v>1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</row>
    <row r="24" spans="1:30" customFormat="1" x14ac:dyDescent="0.15">
      <c r="A24" s="182" t="s">
        <v>213</v>
      </c>
      <c r="B24" s="106">
        <v>0</v>
      </c>
      <c r="C24" s="106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1</v>
      </c>
      <c r="I24" s="106">
        <v>0</v>
      </c>
      <c r="J24" s="106">
        <v>1</v>
      </c>
      <c r="K24" s="106">
        <v>0</v>
      </c>
      <c r="L24" s="106">
        <v>0</v>
      </c>
      <c r="M24" s="106">
        <v>1</v>
      </c>
      <c r="N24" s="106">
        <v>0</v>
      </c>
      <c r="O24" s="106">
        <v>1</v>
      </c>
      <c r="P24" s="106">
        <v>0</v>
      </c>
      <c r="Q24" s="106">
        <v>1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</row>
    <row r="25" spans="1:30" customFormat="1" x14ac:dyDescent="0.15">
      <c r="A25" s="182" t="s">
        <v>214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1</v>
      </c>
      <c r="H25" s="106">
        <v>1</v>
      </c>
      <c r="I25" s="106">
        <v>0</v>
      </c>
      <c r="J25" s="106">
        <v>0</v>
      </c>
      <c r="K25" s="106">
        <v>1</v>
      </c>
      <c r="L25" s="106">
        <v>1</v>
      </c>
      <c r="M25" s="106">
        <v>1</v>
      </c>
      <c r="N25" s="106">
        <v>0</v>
      </c>
      <c r="O25" s="106">
        <v>0</v>
      </c>
      <c r="P25" s="106">
        <v>0</v>
      </c>
      <c r="Q25" s="106">
        <v>1</v>
      </c>
      <c r="R25" s="106">
        <v>1</v>
      </c>
      <c r="S25" s="106">
        <v>1</v>
      </c>
      <c r="T25" s="106">
        <v>1</v>
      </c>
      <c r="U25" s="106">
        <v>0</v>
      </c>
      <c r="V25" s="106">
        <v>1</v>
      </c>
      <c r="W25" s="106">
        <v>1</v>
      </c>
      <c r="X25" s="106">
        <v>1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</row>
    <row r="26" spans="1:30" customFormat="1" x14ac:dyDescent="0.15">
      <c r="A26" s="182" t="s">
        <v>215</v>
      </c>
      <c r="B26" s="106">
        <v>0</v>
      </c>
      <c r="C26" s="106">
        <v>0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1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1</v>
      </c>
      <c r="W26" s="106">
        <v>1</v>
      </c>
      <c r="X26" s="106">
        <v>1</v>
      </c>
      <c r="Y26" s="106">
        <v>1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</row>
    <row r="27" spans="1:30" customFormat="1" x14ac:dyDescent="0.15">
      <c r="A27" s="182" t="s">
        <v>216</v>
      </c>
      <c r="B27" s="106">
        <v>0</v>
      </c>
      <c r="C27" s="106">
        <v>0</v>
      </c>
      <c r="D27" s="106">
        <v>0</v>
      </c>
      <c r="E27" s="106">
        <v>0</v>
      </c>
      <c r="F27" s="106">
        <v>0</v>
      </c>
      <c r="G27" s="106">
        <v>1</v>
      </c>
      <c r="H27" s="106">
        <v>0</v>
      </c>
      <c r="I27" s="106">
        <v>1</v>
      </c>
      <c r="J27" s="106">
        <v>1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1</v>
      </c>
      <c r="R27" s="106">
        <v>1</v>
      </c>
      <c r="S27" s="106">
        <v>0</v>
      </c>
      <c r="T27" s="106">
        <v>0</v>
      </c>
      <c r="U27" s="106">
        <v>0</v>
      </c>
      <c r="V27" s="106">
        <v>1</v>
      </c>
      <c r="W27" s="106">
        <v>0</v>
      </c>
      <c r="X27" s="106">
        <v>1</v>
      </c>
      <c r="Y27" s="106">
        <v>1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</row>
    <row r="28" spans="1:30" customFormat="1" x14ac:dyDescent="0.15">
      <c r="A28" s="182" t="s">
        <v>217</v>
      </c>
      <c r="B28" s="106">
        <v>0</v>
      </c>
      <c r="C28" s="106">
        <v>0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1</v>
      </c>
      <c r="R28" s="106">
        <v>0</v>
      </c>
      <c r="S28" s="106">
        <v>0</v>
      </c>
      <c r="T28" s="106">
        <v>0</v>
      </c>
      <c r="U28" s="106">
        <v>0</v>
      </c>
      <c r="V28" s="106">
        <v>1</v>
      </c>
      <c r="W28" s="106">
        <v>1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</row>
    <row r="29" spans="1:30" customFormat="1" x14ac:dyDescent="0.15">
      <c r="A29" s="182" t="s">
        <v>218</v>
      </c>
      <c r="B29" s="106">
        <v>0</v>
      </c>
      <c r="C29" s="106">
        <v>0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1</v>
      </c>
      <c r="N29" s="106">
        <v>0</v>
      </c>
      <c r="O29" s="106">
        <v>0</v>
      </c>
      <c r="P29" s="106">
        <v>1</v>
      </c>
      <c r="Q29" s="106">
        <v>1</v>
      </c>
      <c r="R29" s="106">
        <v>1</v>
      </c>
      <c r="S29" s="106">
        <v>0</v>
      </c>
      <c r="T29" s="106">
        <v>1</v>
      </c>
      <c r="U29" s="106">
        <v>1</v>
      </c>
      <c r="V29" s="106">
        <v>1</v>
      </c>
      <c r="W29" s="106">
        <v>1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</row>
    <row r="30" spans="1:30" customFormat="1" x14ac:dyDescent="0.15">
      <c r="A30" s="182" t="s">
        <v>219</v>
      </c>
      <c r="B30" s="106">
        <v>0</v>
      </c>
      <c r="C30" s="106">
        <v>0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</row>
    <row r="31" spans="1:30" customFormat="1" x14ac:dyDescent="0.15">
      <c r="A31" s="182" t="s">
        <v>221</v>
      </c>
      <c r="B31" s="106">
        <v>0</v>
      </c>
      <c r="C31" s="106">
        <v>0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5" t="s">
        <v>220</v>
      </c>
    </row>
    <row r="2" spans="1:3" x14ac:dyDescent="0.15">
      <c r="A2">
        <v>1</v>
      </c>
      <c r="B2" s="184" t="s">
        <v>192</v>
      </c>
      <c r="C2">
        <v>0</v>
      </c>
    </row>
    <row r="3" spans="1:3" x14ac:dyDescent="0.15">
      <c r="A3">
        <v>2</v>
      </c>
      <c r="B3" s="184" t="s">
        <v>193</v>
      </c>
      <c r="C3">
        <v>0</v>
      </c>
    </row>
    <row r="4" spans="1:3" x14ac:dyDescent="0.15">
      <c r="A4">
        <v>3</v>
      </c>
      <c r="B4" s="184" t="s">
        <v>194</v>
      </c>
      <c r="C4">
        <v>0.8</v>
      </c>
    </row>
    <row r="5" spans="1:3" x14ac:dyDescent="0.15">
      <c r="A5">
        <v>4</v>
      </c>
      <c r="B5" s="184" t="s">
        <v>195</v>
      </c>
      <c r="C5">
        <v>0.8</v>
      </c>
    </row>
    <row r="6" spans="1:3" x14ac:dyDescent="0.15">
      <c r="A6">
        <v>5</v>
      </c>
      <c r="B6" s="184" t="s">
        <v>196</v>
      </c>
      <c r="C6">
        <v>0.8</v>
      </c>
    </row>
    <row r="7" spans="1:3" x14ac:dyDescent="0.15">
      <c r="A7">
        <v>6</v>
      </c>
      <c r="B7" s="184" t="s">
        <v>197</v>
      </c>
      <c r="C7">
        <v>0.8</v>
      </c>
    </row>
    <row r="8" spans="1:3" x14ac:dyDescent="0.15">
      <c r="A8">
        <v>7</v>
      </c>
      <c r="B8" s="184" t="s">
        <v>198</v>
      </c>
      <c r="C8">
        <v>0</v>
      </c>
    </row>
    <row r="9" spans="1:3" x14ac:dyDescent="0.15">
      <c r="A9">
        <v>8</v>
      </c>
      <c r="B9" s="184" t="s">
        <v>199</v>
      </c>
      <c r="C9">
        <v>0</v>
      </c>
    </row>
    <row r="10" spans="1:3" x14ac:dyDescent="0.15">
      <c r="A10">
        <v>9</v>
      </c>
      <c r="B10" s="184" t="s">
        <v>200</v>
      </c>
      <c r="C10">
        <v>0.8</v>
      </c>
    </row>
    <row r="11" spans="1:3" x14ac:dyDescent="0.15">
      <c r="A11">
        <v>10</v>
      </c>
      <c r="B11" s="184" t="s">
        <v>201</v>
      </c>
      <c r="C11">
        <v>0</v>
      </c>
    </row>
    <row r="12" spans="1:3" x14ac:dyDescent="0.15">
      <c r="A12">
        <v>11</v>
      </c>
      <c r="B12" s="184" t="s">
        <v>202</v>
      </c>
      <c r="C12">
        <v>0</v>
      </c>
    </row>
    <row r="13" spans="1:3" x14ac:dyDescent="0.15">
      <c r="A13">
        <v>12</v>
      </c>
      <c r="B13" s="184" t="s">
        <v>203</v>
      </c>
      <c r="C13">
        <v>0.8</v>
      </c>
    </row>
    <row r="14" spans="1:3" x14ac:dyDescent="0.15">
      <c r="A14">
        <v>13</v>
      </c>
      <c r="B14" s="184" t="s">
        <v>204</v>
      </c>
      <c r="C14">
        <v>0.8</v>
      </c>
    </row>
    <row r="15" spans="1:3" x14ac:dyDescent="0.15">
      <c r="A15">
        <v>14</v>
      </c>
      <c r="B15" s="184" t="s">
        <v>205</v>
      </c>
      <c r="C15">
        <v>0</v>
      </c>
    </row>
    <row r="16" spans="1:3" x14ac:dyDescent="0.15">
      <c r="A16">
        <v>15</v>
      </c>
      <c r="B16" s="184" t="s">
        <v>206</v>
      </c>
      <c r="C16">
        <v>0.8</v>
      </c>
    </row>
    <row r="17" spans="1:3" x14ac:dyDescent="0.15">
      <c r="A17">
        <v>16</v>
      </c>
      <c r="B17" s="184" t="s">
        <v>207</v>
      </c>
      <c r="C17">
        <v>0.8</v>
      </c>
    </row>
    <row r="18" spans="1:3" x14ac:dyDescent="0.15">
      <c r="A18">
        <v>17</v>
      </c>
      <c r="B18" s="184" t="s">
        <v>208</v>
      </c>
      <c r="C18">
        <v>0.8</v>
      </c>
    </row>
    <row r="19" spans="1:3" x14ac:dyDescent="0.15">
      <c r="A19">
        <v>18</v>
      </c>
      <c r="B19" s="184" t="s">
        <v>166</v>
      </c>
      <c r="C19">
        <v>0</v>
      </c>
    </row>
    <row r="20" spans="1:3" x14ac:dyDescent="0.15">
      <c r="A20">
        <v>19</v>
      </c>
      <c r="B20" s="184" t="s">
        <v>209</v>
      </c>
      <c r="C20">
        <v>0</v>
      </c>
    </row>
    <row r="21" spans="1:3" x14ac:dyDescent="0.15">
      <c r="A21">
        <v>20</v>
      </c>
      <c r="B21" s="184" t="s">
        <v>210</v>
      </c>
      <c r="C21">
        <v>0</v>
      </c>
    </row>
    <row r="22" spans="1:3" x14ac:dyDescent="0.15">
      <c r="A22">
        <v>21</v>
      </c>
      <c r="B22" s="184" t="s">
        <v>211</v>
      </c>
      <c r="C22">
        <v>0</v>
      </c>
    </row>
    <row r="23" spans="1:3" x14ac:dyDescent="0.15">
      <c r="A23">
        <v>22</v>
      </c>
      <c r="B23" s="184" t="s">
        <v>212</v>
      </c>
      <c r="C23">
        <v>0</v>
      </c>
    </row>
    <row r="24" spans="1:3" x14ac:dyDescent="0.15">
      <c r="A24">
        <v>23</v>
      </c>
      <c r="B24" s="184" t="s">
        <v>213</v>
      </c>
      <c r="C24">
        <v>0</v>
      </c>
    </row>
    <row r="25" spans="1:3" x14ac:dyDescent="0.15">
      <c r="A25">
        <v>24</v>
      </c>
      <c r="B25" s="184" t="s">
        <v>214</v>
      </c>
      <c r="C25">
        <v>0</v>
      </c>
    </row>
    <row r="26" spans="1:3" x14ac:dyDescent="0.15">
      <c r="A26">
        <v>25</v>
      </c>
      <c r="B26" s="184" t="s">
        <v>215</v>
      </c>
      <c r="C26">
        <v>0</v>
      </c>
    </row>
    <row r="27" spans="1:3" x14ac:dyDescent="0.15">
      <c r="A27">
        <v>26</v>
      </c>
      <c r="B27" s="184" t="s">
        <v>216</v>
      </c>
      <c r="C27">
        <v>0</v>
      </c>
    </row>
    <row r="28" spans="1:3" x14ac:dyDescent="0.15">
      <c r="A28">
        <v>27</v>
      </c>
      <c r="B28" s="184" t="s">
        <v>217</v>
      </c>
      <c r="C28">
        <v>0</v>
      </c>
    </row>
    <row r="29" spans="1:3" x14ac:dyDescent="0.15">
      <c r="A29">
        <v>28</v>
      </c>
      <c r="B29" s="184" t="s">
        <v>218</v>
      </c>
      <c r="C29">
        <v>0</v>
      </c>
    </row>
    <row r="30" spans="1:3" x14ac:dyDescent="0.15">
      <c r="A30">
        <v>29</v>
      </c>
      <c r="B30" s="184" t="s">
        <v>219</v>
      </c>
      <c r="C3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7" t="s">
        <v>220</v>
      </c>
    </row>
    <row r="2" spans="1:3" x14ac:dyDescent="0.15">
      <c r="A2">
        <v>1</v>
      </c>
      <c r="B2" s="186" t="s">
        <v>192</v>
      </c>
      <c r="C2">
        <v>0</v>
      </c>
    </row>
    <row r="3" spans="1:3" x14ac:dyDescent="0.15">
      <c r="A3">
        <v>2</v>
      </c>
      <c r="B3" s="186" t="s">
        <v>193</v>
      </c>
      <c r="C3">
        <v>0</v>
      </c>
    </row>
    <row r="4" spans="1:3" x14ac:dyDescent="0.15">
      <c r="A4">
        <v>3</v>
      </c>
      <c r="B4" s="186" t="s">
        <v>194</v>
      </c>
      <c r="C4">
        <v>0.8</v>
      </c>
    </row>
    <row r="5" spans="1:3" x14ac:dyDescent="0.15">
      <c r="A5">
        <v>4</v>
      </c>
      <c r="B5" s="186" t="s">
        <v>195</v>
      </c>
      <c r="C5">
        <v>0.8</v>
      </c>
    </row>
    <row r="6" spans="1:3" x14ac:dyDescent="0.15">
      <c r="A6">
        <v>5</v>
      </c>
      <c r="B6" s="186" t="s">
        <v>196</v>
      </c>
      <c r="C6">
        <v>0.8</v>
      </c>
    </row>
    <row r="7" spans="1:3" x14ac:dyDescent="0.15">
      <c r="A7">
        <v>6</v>
      </c>
      <c r="B7" s="186" t="s">
        <v>197</v>
      </c>
      <c r="C7">
        <v>0.8</v>
      </c>
    </row>
    <row r="8" spans="1:3" x14ac:dyDescent="0.15">
      <c r="A8">
        <v>7</v>
      </c>
      <c r="B8" s="186" t="s">
        <v>198</v>
      </c>
      <c r="C8">
        <v>0</v>
      </c>
    </row>
    <row r="9" spans="1:3" x14ac:dyDescent="0.15">
      <c r="A9">
        <v>8</v>
      </c>
      <c r="B9" s="186" t="s">
        <v>199</v>
      </c>
      <c r="C9">
        <v>0</v>
      </c>
    </row>
    <row r="10" spans="1:3" x14ac:dyDescent="0.15">
      <c r="A10">
        <v>9</v>
      </c>
      <c r="B10" s="186" t="s">
        <v>200</v>
      </c>
      <c r="C10">
        <v>0.8</v>
      </c>
    </row>
    <row r="11" spans="1:3" x14ac:dyDescent="0.15">
      <c r="A11">
        <v>10</v>
      </c>
      <c r="B11" s="186" t="s">
        <v>201</v>
      </c>
      <c r="C11">
        <v>0</v>
      </c>
    </row>
    <row r="12" spans="1:3" x14ac:dyDescent="0.15">
      <c r="A12">
        <v>11</v>
      </c>
      <c r="B12" s="186" t="s">
        <v>202</v>
      </c>
      <c r="C12">
        <v>0</v>
      </c>
    </row>
    <row r="13" spans="1:3" x14ac:dyDescent="0.15">
      <c r="A13">
        <v>12</v>
      </c>
      <c r="B13" s="186" t="s">
        <v>203</v>
      </c>
      <c r="C13">
        <v>0.8</v>
      </c>
    </row>
    <row r="14" spans="1:3" x14ac:dyDescent="0.15">
      <c r="A14">
        <v>13</v>
      </c>
      <c r="B14" s="186" t="s">
        <v>204</v>
      </c>
      <c r="C14">
        <v>0.8</v>
      </c>
    </row>
    <row r="15" spans="1:3" x14ac:dyDescent="0.15">
      <c r="A15">
        <v>14</v>
      </c>
      <c r="B15" s="186" t="s">
        <v>205</v>
      </c>
      <c r="C15">
        <v>0</v>
      </c>
    </row>
    <row r="16" spans="1:3" x14ac:dyDescent="0.15">
      <c r="A16">
        <v>15</v>
      </c>
      <c r="B16" s="186" t="s">
        <v>206</v>
      </c>
      <c r="C16">
        <v>0.8</v>
      </c>
    </row>
    <row r="17" spans="1:3" x14ac:dyDescent="0.15">
      <c r="A17">
        <v>16</v>
      </c>
      <c r="B17" s="186" t="s">
        <v>207</v>
      </c>
      <c r="C17">
        <v>0.8</v>
      </c>
    </row>
    <row r="18" spans="1:3" x14ac:dyDescent="0.15">
      <c r="A18">
        <v>17</v>
      </c>
      <c r="B18" s="186" t="s">
        <v>208</v>
      </c>
      <c r="C18">
        <v>0.8</v>
      </c>
    </row>
    <row r="19" spans="1:3" x14ac:dyDescent="0.15">
      <c r="A19">
        <v>18</v>
      </c>
      <c r="B19" s="186" t="s">
        <v>166</v>
      </c>
      <c r="C19">
        <v>0</v>
      </c>
    </row>
    <row r="20" spans="1:3" x14ac:dyDescent="0.15">
      <c r="A20">
        <v>19</v>
      </c>
      <c r="B20" s="186" t="s">
        <v>209</v>
      </c>
      <c r="C20">
        <v>0</v>
      </c>
    </row>
    <row r="21" spans="1:3" x14ac:dyDescent="0.15">
      <c r="A21">
        <v>20</v>
      </c>
      <c r="B21" s="186" t="s">
        <v>210</v>
      </c>
      <c r="C21">
        <v>0</v>
      </c>
    </row>
    <row r="22" spans="1:3" x14ac:dyDescent="0.15">
      <c r="A22">
        <v>21</v>
      </c>
      <c r="B22" s="186" t="s">
        <v>211</v>
      </c>
      <c r="C22">
        <v>0</v>
      </c>
    </row>
    <row r="23" spans="1:3" x14ac:dyDescent="0.15">
      <c r="A23">
        <v>22</v>
      </c>
      <c r="B23" s="186" t="s">
        <v>212</v>
      </c>
      <c r="C23">
        <v>0</v>
      </c>
    </row>
    <row r="24" spans="1:3" x14ac:dyDescent="0.15">
      <c r="A24">
        <v>23</v>
      </c>
      <c r="B24" s="186" t="s">
        <v>213</v>
      </c>
      <c r="C24">
        <v>0</v>
      </c>
    </row>
    <row r="25" spans="1:3" x14ac:dyDescent="0.15">
      <c r="A25">
        <v>24</v>
      </c>
      <c r="B25" s="186" t="s">
        <v>214</v>
      </c>
      <c r="C25">
        <v>0</v>
      </c>
    </row>
    <row r="26" spans="1:3" x14ac:dyDescent="0.15">
      <c r="A26">
        <v>25</v>
      </c>
      <c r="B26" s="186" t="s">
        <v>215</v>
      </c>
      <c r="C26">
        <v>0</v>
      </c>
    </row>
    <row r="27" spans="1:3" x14ac:dyDescent="0.15">
      <c r="A27">
        <v>26</v>
      </c>
      <c r="B27" s="186" t="s">
        <v>216</v>
      </c>
      <c r="C27">
        <v>0</v>
      </c>
    </row>
    <row r="28" spans="1:3" x14ac:dyDescent="0.15">
      <c r="A28">
        <v>27</v>
      </c>
      <c r="B28" s="186" t="s">
        <v>217</v>
      </c>
      <c r="C28">
        <v>0</v>
      </c>
    </row>
    <row r="29" spans="1:3" x14ac:dyDescent="0.15">
      <c r="A29">
        <v>28</v>
      </c>
      <c r="B29" s="186" t="s">
        <v>218</v>
      </c>
      <c r="C29">
        <v>0</v>
      </c>
    </row>
    <row r="30" spans="1:3" x14ac:dyDescent="0.15">
      <c r="A30">
        <v>29</v>
      </c>
      <c r="B30" s="186" t="s">
        <v>219</v>
      </c>
      <c r="C3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8" sqref="K8"/>
    </sheetView>
  </sheetViews>
  <sheetFormatPr baseColWidth="10" defaultColWidth="8.83203125" defaultRowHeight="15" customHeight="1" x14ac:dyDescent="0.15"/>
  <cols>
    <col min="1" max="1" width="8.83203125" style="79"/>
    <col min="2" max="2" width="41.83203125" style="79" bestFit="1" customWidth="1"/>
    <col min="3" max="3" width="9.33203125" style="79" bestFit="1" customWidth="1"/>
    <col min="4" max="4" width="13" style="79" bestFit="1" customWidth="1"/>
    <col min="5" max="6" width="9.33203125" style="79" bestFit="1" customWidth="1"/>
    <col min="7" max="7" width="9.33203125" style="95" bestFit="1" customWidth="1"/>
    <col min="8" max="8" width="9.33203125" style="79" bestFit="1" customWidth="1"/>
    <col min="9" max="9" width="11" style="79" customWidth="1"/>
    <col min="10" max="10" width="8.83203125" style="79"/>
    <col min="15" max="16384" width="8.83203125" style="79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39">
        <v>1</v>
      </c>
      <c r="B2" s="139" t="s">
        <v>192</v>
      </c>
      <c r="C2" s="8">
        <v>3.3931262493133545</v>
      </c>
      <c r="D2" s="9">
        <v>4.4390237890183926E-3</v>
      </c>
      <c r="E2" s="9">
        <v>9.0000003576278687E-2</v>
      </c>
      <c r="F2" s="9">
        <v>28</v>
      </c>
      <c r="G2" s="7">
        <v>0</v>
      </c>
      <c r="H2" s="9">
        <v>3.2142859417945147E-3</v>
      </c>
      <c r="I2">
        <v>0</v>
      </c>
      <c r="J2"/>
    </row>
    <row r="3" spans="1:10" ht="15" customHeight="1" x14ac:dyDescent="0.15">
      <c r="A3" s="140">
        <v>2</v>
      </c>
      <c r="B3" s="140" t="s">
        <v>193</v>
      </c>
      <c r="C3" s="8">
        <v>3.3952100276947021</v>
      </c>
      <c r="D3" s="9">
        <v>0.56341463327407837</v>
      </c>
      <c r="E3" s="9">
        <v>3.9999999105930328E-2</v>
      </c>
      <c r="F3" s="9">
        <v>62</v>
      </c>
      <c r="G3" s="7">
        <v>0</v>
      </c>
      <c r="H3" s="9">
        <v>6.4516125712543726E-4</v>
      </c>
      <c r="I3">
        <v>0</v>
      </c>
      <c r="J3"/>
    </row>
    <row r="4" spans="1:10" ht="15" customHeight="1" x14ac:dyDescent="0.15">
      <c r="A4" s="141">
        <v>3</v>
      </c>
      <c r="B4" s="141" t="s">
        <v>194</v>
      </c>
      <c r="C4" s="8">
        <v>3.9056518077850342</v>
      </c>
      <c r="D4" s="9">
        <v>0.57743895053863525</v>
      </c>
      <c r="E4" s="9">
        <v>0.20000000298023224</v>
      </c>
      <c r="F4" s="9">
        <v>1</v>
      </c>
      <c r="G4" s="9">
        <v>0.10000000894069672</v>
      </c>
      <c r="H4" s="9">
        <v>0.20000000298023224</v>
      </c>
      <c r="I4">
        <v>1.1548779904842377E-2</v>
      </c>
      <c r="J4"/>
    </row>
    <row r="5" spans="1:10" ht="15" customHeight="1" x14ac:dyDescent="0.15">
      <c r="A5" s="142">
        <v>4</v>
      </c>
      <c r="B5" s="142" t="s">
        <v>195</v>
      </c>
      <c r="C5" s="8">
        <v>3.770841121673584</v>
      </c>
      <c r="D5" s="9">
        <v>0.42131239175796509</v>
      </c>
      <c r="E5" s="9">
        <v>0.5</v>
      </c>
      <c r="F5" s="9">
        <v>2.5</v>
      </c>
      <c r="G5" s="9">
        <v>5.000000074505806E-2</v>
      </c>
      <c r="H5" s="9">
        <v>0.20000000298023224</v>
      </c>
      <c r="I5">
        <v>3.6585370544344187E-3</v>
      </c>
      <c r="J5"/>
    </row>
    <row r="6" spans="1:10" ht="15" customHeight="1" x14ac:dyDescent="0.15">
      <c r="A6" s="143">
        <v>5</v>
      </c>
      <c r="B6" s="143" t="s">
        <v>196</v>
      </c>
      <c r="C6" s="8">
        <v>3.4684586524963379</v>
      </c>
      <c r="D6" s="9">
        <v>7.869999885559082</v>
      </c>
      <c r="E6" s="9">
        <v>0.20000000298023224</v>
      </c>
      <c r="F6" s="9">
        <v>1</v>
      </c>
      <c r="G6" s="9">
        <v>0.26617598533630371</v>
      </c>
      <c r="H6" s="9">
        <v>0.20000000298023224</v>
      </c>
      <c r="I6">
        <v>0.38780486583709717</v>
      </c>
      <c r="J6"/>
    </row>
    <row r="7" spans="1:10" ht="15" customHeight="1" x14ac:dyDescent="0.15">
      <c r="A7" s="144">
        <v>6</v>
      </c>
      <c r="B7" s="144" t="s">
        <v>197</v>
      </c>
      <c r="C7" s="8">
        <v>3.1827044486999512</v>
      </c>
      <c r="D7" s="9">
        <v>2.7999999523162842</v>
      </c>
      <c r="E7" s="9">
        <v>0.85000002384185791</v>
      </c>
      <c r="F7" s="9">
        <v>10</v>
      </c>
      <c r="G7" s="9">
        <v>0.11205810308456421</v>
      </c>
      <c r="H7" s="9">
        <v>8.5000000894069672E-2</v>
      </c>
      <c r="I7">
        <v>2.804877981543541E-2</v>
      </c>
      <c r="J7"/>
    </row>
    <row r="8" spans="1:10" ht="15" customHeight="1" x14ac:dyDescent="0.15">
      <c r="A8" s="145">
        <v>7</v>
      </c>
      <c r="B8" s="145" t="s">
        <v>198</v>
      </c>
      <c r="C8" s="8">
        <v>3.3006308078765869</v>
      </c>
      <c r="D8" s="9">
        <v>12.680000305175781</v>
      </c>
      <c r="E8" s="9">
        <v>0.85000002384185791</v>
      </c>
      <c r="F8" s="9">
        <v>10</v>
      </c>
      <c r="G8" s="9">
        <v>3.7541288882493973E-2</v>
      </c>
      <c r="H8" s="9">
        <v>8.5000000894069672E-2</v>
      </c>
      <c r="I8">
        <v>0</v>
      </c>
      <c r="J8"/>
    </row>
    <row r="9" spans="1:10" ht="15" customHeight="1" x14ac:dyDescent="0.15">
      <c r="A9" s="146">
        <v>8</v>
      </c>
      <c r="B9" s="146" t="s">
        <v>199</v>
      </c>
      <c r="C9" s="8">
        <v>2</v>
      </c>
      <c r="D9" s="9">
        <v>0.23097918927669525</v>
      </c>
      <c r="E9" s="9">
        <v>7</v>
      </c>
      <c r="F9" s="9">
        <v>102.04433441162109</v>
      </c>
      <c r="G9" s="9">
        <v>1.484215259552002E-2</v>
      </c>
      <c r="H9" s="9">
        <v>6.8597637116909027E-2</v>
      </c>
      <c r="I9">
        <v>0</v>
      </c>
      <c r="J9"/>
    </row>
    <row r="10" spans="1:10" ht="15" customHeight="1" x14ac:dyDescent="0.15">
      <c r="A10" s="147">
        <v>9</v>
      </c>
      <c r="B10" s="147" t="s">
        <v>200</v>
      </c>
      <c r="C10" s="8">
        <v>2.2226576805114746</v>
      </c>
      <c r="D10" s="9">
        <v>75</v>
      </c>
      <c r="E10" s="9">
        <v>1.7999999523162842</v>
      </c>
      <c r="F10" s="9">
        <v>15</v>
      </c>
      <c r="G10" s="9">
        <v>0.95837503671646118</v>
      </c>
      <c r="H10" s="9">
        <v>0.11999999731779099</v>
      </c>
      <c r="I10">
        <v>6.0975612141191959E-3</v>
      </c>
      <c r="J10"/>
    </row>
    <row r="11" spans="1:10" ht="15" customHeight="1" x14ac:dyDescent="0.15">
      <c r="A11" s="148">
        <v>10</v>
      </c>
      <c r="B11" s="148" t="s">
        <v>201</v>
      </c>
      <c r="C11" s="8">
        <v>3</v>
      </c>
      <c r="D11" s="9">
        <v>4.1220147162675858E-2</v>
      </c>
      <c r="E11" s="9">
        <v>7</v>
      </c>
      <c r="F11" s="9">
        <v>97.92669677734375</v>
      </c>
      <c r="G11" s="9">
        <v>0.38985356688499451</v>
      </c>
      <c r="H11" s="9">
        <v>7.1482039988040924E-2</v>
      </c>
      <c r="I11">
        <v>0</v>
      </c>
      <c r="J11"/>
    </row>
    <row r="12" spans="1:10" ht="15" customHeight="1" x14ac:dyDescent="0.15">
      <c r="A12" s="149">
        <v>11</v>
      </c>
      <c r="B12" s="149" t="s">
        <v>202</v>
      </c>
      <c r="C12" s="8">
        <v>2.981381893157959</v>
      </c>
      <c r="D12" s="9">
        <v>20</v>
      </c>
      <c r="E12" s="9">
        <v>1.7999999523162842</v>
      </c>
      <c r="F12" s="9">
        <v>12</v>
      </c>
      <c r="G12" s="9">
        <v>0.48602974414825439</v>
      </c>
      <c r="H12" s="9">
        <v>0.14999999105930328</v>
      </c>
      <c r="I12">
        <v>0</v>
      </c>
      <c r="J12"/>
    </row>
    <row r="13" spans="1:10" ht="15" customHeight="1" x14ac:dyDescent="0.15">
      <c r="A13" s="150">
        <v>12</v>
      </c>
      <c r="B13" s="150" t="s">
        <v>203</v>
      </c>
      <c r="C13" s="8">
        <v>3.0785319805145264</v>
      </c>
      <c r="D13" s="9">
        <v>8.3646459579467773</v>
      </c>
      <c r="E13" s="9">
        <v>1.7999999523162842</v>
      </c>
      <c r="F13" s="9">
        <v>7.1999998092651367</v>
      </c>
      <c r="G13" s="9">
        <v>0.89999556541442871</v>
      </c>
      <c r="H13" s="9">
        <v>0.25</v>
      </c>
      <c r="I13">
        <v>7.6109759509563446E-2</v>
      </c>
      <c r="J13"/>
    </row>
    <row r="14" spans="1:10" ht="15" customHeight="1" x14ac:dyDescent="0.15">
      <c r="A14" s="151">
        <v>13</v>
      </c>
      <c r="B14" s="151" t="s">
        <v>204</v>
      </c>
      <c r="C14" s="8">
        <v>3.6111350059509277</v>
      </c>
      <c r="D14" s="9">
        <v>2.2472591400146484</v>
      </c>
      <c r="E14" s="9">
        <v>0.10000000149011612</v>
      </c>
      <c r="F14" s="9">
        <v>0.5</v>
      </c>
      <c r="G14" s="9">
        <v>0.10000000149011612</v>
      </c>
      <c r="H14" s="9">
        <v>0.20000000298023224</v>
      </c>
      <c r="I14">
        <v>8.4512196481227875E-3</v>
      </c>
      <c r="J14"/>
    </row>
    <row r="15" spans="1:10" ht="15" customHeight="1" x14ac:dyDescent="0.15">
      <c r="A15" s="152">
        <v>14</v>
      </c>
      <c r="B15" s="152" t="s">
        <v>205</v>
      </c>
      <c r="C15" s="8">
        <v>3.3252303600311279</v>
      </c>
      <c r="D15" s="9">
        <v>3.2799999713897705</v>
      </c>
      <c r="E15" s="9">
        <v>0.30000001192092896</v>
      </c>
      <c r="F15" s="9">
        <v>1.5</v>
      </c>
      <c r="G15" s="9">
        <v>0.11006500571966171</v>
      </c>
      <c r="H15" s="9">
        <v>0.20000000298023224</v>
      </c>
      <c r="I15">
        <v>0</v>
      </c>
      <c r="J15"/>
    </row>
    <row r="16" spans="1:10" ht="15" customHeight="1" x14ac:dyDescent="0.15">
      <c r="A16" s="153">
        <v>15</v>
      </c>
      <c r="B16" s="153" t="s">
        <v>206</v>
      </c>
      <c r="C16" s="8">
        <v>3.8034071922302246</v>
      </c>
      <c r="D16" s="9">
        <v>0.89249414205551147</v>
      </c>
      <c r="E16" s="9">
        <v>0.20000000298023224</v>
      </c>
      <c r="F16" s="9">
        <v>1</v>
      </c>
      <c r="G16" s="9">
        <v>0.10000000149011612</v>
      </c>
      <c r="H16" s="9">
        <v>0.20000000298023224</v>
      </c>
      <c r="I16">
        <v>1.0975610464811325E-2</v>
      </c>
      <c r="J16"/>
    </row>
    <row r="17" spans="1:10" ht="15" customHeight="1" x14ac:dyDescent="0.15">
      <c r="A17" s="154">
        <v>16</v>
      </c>
      <c r="B17" s="154" t="s">
        <v>207</v>
      </c>
      <c r="C17" s="8">
        <v>3.3157000541687012</v>
      </c>
      <c r="D17" s="9">
        <v>3.0844118595123291</v>
      </c>
      <c r="E17" s="9">
        <v>0.5</v>
      </c>
      <c r="F17" s="9">
        <v>2.5</v>
      </c>
      <c r="G17" s="9">
        <v>0.29997420310974121</v>
      </c>
      <c r="H17" s="9">
        <v>0.20000000298023224</v>
      </c>
      <c r="I17">
        <v>0.1194390207529068</v>
      </c>
      <c r="J17"/>
    </row>
    <row r="18" spans="1:10" ht="15" customHeight="1" x14ac:dyDescent="0.15">
      <c r="A18" s="155">
        <v>17</v>
      </c>
      <c r="B18" s="155" t="s">
        <v>208</v>
      </c>
      <c r="C18" s="8">
        <v>3.2032332420349121</v>
      </c>
      <c r="D18" s="9">
        <v>5.2352185249328613</v>
      </c>
      <c r="E18" s="9">
        <v>0.89999997615814209</v>
      </c>
      <c r="F18" s="9">
        <v>4.5</v>
      </c>
      <c r="G18" s="9">
        <v>0.89996337890625</v>
      </c>
      <c r="H18" s="9">
        <v>0.19999998807907104</v>
      </c>
      <c r="I18">
        <v>3.3048780169337988E-3</v>
      </c>
      <c r="J18"/>
    </row>
    <row r="19" spans="1:10" ht="15" customHeight="1" x14ac:dyDescent="0.15">
      <c r="A19" s="156">
        <v>18</v>
      </c>
      <c r="B19" s="156" t="s">
        <v>166</v>
      </c>
      <c r="C19" s="8">
        <v>3.3833053112030029</v>
      </c>
      <c r="D19" s="9">
        <v>0.69940203428268433</v>
      </c>
      <c r="E19" s="9">
        <v>2</v>
      </c>
      <c r="F19" s="9">
        <v>10</v>
      </c>
      <c r="G19" s="9">
        <v>0.69994211196899414</v>
      </c>
      <c r="H19" s="9">
        <v>0.20000000298023224</v>
      </c>
      <c r="I19">
        <v>0</v>
      </c>
      <c r="J19"/>
    </row>
    <row r="20" spans="1:10" ht="15" customHeight="1" x14ac:dyDescent="0.15">
      <c r="A20" s="157">
        <v>19</v>
      </c>
      <c r="B20" s="157" t="s">
        <v>209</v>
      </c>
      <c r="C20" s="8">
        <v>2.7945241928100586</v>
      </c>
      <c r="D20" s="9">
        <v>1.9981015920639038</v>
      </c>
      <c r="E20" s="9">
        <v>2.5</v>
      </c>
      <c r="F20" s="9">
        <v>16.666666030883789</v>
      </c>
      <c r="G20" s="9">
        <v>0.8999788761138916</v>
      </c>
      <c r="H20" s="9">
        <v>0.15000000596046448</v>
      </c>
      <c r="I20">
        <v>0</v>
      </c>
      <c r="J20"/>
    </row>
    <row r="21" spans="1:10" ht="15" customHeight="1" x14ac:dyDescent="0.15">
      <c r="A21" s="158">
        <v>20</v>
      </c>
      <c r="B21" s="158" t="s">
        <v>210</v>
      </c>
      <c r="C21" s="8">
        <v>2.8110067844390869</v>
      </c>
      <c r="D21" s="9">
        <v>1.9907368421554565</v>
      </c>
      <c r="E21" s="9">
        <v>2</v>
      </c>
      <c r="F21" s="9">
        <v>13.333333015441895</v>
      </c>
      <c r="G21" s="9">
        <v>0.89998507499694824</v>
      </c>
      <c r="H21" s="9">
        <v>0.15000000596046448</v>
      </c>
      <c r="I21">
        <v>0</v>
      </c>
      <c r="J21"/>
    </row>
    <row r="22" spans="1:10" ht="15" customHeight="1" x14ac:dyDescent="0.15">
      <c r="A22" s="159">
        <v>21</v>
      </c>
      <c r="B22" s="159" t="s">
        <v>211</v>
      </c>
      <c r="C22" s="8">
        <v>2.4100015163421631</v>
      </c>
      <c r="D22" s="9">
        <v>38.297554016113281</v>
      </c>
      <c r="E22" s="9">
        <v>3</v>
      </c>
      <c r="F22" s="9">
        <v>12</v>
      </c>
      <c r="G22" s="9">
        <v>0.49994102120399475</v>
      </c>
      <c r="H22" s="9">
        <v>0.25</v>
      </c>
      <c r="I22">
        <v>0</v>
      </c>
      <c r="J22"/>
    </row>
    <row r="23" spans="1:10" ht="15" customHeight="1" x14ac:dyDescent="0.15">
      <c r="A23" s="160">
        <v>22</v>
      </c>
      <c r="B23" s="160" t="s">
        <v>212</v>
      </c>
      <c r="C23" s="8">
        <v>2.0600600242614746</v>
      </c>
      <c r="D23" s="9">
        <v>8</v>
      </c>
      <c r="E23" s="9">
        <v>9</v>
      </c>
      <c r="F23" s="9">
        <v>45</v>
      </c>
      <c r="G23" s="9">
        <v>0.50721901655197144</v>
      </c>
      <c r="H23" s="9">
        <v>0.20000000298023224</v>
      </c>
      <c r="I23">
        <v>0</v>
      </c>
      <c r="J23"/>
    </row>
    <row r="24" spans="1:10" ht="15" customHeight="1" x14ac:dyDescent="0.15">
      <c r="A24" s="161">
        <v>23</v>
      </c>
      <c r="B24" s="161" t="s">
        <v>213</v>
      </c>
      <c r="C24" s="8">
        <v>2.1000001430511475</v>
      </c>
      <c r="D24" s="9">
        <v>16</v>
      </c>
      <c r="E24" s="9">
        <v>20</v>
      </c>
      <c r="F24" s="9">
        <v>100</v>
      </c>
      <c r="G24" s="9">
        <v>0.82357966899871826</v>
      </c>
      <c r="H24" s="9">
        <v>0.20000000298023224</v>
      </c>
      <c r="I24">
        <v>0</v>
      </c>
      <c r="J24"/>
    </row>
    <row r="25" spans="1:10" ht="15" customHeight="1" x14ac:dyDescent="0.15">
      <c r="A25" s="162">
        <v>24</v>
      </c>
      <c r="B25" s="162" t="s">
        <v>214</v>
      </c>
      <c r="C25" s="8">
        <v>2</v>
      </c>
      <c r="D25" s="9">
        <v>25</v>
      </c>
      <c r="E25" s="9">
        <v>40</v>
      </c>
      <c r="F25" s="9">
        <v>200</v>
      </c>
      <c r="G25" s="9">
        <v>0.63303613662719727</v>
      </c>
      <c r="H25" s="9">
        <v>0.20000000298023224</v>
      </c>
      <c r="I25">
        <v>0</v>
      </c>
      <c r="J25"/>
    </row>
    <row r="26" spans="1:10" ht="15" customHeight="1" x14ac:dyDescent="0.15">
      <c r="A26" s="163">
        <v>25</v>
      </c>
      <c r="B26" s="163" t="s">
        <v>215</v>
      </c>
      <c r="C26" s="8">
        <v>1</v>
      </c>
      <c r="D26" s="9">
        <v>71</v>
      </c>
      <c r="E26" s="9">
        <v>70</v>
      </c>
      <c r="F26" s="10"/>
      <c r="G26" s="9">
        <v>0.87861925363540649</v>
      </c>
      <c r="H26" s="10"/>
      <c r="I26">
        <v>0</v>
      </c>
      <c r="J26"/>
    </row>
    <row r="27" spans="1:10" ht="15" customHeight="1" x14ac:dyDescent="0.15">
      <c r="A27" s="164">
        <v>26</v>
      </c>
      <c r="B27" s="164" t="s">
        <v>216</v>
      </c>
      <c r="C27" s="8">
        <v>1</v>
      </c>
      <c r="D27" s="9">
        <v>55</v>
      </c>
      <c r="E27" s="9">
        <v>70</v>
      </c>
      <c r="F27" s="10"/>
      <c r="G27" s="9">
        <v>0.79727232456207275</v>
      </c>
      <c r="H27" s="10"/>
      <c r="I27">
        <v>0</v>
      </c>
      <c r="J27"/>
    </row>
    <row r="28" spans="1:10" ht="15" customHeight="1" x14ac:dyDescent="0.15">
      <c r="A28" s="165">
        <v>27</v>
      </c>
      <c r="B28" s="165" t="s">
        <v>217</v>
      </c>
      <c r="C28" s="8">
        <v>1</v>
      </c>
      <c r="D28" s="9">
        <v>19.719999313354492</v>
      </c>
      <c r="E28" s="9">
        <v>12.5</v>
      </c>
      <c r="F28" s="10"/>
      <c r="G28" s="9">
        <v>0.61285930871963501</v>
      </c>
      <c r="H28" s="10"/>
      <c r="I28">
        <v>0</v>
      </c>
      <c r="J28"/>
    </row>
    <row r="29" spans="1:10" ht="15" customHeight="1" x14ac:dyDescent="0.15">
      <c r="A29" s="166">
        <v>28</v>
      </c>
      <c r="B29" s="166" t="s">
        <v>218</v>
      </c>
      <c r="C29" s="8">
        <v>1</v>
      </c>
      <c r="D29" s="9">
        <v>900</v>
      </c>
      <c r="E29" s="10"/>
      <c r="F29" s="10"/>
      <c r="G29" s="7">
        <v>0.10938694328069687</v>
      </c>
      <c r="H29" s="10"/>
      <c r="I29">
        <v>0</v>
      </c>
      <c r="J29"/>
    </row>
    <row r="30" spans="1:10" ht="15" customHeight="1" x14ac:dyDescent="0.15">
      <c r="A30" s="167">
        <v>29</v>
      </c>
      <c r="B30" s="167" t="s">
        <v>219</v>
      </c>
      <c r="C30" s="8">
        <v>1</v>
      </c>
      <c r="D30" s="9">
        <v>5</v>
      </c>
      <c r="E30" s="10"/>
      <c r="F30" s="10"/>
      <c r="G30" s="7">
        <v>0</v>
      </c>
      <c r="H30" s="10"/>
      <c r="I30">
        <v>0</v>
      </c>
      <c r="J30"/>
    </row>
    <row r="31" spans="1:10" ht="15" customHeight="1" x14ac:dyDescent="0.15">
      <c r="A31" s="168">
        <v>30</v>
      </c>
      <c r="B31" s="168" t="s">
        <v>220</v>
      </c>
      <c r="C31" s="8">
        <v>4.3870282173156738</v>
      </c>
      <c r="D31" s="10"/>
      <c r="E31" s="10"/>
      <c r="F31" s="10"/>
      <c r="G31" s="10"/>
      <c r="H31" s="10"/>
      <c r="I31">
        <v>0.65543901920318604</v>
      </c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9" bestFit="1" customWidth="1"/>
    <col min="2" max="4" width="9.5" style="79" bestFit="1" customWidth="1"/>
    <col min="5" max="7" width="9" style="79" bestFit="1" customWidth="1"/>
    <col min="8" max="16" width="12.6640625" style="79" bestFit="1" customWidth="1"/>
    <col min="17" max="17" width="12.33203125" style="79" bestFit="1" customWidth="1"/>
    <col min="18" max="18" width="8.83203125" style="79"/>
    <col min="19" max="21" width="9.33203125" style="79" bestFit="1" customWidth="1"/>
    <col min="22" max="23" width="8.83203125" style="79"/>
    <col min="24" max="24" width="9.33203125" style="79" bestFit="1" customWidth="1"/>
    <col min="25" max="27" width="8.83203125" style="79"/>
    <col min="28" max="58" width="9" style="79" bestFit="1" customWidth="1"/>
    <col min="59" max="59" width="12.33203125" style="79" bestFit="1" customWidth="1"/>
    <col min="60" max="60" width="9" style="79" bestFit="1" customWidth="1"/>
    <col min="61" max="61" width="11.33203125" style="79" bestFit="1" customWidth="1"/>
    <col min="62" max="77" width="9" style="79" bestFit="1" customWidth="1"/>
    <col min="78" max="78" width="12.33203125" style="79" bestFit="1" customWidth="1"/>
    <col min="79" max="79" width="9" style="79" bestFit="1" customWidth="1"/>
    <col min="80" max="80" width="12.33203125" style="79" bestFit="1" customWidth="1"/>
    <col min="81" max="107" width="9" style="79" bestFit="1" customWidth="1"/>
    <col min="108" max="108" width="11.33203125" style="79" bestFit="1" customWidth="1"/>
    <col min="109" max="124" width="9" style="79" bestFit="1" customWidth="1"/>
    <col min="125" max="125" width="10.33203125" style="79" bestFit="1" customWidth="1"/>
    <col min="126" max="129" width="9.33203125" style="79" bestFit="1" customWidth="1"/>
    <col min="130" max="130" width="9" style="79" bestFit="1" customWidth="1"/>
    <col min="131" max="134" width="9.33203125" style="79" bestFit="1" customWidth="1"/>
    <col min="135" max="165" width="9" style="79" bestFit="1" customWidth="1"/>
    <col min="166" max="166" width="12.33203125" style="79" bestFit="1" customWidth="1"/>
    <col min="167" max="170" width="9" style="79" bestFit="1" customWidth="1"/>
    <col min="171" max="176" width="8.83203125" style="79"/>
    <col min="177" max="177" width="13.83203125" style="79" bestFit="1" customWidth="1"/>
    <col min="178" max="16384" width="8.83203125" style="79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225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166</v>
      </c>
      <c r="W1" t="s">
        <v>209</v>
      </c>
      <c r="X1" t="s">
        <v>210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 t="s">
        <v>217</v>
      </c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9.0000003576278687E-2</v>
      </c>
      <c r="C2">
        <v>9.0000003576278687E-2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3.9999999105930328E-2</v>
      </c>
      <c r="C3">
        <v>3.9999999105930328E-2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0.20000000298023224</v>
      </c>
      <c r="C4">
        <v>0.18000000715255737</v>
      </c>
      <c r="D4" s="135">
        <v>2.0000001415610313E-2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0.5</v>
      </c>
      <c r="C5">
        <v>0.47499999403953552</v>
      </c>
      <c r="D5" s="19">
        <v>8.6836684495210648E-3</v>
      </c>
      <c r="E5"/>
      <c r="F5"/>
      <c r="G5" s="198">
        <v>1.6316331923007965E-2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0.20000000298023224</v>
      </c>
      <c r="C6">
        <v>0.14676479995250702</v>
      </c>
      <c r="D6" s="196">
        <v>4.9276348203420639E-2</v>
      </c>
      <c r="E6"/>
      <c r="F6"/>
      <c r="G6" s="12">
        <v>8.7347812950611115E-4</v>
      </c>
      <c r="H6"/>
      <c r="I6"/>
      <c r="J6"/>
      <c r="K6"/>
      <c r="L6"/>
      <c r="M6"/>
      <c r="N6"/>
      <c r="O6"/>
      <c r="P6"/>
      <c r="Q6" s="17">
        <v>2.8583342209458351E-3</v>
      </c>
      <c r="R6"/>
      <c r="S6" s="14">
        <v>2.2703623108100146E-4</v>
      </c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0.85000002384185791</v>
      </c>
      <c r="C7">
        <v>0.75475060939788818</v>
      </c>
      <c r="D7" s="18">
        <v>1.0017421096563339E-2</v>
      </c>
      <c r="E7"/>
      <c r="F7"/>
      <c r="G7" s="14">
        <v>2.4550973903387785E-3</v>
      </c>
      <c r="H7"/>
      <c r="I7" s="105">
        <v>5.6214284151792526E-2</v>
      </c>
      <c r="J7"/>
      <c r="K7"/>
      <c r="L7"/>
      <c r="M7"/>
      <c r="N7"/>
      <c r="O7"/>
      <c r="P7"/>
      <c r="Q7" s="15">
        <v>8.0339601263403893E-3</v>
      </c>
      <c r="R7" s="64">
        <v>1.7571428790688515E-2</v>
      </c>
      <c r="S7" s="14">
        <v>9.5720088575035334E-4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0.85000002384185791</v>
      </c>
      <c r="C8">
        <v>0.81808990240097046</v>
      </c>
      <c r="D8"/>
      <c r="E8"/>
      <c r="F8"/>
      <c r="G8" s="11">
        <v>2.1685405226889998E-4</v>
      </c>
      <c r="H8"/>
      <c r="I8" s="17">
        <v>1.2413248419761658E-2</v>
      </c>
      <c r="J8"/>
      <c r="K8"/>
      <c r="L8"/>
      <c r="M8"/>
      <c r="N8"/>
      <c r="O8"/>
      <c r="P8"/>
      <c r="Q8" s="12">
        <v>3.5481213126331568E-3</v>
      </c>
      <c r="R8" s="19">
        <v>1.5520503744482994E-2</v>
      </c>
      <c r="S8" s="11">
        <v>2.11369275348261E-4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7</v>
      </c>
      <c r="C9">
        <v>6.8961048126220703</v>
      </c>
      <c r="D9"/>
      <c r="E9"/>
      <c r="F9"/>
      <c r="G9"/>
      <c r="H9"/>
      <c r="I9"/>
      <c r="J9"/>
      <c r="K9"/>
      <c r="L9"/>
      <c r="M9"/>
      <c r="N9"/>
      <c r="O9" s="16">
        <v>0.10389506816864014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1.7999999523162842</v>
      </c>
      <c r="C10">
        <v>7.4924930930137634E-2</v>
      </c>
      <c r="D10" s="11">
        <v>8.1300815509166569E-5</v>
      </c>
      <c r="E10" s="11">
        <v>1.325788558460772E-3</v>
      </c>
      <c r="F10" s="221">
        <v>0.37260487675666809</v>
      </c>
      <c r="G10" s="11">
        <v>2.566395269241184E-4</v>
      </c>
      <c r="H10"/>
      <c r="I10" s="65">
        <v>7.3453329503536224E-2</v>
      </c>
      <c r="J10" s="103">
        <v>0.22400002181529999</v>
      </c>
      <c r="K10" s="223">
        <v>1.0144000053405762</v>
      </c>
      <c r="L10"/>
      <c r="M10"/>
      <c r="N10"/>
      <c r="O10"/>
      <c r="P10"/>
      <c r="Q10" s="11">
        <v>7.4983626836910844E-4</v>
      </c>
      <c r="R10" s="20">
        <v>3.6080002784729004E-2</v>
      </c>
      <c r="S10" s="14">
        <v>1.9178050570189953E-3</v>
      </c>
      <c r="T10" s="11">
        <v>2.0538776880130172E-4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7</v>
      </c>
      <c r="C11">
        <v>4.2710251808166504</v>
      </c>
      <c r="D11"/>
      <c r="E11"/>
      <c r="F11"/>
      <c r="G11"/>
      <c r="H11"/>
      <c r="I11"/>
      <c r="J11"/>
      <c r="K11"/>
      <c r="L11"/>
      <c r="M11" s="200">
        <v>2.7289748191833496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1.7999999523162842</v>
      </c>
      <c r="C12">
        <v>0.92514646053314209</v>
      </c>
      <c r="D12"/>
      <c r="E12" s="11">
        <v>7.4575596954673529E-4</v>
      </c>
      <c r="F12" s="199">
        <v>8.7329268455505371E-2</v>
      </c>
      <c r="G12" s="11">
        <v>1.0311409132555127E-3</v>
      </c>
      <c r="H12"/>
      <c r="I12" s="197">
        <v>7.0830002427101135E-2</v>
      </c>
      <c r="J12" s="69">
        <v>0.12600000202655792</v>
      </c>
      <c r="K12" s="216">
        <v>0.57060003280639648</v>
      </c>
      <c r="L12"/>
      <c r="M12"/>
      <c r="N12"/>
      <c r="O12"/>
      <c r="P12"/>
      <c r="Q12" s="11">
        <v>1.1247544316574931E-3</v>
      </c>
      <c r="R12" s="22">
        <v>1.230000052601099E-2</v>
      </c>
      <c r="S12" s="11">
        <v>6.2537129269912839E-4</v>
      </c>
      <c r="T12" s="11">
        <v>7.7020411845296621E-4</v>
      </c>
      <c r="U12"/>
      <c r="V12" s="14">
        <v>3.4970100969076157E-3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1.7999999523162842</v>
      </c>
      <c r="C13">
        <v>0.18000797927379608</v>
      </c>
      <c r="D13" s="22">
        <v>9.0989815071225166E-3</v>
      </c>
      <c r="E13" s="11">
        <v>2.9718573205173016E-4</v>
      </c>
      <c r="F13" s="213">
        <v>0.41761130094528198</v>
      </c>
      <c r="G13" s="14">
        <v>4.9309488385915756E-3</v>
      </c>
      <c r="H13"/>
      <c r="I13" s="65">
        <v>7.5269170105457306E-2</v>
      </c>
      <c r="J13" s="19">
        <v>3.347422182559967E-2</v>
      </c>
      <c r="K13" s="214">
        <v>0.90954238176345825</v>
      </c>
      <c r="L13"/>
      <c r="M13"/>
      <c r="N13"/>
      <c r="O13"/>
      <c r="P13"/>
      <c r="Q13" s="22">
        <v>1.2101874686777592E-2</v>
      </c>
      <c r="R13" s="12">
        <v>5.881898570805788E-3</v>
      </c>
      <c r="S13" s="12">
        <v>5.7674795389175415E-3</v>
      </c>
      <c r="T13" s="23">
        <v>4.788082093000412E-2</v>
      </c>
      <c r="U13" s="24">
        <v>5.6328702718019485E-2</v>
      </c>
      <c r="V13" s="201">
        <v>4.1807033121585846E-2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0.10000000149011612</v>
      </c>
      <c r="C14">
        <v>9.0000003576278687E-2</v>
      </c>
      <c r="D14" s="13">
        <v>3.760678693652153E-3</v>
      </c>
      <c r="E14"/>
      <c r="F14"/>
      <c r="G14" s="24">
        <v>3.0589585658162832E-3</v>
      </c>
      <c r="H14"/>
      <c r="I14"/>
      <c r="J14"/>
      <c r="K14"/>
      <c r="L14"/>
      <c r="M14"/>
      <c r="N14"/>
      <c r="O14"/>
      <c r="P14"/>
      <c r="Q14"/>
      <c r="R14"/>
      <c r="S14" s="24">
        <v>3.1803632155060768E-3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0.30000001192092896</v>
      </c>
      <c r="C15">
        <v>0.26698049902915955</v>
      </c>
      <c r="D15"/>
      <c r="E15" s="14">
        <v>3.7894106935709715E-4</v>
      </c>
      <c r="F15"/>
      <c r="G15" s="21">
        <v>2.0958147943019867E-3</v>
      </c>
      <c r="H15"/>
      <c r="I15"/>
      <c r="J15"/>
      <c r="K15"/>
      <c r="L15"/>
      <c r="M15"/>
      <c r="N15"/>
      <c r="O15"/>
      <c r="P15"/>
      <c r="Q15"/>
      <c r="R15" s="135">
        <v>2.9999999329447746E-2</v>
      </c>
      <c r="S15" s="14">
        <v>5.4474850185215473E-4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0.20000000298023224</v>
      </c>
      <c r="C16">
        <v>0.18000000715255737</v>
      </c>
      <c r="D16" s="138">
        <v>1.2297683395445347E-2</v>
      </c>
      <c r="E16"/>
      <c r="F16"/>
      <c r="G16" s="197">
        <v>7.7023166231811047E-3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0.5</v>
      </c>
      <c r="C17">
        <v>0.35001289844512939</v>
      </c>
      <c r="D17" s="26">
        <v>3.8723435252904892E-2</v>
      </c>
      <c r="E17" s="14">
        <v>8.0594082828611135E-4</v>
      </c>
      <c r="F17"/>
      <c r="G17" s="17">
        <v>6.6861426457762718E-3</v>
      </c>
      <c r="H17"/>
      <c r="I17"/>
      <c r="J17"/>
      <c r="K17"/>
      <c r="L17"/>
      <c r="M17"/>
      <c r="N17"/>
      <c r="O17"/>
      <c r="P17"/>
      <c r="Q17"/>
      <c r="R17" s="22">
        <v>3.1902354676276445E-3</v>
      </c>
      <c r="S17" s="28">
        <v>2.3171680048108101E-2</v>
      </c>
      <c r="T17" s="202">
        <v>7.7409654855728149E-2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0.89999997615814209</v>
      </c>
      <c r="C18">
        <v>9.0032957494258881E-2</v>
      </c>
      <c r="D18" s="11">
        <v>6.3127797329798341E-4</v>
      </c>
      <c r="E18" s="11">
        <v>7.1224913699552417E-4</v>
      </c>
      <c r="F18" s="211">
        <v>0.33362224698066711</v>
      </c>
      <c r="G18" s="18">
        <v>1.129250880330801E-2</v>
      </c>
      <c r="H18" s="13">
        <v>3.3531904220581055E-2</v>
      </c>
      <c r="I18"/>
      <c r="J18"/>
      <c r="K18"/>
      <c r="L18"/>
      <c r="M18"/>
      <c r="N18"/>
      <c r="O18"/>
      <c r="P18"/>
      <c r="Q18"/>
      <c r="R18" s="21">
        <v>7.5183110311627388E-3</v>
      </c>
      <c r="S18" s="25">
        <v>2.3720283061265945E-2</v>
      </c>
      <c r="T18" s="210">
        <v>0.19714049994945526</v>
      </c>
      <c r="U18" s="208">
        <v>0.13500000536441803</v>
      </c>
      <c r="V18" s="205">
        <v>6.6797785460948944E-2</v>
      </c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166</v>
      </c>
      <c r="B19">
        <v>2</v>
      </c>
      <c r="C19">
        <v>0.60011577606201172</v>
      </c>
      <c r="D19"/>
      <c r="E19"/>
      <c r="F19"/>
      <c r="G19" s="22">
        <v>9.8287854343652725E-3</v>
      </c>
      <c r="H19" s="65">
        <v>8.366519957780838E-2</v>
      </c>
      <c r="I19"/>
      <c r="J19"/>
      <c r="K19"/>
      <c r="L19"/>
      <c r="M19"/>
      <c r="N19"/>
      <c r="O19" s="209">
        <v>1.0293478965759277</v>
      </c>
      <c r="P19"/>
      <c r="Q19" s="199">
        <v>9.6489936113357544E-2</v>
      </c>
      <c r="R19"/>
      <c r="S19" s="67">
        <v>0.10346608608961105</v>
      </c>
      <c r="T19" s="197">
        <v>7.7086262404918671E-2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2.5</v>
      </c>
      <c r="C20">
        <v>0.250052809715271</v>
      </c>
      <c r="D20"/>
      <c r="E20"/>
      <c r="F20"/>
      <c r="G20" s="197">
        <v>9.7019337117671967E-2</v>
      </c>
      <c r="H20" s="28">
        <v>0.11714241653680801</v>
      </c>
      <c r="I20"/>
      <c r="J20"/>
      <c r="K20"/>
      <c r="L20"/>
      <c r="M20"/>
      <c r="N20"/>
      <c r="O20"/>
      <c r="P20"/>
      <c r="Q20" s="203">
        <v>0.13115838170051575</v>
      </c>
      <c r="R20"/>
      <c r="S20" s="201">
        <v>5.9466715902090073E-2</v>
      </c>
      <c r="T20" s="206">
        <v>0.31608372926712036</v>
      </c>
      <c r="U20" s="212">
        <v>1.1790432929992676</v>
      </c>
      <c r="V20" s="207">
        <v>0.35003328323364258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>
        <v>2</v>
      </c>
      <c r="C21">
        <v>0.20002985000610352</v>
      </c>
      <c r="D21"/>
      <c r="E21"/>
      <c r="F21"/>
      <c r="G21" s="27">
        <v>6.9062598049640656E-2</v>
      </c>
      <c r="H21" s="66">
        <v>0.11757578700780869</v>
      </c>
      <c r="I21"/>
      <c r="J21"/>
      <c r="K21"/>
      <c r="L21"/>
      <c r="M21"/>
      <c r="N21"/>
      <c r="O21"/>
      <c r="P21"/>
      <c r="Q21"/>
      <c r="R21"/>
      <c r="S21" s="13">
        <v>7.6291285455226898E-2</v>
      </c>
      <c r="T21" s="204">
        <v>0.1779712438583374</v>
      </c>
      <c r="U21" s="107">
        <v>1.1834051609039307</v>
      </c>
      <c r="V21" s="204">
        <v>0.17566411197185516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>
        <v>3</v>
      </c>
      <c r="C22">
        <v>1.5001769065856934</v>
      </c>
      <c r="D22"/>
      <c r="E22"/>
      <c r="F22"/>
      <c r="G22" s="11">
        <v>8.9748197933658957E-4</v>
      </c>
      <c r="H22" s="12">
        <v>9.1675221920013428E-3</v>
      </c>
      <c r="I22"/>
      <c r="J22"/>
      <c r="K22"/>
      <c r="L22"/>
      <c r="M22" s="72">
        <v>0.23497846722602844</v>
      </c>
      <c r="N22"/>
      <c r="O22" s="22">
        <v>1.8798276782035828E-2</v>
      </c>
      <c r="P22" s="217">
        <v>0.31405290961265564</v>
      </c>
      <c r="Q22" s="14">
        <v>6.8429373204708099E-3</v>
      </c>
      <c r="R22" s="14">
        <v>3.8540319073945284E-3</v>
      </c>
      <c r="S22" s="11">
        <v>2.4027358740568161E-3</v>
      </c>
      <c r="T22" s="15">
        <v>3.217768669128418E-2</v>
      </c>
      <c r="U22" s="138">
        <v>0.18454299867153168</v>
      </c>
      <c r="V22" s="64">
        <v>6.2091872096061707E-2</v>
      </c>
      <c r="W22" s="17">
        <v>4.3477568775415421E-2</v>
      </c>
      <c r="X22" s="218">
        <v>0.34653854370117188</v>
      </c>
      <c r="Y22" s="215">
        <v>0.23999999463558197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212</v>
      </c>
      <c r="B23">
        <v>9</v>
      </c>
      <c r="C23">
        <v>4.4350290298461914</v>
      </c>
      <c r="D23"/>
      <c r="E23"/>
      <c r="F23"/>
      <c r="G23"/>
      <c r="H23"/>
      <c r="I23"/>
      <c r="J23"/>
      <c r="K23"/>
      <c r="L23"/>
      <c r="M23"/>
      <c r="N23"/>
      <c r="O23"/>
      <c r="P23"/>
      <c r="Q23" s="12">
        <v>3.2758470624685287E-2</v>
      </c>
      <c r="R23"/>
      <c r="S23" s="11">
        <v>4.6902848407626152E-3</v>
      </c>
      <c r="T23" s="20">
        <v>0.17329593002796173</v>
      </c>
      <c r="U23" s="74">
        <v>0.58896207809448242</v>
      </c>
      <c r="V23"/>
      <c r="W23" s="219">
        <v>1.6650846004486084</v>
      </c>
      <c r="X23" s="13">
        <v>0.33178946375846863</v>
      </c>
      <c r="Y23" s="220">
        <v>1.7233898639678955</v>
      </c>
      <c r="Z23" s="22">
        <v>4.5000001788139343E-2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213</v>
      </c>
      <c r="B24">
        <v>20</v>
      </c>
      <c r="C24">
        <v>3.5284066200256348</v>
      </c>
      <c r="D24"/>
      <c r="E24"/>
      <c r="F24"/>
      <c r="G24"/>
      <c r="H24"/>
      <c r="I24"/>
      <c r="J24"/>
      <c r="K24" s="63">
        <v>1.1095000505447388</v>
      </c>
      <c r="L24"/>
      <c r="M24" s="226">
        <v>13.498650550842285</v>
      </c>
      <c r="N24"/>
      <c r="O24"/>
      <c r="P24" s="204">
        <v>1.7532500028610229</v>
      </c>
      <c r="Q24"/>
      <c r="R24" s="12">
        <v>8.6099997162818909E-2</v>
      </c>
      <c r="S24"/>
      <c r="T24" s="14">
        <v>2.4092946201562881E-2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214</v>
      </c>
      <c r="B25">
        <v>40</v>
      </c>
      <c r="C25">
        <v>14.678554534912109</v>
      </c>
      <c r="D25"/>
      <c r="E25"/>
      <c r="F25"/>
      <c r="G25"/>
      <c r="H25"/>
      <c r="I25"/>
      <c r="J25" s="21">
        <v>0.2800000011920929</v>
      </c>
      <c r="K25" s="17">
        <v>0.55791997909545898</v>
      </c>
      <c r="L25"/>
      <c r="M25"/>
      <c r="N25" s="12">
        <v>0.16146211326122284</v>
      </c>
      <c r="O25" s="227">
        <v>9.3110685348510742</v>
      </c>
      <c r="P25" s="19">
        <v>0.68556505441665649</v>
      </c>
      <c r="Q25"/>
      <c r="R25"/>
      <c r="S25"/>
      <c r="T25" s="11">
        <v>3.6081597208976746E-2</v>
      </c>
      <c r="U25" s="14">
        <v>9.4233930110931396E-2</v>
      </c>
      <c r="V25" s="14">
        <v>0.1119043231010437</v>
      </c>
      <c r="W25" s="15">
        <v>0.39962032437324524</v>
      </c>
      <c r="X25"/>
      <c r="Y25" s="225">
        <v>6.4339890480041504</v>
      </c>
      <c r="Z25" s="64">
        <v>0.84960001707077026</v>
      </c>
      <c r="AA25" s="225">
        <v>6.4000000953674316</v>
      </c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215</v>
      </c>
      <c r="B26">
        <v>70</v>
      </c>
      <c r="C26">
        <v>8.4966526031494141</v>
      </c>
      <c r="D26"/>
      <c r="E26"/>
      <c r="F26"/>
      <c r="G26"/>
      <c r="H26"/>
      <c r="I26"/>
      <c r="J26"/>
      <c r="K26"/>
      <c r="L26"/>
      <c r="M26"/>
      <c r="N26"/>
      <c r="O26" s="14">
        <v>8.1118650734424591E-2</v>
      </c>
      <c r="P26"/>
      <c r="Q26"/>
      <c r="R26"/>
      <c r="S26"/>
      <c r="T26"/>
      <c r="U26"/>
      <c r="V26"/>
      <c r="W26"/>
      <c r="X26"/>
      <c r="Y26" s="12">
        <v>0.32364130020141602</v>
      </c>
      <c r="Z26" s="12">
        <v>0.25352111458778381</v>
      </c>
      <c r="AA26" s="74">
        <v>4.507042407989502</v>
      </c>
      <c r="AB26" s="229">
        <v>56.338027954101562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216</v>
      </c>
      <c r="B27">
        <v>70</v>
      </c>
      <c r="C27">
        <v>14.190937042236328</v>
      </c>
      <c r="D27"/>
      <c r="E27"/>
      <c r="F27"/>
      <c r="G27"/>
      <c r="H27"/>
      <c r="I27"/>
      <c r="J27" s="11">
        <v>2.5454545393586159E-2</v>
      </c>
      <c r="K27"/>
      <c r="L27" s="22">
        <v>0.42854759097099304</v>
      </c>
      <c r="M27" s="227">
        <v>16.362001419067383</v>
      </c>
      <c r="N27"/>
      <c r="O27"/>
      <c r="P27"/>
      <c r="Q27"/>
      <c r="R27"/>
      <c r="S27"/>
      <c r="T27" s="11">
        <v>8.402225561439991E-3</v>
      </c>
      <c r="U27" s="11">
        <v>2.1416801959276199E-2</v>
      </c>
      <c r="V27"/>
      <c r="W27"/>
      <c r="X27"/>
      <c r="Y27" s="22">
        <v>0.41779151558876038</v>
      </c>
      <c r="Z27"/>
      <c r="AA27" s="104">
        <v>20.363636016845703</v>
      </c>
      <c r="AB27" s="228">
        <v>18.181818008422852</v>
      </c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217</v>
      </c>
      <c r="B28">
        <v>12.5</v>
      </c>
      <c r="C28">
        <v>4.8392586708068848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 s="11">
        <v>8.9831119403243065E-3</v>
      </c>
      <c r="U28"/>
      <c r="V28"/>
      <c r="W28"/>
      <c r="X28"/>
      <c r="Y28" s="224">
        <v>5.826200008392334</v>
      </c>
      <c r="Z28" s="222">
        <v>1.8255578279495239</v>
      </c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218</v>
      </c>
      <c r="B29"/>
      <c r="C29">
        <v>0.10938694328069687</v>
      </c>
      <c r="D29"/>
      <c r="E29"/>
      <c r="F29"/>
      <c r="G29"/>
      <c r="H29"/>
      <c r="I29"/>
      <c r="J29"/>
      <c r="K29"/>
      <c r="L29"/>
      <c r="M29"/>
      <c r="N29"/>
      <c r="O29"/>
      <c r="P29" s="9">
        <v>3.0068645477294922</v>
      </c>
      <c r="Q29"/>
      <c r="R29"/>
      <c r="S29" s="9">
        <v>3.5735501442104578E-3</v>
      </c>
      <c r="T29" s="9">
        <v>0.42361223697662354</v>
      </c>
      <c r="U29" s="9">
        <v>2.3558483123779297</v>
      </c>
      <c r="V29"/>
      <c r="W29" s="9">
        <v>8.3254232406616211</v>
      </c>
      <c r="X29" s="9">
        <v>10.617262840270996</v>
      </c>
      <c r="Y29" s="9">
        <v>114.89266204833984</v>
      </c>
      <c r="Z29" s="9">
        <v>284.39999389648438</v>
      </c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219</v>
      </c>
      <c r="B30"/>
      <c r="C30">
        <v>0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167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168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88" t="s">
        <v>192</v>
      </c>
      <c r="E5">
        <v>4</v>
      </c>
      <c r="F5">
        <v>3.13</v>
      </c>
      <c r="G5">
        <v>4</v>
      </c>
      <c r="H5" s="189" t="s">
        <v>192</v>
      </c>
      <c r="J5" s="56"/>
      <c r="K5" s="57"/>
    </row>
    <row r="6" spans="1:12" ht="14" thickBot="1" x14ac:dyDescent="0.2">
      <c r="A6" s="40" t="s">
        <v>121</v>
      </c>
      <c r="D6" s="188" t="s">
        <v>193</v>
      </c>
      <c r="E6">
        <v>5</v>
      </c>
      <c r="F6">
        <v>3.13</v>
      </c>
      <c r="G6">
        <v>5</v>
      </c>
      <c r="H6" s="189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88" t="s">
        <v>194</v>
      </c>
      <c r="E7">
        <v>6</v>
      </c>
      <c r="F7">
        <v>3.12</v>
      </c>
      <c r="G7">
        <v>6</v>
      </c>
      <c r="H7" s="189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88" t="s">
        <v>195</v>
      </c>
      <c r="E8">
        <v>7</v>
      </c>
      <c r="F8">
        <v>3.22</v>
      </c>
      <c r="G8">
        <v>7</v>
      </c>
      <c r="H8" s="189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88" t="s">
        <v>196</v>
      </c>
      <c r="E9">
        <v>8</v>
      </c>
      <c r="F9">
        <v>3.12</v>
      </c>
      <c r="G9">
        <v>8</v>
      </c>
      <c r="H9" s="189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88" t="s">
        <v>197</v>
      </c>
      <c r="E10">
        <v>9</v>
      </c>
      <c r="F10">
        <v>3.12</v>
      </c>
      <c r="G10">
        <v>9</v>
      </c>
      <c r="H10" s="189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88" t="s">
        <v>198</v>
      </c>
      <c r="E11">
        <v>10</v>
      </c>
      <c r="F11">
        <v>3.12</v>
      </c>
      <c r="G11">
        <v>10</v>
      </c>
      <c r="H11" s="189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88" t="s">
        <v>199</v>
      </c>
      <c r="E12">
        <v>11</v>
      </c>
      <c r="F12">
        <v>3.11</v>
      </c>
      <c r="G12">
        <v>11</v>
      </c>
      <c r="H12" s="189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88" t="s">
        <v>200</v>
      </c>
      <c r="E13">
        <v>12</v>
      </c>
      <c r="F13">
        <v>3.12</v>
      </c>
      <c r="G13">
        <v>12</v>
      </c>
      <c r="H13" s="189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88" t="s">
        <v>201</v>
      </c>
      <c r="E14">
        <v>13</v>
      </c>
      <c r="F14">
        <v>3.11</v>
      </c>
      <c r="G14">
        <v>13</v>
      </c>
      <c r="H14" s="189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88" t="s">
        <v>202</v>
      </c>
      <c r="E15">
        <v>14</v>
      </c>
      <c r="F15">
        <v>3.12</v>
      </c>
      <c r="G15">
        <v>14</v>
      </c>
      <c r="H15" s="189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88" t="s">
        <v>203</v>
      </c>
      <c r="E16">
        <v>15</v>
      </c>
      <c r="F16">
        <v>3.12</v>
      </c>
      <c r="G16">
        <v>15</v>
      </c>
      <c r="H16" s="189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88" t="s">
        <v>204</v>
      </c>
      <c r="E17">
        <v>16</v>
      </c>
      <c r="F17">
        <v>3.12</v>
      </c>
      <c r="G17">
        <v>16</v>
      </c>
      <c r="H17" s="189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88" t="s">
        <v>205</v>
      </c>
      <c r="E18">
        <v>17</v>
      </c>
      <c r="F18">
        <v>3.12</v>
      </c>
      <c r="G18">
        <v>17</v>
      </c>
      <c r="H18" s="189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88" t="s">
        <v>206</v>
      </c>
      <c r="E19">
        <v>18</v>
      </c>
      <c r="F19">
        <v>3.21</v>
      </c>
      <c r="G19">
        <v>18</v>
      </c>
      <c r="H19" s="189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88" t="s">
        <v>207</v>
      </c>
      <c r="E20">
        <v>19</v>
      </c>
      <c r="F20">
        <v>3.21</v>
      </c>
      <c r="G20">
        <v>19</v>
      </c>
      <c r="H20" s="189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88" t="s">
        <v>208</v>
      </c>
      <c r="E21">
        <v>20</v>
      </c>
      <c r="F21">
        <v>3.21</v>
      </c>
      <c r="G21">
        <v>20</v>
      </c>
      <c r="H21" s="189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88" t="s">
        <v>166</v>
      </c>
      <c r="E22">
        <v>21</v>
      </c>
      <c r="F22">
        <v>3.12</v>
      </c>
      <c r="G22">
        <v>21</v>
      </c>
      <c r="H22" s="189" t="s">
        <v>166</v>
      </c>
    </row>
    <row r="23" spans="1:12" x14ac:dyDescent="0.15">
      <c r="A23" s="35" t="s">
        <v>129</v>
      </c>
      <c r="B23" s="43">
        <v>4</v>
      </c>
      <c r="C23" s="37"/>
      <c r="D23" s="188" t="s">
        <v>209</v>
      </c>
      <c r="E23">
        <v>22</v>
      </c>
      <c r="F23">
        <v>3</v>
      </c>
      <c r="G23">
        <v>22</v>
      </c>
      <c r="H23" s="189" t="s">
        <v>209</v>
      </c>
    </row>
    <row r="24" spans="1:12" x14ac:dyDescent="0.15">
      <c r="A24" s="35" t="s">
        <v>122</v>
      </c>
      <c r="B24" s="43">
        <v>4.0999999999999996</v>
      </c>
      <c r="C24" s="37"/>
      <c r="D24" s="188" t="s">
        <v>210</v>
      </c>
      <c r="E24">
        <v>23</v>
      </c>
      <c r="F24">
        <v>3.21</v>
      </c>
      <c r="G24">
        <v>23</v>
      </c>
      <c r="H24" s="189" t="s">
        <v>210</v>
      </c>
    </row>
    <row r="25" spans="1:12" x14ac:dyDescent="0.15">
      <c r="A25" s="35" t="s">
        <v>70</v>
      </c>
      <c r="B25" s="43">
        <v>4.2</v>
      </c>
      <c r="C25" s="37"/>
      <c r="D25" s="188" t="s">
        <v>211</v>
      </c>
      <c r="E25">
        <v>24</v>
      </c>
      <c r="F25">
        <v>3.21</v>
      </c>
      <c r="G25">
        <v>24</v>
      </c>
      <c r="H25" s="189" t="s">
        <v>211</v>
      </c>
    </row>
    <row r="26" spans="1:12" x14ac:dyDescent="0.15">
      <c r="A26" s="35" t="s">
        <v>123</v>
      </c>
      <c r="B26" s="43">
        <v>4.3</v>
      </c>
      <c r="C26" s="37"/>
      <c r="D26" s="188" t="s">
        <v>212</v>
      </c>
      <c r="E26">
        <v>25</v>
      </c>
      <c r="F26">
        <v>3.2</v>
      </c>
      <c r="G26">
        <v>25</v>
      </c>
      <c r="H26" s="189" t="s">
        <v>212</v>
      </c>
    </row>
    <row r="27" spans="1:12" x14ac:dyDescent="0.15">
      <c r="A27" s="35" t="s">
        <v>125</v>
      </c>
      <c r="B27" s="43">
        <v>6.1</v>
      </c>
      <c r="D27" s="188" t="s">
        <v>213</v>
      </c>
      <c r="E27">
        <v>26</v>
      </c>
      <c r="F27">
        <v>3.11</v>
      </c>
      <c r="G27">
        <v>26</v>
      </c>
      <c r="H27" s="189" t="s">
        <v>213</v>
      </c>
    </row>
    <row r="28" spans="1:12" x14ac:dyDescent="0.15">
      <c r="A28" s="35" t="s">
        <v>124</v>
      </c>
      <c r="B28" s="43">
        <v>6.2</v>
      </c>
      <c r="D28" s="188" t="s">
        <v>214</v>
      </c>
      <c r="E28">
        <v>27</v>
      </c>
      <c r="F28">
        <v>3.11</v>
      </c>
      <c r="G28">
        <v>27</v>
      </c>
      <c r="H28" s="189" t="s">
        <v>214</v>
      </c>
    </row>
    <row r="29" spans="1:12" x14ac:dyDescent="0.15">
      <c r="A29" s="35" t="s">
        <v>44</v>
      </c>
      <c r="B29" s="43">
        <v>5</v>
      </c>
      <c r="D29" s="188" t="s">
        <v>215</v>
      </c>
      <c r="E29">
        <v>28</v>
      </c>
      <c r="F29">
        <v>2.2000000000000002</v>
      </c>
      <c r="G29">
        <v>28</v>
      </c>
      <c r="H29" s="189" t="s">
        <v>215</v>
      </c>
    </row>
    <row r="30" spans="1:12" x14ac:dyDescent="0.15">
      <c r="A30" s="35" t="s">
        <v>73</v>
      </c>
      <c r="B30" s="43">
        <v>7</v>
      </c>
      <c r="D30" s="188" t="s">
        <v>216</v>
      </c>
      <c r="E30">
        <v>29</v>
      </c>
      <c r="F30">
        <v>2.1</v>
      </c>
      <c r="G30">
        <v>29</v>
      </c>
      <c r="H30" s="189" t="s">
        <v>216</v>
      </c>
    </row>
    <row r="31" spans="1:12" x14ac:dyDescent="0.15">
      <c r="A31" s="35" t="s">
        <v>170</v>
      </c>
      <c r="B31" s="43">
        <v>3.14</v>
      </c>
      <c r="D31" s="188" t="s">
        <v>217</v>
      </c>
      <c r="E31">
        <v>30</v>
      </c>
      <c r="F31">
        <v>2.2999999999999998</v>
      </c>
      <c r="G31">
        <v>30</v>
      </c>
      <c r="H31" s="189" t="s">
        <v>217</v>
      </c>
    </row>
    <row r="32" spans="1:12" ht="12" customHeight="1" thickBot="1" x14ac:dyDescent="0.2">
      <c r="A32" s="41" t="s">
        <v>171</v>
      </c>
      <c r="B32" s="44">
        <v>9</v>
      </c>
      <c r="D32" s="188" t="s">
        <v>218</v>
      </c>
      <c r="E32">
        <v>31</v>
      </c>
      <c r="F32">
        <v>4.0999999999999996</v>
      </c>
      <c r="G32">
        <v>31</v>
      </c>
      <c r="H32" s="189" t="s">
        <v>218</v>
      </c>
    </row>
    <row r="33" spans="4:8" customFormat="1" ht="12" customHeight="1" x14ac:dyDescent="0.15">
      <c r="D33" s="188" t="s">
        <v>219</v>
      </c>
      <c r="E33">
        <v>32</v>
      </c>
      <c r="F33">
        <v>4.3</v>
      </c>
      <c r="G33">
        <v>32</v>
      </c>
      <c r="H33" s="189" t="s">
        <v>219</v>
      </c>
    </row>
    <row r="34" spans="4:8" customFormat="1" ht="12" customHeight="1" x14ac:dyDescent="0.15">
      <c r="D34" s="188" t="s">
        <v>220</v>
      </c>
      <c r="E34">
        <v>33</v>
      </c>
      <c r="F34">
        <v>5</v>
      </c>
      <c r="G34">
        <v>33</v>
      </c>
      <c r="H34" s="189" t="s">
        <v>220</v>
      </c>
    </row>
    <row r="35" spans="4:8" customFormat="1" x14ac:dyDescent="0.15">
      <c r="D35" s="188" t="s">
        <v>138</v>
      </c>
      <c r="E35">
        <v>34</v>
      </c>
      <c r="F35">
        <v>6.1</v>
      </c>
      <c r="G35">
        <v>34</v>
      </c>
      <c r="H35" s="189" t="s">
        <v>138</v>
      </c>
    </row>
    <row r="36" spans="4:8" customFormat="1" x14ac:dyDescent="0.15">
      <c r="D36" s="188" t="s">
        <v>45</v>
      </c>
      <c r="E36">
        <v>35</v>
      </c>
      <c r="F36">
        <v>6.2</v>
      </c>
      <c r="G36">
        <v>35</v>
      </c>
      <c r="H36" s="189" t="s">
        <v>45</v>
      </c>
    </row>
    <row r="37" spans="4:8" customFormat="1" ht="12" customHeight="1" x14ac:dyDescent="0.15"/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33203125" style="80" bestFit="1" customWidth="1"/>
    <col min="2" max="2" width="12.83203125" style="79" customWidth="1"/>
    <col min="3" max="3" width="13.33203125" style="79" customWidth="1"/>
    <col min="4" max="4" width="5.33203125" style="79" customWidth="1"/>
    <col min="5" max="5" width="12.83203125" style="79" customWidth="1"/>
    <col min="6" max="6" width="21.6640625" style="79" bestFit="1" customWidth="1"/>
    <col min="7" max="9" width="2.33203125" style="79" customWidth="1"/>
    <col min="10" max="10" width="2.33203125" style="79" bestFit="1" customWidth="1"/>
    <col min="11" max="15" width="2.33203125" style="79" customWidth="1"/>
    <col min="16" max="16" width="2.33203125" style="70" customWidth="1"/>
    <col min="17" max="17" width="2.33203125" style="79" customWidth="1"/>
    <col min="18" max="18" width="2.33203125" style="71" customWidth="1"/>
    <col min="19" max="16384" width="11.5" style="79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1" t="s">
        <v>48</v>
      </c>
      <c r="L1" s="71"/>
      <c r="M1" s="81" t="s">
        <v>119</v>
      </c>
      <c r="N1" s="71"/>
      <c r="O1" s="81" t="s">
        <v>49</v>
      </c>
      <c r="P1" s="73"/>
      <c r="Q1" s="81" t="s">
        <v>50</v>
      </c>
      <c r="R1" s="68" t="s">
        <v>154</v>
      </c>
    </row>
    <row r="2" spans="1:23" ht="15" customHeight="1" x14ac:dyDescent="0.15">
      <c r="A2" s="81" t="s">
        <v>51</v>
      </c>
      <c r="B2" s="82">
        <v>0.5</v>
      </c>
      <c r="C2" s="80" t="s">
        <v>52</v>
      </c>
      <c r="D2" s="83"/>
      <c r="F2" s="1"/>
      <c r="G2" s="84"/>
      <c r="H2" s="84"/>
      <c r="I2" s="84" t="s">
        <v>133</v>
      </c>
      <c r="J2" s="84" t="s">
        <v>133</v>
      </c>
      <c r="K2" s="84" t="s">
        <v>52</v>
      </c>
      <c r="L2" s="84" t="s">
        <v>53</v>
      </c>
      <c r="M2" s="84" t="s">
        <v>52</v>
      </c>
      <c r="N2" s="84" t="s">
        <v>53</v>
      </c>
      <c r="O2" s="84" t="s">
        <v>52</v>
      </c>
      <c r="P2" s="85" t="s">
        <v>53</v>
      </c>
      <c r="Q2" s="84"/>
      <c r="R2" s="86" t="s">
        <v>155</v>
      </c>
    </row>
    <row r="3" spans="1:23" ht="15" customHeight="1" thickBot="1" x14ac:dyDescent="0.2">
      <c r="A3" s="81" t="s">
        <v>54</v>
      </c>
      <c r="B3" s="87">
        <v>0.5</v>
      </c>
      <c r="C3" s="80" t="s">
        <v>53</v>
      </c>
      <c r="D3" s="83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4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4">
        <v>0</v>
      </c>
      <c r="R4" s="108">
        <v>0</v>
      </c>
    </row>
    <row r="5" spans="1:23" ht="15" customHeight="1" x14ac:dyDescent="0.15">
      <c r="A5" s="81" t="s">
        <v>55</v>
      </c>
      <c r="B5" s="88">
        <v>0.5</v>
      </c>
      <c r="C5" s="80" t="s">
        <v>52</v>
      </c>
      <c r="D5" s="83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4">
        <v>0</v>
      </c>
      <c r="R5" s="108">
        <v>0</v>
      </c>
    </row>
    <row r="6" spans="1:23" ht="15" customHeight="1" thickBot="1" x14ac:dyDescent="0.2">
      <c r="A6" s="81"/>
      <c r="B6" s="89">
        <v>0.5</v>
      </c>
      <c r="C6" s="80" t="s">
        <v>53</v>
      </c>
      <c r="D6" s="83"/>
      <c r="F6" s="190" t="s">
        <v>192</v>
      </c>
      <c r="G6" s="79">
        <v>0</v>
      </c>
      <c r="H6" s="79">
        <v>0</v>
      </c>
      <c r="I6" s="79">
        <v>0</v>
      </c>
      <c r="J6" s="79">
        <v>0</v>
      </c>
      <c r="K6" s="79">
        <v>1</v>
      </c>
      <c r="L6" s="79">
        <v>0</v>
      </c>
      <c r="M6" s="79">
        <v>1</v>
      </c>
      <c r="N6" s="79">
        <v>0</v>
      </c>
      <c r="O6" s="79">
        <v>1</v>
      </c>
      <c r="P6" s="70">
        <v>0</v>
      </c>
      <c r="Q6" s="79">
        <v>0</v>
      </c>
      <c r="R6" s="71">
        <v>1</v>
      </c>
      <c r="S6"/>
      <c r="T6"/>
    </row>
    <row r="7" spans="1:23" ht="15" customHeight="1" thickBot="1" x14ac:dyDescent="0.2">
      <c r="F7" s="190" t="s">
        <v>193</v>
      </c>
      <c r="G7" s="79">
        <v>0</v>
      </c>
      <c r="H7" s="79">
        <v>0</v>
      </c>
      <c r="I7" s="79">
        <v>0</v>
      </c>
      <c r="J7" s="79">
        <v>0</v>
      </c>
      <c r="K7" s="79">
        <v>1</v>
      </c>
      <c r="L7" s="79">
        <v>0</v>
      </c>
      <c r="M7" s="79">
        <v>1</v>
      </c>
      <c r="N7" s="79">
        <v>0</v>
      </c>
      <c r="O7" s="79">
        <v>1</v>
      </c>
      <c r="P7" s="70">
        <v>0</v>
      </c>
      <c r="Q7" s="79">
        <v>0</v>
      </c>
      <c r="R7" s="71">
        <v>1</v>
      </c>
      <c r="S7"/>
      <c r="T7"/>
    </row>
    <row r="8" spans="1:23" ht="15" customHeight="1" x14ac:dyDescent="0.15">
      <c r="A8" s="81" t="s">
        <v>56</v>
      </c>
      <c r="B8" s="88">
        <v>0.54817184139414332</v>
      </c>
      <c r="C8" s="191" t="s">
        <v>215</v>
      </c>
      <c r="D8" s="83" t="s">
        <v>160</v>
      </c>
      <c r="F8" s="190" t="s">
        <v>194</v>
      </c>
      <c r="G8" s="79">
        <v>0</v>
      </c>
      <c r="H8" s="79">
        <v>0</v>
      </c>
      <c r="I8" s="79">
        <v>0</v>
      </c>
      <c r="J8" s="79">
        <v>0</v>
      </c>
      <c r="K8" s="79">
        <v>1</v>
      </c>
      <c r="L8" s="79">
        <v>0</v>
      </c>
      <c r="M8" s="79">
        <v>1</v>
      </c>
      <c r="N8" s="79">
        <v>0</v>
      </c>
      <c r="O8" s="79">
        <v>1</v>
      </c>
      <c r="P8" s="70">
        <v>0</v>
      </c>
      <c r="Q8" s="79">
        <v>0</v>
      </c>
      <c r="R8" s="71">
        <v>1</v>
      </c>
      <c r="S8"/>
      <c r="T8"/>
      <c r="W8"/>
    </row>
    <row r="9" spans="1:23" ht="15" customHeight="1" x14ac:dyDescent="0.15">
      <c r="A9" s="122" t="s">
        <v>169</v>
      </c>
      <c r="B9" s="90">
        <v>0.42464015882644901</v>
      </c>
      <c r="C9" s="191" t="s">
        <v>216</v>
      </c>
      <c r="D9" s="83" t="s">
        <v>160</v>
      </c>
      <c r="F9" s="190" t="s">
        <v>195</v>
      </c>
      <c r="G9" s="79">
        <v>0</v>
      </c>
      <c r="H9" s="79">
        <v>0</v>
      </c>
      <c r="I9" s="79">
        <v>0</v>
      </c>
      <c r="J9" s="79">
        <v>0</v>
      </c>
      <c r="K9" s="79">
        <v>1</v>
      </c>
      <c r="L9" s="79">
        <v>0</v>
      </c>
      <c r="M9" s="79">
        <v>1</v>
      </c>
      <c r="N9" s="79">
        <v>0</v>
      </c>
      <c r="O9" s="79">
        <v>1</v>
      </c>
      <c r="P9" s="70">
        <v>0</v>
      </c>
      <c r="Q9" s="79">
        <v>0</v>
      </c>
      <c r="R9" s="71">
        <v>1</v>
      </c>
      <c r="S9"/>
      <c r="T9"/>
      <c r="W9"/>
    </row>
    <row r="10" spans="1:23" ht="15" customHeight="1" x14ac:dyDescent="0.15">
      <c r="B10" s="90">
        <v>2.7187999779407709E-2</v>
      </c>
      <c r="C10" s="191" t="s">
        <v>217</v>
      </c>
      <c r="D10" s="83" t="s">
        <v>160</v>
      </c>
      <c r="F10" s="190" t="s">
        <v>196</v>
      </c>
      <c r="G10" s="79">
        <v>0</v>
      </c>
      <c r="H10" s="79">
        <v>0</v>
      </c>
      <c r="I10" s="79">
        <v>0</v>
      </c>
      <c r="J10" s="79">
        <v>0</v>
      </c>
      <c r="K10" s="79">
        <v>1</v>
      </c>
      <c r="L10" s="79">
        <v>0</v>
      </c>
      <c r="M10" s="79">
        <v>1</v>
      </c>
      <c r="N10" s="79">
        <v>0</v>
      </c>
      <c r="O10" s="79">
        <v>1</v>
      </c>
      <c r="P10" s="70">
        <v>0</v>
      </c>
      <c r="Q10" s="79">
        <v>0</v>
      </c>
      <c r="R10" s="71">
        <v>1</v>
      </c>
      <c r="S10"/>
      <c r="T10"/>
      <c r="W10"/>
    </row>
    <row r="11" spans="1:23" ht="15" customHeight="1" x14ac:dyDescent="0.15">
      <c r="A11" s="81"/>
      <c r="B11" s="90"/>
      <c r="C11" s="93"/>
      <c r="D11" s="83" t="s">
        <v>160</v>
      </c>
      <c r="F11" s="190" t="s">
        <v>197</v>
      </c>
      <c r="G11" s="79">
        <v>0</v>
      </c>
      <c r="H11" s="79">
        <v>0</v>
      </c>
      <c r="I11" s="79">
        <v>0</v>
      </c>
      <c r="J11" s="79">
        <v>0</v>
      </c>
      <c r="K11" s="79">
        <v>1</v>
      </c>
      <c r="L11" s="79">
        <v>0</v>
      </c>
      <c r="M11" s="79">
        <v>1</v>
      </c>
      <c r="N11" s="79">
        <v>0</v>
      </c>
      <c r="O11" s="79">
        <v>1</v>
      </c>
      <c r="P11" s="70">
        <v>0</v>
      </c>
      <c r="Q11" s="79">
        <v>0</v>
      </c>
      <c r="R11" s="71">
        <v>1</v>
      </c>
      <c r="S11"/>
      <c r="T11"/>
      <c r="W11"/>
    </row>
    <row r="12" spans="1:23" ht="15" customHeight="1" x14ac:dyDescent="0.15">
      <c r="B12" s="90"/>
      <c r="C12" s="94"/>
      <c r="D12" s="83" t="s">
        <v>160</v>
      </c>
      <c r="F12" s="190" t="s">
        <v>198</v>
      </c>
      <c r="G12" s="79">
        <v>0</v>
      </c>
      <c r="H12" s="79">
        <v>0</v>
      </c>
      <c r="I12" s="79">
        <v>0</v>
      </c>
      <c r="J12" s="79">
        <v>0</v>
      </c>
      <c r="K12" s="79">
        <v>1</v>
      </c>
      <c r="L12" s="79">
        <v>0</v>
      </c>
      <c r="M12" s="79">
        <v>1</v>
      </c>
      <c r="N12" s="79">
        <v>0</v>
      </c>
      <c r="O12" s="79">
        <v>1</v>
      </c>
      <c r="P12" s="70">
        <v>0</v>
      </c>
      <c r="Q12" s="79">
        <v>0</v>
      </c>
      <c r="R12" s="71">
        <v>1</v>
      </c>
      <c r="S12"/>
      <c r="T12"/>
      <c r="W12"/>
    </row>
    <row r="13" spans="1:23" ht="15" customHeight="1" x14ac:dyDescent="0.15">
      <c r="B13" s="90"/>
      <c r="C13" s="94"/>
      <c r="D13" s="83" t="s">
        <v>160</v>
      </c>
      <c r="F13" s="190" t="s">
        <v>199</v>
      </c>
      <c r="G13" s="79">
        <v>0</v>
      </c>
      <c r="H13" s="79">
        <v>0</v>
      </c>
      <c r="I13" s="79">
        <v>0</v>
      </c>
      <c r="J13" s="79">
        <v>0</v>
      </c>
      <c r="K13" s="79">
        <v>1</v>
      </c>
      <c r="L13" s="79">
        <v>0</v>
      </c>
      <c r="M13" s="79">
        <v>1</v>
      </c>
      <c r="N13" s="79">
        <v>0</v>
      </c>
      <c r="O13" s="79">
        <v>1</v>
      </c>
      <c r="P13" s="70">
        <v>0</v>
      </c>
      <c r="Q13" s="79">
        <v>0</v>
      </c>
      <c r="R13" s="71">
        <v>1</v>
      </c>
      <c r="S13"/>
      <c r="T13"/>
      <c r="W13"/>
    </row>
    <row r="14" spans="1:23" ht="15" customHeight="1" x14ac:dyDescent="0.15">
      <c r="B14" s="90"/>
      <c r="C14" s="78"/>
      <c r="D14" s="83" t="s">
        <v>160</v>
      </c>
      <c r="F14" s="190" t="s">
        <v>200</v>
      </c>
      <c r="G14" s="79">
        <v>0</v>
      </c>
      <c r="H14" s="79">
        <v>0</v>
      </c>
      <c r="I14" s="79">
        <v>0</v>
      </c>
      <c r="J14" s="79">
        <v>0</v>
      </c>
      <c r="K14" s="79">
        <v>1</v>
      </c>
      <c r="L14" s="79">
        <v>0</v>
      </c>
      <c r="M14" s="79">
        <v>1</v>
      </c>
      <c r="N14" s="79">
        <v>0</v>
      </c>
      <c r="O14" s="79">
        <v>1</v>
      </c>
      <c r="P14" s="70">
        <v>0</v>
      </c>
      <c r="Q14" s="79">
        <v>0</v>
      </c>
      <c r="R14" s="71">
        <v>1</v>
      </c>
      <c r="S14"/>
      <c r="T14"/>
      <c r="W14"/>
    </row>
    <row r="15" spans="1:23" ht="15" customHeight="1" x14ac:dyDescent="0.15">
      <c r="B15" s="90"/>
      <c r="C15" s="78"/>
      <c r="D15" s="83" t="s">
        <v>160</v>
      </c>
      <c r="F15" s="190" t="s">
        <v>201</v>
      </c>
      <c r="G15" s="79">
        <v>0</v>
      </c>
      <c r="H15" s="79">
        <v>0</v>
      </c>
      <c r="I15" s="79">
        <v>0</v>
      </c>
      <c r="J15" s="79">
        <v>0</v>
      </c>
      <c r="K15" s="79">
        <v>1</v>
      </c>
      <c r="L15" s="79">
        <v>0</v>
      </c>
      <c r="M15" s="79">
        <v>1</v>
      </c>
      <c r="N15" s="79">
        <v>0</v>
      </c>
      <c r="O15" s="79">
        <v>1</v>
      </c>
      <c r="P15" s="70">
        <v>0</v>
      </c>
      <c r="Q15" s="79">
        <v>0</v>
      </c>
      <c r="R15" s="71">
        <v>1</v>
      </c>
      <c r="S15"/>
      <c r="T15"/>
      <c r="W15"/>
    </row>
    <row r="16" spans="1:23" ht="15" customHeight="1" x14ac:dyDescent="0.15">
      <c r="B16" s="90"/>
      <c r="C16" s="78"/>
      <c r="D16" s="83" t="s">
        <v>160</v>
      </c>
      <c r="F16" s="190" t="s">
        <v>202</v>
      </c>
      <c r="G16" s="79">
        <v>0</v>
      </c>
      <c r="H16" s="79">
        <v>0</v>
      </c>
      <c r="I16" s="79">
        <v>0</v>
      </c>
      <c r="J16" s="79">
        <v>0</v>
      </c>
      <c r="K16" s="79">
        <v>1</v>
      </c>
      <c r="L16" s="79">
        <v>0</v>
      </c>
      <c r="M16" s="79">
        <v>1</v>
      </c>
      <c r="N16" s="79">
        <v>0</v>
      </c>
      <c r="O16" s="79">
        <v>1</v>
      </c>
      <c r="P16" s="70">
        <v>0</v>
      </c>
      <c r="Q16" s="79">
        <v>0</v>
      </c>
      <c r="R16" s="71">
        <v>1</v>
      </c>
      <c r="S16"/>
      <c r="T16"/>
    </row>
    <row r="17" spans="1:20" ht="15" customHeight="1" thickBot="1" x14ac:dyDescent="0.2">
      <c r="B17" s="89"/>
      <c r="C17" s="78"/>
      <c r="D17" s="83" t="s">
        <v>160</v>
      </c>
      <c r="F17" s="190" t="s">
        <v>203</v>
      </c>
      <c r="G17" s="79">
        <v>0</v>
      </c>
      <c r="H17" s="79">
        <v>0</v>
      </c>
      <c r="I17" s="79">
        <v>0</v>
      </c>
      <c r="J17" s="79">
        <v>0</v>
      </c>
      <c r="K17" s="79">
        <v>1</v>
      </c>
      <c r="L17" s="79">
        <v>0</v>
      </c>
      <c r="M17" s="79">
        <v>1</v>
      </c>
      <c r="N17" s="79">
        <v>0</v>
      </c>
      <c r="O17" s="79">
        <v>1</v>
      </c>
      <c r="P17" s="70">
        <v>0</v>
      </c>
      <c r="Q17" s="79">
        <v>0</v>
      </c>
      <c r="R17" s="71">
        <v>1</v>
      </c>
      <c r="S17"/>
      <c r="T17"/>
    </row>
    <row r="18" spans="1:20" ht="15" customHeight="1" thickBot="1" x14ac:dyDescent="0.2">
      <c r="B18" s="91"/>
      <c r="F18" s="190" t="s">
        <v>204</v>
      </c>
      <c r="G18" s="79">
        <v>0</v>
      </c>
      <c r="H18" s="79">
        <v>0</v>
      </c>
      <c r="I18" s="79">
        <v>0</v>
      </c>
      <c r="J18" s="79">
        <v>0</v>
      </c>
      <c r="K18" s="79">
        <v>1</v>
      </c>
      <c r="L18" s="79">
        <v>0</v>
      </c>
      <c r="M18" s="79">
        <v>1</v>
      </c>
      <c r="N18" s="79">
        <v>0</v>
      </c>
      <c r="O18" s="79">
        <v>1</v>
      </c>
      <c r="P18" s="70">
        <v>0</v>
      </c>
      <c r="Q18" s="79">
        <v>0</v>
      </c>
      <c r="R18" s="71">
        <v>1</v>
      </c>
      <c r="S18"/>
      <c r="T18"/>
    </row>
    <row r="19" spans="1:20" ht="15" customHeight="1" x14ac:dyDescent="0.15">
      <c r="A19" s="81" t="s">
        <v>57</v>
      </c>
      <c r="B19" s="88">
        <v>0.54817184139414332</v>
      </c>
      <c r="C19" s="192" t="s">
        <v>215</v>
      </c>
      <c r="D19" s="83" t="s">
        <v>160</v>
      </c>
      <c r="F19" s="190" t="s">
        <v>205</v>
      </c>
      <c r="G19" s="79">
        <v>0</v>
      </c>
      <c r="H19" s="79">
        <v>0</v>
      </c>
      <c r="I19" s="79">
        <v>0</v>
      </c>
      <c r="J19" s="79">
        <v>0</v>
      </c>
      <c r="K19" s="79">
        <v>1</v>
      </c>
      <c r="L19" s="79">
        <v>0</v>
      </c>
      <c r="M19" s="79">
        <v>1</v>
      </c>
      <c r="N19" s="79">
        <v>0</v>
      </c>
      <c r="O19" s="79">
        <v>1</v>
      </c>
      <c r="P19" s="70">
        <v>0</v>
      </c>
      <c r="Q19" s="79">
        <v>0</v>
      </c>
      <c r="R19" s="71">
        <v>1</v>
      </c>
      <c r="S19"/>
      <c r="T19"/>
    </row>
    <row r="20" spans="1:20" ht="15" customHeight="1" x14ac:dyDescent="0.15">
      <c r="A20" s="122" t="s">
        <v>169</v>
      </c>
      <c r="B20" s="90">
        <v>0.42464015882644901</v>
      </c>
      <c r="C20" s="192" t="s">
        <v>216</v>
      </c>
      <c r="D20" s="83" t="s">
        <v>160</v>
      </c>
      <c r="F20" s="190" t="s">
        <v>206</v>
      </c>
      <c r="G20" s="79">
        <v>0</v>
      </c>
      <c r="H20" s="79">
        <v>0</v>
      </c>
      <c r="I20" s="79">
        <v>0</v>
      </c>
      <c r="J20" s="79">
        <v>0</v>
      </c>
      <c r="K20" s="79">
        <v>1</v>
      </c>
      <c r="L20" s="79">
        <v>0</v>
      </c>
      <c r="M20" s="79">
        <v>1</v>
      </c>
      <c r="N20" s="79">
        <v>0</v>
      </c>
      <c r="O20" s="79">
        <v>1</v>
      </c>
      <c r="P20" s="70">
        <v>0</v>
      </c>
      <c r="Q20" s="79">
        <v>0</v>
      </c>
      <c r="R20" s="71">
        <v>1</v>
      </c>
      <c r="S20"/>
      <c r="T20"/>
    </row>
    <row r="21" spans="1:20" ht="15" customHeight="1" x14ac:dyDescent="0.15">
      <c r="B21" s="90">
        <v>2.7187999779407709E-2</v>
      </c>
      <c r="C21" s="192" t="s">
        <v>217</v>
      </c>
      <c r="D21" s="83" t="s">
        <v>160</v>
      </c>
      <c r="F21" s="190" t="s">
        <v>207</v>
      </c>
      <c r="G21" s="79">
        <v>0</v>
      </c>
      <c r="H21" s="79">
        <v>0</v>
      </c>
      <c r="I21" s="79">
        <v>0</v>
      </c>
      <c r="J21" s="79">
        <v>0</v>
      </c>
      <c r="K21" s="79">
        <v>1</v>
      </c>
      <c r="L21" s="79">
        <v>0</v>
      </c>
      <c r="M21" s="79">
        <v>1</v>
      </c>
      <c r="N21" s="79">
        <v>0</v>
      </c>
      <c r="O21" s="79">
        <v>1</v>
      </c>
      <c r="P21" s="70">
        <v>0</v>
      </c>
      <c r="Q21" s="79">
        <v>0</v>
      </c>
      <c r="R21" s="71">
        <v>1</v>
      </c>
      <c r="S21"/>
      <c r="T21"/>
    </row>
    <row r="22" spans="1:20" ht="15" customHeight="1" x14ac:dyDescent="0.15">
      <c r="A22" s="79"/>
      <c r="B22" s="90"/>
      <c r="C22" s="93"/>
      <c r="D22" s="83" t="s">
        <v>160</v>
      </c>
      <c r="F22" s="190" t="s">
        <v>208</v>
      </c>
      <c r="G22" s="79">
        <v>0</v>
      </c>
      <c r="H22" s="79">
        <v>0</v>
      </c>
      <c r="I22" s="79">
        <v>0</v>
      </c>
      <c r="J22" s="79">
        <v>0</v>
      </c>
      <c r="K22" s="79">
        <v>1</v>
      </c>
      <c r="L22" s="79">
        <v>0</v>
      </c>
      <c r="M22" s="79">
        <v>1</v>
      </c>
      <c r="N22" s="79">
        <v>0</v>
      </c>
      <c r="O22" s="79">
        <v>1</v>
      </c>
      <c r="P22" s="70">
        <v>0</v>
      </c>
      <c r="Q22" s="79">
        <v>0</v>
      </c>
      <c r="R22" s="71">
        <v>1</v>
      </c>
      <c r="S22"/>
      <c r="T22"/>
    </row>
    <row r="23" spans="1:20" ht="15" customHeight="1" x14ac:dyDescent="0.15">
      <c r="A23" s="79"/>
      <c r="B23" s="90"/>
      <c r="C23" s="94"/>
      <c r="D23" s="83" t="s">
        <v>160</v>
      </c>
      <c r="F23" s="190" t="s">
        <v>166</v>
      </c>
      <c r="G23" s="79">
        <v>0</v>
      </c>
      <c r="H23" s="79">
        <v>0</v>
      </c>
      <c r="I23" s="79">
        <v>0</v>
      </c>
      <c r="J23" s="79">
        <v>0</v>
      </c>
      <c r="K23" s="79">
        <v>1</v>
      </c>
      <c r="L23" s="79">
        <v>0</v>
      </c>
      <c r="M23" s="79">
        <v>1</v>
      </c>
      <c r="N23" s="79">
        <v>0</v>
      </c>
      <c r="O23" s="79">
        <v>1</v>
      </c>
      <c r="P23" s="70">
        <v>0</v>
      </c>
      <c r="Q23" s="79">
        <v>0</v>
      </c>
      <c r="R23" s="71">
        <v>1</v>
      </c>
      <c r="S23"/>
      <c r="T23"/>
    </row>
    <row r="24" spans="1:20" ht="15" customHeight="1" x14ac:dyDescent="0.15">
      <c r="A24" s="79"/>
      <c r="B24" s="90"/>
      <c r="C24" s="94"/>
      <c r="D24" s="83" t="s">
        <v>160</v>
      </c>
      <c r="F24" s="190" t="s">
        <v>209</v>
      </c>
      <c r="G24" s="79">
        <v>0</v>
      </c>
      <c r="H24" s="79">
        <v>0</v>
      </c>
      <c r="I24" s="79">
        <v>0</v>
      </c>
      <c r="J24" s="79">
        <v>0</v>
      </c>
      <c r="K24" s="79">
        <v>1</v>
      </c>
      <c r="L24" s="79">
        <v>0</v>
      </c>
      <c r="M24" s="79">
        <v>1</v>
      </c>
      <c r="N24" s="79">
        <v>0</v>
      </c>
      <c r="O24" s="79">
        <v>1</v>
      </c>
      <c r="P24" s="70">
        <v>0</v>
      </c>
      <c r="Q24" s="79">
        <v>0</v>
      </c>
      <c r="R24" s="71">
        <v>1</v>
      </c>
      <c r="S24"/>
      <c r="T24"/>
    </row>
    <row r="25" spans="1:20" ht="15" customHeight="1" x14ac:dyDescent="0.15">
      <c r="A25" s="79"/>
      <c r="B25" s="90"/>
      <c r="C25" s="78"/>
      <c r="D25" s="83" t="s">
        <v>160</v>
      </c>
      <c r="F25" s="190" t="s">
        <v>210</v>
      </c>
      <c r="G25" s="79">
        <v>0</v>
      </c>
      <c r="H25" s="79">
        <v>0</v>
      </c>
      <c r="I25" s="79">
        <v>0</v>
      </c>
      <c r="J25" s="79">
        <v>0</v>
      </c>
      <c r="K25" s="79">
        <v>1</v>
      </c>
      <c r="L25" s="79">
        <v>0</v>
      </c>
      <c r="M25" s="79">
        <v>1</v>
      </c>
      <c r="N25" s="79">
        <v>0</v>
      </c>
      <c r="O25" s="79">
        <v>1</v>
      </c>
      <c r="P25" s="70">
        <v>0</v>
      </c>
      <c r="Q25" s="79">
        <v>0</v>
      </c>
      <c r="R25" s="71">
        <v>1</v>
      </c>
      <c r="S25"/>
      <c r="T25"/>
    </row>
    <row r="26" spans="1:20" ht="15" customHeight="1" x14ac:dyDescent="0.15">
      <c r="B26" s="90"/>
      <c r="C26" s="78"/>
      <c r="D26" s="83" t="s">
        <v>160</v>
      </c>
      <c r="F26" s="190" t="s">
        <v>211</v>
      </c>
      <c r="G26" s="79">
        <v>0</v>
      </c>
      <c r="H26" s="79">
        <v>0</v>
      </c>
      <c r="I26" s="79">
        <v>0</v>
      </c>
      <c r="J26" s="79">
        <v>0</v>
      </c>
      <c r="K26" s="79">
        <v>1</v>
      </c>
      <c r="L26" s="79">
        <v>0</v>
      </c>
      <c r="M26" s="79">
        <v>1</v>
      </c>
      <c r="N26" s="79">
        <v>0</v>
      </c>
      <c r="O26" s="79">
        <v>1</v>
      </c>
      <c r="P26" s="70">
        <v>0</v>
      </c>
      <c r="Q26" s="79">
        <v>0</v>
      </c>
      <c r="R26" s="71">
        <v>1</v>
      </c>
      <c r="S26"/>
      <c r="T26"/>
    </row>
    <row r="27" spans="1:20" ht="15" customHeight="1" x14ac:dyDescent="0.15">
      <c r="B27" s="90"/>
      <c r="C27" s="78"/>
      <c r="D27" s="83" t="s">
        <v>160</v>
      </c>
      <c r="F27" s="190" t="s">
        <v>212</v>
      </c>
      <c r="G27" s="79">
        <v>0</v>
      </c>
      <c r="H27" s="79">
        <v>0</v>
      </c>
      <c r="I27" s="79">
        <v>0</v>
      </c>
      <c r="J27" s="79">
        <v>0</v>
      </c>
      <c r="K27" s="79">
        <v>1</v>
      </c>
      <c r="L27" s="79">
        <v>0</v>
      </c>
      <c r="M27" s="79">
        <v>1</v>
      </c>
      <c r="N27" s="79">
        <v>0</v>
      </c>
      <c r="O27" s="79">
        <v>1</v>
      </c>
      <c r="P27" s="70">
        <v>0</v>
      </c>
      <c r="Q27" s="79">
        <v>0</v>
      </c>
      <c r="R27" s="71">
        <v>1</v>
      </c>
      <c r="S27"/>
      <c r="T27"/>
    </row>
    <row r="28" spans="1:20" ht="15" customHeight="1" thickBot="1" x14ac:dyDescent="0.2">
      <c r="B28" s="89"/>
      <c r="C28" s="78"/>
      <c r="D28" s="83" t="s">
        <v>160</v>
      </c>
      <c r="F28" s="190" t="s">
        <v>213</v>
      </c>
      <c r="G28" s="79">
        <v>0</v>
      </c>
      <c r="H28" s="79">
        <v>0</v>
      </c>
      <c r="I28" s="79">
        <v>0</v>
      </c>
      <c r="J28" s="79">
        <v>0</v>
      </c>
      <c r="K28" s="79">
        <v>1</v>
      </c>
      <c r="L28" s="79">
        <v>0</v>
      </c>
      <c r="M28" s="79">
        <v>1</v>
      </c>
      <c r="N28" s="79">
        <v>0</v>
      </c>
      <c r="O28" s="79">
        <v>1</v>
      </c>
      <c r="P28" s="70">
        <v>0</v>
      </c>
      <c r="Q28" s="79">
        <v>0</v>
      </c>
      <c r="R28" s="71">
        <v>1</v>
      </c>
      <c r="S28"/>
      <c r="T28"/>
    </row>
    <row r="29" spans="1:20" ht="15" customHeight="1" x14ac:dyDescent="0.15">
      <c r="F29" s="190" t="s">
        <v>214</v>
      </c>
      <c r="G29" s="79">
        <v>0</v>
      </c>
      <c r="H29" s="79">
        <v>0</v>
      </c>
      <c r="I29" s="79">
        <v>0</v>
      </c>
      <c r="J29" s="79">
        <v>0</v>
      </c>
      <c r="K29" s="79">
        <v>1</v>
      </c>
      <c r="L29" s="79">
        <v>0</v>
      </c>
      <c r="M29" s="79">
        <v>1</v>
      </c>
      <c r="N29" s="79">
        <v>0</v>
      </c>
      <c r="O29" s="79">
        <v>1</v>
      </c>
      <c r="P29" s="70">
        <v>0</v>
      </c>
      <c r="Q29" s="79">
        <v>0</v>
      </c>
      <c r="R29" s="71">
        <v>1</v>
      </c>
      <c r="S29"/>
      <c r="T29"/>
    </row>
    <row r="30" spans="1:20" ht="15" customHeight="1" x14ac:dyDescent="0.15">
      <c r="F30" s="190" t="s">
        <v>215</v>
      </c>
      <c r="G30" s="79">
        <v>0</v>
      </c>
      <c r="H30" s="79">
        <v>0</v>
      </c>
      <c r="I30" s="79">
        <v>0</v>
      </c>
      <c r="J30" s="79">
        <v>0</v>
      </c>
      <c r="K30" s="79">
        <v>0</v>
      </c>
      <c r="L30" s="79">
        <v>0</v>
      </c>
      <c r="M30" s="79">
        <v>1</v>
      </c>
      <c r="N30" s="79">
        <v>0</v>
      </c>
      <c r="O30" s="79">
        <v>0</v>
      </c>
      <c r="P30" s="70">
        <v>0</v>
      </c>
      <c r="Q30" s="79">
        <v>0</v>
      </c>
      <c r="R30" s="71">
        <v>1</v>
      </c>
      <c r="S30"/>
      <c r="T30"/>
    </row>
    <row r="31" spans="1:20" ht="15" customHeight="1" x14ac:dyDescent="0.15">
      <c r="A31" s="123"/>
      <c r="B31" s="132" t="s">
        <v>17</v>
      </c>
      <c r="C31" s="132" t="s">
        <v>1</v>
      </c>
      <c r="D31" s="132" t="s">
        <v>161</v>
      </c>
      <c r="E31" s="133" t="s">
        <v>163</v>
      </c>
      <c r="F31" s="190" t="s">
        <v>216</v>
      </c>
      <c r="G31" s="79">
        <v>0</v>
      </c>
      <c r="H31" s="79">
        <v>0</v>
      </c>
      <c r="I31" s="79">
        <v>0</v>
      </c>
      <c r="J31" s="79">
        <v>0</v>
      </c>
      <c r="K31" s="79">
        <v>0</v>
      </c>
      <c r="L31" s="79">
        <v>0</v>
      </c>
      <c r="M31" s="79">
        <v>1</v>
      </c>
      <c r="N31" s="79">
        <v>0</v>
      </c>
      <c r="O31" s="79">
        <v>0</v>
      </c>
      <c r="P31" s="70">
        <v>0</v>
      </c>
      <c r="Q31" s="79">
        <v>0</v>
      </c>
      <c r="R31" s="71">
        <v>1</v>
      </c>
      <c r="S31"/>
      <c r="T31"/>
    </row>
    <row r="32" spans="1:20" ht="15" customHeight="1" x14ac:dyDescent="0.15">
      <c r="A32" s="193" t="s">
        <v>215</v>
      </c>
      <c r="B32" s="91">
        <v>71</v>
      </c>
      <c r="C32" s="91">
        <v>70</v>
      </c>
      <c r="D32" s="91">
        <v>4970</v>
      </c>
      <c r="E32" s="124">
        <v>0.54817184139414332</v>
      </c>
      <c r="F32" s="190" t="s">
        <v>217</v>
      </c>
      <c r="G32" s="79">
        <v>0</v>
      </c>
      <c r="H32" s="79">
        <v>0</v>
      </c>
      <c r="I32" s="79">
        <v>0</v>
      </c>
      <c r="J32" s="79">
        <v>0</v>
      </c>
      <c r="K32" s="79">
        <v>0</v>
      </c>
      <c r="L32" s="79">
        <v>0</v>
      </c>
      <c r="M32" s="79">
        <v>1</v>
      </c>
      <c r="N32" s="79">
        <v>0</v>
      </c>
      <c r="O32" s="79">
        <v>0</v>
      </c>
      <c r="P32" s="70">
        <v>0</v>
      </c>
      <c r="Q32" s="79">
        <v>0</v>
      </c>
      <c r="R32" s="71">
        <v>1</v>
      </c>
      <c r="S32"/>
      <c r="T32"/>
    </row>
    <row r="33" spans="1:20" ht="15" customHeight="1" x14ac:dyDescent="0.15">
      <c r="A33" s="193" t="s">
        <v>216</v>
      </c>
      <c r="B33" s="91">
        <v>55</v>
      </c>
      <c r="C33" s="91">
        <v>70</v>
      </c>
      <c r="D33" s="91">
        <v>3850</v>
      </c>
      <c r="E33" s="124">
        <v>0.42464015882644901</v>
      </c>
      <c r="F33" s="190" t="s">
        <v>218</v>
      </c>
      <c r="G33" s="79">
        <v>0</v>
      </c>
      <c r="H33" s="79">
        <v>0</v>
      </c>
      <c r="I33" s="79">
        <v>0</v>
      </c>
      <c r="J33" s="79">
        <v>0</v>
      </c>
      <c r="K33" s="79">
        <v>0</v>
      </c>
      <c r="L33" s="79">
        <v>1</v>
      </c>
      <c r="M33" s="79">
        <v>0</v>
      </c>
      <c r="N33" s="79">
        <v>1</v>
      </c>
      <c r="O33" s="79">
        <v>0</v>
      </c>
      <c r="P33" s="70">
        <v>1</v>
      </c>
      <c r="Q33" s="79">
        <v>0</v>
      </c>
      <c r="R33" s="71">
        <v>1</v>
      </c>
      <c r="S33"/>
      <c r="T33"/>
    </row>
    <row r="34" spans="1:20" ht="15" customHeight="1" x14ac:dyDescent="0.15">
      <c r="A34" s="193" t="s">
        <v>217</v>
      </c>
      <c r="B34" s="91">
        <v>19.72</v>
      </c>
      <c r="C34" s="91">
        <v>12.5</v>
      </c>
      <c r="D34" s="91">
        <v>246.5</v>
      </c>
      <c r="E34" s="124">
        <v>2.7187999779407709E-2</v>
      </c>
      <c r="F34" s="190" t="s">
        <v>219</v>
      </c>
      <c r="G34" s="79">
        <v>0</v>
      </c>
      <c r="H34" s="79">
        <v>0</v>
      </c>
      <c r="I34" s="79">
        <v>0</v>
      </c>
      <c r="J34" s="79">
        <v>0</v>
      </c>
      <c r="K34" s="79">
        <v>0</v>
      </c>
      <c r="L34" s="79">
        <v>1</v>
      </c>
      <c r="M34" s="79">
        <v>0</v>
      </c>
      <c r="N34" s="79">
        <v>1</v>
      </c>
      <c r="O34" s="79">
        <v>0</v>
      </c>
      <c r="P34" s="70">
        <v>1</v>
      </c>
      <c r="Q34" s="79">
        <v>0</v>
      </c>
      <c r="R34" s="71">
        <v>1</v>
      </c>
      <c r="S34"/>
      <c r="T34"/>
    </row>
    <row r="35" spans="1:20" ht="15" customHeight="1" x14ac:dyDescent="0.15">
      <c r="A35" s="125"/>
      <c r="B35" s="91"/>
      <c r="C35" s="91"/>
      <c r="D35" s="91"/>
      <c r="E35" s="124"/>
      <c r="F35" s="190" t="s">
        <v>220</v>
      </c>
      <c r="G35" s="79">
        <v>0</v>
      </c>
      <c r="H35" s="79">
        <v>0</v>
      </c>
      <c r="I35" s="79">
        <v>0</v>
      </c>
      <c r="J35" s="79">
        <v>0</v>
      </c>
      <c r="K35" s="79">
        <v>0</v>
      </c>
      <c r="L35" s="79">
        <v>1</v>
      </c>
      <c r="M35" s="79">
        <v>0</v>
      </c>
      <c r="N35" s="79">
        <v>0</v>
      </c>
      <c r="O35" s="79">
        <v>0</v>
      </c>
      <c r="P35" s="70">
        <v>0</v>
      </c>
      <c r="Q35" s="79">
        <v>0</v>
      </c>
      <c r="R35" s="71">
        <v>1</v>
      </c>
      <c r="S35"/>
      <c r="T35"/>
    </row>
    <row r="36" spans="1:20" ht="15" customHeight="1" x14ac:dyDescent="0.15">
      <c r="A36" s="126"/>
      <c r="B36" s="91"/>
      <c r="C36" s="91"/>
      <c r="D36" s="91"/>
      <c r="E36" s="124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6"/>
      <c r="B37" s="91"/>
      <c r="C37" s="91"/>
      <c r="D37" s="91"/>
      <c r="E37" s="124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7"/>
      <c r="B38" s="91"/>
      <c r="C38" s="91"/>
      <c r="D38" s="91"/>
      <c r="E38" s="124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7"/>
      <c r="B39" s="91"/>
      <c r="C39" s="91"/>
      <c r="D39" s="91"/>
      <c r="E39" s="124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7"/>
      <c r="B40" s="91"/>
      <c r="C40" s="91"/>
      <c r="D40" s="91"/>
      <c r="E40" s="124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7"/>
      <c r="B41" s="91"/>
      <c r="C41" s="91"/>
      <c r="D41" s="92"/>
      <c r="E41" s="128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9"/>
      <c r="B42" s="130"/>
      <c r="C42" s="130" t="s">
        <v>162</v>
      </c>
      <c r="D42" s="130">
        <f>SUM(D32:D41)</f>
        <v>9066.5</v>
      </c>
      <c r="E42" s="131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9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9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9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9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9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9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9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9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9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9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9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9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9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9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9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9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9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9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9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9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9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9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9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9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9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9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9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9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9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9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9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9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9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9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9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9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9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9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9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9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9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9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9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9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9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9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9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9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9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9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9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9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9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9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9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9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9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9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9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9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9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9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9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9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9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9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9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9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9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9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9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9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9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9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9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9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9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9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9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9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9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9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9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9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9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9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9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9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9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9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9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9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9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9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9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9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9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9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9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9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9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9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9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9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9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9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9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9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9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9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9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9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9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9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9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9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9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9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9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9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9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9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9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9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9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8" customWidth="1"/>
    <col min="3" max="5" width="7.83203125" style="108" customWidth="1"/>
    <col min="6" max="8" width="8.83203125" style="6"/>
    <col min="9" max="9" width="9.1640625" style="6" customWidth="1"/>
    <col min="10" max="10" width="5.33203125" style="6" customWidth="1"/>
    <col min="11" max="11" width="6.83203125" style="6" customWidth="1"/>
    <col min="12" max="12" width="4.83203125" style="6" customWidth="1"/>
    <col min="13" max="13" width="6.33203125" style="6" customWidth="1"/>
    <col min="14" max="14" width="8.83203125" style="6" customWidth="1"/>
    <col min="15" max="15" width="14" style="6" customWidth="1"/>
    <col min="16" max="16" width="14.83203125" style="6" customWidth="1"/>
    <col min="17" max="17" width="9.5" style="6" customWidth="1"/>
    <col min="18" max="18" width="12.5" style="6" customWidth="1"/>
    <col min="19" max="19" width="7.33203125" style="6" customWidth="1"/>
    <col min="20" max="20" width="9" style="6" customWidth="1"/>
    <col min="21" max="21" width="8.6640625" style="6" customWidth="1"/>
    <col min="22" max="22" width="5.33203125" style="6" customWidth="1"/>
    <col min="23" max="23" width="10.5" style="6" customWidth="1"/>
    <col min="24" max="24" width="11" style="6" customWidth="1"/>
    <col min="25" max="25" width="10.6640625" style="6" customWidth="1"/>
    <col min="26" max="26" width="11.6640625" style="6" customWidth="1"/>
    <col min="27" max="27" width="7.83203125" style="6" customWidth="1"/>
    <col min="28" max="28" width="11" style="6" customWidth="1"/>
    <col min="29" max="29" width="13" style="6" customWidth="1"/>
    <col min="30" max="30" width="11.83203125" style="6" customWidth="1"/>
    <col min="31" max="31" width="8.33203125" style="6" customWidth="1"/>
    <col min="32" max="32" width="9.6640625" style="6" customWidth="1"/>
    <col min="33" max="33" width="13.33203125" style="6" customWidth="1"/>
    <col min="34" max="34" width="8.1640625" style="6" customWidth="1"/>
    <col min="35" max="35" width="10.83203125" style="6" customWidth="1"/>
    <col min="36" max="36" width="7.6640625" style="6" customWidth="1"/>
    <col min="37" max="37" width="21.6640625" style="6" customWidth="1"/>
    <col min="38" max="38" width="6.5" style="6" customWidth="1"/>
    <col min="81" max="81" width="22.1640625" bestFit="1" customWidth="1"/>
  </cols>
  <sheetData>
    <row r="1" spans="1:38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195" t="s">
        <v>192</v>
      </c>
      <c r="J1" s="195" t="s">
        <v>193</v>
      </c>
      <c r="K1" s="195" t="s">
        <v>194</v>
      </c>
      <c r="L1" s="195" t="s">
        <v>195</v>
      </c>
      <c r="M1" s="195" t="s">
        <v>196</v>
      </c>
      <c r="N1" s="195" t="s">
        <v>197</v>
      </c>
      <c r="O1" s="195" t="s">
        <v>198</v>
      </c>
      <c r="P1" s="195" t="s">
        <v>199</v>
      </c>
      <c r="Q1" s="195" t="s">
        <v>200</v>
      </c>
      <c r="R1" s="195" t="s">
        <v>201</v>
      </c>
      <c r="S1" s="195" t="s">
        <v>202</v>
      </c>
      <c r="T1" s="195" t="s">
        <v>203</v>
      </c>
      <c r="U1" s="195" t="s">
        <v>204</v>
      </c>
      <c r="V1" s="195" t="s">
        <v>205</v>
      </c>
      <c r="W1" s="195" t="s">
        <v>206</v>
      </c>
      <c r="X1" s="195" t="s">
        <v>207</v>
      </c>
      <c r="Y1" s="195" t="s">
        <v>208</v>
      </c>
      <c r="Z1" s="195" t="s">
        <v>166</v>
      </c>
      <c r="AA1" s="195" t="s">
        <v>209</v>
      </c>
      <c r="AB1" s="195" t="s">
        <v>210</v>
      </c>
      <c r="AC1" s="195" t="s">
        <v>211</v>
      </c>
      <c r="AD1" s="195" t="s">
        <v>212</v>
      </c>
      <c r="AE1" s="195" t="s">
        <v>213</v>
      </c>
      <c r="AF1" s="195" t="s">
        <v>214</v>
      </c>
      <c r="AG1" s="195" t="s">
        <v>215</v>
      </c>
      <c r="AH1" s="195" t="s">
        <v>216</v>
      </c>
      <c r="AI1" s="195" t="s">
        <v>217</v>
      </c>
      <c r="AJ1" s="195" t="s">
        <v>218</v>
      </c>
      <c r="AK1" s="195" t="s">
        <v>219</v>
      </c>
      <c r="AL1" s="195" t="s">
        <v>220</v>
      </c>
    </row>
    <row r="2" spans="1:38" x14ac:dyDescent="0.15">
      <c r="A2" t="s">
        <v>38</v>
      </c>
      <c r="B2" s="10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94" t="s">
        <v>192</v>
      </c>
      <c r="B5" s="10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94" t="s">
        <v>193</v>
      </c>
      <c r="B6" s="10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94" t="s">
        <v>194</v>
      </c>
      <c r="B7" s="10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94" t="s">
        <v>195</v>
      </c>
      <c r="B8" s="10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94" t="s">
        <v>196</v>
      </c>
      <c r="B9" s="10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94" t="s">
        <v>197</v>
      </c>
      <c r="B10" s="10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94" t="s">
        <v>198</v>
      </c>
      <c r="B11" s="10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94" t="s">
        <v>199</v>
      </c>
      <c r="B12" s="10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94" t="s">
        <v>200</v>
      </c>
      <c r="B13" s="10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94" t="s">
        <v>201</v>
      </c>
      <c r="B14" s="10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94" t="s">
        <v>202</v>
      </c>
      <c r="B15" s="10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94" t="s">
        <v>203</v>
      </c>
      <c r="B16" s="10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4" t="s">
        <v>204</v>
      </c>
      <c r="B17" s="10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4" t="s">
        <v>205</v>
      </c>
      <c r="B18" s="10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4" t="s">
        <v>206</v>
      </c>
      <c r="B19" s="10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4" t="s">
        <v>207</v>
      </c>
      <c r="B20" s="108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4" t="s">
        <v>208</v>
      </c>
      <c r="B21" s="108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4" t="s">
        <v>166</v>
      </c>
      <c r="B22" s="108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4" t="s">
        <v>209</v>
      </c>
      <c r="B23" s="108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4" t="s">
        <v>210</v>
      </c>
      <c r="B24" s="108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4" t="s">
        <v>211</v>
      </c>
      <c r="B25" s="108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4" t="s">
        <v>212</v>
      </c>
      <c r="B26" s="108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4" t="s">
        <v>213</v>
      </c>
      <c r="B27" s="108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4" t="s">
        <v>214</v>
      </c>
      <c r="B28" s="108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4" t="s">
        <v>215</v>
      </c>
      <c r="B29" s="108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4" t="s">
        <v>216</v>
      </c>
      <c r="B30" s="108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4" t="s">
        <v>217</v>
      </c>
      <c r="B31" s="108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4" t="s">
        <v>218</v>
      </c>
      <c r="B32" s="108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4" t="s">
        <v>219</v>
      </c>
      <c r="B33" s="108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4" t="s">
        <v>220</v>
      </c>
      <c r="B34" s="108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B36"/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2022-10-23T22:45:50Z</dcterms:modified>
</cp:coreProperties>
</file>