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Pacific/Pacific_ECOTRAN_K-path_versions/"/>
    </mc:Choice>
  </mc:AlternateContent>
  <xr:revisionPtr revIDLastSave="0" documentId="13_ncr:1_{6A919BF8-EF02-0C4E-8B99-5E9D7F7B06A2}" xr6:coauthVersionLast="45" xr6:coauthVersionMax="45" xr10:uidLastSave="{00000000-0000-0000-0000-000000000000}"/>
  <bookViews>
    <workbookView xWindow="0" yWindow="460" windowWidth="25600" windowHeight="14240" tabRatio="728" activeTab="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Main!$C$2:$N$33</definedName>
    <definedName name="matDetritus">Detritus!$C$2:$F$33</definedName>
    <definedName name="matDiet">Diets!$B$2:$Z$30</definedName>
    <definedName name="matDiscards">Discards!$C$2:$F$29</definedName>
    <definedName name="matFishery">Fishing!$C$2:$F$29</definedName>
    <definedName name="matFishing">Fishing!#REF!</definedName>
    <definedName name="matMort">Mortalities!$A$1:$AI$29</definedName>
    <definedName name="matOut">MainOutputs!$A$2:$I$33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<sst xmlns="http://schemas.openxmlformats.org/spreadsheetml/2006/main" count="929" uniqueCount="232">
  <si>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</si>
  <si>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</si>
  <si>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</si>
  <si>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</si>
  <si>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</si>
  <si>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</si>
  <si>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</si>
  <si>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</si>
  <si>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</si>
  <si>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</si>
  <si>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</si>
  <si>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</si>
  <si>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</si>
  <si>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</si>
  <si>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</si>
  <si>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</si>
  <si>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</si>
  <si>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</si>
  <si>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</si>
  <si>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</si>
  <si>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</si>
  <si>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</si>
  <si>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</si>
  <si>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</si>
  <si>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</si>
  <si>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</si>
  <si>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</si>
  <si>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</si>
  <si>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</si>
  <si>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</si>
  <si>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</si>
  <si>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</si>
  <si>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</si>
  <si>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</si>
  <si>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</si>
  <si>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</si>
  <si>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</si>
  <si>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</si>
  <si>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</si>
  <si>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</si>
  <si>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</si>
  <si>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</si>
  <si>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</si>
  <si>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</si>
  <si>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</si>
  <si>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</si>
  <si>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</si>
  <si>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</si>
  <si>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</si>
  <si>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</si>
  <si>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</si>
  <si>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</si>
  <si>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</si>
  <si>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</si>
  <si>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</si>
  <si>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</si>
  <si>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</si>
  <si>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</si>
  <si>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</si>
  <si>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</si>
  <si>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</si>
  <si>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</si>
  <si>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</si>
  <si>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</si>
  <si>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</si>
  <si>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</si>
  <si>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</si>
  <si>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</si>
  <si>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</si>
  <si>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</si>
  <si>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</si>
  <si>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</si>
  <si>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</si>
  <si>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</si>
  <si>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</si>
  <si>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</si>
  <si>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</si>
  <si>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</si>
  <si>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</si>
  <si>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</si>
  <si>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</si>
  <si>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</si>
  <si>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</si>
  <si>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</si>
  <si>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</si>
  <si>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</si>
  <si>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</si>
  <si>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</si>
  <si>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</si>
  <si>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</si>
  <si>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</si>
  <si>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</si>
  <si>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</si>
  <si>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</si>
  <si>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</si>
  <si>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</si>
  <si>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</si>
  <si>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</si>
  <si>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</si>
  <si>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</si>
  <si>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</si>
  <si>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</si>
  <si>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</si>
  <si>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</si>
  <si>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</si>
  <si>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</si>
  <si>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</si>
  <si>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</si>
  <si>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</si>
  <si>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</si>
  <si>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</si>
  <si>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</si>
  <si>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</si>
  <si>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</si>
  <si>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</si>
  <si>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</si>
  <si>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</si>
  <si>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</si>
  <si>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</si>
  <si>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</si>
  <si>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</si>
  <si>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</si>
  <si>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</si>
  <si>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</si>
  <si>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</si>
  <si>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</si>
  <si>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</si>
  <si>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</si>
  <si>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</si>
  <si>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</si>
  <si>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</si>
  <si>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</si>
  <si>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</si>
  <si>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</si>
  <si>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</si>
  <si>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</si>
  <si>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</si>
  <si>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</si>
  <si>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</si>
  <si>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</si>
  <si>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</si>
  <si>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</si>
  <si>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</si>
  <si>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</si>
  <si>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</si>
  <si>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</si>
  <si>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</si>
  <si>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</si>
  <si>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</si>
  <si>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</si>
  <si>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</si>
  <si>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</si>
  <si>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</si>
  <si>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</si>
  <si>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</si>
  <si>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</si>
  <si>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</si>
  <si>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</si>
  <si>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</si>
  <si>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</si>
  <si>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</si>
  <si>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</si>
  <si>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</si>
  <si>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</si>
  <si>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</si>
  <si>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</si>
  <si>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</si>
  <si>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</si>
  <si>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</si>
  <si>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</si>
  <si>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</si>
  <si>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</si>
  <si>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</si>
  <si>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</si>
  <si>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</si>
  <si>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</si>
  <si>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</si>
  <si>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</si>
  <si>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</si>
  <si>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</si>
  <si>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</si>
  <si>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</si>
  <si>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</si>
  <si>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</si>
  <si>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</si>
  <si>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Central Gulf of California</t>
  </si>
  <si>
    <t>Mexico</t>
  </si>
  <si>
    <t>BOX(-113.023685650276 25.3307338850648,-108.313843519246 30.0807634550903)</t>
  </si>
  <si>
    <t>channel/strait</t>
  </si>
  <si>
    <t>WetWeight</t>
  </si>
  <si>
    <t>; 14/04/2006 11:09:21 a.m.; 14/04/2006 11:11:28 a.m.; 14/04/2006 11:15:11 a.m.</t>
  </si>
  <si>
    <t>Arreguın-Sánchez F.,Arcos E.,Chávez E.A.(2002). Flows of biomass and structure in an exploited benthic ecosystem in the Gulf of California, Mexico Ecological Modelling. pp 167-183</t>
  </si>
  <si>
    <t>Sea mammals</t>
  </si>
  <si>
    <t>Sea birds</t>
  </si>
  <si>
    <t>Sciaenidae</t>
  </si>
  <si>
    <t>Scombridae</t>
  </si>
  <si>
    <t>Sharks / Rays</t>
  </si>
  <si>
    <t>Squid</t>
  </si>
  <si>
    <t>Carangidae</t>
  </si>
  <si>
    <t>Serranidae</t>
  </si>
  <si>
    <t>Scorp/Triglidae</t>
  </si>
  <si>
    <t>Other fish</t>
  </si>
  <si>
    <t>Haemulidae</t>
  </si>
  <si>
    <t>Clupaeidae</t>
  </si>
  <si>
    <t>Lutjanidae</t>
  </si>
  <si>
    <t>Paralichthydae</t>
  </si>
  <si>
    <t>Other molluscs</t>
  </si>
  <si>
    <t>Myctophidae</t>
  </si>
  <si>
    <t>Other macrocrus</t>
  </si>
  <si>
    <t>Red crab</t>
  </si>
  <si>
    <t>Shrimp</t>
  </si>
  <si>
    <t>Crabs</t>
  </si>
  <si>
    <t>Polychaeta</t>
  </si>
  <si>
    <t>Stomatopods</t>
  </si>
  <si>
    <t>Zooplankton</t>
  </si>
  <si>
    <t>Meiobenthos</t>
  </si>
  <si>
    <t>Phytoplankton</t>
  </si>
  <si>
    <t>Discarded fish</t>
  </si>
  <si>
    <t>Detritus</t>
  </si>
  <si>
    <t>detritus_TerminalBenthic</t>
  </si>
  <si>
    <t>Small Scale</t>
  </si>
  <si>
    <t>Shrimp Trawl</t>
  </si>
  <si>
    <t>Import</t>
  </si>
  <si>
    <t>export</t>
  </si>
  <si>
    <t>sum</t>
  </si>
  <si>
    <t>TOTAL</t>
  </si>
  <si>
    <t>F Small Scale</t>
  </si>
  <si>
    <t>F Shrimp Trawl</t>
  </si>
  <si>
    <t>Sardine_fleet</t>
  </si>
  <si>
    <t>Squid_fleet</t>
  </si>
  <si>
    <t>F Sardine_fleet</t>
  </si>
  <si>
    <t>F Squid_fleet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</si>
</sst>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2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F3B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4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1" fillId="0" borderId="0" xfId="0" applyFont="1" applyAlignment="1">
      <alignment horizontal="center"/>
    </xf>
    <xf numFmtId="0" fontId="0" fillId="29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1" borderId="0" xfId="0" applyFill="1"/>
    <xf numFmtId="0" fontId="0" fillId="0" borderId="0" xfId="0" applyFont="1" applyFill="1" applyAlignment="1">
      <alignment horizontal="center"/>
    </xf>
    <xf numFmtId="0" fontId="0" fillId="3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0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0" borderId="3" xfId="0" applyNumberFormat="1" applyFont="1" applyFill="1" applyBorder="1"/>
    <xf numFmtId="0" fontId="0" fillId="30" borderId="2" xfId="0" applyFont="1" applyFill="1" applyBorder="1"/>
    <xf numFmtId="0" fontId="0" fillId="30" borderId="3" xfId="0" applyFont="1" applyFill="1" applyBorder="1"/>
    <xf numFmtId="0" fontId="0" fillId="30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zoomScale="125" zoomScaleNormal="125" zoomScalePageLayoutView="125" workbookViewId="0"/>
  </sheetViews>
  <sheetFormatPr baseColWidth="10" defaultColWidth="8.83203125" defaultRowHeight="13" x14ac:dyDescent="0.15"/>
  <cols>
    <col min="2" max="2" width="16" customWidth="1"/>
    <col min="3" max="3" width="152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164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165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4" x14ac:dyDescent="0.15">
      <c r="B49" s="45" t="s">
        <v>44</v>
      </c>
      <c r="C49" s="29">
        <v>5</v>
      </c>
    </row>
    <row r="50" spans="2:4" x14ac:dyDescent="0.15">
      <c r="B50" s="45"/>
      <c r="C50" s="29"/>
    </row>
    <row r="51" spans="2:4" ht="14" thickBot="1" x14ac:dyDescent="0.2">
      <c r="B51" s="46" t="s">
        <v>73</v>
      </c>
      <c r="C51" s="30">
        <v>7</v>
      </c>
    </row>
    <row r="53" spans="2:4" x14ac:dyDescent="0.15">
      <c r="B53" s="166" t="s">
        <v>171</v>
      </c>
      <c r="C53" s="101">
        <v>239</v>
      </c>
      <c r="D53" s="101"/>
    </row>
    <row r="54" spans="2:4" x14ac:dyDescent="0.15">
      <c r="B54" s="166" t="s">
        <v>172</v>
      </c>
      <c r="C54" s="166" t="s">
        <v>185</v>
      </c>
      <c r="D54" s="101"/>
    </row>
    <row r="55" spans="2:4" x14ac:dyDescent="0.15">
      <c r="B55" s="166" t="s">
        <v>173</v>
      </c>
      <c r="C55" s="166" t="s">
        <v>186</v>
      </c>
      <c r="D55" s="101"/>
    </row>
    <row r="56" spans="2:4" x14ac:dyDescent="0.15">
      <c r="B56" s="166" t="s">
        <v>174</v>
      </c>
      <c r="C56" s="101">
        <v>27900</v>
      </c>
      <c r="D56" s="101"/>
    </row>
    <row r="57" spans="2:4" x14ac:dyDescent="0.15">
      <c r="B57" s="166" t="s">
        <v>175</v>
      </c>
      <c r="C57" s="166" t="s">
        <v>187</v>
      </c>
      <c r="D57" s="101"/>
    </row>
    <row r="58" spans="2:4" x14ac:dyDescent="0.15">
      <c r="B58" s="166" t="s">
        <v>176</v>
      </c>
      <c r="C58" s="166" t="s">
        <v>188</v>
      </c>
      <c r="D58" s="101"/>
    </row>
    <row r="59" spans="2:4" x14ac:dyDescent="0.15">
      <c r="B59" s="166" t="s">
        <v>177</v>
      </c>
      <c r="C59" s="166" t="s">
        <v>189</v>
      </c>
      <c r="D59" s="101"/>
    </row>
    <row r="60" spans="2:4" x14ac:dyDescent="0.15">
      <c r="B60" s="166" t="s">
        <v>178</v>
      </c>
      <c r="C60" s="166" t="s">
        <v>190</v>
      </c>
      <c r="D60" s="101"/>
    </row>
    <row r="61" spans="2:4" x14ac:dyDescent="0.15">
      <c r="B61" s="166" t="s">
        <v>179</v>
      </c>
      <c r="C61" s="101">
        <v>27</v>
      </c>
      <c r="D61" s="101"/>
    </row>
    <row r="62" spans="2:4" x14ac:dyDescent="0.15">
      <c r="B62" s="166" t="s">
        <v>180</v>
      </c>
      <c r="C62" s="101">
        <v>4</v>
      </c>
      <c r="D62" s="101"/>
    </row>
    <row r="63" spans="2:4" x14ac:dyDescent="0.15">
      <c r="B63" s="166" t="s">
        <v>181</v>
      </c>
      <c r="C63" s="101">
        <v>1978</v>
      </c>
      <c r="D63" s="101"/>
    </row>
    <row r="64" spans="2:4" x14ac:dyDescent="0.15">
      <c r="B64" s="166" t="s">
        <v>182</v>
      </c>
      <c r="C64" s="101">
        <v>2</v>
      </c>
      <c r="D64" s="101"/>
    </row>
    <row r="65" spans="2:4" x14ac:dyDescent="0.15">
      <c r="B65" s="166" t="s">
        <v>183</v>
      </c>
      <c r="C65" s="166" t="s">
        <v>191</v>
      </c>
      <c r="D65" s="101"/>
    </row>
    <row r="66" spans="2:4" x14ac:dyDescent="0.15">
      <c r="B66" s="166" t="s">
        <v>184</v>
      </c>
      <c r="D66" s="101"/>
    </row>
    <row r="67" spans="2:4" x14ac:dyDescent="0.15">
      <c r="B67" s="101"/>
      <c r="C67" s="101"/>
      <c r="D67" s="101"/>
    </row>
    <row r="68" spans="2:4" x14ac:dyDescent="0.15">
      <c r="B68" s="101"/>
      <c r="C68" s="101"/>
      <c r="D68" s="10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abSelected="1" workbookViewId="0">
      <pane ySplit="1" topLeftCell="A2" activePane="bottomLeft" state="frozenSplit"/>
      <selection activeCell="E1" sqref="E1"/>
      <selection pane="bottomLeft" activeCell="P8" sqref="P8"/>
    </sheetView>
  </sheetViews>
  <sheetFormatPr baseColWidth="10" defaultColWidth="8.83203125" defaultRowHeight="15" customHeight="1" x14ac:dyDescent="0.15"/>
  <cols>
    <col min="1" max="1" width="22.5" style="73" customWidth="1"/>
    <col min="2" max="3" width="3.33203125" style="73" customWidth="1"/>
    <col min="4" max="4" width="14.33203125" style="73" customWidth="1"/>
    <col min="5" max="5" width="21.6640625" style="73" bestFit="1" customWidth="1"/>
    <col min="6" max="6" width="2.33203125" style="73" bestFit="1" customWidth="1"/>
    <col min="7" max="7" width="12.83203125" style="73" bestFit="1" customWidth="1"/>
    <col min="8" max="9" width="6.83203125" style="73" customWidth="1"/>
    <col min="10" max="10" width="11.83203125" style="73" customWidth="1"/>
    <col min="11" max="11" width="13.83203125" style="73" customWidth="1"/>
    <col min="12" max="12" width="9.5" style="73" customWidth="1"/>
    <col min="13" max="13" width="3.83203125" style="73" customWidth="1"/>
    <col min="14" max="14" width="2.33203125" style="73" customWidth="1"/>
    <col min="16" max="25" width="8.83203125" style="7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3"/>
  </cols>
  <sheetData>
    <row r="1" spans="1:46" s="90" customFormat="1" ht="15" customHeight="1" x14ac:dyDescent="0.15">
      <c r="A1" s="69" t="s">
        <v>18</v>
      </c>
      <c r="C1" s="70" t="s">
        <v>8</v>
      </c>
      <c r="D1" s="69" t="s">
        <v>23</v>
      </c>
      <c r="E1" s="69" t="s">
        <v>0</v>
      </c>
      <c r="F1" s="69" t="s">
        <v>7</v>
      </c>
      <c r="G1" s="71" t="s">
        <v>13</v>
      </c>
      <c r="H1" s="69" t="s">
        <v>1</v>
      </c>
      <c r="I1" s="69" t="s">
        <v>2</v>
      </c>
      <c r="J1" s="69" t="s">
        <v>14</v>
      </c>
      <c r="K1" s="69" t="s">
        <v>3</v>
      </c>
      <c r="L1" s="69" t="s">
        <v>4</v>
      </c>
      <c r="M1" s="69" t="s">
        <v>5</v>
      </c>
      <c r="N1" s="6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0">
        <v>1</v>
      </c>
      <c r="D2"/>
      <c r="E2" s="167" t="s">
        <v>192</v>
      </c>
      <c r="F2" s="73">
        <v>0</v>
      </c>
      <c r="G2" s="73">
        <v>1.4999999999999999E-2</v>
      </c>
      <c r="H2" s="73">
        <v>2.165</v>
      </c>
      <c r="I2" s="6">
        <v>29.303999999999998</v>
      </c>
      <c r="J2" s="6">
        <v>0</v>
      </c>
      <c r="K2" s="6">
        <v>7.3880694799999994E-2</v>
      </c>
      <c r="L2" s="6">
        <v>0</v>
      </c>
      <c r="M2" s="73">
        <v>0.2</v>
      </c>
      <c r="N2" s="73">
        <v>0</v>
      </c>
    </row>
    <row r="3" spans="1:46" ht="15" customHeight="1" x14ac:dyDescent="0.15">
      <c r="A3" s="1" t="s">
        <v>9</v>
      </c>
      <c r="B3" s="4">
        <v>25</v>
      </c>
      <c r="C3" s="73">
        <v>2</v>
      </c>
      <c r="D3"/>
      <c r="E3" s="167" t="s">
        <v>193</v>
      </c>
      <c r="F3" s="73">
        <v>0</v>
      </c>
      <c r="G3" s="73">
        <v>1.2999999999999999E-2</v>
      </c>
      <c r="H3" s="73">
        <v>0.39100000000000001</v>
      </c>
      <c r="I3" s="73">
        <v>89.031999999999996</v>
      </c>
      <c r="J3" s="73">
        <v>0</v>
      </c>
      <c r="K3" s="73">
        <v>4.3916795400000003E-3</v>
      </c>
      <c r="L3" s="73">
        <v>0</v>
      </c>
      <c r="M3" s="73">
        <v>0.2</v>
      </c>
      <c r="N3" s="73">
        <v>0</v>
      </c>
    </row>
    <row r="4" spans="1:46" ht="15" customHeight="1" x14ac:dyDescent="0.15">
      <c r="A4" s="1" t="s">
        <v>10</v>
      </c>
      <c r="B4" s="4">
        <v>3</v>
      </c>
      <c r="C4" s="73">
        <v>3</v>
      </c>
      <c r="D4"/>
      <c r="E4" s="167" t="s">
        <v>194</v>
      </c>
      <c r="F4" s="73">
        <v>0</v>
      </c>
      <c r="G4" s="73">
        <v>0.30877536500000002</v>
      </c>
      <c r="H4" s="73">
        <v>0.79100000000000004</v>
      </c>
      <c r="I4" s="73">
        <v>4.4169999999999998</v>
      </c>
      <c r="J4" s="73">
        <v>0.94099999999999995</v>
      </c>
      <c r="K4" s="73">
        <v>0.179080829</v>
      </c>
      <c r="L4" s="73">
        <v>0</v>
      </c>
      <c r="M4" s="73">
        <v>0.2</v>
      </c>
      <c r="N4" s="7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4</v>
      </c>
      <c r="C5" s="73">
        <v>4</v>
      </c>
      <c r="D5"/>
      <c r="E5" s="167" t="s">
        <v>195</v>
      </c>
      <c r="F5" s="73">
        <v>0</v>
      </c>
      <c r="G5" s="73">
        <v>0.29528543400000001</v>
      </c>
      <c r="H5" s="73">
        <v>0.86399999999999999</v>
      </c>
      <c r="I5" s="73">
        <v>7.2649999999999997</v>
      </c>
      <c r="J5" s="73">
        <v>0.96</v>
      </c>
      <c r="K5" s="73">
        <v>0.11892636099999999</v>
      </c>
      <c r="L5" s="73">
        <v>0</v>
      </c>
      <c r="M5" s="73">
        <v>0.2</v>
      </c>
      <c r="N5" s="73">
        <v>0</v>
      </c>
      <c r="P5" s="64"/>
      <c r="Q5" s="64"/>
      <c r="R5" s="64"/>
    </row>
    <row r="6" spans="1:46" ht="15" customHeight="1" thickBot="1" x14ac:dyDescent="0.2">
      <c r="B6" s="1"/>
      <c r="C6" s="73">
        <v>5</v>
      </c>
      <c r="D6"/>
      <c r="E6" s="167" t="s">
        <v>196</v>
      </c>
      <c r="F6" s="73">
        <v>0</v>
      </c>
      <c r="G6" s="73">
        <v>0.17852970000000001</v>
      </c>
      <c r="H6" s="73">
        <v>0.46500000000000002</v>
      </c>
      <c r="I6" s="73">
        <v>9.48</v>
      </c>
      <c r="J6" s="73">
        <v>0.73599999999999999</v>
      </c>
      <c r="K6" s="73">
        <v>4.9050636600000003E-2</v>
      </c>
      <c r="L6" s="73">
        <v>0</v>
      </c>
      <c r="M6" s="73">
        <v>0.2</v>
      </c>
      <c r="N6" s="73">
        <v>0</v>
      </c>
      <c r="P6" s="64"/>
      <c r="Q6" s="64"/>
      <c r="R6" s="64"/>
      <c r="W6" s="32" t="s">
        <v>31</v>
      </c>
      <c r="X6" s="48">
        <f>MAX(MainOutputs!G:G)</f>
        <v>0.98413634300231934</v>
      </c>
    </row>
    <row r="7" spans="1:46" ht="15" customHeight="1" x14ac:dyDescent="0.15">
      <c r="A7" s="2" t="s">
        <v>27</v>
      </c>
      <c r="B7" s="73">
        <f ca="1">COUNTIF(OFFSET(cornerDiets,1,1,NumLiving+NumDead+1,NumLiving+NumDead),"&gt;0")+NumLiving+NumDead+1</f>
        <v>182</v>
      </c>
      <c r="C7" s="73">
        <v>6</v>
      </c>
      <c r="D7"/>
      <c r="E7" s="167" t="s">
        <v>197</v>
      </c>
      <c r="F7" s="73">
        <v>0</v>
      </c>
      <c r="G7" s="73">
        <v>1.13985538</v>
      </c>
      <c r="H7" s="73">
        <v>3.1629999999999998</v>
      </c>
      <c r="I7" s="73">
        <v>19.265000000000001</v>
      </c>
      <c r="J7" s="73">
        <v>0.82499999999999996</v>
      </c>
      <c r="K7" s="73">
        <v>0.16418376600000001</v>
      </c>
      <c r="L7" s="73">
        <v>0</v>
      </c>
      <c r="M7" s="73">
        <v>0.2</v>
      </c>
      <c r="N7" s="73">
        <v>0</v>
      </c>
      <c r="P7" s="64"/>
      <c r="Q7" s="64"/>
      <c r="R7" s="64"/>
    </row>
    <row r="8" spans="1:46" ht="15" customHeight="1" x14ac:dyDescent="0.15">
      <c r="A8" s="2" t="s">
        <v>28</v>
      </c>
      <c r="B8" s="73">
        <f ca="1">COUNTIF(OFFSET(cornerFishing,1,2,NumLiving+NumDead,NumGears),"&gt;0")+NumDead*COUNTIF(OFFSET(cornerDiscards,1,2,NumLiving+NumDead,NumGears),"&gt;0")+NumLiving+NumDead+1</f>
        <v>78</v>
      </c>
      <c r="C8" s="73">
        <v>7</v>
      </c>
      <c r="D8"/>
      <c r="E8" s="167" t="s">
        <v>198</v>
      </c>
      <c r="F8" s="73">
        <v>0</v>
      </c>
      <c r="G8" s="73">
        <v>0.92070149999999995</v>
      </c>
      <c r="H8" s="73">
        <v>0.63500000000000001</v>
      </c>
      <c r="I8" s="73">
        <v>3.2040000000000002</v>
      </c>
      <c r="J8" s="73">
        <v>0.96700006699999996</v>
      </c>
      <c r="K8" s="73">
        <v>0.19818976499999999</v>
      </c>
      <c r="L8" s="73">
        <v>0</v>
      </c>
      <c r="M8" s="73">
        <v>0.2</v>
      </c>
      <c r="N8" s="73">
        <v>0</v>
      </c>
      <c r="P8" s="64"/>
      <c r="Q8" s="64"/>
      <c r="R8" s="64"/>
    </row>
    <row r="9" spans="1:46" ht="15" customHeight="1" x14ac:dyDescent="0.15">
      <c r="B9" s="1"/>
      <c r="C9" s="73">
        <v>8</v>
      </c>
      <c r="D9"/>
      <c r="E9" s="167" t="s">
        <v>199</v>
      </c>
      <c r="F9" s="73">
        <v>0</v>
      </c>
      <c r="G9" s="73">
        <v>0.32700000000000001</v>
      </c>
      <c r="H9" s="73">
        <v>1.323</v>
      </c>
      <c r="I9" s="73">
        <v>6.444</v>
      </c>
      <c r="J9" s="73">
        <v>0.90210650000000003</v>
      </c>
      <c r="K9" s="73">
        <v>0.20530725999999999</v>
      </c>
      <c r="L9" s="73">
        <v>0</v>
      </c>
      <c r="M9" s="73">
        <v>0.2</v>
      </c>
      <c r="N9" s="73">
        <v>0</v>
      </c>
      <c r="P9" s="64"/>
      <c r="Q9" s="64"/>
      <c r="R9" s="64"/>
    </row>
    <row r="10" spans="1:46" ht="15" customHeight="1" x14ac:dyDescent="0.15">
      <c r="B10" s="1"/>
      <c r="C10" s="73">
        <v>9</v>
      </c>
      <c r="D10"/>
      <c r="E10" s="167" t="s">
        <v>200</v>
      </c>
      <c r="F10" s="73">
        <v>0</v>
      </c>
      <c r="G10" s="73">
        <v>0.112</v>
      </c>
      <c r="H10" s="73">
        <v>0.82099999999999995</v>
      </c>
      <c r="I10" s="73">
        <v>3.883</v>
      </c>
      <c r="J10" s="73">
        <v>0.79143229999999998</v>
      </c>
      <c r="K10" s="73">
        <v>0.21143445399999999</v>
      </c>
      <c r="L10" s="73">
        <v>0</v>
      </c>
      <c r="M10" s="73">
        <v>0.2</v>
      </c>
      <c r="N10" s="73">
        <v>0</v>
      </c>
    </row>
    <row r="11" spans="1:46" ht="15" customHeight="1" x14ac:dyDescent="0.15">
      <c r="C11" s="73">
        <v>10</v>
      </c>
      <c r="D11"/>
      <c r="E11" s="167" t="s">
        <v>201</v>
      </c>
      <c r="F11" s="73">
        <v>0</v>
      </c>
      <c r="G11" s="73">
        <v>2.2053024799999998</v>
      </c>
      <c r="H11" s="73">
        <v>1.528</v>
      </c>
      <c r="I11" s="73">
        <v>7.9539999999999997</v>
      </c>
      <c r="J11" s="73">
        <v>0.93300000000000005</v>
      </c>
      <c r="K11" s="73">
        <v>0.19210460800000001</v>
      </c>
      <c r="L11" s="73">
        <v>0</v>
      </c>
      <c r="M11" s="73">
        <v>0.2</v>
      </c>
      <c r="N11" s="73">
        <v>0</v>
      </c>
    </row>
    <row r="12" spans="1:46" ht="15" customHeight="1" x14ac:dyDescent="0.15">
      <c r="C12" s="73">
        <v>11</v>
      </c>
      <c r="D12"/>
      <c r="E12" s="167" t="s">
        <v>202</v>
      </c>
      <c r="F12" s="73">
        <v>0</v>
      </c>
      <c r="G12" s="73">
        <v>0.33700000000000002</v>
      </c>
      <c r="H12" s="73">
        <v>1.474</v>
      </c>
      <c r="I12" s="73">
        <v>8.5670000000000002</v>
      </c>
      <c r="J12" s="73">
        <v>0.49699121699999999</v>
      </c>
      <c r="K12" s="73">
        <v>0.172055557</v>
      </c>
      <c r="L12" s="73">
        <v>0</v>
      </c>
      <c r="M12" s="73">
        <v>0.2</v>
      </c>
      <c r="N12" s="73">
        <v>0</v>
      </c>
    </row>
    <row r="13" spans="1:46" ht="15" customHeight="1" x14ac:dyDescent="0.15">
      <c r="C13" s="73">
        <v>12</v>
      </c>
      <c r="D13"/>
      <c r="E13" s="167" t="s">
        <v>203</v>
      </c>
      <c r="F13" s="73">
        <v>0</v>
      </c>
      <c r="G13" s="73">
        <v>10.668581</v>
      </c>
      <c r="H13" s="73">
        <v>3.3090000000000002</v>
      </c>
      <c r="I13" s="73">
        <v>10.555999999999999</v>
      </c>
      <c r="J13" s="73">
        <v>0.94</v>
      </c>
      <c r="K13" s="73">
        <v>0.31347101900000002</v>
      </c>
      <c r="L13" s="73">
        <v>0</v>
      </c>
      <c r="M13" s="73">
        <v>0.2</v>
      </c>
      <c r="N13" s="73">
        <v>0</v>
      </c>
    </row>
    <row r="14" spans="1:46" ht="15" customHeight="1" x14ac:dyDescent="0.15">
      <c r="C14" s="73">
        <v>13</v>
      </c>
      <c r="D14"/>
      <c r="E14" s="167" t="s">
        <v>204</v>
      </c>
      <c r="F14" s="73">
        <v>0</v>
      </c>
      <c r="G14" s="73">
        <v>0.17416104700000001</v>
      </c>
      <c r="H14" s="73">
        <v>0.60099999999999998</v>
      </c>
      <c r="I14" s="73">
        <v>5.0880000000000001</v>
      </c>
      <c r="J14" s="73">
        <v>0.94899999999999995</v>
      </c>
      <c r="K14" s="73">
        <v>0.11812107299999999</v>
      </c>
      <c r="L14" s="73">
        <v>0</v>
      </c>
      <c r="M14" s="73">
        <v>0.2</v>
      </c>
      <c r="N14" s="73">
        <v>0</v>
      </c>
    </row>
    <row r="15" spans="1:46" ht="15" customHeight="1" x14ac:dyDescent="0.15">
      <c r="C15" s="73">
        <v>14</v>
      </c>
      <c r="D15"/>
      <c r="E15" s="167" t="s">
        <v>205</v>
      </c>
      <c r="F15" s="73">
        <v>0</v>
      </c>
      <c r="G15" s="73">
        <v>0.54339119999999996</v>
      </c>
      <c r="H15" s="73">
        <v>0.58399999999999996</v>
      </c>
      <c r="I15" s="73">
        <v>2.9870000000000001</v>
      </c>
      <c r="J15" s="73">
        <v>0.96499990000000002</v>
      </c>
      <c r="K15" s="73">
        <v>0.195513889</v>
      </c>
      <c r="L15" s="73">
        <v>0</v>
      </c>
      <c r="M15" s="73">
        <v>0.2</v>
      </c>
      <c r="N15" s="73">
        <v>0</v>
      </c>
    </row>
    <row r="16" spans="1:46" ht="15" customHeight="1" x14ac:dyDescent="0.15">
      <c r="C16" s="73">
        <v>15</v>
      </c>
      <c r="D16"/>
      <c r="E16" s="167" t="s">
        <v>206</v>
      </c>
      <c r="F16" s="73">
        <v>0</v>
      </c>
      <c r="G16" s="73">
        <v>0.68600000000000005</v>
      </c>
      <c r="H16" s="73">
        <v>2.0179999999999998</v>
      </c>
      <c r="I16" s="73">
        <v>8.7520000000000007</v>
      </c>
      <c r="J16" s="73">
        <v>0.98413634299999997</v>
      </c>
      <c r="K16" s="73">
        <v>0.23057585999999999</v>
      </c>
      <c r="L16" s="73">
        <v>0</v>
      </c>
      <c r="M16" s="73">
        <v>0.2</v>
      </c>
      <c r="N16" s="73">
        <v>0</v>
      </c>
    </row>
    <row r="17" spans="1:22" ht="15" customHeight="1" x14ac:dyDescent="0.15">
      <c r="C17" s="73">
        <v>16</v>
      </c>
      <c r="D17"/>
      <c r="E17" s="167" t="s">
        <v>207</v>
      </c>
      <c r="F17" s="73">
        <v>0</v>
      </c>
      <c r="G17" s="73">
        <v>0.86488310000000002</v>
      </c>
      <c r="H17" s="73">
        <v>1.456</v>
      </c>
      <c r="I17" s="73">
        <v>7.9370000000000003</v>
      </c>
      <c r="J17" s="73">
        <v>0.80300000000000005</v>
      </c>
      <c r="K17" s="73">
        <v>0.183444634</v>
      </c>
      <c r="L17" s="73">
        <v>0</v>
      </c>
      <c r="M17" s="73">
        <v>0.2</v>
      </c>
      <c r="N17" s="73">
        <v>0</v>
      </c>
      <c r="V17" s="1" t="s">
        <v>30</v>
      </c>
    </row>
    <row r="18" spans="1:22" ht="15" customHeight="1" x14ac:dyDescent="0.15">
      <c r="C18" s="73">
        <v>17</v>
      </c>
      <c r="D18"/>
      <c r="E18" s="167" t="s">
        <v>208</v>
      </c>
      <c r="F18" s="73">
        <v>0</v>
      </c>
      <c r="G18" s="73">
        <v>0.492733747</v>
      </c>
      <c r="H18" s="73">
        <v>2.3370000000000002</v>
      </c>
      <c r="I18" s="73">
        <v>7.9379999999999997</v>
      </c>
      <c r="J18" s="73">
        <v>0.95799999999999996</v>
      </c>
      <c r="K18" s="73">
        <v>0.29440662299999998</v>
      </c>
      <c r="L18" s="73">
        <v>0</v>
      </c>
      <c r="M18" s="73">
        <v>0.2</v>
      </c>
      <c r="N18" s="73">
        <v>0</v>
      </c>
      <c r="V18" s="1"/>
    </row>
    <row r="19" spans="1:22" ht="15" customHeight="1" x14ac:dyDescent="0.15">
      <c r="C19" s="73">
        <v>18</v>
      </c>
      <c r="D19"/>
      <c r="E19" s="167" t="s">
        <v>209</v>
      </c>
      <c r="F19" s="73">
        <v>0</v>
      </c>
      <c r="G19" s="73">
        <v>5.8999999999999997E-2</v>
      </c>
      <c r="H19" s="73">
        <v>6.734</v>
      </c>
      <c r="I19" s="73">
        <v>24.547000000000001</v>
      </c>
      <c r="J19" s="73">
        <v>0.26411030000000002</v>
      </c>
      <c r="K19" s="73">
        <v>0.274330884</v>
      </c>
      <c r="L19" s="73">
        <v>0</v>
      </c>
      <c r="M19" s="73">
        <v>0.2</v>
      </c>
      <c r="N19" s="73">
        <v>0</v>
      </c>
    </row>
    <row r="20" spans="1:22" ht="15" customHeight="1" thickBot="1" x14ac:dyDescent="0.2">
      <c r="C20" s="73">
        <v>19</v>
      </c>
      <c r="D20"/>
      <c r="E20" s="167" t="s">
        <v>210</v>
      </c>
      <c r="F20" s="73">
        <v>0</v>
      </c>
      <c r="G20" s="73">
        <v>0.50201785600000004</v>
      </c>
      <c r="H20" s="73">
        <v>5.875</v>
      </c>
      <c r="I20" s="73">
        <v>20.14</v>
      </c>
      <c r="J20" s="73">
        <v>0.92</v>
      </c>
      <c r="K20" s="73">
        <v>0.291708052</v>
      </c>
      <c r="L20" s="73">
        <v>0</v>
      </c>
      <c r="M20" s="73">
        <v>0.2</v>
      </c>
      <c r="N20" s="73">
        <v>0</v>
      </c>
    </row>
    <row r="21" spans="1:22" ht="15" customHeight="1" thickBot="1" x14ac:dyDescent="0.2">
      <c r="A21" s="43" t="s">
        <v>137</v>
      </c>
      <c r="B21" s="91"/>
      <c r="C21" s="73">
        <v>20</v>
      </c>
      <c r="D21"/>
      <c r="E21" s="167" t="s">
        <v>211</v>
      </c>
      <c r="F21" s="73">
        <v>0</v>
      </c>
      <c r="G21" s="73">
        <v>0.35326647799999999</v>
      </c>
      <c r="H21" s="73">
        <v>2.6379999999999999</v>
      </c>
      <c r="I21" s="73">
        <v>9.0719999999999992</v>
      </c>
      <c r="J21" s="73">
        <v>0.96399999999999997</v>
      </c>
      <c r="K21" s="73">
        <v>0.29078483599999999</v>
      </c>
      <c r="L21" s="73">
        <v>0</v>
      </c>
      <c r="M21" s="73">
        <v>0.2</v>
      </c>
      <c r="N21" s="73">
        <v>0</v>
      </c>
    </row>
    <row r="22" spans="1:22" ht="15" customHeight="1" x14ac:dyDescent="0.15">
      <c r="A22" s="92" t="s">
        <v>58</v>
      </c>
      <c r="B22" s="93">
        <v>0</v>
      </c>
      <c r="C22" s="73">
        <v>21</v>
      </c>
      <c r="D22"/>
      <c r="E22" s="167" t="s">
        <v>212</v>
      </c>
      <c r="F22" s="73">
        <v>0</v>
      </c>
      <c r="G22" s="73">
        <v>0.62011269999999996</v>
      </c>
      <c r="H22" s="73">
        <v>4.2830000000000004</v>
      </c>
      <c r="I22" s="73">
        <v>20.611000000000001</v>
      </c>
      <c r="J22" s="73">
        <v>0.95099999999999996</v>
      </c>
      <c r="K22" s="73">
        <v>0.207801655</v>
      </c>
      <c r="L22" s="73">
        <v>0</v>
      </c>
      <c r="M22" s="73">
        <v>0.2</v>
      </c>
      <c r="N22" s="73">
        <v>0</v>
      </c>
    </row>
    <row r="23" spans="1:22" ht="15" customHeight="1" x14ac:dyDescent="0.15">
      <c r="A23" s="92" t="s">
        <v>59</v>
      </c>
      <c r="B23" s="93">
        <v>1</v>
      </c>
      <c r="C23" s="73">
        <v>22</v>
      </c>
      <c r="D23"/>
      <c r="E23" s="167" t="s">
        <v>213</v>
      </c>
      <c r="F23" s="73">
        <v>0</v>
      </c>
      <c r="G23" s="73">
        <v>1.8715992599999998E-2</v>
      </c>
      <c r="H23" s="73">
        <v>2.1680000000000001</v>
      </c>
      <c r="I23" s="73">
        <v>8.7469999999999999</v>
      </c>
      <c r="J23" s="73">
        <v>0.94399999999999995</v>
      </c>
      <c r="K23" s="73">
        <v>0.247856408</v>
      </c>
      <c r="L23" s="73">
        <v>0</v>
      </c>
      <c r="M23" s="73">
        <v>0.2</v>
      </c>
      <c r="N23" s="73">
        <v>0</v>
      </c>
    </row>
    <row r="24" spans="1:22" ht="15" customHeight="1" x14ac:dyDescent="0.15">
      <c r="A24" s="92" t="s">
        <v>60</v>
      </c>
      <c r="B24" s="93">
        <v>2</v>
      </c>
      <c r="C24" s="73">
        <v>23</v>
      </c>
      <c r="D24"/>
      <c r="E24" s="167" t="s">
        <v>214</v>
      </c>
      <c r="F24" s="73">
        <v>0</v>
      </c>
      <c r="G24" s="73">
        <v>20.175000000000001</v>
      </c>
      <c r="H24" s="73">
        <v>24.457999999999998</v>
      </c>
      <c r="I24" s="73">
        <v>97.703999999999994</v>
      </c>
      <c r="J24" s="73">
        <v>0.88060236000000003</v>
      </c>
      <c r="K24" s="73">
        <v>0.25032752800000002</v>
      </c>
      <c r="L24" s="73">
        <v>0</v>
      </c>
      <c r="M24" s="73">
        <v>0.2</v>
      </c>
      <c r="N24" s="73">
        <v>0</v>
      </c>
    </row>
    <row r="25" spans="1:22" ht="15" customHeight="1" thickBot="1" x14ac:dyDescent="0.2">
      <c r="A25" s="94" t="s">
        <v>44</v>
      </c>
      <c r="B25" s="95">
        <v>3</v>
      </c>
      <c r="C25" s="73">
        <v>24</v>
      </c>
      <c r="D25"/>
      <c r="E25" s="167" t="s">
        <v>215</v>
      </c>
      <c r="F25" s="73">
        <v>0</v>
      </c>
      <c r="G25" s="73">
        <v>1.6480459999999999</v>
      </c>
      <c r="H25" s="73">
        <v>8.4440000000000008</v>
      </c>
      <c r="I25" s="73">
        <v>52.927999999999997</v>
      </c>
      <c r="J25" s="73">
        <v>0.93399995599999996</v>
      </c>
      <c r="K25" s="73">
        <v>0.15953747900000001</v>
      </c>
      <c r="L25" s="73">
        <v>0</v>
      </c>
      <c r="M25" s="73">
        <v>0.2</v>
      </c>
      <c r="N25" s="73">
        <v>0</v>
      </c>
    </row>
    <row r="26" spans="1:22" ht="15" customHeight="1" x14ac:dyDescent="0.15">
      <c r="A26" s="96" t="s">
        <v>140</v>
      </c>
      <c r="C26" s="73">
        <v>25</v>
      </c>
      <c r="D26"/>
      <c r="E26" s="167" t="s">
        <v>216</v>
      </c>
      <c r="F26" s="73">
        <v>1</v>
      </c>
      <c r="G26" s="73">
        <v>26.140132900000001</v>
      </c>
      <c r="H26" s="73">
        <v>66.396000000000001</v>
      </c>
      <c r="I26" s="73">
        <v>0</v>
      </c>
      <c r="J26" s="73">
        <v>0.9</v>
      </c>
      <c r="K26" s="73">
        <v>0</v>
      </c>
      <c r="L26" s="73">
        <v>0</v>
      </c>
      <c r="M26" s="73">
        <v>0</v>
      </c>
      <c r="N26" s="73">
        <v>0</v>
      </c>
    </row>
    <row r="27" spans="1:22" ht="15" customHeight="1" x14ac:dyDescent="0.15">
      <c r="C27" s="73">
        <v>26</v>
      </c>
      <c r="D27"/>
      <c r="E27" s="167" t="s">
        <v>217</v>
      </c>
      <c r="F27" s="73">
        <v>2</v>
      </c>
      <c r="G27" s="73">
        <v>0.64700000000000002</v>
      </c>
      <c r="H27" s="73">
        <v>0</v>
      </c>
      <c r="I27" s="73">
        <v>0</v>
      </c>
      <c r="J27" s="73">
        <v>0</v>
      </c>
      <c r="K27" s="73">
        <v>0</v>
      </c>
      <c r="L27" s="73">
        <v>-4.623793</v>
      </c>
      <c r="M27" s="73">
        <v>0</v>
      </c>
      <c r="N27" s="73">
        <v>0</v>
      </c>
    </row>
    <row r="28" spans="1:22" ht="15" customHeight="1" x14ac:dyDescent="0.15">
      <c r="C28" s="73">
        <v>27</v>
      </c>
      <c r="D28"/>
      <c r="E28" s="167" t="s">
        <v>218</v>
      </c>
      <c r="F28" s="73">
        <v>2</v>
      </c>
      <c r="G28" s="73">
        <v>2</v>
      </c>
      <c r="H28" s="73">
        <v>0</v>
      </c>
      <c r="I28" s="73">
        <v>0</v>
      </c>
      <c r="J28" s="73">
        <v>0.30731332300000003</v>
      </c>
      <c r="K28" s="73">
        <v>0</v>
      </c>
      <c r="L28" s="73">
        <v>231.9847</v>
      </c>
      <c r="M28" s="73">
        <v>0</v>
      </c>
      <c r="N28" s="73">
        <v>0</v>
      </c>
    </row>
    <row r="29" spans="1:22" customFormat="1" ht="15" customHeight="1" x14ac:dyDescent="0.15">
      <c r="C29" s="73">
        <v>28</v>
      </c>
      <c r="E29" s="167" t="s">
        <v>219</v>
      </c>
      <c r="F29" s="73">
        <v>2</v>
      </c>
      <c r="G29" s="73">
        <v>5</v>
      </c>
      <c r="H29" s="73">
        <v>0</v>
      </c>
      <c r="I29" s="73">
        <v>0</v>
      </c>
      <c r="J29" s="73">
        <v>0</v>
      </c>
      <c r="K29" s="73">
        <v>0</v>
      </c>
      <c r="L29" s="73">
        <v>0</v>
      </c>
      <c r="M29" s="73">
        <v>0</v>
      </c>
      <c r="N29" s="73">
        <v>0</v>
      </c>
    </row>
    <row r="30" spans="1:22" customFormat="1" ht="15" customHeight="1" x14ac:dyDescent="0.15">
      <c r="C30" s="73">
        <v>29</v>
      </c>
      <c r="E30" s="167" t="s">
        <v>220</v>
      </c>
      <c r="F30" s="73">
        <v>3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0</v>
      </c>
      <c r="M30" s="73">
        <v>0</v>
      </c>
      <c r="N30" s="73">
        <v>0</v>
      </c>
    </row>
    <row r="31" spans="1:22" customFormat="1" ht="15" customHeight="1" x14ac:dyDescent="0.15">
      <c r="C31" s="73">
        <v>30</v>
      </c>
      <c r="E31" s="167" t="s">
        <v>221</v>
      </c>
      <c r="F31" s="73">
        <v>3</v>
      </c>
      <c r="G31" s="73">
        <v>0</v>
      </c>
      <c r="H31" s="73">
        <v>0</v>
      </c>
      <c r="I31" s="73">
        <v>0</v>
      </c>
      <c r="J31" s="73">
        <v>0</v>
      </c>
      <c r="K31" s="73">
        <v>0</v>
      </c>
      <c r="L31" s="73">
        <v>0</v>
      </c>
      <c r="M31" s="73">
        <v>0</v>
      </c>
      <c r="N31" s="73">
        <v>0</v>
      </c>
    </row>
    <row r="32" spans="1:22" customFormat="1" ht="15" customHeight="1" x14ac:dyDescent="0.15">
      <c r="C32" s="73">
        <v>31</v>
      </c>
      <c r="E32" s="167" t="s">
        <v>228</v>
      </c>
      <c r="F32" s="73">
        <v>3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</row>
    <row r="33" spans="3:14" customFormat="1" ht="15" customHeight="1" x14ac:dyDescent="0.15">
      <c r="C33" s="73">
        <v>32</v>
      </c>
      <c r="E33" s="167" t="s">
        <v>229</v>
      </c>
      <c r="F33" s="73">
        <v>3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</row>
    <row r="34" spans="3:14" customFormat="1" ht="15" customHeight="1" x14ac:dyDescent="0.15"/>
    <row r="35" spans="3:14" customFormat="1" ht="15" customHeight="1" x14ac:dyDescent="0.15"/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7" sqref="A7"/>
    </sheetView>
  </sheetViews>
  <sheetFormatPr baseColWidth="10" defaultColWidth="8.83203125" defaultRowHeight="13" x14ac:dyDescent="0.15"/>
  <cols>
    <col min="1" max="1" width="21.6640625" style="133" bestFit="1" customWidth="1"/>
    <col min="2" max="3" width="12.83203125" style="133" bestFit="1" customWidth="1"/>
    <col min="4" max="4" width="13.83203125" style="133" bestFit="1" customWidth="1"/>
    <col min="5" max="6" width="14.83203125" style="133" bestFit="1" customWidth="1"/>
    <col min="7" max="7" width="5.83203125" style="133" bestFit="1" customWidth="1"/>
    <col min="8" max="9" width="14.83203125" style="133" bestFit="1" customWidth="1"/>
    <col min="10" max="10" width="13.83203125" style="133" bestFit="1" customWidth="1"/>
    <col min="11" max="12" width="14.83203125" style="133" bestFit="1" customWidth="1"/>
    <col min="13" max="13" width="5.83203125" style="133" bestFit="1" customWidth="1"/>
    <col min="14" max="14" width="15.83203125" style="133" bestFit="1" customWidth="1"/>
    <col min="15" max="15" width="5.83203125" style="133" bestFit="1" customWidth="1"/>
    <col min="16" max="16" width="13.83203125" style="133" bestFit="1" customWidth="1"/>
    <col min="17" max="22" width="5.83203125" style="133" bestFit="1" customWidth="1"/>
    <col min="23" max="24" width="13.83203125" style="133" bestFit="1" customWidth="1"/>
    <col min="25" max="25" width="5.83203125" style="133" bestFit="1" customWidth="1"/>
    <col min="26" max="29" width="2.33203125" style="133" bestFit="1" customWidth="1"/>
    <col min="30" max="16384" width="8.83203125" style="133"/>
  </cols>
  <sheetData>
    <row r="1" spans="1:34" x14ac:dyDescent="0.15">
      <c r="A1" s="132" t="s">
        <v>19</v>
      </c>
      <c r="B1" s="169" t="s">
        <v>192</v>
      </c>
      <c r="C1" s="169" t="s">
        <v>193</v>
      </c>
      <c r="D1" s="169" t="s">
        <v>194</v>
      </c>
      <c r="E1" s="169" t="s">
        <v>195</v>
      </c>
      <c r="F1" s="169" t="s">
        <v>196</v>
      </c>
      <c r="G1" s="169" t="s">
        <v>197</v>
      </c>
      <c r="H1" s="169" t="s">
        <v>198</v>
      </c>
      <c r="I1" s="169" t="s">
        <v>199</v>
      </c>
      <c r="J1" s="169" t="s">
        <v>200</v>
      </c>
      <c r="K1" s="169" t="s">
        <v>201</v>
      </c>
      <c r="L1" s="169" t="s">
        <v>202</v>
      </c>
      <c r="M1" s="169" t="s">
        <v>203</v>
      </c>
      <c r="N1" s="169" t="s">
        <v>204</v>
      </c>
      <c r="O1" s="169" t="s">
        <v>205</v>
      </c>
      <c r="P1" s="169" t="s">
        <v>206</v>
      </c>
      <c r="Q1" s="169" t="s">
        <v>207</v>
      </c>
      <c r="R1" s="169" t="s">
        <v>208</v>
      </c>
      <c r="S1" s="169" t="s">
        <v>209</v>
      </c>
      <c r="T1" s="169" t="s">
        <v>210</v>
      </c>
      <c r="U1" s="169" t="s">
        <v>211</v>
      </c>
      <c r="V1" s="169" t="s">
        <v>212</v>
      </c>
      <c r="W1" s="169" t="s">
        <v>213</v>
      </c>
      <c r="X1" s="169" t="s">
        <v>214</v>
      </c>
      <c r="Y1" s="169" t="s">
        <v>215</v>
      </c>
      <c r="Z1" s="169" t="s">
        <v>216</v>
      </c>
      <c r="AA1" s="169" t="s">
        <v>217</v>
      </c>
      <c r="AB1" s="169" t="s">
        <v>218</v>
      </c>
      <c r="AC1" s="169" t="s">
        <v>219</v>
      </c>
      <c r="AD1"/>
      <c r="AE1"/>
      <c r="AF1"/>
      <c r="AG1"/>
      <c r="AH1"/>
    </row>
    <row r="2" spans="1:34" customFormat="1" x14ac:dyDescent="0.15">
      <c r="A2" s="168" t="s">
        <v>192</v>
      </c>
      <c r="B2" s="133">
        <v>0</v>
      </c>
      <c r="C2" s="133">
        <v>0</v>
      </c>
      <c r="D2" s="133">
        <v>0</v>
      </c>
      <c r="E2" s="133">
        <v>0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 s="133">
        <v>0</v>
      </c>
      <c r="L2" s="133">
        <v>0</v>
      </c>
      <c r="M2" s="133">
        <v>0</v>
      </c>
      <c r="N2" s="133">
        <v>0</v>
      </c>
      <c r="O2" s="133">
        <v>0</v>
      </c>
      <c r="P2" s="133">
        <v>0</v>
      </c>
      <c r="Q2" s="133">
        <v>0</v>
      </c>
      <c r="R2" s="133">
        <v>0</v>
      </c>
      <c r="S2" s="133">
        <v>0</v>
      </c>
      <c r="T2" s="133">
        <v>0</v>
      </c>
      <c r="U2" s="133">
        <v>0</v>
      </c>
      <c r="V2" s="133">
        <v>0</v>
      </c>
      <c r="W2" s="133">
        <v>0</v>
      </c>
      <c r="X2" s="133">
        <v>0</v>
      </c>
      <c r="Y2" s="133">
        <v>0</v>
      </c>
      <c r="Z2" s="133">
        <v>0</v>
      </c>
      <c r="AA2" s="133">
        <v>0</v>
      </c>
      <c r="AB2" s="133">
        <v>0</v>
      </c>
      <c r="AC2" s="133">
        <v>0</v>
      </c>
    </row>
    <row r="3" spans="1:34" customFormat="1" x14ac:dyDescent="0.15">
      <c r="A3" s="168" t="s">
        <v>193</v>
      </c>
      <c r="B3" s="133">
        <v>0</v>
      </c>
      <c r="C3" s="133">
        <v>0</v>
      </c>
      <c r="D3" s="133">
        <v>0</v>
      </c>
      <c r="E3" s="133">
        <v>0</v>
      </c>
      <c r="F3" s="133">
        <v>0</v>
      </c>
      <c r="G3" s="133">
        <v>0</v>
      </c>
      <c r="H3" s="133">
        <v>0</v>
      </c>
      <c r="I3" s="133">
        <v>0</v>
      </c>
      <c r="J3" s="133">
        <v>0</v>
      </c>
      <c r="K3" s="133">
        <v>0</v>
      </c>
      <c r="L3" s="133">
        <v>0</v>
      </c>
      <c r="M3" s="133">
        <v>0</v>
      </c>
      <c r="N3" s="133">
        <v>0</v>
      </c>
      <c r="O3" s="133">
        <v>0</v>
      </c>
      <c r="P3" s="133">
        <v>0</v>
      </c>
      <c r="Q3" s="133">
        <v>0</v>
      </c>
      <c r="R3" s="133">
        <v>0</v>
      </c>
      <c r="S3" s="133">
        <v>0</v>
      </c>
      <c r="T3" s="133">
        <v>0</v>
      </c>
      <c r="U3" s="133">
        <v>0</v>
      </c>
      <c r="V3" s="133">
        <v>0</v>
      </c>
      <c r="W3" s="133">
        <v>0</v>
      </c>
      <c r="X3" s="133">
        <v>0</v>
      </c>
      <c r="Y3" s="133">
        <v>0</v>
      </c>
      <c r="Z3" s="133">
        <v>0</v>
      </c>
      <c r="AA3" s="133">
        <v>0</v>
      </c>
      <c r="AB3" s="133">
        <v>0</v>
      </c>
      <c r="AC3" s="133">
        <v>0</v>
      </c>
    </row>
    <row r="4" spans="1:34" customFormat="1" x14ac:dyDescent="0.15">
      <c r="A4" s="168" t="s">
        <v>194</v>
      </c>
      <c r="B4" s="133">
        <v>0</v>
      </c>
      <c r="C4" s="133">
        <v>0</v>
      </c>
      <c r="D4" s="133">
        <v>0</v>
      </c>
      <c r="E4" s="133">
        <v>0</v>
      </c>
      <c r="F4" s="133">
        <v>0.10199999650890033</v>
      </c>
      <c r="G4" s="133">
        <v>0</v>
      </c>
      <c r="H4" s="133">
        <v>0</v>
      </c>
      <c r="I4" s="133">
        <v>0</v>
      </c>
      <c r="J4" s="133">
        <v>0</v>
      </c>
      <c r="K4" s="133">
        <v>0</v>
      </c>
      <c r="L4" s="133">
        <v>0</v>
      </c>
      <c r="M4" s="133">
        <v>0</v>
      </c>
      <c r="N4" s="133">
        <v>0</v>
      </c>
      <c r="O4" s="133">
        <v>0</v>
      </c>
      <c r="P4" s="133">
        <v>0</v>
      </c>
      <c r="Q4" s="133">
        <v>0</v>
      </c>
      <c r="R4" s="133">
        <v>0</v>
      </c>
      <c r="S4" s="133">
        <v>0</v>
      </c>
      <c r="T4" s="133">
        <v>0</v>
      </c>
      <c r="U4" s="133">
        <v>0</v>
      </c>
      <c r="V4" s="133">
        <v>0</v>
      </c>
      <c r="W4" s="133">
        <v>0</v>
      </c>
      <c r="X4" s="133">
        <v>0</v>
      </c>
      <c r="Y4" s="133">
        <v>0</v>
      </c>
      <c r="Z4" s="133">
        <v>0</v>
      </c>
      <c r="AA4" s="133">
        <v>0</v>
      </c>
      <c r="AB4" s="133">
        <v>0</v>
      </c>
      <c r="AC4" s="133">
        <v>0</v>
      </c>
    </row>
    <row r="5" spans="1:34" customFormat="1" x14ac:dyDescent="0.15">
      <c r="A5" s="168" t="s">
        <v>195</v>
      </c>
      <c r="B5" s="133">
        <v>0</v>
      </c>
      <c r="C5" s="133">
        <v>0</v>
      </c>
      <c r="D5" s="133">
        <v>0</v>
      </c>
      <c r="E5" s="133">
        <v>0</v>
      </c>
      <c r="F5" s="133">
        <v>9.0000001625499856E-2</v>
      </c>
      <c r="G5" s="133">
        <v>0</v>
      </c>
      <c r="H5" s="133">
        <v>0</v>
      </c>
      <c r="I5" s="133">
        <v>0</v>
      </c>
      <c r="J5" s="133">
        <v>0</v>
      </c>
      <c r="K5" s="133">
        <v>0</v>
      </c>
      <c r="L5" s="133">
        <v>0</v>
      </c>
      <c r="M5" s="133">
        <v>0</v>
      </c>
      <c r="N5" s="133">
        <v>0</v>
      </c>
      <c r="O5" s="133">
        <v>0</v>
      </c>
      <c r="P5" s="133">
        <v>0</v>
      </c>
      <c r="Q5" s="133">
        <v>0</v>
      </c>
      <c r="R5" s="133">
        <v>0</v>
      </c>
      <c r="S5" s="133">
        <v>0</v>
      </c>
      <c r="T5" s="133">
        <v>0</v>
      </c>
      <c r="U5" s="133">
        <v>0</v>
      </c>
      <c r="V5" s="133">
        <v>0</v>
      </c>
      <c r="W5" s="133">
        <v>0</v>
      </c>
      <c r="X5" s="133">
        <v>0</v>
      </c>
      <c r="Y5" s="133">
        <v>0</v>
      </c>
      <c r="Z5" s="133">
        <v>0</v>
      </c>
      <c r="AA5" s="133">
        <v>0</v>
      </c>
      <c r="AB5" s="133">
        <v>0</v>
      </c>
      <c r="AC5" s="133">
        <v>0</v>
      </c>
    </row>
    <row r="6" spans="1:34" customFormat="1" x14ac:dyDescent="0.15">
      <c r="A6" s="168" t="s">
        <v>196</v>
      </c>
      <c r="B6" s="133">
        <v>0</v>
      </c>
      <c r="C6" s="133">
        <v>0</v>
      </c>
      <c r="D6" s="133">
        <v>0</v>
      </c>
      <c r="E6" s="133">
        <v>0</v>
      </c>
      <c r="F6" s="133">
        <v>0</v>
      </c>
      <c r="G6" s="133">
        <v>0</v>
      </c>
      <c r="H6" s="133">
        <v>0</v>
      </c>
      <c r="I6" s="133">
        <v>0</v>
      </c>
      <c r="J6" s="133">
        <v>0</v>
      </c>
      <c r="K6" s="133">
        <v>0</v>
      </c>
      <c r="L6" s="133">
        <v>0</v>
      </c>
      <c r="M6" s="133">
        <v>0</v>
      </c>
      <c r="N6" s="133">
        <v>0</v>
      </c>
      <c r="O6" s="133">
        <v>0</v>
      </c>
      <c r="P6" s="133">
        <v>0</v>
      </c>
      <c r="Q6" s="133">
        <v>0</v>
      </c>
      <c r="R6" s="133">
        <v>0</v>
      </c>
      <c r="S6" s="133">
        <v>0</v>
      </c>
      <c r="T6" s="133">
        <v>0</v>
      </c>
      <c r="U6" s="133">
        <v>0</v>
      </c>
      <c r="V6" s="133">
        <v>0</v>
      </c>
      <c r="W6" s="133">
        <v>0</v>
      </c>
      <c r="X6" s="133">
        <v>0</v>
      </c>
      <c r="Y6" s="133">
        <v>0</v>
      </c>
      <c r="Z6" s="133">
        <v>0</v>
      </c>
      <c r="AA6" s="133">
        <v>0</v>
      </c>
      <c r="AB6" s="133">
        <v>0</v>
      </c>
      <c r="AC6" s="133">
        <v>0</v>
      </c>
    </row>
    <row r="7" spans="1:34" customFormat="1" x14ac:dyDescent="0.15">
      <c r="A7" s="168" t="s">
        <v>197</v>
      </c>
      <c r="B7" s="133">
        <v>0.13313313092892887</v>
      </c>
      <c r="C7" s="133">
        <v>0.12512511774274318</v>
      </c>
      <c r="D7" s="133">
        <v>0</v>
      </c>
      <c r="E7" s="133">
        <v>0</v>
      </c>
      <c r="F7" s="133">
        <v>2.3999999866800015E-2</v>
      </c>
      <c r="G7" s="133">
        <v>5.8999999999999997E-2</v>
      </c>
      <c r="H7" s="133">
        <v>0</v>
      </c>
      <c r="I7" s="133">
        <v>0</v>
      </c>
      <c r="J7" s="133">
        <v>0</v>
      </c>
      <c r="K7" s="133">
        <v>6.0878242963772498E-2</v>
      </c>
      <c r="L7" s="133">
        <v>0</v>
      </c>
      <c r="M7" s="133">
        <v>0</v>
      </c>
      <c r="N7" s="133">
        <v>0</v>
      </c>
      <c r="O7" s="133">
        <v>0</v>
      </c>
      <c r="P7" s="133">
        <v>0</v>
      </c>
      <c r="Q7" s="133">
        <v>0</v>
      </c>
      <c r="R7" s="133">
        <v>0</v>
      </c>
      <c r="S7" s="133">
        <v>0</v>
      </c>
      <c r="T7" s="133">
        <v>0</v>
      </c>
      <c r="U7" s="133">
        <v>0</v>
      </c>
      <c r="V7" s="133">
        <v>0</v>
      </c>
      <c r="W7" s="133">
        <v>0</v>
      </c>
      <c r="X7" s="133">
        <v>0</v>
      </c>
      <c r="Y7" s="133">
        <v>0</v>
      </c>
      <c r="Z7" s="133">
        <v>0</v>
      </c>
      <c r="AA7" s="133">
        <v>0</v>
      </c>
      <c r="AB7" s="133">
        <v>0</v>
      </c>
      <c r="AC7" s="133">
        <v>0</v>
      </c>
    </row>
    <row r="8" spans="1:34" customFormat="1" x14ac:dyDescent="0.15">
      <c r="A8" s="168" t="s">
        <v>198</v>
      </c>
      <c r="B8" s="133">
        <v>0.11811811759859858</v>
      </c>
      <c r="C8" s="133">
        <v>0.10110110213613609</v>
      </c>
      <c r="D8" s="133">
        <v>0</v>
      </c>
      <c r="E8" s="133">
        <v>0</v>
      </c>
      <c r="F8" s="133">
        <v>4.0000002877999732E-3</v>
      </c>
      <c r="G8" s="133">
        <v>0</v>
      </c>
      <c r="H8" s="133">
        <v>0</v>
      </c>
      <c r="I8" s="133">
        <v>7.0281126645481929E-3</v>
      </c>
      <c r="J8" s="133">
        <v>0</v>
      </c>
      <c r="K8" s="133">
        <v>2.0958083210479084E-2</v>
      </c>
      <c r="L8" s="133">
        <v>0</v>
      </c>
      <c r="M8" s="133">
        <v>0</v>
      </c>
      <c r="N8" s="133">
        <v>5.9940061441658248E-3</v>
      </c>
      <c r="O8" s="133">
        <v>0</v>
      </c>
      <c r="P8" s="133">
        <v>0</v>
      </c>
      <c r="Q8" s="133">
        <v>0</v>
      </c>
      <c r="R8" s="133">
        <v>0</v>
      </c>
      <c r="S8" s="133">
        <v>0</v>
      </c>
      <c r="T8" s="133">
        <v>0</v>
      </c>
      <c r="U8" s="133">
        <v>0</v>
      </c>
      <c r="V8" s="133">
        <v>0</v>
      </c>
      <c r="W8" s="133">
        <v>0</v>
      </c>
      <c r="X8" s="133">
        <v>0</v>
      </c>
      <c r="Y8" s="133">
        <v>0</v>
      </c>
      <c r="Z8" s="133">
        <v>0</v>
      </c>
      <c r="AA8" s="133">
        <v>0</v>
      </c>
      <c r="AB8" s="133">
        <v>0</v>
      </c>
      <c r="AC8" s="133">
        <v>0</v>
      </c>
    </row>
    <row r="9" spans="1:34" customFormat="1" x14ac:dyDescent="0.15">
      <c r="A9" s="168" t="s">
        <v>199</v>
      </c>
      <c r="B9" s="133">
        <v>0</v>
      </c>
      <c r="C9" s="133">
        <v>0</v>
      </c>
      <c r="D9" s="133">
        <v>0</v>
      </c>
      <c r="E9" s="133">
        <v>0</v>
      </c>
      <c r="F9" s="133">
        <v>0</v>
      </c>
      <c r="G9" s="133">
        <v>0</v>
      </c>
      <c r="H9" s="133">
        <v>0</v>
      </c>
      <c r="I9" s="133">
        <v>0</v>
      </c>
      <c r="J9" s="133">
        <v>0</v>
      </c>
      <c r="K9" s="133">
        <v>0</v>
      </c>
      <c r="L9" s="133">
        <v>1.0010010032332331E-2</v>
      </c>
      <c r="M9" s="133">
        <v>0</v>
      </c>
      <c r="N9" s="133">
        <v>1.9980020513886082E-3</v>
      </c>
      <c r="O9" s="133">
        <v>0</v>
      </c>
      <c r="P9" s="133">
        <v>0</v>
      </c>
      <c r="Q9" s="133">
        <v>0</v>
      </c>
      <c r="R9" s="133">
        <v>0</v>
      </c>
      <c r="S9" s="133">
        <v>0</v>
      </c>
      <c r="T9" s="133">
        <v>0</v>
      </c>
      <c r="U9" s="133">
        <v>0</v>
      </c>
      <c r="V9" s="133">
        <v>0</v>
      </c>
      <c r="W9" s="133">
        <v>0</v>
      </c>
      <c r="X9" s="133">
        <v>0</v>
      </c>
      <c r="Y9" s="133">
        <v>0</v>
      </c>
      <c r="Z9" s="133">
        <v>0</v>
      </c>
      <c r="AA9" s="133">
        <v>0</v>
      </c>
      <c r="AB9" s="133">
        <v>0</v>
      </c>
      <c r="AC9" s="133">
        <v>0</v>
      </c>
    </row>
    <row r="10" spans="1:34" customFormat="1" x14ac:dyDescent="0.15">
      <c r="A10" s="168" t="s">
        <v>200</v>
      </c>
      <c r="B10" s="133">
        <v>0</v>
      </c>
      <c r="C10" s="133">
        <v>0</v>
      </c>
      <c r="D10" s="133">
        <v>0</v>
      </c>
      <c r="E10" s="133">
        <v>1.0000000079800008E-3</v>
      </c>
      <c r="F10" s="133">
        <v>1.000000066949994E-3</v>
      </c>
      <c r="G10" s="133">
        <v>0</v>
      </c>
      <c r="H10" s="133">
        <v>1.0000000760199935E-3</v>
      </c>
      <c r="I10" s="133">
        <v>1.0040161420783132E-3</v>
      </c>
      <c r="J10" s="133">
        <v>0</v>
      </c>
      <c r="K10" s="133">
        <v>0</v>
      </c>
      <c r="L10" s="133">
        <v>0</v>
      </c>
      <c r="M10" s="133">
        <v>0</v>
      </c>
      <c r="N10" s="133">
        <v>1.9980020513886082E-3</v>
      </c>
      <c r="O10" s="133">
        <v>0</v>
      </c>
      <c r="P10" s="133">
        <v>0</v>
      </c>
      <c r="Q10" s="133">
        <v>0</v>
      </c>
      <c r="R10" s="133">
        <v>0</v>
      </c>
      <c r="S10" s="133">
        <v>0</v>
      </c>
      <c r="T10" s="133">
        <v>0</v>
      </c>
      <c r="U10" s="133">
        <v>0</v>
      </c>
      <c r="V10" s="133">
        <v>0</v>
      </c>
      <c r="W10" s="133">
        <v>0</v>
      </c>
      <c r="X10" s="133">
        <v>0</v>
      </c>
      <c r="Y10" s="133">
        <v>0</v>
      </c>
      <c r="Z10" s="133">
        <v>0</v>
      </c>
      <c r="AA10" s="133">
        <v>0</v>
      </c>
      <c r="AB10" s="133">
        <v>0</v>
      </c>
      <c r="AC10" s="133">
        <v>0</v>
      </c>
    </row>
    <row r="11" spans="1:34" customFormat="1" x14ac:dyDescent="0.15">
      <c r="A11" s="168" t="s">
        <v>201</v>
      </c>
      <c r="B11" s="133">
        <v>0.16716716067767756</v>
      </c>
      <c r="C11" s="133">
        <v>0.16716716230430462</v>
      </c>
      <c r="D11" s="133">
        <v>4.195804074545445E-2</v>
      </c>
      <c r="E11" s="133">
        <v>0</v>
      </c>
      <c r="F11" s="133">
        <v>2.8000000094599992E-2</v>
      </c>
      <c r="G11" s="133">
        <v>0</v>
      </c>
      <c r="H11" s="133">
        <v>0</v>
      </c>
      <c r="I11" s="133">
        <v>0.18273092837825297</v>
      </c>
      <c r="J11" s="133">
        <v>0.12887111288711128</v>
      </c>
      <c r="K11" s="133">
        <v>6.0878242963772498E-2</v>
      </c>
      <c r="L11" s="133">
        <v>0.34234235758576487</v>
      </c>
      <c r="M11" s="133">
        <v>0</v>
      </c>
      <c r="N11" s="133">
        <v>4.1958042499160804E-2</v>
      </c>
      <c r="O11" s="133">
        <v>0.08</v>
      </c>
      <c r="P11" s="133">
        <v>0</v>
      </c>
      <c r="Q11" s="133">
        <v>0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</row>
    <row r="12" spans="1:34" customFormat="1" x14ac:dyDescent="0.15">
      <c r="A12" s="168" t="s">
        <v>202</v>
      </c>
      <c r="B12" s="133">
        <v>0</v>
      </c>
      <c r="C12" s="133">
        <v>0</v>
      </c>
      <c r="D12" s="133">
        <v>0</v>
      </c>
      <c r="E12" s="133">
        <v>0</v>
      </c>
      <c r="F12" s="133">
        <v>0</v>
      </c>
      <c r="G12" s="133">
        <v>0</v>
      </c>
      <c r="H12" s="133">
        <v>0</v>
      </c>
      <c r="I12" s="133">
        <v>7.0281126645481929E-3</v>
      </c>
      <c r="J12" s="133">
        <v>0</v>
      </c>
      <c r="K12" s="133">
        <v>0</v>
      </c>
      <c r="L12" s="133">
        <v>1.2012011618798821E-2</v>
      </c>
      <c r="M12" s="133">
        <v>0</v>
      </c>
      <c r="N12" s="133">
        <v>9.9900103569430343E-4</v>
      </c>
      <c r="O12" s="133">
        <v>0</v>
      </c>
      <c r="P12" s="133">
        <v>0</v>
      </c>
      <c r="Q12" s="133">
        <v>0</v>
      </c>
      <c r="R12" s="133">
        <v>0</v>
      </c>
      <c r="S12" s="133">
        <v>0</v>
      </c>
      <c r="T12" s="133">
        <v>0</v>
      </c>
      <c r="U12" s="133">
        <v>0</v>
      </c>
      <c r="V12" s="133">
        <v>0</v>
      </c>
      <c r="W12" s="133">
        <v>0</v>
      </c>
      <c r="X12" s="133">
        <v>0</v>
      </c>
      <c r="Y12" s="133">
        <v>0</v>
      </c>
      <c r="Z12" s="133">
        <v>0</v>
      </c>
      <c r="AA12" s="133">
        <v>0</v>
      </c>
      <c r="AB12" s="133">
        <v>0</v>
      </c>
      <c r="AC12" s="133">
        <v>0</v>
      </c>
    </row>
    <row r="13" spans="1:34" customFormat="1" x14ac:dyDescent="0.15">
      <c r="A13" s="168" t="s">
        <v>203</v>
      </c>
      <c r="B13" s="133">
        <v>0.34534535559759783</v>
      </c>
      <c r="C13" s="133">
        <v>0.36736737869269209</v>
      </c>
      <c r="D13" s="133">
        <v>0.40259739626233715</v>
      </c>
      <c r="E13" s="133">
        <v>0.52299999847353984</v>
      </c>
      <c r="F13" s="133">
        <v>0.33099999920045009</v>
      </c>
      <c r="G13" s="133">
        <v>0.50800000000000001</v>
      </c>
      <c r="H13" s="133">
        <v>0.37000000392739962</v>
      </c>
      <c r="I13" s="133">
        <v>0</v>
      </c>
      <c r="J13" s="133">
        <v>0</v>
      </c>
      <c r="K13" s="133">
        <v>0.20658682430329356</v>
      </c>
      <c r="L13" s="133">
        <v>0</v>
      </c>
      <c r="M13" s="133">
        <v>0</v>
      </c>
      <c r="N13" s="133">
        <v>0</v>
      </c>
      <c r="O13" s="133">
        <v>0</v>
      </c>
      <c r="P13" s="133">
        <v>0</v>
      </c>
      <c r="Q13" s="133">
        <v>0</v>
      </c>
      <c r="R13" s="133">
        <v>0</v>
      </c>
      <c r="S13" s="133">
        <v>0</v>
      </c>
      <c r="T13" s="133">
        <v>0</v>
      </c>
      <c r="U13" s="133">
        <v>0</v>
      </c>
      <c r="V13" s="133">
        <v>0</v>
      </c>
      <c r="W13" s="133">
        <v>0</v>
      </c>
      <c r="X13" s="133">
        <v>0</v>
      </c>
      <c r="Y13" s="133">
        <v>0</v>
      </c>
      <c r="Z13" s="133">
        <v>0</v>
      </c>
      <c r="AA13" s="133">
        <v>0</v>
      </c>
      <c r="AB13" s="133">
        <v>0</v>
      </c>
      <c r="AC13" s="133">
        <v>0</v>
      </c>
    </row>
    <row r="14" spans="1:34" customFormat="1" x14ac:dyDescent="0.15">
      <c r="A14" s="168" t="s">
        <v>204</v>
      </c>
      <c r="B14" s="133">
        <v>0</v>
      </c>
      <c r="C14" s="133">
        <v>0</v>
      </c>
      <c r="D14" s="133">
        <v>0</v>
      </c>
      <c r="E14" s="133">
        <v>0</v>
      </c>
      <c r="F14" s="133">
        <v>2.0000001438999866E-3</v>
      </c>
      <c r="G14" s="133">
        <v>0</v>
      </c>
      <c r="H14" s="133">
        <v>0</v>
      </c>
      <c r="I14" s="133">
        <v>1.2048193324939758E-2</v>
      </c>
      <c r="J14" s="133">
        <v>0</v>
      </c>
      <c r="K14" s="133">
        <v>0</v>
      </c>
      <c r="L14" s="133">
        <v>2.1021020307897938E-2</v>
      </c>
      <c r="M14" s="133">
        <v>0</v>
      </c>
      <c r="N14" s="133">
        <v>1.9980020513886082E-3</v>
      </c>
      <c r="O14" s="133">
        <v>0</v>
      </c>
      <c r="P14" s="133">
        <v>0</v>
      </c>
      <c r="Q14" s="133">
        <v>0</v>
      </c>
      <c r="R14" s="133">
        <v>0</v>
      </c>
      <c r="S14" s="133">
        <v>0</v>
      </c>
      <c r="T14" s="133">
        <v>0</v>
      </c>
      <c r="U14" s="133">
        <v>0</v>
      </c>
      <c r="V14" s="133">
        <v>0</v>
      </c>
      <c r="W14" s="133">
        <v>0</v>
      </c>
      <c r="X14" s="133">
        <v>0</v>
      </c>
      <c r="Y14" s="133">
        <v>0</v>
      </c>
      <c r="Z14" s="133">
        <v>0</v>
      </c>
      <c r="AA14" s="133">
        <v>0</v>
      </c>
      <c r="AB14" s="133">
        <v>0</v>
      </c>
      <c r="AC14" s="133">
        <v>0</v>
      </c>
    </row>
    <row r="15" spans="1:34" customFormat="1" x14ac:dyDescent="0.15">
      <c r="A15" s="168" t="s">
        <v>205</v>
      </c>
      <c r="B15" s="133">
        <v>0</v>
      </c>
      <c r="C15" s="133">
        <v>0</v>
      </c>
      <c r="D15" s="133">
        <v>0</v>
      </c>
      <c r="E15" s="133">
        <v>0</v>
      </c>
      <c r="F15" s="133">
        <v>0</v>
      </c>
      <c r="G15" s="133">
        <v>0</v>
      </c>
      <c r="H15" s="133">
        <v>0</v>
      </c>
      <c r="I15" s="133">
        <v>1.0040161420783132E-3</v>
      </c>
      <c r="J15" s="133">
        <v>0</v>
      </c>
      <c r="K15" s="133">
        <v>2.9940118014970176E-3</v>
      </c>
      <c r="L15" s="133">
        <v>0</v>
      </c>
      <c r="M15" s="133">
        <v>0</v>
      </c>
      <c r="N15" s="133">
        <v>0</v>
      </c>
      <c r="O15" s="133">
        <v>0</v>
      </c>
      <c r="P15" s="133">
        <v>0</v>
      </c>
      <c r="Q15" s="133">
        <v>0</v>
      </c>
      <c r="R15" s="133">
        <v>0</v>
      </c>
      <c r="S15" s="133">
        <v>0</v>
      </c>
      <c r="T15" s="133">
        <v>0</v>
      </c>
      <c r="U15" s="133">
        <v>0</v>
      </c>
      <c r="V15" s="133">
        <v>0</v>
      </c>
      <c r="W15" s="133">
        <v>0</v>
      </c>
      <c r="X15" s="133">
        <v>0</v>
      </c>
      <c r="Y15" s="133">
        <v>0</v>
      </c>
      <c r="Z15" s="133">
        <v>0</v>
      </c>
      <c r="AA15" s="133">
        <v>0</v>
      </c>
      <c r="AB15" s="133">
        <v>0</v>
      </c>
      <c r="AC15" s="133">
        <v>0</v>
      </c>
    </row>
    <row r="16" spans="1:34" customFormat="1" x14ac:dyDescent="0.15">
      <c r="A16" s="168" t="s">
        <v>206</v>
      </c>
      <c r="B16" s="133">
        <v>0</v>
      </c>
      <c r="C16" s="133">
        <v>0</v>
      </c>
      <c r="D16" s="133">
        <v>4.0959042875324807E-2</v>
      </c>
      <c r="E16" s="133">
        <v>0</v>
      </c>
      <c r="F16" s="133">
        <v>0.12800000908959916</v>
      </c>
      <c r="G16" s="133">
        <v>0</v>
      </c>
      <c r="H16" s="133">
        <v>3.7999999308760052E-2</v>
      </c>
      <c r="I16" s="133">
        <v>0.12248995925355419</v>
      </c>
      <c r="J16" s="133">
        <v>0</v>
      </c>
      <c r="K16" s="133">
        <v>0</v>
      </c>
      <c r="L16" s="133">
        <v>0</v>
      </c>
      <c r="M16" s="133">
        <v>0</v>
      </c>
      <c r="N16" s="133">
        <v>0</v>
      </c>
      <c r="O16" s="133">
        <v>0</v>
      </c>
      <c r="P16" s="133">
        <v>0</v>
      </c>
      <c r="Q16" s="133">
        <v>0</v>
      </c>
      <c r="R16" s="133">
        <v>0.184</v>
      </c>
      <c r="S16" s="133">
        <v>0</v>
      </c>
      <c r="T16" s="133">
        <v>0</v>
      </c>
      <c r="U16" s="133">
        <v>0</v>
      </c>
      <c r="V16" s="133">
        <v>0</v>
      </c>
      <c r="W16" s="133">
        <v>0</v>
      </c>
      <c r="X16" s="133">
        <v>0</v>
      </c>
      <c r="Y16" s="133">
        <v>0</v>
      </c>
      <c r="Z16" s="133">
        <v>0</v>
      </c>
      <c r="AA16" s="133">
        <v>0</v>
      </c>
      <c r="AB16" s="133">
        <v>0</v>
      </c>
      <c r="AC16" s="133">
        <v>0</v>
      </c>
    </row>
    <row r="17" spans="1:29" customFormat="1" x14ac:dyDescent="0.15">
      <c r="A17" s="168" t="s">
        <v>207</v>
      </c>
      <c r="B17" s="133">
        <v>0</v>
      </c>
      <c r="C17" s="133">
        <v>0</v>
      </c>
      <c r="D17" s="133">
        <v>4.495504815584437E-2</v>
      </c>
      <c r="E17" s="133">
        <v>0.17000000535660059</v>
      </c>
      <c r="F17" s="133">
        <v>8.6999996804650301E-2</v>
      </c>
      <c r="G17" s="133">
        <v>0</v>
      </c>
      <c r="H17" s="133">
        <v>0</v>
      </c>
      <c r="I17" s="133">
        <v>0</v>
      </c>
      <c r="J17" s="133">
        <v>0</v>
      </c>
      <c r="K17" s="133">
        <v>0</v>
      </c>
      <c r="L17" s="133">
        <v>0</v>
      </c>
      <c r="M17" s="133">
        <v>0</v>
      </c>
      <c r="N17" s="133">
        <v>0</v>
      </c>
      <c r="O17" s="133">
        <v>0</v>
      </c>
      <c r="P17" s="133">
        <v>7.2927072977122878E-2</v>
      </c>
      <c r="Q17" s="133">
        <v>0</v>
      </c>
      <c r="R17" s="133">
        <v>0</v>
      </c>
      <c r="S17" s="133">
        <v>0</v>
      </c>
      <c r="T17" s="133">
        <v>0</v>
      </c>
      <c r="U17" s="133">
        <v>0</v>
      </c>
      <c r="V17" s="133">
        <v>0</v>
      </c>
      <c r="W17" s="133">
        <v>0</v>
      </c>
      <c r="X17" s="133">
        <v>0</v>
      </c>
      <c r="Y17" s="133">
        <v>0</v>
      </c>
      <c r="Z17" s="133">
        <v>0</v>
      </c>
      <c r="AA17" s="133">
        <v>0</v>
      </c>
      <c r="AB17" s="133">
        <v>0</v>
      </c>
      <c r="AC17" s="133">
        <v>0</v>
      </c>
    </row>
    <row r="18" spans="1:29" customFormat="1" x14ac:dyDescent="0.15">
      <c r="A18" s="168" t="s">
        <v>208</v>
      </c>
      <c r="B18" s="133">
        <v>0</v>
      </c>
      <c r="C18" s="133">
        <v>0</v>
      </c>
      <c r="D18" s="133">
        <v>9.0909092581818285E-2</v>
      </c>
      <c r="E18" s="133">
        <v>4.0000001519200166E-3</v>
      </c>
      <c r="F18" s="133">
        <v>9.9999997695000217E-3</v>
      </c>
      <c r="G18" s="133">
        <v>0</v>
      </c>
      <c r="H18" s="133">
        <v>0</v>
      </c>
      <c r="I18" s="133">
        <v>0.10441767421614458</v>
      </c>
      <c r="J18" s="133">
        <v>0.10589411058941108</v>
      </c>
      <c r="K18" s="133">
        <v>0</v>
      </c>
      <c r="L18" s="133">
        <v>0</v>
      </c>
      <c r="M18" s="133">
        <v>0</v>
      </c>
      <c r="N18" s="133">
        <v>0</v>
      </c>
      <c r="O18" s="133">
        <v>0</v>
      </c>
      <c r="P18" s="133">
        <v>8.8911085237862481E-2</v>
      </c>
      <c r="Q18" s="133">
        <v>2.1000000000000001E-2</v>
      </c>
      <c r="R18" s="133">
        <v>0</v>
      </c>
      <c r="S18" s="133">
        <v>0</v>
      </c>
      <c r="T18" s="133">
        <v>0</v>
      </c>
      <c r="U18" s="133">
        <v>3.0000000000000001E-3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</row>
    <row r="19" spans="1:29" customFormat="1" x14ac:dyDescent="0.15">
      <c r="A19" s="168" t="s">
        <v>209</v>
      </c>
      <c r="B19" s="133">
        <v>0</v>
      </c>
      <c r="C19" s="133">
        <v>0</v>
      </c>
      <c r="D19" s="133">
        <v>0</v>
      </c>
      <c r="E19" s="133">
        <v>0</v>
      </c>
      <c r="F19" s="133">
        <v>6.1999996930900289E-2</v>
      </c>
      <c r="G19" s="133">
        <v>0</v>
      </c>
      <c r="H19" s="133">
        <v>0</v>
      </c>
      <c r="I19" s="133">
        <v>0</v>
      </c>
      <c r="J19" s="133">
        <v>0</v>
      </c>
      <c r="K19" s="133">
        <v>0</v>
      </c>
      <c r="L19" s="133">
        <v>0</v>
      </c>
      <c r="M19" s="133">
        <v>0</v>
      </c>
      <c r="N19" s="133">
        <v>0</v>
      </c>
      <c r="O19" s="133">
        <v>0</v>
      </c>
      <c r="P19" s="133">
        <v>0</v>
      </c>
      <c r="Q19" s="133">
        <v>0</v>
      </c>
      <c r="R19" s="133">
        <v>0</v>
      </c>
      <c r="S19" s="133">
        <v>0</v>
      </c>
      <c r="T19" s="133">
        <v>0</v>
      </c>
      <c r="U19" s="133">
        <v>0</v>
      </c>
      <c r="V19" s="133">
        <v>0</v>
      </c>
      <c r="W19" s="133">
        <v>0</v>
      </c>
      <c r="X19" s="133">
        <v>0</v>
      </c>
      <c r="Y19" s="133">
        <v>0</v>
      </c>
      <c r="Z19" s="133">
        <v>0</v>
      </c>
      <c r="AA19" s="133">
        <v>0</v>
      </c>
      <c r="AB19" s="133">
        <v>0</v>
      </c>
      <c r="AC19" s="133">
        <v>0</v>
      </c>
    </row>
    <row r="20" spans="1:29" customFormat="1" x14ac:dyDescent="0.15">
      <c r="A20" s="168" t="s">
        <v>210</v>
      </c>
      <c r="B20" s="133">
        <v>0</v>
      </c>
      <c r="C20" s="133">
        <v>0</v>
      </c>
      <c r="D20" s="133">
        <v>8.7912086171428441E-2</v>
      </c>
      <c r="E20" s="133">
        <v>0</v>
      </c>
      <c r="F20" s="133">
        <v>1.4999999204250075E-2</v>
      </c>
      <c r="G20" s="133">
        <v>1.6E-2</v>
      </c>
      <c r="H20" s="133">
        <v>0</v>
      </c>
      <c r="I20" s="133">
        <v>6.1244980126777093E-2</v>
      </c>
      <c r="J20" s="133">
        <v>0.14585411458541145</v>
      </c>
      <c r="K20" s="133">
        <v>1.5968064641317316E-2</v>
      </c>
      <c r="L20" s="133">
        <v>4.204204071579587E-2</v>
      </c>
      <c r="M20" s="133">
        <v>0</v>
      </c>
      <c r="N20" s="133">
        <v>8.391608459832163E-2</v>
      </c>
      <c r="O20" s="133">
        <v>5.1999999999999998E-2</v>
      </c>
      <c r="P20" s="133">
        <v>0</v>
      </c>
      <c r="Q20" s="133">
        <v>0</v>
      </c>
      <c r="R20" s="133">
        <v>0</v>
      </c>
      <c r="S20" s="133">
        <v>0</v>
      </c>
      <c r="T20" s="133">
        <v>0</v>
      </c>
      <c r="U20" s="133">
        <v>0.01</v>
      </c>
      <c r="V20" s="133">
        <v>0</v>
      </c>
      <c r="W20" s="133">
        <v>0</v>
      </c>
      <c r="X20" s="133">
        <v>0</v>
      </c>
      <c r="Y20" s="133">
        <v>0</v>
      </c>
      <c r="Z20" s="133">
        <v>0</v>
      </c>
      <c r="AA20" s="133">
        <v>0</v>
      </c>
      <c r="AB20" s="133">
        <v>0</v>
      </c>
      <c r="AC20" s="133">
        <v>0</v>
      </c>
    </row>
    <row r="21" spans="1:29" customFormat="1" x14ac:dyDescent="0.15">
      <c r="A21" s="168" t="s">
        <v>211</v>
      </c>
      <c r="B21" s="133">
        <v>0</v>
      </c>
      <c r="C21" s="133">
        <v>0</v>
      </c>
      <c r="D21" s="133">
        <v>0</v>
      </c>
      <c r="E21" s="133">
        <v>0</v>
      </c>
      <c r="F21" s="133">
        <v>3.300000042934996E-2</v>
      </c>
      <c r="G21" s="133">
        <v>0</v>
      </c>
      <c r="H21" s="133">
        <v>0</v>
      </c>
      <c r="I21" s="133">
        <v>0.16666665734499994</v>
      </c>
      <c r="J21" s="133">
        <v>4.4955044495504456E-2</v>
      </c>
      <c r="K21" s="133">
        <v>0</v>
      </c>
      <c r="L21" s="133">
        <v>0</v>
      </c>
      <c r="M21" s="133">
        <v>0</v>
      </c>
      <c r="N21" s="133">
        <v>0.19480518746039011</v>
      </c>
      <c r="O21" s="133">
        <v>0</v>
      </c>
      <c r="P21" s="133">
        <v>0</v>
      </c>
      <c r="Q21" s="133">
        <v>0</v>
      </c>
      <c r="R21" s="133">
        <v>0</v>
      </c>
      <c r="S21" s="133">
        <v>0</v>
      </c>
      <c r="T21" s="133">
        <v>0</v>
      </c>
      <c r="U21" s="133">
        <v>0.03</v>
      </c>
      <c r="V21" s="133">
        <v>0</v>
      </c>
      <c r="W21" s="133">
        <v>0</v>
      </c>
      <c r="X21" s="133">
        <v>0</v>
      </c>
      <c r="Y21" s="133">
        <v>0</v>
      </c>
      <c r="Z21" s="133">
        <v>0</v>
      </c>
      <c r="AA21" s="133">
        <v>0</v>
      </c>
      <c r="AB21" s="133">
        <v>0</v>
      </c>
      <c r="AC21" s="133">
        <v>0</v>
      </c>
    </row>
    <row r="22" spans="1:29" customFormat="1" x14ac:dyDescent="0.15">
      <c r="A22" s="168" t="s">
        <v>212</v>
      </c>
      <c r="B22" s="133">
        <v>0</v>
      </c>
      <c r="C22" s="133">
        <v>0</v>
      </c>
      <c r="D22" s="133">
        <v>0</v>
      </c>
      <c r="E22" s="133">
        <v>0</v>
      </c>
      <c r="F22" s="133">
        <v>0</v>
      </c>
      <c r="G22" s="133">
        <v>0</v>
      </c>
      <c r="H22" s="133">
        <v>0</v>
      </c>
      <c r="I22" s="133">
        <v>7.2289154049638538E-2</v>
      </c>
      <c r="J22" s="133">
        <v>0</v>
      </c>
      <c r="K22" s="133">
        <v>6.0878242963772498E-2</v>
      </c>
      <c r="L22" s="133">
        <v>0</v>
      </c>
      <c r="M22" s="133">
        <v>0</v>
      </c>
      <c r="N22" s="133">
        <v>0</v>
      </c>
      <c r="O22" s="133">
        <v>0.36299999999999999</v>
      </c>
      <c r="P22" s="133">
        <v>0</v>
      </c>
      <c r="Q22" s="133">
        <v>0</v>
      </c>
      <c r="R22" s="133">
        <v>0.108</v>
      </c>
      <c r="S22" s="133">
        <v>0.20300000000000001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</row>
    <row r="23" spans="1:29" customFormat="1" x14ac:dyDescent="0.15">
      <c r="A23" s="168" t="s">
        <v>213</v>
      </c>
      <c r="B23" s="133">
        <v>0</v>
      </c>
      <c r="C23" s="133">
        <v>0</v>
      </c>
      <c r="D23" s="133">
        <v>0</v>
      </c>
      <c r="E23" s="133">
        <v>0</v>
      </c>
      <c r="F23" s="133">
        <v>8.0000002555999771E-3</v>
      </c>
      <c r="G23" s="133">
        <v>0</v>
      </c>
      <c r="H23" s="133">
        <v>0</v>
      </c>
      <c r="I23" s="133">
        <v>0</v>
      </c>
      <c r="J23" s="133">
        <v>5.6943065694306572E-2</v>
      </c>
      <c r="K23" s="133">
        <v>0</v>
      </c>
      <c r="L23" s="133">
        <v>0</v>
      </c>
      <c r="M23" s="133">
        <v>0</v>
      </c>
      <c r="N23" s="133">
        <v>0</v>
      </c>
      <c r="O23" s="133">
        <v>0</v>
      </c>
      <c r="P23" s="133">
        <v>0</v>
      </c>
      <c r="Q23" s="133">
        <v>0</v>
      </c>
      <c r="R23" s="133">
        <v>0</v>
      </c>
      <c r="S23" s="133">
        <v>0</v>
      </c>
      <c r="T23" s="133">
        <v>0</v>
      </c>
      <c r="U23" s="133">
        <v>0</v>
      </c>
      <c r="V23" s="133">
        <v>0</v>
      </c>
      <c r="W23" s="133">
        <v>0</v>
      </c>
      <c r="X23" s="133">
        <v>0</v>
      </c>
      <c r="Y23" s="133">
        <v>0</v>
      </c>
      <c r="Z23" s="133">
        <v>0</v>
      </c>
      <c r="AA23" s="133">
        <v>0</v>
      </c>
      <c r="AB23" s="133">
        <v>0</v>
      </c>
      <c r="AC23" s="133">
        <v>0</v>
      </c>
    </row>
    <row r="24" spans="1:29" customFormat="1" x14ac:dyDescent="0.15">
      <c r="A24" s="168" t="s">
        <v>214</v>
      </c>
      <c r="B24" s="133">
        <v>0.23623623519719716</v>
      </c>
      <c r="C24" s="133">
        <v>0.12612613268468431</v>
      </c>
      <c r="D24" s="133">
        <v>0.11688311520519466</v>
      </c>
      <c r="E24" s="133">
        <v>0.25699999675085966</v>
      </c>
      <c r="F24" s="133">
        <v>2.2999999759850023E-2</v>
      </c>
      <c r="G24" s="133">
        <v>0.41699999999999998</v>
      </c>
      <c r="H24" s="133">
        <v>0.58899999653578028</v>
      </c>
      <c r="I24" s="133">
        <v>7.5301210155873488E-2</v>
      </c>
      <c r="J24" s="133">
        <v>0</v>
      </c>
      <c r="K24" s="133">
        <v>0.2694610821347303</v>
      </c>
      <c r="L24" s="133">
        <v>0.29429428331057117</v>
      </c>
      <c r="M24" s="133">
        <v>0.85699999999999998</v>
      </c>
      <c r="N24" s="133">
        <v>0.16183816358247741</v>
      </c>
      <c r="O24" s="133">
        <v>0</v>
      </c>
      <c r="P24" s="133">
        <v>0.45154845651588366</v>
      </c>
      <c r="Q24" s="133">
        <v>0.59099999999999997</v>
      </c>
      <c r="R24" s="133">
        <v>0</v>
      </c>
      <c r="S24" s="133">
        <v>3.6999999999999998E-2</v>
      </c>
      <c r="T24" s="133">
        <v>0</v>
      </c>
      <c r="U24" s="133">
        <v>0</v>
      </c>
      <c r="V24" s="133">
        <v>0</v>
      </c>
      <c r="W24" s="133">
        <v>0</v>
      </c>
      <c r="X24" s="133">
        <v>0.1590000001437</v>
      </c>
      <c r="Y24" s="133">
        <v>0</v>
      </c>
      <c r="Z24" s="133">
        <v>0</v>
      </c>
      <c r="AA24" s="133">
        <v>0</v>
      </c>
      <c r="AB24" s="133">
        <v>0</v>
      </c>
      <c r="AC24" s="133">
        <v>0</v>
      </c>
    </row>
    <row r="25" spans="1:29" customFormat="1" x14ac:dyDescent="0.15">
      <c r="A25" s="168" t="s">
        <v>215</v>
      </c>
      <c r="B25" s="133">
        <v>0</v>
      </c>
      <c r="C25" s="133">
        <v>0</v>
      </c>
      <c r="D25" s="133">
        <v>0</v>
      </c>
      <c r="E25" s="133">
        <v>0</v>
      </c>
      <c r="F25" s="133">
        <v>0</v>
      </c>
      <c r="G25" s="133">
        <v>0</v>
      </c>
      <c r="H25" s="133">
        <v>0</v>
      </c>
      <c r="I25" s="133">
        <v>8.0321280166265038E-2</v>
      </c>
      <c r="J25" s="133">
        <v>0.51748255174825519</v>
      </c>
      <c r="K25" s="133">
        <v>0</v>
      </c>
      <c r="L25" s="133">
        <v>2.0020020964664612E-3</v>
      </c>
      <c r="M25" s="133">
        <v>0</v>
      </c>
      <c r="N25" s="133">
        <v>0.20879121256010966</v>
      </c>
      <c r="O25" s="133">
        <v>0</v>
      </c>
      <c r="P25" s="133">
        <v>2.1978020383516636E-2</v>
      </c>
      <c r="Q25" s="133">
        <v>0</v>
      </c>
      <c r="R25" s="133">
        <v>0.28299999999999997</v>
      </c>
      <c r="S25" s="133">
        <v>0.153</v>
      </c>
      <c r="T25" s="133">
        <v>0.31</v>
      </c>
      <c r="U25" s="133">
        <v>0.29299999999999998</v>
      </c>
      <c r="V25" s="133">
        <v>0.249</v>
      </c>
      <c r="W25" s="133">
        <v>0.19980020799200832</v>
      </c>
      <c r="X25" s="133">
        <v>0</v>
      </c>
      <c r="Y25" s="133">
        <v>4.2000000000000003E-2</v>
      </c>
      <c r="Z25" s="133">
        <v>0</v>
      </c>
      <c r="AA25" s="133">
        <v>0</v>
      </c>
      <c r="AB25" s="133">
        <v>0</v>
      </c>
      <c r="AC25" s="133">
        <v>0</v>
      </c>
    </row>
    <row r="26" spans="1:29" customFormat="1" x14ac:dyDescent="0.15">
      <c r="A26" s="168" t="s">
        <v>216</v>
      </c>
      <c r="B26" s="133">
        <v>0</v>
      </c>
      <c r="C26" s="133">
        <v>0</v>
      </c>
      <c r="D26" s="133">
        <v>1.3986014781818235E-2</v>
      </c>
      <c r="E26" s="133">
        <v>0</v>
      </c>
      <c r="F26" s="133">
        <v>0</v>
      </c>
      <c r="G26" s="133">
        <v>0</v>
      </c>
      <c r="H26" s="133">
        <v>1.0000000760199935E-3</v>
      </c>
      <c r="I26" s="133">
        <v>7.429719015379517E-2</v>
      </c>
      <c r="J26" s="133">
        <v>0</v>
      </c>
      <c r="K26" s="133">
        <v>0.14471057540568885</v>
      </c>
      <c r="L26" s="133">
        <v>0.1611611598605506</v>
      </c>
      <c r="M26" s="133">
        <v>0.14299999999999999</v>
      </c>
      <c r="N26" s="133">
        <v>0.18681318797483509</v>
      </c>
      <c r="O26" s="133">
        <v>0</v>
      </c>
      <c r="P26" s="133">
        <v>0.36463536488561438</v>
      </c>
      <c r="Q26" s="133">
        <v>0.35799999999999998</v>
      </c>
      <c r="R26" s="133">
        <v>0.15</v>
      </c>
      <c r="S26" s="133">
        <v>5.0000000000000001E-3</v>
      </c>
      <c r="T26" s="133">
        <v>0.17799999999999999</v>
      </c>
      <c r="U26" s="133">
        <v>0</v>
      </c>
      <c r="V26" s="133">
        <v>0</v>
      </c>
      <c r="W26" s="133">
        <v>0</v>
      </c>
      <c r="X26" s="133">
        <v>0.77900000060969998</v>
      </c>
      <c r="Y26" s="133">
        <v>0</v>
      </c>
      <c r="Z26" s="133">
        <v>0</v>
      </c>
      <c r="AA26" s="133">
        <v>0</v>
      </c>
      <c r="AB26" s="133">
        <v>0</v>
      </c>
      <c r="AC26" s="133">
        <v>0</v>
      </c>
    </row>
    <row r="27" spans="1:29" customFormat="1" x14ac:dyDescent="0.15">
      <c r="A27" s="168" t="s">
        <v>217</v>
      </c>
      <c r="B27" s="133">
        <v>0</v>
      </c>
      <c r="C27" s="133">
        <v>0.11311310643943984</v>
      </c>
      <c r="D27" s="133">
        <v>0</v>
      </c>
      <c r="E27" s="133">
        <v>3.0999999147379907E-2</v>
      </c>
      <c r="F27" s="133">
        <v>5.1999999961400006E-2</v>
      </c>
      <c r="G27" s="133">
        <v>0</v>
      </c>
      <c r="H27" s="133">
        <v>1.0000000760199935E-3</v>
      </c>
      <c r="I27" s="133">
        <v>2.5100402551957831E-2</v>
      </c>
      <c r="J27" s="133">
        <v>0</v>
      </c>
      <c r="K27" s="133">
        <v>9.9800393383233932E-3</v>
      </c>
      <c r="L27" s="133">
        <v>0</v>
      </c>
      <c r="M27" s="133">
        <v>0</v>
      </c>
      <c r="N27" s="133">
        <v>0</v>
      </c>
      <c r="O27" s="133">
        <v>0</v>
      </c>
      <c r="P27" s="133">
        <v>0</v>
      </c>
      <c r="Q27" s="133">
        <v>0</v>
      </c>
      <c r="R27" s="133">
        <v>1E-3</v>
      </c>
      <c r="S27" s="133">
        <v>0</v>
      </c>
      <c r="T27" s="133">
        <v>0</v>
      </c>
      <c r="U27" s="133">
        <v>1E-3</v>
      </c>
      <c r="V27" s="133">
        <v>0</v>
      </c>
      <c r="W27" s="133">
        <v>6.1938062477522503E-2</v>
      </c>
      <c r="X27" s="133">
        <v>0</v>
      </c>
      <c r="Y27" s="133">
        <v>0</v>
      </c>
      <c r="Z27" s="133">
        <v>0</v>
      </c>
      <c r="AA27" s="133">
        <v>0</v>
      </c>
      <c r="AB27" s="133">
        <v>0</v>
      </c>
      <c r="AC27" s="133">
        <v>0</v>
      </c>
    </row>
    <row r="28" spans="1:29" customFormat="1" x14ac:dyDescent="0.15">
      <c r="A28" s="168" t="s">
        <v>218</v>
      </c>
      <c r="B28" s="133">
        <v>0</v>
      </c>
      <c r="C28" s="133">
        <v>0</v>
      </c>
      <c r="D28" s="133">
        <v>0.15984016322077943</v>
      </c>
      <c r="E28" s="133">
        <v>1.4000000111720014E-2</v>
      </c>
      <c r="F28" s="133">
        <v>0</v>
      </c>
      <c r="G28" s="133">
        <v>0</v>
      </c>
      <c r="H28" s="133">
        <v>0</v>
      </c>
      <c r="I28" s="133">
        <v>7.0281126645481929E-3</v>
      </c>
      <c r="J28" s="133">
        <v>0</v>
      </c>
      <c r="K28" s="133">
        <v>0.14670659027335306</v>
      </c>
      <c r="L28" s="133">
        <v>0.11511511447182185</v>
      </c>
      <c r="M28" s="133">
        <v>0</v>
      </c>
      <c r="N28" s="133">
        <v>0.10889110799067937</v>
      </c>
      <c r="O28" s="133">
        <v>0.505</v>
      </c>
      <c r="P28" s="133">
        <v>0</v>
      </c>
      <c r="Q28" s="133">
        <v>0.03</v>
      </c>
      <c r="R28" s="133">
        <v>0.27400000000000002</v>
      </c>
      <c r="S28" s="133">
        <v>0.60199999999999998</v>
      </c>
      <c r="T28" s="133">
        <v>0.51200000000000001</v>
      </c>
      <c r="U28" s="133">
        <v>0.66300000000000003</v>
      </c>
      <c r="V28" s="133">
        <v>0.751</v>
      </c>
      <c r="W28" s="133">
        <v>0.7382617295304692</v>
      </c>
      <c r="X28" s="133">
        <v>6.1999999246600046E-2</v>
      </c>
      <c r="Y28" s="133">
        <v>0.95799999999999996</v>
      </c>
      <c r="Z28" s="133">
        <v>0</v>
      </c>
      <c r="AA28" s="133">
        <v>0</v>
      </c>
      <c r="AB28" s="133">
        <v>0</v>
      </c>
      <c r="AC28" s="133">
        <v>0</v>
      </c>
    </row>
    <row r="29" spans="1:29" customFormat="1" x14ac:dyDescent="0.15">
      <c r="A29" s="168" t="s">
        <v>219</v>
      </c>
      <c r="B29" s="133">
        <v>0</v>
      </c>
      <c r="C29" s="133">
        <v>0</v>
      </c>
      <c r="D29" s="133">
        <v>0</v>
      </c>
      <c r="E29" s="133">
        <v>0</v>
      </c>
      <c r="F29" s="133">
        <v>0</v>
      </c>
      <c r="G29" s="133">
        <v>0</v>
      </c>
      <c r="H29" s="133">
        <v>0</v>
      </c>
      <c r="I29" s="133">
        <v>0</v>
      </c>
      <c r="J29" s="133">
        <v>0</v>
      </c>
      <c r="K29" s="133">
        <v>0</v>
      </c>
      <c r="L29" s="133">
        <v>0</v>
      </c>
      <c r="M29" s="133">
        <v>0</v>
      </c>
      <c r="N29" s="133">
        <v>0</v>
      </c>
      <c r="O29" s="133">
        <v>0</v>
      </c>
      <c r="P29" s="133">
        <v>0</v>
      </c>
      <c r="Q29" s="133">
        <v>0</v>
      </c>
      <c r="R29" s="133">
        <v>0</v>
      </c>
      <c r="S29" s="133">
        <v>0</v>
      </c>
      <c r="T29" s="133">
        <v>0</v>
      </c>
      <c r="U29" s="133">
        <v>0</v>
      </c>
      <c r="V29" s="133">
        <v>0</v>
      </c>
      <c r="W29" s="133">
        <v>0</v>
      </c>
      <c r="X29" s="133">
        <v>0</v>
      </c>
      <c r="Y29" s="133">
        <v>0</v>
      </c>
      <c r="Z29" s="133">
        <v>0</v>
      </c>
      <c r="AA29" s="133">
        <v>0</v>
      </c>
      <c r="AB29" s="133">
        <v>0</v>
      </c>
      <c r="AC29" s="133">
        <v>0</v>
      </c>
    </row>
    <row r="30" spans="1:29" customFormat="1" x14ac:dyDescent="0.15">
      <c r="A30" s="168" t="s">
        <v>222</v>
      </c>
      <c r="B30" s="133">
        <v>0</v>
      </c>
      <c r="C30" s="133">
        <v>0</v>
      </c>
      <c r="D30" s="133">
        <v>0</v>
      </c>
      <c r="E30" s="133">
        <v>0</v>
      </c>
      <c r="F30" s="133">
        <v>0</v>
      </c>
      <c r="G30" s="133">
        <v>0</v>
      </c>
      <c r="H30" s="133">
        <v>0</v>
      </c>
      <c r="I30" s="133">
        <v>0</v>
      </c>
      <c r="J30" s="133">
        <v>0</v>
      </c>
      <c r="K30" s="133">
        <v>0</v>
      </c>
      <c r="L30" s="133">
        <v>0</v>
      </c>
      <c r="M30" s="133">
        <v>0</v>
      </c>
      <c r="N30" s="133">
        <v>0</v>
      </c>
      <c r="O30" s="133">
        <v>0</v>
      </c>
      <c r="P30" s="133">
        <v>0</v>
      </c>
      <c r="Q30" s="133">
        <v>0</v>
      </c>
      <c r="R30" s="133">
        <v>0</v>
      </c>
      <c r="S30" s="133">
        <v>0</v>
      </c>
      <c r="T30" s="133">
        <v>0</v>
      </c>
      <c r="U30" s="133">
        <v>0</v>
      </c>
      <c r="V30" s="133">
        <v>0</v>
      </c>
      <c r="W30" s="133">
        <v>0</v>
      </c>
      <c r="X30" s="133">
        <v>0</v>
      </c>
      <c r="Y30" s="133">
        <v>0</v>
      </c>
      <c r="Z30" s="133">
        <v>0</v>
      </c>
      <c r="AA30" s="133">
        <v>0</v>
      </c>
      <c r="AB30" s="133">
        <v>0</v>
      </c>
      <c r="AC30" s="133">
        <v>0</v>
      </c>
    </row>
    <row r="31" spans="1:29" customFormat="1" x14ac:dyDescent="0.15"/>
    <row r="32" spans="1:29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3" customWidth="1"/>
    <col min="5" max="6" width="2.33203125" style="102" bestFit="1" customWidth="1"/>
    <col min="7" max="7" width="2.33203125" style="103" customWidth="1"/>
    <col min="8" max="8" width="8.83203125" style="103"/>
  </cols>
  <sheetData>
    <row r="1" spans="1:8" ht="70" x14ac:dyDescent="0.15">
      <c r="A1" s="5" t="s">
        <v>20</v>
      </c>
      <c r="B1" s="1" t="s">
        <v>0</v>
      </c>
      <c r="C1" s="171" t="s">
        <v>217</v>
      </c>
      <c r="D1" s="171" t="s">
        <v>218</v>
      </c>
      <c r="E1" s="171" t="s">
        <v>219</v>
      </c>
      <c r="F1" s="171" t="s">
        <v>223</v>
      </c>
      <c r="G1" s="171" t="s">
        <v>224</v>
      </c>
      <c r="H1"/>
    </row>
    <row r="2" spans="1:8" x14ac:dyDescent="0.15">
      <c r="A2">
        <v>1</v>
      </c>
      <c r="B2" s="170" t="s">
        <v>192</v>
      </c>
      <c r="C2" s="103">
        <v>0</v>
      </c>
      <c r="D2" s="103">
        <v>1</v>
      </c>
      <c r="E2" s="102">
        <v>0</v>
      </c>
      <c r="F2" s="102">
        <v>0</v>
      </c>
      <c r="G2" s="103">
        <v>1</v>
      </c>
      <c r="H2"/>
    </row>
    <row r="3" spans="1:8" x14ac:dyDescent="0.15">
      <c r="A3">
        <v>2</v>
      </c>
      <c r="B3" s="170" t="s">
        <v>193</v>
      </c>
      <c r="C3" s="103">
        <v>0</v>
      </c>
      <c r="D3" s="103">
        <v>1</v>
      </c>
      <c r="E3" s="102">
        <v>0</v>
      </c>
      <c r="F3" s="102">
        <v>0</v>
      </c>
      <c r="G3" s="103">
        <v>1</v>
      </c>
      <c r="H3"/>
    </row>
    <row r="4" spans="1:8" x14ac:dyDescent="0.15">
      <c r="A4">
        <v>3</v>
      </c>
      <c r="B4" s="170" t="s">
        <v>194</v>
      </c>
      <c r="C4" s="103">
        <v>0</v>
      </c>
      <c r="D4" s="103">
        <v>1</v>
      </c>
      <c r="E4" s="102">
        <v>0</v>
      </c>
      <c r="F4" s="102">
        <v>0</v>
      </c>
      <c r="G4" s="103">
        <v>1</v>
      </c>
      <c r="H4"/>
    </row>
    <row r="5" spans="1:8" x14ac:dyDescent="0.15">
      <c r="A5">
        <v>4</v>
      </c>
      <c r="B5" s="170" t="s">
        <v>195</v>
      </c>
      <c r="C5" s="103">
        <v>0</v>
      </c>
      <c r="D5" s="103">
        <v>1</v>
      </c>
      <c r="E5" s="102">
        <v>0</v>
      </c>
      <c r="F5" s="102">
        <v>0</v>
      </c>
      <c r="G5" s="103">
        <v>1</v>
      </c>
      <c r="H5"/>
    </row>
    <row r="6" spans="1:8" x14ac:dyDescent="0.15">
      <c r="A6">
        <v>5</v>
      </c>
      <c r="B6" s="170" t="s">
        <v>196</v>
      </c>
      <c r="C6" s="103">
        <v>0</v>
      </c>
      <c r="D6" s="103">
        <v>1</v>
      </c>
      <c r="E6" s="102">
        <v>0</v>
      </c>
      <c r="F6" s="102">
        <v>0</v>
      </c>
      <c r="G6" s="103">
        <v>1</v>
      </c>
      <c r="H6"/>
    </row>
    <row r="7" spans="1:8" x14ac:dyDescent="0.15">
      <c r="A7">
        <v>6</v>
      </c>
      <c r="B7" s="170" t="s">
        <v>197</v>
      </c>
      <c r="C7" s="103">
        <v>0</v>
      </c>
      <c r="D7" s="103">
        <v>1</v>
      </c>
      <c r="E7" s="102">
        <v>0</v>
      </c>
      <c r="F7" s="102">
        <v>0</v>
      </c>
      <c r="G7" s="103">
        <v>1</v>
      </c>
      <c r="H7"/>
    </row>
    <row r="8" spans="1:8" x14ac:dyDescent="0.15">
      <c r="A8">
        <v>7</v>
      </c>
      <c r="B8" s="170" t="s">
        <v>198</v>
      </c>
      <c r="C8" s="103">
        <v>0</v>
      </c>
      <c r="D8" s="103">
        <v>1</v>
      </c>
      <c r="E8" s="102">
        <v>0</v>
      </c>
      <c r="F8" s="102">
        <v>0</v>
      </c>
      <c r="G8" s="103">
        <v>1</v>
      </c>
      <c r="H8"/>
    </row>
    <row r="9" spans="1:8" x14ac:dyDescent="0.15">
      <c r="A9">
        <v>8</v>
      </c>
      <c r="B9" s="170" t="s">
        <v>199</v>
      </c>
      <c r="C9" s="103">
        <v>0</v>
      </c>
      <c r="D9" s="103">
        <v>1</v>
      </c>
      <c r="E9" s="102">
        <v>0</v>
      </c>
      <c r="F9" s="102">
        <v>0</v>
      </c>
      <c r="G9" s="103">
        <v>1</v>
      </c>
      <c r="H9"/>
    </row>
    <row r="10" spans="1:8" x14ac:dyDescent="0.15">
      <c r="A10">
        <v>9</v>
      </c>
      <c r="B10" s="170" t="s">
        <v>200</v>
      </c>
      <c r="C10" s="103">
        <v>0</v>
      </c>
      <c r="D10" s="103">
        <v>1</v>
      </c>
      <c r="E10" s="102">
        <v>0</v>
      </c>
      <c r="F10" s="102">
        <v>0</v>
      </c>
      <c r="G10" s="103">
        <v>1</v>
      </c>
      <c r="H10"/>
    </row>
    <row r="11" spans="1:8" x14ac:dyDescent="0.15">
      <c r="A11">
        <v>10</v>
      </c>
      <c r="B11" s="170" t="s">
        <v>201</v>
      </c>
      <c r="C11" s="103">
        <v>0</v>
      </c>
      <c r="D11" s="103">
        <v>1</v>
      </c>
      <c r="E11" s="102">
        <v>0</v>
      </c>
      <c r="F11" s="102">
        <v>0</v>
      </c>
      <c r="G11" s="103">
        <v>1</v>
      </c>
      <c r="H11"/>
    </row>
    <row r="12" spans="1:8" x14ac:dyDescent="0.15">
      <c r="A12">
        <v>11</v>
      </c>
      <c r="B12" s="170" t="s">
        <v>202</v>
      </c>
      <c r="C12" s="103">
        <v>0</v>
      </c>
      <c r="D12" s="103">
        <v>1</v>
      </c>
      <c r="E12" s="102">
        <v>0</v>
      </c>
      <c r="F12" s="102">
        <v>0</v>
      </c>
      <c r="G12" s="103">
        <v>1</v>
      </c>
      <c r="H12"/>
    </row>
    <row r="13" spans="1:8" x14ac:dyDescent="0.15">
      <c r="A13">
        <v>12</v>
      </c>
      <c r="B13" s="170" t="s">
        <v>203</v>
      </c>
      <c r="C13" s="103">
        <v>0</v>
      </c>
      <c r="D13" s="103">
        <v>1</v>
      </c>
      <c r="E13" s="102">
        <v>0</v>
      </c>
      <c r="F13" s="102">
        <v>0</v>
      </c>
      <c r="G13" s="103">
        <v>1</v>
      </c>
      <c r="H13"/>
    </row>
    <row r="14" spans="1:8" x14ac:dyDescent="0.15">
      <c r="A14">
        <v>13</v>
      </c>
      <c r="B14" s="170" t="s">
        <v>204</v>
      </c>
      <c r="C14" s="103">
        <v>0</v>
      </c>
      <c r="D14" s="103">
        <v>1</v>
      </c>
      <c r="E14" s="102">
        <v>0</v>
      </c>
      <c r="F14" s="102">
        <v>0</v>
      </c>
      <c r="G14" s="103">
        <v>1</v>
      </c>
      <c r="H14"/>
    </row>
    <row r="15" spans="1:8" x14ac:dyDescent="0.15">
      <c r="A15">
        <v>14</v>
      </c>
      <c r="B15" s="170" t="s">
        <v>205</v>
      </c>
      <c r="C15" s="103">
        <v>0</v>
      </c>
      <c r="D15" s="103">
        <v>1</v>
      </c>
      <c r="E15" s="102">
        <v>0</v>
      </c>
      <c r="F15" s="102">
        <v>0</v>
      </c>
      <c r="G15" s="103">
        <v>1</v>
      </c>
      <c r="H15"/>
    </row>
    <row r="16" spans="1:8" x14ac:dyDescent="0.15">
      <c r="A16">
        <v>15</v>
      </c>
      <c r="B16" s="170" t="s">
        <v>206</v>
      </c>
      <c r="C16" s="103">
        <v>0</v>
      </c>
      <c r="D16" s="103">
        <v>1</v>
      </c>
      <c r="E16" s="102">
        <v>0</v>
      </c>
      <c r="F16" s="102">
        <v>0</v>
      </c>
      <c r="G16" s="103">
        <v>1</v>
      </c>
      <c r="H16"/>
    </row>
    <row r="17" spans="1:8" ht="15" customHeight="1" x14ac:dyDescent="0.15">
      <c r="A17">
        <v>16</v>
      </c>
      <c r="B17" s="170" t="s">
        <v>207</v>
      </c>
      <c r="C17" s="103">
        <v>0</v>
      </c>
      <c r="D17" s="103">
        <v>1</v>
      </c>
      <c r="E17" s="102">
        <v>0</v>
      </c>
      <c r="F17" s="102">
        <v>0</v>
      </c>
      <c r="G17" s="103">
        <v>1</v>
      </c>
      <c r="H17"/>
    </row>
    <row r="18" spans="1:8" ht="15" customHeight="1" x14ac:dyDescent="0.15">
      <c r="A18">
        <v>17</v>
      </c>
      <c r="B18" s="170" t="s">
        <v>208</v>
      </c>
      <c r="C18" s="103">
        <v>0</v>
      </c>
      <c r="D18" s="103">
        <v>1</v>
      </c>
      <c r="E18" s="102">
        <v>0</v>
      </c>
      <c r="F18" s="102">
        <v>0</v>
      </c>
      <c r="G18" s="103">
        <v>1</v>
      </c>
      <c r="H18"/>
    </row>
    <row r="19" spans="1:8" ht="15" customHeight="1" x14ac:dyDescent="0.15">
      <c r="A19">
        <v>18</v>
      </c>
      <c r="B19" s="170" t="s">
        <v>209</v>
      </c>
      <c r="C19" s="103">
        <v>0</v>
      </c>
      <c r="D19" s="103">
        <v>1</v>
      </c>
      <c r="E19" s="102">
        <v>0</v>
      </c>
      <c r="F19" s="102">
        <v>0</v>
      </c>
      <c r="G19" s="103">
        <v>1</v>
      </c>
      <c r="H19"/>
    </row>
    <row r="20" spans="1:8" ht="15" customHeight="1" x14ac:dyDescent="0.15">
      <c r="A20">
        <v>19</v>
      </c>
      <c r="B20" s="170" t="s">
        <v>210</v>
      </c>
      <c r="C20" s="103">
        <v>0</v>
      </c>
      <c r="D20" s="103">
        <v>1</v>
      </c>
      <c r="E20" s="102">
        <v>0</v>
      </c>
      <c r="F20" s="102">
        <v>0</v>
      </c>
      <c r="G20" s="103">
        <v>1</v>
      </c>
      <c r="H20"/>
    </row>
    <row r="21" spans="1:8" ht="15" customHeight="1" x14ac:dyDescent="0.15">
      <c r="A21">
        <v>20</v>
      </c>
      <c r="B21" s="170" t="s">
        <v>211</v>
      </c>
      <c r="C21" s="103">
        <v>0</v>
      </c>
      <c r="D21" s="103">
        <v>1</v>
      </c>
      <c r="E21" s="102">
        <v>0</v>
      </c>
      <c r="F21" s="102">
        <v>0</v>
      </c>
      <c r="G21" s="103">
        <v>1</v>
      </c>
      <c r="H21"/>
    </row>
    <row r="22" spans="1:8" ht="15" customHeight="1" x14ac:dyDescent="0.15">
      <c r="A22">
        <v>21</v>
      </c>
      <c r="B22" s="170" t="s">
        <v>212</v>
      </c>
      <c r="C22" s="103">
        <v>0</v>
      </c>
      <c r="D22" s="103">
        <v>1</v>
      </c>
      <c r="E22" s="102">
        <v>0</v>
      </c>
      <c r="F22" s="102">
        <v>0</v>
      </c>
      <c r="G22" s="103">
        <v>1</v>
      </c>
      <c r="H22"/>
    </row>
    <row r="23" spans="1:8" ht="15" customHeight="1" x14ac:dyDescent="0.15">
      <c r="A23">
        <v>22</v>
      </c>
      <c r="B23" s="170" t="s">
        <v>213</v>
      </c>
      <c r="C23" s="103">
        <v>0</v>
      </c>
      <c r="D23" s="103">
        <v>1</v>
      </c>
      <c r="E23" s="102">
        <v>0</v>
      </c>
      <c r="F23" s="102">
        <v>0</v>
      </c>
      <c r="G23" s="103">
        <v>1</v>
      </c>
      <c r="H23"/>
    </row>
    <row r="24" spans="1:8" ht="15" customHeight="1" x14ac:dyDescent="0.15">
      <c r="A24">
        <v>23</v>
      </c>
      <c r="B24" s="170" t="s">
        <v>214</v>
      </c>
      <c r="C24" s="103">
        <v>0</v>
      </c>
      <c r="D24" s="103">
        <v>1</v>
      </c>
      <c r="E24" s="102">
        <v>0</v>
      </c>
      <c r="F24" s="102">
        <v>0</v>
      </c>
      <c r="G24" s="103">
        <v>1</v>
      </c>
      <c r="H24"/>
    </row>
    <row r="25" spans="1:8" ht="15" customHeight="1" x14ac:dyDescent="0.15">
      <c r="A25">
        <v>24</v>
      </c>
      <c r="B25" s="170" t="s">
        <v>215</v>
      </c>
      <c r="C25" s="103">
        <v>0</v>
      </c>
      <c r="D25" s="103">
        <v>1</v>
      </c>
      <c r="E25" s="102">
        <v>0</v>
      </c>
      <c r="F25" s="102">
        <v>0</v>
      </c>
      <c r="G25" s="103">
        <v>1</v>
      </c>
      <c r="H25"/>
    </row>
    <row r="26" spans="1:8" ht="15" customHeight="1" x14ac:dyDescent="0.15">
      <c r="A26">
        <v>25</v>
      </c>
      <c r="B26" s="170" t="s">
        <v>216</v>
      </c>
      <c r="C26" s="103">
        <v>0</v>
      </c>
      <c r="D26" s="103">
        <v>1</v>
      </c>
      <c r="E26" s="102">
        <v>0</v>
      </c>
      <c r="F26" s="102">
        <v>0</v>
      </c>
      <c r="G26" s="103">
        <v>1</v>
      </c>
      <c r="H26"/>
    </row>
    <row r="27" spans="1:8" ht="15" customHeight="1" x14ac:dyDescent="0.15">
      <c r="A27">
        <v>26</v>
      </c>
      <c r="B27" s="170" t="s">
        <v>217</v>
      </c>
      <c r="C27" s="103">
        <v>1</v>
      </c>
      <c r="D27" s="103">
        <v>0</v>
      </c>
      <c r="E27" s="102">
        <v>0</v>
      </c>
      <c r="F27" s="102">
        <v>0</v>
      </c>
      <c r="G27" s="103">
        <v>1</v>
      </c>
      <c r="H27"/>
    </row>
    <row r="28" spans="1:8" ht="15" customHeight="1" x14ac:dyDescent="0.15">
      <c r="A28">
        <v>27</v>
      </c>
      <c r="B28" s="170" t="s">
        <v>218</v>
      </c>
      <c r="C28" s="103">
        <v>0</v>
      </c>
      <c r="D28" s="103">
        <v>0</v>
      </c>
      <c r="E28" s="102">
        <v>1</v>
      </c>
      <c r="F28" s="102">
        <v>0</v>
      </c>
      <c r="G28" s="103">
        <v>1</v>
      </c>
      <c r="H28"/>
    </row>
    <row r="29" spans="1:8" ht="15" customHeight="1" x14ac:dyDescent="0.15">
      <c r="A29">
        <v>28</v>
      </c>
      <c r="B29" s="170" t="s">
        <v>219</v>
      </c>
      <c r="C29" s="103">
        <v>0</v>
      </c>
      <c r="D29" s="103">
        <v>0</v>
      </c>
      <c r="E29" s="102">
        <v>0</v>
      </c>
      <c r="F29" s="102">
        <v>1</v>
      </c>
      <c r="G29" s="103">
        <v>1</v>
      </c>
      <c r="H29"/>
    </row>
    <row r="30" spans="1:8" ht="15" customHeight="1" x14ac:dyDescent="0.15">
      <c r="A30">
        <v>29</v>
      </c>
      <c r="B30" s="170" t="s">
        <v>220</v>
      </c>
      <c r="C30" s="103">
        <v>1</v>
      </c>
      <c r="D30" s="103">
        <v>0</v>
      </c>
      <c r="E30" s="102">
        <v>0</v>
      </c>
      <c r="F30" s="102">
        <v>0</v>
      </c>
      <c r="G30" s="103">
        <v>1</v>
      </c>
      <c r="H30"/>
    </row>
    <row r="31" spans="1:8" ht="15" customHeight="1" x14ac:dyDescent="0.15">
      <c r="A31">
        <v>30</v>
      </c>
      <c r="B31" s="170" t="s">
        <v>221</v>
      </c>
      <c r="C31" s="103">
        <v>1</v>
      </c>
      <c r="D31" s="103">
        <v>0</v>
      </c>
      <c r="E31" s="102">
        <v>0</v>
      </c>
      <c r="F31" s="102">
        <v>0</v>
      </c>
      <c r="G31" s="103">
        <v>1</v>
      </c>
      <c r="H31"/>
    </row>
    <row r="32" spans="1:8" ht="15" customHeight="1" x14ac:dyDescent="0.15">
      <c r="A32">
        <v>31</v>
      </c>
      <c r="B32" s="170" t="s">
        <v>228</v>
      </c>
      <c r="C32" s="103">
        <v>1</v>
      </c>
      <c r="D32" s="103">
        <v>0</v>
      </c>
      <c r="E32" s="102">
        <v>0</v>
      </c>
      <c r="F32" s="102">
        <v>0</v>
      </c>
      <c r="G32" s="103">
        <v>1</v>
      </c>
    </row>
    <row r="33" spans="1:8" ht="15" customHeight="1" x14ac:dyDescent="0.15">
      <c r="A33">
        <v>32</v>
      </c>
      <c r="B33" s="170" t="s">
        <v>229</v>
      </c>
      <c r="C33" s="103">
        <v>1</v>
      </c>
      <c r="D33" s="103">
        <v>0</v>
      </c>
      <c r="E33" s="102">
        <v>0</v>
      </c>
      <c r="F33" s="102">
        <v>0</v>
      </c>
      <c r="G33" s="103">
        <v>1</v>
      </c>
    </row>
    <row r="34" spans="1:8" ht="15" customHeight="1" x14ac:dyDescent="0.15"/>
    <row r="35" spans="1:8" ht="15" customHeight="1" x14ac:dyDescent="0.15"/>
    <row r="36" spans="1:8" ht="15" customHeight="1" x14ac:dyDescent="0.15">
      <c r="C36"/>
      <c r="D36"/>
      <c r="E36" s="103"/>
      <c r="F36" s="103"/>
      <c r="G36"/>
      <c r="H36"/>
    </row>
    <row r="37" spans="1:8" ht="15" customHeight="1" x14ac:dyDescent="0.15">
      <c r="C37"/>
      <c r="D37"/>
      <c r="E37" s="103"/>
      <c r="F37" s="103"/>
      <c r="G37"/>
      <c r="H37"/>
    </row>
    <row r="38" spans="1:8" ht="15" customHeight="1" x14ac:dyDescent="0.15">
      <c r="C38"/>
      <c r="D38"/>
      <c r="E38" s="103"/>
      <c r="F38" s="103"/>
      <c r="G38"/>
      <c r="H38"/>
    </row>
    <row r="39" spans="1:8" ht="15" customHeight="1" x14ac:dyDescent="0.15">
      <c r="C39"/>
      <c r="D39"/>
      <c r="E39" s="103"/>
      <c r="F39" s="103"/>
      <c r="G39"/>
      <c r="H39"/>
    </row>
    <row r="40" spans="1:8" ht="15" customHeight="1" x14ac:dyDescent="0.15">
      <c r="C40"/>
      <c r="D40"/>
      <c r="E40" s="103"/>
      <c r="F40" s="103"/>
      <c r="G40"/>
      <c r="H40"/>
    </row>
    <row r="41" spans="1:8" ht="15" customHeight="1" x14ac:dyDescent="0.15">
      <c r="C41"/>
      <c r="D41"/>
      <c r="E41" s="103"/>
      <c r="F41" s="103"/>
      <c r="G41"/>
      <c r="H41"/>
    </row>
    <row r="42" spans="1:8" ht="15" customHeight="1" x14ac:dyDescent="0.15">
      <c r="C42"/>
      <c r="D42"/>
      <c r="E42" s="103"/>
      <c r="F42" s="103"/>
      <c r="G42"/>
      <c r="H42"/>
    </row>
    <row r="43" spans="1:8" ht="15" customHeight="1" x14ac:dyDescent="0.15">
      <c r="C43"/>
      <c r="D43"/>
      <c r="E43" s="103"/>
      <c r="F43" s="103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3"/>
      <c r="F46" s="103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7" sqref="B7"/>
    </sheetView>
  </sheetViews>
  <sheetFormatPr baseColWidth="10" defaultColWidth="8.83203125" defaultRowHeight="13" x14ac:dyDescent="0.15"/>
  <cols>
    <col min="1" max="1" width="3.33203125" customWidth="1"/>
    <col min="2" max="2" width="15.1640625" bestFit="1" customWidth="1"/>
    <col min="3" max="4" width="5.83203125" bestFit="1" customWidth="1"/>
    <col min="5" max="5" width="4.83203125" bestFit="1" customWidth="1"/>
    <col min="6" max="7" width="5.83203125" customWidth="1"/>
  </cols>
  <sheetData>
    <row r="1" spans="1:7" s="104" customFormat="1" ht="112" x14ac:dyDescent="0.15">
      <c r="A1" s="5" t="s">
        <v>21</v>
      </c>
      <c r="B1" s="3" t="s">
        <v>0</v>
      </c>
      <c r="C1" s="173" t="s">
        <v>220</v>
      </c>
      <c r="D1" s="173" t="s">
        <v>221</v>
      </c>
      <c r="E1" s="173" t="s">
        <v>228</v>
      </c>
      <c r="F1" s="173" t="s">
        <v>229</v>
      </c>
      <c r="G1" s="173" t="s">
        <v>225</v>
      </c>
    </row>
    <row r="2" spans="1:7" ht="15" customHeight="1" x14ac:dyDescent="0.15">
      <c r="A2">
        <v>1</v>
      </c>
      <c r="B2" s="172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ht="15" customHeight="1" x14ac:dyDescent="0.15">
      <c r="A3">
        <v>2</v>
      </c>
      <c r="B3" s="172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ht="15" customHeight="1" x14ac:dyDescent="0.15">
      <c r="A4">
        <v>3</v>
      </c>
      <c r="B4" s="172" t="s">
        <v>194</v>
      </c>
      <c r="C4">
        <v>3.2000000000000001E-2</v>
      </c>
      <c r="D4">
        <v>0</v>
      </c>
      <c r="E4">
        <v>0</v>
      </c>
      <c r="F4">
        <v>0</v>
      </c>
      <c r="G4">
        <v>3.2000000000000001E-2</v>
      </c>
    </row>
    <row r="5" spans="1:7" ht="15" customHeight="1" x14ac:dyDescent="0.15">
      <c r="A5">
        <v>4</v>
      </c>
      <c r="B5" s="172" t="s">
        <v>195</v>
      </c>
      <c r="C5">
        <v>9.1999999999999998E-2</v>
      </c>
      <c r="D5">
        <v>0</v>
      </c>
      <c r="E5">
        <v>0</v>
      </c>
      <c r="F5">
        <v>0</v>
      </c>
      <c r="G5">
        <v>9.1999999999999998E-2</v>
      </c>
    </row>
    <row r="6" spans="1:7" ht="15" customHeight="1" x14ac:dyDescent="0.15">
      <c r="A6">
        <v>5</v>
      </c>
      <c r="B6" s="172" t="s">
        <v>196</v>
      </c>
      <c r="C6">
        <v>6.0999999999999999E-2</v>
      </c>
      <c r="D6">
        <v>0</v>
      </c>
      <c r="E6">
        <v>0</v>
      </c>
      <c r="F6">
        <v>0</v>
      </c>
      <c r="G6">
        <v>6.0999999999999999E-2</v>
      </c>
    </row>
    <row r="7" spans="1:7" ht="15" customHeight="1" x14ac:dyDescent="0.15">
      <c r="A7">
        <v>6</v>
      </c>
      <c r="B7" s="172" t="s">
        <v>197</v>
      </c>
      <c r="C7">
        <v>0</v>
      </c>
      <c r="D7">
        <v>0</v>
      </c>
      <c r="E7">
        <v>0</v>
      </c>
      <c r="F7">
        <v>0.36699999999999999</v>
      </c>
      <c r="G7">
        <v>0.36699999999999999</v>
      </c>
    </row>
    <row r="8" spans="1:7" ht="15" customHeight="1" x14ac:dyDescent="0.15">
      <c r="A8">
        <v>7</v>
      </c>
      <c r="B8" s="172" t="s">
        <v>198</v>
      </c>
      <c r="C8">
        <v>1E-3</v>
      </c>
      <c r="D8">
        <v>0</v>
      </c>
      <c r="E8">
        <v>0</v>
      </c>
      <c r="F8">
        <v>0</v>
      </c>
      <c r="G8">
        <v>1E-3</v>
      </c>
    </row>
    <row r="9" spans="1:7" ht="15" customHeight="1" x14ac:dyDescent="0.15">
      <c r="A9">
        <v>8</v>
      </c>
      <c r="B9" s="172" t="s">
        <v>199</v>
      </c>
      <c r="C9">
        <v>0.18</v>
      </c>
      <c r="D9">
        <v>0</v>
      </c>
      <c r="E9">
        <v>0</v>
      </c>
      <c r="F9">
        <v>0</v>
      </c>
      <c r="G9">
        <v>0.18</v>
      </c>
    </row>
    <row r="10" spans="1:7" ht="15" customHeight="1" x14ac:dyDescent="0.15">
      <c r="A10">
        <v>9</v>
      </c>
      <c r="B10" s="172" t="s">
        <v>200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ht="15" customHeight="1" x14ac:dyDescent="0.15">
      <c r="A11">
        <v>10</v>
      </c>
      <c r="B11" s="172" t="s">
        <v>201</v>
      </c>
      <c r="C11">
        <v>5.3999999999999999E-2</v>
      </c>
      <c r="D11">
        <v>0</v>
      </c>
      <c r="E11">
        <v>0</v>
      </c>
      <c r="F11">
        <v>0</v>
      </c>
      <c r="G11">
        <v>5.3999999999999999E-2</v>
      </c>
    </row>
    <row r="12" spans="1:7" ht="15" customHeight="1" x14ac:dyDescent="0.15">
      <c r="A12">
        <v>11</v>
      </c>
      <c r="B12" s="172" t="s">
        <v>202</v>
      </c>
      <c r="C12">
        <v>1E-3</v>
      </c>
      <c r="D12">
        <v>0</v>
      </c>
      <c r="E12">
        <v>0</v>
      </c>
      <c r="F12">
        <v>0</v>
      </c>
      <c r="G12">
        <v>1E-3</v>
      </c>
    </row>
    <row r="13" spans="1:7" ht="15" customHeight="1" x14ac:dyDescent="0.15">
      <c r="A13">
        <v>12</v>
      </c>
      <c r="B13" s="172" t="s">
        <v>203</v>
      </c>
      <c r="C13">
        <v>0</v>
      </c>
      <c r="D13">
        <v>0</v>
      </c>
      <c r="E13">
        <v>14.5</v>
      </c>
      <c r="F13">
        <v>0</v>
      </c>
      <c r="G13">
        <v>14.5</v>
      </c>
    </row>
    <row r="14" spans="1:7" ht="15" customHeight="1" x14ac:dyDescent="0.15">
      <c r="A14">
        <v>13</v>
      </c>
      <c r="B14" s="172" t="s">
        <v>204</v>
      </c>
      <c r="C14">
        <v>8.0000000000000002E-3</v>
      </c>
      <c r="D14">
        <v>0</v>
      </c>
      <c r="E14">
        <v>0</v>
      </c>
      <c r="F14">
        <v>0</v>
      </c>
      <c r="G14">
        <v>8.0000000000000002E-3</v>
      </c>
    </row>
    <row r="15" spans="1:7" ht="15" customHeight="1" x14ac:dyDescent="0.15">
      <c r="A15">
        <v>14</v>
      </c>
      <c r="B15" s="172" t="s">
        <v>205</v>
      </c>
      <c r="C15">
        <v>0.126</v>
      </c>
      <c r="D15">
        <v>0</v>
      </c>
      <c r="E15">
        <v>0</v>
      </c>
      <c r="F15">
        <v>0</v>
      </c>
      <c r="G15">
        <v>0.126</v>
      </c>
    </row>
    <row r="16" spans="1:7" ht="15" customHeight="1" x14ac:dyDescent="0.15">
      <c r="A16">
        <v>15</v>
      </c>
      <c r="B16" s="172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ht="15" customHeight="1" x14ac:dyDescent="0.15">
      <c r="A17">
        <v>16</v>
      </c>
      <c r="B17" s="172" t="s">
        <v>207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ht="15" customHeight="1" x14ac:dyDescent="0.15">
      <c r="A18">
        <v>17</v>
      </c>
      <c r="B18" s="172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ht="15" customHeight="1" x14ac:dyDescent="0.15">
      <c r="A19">
        <v>18</v>
      </c>
      <c r="B19" s="172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ht="15" customHeight="1" x14ac:dyDescent="0.15">
      <c r="A20">
        <v>19</v>
      </c>
      <c r="B20" s="172" t="s">
        <v>210</v>
      </c>
      <c r="C20">
        <v>0</v>
      </c>
      <c r="D20">
        <v>1.4319999999999999</v>
      </c>
      <c r="E20">
        <v>0</v>
      </c>
      <c r="F20">
        <v>0</v>
      </c>
      <c r="G20">
        <v>1.4319999999999999</v>
      </c>
    </row>
    <row r="21" spans="1:7" ht="15" customHeight="1" x14ac:dyDescent="0.15">
      <c r="A21">
        <v>20</v>
      </c>
      <c r="B21" s="172" t="s">
        <v>211</v>
      </c>
      <c r="C21">
        <v>0.20300000000000001</v>
      </c>
      <c r="D21">
        <v>0</v>
      </c>
      <c r="E21">
        <v>0</v>
      </c>
      <c r="F21">
        <v>0</v>
      </c>
      <c r="G21">
        <v>0.20300000000000001</v>
      </c>
    </row>
    <row r="22" spans="1:7" ht="15" customHeight="1" x14ac:dyDescent="0.15">
      <c r="A22">
        <v>21</v>
      </c>
      <c r="B22" s="172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ht="15" customHeight="1" x14ac:dyDescent="0.15">
      <c r="A23">
        <v>22</v>
      </c>
      <c r="B23" s="172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ht="15" customHeight="1" x14ac:dyDescent="0.15">
      <c r="A24">
        <v>23</v>
      </c>
      <c r="B24" s="172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ht="15" customHeight="1" x14ac:dyDescent="0.15">
      <c r="A25">
        <v>24</v>
      </c>
      <c r="B25" s="172" t="s">
        <v>215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ht="15" customHeight="1" x14ac:dyDescent="0.15">
      <c r="A26">
        <v>25</v>
      </c>
      <c r="B26" s="172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ht="15" customHeight="1" x14ac:dyDescent="0.15">
      <c r="A27">
        <v>26</v>
      </c>
      <c r="B27" s="172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ht="15" customHeight="1" x14ac:dyDescent="0.15">
      <c r="A28">
        <v>27</v>
      </c>
      <c r="B28" s="172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ht="15" customHeight="1" x14ac:dyDescent="0.15">
      <c r="A29">
        <v>28</v>
      </c>
      <c r="B29" s="172" t="s">
        <v>219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ht="15" customHeight="1" x14ac:dyDescent="0.15"/>
    <row r="31" spans="1:7" ht="15" customHeight="1" x14ac:dyDescent="0.15"/>
    <row r="32" spans="1:7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2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7" sqref="B7"/>
    </sheetView>
  </sheetViews>
  <sheetFormatPr baseColWidth="10" defaultColWidth="8.83203125" defaultRowHeight="13" x14ac:dyDescent="0.15"/>
  <cols>
    <col min="1" max="1" width="3.33203125" customWidth="1"/>
    <col min="2" max="2" width="15.1640625" bestFit="1" customWidth="1"/>
    <col min="3" max="3" width="2.33203125" bestFit="1" customWidth="1"/>
    <col min="4" max="4" width="6.83203125" bestFit="1" customWidth="1"/>
    <col min="5" max="5" width="2.33203125" bestFit="1" customWidth="1"/>
    <col min="6" max="6" width="2.33203125" customWidth="1"/>
    <col min="7" max="7" width="6.83203125" customWidth="1"/>
  </cols>
  <sheetData>
    <row r="1" spans="1:7" s="104" customFormat="1" ht="112" x14ac:dyDescent="0.15">
      <c r="A1" s="5" t="s">
        <v>22</v>
      </c>
      <c r="B1" s="3" t="s">
        <v>0</v>
      </c>
      <c r="C1" s="175" t="s">
        <v>220</v>
      </c>
      <c r="D1" s="175" t="s">
        <v>221</v>
      </c>
      <c r="E1" s="175" t="s">
        <v>228</v>
      </c>
      <c r="F1" s="175" t="s">
        <v>229</v>
      </c>
      <c r="G1" s="175" t="s">
        <v>225</v>
      </c>
    </row>
    <row r="2" spans="1:7" x14ac:dyDescent="0.15">
      <c r="A2">
        <v>1</v>
      </c>
      <c r="B2" s="174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74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74" t="s">
        <v>194</v>
      </c>
      <c r="C4">
        <v>0</v>
      </c>
      <c r="D4">
        <v>2.52E-2</v>
      </c>
      <c r="E4">
        <v>0</v>
      </c>
      <c r="F4">
        <v>0</v>
      </c>
      <c r="G4">
        <v>2.52E-2</v>
      </c>
    </row>
    <row r="5" spans="1:7" x14ac:dyDescent="0.15">
      <c r="A5">
        <v>4</v>
      </c>
      <c r="B5" s="174" t="s">
        <v>195</v>
      </c>
      <c r="C5">
        <v>0</v>
      </c>
      <c r="D5">
        <v>5.9999999999999995E-4</v>
      </c>
      <c r="E5">
        <v>0</v>
      </c>
      <c r="F5">
        <v>0</v>
      </c>
      <c r="G5">
        <v>5.9999999999999995E-4</v>
      </c>
    </row>
    <row r="6" spans="1:7" x14ac:dyDescent="0.15">
      <c r="A6">
        <v>5</v>
      </c>
      <c r="B6" s="174" t="s">
        <v>196</v>
      </c>
      <c r="C6">
        <v>0</v>
      </c>
      <c r="D6">
        <v>1E-4</v>
      </c>
      <c r="E6">
        <v>0</v>
      </c>
      <c r="F6">
        <v>0</v>
      </c>
      <c r="G6">
        <v>1E-4</v>
      </c>
    </row>
    <row r="7" spans="1:7" x14ac:dyDescent="0.15">
      <c r="A7">
        <v>6</v>
      </c>
      <c r="B7" s="174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74" t="s">
        <v>198</v>
      </c>
      <c r="C8">
        <v>0</v>
      </c>
      <c r="D8">
        <v>8.9999999999999998E-4</v>
      </c>
      <c r="E8">
        <v>0</v>
      </c>
      <c r="F8">
        <v>0</v>
      </c>
      <c r="G8">
        <v>8.9999999999999998E-4</v>
      </c>
    </row>
    <row r="9" spans="1:7" x14ac:dyDescent="0.15">
      <c r="A9">
        <v>8</v>
      </c>
      <c r="B9" s="174" t="s">
        <v>199</v>
      </c>
      <c r="C9">
        <v>0</v>
      </c>
      <c r="D9">
        <v>0.17960000000000001</v>
      </c>
      <c r="E9">
        <v>0</v>
      </c>
      <c r="F9">
        <v>0</v>
      </c>
      <c r="G9">
        <v>0.17960000000000001</v>
      </c>
    </row>
    <row r="10" spans="1:7" x14ac:dyDescent="0.15">
      <c r="A10">
        <v>9</v>
      </c>
      <c r="B10" s="174" t="s">
        <v>200</v>
      </c>
      <c r="C10">
        <v>0</v>
      </c>
      <c r="D10">
        <v>6.2100000000000002E-2</v>
      </c>
      <c r="E10">
        <v>0</v>
      </c>
      <c r="F10">
        <v>0</v>
      </c>
      <c r="G10">
        <v>6.2100000000000002E-2</v>
      </c>
    </row>
    <row r="11" spans="1:7" x14ac:dyDescent="0.15">
      <c r="A11">
        <v>10</v>
      </c>
      <c r="B11" s="174" t="s">
        <v>201</v>
      </c>
      <c r="C11">
        <v>0</v>
      </c>
      <c r="D11">
        <v>5.3999999999999999E-2</v>
      </c>
      <c r="E11">
        <v>0</v>
      </c>
      <c r="F11">
        <v>0</v>
      </c>
      <c r="G11">
        <v>5.3999999999999999E-2</v>
      </c>
    </row>
    <row r="12" spans="1:7" x14ac:dyDescent="0.15">
      <c r="A12">
        <v>11</v>
      </c>
      <c r="B12" s="174" t="s">
        <v>202</v>
      </c>
      <c r="C12">
        <v>0</v>
      </c>
      <c r="D12">
        <v>0.19550000000000001</v>
      </c>
      <c r="E12">
        <v>0</v>
      </c>
      <c r="F12">
        <v>0</v>
      </c>
      <c r="G12">
        <v>0.19550000000000001</v>
      </c>
    </row>
    <row r="13" spans="1:7" x14ac:dyDescent="0.15">
      <c r="A13">
        <v>12</v>
      </c>
      <c r="B13" s="174" t="s">
        <v>203</v>
      </c>
      <c r="C13">
        <v>0</v>
      </c>
      <c r="D13">
        <v>5.4000000000000003E-3</v>
      </c>
      <c r="E13">
        <v>0</v>
      </c>
      <c r="F13">
        <v>0</v>
      </c>
      <c r="G13">
        <v>5.4000000000000003E-3</v>
      </c>
    </row>
    <row r="14" spans="1:7" x14ac:dyDescent="0.15">
      <c r="A14">
        <v>13</v>
      </c>
      <c r="B14" s="174" t="s">
        <v>204</v>
      </c>
      <c r="C14">
        <v>0</v>
      </c>
      <c r="D14">
        <v>1E-4</v>
      </c>
      <c r="E14">
        <v>0</v>
      </c>
      <c r="F14">
        <v>0</v>
      </c>
      <c r="G14">
        <v>1E-4</v>
      </c>
    </row>
    <row r="15" spans="1:7" x14ac:dyDescent="0.15">
      <c r="A15">
        <v>14</v>
      </c>
      <c r="B15" s="174" t="s">
        <v>205</v>
      </c>
      <c r="C15">
        <v>0</v>
      </c>
      <c r="D15">
        <v>0.12559999999999999</v>
      </c>
      <c r="E15">
        <v>0</v>
      </c>
      <c r="F15">
        <v>0</v>
      </c>
      <c r="G15">
        <v>0.12559999999999999</v>
      </c>
    </row>
    <row r="16" spans="1:7" x14ac:dyDescent="0.15">
      <c r="A16">
        <v>15</v>
      </c>
      <c r="B16" s="174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74" t="s">
        <v>207</v>
      </c>
      <c r="C17">
        <v>0</v>
      </c>
      <c r="D17">
        <v>1E-4</v>
      </c>
      <c r="E17">
        <v>0</v>
      </c>
      <c r="F17">
        <v>0</v>
      </c>
      <c r="G17">
        <v>1E-4</v>
      </c>
    </row>
    <row r="18" spans="1:7" x14ac:dyDescent="0.15">
      <c r="A18">
        <v>17</v>
      </c>
      <c r="B18" s="174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74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74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74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74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74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74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15">
      <c r="A25">
        <v>24</v>
      </c>
      <c r="B25" s="174" t="s">
        <v>215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74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74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74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15">
      <c r="A29">
        <v>28</v>
      </c>
      <c r="B29" s="174" t="s">
        <v>219</v>
      </c>
      <c r="C29">
        <v>0</v>
      </c>
      <c r="D29">
        <v>0</v>
      </c>
      <c r="E29">
        <v>0</v>
      </c>
      <c r="F29">
        <v>0</v>
      </c>
      <c r="G2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E7" sqref="E7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1640625" bestFit="1" customWidth="1"/>
    <col min="6" max="6" width="4.83203125" bestFit="1" customWidth="1"/>
    <col min="7" max="9" width="3.83203125" bestFit="1" customWidth="1"/>
    <col min="10" max="11" width="4.83203125" style="10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5" customFormat="1" ht="14" thickBot="1" x14ac:dyDescent="0.2">
      <c r="D1" s="106" t="s">
        <v>8</v>
      </c>
      <c r="E1" s="106" t="s">
        <v>0</v>
      </c>
      <c r="F1" s="107" t="s">
        <v>99</v>
      </c>
      <c r="G1" s="108" t="s">
        <v>84</v>
      </c>
      <c r="H1" s="108" t="s">
        <v>85</v>
      </c>
      <c r="I1" s="108" t="s">
        <v>86</v>
      </c>
      <c r="J1" s="108" t="s">
        <v>87</v>
      </c>
      <c r="K1" s="108" t="s">
        <v>88</v>
      </c>
      <c r="L1" s="109" t="s">
        <v>89</v>
      </c>
      <c r="M1" s="109" t="s">
        <v>93</v>
      </c>
      <c r="N1" s="109" t="s">
        <v>92</v>
      </c>
      <c r="O1" s="109" t="s">
        <v>90</v>
      </c>
      <c r="P1" s="109" t="s">
        <v>91</v>
      </c>
      <c r="Q1" s="110" t="s">
        <v>94</v>
      </c>
      <c r="R1" s="110" t="s">
        <v>95</v>
      </c>
      <c r="S1" s="110" t="s">
        <v>96</v>
      </c>
      <c r="T1" s="110" t="s">
        <v>97</v>
      </c>
      <c r="U1" s="110" t="s">
        <v>98</v>
      </c>
      <c r="V1" s="108" t="s">
        <v>100</v>
      </c>
      <c r="W1" s="108" t="s">
        <v>101</v>
      </c>
      <c r="X1" s="108" t="s">
        <v>102</v>
      </c>
      <c r="Y1" s="108" t="s">
        <v>134</v>
      </c>
      <c r="Z1" s="109" t="s">
        <v>103</v>
      </c>
      <c r="AA1" s="109" t="s">
        <v>104</v>
      </c>
      <c r="AB1" s="109" t="s">
        <v>105</v>
      </c>
      <c r="AC1" s="111" t="s">
        <v>135</v>
      </c>
      <c r="AD1" s="110" t="s">
        <v>106</v>
      </c>
      <c r="AE1" s="110" t="s">
        <v>107</v>
      </c>
      <c r="AF1" s="110" t="s">
        <v>108</v>
      </c>
      <c r="AG1" s="110" t="s">
        <v>136</v>
      </c>
      <c r="AH1" s="108" t="s">
        <v>109</v>
      </c>
      <c r="AI1" s="108" t="s">
        <v>111</v>
      </c>
      <c r="AJ1" s="108" t="s">
        <v>110</v>
      </c>
      <c r="AK1" s="109" t="s">
        <v>115</v>
      </c>
      <c r="AL1" s="109" t="s">
        <v>116</v>
      </c>
      <c r="AM1" s="109" t="s">
        <v>117</v>
      </c>
      <c r="AN1" s="110" t="s">
        <v>112</v>
      </c>
      <c r="AO1" s="110" t="s">
        <v>113</v>
      </c>
      <c r="AP1" s="110" t="s">
        <v>114</v>
      </c>
    </row>
    <row r="2" spans="1:42" x14ac:dyDescent="0.15">
      <c r="A2" s="112" t="s">
        <v>74</v>
      </c>
      <c r="B2" s="113">
        <v>1</v>
      </c>
      <c r="D2">
        <v>1</v>
      </c>
      <c r="E2" s="176" t="s">
        <v>192</v>
      </c>
      <c r="F2">
        <v>0.98</v>
      </c>
      <c r="G2">
        <v>0.8</v>
      </c>
      <c r="H2">
        <v>0.8</v>
      </c>
      <c r="I2">
        <v>0.8</v>
      </c>
      <c r="J2" s="103">
        <v>0.25</v>
      </c>
      <c r="K2" s="103">
        <v>0.05</v>
      </c>
    </row>
    <row r="3" spans="1:42" x14ac:dyDescent="0.15">
      <c r="A3" s="112" t="s">
        <v>75</v>
      </c>
      <c r="B3" s="114">
        <v>1</v>
      </c>
      <c r="D3">
        <v>2</v>
      </c>
      <c r="E3" s="176" t="s">
        <v>193</v>
      </c>
      <c r="F3">
        <v>0.98</v>
      </c>
      <c r="G3">
        <v>0.8</v>
      </c>
      <c r="H3">
        <v>0.8</v>
      </c>
      <c r="I3">
        <v>0.8</v>
      </c>
      <c r="J3" s="103">
        <v>0.25</v>
      </c>
      <c r="K3" s="103">
        <v>0.05</v>
      </c>
    </row>
    <row r="4" spans="1:42" x14ac:dyDescent="0.15">
      <c r="A4" s="112" t="s">
        <v>76</v>
      </c>
      <c r="B4" s="114">
        <v>1</v>
      </c>
      <c r="D4">
        <v>3</v>
      </c>
      <c r="E4" s="176" t="s">
        <v>194</v>
      </c>
      <c r="F4">
        <v>0.98</v>
      </c>
      <c r="G4">
        <v>0.8</v>
      </c>
      <c r="H4">
        <v>0.8</v>
      </c>
      <c r="I4">
        <v>0.8</v>
      </c>
      <c r="J4" s="103">
        <v>0.25</v>
      </c>
      <c r="K4" s="103">
        <v>0.05</v>
      </c>
    </row>
    <row r="5" spans="1:42" x14ac:dyDescent="0.15">
      <c r="A5" s="112" t="s">
        <v>77</v>
      </c>
      <c r="B5" s="114">
        <v>1</v>
      </c>
      <c r="D5">
        <v>4</v>
      </c>
      <c r="E5" s="176" t="s">
        <v>195</v>
      </c>
      <c r="F5">
        <v>0.98</v>
      </c>
      <c r="G5">
        <v>0.8</v>
      </c>
      <c r="H5">
        <v>0.8</v>
      </c>
      <c r="I5">
        <v>0.8</v>
      </c>
      <c r="J5" s="103">
        <v>0.25</v>
      </c>
      <c r="K5" s="103">
        <v>0.05</v>
      </c>
    </row>
    <row r="6" spans="1:42" x14ac:dyDescent="0.15">
      <c r="A6" s="112" t="s">
        <v>78</v>
      </c>
      <c r="B6" s="114">
        <v>1</v>
      </c>
      <c r="D6">
        <v>5</v>
      </c>
      <c r="E6" s="176" t="s">
        <v>196</v>
      </c>
      <c r="F6">
        <v>0.98</v>
      </c>
      <c r="G6">
        <v>0.8</v>
      </c>
      <c r="H6">
        <v>0.8</v>
      </c>
      <c r="I6">
        <v>0.8</v>
      </c>
      <c r="J6" s="103">
        <v>0.25</v>
      </c>
      <c r="K6" s="103">
        <v>0.05</v>
      </c>
    </row>
    <row r="7" spans="1:42" x14ac:dyDescent="0.15">
      <c r="A7" s="112" t="s">
        <v>79</v>
      </c>
      <c r="B7" s="114">
        <v>1</v>
      </c>
      <c r="D7">
        <v>6</v>
      </c>
      <c r="E7" s="176" t="s">
        <v>197</v>
      </c>
      <c r="F7">
        <v>0.98</v>
      </c>
      <c r="G7">
        <v>0.8</v>
      </c>
      <c r="H7">
        <v>0.8</v>
      </c>
      <c r="I7">
        <v>0.8</v>
      </c>
      <c r="J7" s="103">
        <v>0.25</v>
      </c>
      <c r="K7" s="103">
        <v>0.05</v>
      </c>
    </row>
    <row r="8" spans="1:42" x14ac:dyDescent="0.15">
      <c r="A8" s="112" t="s">
        <v>80</v>
      </c>
      <c r="B8" s="114">
        <v>1</v>
      </c>
      <c r="D8">
        <v>7</v>
      </c>
      <c r="E8" s="176" t="s">
        <v>198</v>
      </c>
      <c r="F8">
        <v>0.98</v>
      </c>
      <c r="G8">
        <v>0.8</v>
      </c>
      <c r="H8">
        <v>0.8</v>
      </c>
      <c r="I8">
        <v>0.8</v>
      </c>
      <c r="J8" s="103">
        <v>0.25</v>
      </c>
      <c r="K8" s="103">
        <v>0.05</v>
      </c>
    </row>
    <row r="9" spans="1:42" x14ac:dyDescent="0.15">
      <c r="A9" s="112" t="s">
        <v>81</v>
      </c>
      <c r="B9" s="114">
        <v>0.1</v>
      </c>
      <c r="C9" s="57" t="s">
        <v>150</v>
      </c>
      <c r="D9">
        <v>8</v>
      </c>
      <c r="E9" s="176" t="s">
        <v>199</v>
      </c>
      <c r="F9">
        <v>0.98</v>
      </c>
      <c r="G9">
        <v>0.8</v>
      </c>
      <c r="H9">
        <v>0.8</v>
      </c>
      <c r="I9">
        <v>0.8</v>
      </c>
      <c r="J9" s="103">
        <v>0.25</v>
      </c>
      <c r="K9" s="103">
        <v>0.05</v>
      </c>
    </row>
    <row r="10" spans="1:42" ht="14" thickBot="1" x14ac:dyDescent="0.2">
      <c r="A10" s="112" t="s">
        <v>149</v>
      </c>
      <c r="B10" s="115">
        <f>1/3</f>
        <v>0.33333333333333331</v>
      </c>
      <c r="C10" s="57" t="s">
        <v>150</v>
      </c>
      <c r="D10">
        <v>9</v>
      </c>
      <c r="E10" s="176" t="s">
        <v>200</v>
      </c>
      <c r="F10">
        <v>0.98</v>
      </c>
      <c r="G10">
        <v>0.8</v>
      </c>
      <c r="H10">
        <v>0.8</v>
      </c>
      <c r="I10">
        <v>0.8</v>
      </c>
      <c r="J10" s="103">
        <v>0.25</v>
      </c>
      <c r="K10" s="103">
        <v>0.05</v>
      </c>
    </row>
    <row r="11" spans="1:42" x14ac:dyDescent="0.15">
      <c r="D11">
        <v>10</v>
      </c>
      <c r="E11" s="176" t="s">
        <v>201</v>
      </c>
      <c r="F11">
        <v>0.98</v>
      </c>
      <c r="G11">
        <v>0.8</v>
      </c>
      <c r="H11">
        <v>0.8</v>
      </c>
      <c r="I11">
        <v>0.8</v>
      </c>
      <c r="J11" s="103">
        <v>0.25</v>
      </c>
      <c r="K11" s="103">
        <v>0.05</v>
      </c>
    </row>
    <row r="12" spans="1:42" x14ac:dyDescent="0.15">
      <c r="D12">
        <v>11</v>
      </c>
      <c r="E12" s="176" t="s">
        <v>202</v>
      </c>
      <c r="F12">
        <v>0.98</v>
      </c>
      <c r="G12">
        <v>0.8</v>
      </c>
      <c r="H12">
        <v>0.8</v>
      </c>
      <c r="I12">
        <v>0.8</v>
      </c>
      <c r="J12" s="103">
        <v>0.25</v>
      </c>
      <c r="K12" s="103">
        <v>0.05</v>
      </c>
    </row>
    <row r="13" spans="1:42" x14ac:dyDescent="0.15">
      <c r="D13">
        <v>12</v>
      </c>
      <c r="E13" s="176" t="s">
        <v>203</v>
      </c>
      <c r="F13">
        <v>0.98</v>
      </c>
      <c r="G13">
        <v>0.8</v>
      </c>
      <c r="H13">
        <v>0.8</v>
      </c>
      <c r="I13">
        <v>0.8</v>
      </c>
      <c r="J13" s="103">
        <v>0.25</v>
      </c>
      <c r="K13" s="103">
        <v>0.05</v>
      </c>
    </row>
    <row r="14" spans="1:42" x14ac:dyDescent="0.15">
      <c r="D14">
        <v>13</v>
      </c>
      <c r="E14" s="176" t="s">
        <v>204</v>
      </c>
      <c r="F14">
        <v>0.98</v>
      </c>
      <c r="G14">
        <v>0.8</v>
      </c>
      <c r="H14">
        <v>0.8</v>
      </c>
      <c r="I14">
        <v>0.8</v>
      </c>
      <c r="J14" s="103">
        <v>0.25</v>
      </c>
      <c r="K14" s="103">
        <v>0.05</v>
      </c>
    </row>
    <row r="15" spans="1:42" x14ac:dyDescent="0.15">
      <c r="D15">
        <v>14</v>
      </c>
      <c r="E15" s="176" t="s">
        <v>205</v>
      </c>
      <c r="F15">
        <v>0.98</v>
      </c>
      <c r="G15">
        <v>0.8</v>
      </c>
      <c r="H15">
        <v>0.8</v>
      </c>
      <c r="I15">
        <v>0.8</v>
      </c>
      <c r="J15" s="103">
        <v>0.25</v>
      </c>
      <c r="K15" s="103">
        <v>0.05</v>
      </c>
    </row>
    <row r="16" spans="1:42" x14ac:dyDescent="0.15">
      <c r="D16">
        <v>15</v>
      </c>
      <c r="E16" s="176" t="s">
        <v>206</v>
      </c>
      <c r="F16">
        <v>0.98</v>
      </c>
      <c r="G16">
        <v>0.8</v>
      </c>
      <c r="H16">
        <v>0.8</v>
      </c>
      <c r="I16">
        <v>0.8</v>
      </c>
      <c r="J16" s="103">
        <v>0.25</v>
      </c>
      <c r="K16" s="103">
        <v>0.05</v>
      </c>
    </row>
    <row r="17" spans="4:33" ht="15" customHeight="1" x14ac:dyDescent="0.15">
      <c r="D17">
        <v>16</v>
      </c>
      <c r="E17" s="176" t="s">
        <v>207</v>
      </c>
      <c r="F17">
        <v>0.98</v>
      </c>
      <c r="G17">
        <v>0.8</v>
      </c>
      <c r="H17">
        <v>0.8</v>
      </c>
      <c r="I17">
        <v>0.8</v>
      </c>
      <c r="J17" s="103">
        <v>0.25</v>
      </c>
      <c r="K17" s="103">
        <v>0.05</v>
      </c>
    </row>
    <row r="18" spans="4:33" ht="15" customHeight="1" x14ac:dyDescent="0.15">
      <c r="D18">
        <v>17</v>
      </c>
      <c r="E18" s="176" t="s">
        <v>208</v>
      </c>
      <c r="F18">
        <v>0.98</v>
      </c>
      <c r="G18">
        <v>0.8</v>
      </c>
      <c r="H18">
        <v>0.8</v>
      </c>
      <c r="I18">
        <v>0.8</v>
      </c>
      <c r="J18" s="103">
        <v>0.25</v>
      </c>
      <c r="K18" s="103">
        <v>0.05</v>
      </c>
    </row>
    <row r="19" spans="4:33" ht="15" customHeight="1" x14ac:dyDescent="0.15">
      <c r="D19">
        <v>18</v>
      </c>
      <c r="E19" s="176" t="s">
        <v>209</v>
      </c>
      <c r="F19">
        <v>0.98</v>
      </c>
      <c r="G19">
        <v>0.8</v>
      </c>
      <c r="H19">
        <v>0.8</v>
      </c>
      <c r="I19">
        <v>0.8</v>
      </c>
      <c r="J19" s="103">
        <v>0.25</v>
      </c>
      <c r="K19" s="103">
        <v>0.05</v>
      </c>
    </row>
    <row r="20" spans="4:33" ht="15" customHeight="1" x14ac:dyDescent="0.15">
      <c r="D20">
        <v>19</v>
      </c>
      <c r="E20" s="176" t="s">
        <v>210</v>
      </c>
      <c r="F20">
        <v>0.98</v>
      </c>
      <c r="G20">
        <v>0.8</v>
      </c>
      <c r="H20">
        <v>0.8</v>
      </c>
      <c r="I20">
        <v>0.8</v>
      </c>
      <c r="J20" s="103">
        <v>0.25</v>
      </c>
      <c r="K20" s="103">
        <v>0.05</v>
      </c>
    </row>
    <row r="21" spans="4:33" ht="15" customHeight="1" x14ac:dyDescent="0.15">
      <c r="D21">
        <v>20</v>
      </c>
      <c r="E21" s="176" t="s">
        <v>211</v>
      </c>
      <c r="F21">
        <v>0.98</v>
      </c>
      <c r="G21">
        <v>0.8</v>
      </c>
      <c r="H21">
        <v>0.8</v>
      </c>
      <c r="I21">
        <v>0.8</v>
      </c>
      <c r="J21" s="103">
        <v>0.25</v>
      </c>
      <c r="K21" s="103">
        <v>0.05</v>
      </c>
    </row>
    <row r="22" spans="4:33" ht="15" customHeight="1" x14ac:dyDescent="0.15">
      <c r="D22">
        <v>21</v>
      </c>
      <c r="E22" s="176" t="s">
        <v>212</v>
      </c>
      <c r="F22">
        <v>0.98</v>
      </c>
      <c r="G22">
        <v>0.8</v>
      </c>
      <c r="H22">
        <v>0.8</v>
      </c>
      <c r="I22">
        <v>0.8</v>
      </c>
      <c r="J22" s="103">
        <v>0.25</v>
      </c>
      <c r="K22" s="103">
        <v>0.05</v>
      </c>
    </row>
    <row r="23" spans="4:33" ht="15" customHeight="1" x14ac:dyDescent="0.15">
      <c r="D23">
        <v>22</v>
      </c>
      <c r="E23" s="176" t="s">
        <v>213</v>
      </c>
      <c r="F23">
        <v>0.98</v>
      </c>
      <c r="G23">
        <v>0.8</v>
      </c>
      <c r="H23">
        <v>0.8</v>
      </c>
      <c r="I23">
        <v>0.8</v>
      </c>
      <c r="J23" s="103">
        <v>0.25</v>
      </c>
      <c r="K23" s="103">
        <v>0.05</v>
      </c>
    </row>
    <row r="24" spans="4:33" ht="15" customHeight="1" x14ac:dyDescent="0.15">
      <c r="D24">
        <v>23</v>
      </c>
      <c r="E24" s="176" t="s">
        <v>214</v>
      </c>
      <c r="F24">
        <v>0.98</v>
      </c>
      <c r="G24">
        <v>0.8</v>
      </c>
      <c r="H24">
        <v>0.8</v>
      </c>
      <c r="I24">
        <v>0.8</v>
      </c>
      <c r="J24" s="103">
        <v>0.25</v>
      </c>
      <c r="K24" s="103">
        <v>0.05</v>
      </c>
    </row>
    <row r="25" spans="4:33" ht="15" customHeight="1" x14ac:dyDescent="0.15">
      <c r="D25">
        <v>24</v>
      </c>
      <c r="E25" s="176" t="s">
        <v>215</v>
      </c>
      <c r="F25">
        <v>0.98</v>
      </c>
      <c r="G25">
        <v>0.8</v>
      </c>
      <c r="H25">
        <v>0.8</v>
      </c>
      <c r="I25">
        <v>0.8</v>
      </c>
      <c r="J25" s="103">
        <v>0.25</v>
      </c>
      <c r="K25" s="103">
        <v>0.05</v>
      </c>
    </row>
    <row r="26" spans="4:33" ht="15" customHeight="1" x14ac:dyDescent="0.15">
      <c r="D26">
        <v>25</v>
      </c>
      <c r="E26" s="176" t="s">
        <v>216</v>
      </c>
      <c r="F26">
        <v>0.98</v>
      </c>
      <c r="G26">
        <v>0.8</v>
      </c>
      <c r="H26">
        <v>0.8</v>
      </c>
      <c r="I26">
        <v>0</v>
      </c>
      <c r="J26" s="103">
        <v>0</v>
      </c>
      <c r="K26" s="103">
        <v>0</v>
      </c>
    </row>
    <row r="27" spans="4:33" ht="15" customHeight="1" x14ac:dyDescent="0.15">
      <c r="D27">
        <v>26</v>
      </c>
      <c r="E27" s="176" t="s">
        <v>217</v>
      </c>
      <c r="F27">
        <v>0.98</v>
      </c>
      <c r="G27">
        <v>0.8</v>
      </c>
      <c r="H27">
        <v>0</v>
      </c>
      <c r="I27">
        <v>0</v>
      </c>
      <c r="J27" s="103">
        <v>0</v>
      </c>
      <c r="K27" s="103">
        <v>0</v>
      </c>
    </row>
    <row r="28" spans="4:33" ht="15" customHeight="1" x14ac:dyDescent="0.15">
      <c r="D28">
        <v>27</v>
      </c>
      <c r="E28" s="176" t="s">
        <v>218</v>
      </c>
      <c r="F28">
        <v>0.98</v>
      </c>
      <c r="G28">
        <v>0.8</v>
      </c>
      <c r="H28">
        <v>0</v>
      </c>
      <c r="I28">
        <v>0</v>
      </c>
      <c r="J28" s="103">
        <v>0</v>
      </c>
      <c r="K28" s="103">
        <v>0</v>
      </c>
    </row>
    <row r="29" spans="4:33" ht="15" customHeight="1" x14ac:dyDescent="0.15">
      <c r="D29">
        <v>28</v>
      </c>
      <c r="E29" s="176" t="s">
        <v>219</v>
      </c>
      <c r="F29">
        <v>0.98</v>
      </c>
      <c r="G29">
        <v>0.8</v>
      </c>
      <c r="H29">
        <v>0</v>
      </c>
      <c r="I29">
        <v>0</v>
      </c>
      <c r="J29" s="103">
        <v>0</v>
      </c>
      <c r="K29" s="103">
        <v>0</v>
      </c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7" sqref="A7"/>
    </sheetView>
  </sheetViews>
  <sheetFormatPr baseColWidth="10" defaultRowHeight="13" x14ac:dyDescent="0.15"/>
  <cols>
    <col min="1" max="1" width="21.6640625" style="101" bestFit="1" customWidth="1"/>
    <col min="2" max="25" width="3.83203125" style="101" customWidth="1"/>
    <col min="26" max="29" width="2.33203125" style="101" customWidth="1"/>
    <col min="30" max="16384" width="10.83203125" style="101"/>
  </cols>
  <sheetData>
    <row r="1" spans="1:30" x14ac:dyDescent="0.15">
      <c r="A1" s="59" t="s">
        <v>118</v>
      </c>
      <c r="B1" s="178" t="s">
        <v>192</v>
      </c>
      <c r="C1" s="178" t="s">
        <v>193</v>
      </c>
      <c r="D1" s="178" t="s">
        <v>194</v>
      </c>
      <c r="E1" s="178" t="s">
        <v>195</v>
      </c>
      <c r="F1" s="178" t="s">
        <v>196</v>
      </c>
      <c r="G1" s="178" t="s">
        <v>197</v>
      </c>
      <c r="H1" s="178" t="s">
        <v>198</v>
      </c>
      <c r="I1" s="178" t="s">
        <v>199</v>
      </c>
      <c r="J1" s="178" t="s">
        <v>200</v>
      </c>
      <c r="K1" s="178" t="s">
        <v>201</v>
      </c>
      <c r="L1" s="178" t="s">
        <v>202</v>
      </c>
      <c r="M1" s="178" t="s">
        <v>203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 s="178" t="s">
        <v>218</v>
      </c>
      <c r="AC1" s="178" t="s">
        <v>219</v>
      </c>
      <c r="AD1"/>
    </row>
    <row r="2" spans="1:30" customFormat="1" x14ac:dyDescent="0.15">
      <c r="A2" s="177" t="s">
        <v>192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  <c r="AB2" s="101">
        <v>0</v>
      </c>
      <c r="AC2" s="101">
        <v>0</v>
      </c>
    </row>
    <row r="3" spans="1:30" customFormat="1" x14ac:dyDescent="0.15">
      <c r="A3" s="177" t="s">
        <v>193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  <c r="AB3" s="101">
        <v>0</v>
      </c>
      <c r="AC3" s="101">
        <v>0</v>
      </c>
    </row>
    <row r="4" spans="1:30" customFormat="1" x14ac:dyDescent="0.15">
      <c r="A4" s="177" t="s">
        <v>194</v>
      </c>
      <c r="B4" s="101">
        <v>0</v>
      </c>
      <c r="C4" s="101">
        <v>0</v>
      </c>
      <c r="D4" s="101">
        <v>0</v>
      </c>
      <c r="E4" s="101">
        <v>0</v>
      </c>
      <c r="F4" s="101">
        <v>0.8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  <c r="AB4" s="101">
        <v>0</v>
      </c>
      <c r="AC4" s="101">
        <v>0</v>
      </c>
    </row>
    <row r="5" spans="1:30" customFormat="1" x14ac:dyDescent="0.15">
      <c r="A5" s="177" t="s">
        <v>195</v>
      </c>
      <c r="B5" s="101">
        <v>0</v>
      </c>
      <c r="C5" s="101">
        <v>0</v>
      </c>
      <c r="D5" s="101">
        <v>0</v>
      </c>
      <c r="E5" s="101">
        <v>0</v>
      </c>
      <c r="F5" s="101">
        <v>0.8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  <c r="AB5" s="101">
        <v>0</v>
      </c>
      <c r="AC5" s="101">
        <v>0</v>
      </c>
    </row>
    <row r="6" spans="1:30" customFormat="1" x14ac:dyDescent="0.15">
      <c r="A6" s="177" t="s">
        <v>196</v>
      </c>
      <c r="B6" s="101">
        <v>0</v>
      </c>
      <c r="C6" s="101">
        <v>0</v>
      </c>
      <c r="D6" s="101">
        <v>0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  <c r="AB6" s="101">
        <v>0</v>
      </c>
      <c r="AC6" s="101">
        <v>0</v>
      </c>
    </row>
    <row r="7" spans="1:30" customFormat="1" x14ac:dyDescent="0.15">
      <c r="A7" s="177" t="s">
        <v>197</v>
      </c>
      <c r="B7" s="101">
        <v>0.8</v>
      </c>
      <c r="C7" s="101">
        <v>0.8</v>
      </c>
      <c r="D7" s="101">
        <v>0</v>
      </c>
      <c r="E7" s="101">
        <v>0</v>
      </c>
      <c r="F7" s="101">
        <v>0.8</v>
      </c>
      <c r="G7" s="101">
        <v>0.8</v>
      </c>
      <c r="H7" s="101">
        <v>0</v>
      </c>
      <c r="I7" s="101">
        <v>0</v>
      </c>
      <c r="J7" s="101">
        <v>0</v>
      </c>
      <c r="K7" s="101">
        <v>0.8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  <c r="AB7" s="101">
        <v>0</v>
      </c>
      <c r="AC7" s="101">
        <v>0</v>
      </c>
    </row>
    <row r="8" spans="1:30" customFormat="1" x14ac:dyDescent="0.15">
      <c r="A8" s="177" t="s">
        <v>198</v>
      </c>
      <c r="B8" s="101">
        <v>0.8</v>
      </c>
      <c r="C8" s="101">
        <v>0.8</v>
      </c>
      <c r="D8" s="101">
        <v>0</v>
      </c>
      <c r="E8" s="101">
        <v>0</v>
      </c>
      <c r="F8" s="101">
        <v>0.8</v>
      </c>
      <c r="G8" s="101">
        <v>0</v>
      </c>
      <c r="H8" s="101">
        <v>0</v>
      </c>
      <c r="I8" s="101">
        <v>0.8</v>
      </c>
      <c r="J8" s="101">
        <v>0</v>
      </c>
      <c r="K8" s="101">
        <v>0.8</v>
      </c>
      <c r="L8" s="101">
        <v>0</v>
      </c>
      <c r="M8" s="101">
        <v>0</v>
      </c>
      <c r="N8" s="101">
        <v>0.8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  <c r="AB8" s="101">
        <v>0</v>
      </c>
      <c r="AC8" s="101">
        <v>0</v>
      </c>
    </row>
    <row r="9" spans="1:30" customFormat="1" x14ac:dyDescent="0.15">
      <c r="A9" s="177" t="s">
        <v>199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0.8</v>
      </c>
      <c r="M9" s="101">
        <v>0</v>
      </c>
      <c r="N9" s="101">
        <v>0.8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  <c r="AB9" s="101">
        <v>0</v>
      </c>
      <c r="AC9" s="101">
        <v>0</v>
      </c>
    </row>
    <row r="10" spans="1:30" customFormat="1" x14ac:dyDescent="0.15">
      <c r="A10" s="177" t="s">
        <v>200</v>
      </c>
      <c r="B10" s="101">
        <v>0</v>
      </c>
      <c r="C10" s="101">
        <v>0</v>
      </c>
      <c r="D10" s="101">
        <v>0</v>
      </c>
      <c r="E10" s="101">
        <v>0.8</v>
      </c>
      <c r="F10" s="101">
        <v>0.8</v>
      </c>
      <c r="G10" s="101">
        <v>0</v>
      </c>
      <c r="H10" s="101">
        <v>0.8</v>
      </c>
      <c r="I10" s="101">
        <v>0.8</v>
      </c>
      <c r="J10" s="101">
        <v>0</v>
      </c>
      <c r="K10" s="101">
        <v>0</v>
      </c>
      <c r="L10" s="101">
        <v>0</v>
      </c>
      <c r="M10" s="101">
        <v>0</v>
      </c>
      <c r="N10" s="101">
        <v>0.8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  <c r="AB10" s="101">
        <v>0</v>
      </c>
      <c r="AC10" s="101">
        <v>0</v>
      </c>
    </row>
    <row r="11" spans="1:30" customFormat="1" x14ac:dyDescent="0.15">
      <c r="A11" s="177" t="s">
        <v>201</v>
      </c>
      <c r="B11" s="101">
        <v>0.8</v>
      </c>
      <c r="C11" s="101">
        <v>0.8</v>
      </c>
      <c r="D11" s="101">
        <v>0.8</v>
      </c>
      <c r="E11" s="101">
        <v>0</v>
      </c>
      <c r="F11" s="101">
        <v>0.8</v>
      </c>
      <c r="G11" s="101">
        <v>0</v>
      </c>
      <c r="H11" s="101">
        <v>0</v>
      </c>
      <c r="I11" s="101">
        <v>0.8</v>
      </c>
      <c r="J11" s="101">
        <v>0.8</v>
      </c>
      <c r="K11" s="101">
        <v>0.8</v>
      </c>
      <c r="L11" s="101">
        <v>0.8</v>
      </c>
      <c r="M11" s="101">
        <v>0</v>
      </c>
      <c r="N11" s="101">
        <v>0.8</v>
      </c>
      <c r="O11" s="101">
        <v>0.8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  <c r="AB11" s="101">
        <v>0</v>
      </c>
      <c r="AC11" s="101">
        <v>0</v>
      </c>
    </row>
    <row r="12" spans="1:30" customFormat="1" x14ac:dyDescent="0.15">
      <c r="A12" s="177" t="s">
        <v>202</v>
      </c>
      <c r="B12" s="101">
        <v>0</v>
      </c>
      <c r="C12" s="101">
        <v>0</v>
      </c>
      <c r="D12" s="101">
        <v>0</v>
      </c>
      <c r="E12" s="101">
        <v>0</v>
      </c>
      <c r="F12" s="101">
        <v>0</v>
      </c>
      <c r="G12" s="101">
        <v>0</v>
      </c>
      <c r="H12" s="101">
        <v>0</v>
      </c>
      <c r="I12" s="101">
        <v>0.8</v>
      </c>
      <c r="J12" s="101">
        <v>0</v>
      </c>
      <c r="K12" s="101">
        <v>0</v>
      </c>
      <c r="L12" s="101">
        <v>0.8</v>
      </c>
      <c r="M12" s="101">
        <v>0</v>
      </c>
      <c r="N12" s="101">
        <v>0.8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  <c r="AB12" s="101">
        <v>0</v>
      </c>
      <c r="AC12" s="101">
        <v>0</v>
      </c>
    </row>
    <row r="13" spans="1:30" customFormat="1" x14ac:dyDescent="0.15">
      <c r="A13" s="177" t="s">
        <v>203</v>
      </c>
      <c r="B13" s="101">
        <v>0.8</v>
      </c>
      <c r="C13" s="101">
        <v>0.8</v>
      </c>
      <c r="D13" s="101">
        <v>0.8</v>
      </c>
      <c r="E13" s="101">
        <v>0.8</v>
      </c>
      <c r="F13" s="101">
        <v>0.8</v>
      </c>
      <c r="G13" s="101">
        <v>0.8</v>
      </c>
      <c r="H13" s="101">
        <v>0.8</v>
      </c>
      <c r="I13" s="101">
        <v>0</v>
      </c>
      <c r="J13" s="101">
        <v>0</v>
      </c>
      <c r="K13" s="101">
        <v>0.8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  <c r="AB13" s="101">
        <v>0</v>
      </c>
      <c r="AC13" s="101">
        <v>0</v>
      </c>
    </row>
    <row r="14" spans="1:30" customFormat="1" x14ac:dyDescent="0.15">
      <c r="A14" s="177" t="s">
        <v>204</v>
      </c>
      <c r="B14" s="101">
        <v>0</v>
      </c>
      <c r="C14" s="101">
        <v>0</v>
      </c>
      <c r="D14" s="101">
        <v>0</v>
      </c>
      <c r="E14" s="101">
        <v>0</v>
      </c>
      <c r="F14" s="101">
        <v>0.8</v>
      </c>
      <c r="G14" s="101">
        <v>0</v>
      </c>
      <c r="H14" s="101">
        <v>0</v>
      </c>
      <c r="I14" s="101">
        <v>0.8</v>
      </c>
      <c r="J14" s="101">
        <v>0</v>
      </c>
      <c r="K14" s="101">
        <v>0</v>
      </c>
      <c r="L14" s="101">
        <v>0.8</v>
      </c>
      <c r="M14" s="101">
        <v>0</v>
      </c>
      <c r="N14" s="101">
        <v>0.8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  <c r="AB14" s="101">
        <v>0</v>
      </c>
      <c r="AC14" s="101">
        <v>0</v>
      </c>
    </row>
    <row r="15" spans="1:30" customFormat="1" x14ac:dyDescent="0.15">
      <c r="A15" s="177" t="s">
        <v>205</v>
      </c>
      <c r="B15" s="101">
        <v>0</v>
      </c>
      <c r="C15" s="101">
        <v>0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101">
        <v>0.8</v>
      </c>
      <c r="J15" s="101">
        <v>0</v>
      </c>
      <c r="K15" s="101">
        <v>0.8</v>
      </c>
      <c r="L15" s="101">
        <v>0</v>
      </c>
      <c r="M15" s="101">
        <v>0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0</v>
      </c>
      <c r="X15" s="101">
        <v>0</v>
      </c>
      <c r="Y15" s="101">
        <v>0</v>
      </c>
      <c r="Z15" s="101">
        <v>0</v>
      </c>
      <c r="AA15" s="101">
        <v>0</v>
      </c>
      <c r="AB15" s="101">
        <v>0</v>
      </c>
      <c r="AC15" s="101">
        <v>0</v>
      </c>
    </row>
    <row r="16" spans="1:30" customFormat="1" x14ac:dyDescent="0.15">
      <c r="A16" s="177" t="s">
        <v>206</v>
      </c>
      <c r="B16" s="101">
        <v>0</v>
      </c>
      <c r="C16" s="101">
        <v>0</v>
      </c>
      <c r="D16" s="101">
        <v>0.8</v>
      </c>
      <c r="E16" s="101">
        <v>0</v>
      </c>
      <c r="F16" s="101">
        <v>0.8</v>
      </c>
      <c r="G16" s="101">
        <v>0</v>
      </c>
      <c r="H16" s="101">
        <v>0.8</v>
      </c>
      <c r="I16" s="101">
        <v>0.8</v>
      </c>
      <c r="J16" s="101">
        <v>0</v>
      </c>
      <c r="K16" s="101">
        <v>0</v>
      </c>
      <c r="L16" s="101">
        <v>0</v>
      </c>
      <c r="M16" s="101">
        <v>0</v>
      </c>
      <c r="N16" s="101">
        <v>0</v>
      </c>
      <c r="O16" s="101">
        <v>0</v>
      </c>
      <c r="P16" s="101">
        <v>0</v>
      </c>
      <c r="Q16" s="101">
        <v>0</v>
      </c>
      <c r="R16" s="101">
        <v>0.8</v>
      </c>
      <c r="S16" s="101">
        <v>0</v>
      </c>
      <c r="T16" s="101">
        <v>0</v>
      </c>
      <c r="U16" s="101">
        <v>0</v>
      </c>
      <c r="V16" s="101">
        <v>0</v>
      </c>
      <c r="W16" s="101">
        <v>0</v>
      </c>
      <c r="X16" s="101">
        <v>0</v>
      </c>
      <c r="Y16" s="101">
        <v>0</v>
      </c>
      <c r="Z16" s="101">
        <v>0</v>
      </c>
      <c r="AA16" s="101">
        <v>0</v>
      </c>
      <c r="AB16" s="101">
        <v>0</v>
      </c>
      <c r="AC16" s="101">
        <v>0</v>
      </c>
    </row>
    <row r="17" spans="1:29" customFormat="1" x14ac:dyDescent="0.15">
      <c r="A17" s="177" t="s">
        <v>207</v>
      </c>
      <c r="B17" s="101">
        <v>0</v>
      </c>
      <c r="C17" s="101">
        <v>0</v>
      </c>
      <c r="D17" s="101">
        <v>0.8</v>
      </c>
      <c r="E17" s="101">
        <v>0.8</v>
      </c>
      <c r="F17" s="101">
        <v>0.8</v>
      </c>
      <c r="G17" s="101">
        <v>0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0</v>
      </c>
      <c r="N17" s="101">
        <v>0</v>
      </c>
      <c r="O17" s="101">
        <v>0</v>
      </c>
      <c r="P17" s="101">
        <v>0.8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  <c r="W17" s="101">
        <v>0</v>
      </c>
      <c r="X17" s="101">
        <v>0</v>
      </c>
      <c r="Y17" s="101">
        <v>0</v>
      </c>
      <c r="Z17" s="101">
        <v>0</v>
      </c>
      <c r="AA17" s="101">
        <v>0</v>
      </c>
      <c r="AB17" s="101">
        <v>0</v>
      </c>
      <c r="AC17" s="101">
        <v>0</v>
      </c>
    </row>
    <row r="18" spans="1:29" customFormat="1" x14ac:dyDescent="0.15">
      <c r="A18" s="177" t="s">
        <v>208</v>
      </c>
      <c r="B18" s="101">
        <v>0</v>
      </c>
      <c r="C18" s="101">
        <v>0</v>
      </c>
      <c r="D18" s="101">
        <v>0.8</v>
      </c>
      <c r="E18" s="101">
        <v>0.8</v>
      </c>
      <c r="F18" s="101">
        <v>0.8</v>
      </c>
      <c r="G18" s="101">
        <v>0</v>
      </c>
      <c r="H18" s="101">
        <v>0</v>
      </c>
      <c r="I18" s="101">
        <v>0.8</v>
      </c>
      <c r="J18" s="101">
        <v>0.8</v>
      </c>
      <c r="K18" s="101">
        <v>0</v>
      </c>
      <c r="L18" s="101">
        <v>0</v>
      </c>
      <c r="M18" s="101">
        <v>0</v>
      </c>
      <c r="N18" s="101">
        <v>0</v>
      </c>
      <c r="O18" s="101">
        <v>0</v>
      </c>
      <c r="P18" s="101">
        <v>0.8</v>
      </c>
      <c r="Q18" s="101">
        <v>0.8</v>
      </c>
      <c r="R18" s="101">
        <v>0</v>
      </c>
      <c r="S18" s="101">
        <v>0</v>
      </c>
      <c r="T18" s="101">
        <v>0</v>
      </c>
      <c r="U18" s="101">
        <v>0.8</v>
      </c>
      <c r="V18" s="101">
        <v>0</v>
      </c>
      <c r="W18" s="101">
        <v>0</v>
      </c>
      <c r="X18" s="101">
        <v>0</v>
      </c>
      <c r="Y18" s="101">
        <v>0</v>
      </c>
      <c r="Z18" s="101">
        <v>0</v>
      </c>
      <c r="AA18" s="101">
        <v>0</v>
      </c>
      <c r="AB18" s="101">
        <v>0</v>
      </c>
      <c r="AC18" s="101">
        <v>0</v>
      </c>
    </row>
    <row r="19" spans="1:29" customFormat="1" x14ac:dyDescent="0.15">
      <c r="A19" s="177" t="s">
        <v>209</v>
      </c>
      <c r="B19" s="101">
        <v>0</v>
      </c>
      <c r="C19" s="101">
        <v>0</v>
      </c>
      <c r="D19" s="101">
        <v>0</v>
      </c>
      <c r="E19" s="101">
        <v>0</v>
      </c>
      <c r="F19" s="101">
        <v>0.8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</v>
      </c>
      <c r="N19" s="101">
        <v>0</v>
      </c>
      <c r="O19" s="101">
        <v>0</v>
      </c>
      <c r="P19" s="101">
        <v>0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  <c r="W19" s="101">
        <v>0</v>
      </c>
      <c r="X19" s="101">
        <v>0</v>
      </c>
      <c r="Y19" s="101">
        <v>0</v>
      </c>
      <c r="Z19" s="101">
        <v>0</v>
      </c>
      <c r="AA19" s="101">
        <v>0</v>
      </c>
      <c r="AB19" s="101">
        <v>0</v>
      </c>
      <c r="AC19" s="101">
        <v>0</v>
      </c>
    </row>
    <row r="20" spans="1:29" customFormat="1" x14ac:dyDescent="0.15">
      <c r="A20" s="177" t="s">
        <v>210</v>
      </c>
      <c r="B20" s="101">
        <v>0</v>
      </c>
      <c r="C20" s="101">
        <v>0</v>
      </c>
      <c r="D20" s="101">
        <v>0.8</v>
      </c>
      <c r="E20" s="101">
        <v>0</v>
      </c>
      <c r="F20" s="101">
        <v>0.8</v>
      </c>
      <c r="G20" s="101">
        <v>0.8</v>
      </c>
      <c r="H20" s="101">
        <v>0</v>
      </c>
      <c r="I20" s="101">
        <v>0.8</v>
      </c>
      <c r="J20" s="101">
        <v>0.8</v>
      </c>
      <c r="K20" s="101">
        <v>0.8</v>
      </c>
      <c r="L20" s="101">
        <v>0.8</v>
      </c>
      <c r="M20" s="101">
        <v>0</v>
      </c>
      <c r="N20" s="101">
        <v>0.8</v>
      </c>
      <c r="O20" s="101">
        <v>0.8</v>
      </c>
      <c r="P20" s="101">
        <v>0</v>
      </c>
      <c r="Q20" s="101">
        <v>0</v>
      </c>
      <c r="R20" s="101">
        <v>0</v>
      </c>
      <c r="S20" s="101">
        <v>0</v>
      </c>
      <c r="T20" s="101">
        <v>0</v>
      </c>
      <c r="U20" s="101">
        <v>0.8</v>
      </c>
      <c r="V20" s="101">
        <v>0</v>
      </c>
      <c r="W20" s="101">
        <v>0</v>
      </c>
      <c r="X20" s="101">
        <v>0</v>
      </c>
      <c r="Y20" s="101">
        <v>0</v>
      </c>
      <c r="Z20" s="101">
        <v>0</v>
      </c>
      <c r="AA20" s="101">
        <v>0</v>
      </c>
      <c r="AB20" s="101">
        <v>0</v>
      </c>
      <c r="AC20" s="101">
        <v>0</v>
      </c>
    </row>
    <row r="21" spans="1:29" customFormat="1" x14ac:dyDescent="0.15">
      <c r="A21" s="177" t="s">
        <v>211</v>
      </c>
      <c r="B21" s="101">
        <v>0</v>
      </c>
      <c r="C21" s="101">
        <v>0</v>
      </c>
      <c r="D21" s="101">
        <v>0</v>
      </c>
      <c r="E21" s="101">
        <v>0</v>
      </c>
      <c r="F21" s="101">
        <v>0.8</v>
      </c>
      <c r="G21" s="101">
        <v>0</v>
      </c>
      <c r="H21" s="101">
        <v>0</v>
      </c>
      <c r="I21" s="101">
        <v>0.8</v>
      </c>
      <c r="J21" s="101">
        <v>0.8</v>
      </c>
      <c r="K21" s="101">
        <v>0</v>
      </c>
      <c r="L21" s="101">
        <v>0</v>
      </c>
      <c r="M21" s="101">
        <v>0</v>
      </c>
      <c r="N21" s="101">
        <v>0.8</v>
      </c>
      <c r="O21" s="101">
        <v>0</v>
      </c>
      <c r="P21" s="101">
        <v>0</v>
      </c>
      <c r="Q21" s="101">
        <v>0</v>
      </c>
      <c r="R21" s="101">
        <v>0</v>
      </c>
      <c r="S21" s="101">
        <v>0</v>
      </c>
      <c r="T21" s="101">
        <v>0</v>
      </c>
      <c r="U21" s="101">
        <v>0.8</v>
      </c>
      <c r="V21" s="101">
        <v>0</v>
      </c>
      <c r="W21" s="101">
        <v>0</v>
      </c>
      <c r="X21" s="101">
        <v>0</v>
      </c>
      <c r="Y21" s="101">
        <v>0</v>
      </c>
      <c r="Z21" s="101">
        <v>0</v>
      </c>
      <c r="AA21" s="101">
        <v>0</v>
      </c>
      <c r="AB21" s="101">
        <v>0</v>
      </c>
      <c r="AC21" s="101">
        <v>0</v>
      </c>
    </row>
    <row r="22" spans="1:29" customFormat="1" x14ac:dyDescent="0.15">
      <c r="A22" s="177" t="s">
        <v>212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  <c r="H22" s="101">
        <v>0</v>
      </c>
      <c r="I22" s="101">
        <v>0.8</v>
      </c>
      <c r="J22" s="101">
        <v>0</v>
      </c>
      <c r="K22" s="101">
        <v>0.8</v>
      </c>
      <c r="L22" s="101">
        <v>0</v>
      </c>
      <c r="M22" s="101">
        <v>0</v>
      </c>
      <c r="N22" s="101">
        <v>0</v>
      </c>
      <c r="O22" s="101">
        <v>0.8</v>
      </c>
      <c r="P22" s="101">
        <v>0</v>
      </c>
      <c r="Q22" s="101">
        <v>0</v>
      </c>
      <c r="R22" s="101">
        <v>0.8</v>
      </c>
      <c r="S22" s="101">
        <v>0.8</v>
      </c>
      <c r="T22" s="101">
        <v>0</v>
      </c>
      <c r="U22" s="101">
        <v>0</v>
      </c>
      <c r="V22" s="101">
        <v>0</v>
      </c>
      <c r="W22" s="101">
        <v>0</v>
      </c>
      <c r="X22" s="101">
        <v>0</v>
      </c>
      <c r="Y22" s="101">
        <v>0</v>
      </c>
      <c r="Z22" s="101">
        <v>0</v>
      </c>
      <c r="AA22" s="101">
        <v>0</v>
      </c>
      <c r="AB22" s="101">
        <v>0</v>
      </c>
      <c r="AC22" s="101">
        <v>0</v>
      </c>
    </row>
    <row r="23" spans="1:29" customFormat="1" x14ac:dyDescent="0.15">
      <c r="A23" s="177" t="s">
        <v>213</v>
      </c>
      <c r="B23" s="101">
        <v>0</v>
      </c>
      <c r="C23" s="101">
        <v>0</v>
      </c>
      <c r="D23" s="101">
        <v>0</v>
      </c>
      <c r="E23" s="101">
        <v>0</v>
      </c>
      <c r="F23" s="101">
        <v>0.8</v>
      </c>
      <c r="G23" s="101">
        <v>0</v>
      </c>
      <c r="H23" s="101">
        <v>0</v>
      </c>
      <c r="I23" s="101">
        <v>0</v>
      </c>
      <c r="J23" s="101">
        <v>0.8</v>
      </c>
      <c r="K23" s="101">
        <v>0</v>
      </c>
      <c r="L23" s="101">
        <v>0</v>
      </c>
      <c r="M23" s="101">
        <v>0</v>
      </c>
      <c r="N23" s="101">
        <v>0</v>
      </c>
      <c r="O23" s="101">
        <v>0</v>
      </c>
      <c r="P23" s="101">
        <v>0</v>
      </c>
      <c r="Q23" s="101">
        <v>0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  <c r="W23" s="101">
        <v>0</v>
      </c>
      <c r="X23" s="101">
        <v>0</v>
      </c>
      <c r="Y23" s="101">
        <v>0</v>
      </c>
      <c r="Z23" s="101">
        <v>0</v>
      </c>
      <c r="AA23" s="101">
        <v>0</v>
      </c>
      <c r="AB23" s="101">
        <v>0</v>
      </c>
      <c r="AC23" s="101">
        <v>0</v>
      </c>
    </row>
    <row r="24" spans="1:29" customFormat="1" x14ac:dyDescent="0.15">
      <c r="A24" s="177" t="s">
        <v>214</v>
      </c>
      <c r="B24" s="101">
        <v>0.8</v>
      </c>
      <c r="C24" s="101">
        <v>0.8</v>
      </c>
      <c r="D24" s="101">
        <v>0.8</v>
      </c>
      <c r="E24" s="101">
        <v>0.8</v>
      </c>
      <c r="F24" s="101">
        <v>0.8</v>
      </c>
      <c r="G24" s="101">
        <v>0.8</v>
      </c>
      <c r="H24" s="101">
        <v>0.8</v>
      </c>
      <c r="I24" s="101">
        <v>0.8</v>
      </c>
      <c r="J24" s="101">
        <v>0</v>
      </c>
      <c r="K24" s="101">
        <v>0.8</v>
      </c>
      <c r="L24" s="101">
        <v>0.8</v>
      </c>
      <c r="M24" s="101">
        <v>0.8</v>
      </c>
      <c r="N24" s="101">
        <v>0.8</v>
      </c>
      <c r="O24" s="101">
        <v>0</v>
      </c>
      <c r="P24" s="101">
        <v>0.8</v>
      </c>
      <c r="Q24" s="101">
        <v>0.8</v>
      </c>
      <c r="R24" s="101">
        <v>0</v>
      </c>
      <c r="S24" s="101">
        <v>0.8</v>
      </c>
      <c r="T24" s="101">
        <v>0</v>
      </c>
      <c r="U24" s="101">
        <v>0</v>
      </c>
      <c r="V24" s="101">
        <v>0</v>
      </c>
      <c r="W24" s="101">
        <v>0</v>
      </c>
      <c r="X24" s="101">
        <v>0.8</v>
      </c>
      <c r="Y24" s="101">
        <v>0</v>
      </c>
      <c r="Z24" s="101">
        <v>0</v>
      </c>
      <c r="AA24" s="101">
        <v>0</v>
      </c>
      <c r="AB24" s="101">
        <v>0</v>
      </c>
      <c r="AC24" s="101">
        <v>0</v>
      </c>
    </row>
    <row r="25" spans="1:29" customFormat="1" x14ac:dyDescent="0.15">
      <c r="A25" s="177" t="s">
        <v>215</v>
      </c>
      <c r="B25" s="101">
        <v>0</v>
      </c>
      <c r="C25" s="101">
        <v>0</v>
      </c>
      <c r="D25" s="101">
        <v>0</v>
      </c>
      <c r="E25" s="101">
        <v>0</v>
      </c>
      <c r="F25" s="101">
        <v>0</v>
      </c>
      <c r="G25" s="101">
        <v>0</v>
      </c>
      <c r="H25" s="101">
        <v>0</v>
      </c>
      <c r="I25" s="101">
        <v>0.8</v>
      </c>
      <c r="J25" s="101">
        <v>0.8</v>
      </c>
      <c r="K25" s="101">
        <v>0</v>
      </c>
      <c r="L25" s="101">
        <v>0.8</v>
      </c>
      <c r="M25" s="101">
        <v>0</v>
      </c>
      <c r="N25" s="101">
        <v>0.8</v>
      </c>
      <c r="O25" s="101">
        <v>0</v>
      </c>
      <c r="P25" s="101">
        <v>0.8</v>
      </c>
      <c r="Q25" s="101">
        <v>0</v>
      </c>
      <c r="R25" s="101">
        <v>0.8</v>
      </c>
      <c r="S25" s="101">
        <v>0.8</v>
      </c>
      <c r="T25" s="101">
        <v>0.8</v>
      </c>
      <c r="U25" s="101">
        <v>0.8</v>
      </c>
      <c r="V25" s="101">
        <v>0.8</v>
      </c>
      <c r="W25" s="101">
        <v>0.8</v>
      </c>
      <c r="X25" s="101">
        <v>0</v>
      </c>
      <c r="Y25" s="101">
        <v>0.8</v>
      </c>
      <c r="Z25" s="101">
        <v>0</v>
      </c>
      <c r="AA25" s="101">
        <v>0</v>
      </c>
      <c r="AB25" s="101">
        <v>0</v>
      </c>
      <c r="AC25" s="101">
        <v>0</v>
      </c>
    </row>
    <row r="26" spans="1:29" customFormat="1" x14ac:dyDescent="0.15">
      <c r="A26" s="177" t="s">
        <v>216</v>
      </c>
      <c r="B26" s="101">
        <v>0</v>
      </c>
      <c r="C26" s="101">
        <v>0</v>
      </c>
      <c r="D26" s="101">
        <v>0.8</v>
      </c>
      <c r="E26" s="101">
        <v>0</v>
      </c>
      <c r="F26" s="101">
        <v>0</v>
      </c>
      <c r="G26" s="101">
        <v>0</v>
      </c>
      <c r="H26" s="101">
        <v>0.8</v>
      </c>
      <c r="I26" s="101">
        <v>0.8</v>
      </c>
      <c r="J26" s="101">
        <v>0</v>
      </c>
      <c r="K26" s="101">
        <v>0.8</v>
      </c>
      <c r="L26" s="101">
        <v>0.8</v>
      </c>
      <c r="M26" s="101">
        <v>0.8</v>
      </c>
      <c r="N26" s="101">
        <v>0.8</v>
      </c>
      <c r="O26" s="101">
        <v>0</v>
      </c>
      <c r="P26" s="101">
        <v>0.8</v>
      </c>
      <c r="Q26" s="101">
        <v>0.8</v>
      </c>
      <c r="R26" s="101">
        <v>0.8</v>
      </c>
      <c r="S26" s="101">
        <v>0.8</v>
      </c>
      <c r="T26" s="101">
        <v>0.8</v>
      </c>
      <c r="U26" s="101">
        <v>0</v>
      </c>
      <c r="V26" s="101">
        <v>0</v>
      </c>
      <c r="W26" s="101">
        <v>0</v>
      </c>
      <c r="X26" s="101">
        <v>0.8</v>
      </c>
      <c r="Y26" s="101">
        <v>0</v>
      </c>
      <c r="Z26" s="101">
        <v>0</v>
      </c>
      <c r="AA26" s="101">
        <v>0</v>
      </c>
      <c r="AB26" s="101">
        <v>0</v>
      </c>
      <c r="AC26" s="101">
        <v>0</v>
      </c>
    </row>
    <row r="27" spans="1:29" customFormat="1" x14ac:dyDescent="0.15">
      <c r="A27" s="177" t="s">
        <v>217</v>
      </c>
      <c r="B27" s="101">
        <v>0</v>
      </c>
      <c r="C27" s="101">
        <v>0.8</v>
      </c>
      <c r="D27" s="101">
        <v>0</v>
      </c>
      <c r="E27" s="101">
        <v>0.8</v>
      </c>
      <c r="F27" s="101">
        <v>0.8</v>
      </c>
      <c r="G27" s="101">
        <v>0</v>
      </c>
      <c r="H27" s="101">
        <v>0.8</v>
      </c>
      <c r="I27" s="101">
        <v>0.8</v>
      </c>
      <c r="J27" s="101">
        <v>0</v>
      </c>
      <c r="K27" s="101">
        <v>0.8</v>
      </c>
      <c r="L27" s="101">
        <v>0</v>
      </c>
      <c r="M27" s="101">
        <v>0</v>
      </c>
      <c r="N27" s="101">
        <v>0</v>
      </c>
      <c r="O27" s="101">
        <v>0</v>
      </c>
      <c r="P27" s="101">
        <v>0</v>
      </c>
      <c r="Q27" s="101">
        <v>0</v>
      </c>
      <c r="R27" s="101">
        <v>0.8</v>
      </c>
      <c r="S27" s="101">
        <v>0</v>
      </c>
      <c r="T27" s="101">
        <v>0</v>
      </c>
      <c r="U27" s="101">
        <v>0.8</v>
      </c>
      <c r="V27" s="101">
        <v>0</v>
      </c>
      <c r="W27" s="101">
        <v>0.8</v>
      </c>
      <c r="X27" s="101">
        <v>0</v>
      </c>
      <c r="Y27" s="101">
        <v>0</v>
      </c>
      <c r="Z27" s="101">
        <v>0</v>
      </c>
      <c r="AA27" s="101">
        <v>0</v>
      </c>
      <c r="AB27" s="101">
        <v>0</v>
      </c>
      <c r="AC27" s="101">
        <v>0</v>
      </c>
    </row>
    <row r="28" spans="1:29" customFormat="1" x14ac:dyDescent="0.15">
      <c r="A28" s="177" t="s">
        <v>218</v>
      </c>
      <c r="B28" s="101">
        <v>0</v>
      </c>
      <c r="C28" s="101">
        <v>0</v>
      </c>
      <c r="D28" s="101">
        <v>0.8</v>
      </c>
      <c r="E28" s="101">
        <v>0.8</v>
      </c>
      <c r="F28" s="101">
        <v>0</v>
      </c>
      <c r="G28" s="101">
        <v>0</v>
      </c>
      <c r="H28" s="101">
        <v>0</v>
      </c>
      <c r="I28" s="101">
        <v>0.8</v>
      </c>
      <c r="J28" s="101">
        <v>0</v>
      </c>
      <c r="K28" s="101">
        <v>0.8</v>
      </c>
      <c r="L28" s="101">
        <v>0.8</v>
      </c>
      <c r="M28" s="101">
        <v>0</v>
      </c>
      <c r="N28" s="101">
        <v>0.8</v>
      </c>
      <c r="O28" s="101">
        <v>0.8</v>
      </c>
      <c r="P28" s="101">
        <v>0</v>
      </c>
      <c r="Q28" s="101">
        <v>0.8</v>
      </c>
      <c r="R28" s="101">
        <v>0.8</v>
      </c>
      <c r="S28" s="101">
        <v>0.8</v>
      </c>
      <c r="T28" s="101">
        <v>0.8</v>
      </c>
      <c r="U28" s="101">
        <v>0.8</v>
      </c>
      <c r="V28" s="101">
        <v>0.8</v>
      </c>
      <c r="W28" s="101">
        <v>0.8</v>
      </c>
      <c r="X28" s="101">
        <v>0.8</v>
      </c>
      <c r="Y28" s="101">
        <v>0.8</v>
      </c>
      <c r="Z28" s="101">
        <v>0</v>
      </c>
      <c r="AA28" s="101">
        <v>0</v>
      </c>
      <c r="AB28" s="101">
        <v>0</v>
      </c>
      <c r="AC28" s="101">
        <v>0</v>
      </c>
    </row>
    <row r="29" spans="1:29" customFormat="1" x14ac:dyDescent="0.15">
      <c r="A29" s="177" t="s">
        <v>219</v>
      </c>
      <c r="B29" s="101">
        <v>0</v>
      </c>
      <c r="C29" s="101">
        <v>0</v>
      </c>
      <c r="D29" s="101">
        <v>0</v>
      </c>
      <c r="E29" s="101">
        <v>0</v>
      </c>
      <c r="F29" s="101">
        <v>0</v>
      </c>
      <c r="G29" s="101">
        <v>0</v>
      </c>
      <c r="H29" s="101">
        <v>0</v>
      </c>
      <c r="I29" s="101">
        <v>0</v>
      </c>
      <c r="J29" s="101">
        <v>0</v>
      </c>
      <c r="K29" s="101">
        <v>0</v>
      </c>
      <c r="L29" s="101">
        <v>0</v>
      </c>
      <c r="M29" s="101">
        <v>0</v>
      </c>
      <c r="N29" s="101">
        <v>0</v>
      </c>
      <c r="O29" s="101">
        <v>0</v>
      </c>
      <c r="P29" s="101">
        <v>0</v>
      </c>
      <c r="Q29" s="101">
        <v>0</v>
      </c>
      <c r="R29" s="101">
        <v>0</v>
      </c>
      <c r="S29" s="101">
        <v>0</v>
      </c>
      <c r="T29" s="101">
        <v>0</v>
      </c>
      <c r="U29" s="101">
        <v>0</v>
      </c>
      <c r="V29" s="101">
        <v>0</v>
      </c>
      <c r="W29" s="101">
        <v>0</v>
      </c>
      <c r="X29" s="101">
        <v>0</v>
      </c>
      <c r="Y29" s="101">
        <v>0</v>
      </c>
      <c r="Z29" s="101">
        <v>0</v>
      </c>
      <c r="AA29" s="101">
        <v>0</v>
      </c>
      <c r="AB29" s="101">
        <v>0</v>
      </c>
      <c r="AC29" s="101">
        <v>0</v>
      </c>
    </row>
    <row r="30" spans="1:29" customFormat="1" x14ac:dyDescent="0.15">
      <c r="A30" s="177" t="s">
        <v>222</v>
      </c>
      <c r="B30" s="101">
        <v>0</v>
      </c>
      <c r="C30" s="101">
        <v>0</v>
      </c>
      <c r="D30" s="101">
        <v>0</v>
      </c>
      <c r="E30" s="101">
        <v>0</v>
      </c>
      <c r="F30" s="101">
        <v>0</v>
      </c>
      <c r="G30" s="101">
        <v>0</v>
      </c>
      <c r="H30" s="101">
        <v>0</v>
      </c>
      <c r="I30" s="101">
        <v>0</v>
      </c>
      <c r="J30" s="101">
        <v>0</v>
      </c>
      <c r="K30" s="101">
        <v>0</v>
      </c>
      <c r="L30" s="101">
        <v>0</v>
      </c>
      <c r="M30" s="101">
        <v>0</v>
      </c>
      <c r="N30" s="101">
        <v>0</v>
      </c>
      <c r="O30" s="101">
        <v>0</v>
      </c>
      <c r="P30" s="101">
        <v>0</v>
      </c>
      <c r="Q30" s="101">
        <v>0</v>
      </c>
      <c r="R30" s="101">
        <v>0</v>
      </c>
      <c r="S30" s="101">
        <v>0</v>
      </c>
      <c r="T30" s="101">
        <v>0</v>
      </c>
      <c r="U30" s="101">
        <v>0</v>
      </c>
      <c r="V30" s="101">
        <v>0</v>
      </c>
      <c r="W30" s="101">
        <v>0</v>
      </c>
      <c r="X30" s="101">
        <v>0</v>
      </c>
      <c r="Y30" s="101">
        <v>0</v>
      </c>
      <c r="Z30" s="101">
        <v>0</v>
      </c>
      <c r="AA30" s="101">
        <v>0</v>
      </c>
      <c r="AB30" s="101">
        <v>0</v>
      </c>
      <c r="AC30" s="101">
        <v>0</v>
      </c>
    </row>
    <row r="31" spans="1:29" customFormat="1" x14ac:dyDescent="0.15"/>
    <row r="32" spans="1:29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7" sqref="A7"/>
    </sheetView>
  </sheetViews>
  <sheetFormatPr baseColWidth="10" defaultRowHeight="13" x14ac:dyDescent="0.15"/>
  <cols>
    <col min="1" max="1" width="21.6640625" style="101" bestFit="1" customWidth="1"/>
    <col min="2" max="29" width="2.33203125" style="101" customWidth="1"/>
    <col min="30" max="16384" width="10.83203125" style="101"/>
  </cols>
  <sheetData>
    <row r="1" spans="1:31" x14ac:dyDescent="0.15">
      <c r="A1" s="59" t="s">
        <v>139</v>
      </c>
      <c r="B1" s="180" t="s">
        <v>192</v>
      </c>
      <c r="C1" s="180" t="s">
        <v>193</v>
      </c>
      <c r="D1" s="180" t="s">
        <v>194</v>
      </c>
      <c r="E1" s="180" t="s">
        <v>195</v>
      </c>
      <c r="F1" s="180" t="s">
        <v>196</v>
      </c>
      <c r="G1" s="180" t="s">
        <v>197</v>
      </c>
      <c r="H1" s="180" t="s">
        <v>198</v>
      </c>
      <c r="I1" s="180" t="s">
        <v>199</v>
      </c>
      <c r="J1" s="180" t="s">
        <v>200</v>
      </c>
      <c r="K1" s="180" t="s">
        <v>201</v>
      </c>
      <c r="L1" s="180" t="s">
        <v>202</v>
      </c>
      <c r="M1" s="180" t="s">
        <v>203</v>
      </c>
      <c r="N1" s="180" t="s">
        <v>204</v>
      </c>
      <c r="O1" s="180" t="s">
        <v>205</v>
      </c>
      <c r="P1" s="180" t="s">
        <v>206</v>
      </c>
      <c r="Q1" s="180" t="s">
        <v>207</v>
      </c>
      <c r="R1" s="180" t="s">
        <v>208</v>
      </c>
      <c r="S1" s="180" t="s">
        <v>209</v>
      </c>
      <c r="T1" s="180" t="s">
        <v>210</v>
      </c>
      <c r="U1" s="180" t="s">
        <v>211</v>
      </c>
      <c r="V1" s="180" t="s">
        <v>212</v>
      </c>
      <c r="W1" s="180" t="s">
        <v>213</v>
      </c>
      <c r="X1" s="180" t="s">
        <v>214</v>
      </c>
      <c r="Y1" s="180" t="s">
        <v>215</v>
      </c>
      <c r="Z1" s="180" t="s">
        <v>216</v>
      </c>
      <c r="AA1" s="180" t="s">
        <v>217</v>
      </c>
      <c r="AB1" s="180" t="s">
        <v>218</v>
      </c>
      <c r="AC1" s="180" t="s">
        <v>219</v>
      </c>
      <c r="AD1"/>
      <c r="AE1"/>
    </row>
    <row r="2" spans="1:31" customFormat="1" x14ac:dyDescent="0.15">
      <c r="A2" s="179" t="s">
        <v>192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  <c r="AB2" s="101">
        <v>0</v>
      </c>
      <c r="AC2" s="101">
        <v>0</v>
      </c>
    </row>
    <row r="3" spans="1:31" customFormat="1" x14ac:dyDescent="0.15">
      <c r="A3" s="179" t="s">
        <v>193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  <c r="AB3" s="101">
        <v>0</v>
      </c>
      <c r="AC3" s="101">
        <v>0</v>
      </c>
    </row>
    <row r="4" spans="1:31" customFormat="1" x14ac:dyDescent="0.15">
      <c r="A4" s="179" t="s">
        <v>194</v>
      </c>
      <c r="B4" s="101">
        <v>0</v>
      </c>
      <c r="C4" s="101">
        <v>0</v>
      </c>
      <c r="D4" s="101">
        <v>0</v>
      </c>
      <c r="E4" s="101">
        <v>0</v>
      </c>
      <c r="F4" s="101">
        <v>1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  <c r="AB4" s="101">
        <v>0</v>
      </c>
      <c r="AC4" s="101">
        <v>0</v>
      </c>
    </row>
    <row r="5" spans="1:31" customFormat="1" x14ac:dyDescent="0.15">
      <c r="A5" s="179" t="s">
        <v>195</v>
      </c>
      <c r="B5" s="101">
        <v>0</v>
      </c>
      <c r="C5" s="101">
        <v>0</v>
      </c>
      <c r="D5" s="101">
        <v>0</v>
      </c>
      <c r="E5" s="101">
        <v>0</v>
      </c>
      <c r="F5" s="101">
        <v>1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  <c r="AB5" s="101">
        <v>0</v>
      </c>
      <c r="AC5" s="101">
        <v>0</v>
      </c>
    </row>
    <row r="6" spans="1:31" customFormat="1" x14ac:dyDescent="0.15">
      <c r="A6" s="179" t="s">
        <v>196</v>
      </c>
      <c r="B6" s="101">
        <v>0</v>
      </c>
      <c r="C6" s="101">
        <v>0</v>
      </c>
      <c r="D6" s="101">
        <v>0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  <c r="AB6" s="101">
        <v>0</v>
      </c>
      <c r="AC6" s="101">
        <v>0</v>
      </c>
    </row>
    <row r="7" spans="1:31" customFormat="1" x14ac:dyDescent="0.15">
      <c r="A7" s="179" t="s">
        <v>197</v>
      </c>
      <c r="B7" s="101">
        <v>1</v>
      </c>
      <c r="C7" s="101">
        <v>1</v>
      </c>
      <c r="D7" s="101">
        <v>0</v>
      </c>
      <c r="E7" s="101">
        <v>0</v>
      </c>
      <c r="F7" s="101">
        <v>1</v>
      </c>
      <c r="G7" s="101">
        <v>1</v>
      </c>
      <c r="H7" s="101">
        <v>0</v>
      </c>
      <c r="I7" s="101">
        <v>0</v>
      </c>
      <c r="J7" s="101">
        <v>0</v>
      </c>
      <c r="K7" s="101">
        <v>1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  <c r="AB7" s="101">
        <v>0</v>
      </c>
      <c r="AC7" s="101">
        <v>0</v>
      </c>
    </row>
    <row r="8" spans="1:31" customFormat="1" x14ac:dyDescent="0.15">
      <c r="A8" s="179" t="s">
        <v>198</v>
      </c>
      <c r="B8" s="101">
        <v>1</v>
      </c>
      <c r="C8" s="101">
        <v>1</v>
      </c>
      <c r="D8" s="101">
        <v>0</v>
      </c>
      <c r="E8" s="101">
        <v>0</v>
      </c>
      <c r="F8" s="101">
        <v>1</v>
      </c>
      <c r="G8" s="101">
        <v>0</v>
      </c>
      <c r="H8" s="101">
        <v>0</v>
      </c>
      <c r="I8" s="101">
        <v>1</v>
      </c>
      <c r="J8" s="101">
        <v>0</v>
      </c>
      <c r="K8" s="101">
        <v>1</v>
      </c>
      <c r="L8" s="101">
        <v>0</v>
      </c>
      <c r="M8" s="101">
        <v>0</v>
      </c>
      <c r="N8" s="101">
        <v>1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  <c r="AB8" s="101">
        <v>0</v>
      </c>
      <c r="AC8" s="101">
        <v>0</v>
      </c>
    </row>
    <row r="9" spans="1:31" customFormat="1" x14ac:dyDescent="0.15">
      <c r="A9" s="179" t="s">
        <v>199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1</v>
      </c>
      <c r="M9" s="101">
        <v>0</v>
      </c>
      <c r="N9" s="101">
        <v>1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  <c r="AB9" s="101">
        <v>0</v>
      </c>
      <c r="AC9" s="101">
        <v>0</v>
      </c>
    </row>
    <row r="10" spans="1:31" customFormat="1" x14ac:dyDescent="0.15">
      <c r="A10" s="179" t="s">
        <v>200</v>
      </c>
      <c r="B10" s="101">
        <v>0</v>
      </c>
      <c r="C10" s="101">
        <v>0</v>
      </c>
      <c r="D10" s="101">
        <v>0</v>
      </c>
      <c r="E10" s="101">
        <v>1</v>
      </c>
      <c r="F10" s="101">
        <v>1</v>
      </c>
      <c r="G10" s="101">
        <v>0</v>
      </c>
      <c r="H10" s="101">
        <v>1</v>
      </c>
      <c r="I10" s="101">
        <v>1</v>
      </c>
      <c r="J10" s="101">
        <v>0</v>
      </c>
      <c r="K10" s="101">
        <v>0</v>
      </c>
      <c r="L10" s="101">
        <v>0</v>
      </c>
      <c r="M10" s="101">
        <v>0</v>
      </c>
      <c r="N10" s="101">
        <v>1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  <c r="AB10" s="101">
        <v>0</v>
      </c>
      <c r="AC10" s="101">
        <v>0</v>
      </c>
    </row>
    <row r="11" spans="1:31" customFormat="1" x14ac:dyDescent="0.15">
      <c r="A11" s="179" t="s">
        <v>201</v>
      </c>
      <c r="B11" s="101">
        <v>1</v>
      </c>
      <c r="C11" s="101">
        <v>1</v>
      </c>
      <c r="D11" s="101">
        <v>1</v>
      </c>
      <c r="E11" s="101">
        <v>0</v>
      </c>
      <c r="F11" s="101">
        <v>1</v>
      </c>
      <c r="G11" s="101">
        <v>0</v>
      </c>
      <c r="H11" s="101">
        <v>0</v>
      </c>
      <c r="I11" s="101">
        <v>1</v>
      </c>
      <c r="J11" s="101">
        <v>1</v>
      </c>
      <c r="K11" s="101">
        <v>1</v>
      </c>
      <c r="L11" s="101">
        <v>1</v>
      </c>
      <c r="M11" s="101">
        <v>0</v>
      </c>
      <c r="N11" s="101">
        <v>1</v>
      </c>
      <c r="O11" s="101">
        <v>1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  <c r="AB11" s="101">
        <v>0</v>
      </c>
      <c r="AC11" s="101">
        <v>0</v>
      </c>
    </row>
    <row r="12" spans="1:31" customFormat="1" x14ac:dyDescent="0.15">
      <c r="A12" s="179" t="s">
        <v>202</v>
      </c>
      <c r="B12" s="101">
        <v>0</v>
      </c>
      <c r="C12" s="101">
        <v>0</v>
      </c>
      <c r="D12" s="101">
        <v>0</v>
      </c>
      <c r="E12" s="101">
        <v>0</v>
      </c>
      <c r="F12" s="101">
        <v>0</v>
      </c>
      <c r="G12" s="101">
        <v>0</v>
      </c>
      <c r="H12" s="101">
        <v>0</v>
      </c>
      <c r="I12" s="101">
        <v>1</v>
      </c>
      <c r="J12" s="101">
        <v>0</v>
      </c>
      <c r="K12" s="101">
        <v>0</v>
      </c>
      <c r="L12" s="101">
        <v>1</v>
      </c>
      <c r="M12" s="101">
        <v>0</v>
      </c>
      <c r="N12" s="101">
        <v>1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  <c r="AB12" s="101">
        <v>0</v>
      </c>
      <c r="AC12" s="101">
        <v>0</v>
      </c>
    </row>
    <row r="13" spans="1:31" customFormat="1" x14ac:dyDescent="0.15">
      <c r="A13" s="179" t="s">
        <v>203</v>
      </c>
      <c r="B13" s="101">
        <v>1</v>
      </c>
      <c r="C13" s="101">
        <v>1</v>
      </c>
      <c r="D13" s="101">
        <v>1</v>
      </c>
      <c r="E13" s="101">
        <v>1</v>
      </c>
      <c r="F13" s="101">
        <v>1</v>
      </c>
      <c r="G13" s="101">
        <v>1</v>
      </c>
      <c r="H13" s="101">
        <v>1</v>
      </c>
      <c r="I13" s="101">
        <v>0</v>
      </c>
      <c r="J13" s="101">
        <v>0</v>
      </c>
      <c r="K13" s="101">
        <v>1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  <c r="AB13" s="101">
        <v>0</v>
      </c>
      <c r="AC13" s="101">
        <v>0</v>
      </c>
    </row>
    <row r="14" spans="1:31" customFormat="1" x14ac:dyDescent="0.15">
      <c r="A14" s="179" t="s">
        <v>204</v>
      </c>
      <c r="B14" s="101">
        <v>0</v>
      </c>
      <c r="C14" s="101">
        <v>0</v>
      </c>
      <c r="D14" s="101">
        <v>0</v>
      </c>
      <c r="E14" s="101">
        <v>0</v>
      </c>
      <c r="F14" s="101">
        <v>1</v>
      </c>
      <c r="G14" s="101">
        <v>0</v>
      </c>
      <c r="H14" s="101">
        <v>0</v>
      </c>
      <c r="I14" s="101">
        <v>1</v>
      </c>
      <c r="J14" s="101">
        <v>0</v>
      </c>
      <c r="K14" s="101">
        <v>0</v>
      </c>
      <c r="L14" s="101">
        <v>1</v>
      </c>
      <c r="M14" s="101">
        <v>0</v>
      </c>
      <c r="N14" s="101">
        <v>1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  <c r="AB14" s="101">
        <v>0</v>
      </c>
      <c r="AC14" s="101">
        <v>0</v>
      </c>
    </row>
    <row r="15" spans="1:31" customFormat="1" x14ac:dyDescent="0.15">
      <c r="A15" s="179" t="s">
        <v>205</v>
      </c>
      <c r="B15" s="101">
        <v>0</v>
      </c>
      <c r="C15" s="101">
        <v>0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101">
        <v>1</v>
      </c>
      <c r="J15" s="101">
        <v>0</v>
      </c>
      <c r="K15" s="101">
        <v>1</v>
      </c>
      <c r="L15" s="101">
        <v>0</v>
      </c>
      <c r="M15" s="101">
        <v>0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0</v>
      </c>
      <c r="X15" s="101">
        <v>0</v>
      </c>
      <c r="Y15" s="101">
        <v>0</v>
      </c>
      <c r="Z15" s="101">
        <v>0</v>
      </c>
      <c r="AA15" s="101">
        <v>0</v>
      </c>
      <c r="AB15" s="101">
        <v>0</v>
      </c>
      <c r="AC15" s="101">
        <v>0</v>
      </c>
    </row>
    <row r="16" spans="1:31" customFormat="1" x14ac:dyDescent="0.15">
      <c r="A16" s="179" t="s">
        <v>206</v>
      </c>
      <c r="B16" s="101">
        <v>0</v>
      </c>
      <c r="C16" s="101">
        <v>0</v>
      </c>
      <c r="D16" s="101">
        <v>1</v>
      </c>
      <c r="E16" s="101">
        <v>0</v>
      </c>
      <c r="F16" s="101">
        <v>1</v>
      </c>
      <c r="G16" s="101">
        <v>0</v>
      </c>
      <c r="H16" s="101">
        <v>1</v>
      </c>
      <c r="I16" s="101">
        <v>1</v>
      </c>
      <c r="J16" s="101">
        <v>0</v>
      </c>
      <c r="K16" s="101">
        <v>0</v>
      </c>
      <c r="L16" s="101">
        <v>0</v>
      </c>
      <c r="M16" s="101">
        <v>0</v>
      </c>
      <c r="N16" s="101">
        <v>0</v>
      </c>
      <c r="O16" s="101">
        <v>0</v>
      </c>
      <c r="P16" s="101">
        <v>0</v>
      </c>
      <c r="Q16" s="101">
        <v>0</v>
      </c>
      <c r="R16" s="101">
        <v>1</v>
      </c>
      <c r="S16" s="101">
        <v>0</v>
      </c>
      <c r="T16" s="101">
        <v>0</v>
      </c>
      <c r="U16" s="101">
        <v>0</v>
      </c>
      <c r="V16" s="101">
        <v>0</v>
      </c>
      <c r="W16" s="101">
        <v>0</v>
      </c>
      <c r="X16" s="101">
        <v>0</v>
      </c>
      <c r="Y16" s="101">
        <v>0</v>
      </c>
      <c r="Z16" s="101">
        <v>0</v>
      </c>
      <c r="AA16" s="101">
        <v>0</v>
      </c>
      <c r="AB16" s="101">
        <v>0</v>
      </c>
      <c r="AC16" s="101">
        <v>0</v>
      </c>
    </row>
    <row r="17" spans="1:29" customFormat="1" x14ac:dyDescent="0.15">
      <c r="A17" s="179" t="s">
        <v>207</v>
      </c>
      <c r="B17" s="101">
        <v>0</v>
      </c>
      <c r="C17" s="101">
        <v>0</v>
      </c>
      <c r="D17" s="101">
        <v>1</v>
      </c>
      <c r="E17" s="101">
        <v>1</v>
      </c>
      <c r="F17" s="101">
        <v>1</v>
      </c>
      <c r="G17" s="101">
        <v>0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0</v>
      </c>
      <c r="N17" s="101">
        <v>0</v>
      </c>
      <c r="O17" s="101">
        <v>0</v>
      </c>
      <c r="P17" s="101">
        <v>1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  <c r="W17" s="101">
        <v>0</v>
      </c>
      <c r="X17" s="101">
        <v>0</v>
      </c>
      <c r="Y17" s="101">
        <v>0</v>
      </c>
      <c r="Z17" s="101">
        <v>0</v>
      </c>
      <c r="AA17" s="101">
        <v>0</v>
      </c>
      <c r="AB17" s="101">
        <v>0</v>
      </c>
      <c r="AC17" s="101">
        <v>0</v>
      </c>
    </row>
    <row r="18" spans="1:29" customFormat="1" x14ac:dyDescent="0.15">
      <c r="A18" s="179" t="s">
        <v>208</v>
      </c>
      <c r="B18" s="101">
        <v>0</v>
      </c>
      <c r="C18" s="101">
        <v>0</v>
      </c>
      <c r="D18" s="101">
        <v>1</v>
      </c>
      <c r="E18" s="101">
        <v>1</v>
      </c>
      <c r="F18" s="101">
        <v>1</v>
      </c>
      <c r="G18" s="101">
        <v>0</v>
      </c>
      <c r="H18" s="101">
        <v>0</v>
      </c>
      <c r="I18" s="101">
        <v>1</v>
      </c>
      <c r="J18" s="101">
        <v>1</v>
      </c>
      <c r="K18" s="101">
        <v>0</v>
      </c>
      <c r="L18" s="101">
        <v>0</v>
      </c>
      <c r="M18" s="101">
        <v>0</v>
      </c>
      <c r="N18" s="101">
        <v>0</v>
      </c>
      <c r="O18" s="101">
        <v>0</v>
      </c>
      <c r="P18" s="101">
        <v>1</v>
      </c>
      <c r="Q18" s="101">
        <v>1</v>
      </c>
      <c r="R18" s="101">
        <v>0</v>
      </c>
      <c r="S18" s="101">
        <v>0</v>
      </c>
      <c r="T18" s="101">
        <v>0</v>
      </c>
      <c r="U18" s="101">
        <v>1</v>
      </c>
      <c r="V18" s="101">
        <v>0</v>
      </c>
      <c r="W18" s="101">
        <v>0</v>
      </c>
      <c r="X18" s="101">
        <v>0</v>
      </c>
      <c r="Y18" s="101">
        <v>0</v>
      </c>
      <c r="Z18" s="101">
        <v>0</v>
      </c>
      <c r="AA18" s="101">
        <v>0</v>
      </c>
      <c r="AB18" s="101">
        <v>0</v>
      </c>
      <c r="AC18" s="101">
        <v>0</v>
      </c>
    </row>
    <row r="19" spans="1:29" customFormat="1" x14ac:dyDescent="0.15">
      <c r="A19" s="179" t="s">
        <v>209</v>
      </c>
      <c r="B19" s="101">
        <v>0</v>
      </c>
      <c r="C19" s="101">
        <v>0</v>
      </c>
      <c r="D19" s="101">
        <v>0</v>
      </c>
      <c r="E19" s="101">
        <v>0</v>
      </c>
      <c r="F19" s="101">
        <v>1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</v>
      </c>
      <c r="N19" s="101">
        <v>0</v>
      </c>
      <c r="O19" s="101">
        <v>0</v>
      </c>
      <c r="P19" s="101">
        <v>0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  <c r="W19" s="101">
        <v>0</v>
      </c>
      <c r="X19" s="101">
        <v>0</v>
      </c>
      <c r="Y19" s="101">
        <v>0</v>
      </c>
      <c r="Z19" s="101">
        <v>0</v>
      </c>
      <c r="AA19" s="101">
        <v>0</v>
      </c>
      <c r="AB19" s="101">
        <v>0</v>
      </c>
      <c r="AC19" s="101">
        <v>0</v>
      </c>
    </row>
    <row r="20" spans="1:29" customFormat="1" x14ac:dyDescent="0.15">
      <c r="A20" s="179" t="s">
        <v>210</v>
      </c>
      <c r="B20" s="101">
        <v>0</v>
      </c>
      <c r="C20" s="101">
        <v>0</v>
      </c>
      <c r="D20" s="101">
        <v>1</v>
      </c>
      <c r="E20" s="101">
        <v>0</v>
      </c>
      <c r="F20" s="101">
        <v>1</v>
      </c>
      <c r="G20" s="101">
        <v>1</v>
      </c>
      <c r="H20" s="101">
        <v>0</v>
      </c>
      <c r="I20" s="101">
        <v>1</v>
      </c>
      <c r="J20" s="101">
        <v>1</v>
      </c>
      <c r="K20" s="101">
        <v>1</v>
      </c>
      <c r="L20" s="101">
        <v>1</v>
      </c>
      <c r="M20" s="101">
        <v>0</v>
      </c>
      <c r="N20" s="101">
        <v>1</v>
      </c>
      <c r="O20" s="101">
        <v>1</v>
      </c>
      <c r="P20" s="101">
        <v>0</v>
      </c>
      <c r="Q20" s="101">
        <v>0</v>
      </c>
      <c r="R20" s="101">
        <v>0</v>
      </c>
      <c r="S20" s="101">
        <v>0</v>
      </c>
      <c r="T20" s="101">
        <v>0</v>
      </c>
      <c r="U20" s="101">
        <v>1</v>
      </c>
      <c r="V20" s="101">
        <v>0</v>
      </c>
      <c r="W20" s="101">
        <v>0</v>
      </c>
      <c r="X20" s="101">
        <v>0</v>
      </c>
      <c r="Y20" s="101">
        <v>0</v>
      </c>
      <c r="Z20" s="101">
        <v>0</v>
      </c>
      <c r="AA20" s="101">
        <v>0</v>
      </c>
      <c r="AB20" s="101">
        <v>0</v>
      </c>
      <c r="AC20" s="101">
        <v>0</v>
      </c>
    </row>
    <row r="21" spans="1:29" customFormat="1" x14ac:dyDescent="0.15">
      <c r="A21" s="179" t="s">
        <v>211</v>
      </c>
      <c r="B21" s="101">
        <v>0</v>
      </c>
      <c r="C21" s="101">
        <v>0</v>
      </c>
      <c r="D21" s="101">
        <v>0</v>
      </c>
      <c r="E21" s="101">
        <v>0</v>
      </c>
      <c r="F21" s="101">
        <v>1</v>
      </c>
      <c r="G21" s="101">
        <v>0</v>
      </c>
      <c r="H21" s="101">
        <v>0</v>
      </c>
      <c r="I21" s="101">
        <v>1</v>
      </c>
      <c r="J21" s="101">
        <v>1</v>
      </c>
      <c r="K21" s="101">
        <v>0</v>
      </c>
      <c r="L21" s="101">
        <v>0</v>
      </c>
      <c r="M21" s="101">
        <v>0</v>
      </c>
      <c r="N21" s="101">
        <v>1</v>
      </c>
      <c r="O21" s="101">
        <v>0</v>
      </c>
      <c r="P21" s="101">
        <v>0</v>
      </c>
      <c r="Q21" s="101">
        <v>0</v>
      </c>
      <c r="R21" s="101">
        <v>0</v>
      </c>
      <c r="S21" s="101">
        <v>0</v>
      </c>
      <c r="T21" s="101">
        <v>0</v>
      </c>
      <c r="U21" s="101">
        <v>1</v>
      </c>
      <c r="V21" s="101">
        <v>0</v>
      </c>
      <c r="W21" s="101">
        <v>0</v>
      </c>
      <c r="X21" s="101">
        <v>0</v>
      </c>
      <c r="Y21" s="101">
        <v>0</v>
      </c>
      <c r="Z21" s="101">
        <v>0</v>
      </c>
      <c r="AA21" s="101">
        <v>0</v>
      </c>
      <c r="AB21" s="101">
        <v>0</v>
      </c>
      <c r="AC21" s="101">
        <v>0</v>
      </c>
    </row>
    <row r="22" spans="1:29" customFormat="1" x14ac:dyDescent="0.15">
      <c r="A22" s="179" t="s">
        <v>212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  <c r="H22" s="101">
        <v>0</v>
      </c>
      <c r="I22" s="101">
        <v>1</v>
      </c>
      <c r="J22" s="101">
        <v>0</v>
      </c>
      <c r="K22" s="101">
        <v>1</v>
      </c>
      <c r="L22" s="101">
        <v>0</v>
      </c>
      <c r="M22" s="101">
        <v>0</v>
      </c>
      <c r="N22" s="101">
        <v>0</v>
      </c>
      <c r="O22" s="101">
        <v>1</v>
      </c>
      <c r="P22" s="101">
        <v>0</v>
      </c>
      <c r="Q22" s="101">
        <v>0</v>
      </c>
      <c r="R22" s="101">
        <v>1</v>
      </c>
      <c r="S22" s="101">
        <v>1</v>
      </c>
      <c r="T22" s="101">
        <v>0</v>
      </c>
      <c r="U22" s="101">
        <v>0</v>
      </c>
      <c r="V22" s="101">
        <v>0</v>
      </c>
      <c r="W22" s="101">
        <v>0</v>
      </c>
      <c r="X22" s="101">
        <v>0</v>
      </c>
      <c r="Y22" s="101">
        <v>0</v>
      </c>
      <c r="Z22" s="101">
        <v>0</v>
      </c>
      <c r="AA22" s="101">
        <v>0</v>
      </c>
      <c r="AB22" s="101">
        <v>0</v>
      </c>
      <c r="AC22" s="101">
        <v>0</v>
      </c>
    </row>
    <row r="23" spans="1:29" customFormat="1" x14ac:dyDescent="0.15">
      <c r="A23" s="179" t="s">
        <v>213</v>
      </c>
      <c r="B23" s="101">
        <v>0</v>
      </c>
      <c r="C23" s="101">
        <v>0</v>
      </c>
      <c r="D23" s="101">
        <v>0</v>
      </c>
      <c r="E23" s="101">
        <v>0</v>
      </c>
      <c r="F23" s="101">
        <v>1</v>
      </c>
      <c r="G23" s="101">
        <v>0</v>
      </c>
      <c r="H23" s="101">
        <v>0</v>
      </c>
      <c r="I23" s="101">
        <v>0</v>
      </c>
      <c r="J23" s="101">
        <v>1</v>
      </c>
      <c r="K23" s="101">
        <v>0</v>
      </c>
      <c r="L23" s="101">
        <v>0</v>
      </c>
      <c r="M23" s="101">
        <v>0</v>
      </c>
      <c r="N23" s="101">
        <v>0</v>
      </c>
      <c r="O23" s="101">
        <v>0</v>
      </c>
      <c r="P23" s="101">
        <v>0</v>
      </c>
      <c r="Q23" s="101">
        <v>0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  <c r="W23" s="101">
        <v>0</v>
      </c>
      <c r="X23" s="101">
        <v>0</v>
      </c>
      <c r="Y23" s="101">
        <v>0</v>
      </c>
      <c r="Z23" s="101">
        <v>0</v>
      </c>
      <c r="AA23" s="101">
        <v>0</v>
      </c>
      <c r="AB23" s="101">
        <v>0</v>
      </c>
      <c r="AC23" s="101">
        <v>0</v>
      </c>
    </row>
    <row r="24" spans="1:29" customFormat="1" x14ac:dyDescent="0.15">
      <c r="A24" s="179" t="s">
        <v>214</v>
      </c>
      <c r="B24" s="101">
        <v>1</v>
      </c>
      <c r="C24" s="101">
        <v>1</v>
      </c>
      <c r="D24" s="101">
        <v>1</v>
      </c>
      <c r="E24" s="101">
        <v>1</v>
      </c>
      <c r="F24" s="101">
        <v>1</v>
      </c>
      <c r="G24" s="101">
        <v>1</v>
      </c>
      <c r="H24" s="101">
        <v>1</v>
      </c>
      <c r="I24" s="101">
        <v>1</v>
      </c>
      <c r="J24" s="101">
        <v>0</v>
      </c>
      <c r="K24" s="101">
        <v>1</v>
      </c>
      <c r="L24" s="101">
        <v>1</v>
      </c>
      <c r="M24" s="101">
        <v>1</v>
      </c>
      <c r="N24" s="101">
        <v>1</v>
      </c>
      <c r="O24" s="101">
        <v>0</v>
      </c>
      <c r="P24" s="101">
        <v>1</v>
      </c>
      <c r="Q24" s="101">
        <v>1</v>
      </c>
      <c r="R24" s="101">
        <v>0</v>
      </c>
      <c r="S24" s="101">
        <v>1</v>
      </c>
      <c r="T24" s="101">
        <v>0</v>
      </c>
      <c r="U24" s="101">
        <v>0</v>
      </c>
      <c r="V24" s="101">
        <v>0</v>
      </c>
      <c r="W24" s="101">
        <v>0</v>
      </c>
      <c r="X24" s="101">
        <v>1</v>
      </c>
      <c r="Y24" s="101">
        <v>0</v>
      </c>
      <c r="Z24" s="101">
        <v>0</v>
      </c>
      <c r="AA24" s="101">
        <v>0</v>
      </c>
      <c r="AB24" s="101">
        <v>0</v>
      </c>
      <c r="AC24" s="101">
        <v>0</v>
      </c>
    </row>
    <row r="25" spans="1:29" customFormat="1" x14ac:dyDescent="0.15">
      <c r="A25" s="179" t="s">
        <v>215</v>
      </c>
      <c r="B25" s="101">
        <v>0</v>
      </c>
      <c r="C25" s="101">
        <v>0</v>
      </c>
      <c r="D25" s="101">
        <v>0</v>
      </c>
      <c r="E25" s="101">
        <v>0</v>
      </c>
      <c r="F25" s="101">
        <v>0</v>
      </c>
      <c r="G25" s="101">
        <v>0</v>
      </c>
      <c r="H25" s="101">
        <v>0</v>
      </c>
      <c r="I25" s="101">
        <v>1</v>
      </c>
      <c r="J25" s="101">
        <v>1</v>
      </c>
      <c r="K25" s="101">
        <v>0</v>
      </c>
      <c r="L25" s="101">
        <v>1</v>
      </c>
      <c r="M25" s="101">
        <v>0</v>
      </c>
      <c r="N25" s="101">
        <v>1</v>
      </c>
      <c r="O25" s="101">
        <v>0</v>
      </c>
      <c r="P25" s="101">
        <v>1</v>
      </c>
      <c r="Q25" s="101">
        <v>0</v>
      </c>
      <c r="R25" s="101">
        <v>1</v>
      </c>
      <c r="S25" s="101">
        <v>1</v>
      </c>
      <c r="T25" s="101">
        <v>1</v>
      </c>
      <c r="U25" s="101">
        <v>1</v>
      </c>
      <c r="V25" s="101">
        <v>1</v>
      </c>
      <c r="W25" s="101">
        <v>1</v>
      </c>
      <c r="X25" s="101">
        <v>0</v>
      </c>
      <c r="Y25" s="101">
        <v>1</v>
      </c>
      <c r="Z25" s="101">
        <v>0</v>
      </c>
      <c r="AA25" s="101">
        <v>0</v>
      </c>
      <c r="AB25" s="101">
        <v>0</v>
      </c>
      <c r="AC25" s="101">
        <v>0</v>
      </c>
    </row>
    <row r="26" spans="1:29" customFormat="1" x14ac:dyDescent="0.15">
      <c r="A26" s="179" t="s">
        <v>216</v>
      </c>
      <c r="B26" s="101">
        <v>0</v>
      </c>
      <c r="C26" s="101">
        <v>0</v>
      </c>
      <c r="D26" s="101">
        <v>1</v>
      </c>
      <c r="E26" s="101">
        <v>0</v>
      </c>
      <c r="F26" s="101">
        <v>0</v>
      </c>
      <c r="G26" s="101">
        <v>0</v>
      </c>
      <c r="H26" s="101">
        <v>1</v>
      </c>
      <c r="I26" s="101">
        <v>1</v>
      </c>
      <c r="J26" s="101">
        <v>0</v>
      </c>
      <c r="K26" s="101">
        <v>1</v>
      </c>
      <c r="L26" s="101">
        <v>1</v>
      </c>
      <c r="M26" s="101">
        <v>1</v>
      </c>
      <c r="N26" s="101">
        <v>1</v>
      </c>
      <c r="O26" s="101">
        <v>0</v>
      </c>
      <c r="P26" s="101">
        <v>1</v>
      </c>
      <c r="Q26" s="101">
        <v>1</v>
      </c>
      <c r="R26" s="101">
        <v>1</v>
      </c>
      <c r="S26" s="101">
        <v>1</v>
      </c>
      <c r="T26" s="101">
        <v>1</v>
      </c>
      <c r="U26" s="101">
        <v>0</v>
      </c>
      <c r="V26" s="101">
        <v>0</v>
      </c>
      <c r="W26" s="101">
        <v>0</v>
      </c>
      <c r="X26" s="101">
        <v>1</v>
      </c>
      <c r="Y26" s="101">
        <v>0</v>
      </c>
      <c r="Z26" s="101">
        <v>0</v>
      </c>
      <c r="AA26" s="101">
        <v>0</v>
      </c>
      <c r="AB26" s="101">
        <v>0</v>
      </c>
      <c r="AC26" s="101">
        <v>0</v>
      </c>
    </row>
    <row r="27" spans="1:29" customFormat="1" x14ac:dyDescent="0.15">
      <c r="A27" s="179" t="s">
        <v>217</v>
      </c>
      <c r="B27" s="101">
        <v>0</v>
      </c>
      <c r="C27" s="101">
        <v>1</v>
      </c>
      <c r="D27" s="101">
        <v>0</v>
      </c>
      <c r="E27" s="101">
        <v>1</v>
      </c>
      <c r="F27" s="101">
        <v>1</v>
      </c>
      <c r="G27" s="101">
        <v>0</v>
      </c>
      <c r="H27" s="101">
        <v>1</v>
      </c>
      <c r="I27" s="101">
        <v>1</v>
      </c>
      <c r="J27" s="101">
        <v>0</v>
      </c>
      <c r="K27" s="101">
        <v>1</v>
      </c>
      <c r="L27" s="101">
        <v>0</v>
      </c>
      <c r="M27" s="101">
        <v>0</v>
      </c>
      <c r="N27" s="101">
        <v>0</v>
      </c>
      <c r="O27" s="101">
        <v>0</v>
      </c>
      <c r="P27" s="101">
        <v>0</v>
      </c>
      <c r="Q27" s="101">
        <v>0</v>
      </c>
      <c r="R27" s="101">
        <v>1</v>
      </c>
      <c r="S27" s="101">
        <v>0</v>
      </c>
      <c r="T27" s="101">
        <v>0</v>
      </c>
      <c r="U27" s="101">
        <v>1</v>
      </c>
      <c r="V27" s="101">
        <v>0</v>
      </c>
      <c r="W27" s="101">
        <v>1</v>
      </c>
      <c r="X27" s="101">
        <v>0</v>
      </c>
      <c r="Y27" s="101">
        <v>0</v>
      </c>
      <c r="Z27" s="101">
        <v>0</v>
      </c>
      <c r="AA27" s="101">
        <v>0</v>
      </c>
      <c r="AB27" s="101">
        <v>0</v>
      </c>
      <c r="AC27" s="101">
        <v>0</v>
      </c>
    </row>
    <row r="28" spans="1:29" customFormat="1" x14ac:dyDescent="0.15">
      <c r="A28" s="179" t="s">
        <v>218</v>
      </c>
      <c r="B28" s="101">
        <v>0</v>
      </c>
      <c r="C28" s="101">
        <v>0</v>
      </c>
      <c r="D28" s="101">
        <v>1</v>
      </c>
      <c r="E28" s="101">
        <v>1</v>
      </c>
      <c r="F28" s="101">
        <v>0</v>
      </c>
      <c r="G28" s="101">
        <v>0</v>
      </c>
      <c r="H28" s="101">
        <v>0</v>
      </c>
      <c r="I28" s="101">
        <v>1</v>
      </c>
      <c r="J28" s="101">
        <v>0</v>
      </c>
      <c r="K28" s="101">
        <v>1</v>
      </c>
      <c r="L28" s="101">
        <v>1</v>
      </c>
      <c r="M28" s="101">
        <v>0</v>
      </c>
      <c r="N28" s="101">
        <v>1</v>
      </c>
      <c r="O28" s="101">
        <v>1</v>
      </c>
      <c r="P28" s="101">
        <v>0</v>
      </c>
      <c r="Q28" s="101">
        <v>1</v>
      </c>
      <c r="R28" s="101">
        <v>1</v>
      </c>
      <c r="S28" s="101">
        <v>1</v>
      </c>
      <c r="T28" s="101">
        <v>1</v>
      </c>
      <c r="U28" s="101">
        <v>1</v>
      </c>
      <c r="V28" s="101">
        <v>1</v>
      </c>
      <c r="W28" s="101">
        <v>1</v>
      </c>
      <c r="X28" s="101">
        <v>1</v>
      </c>
      <c r="Y28" s="101">
        <v>1</v>
      </c>
      <c r="Z28" s="101">
        <v>0</v>
      </c>
      <c r="AA28" s="101">
        <v>0</v>
      </c>
      <c r="AB28" s="101">
        <v>0</v>
      </c>
      <c r="AC28" s="101">
        <v>0</v>
      </c>
    </row>
    <row r="29" spans="1:29" customFormat="1" x14ac:dyDescent="0.15">
      <c r="A29" s="179" t="s">
        <v>219</v>
      </c>
      <c r="B29" s="101">
        <v>0</v>
      </c>
      <c r="C29" s="101">
        <v>0</v>
      </c>
      <c r="D29" s="101">
        <v>0</v>
      </c>
      <c r="E29" s="101">
        <v>0</v>
      </c>
      <c r="F29" s="101">
        <v>0</v>
      </c>
      <c r="G29" s="101">
        <v>0</v>
      </c>
      <c r="H29" s="101">
        <v>0</v>
      </c>
      <c r="I29" s="101">
        <v>0</v>
      </c>
      <c r="J29" s="101">
        <v>0</v>
      </c>
      <c r="K29" s="101">
        <v>0</v>
      </c>
      <c r="L29" s="101">
        <v>0</v>
      </c>
      <c r="M29" s="101">
        <v>0</v>
      </c>
      <c r="N29" s="101">
        <v>0</v>
      </c>
      <c r="O29" s="101">
        <v>0</v>
      </c>
      <c r="P29" s="101">
        <v>0</v>
      </c>
      <c r="Q29" s="101">
        <v>0</v>
      </c>
      <c r="R29" s="101">
        <v>0</v>
      </c>
      <c r="S29" s="101">
        <v>0</v>
      </c>
      <c r="T29" s="101">
        <v>0</v>
      </c>
      <c r="U29" s="101">
        <v>0</v>
      </c>
      <c r="V29" s="101">
        <v>0</v>
      </c>
      <c r="W29" s="101">
        <v>0</v>
      </c>
      <c r="X29" s="101">
        <v>0</v>
      </c>
      <c r="Y29" s="101">
        <v>0</v>
      </c>
      <c r="Z29" s="101">
        <v>0</v>
      </c>
      <c r="AA29" s="101">
        <v>0</v>
      </c>
      <c r="AB29" s="101">
        <v>0</v>
      </c>
      <c r="AC29" s="101">
        <v>0</v>
      </c>
    </row>
    <row r="30" spans="1:29" customFormat="1" x14ac:dyDescent="0.15">
      <c r="A30" s="179" t="s">
        <v>222</v>
      </c>
      <c r="B30" s="101">
        <v>0</v>
      </c>
      <c r="C30" s="101">
        <v>0</v>
      </c>
      <c r="D30" s="101">
        <v>0</v>
      </c>
      <c r="E30" s="101">
        <v>0</v>
      </c>
      <c r="F30" s="101">
        <v>0</v>
      </c>
      <c r="G30" s="101">
        <v>0</v>
      </c>
      <c r="H30" s="101">
        <v>0</v>
      </c>
      <c r="I30" s="101">
        <v>0</v>
      </c>
      <c r="J30" s="101">
        <v>0</v>
      </c>
      <c r="K30" s="101">
        <v>0</v>
      </c>
      <c r="L30" s="101">
        <v>0</v>
      </c>
      <c r="M30" s="101">
        <v>0</v>
      </c>
      <c r="N30" s="101">
        <v>0</v>
      </c>
      <c r="O30" s="101">
        <v>0</v>
      </c>
      <c r="P30" s="101">
        <v>0</v>
      </c>
      <c r="Q30" s="101">
        <v>0</v>
      </c>
      <c r="R30" s="101">
        <v>0</v>
      </c>
      <c r="S30" s="101">
        <v>0</v>
      </c>
      <c r="T30" s="101">
        <v>0</v>
      </c>
      <c r="U30" s="101">
        <v>0</v>
      </c>
      <c r="V30" s="101">
        <v>0</v>
      </c>
      <c r="W30" s="101">
        <v>0</v>
      </c>
      <c r="X30" s="101">
        <v>0</v>
      </c>
      <c r="Y30" s="101">
        <v>0</v>
      </c>
      <c r="Z30" s="101">
        <v>0</v>
      </c>
      <c r="AA30" s="101">
        <v>0</v>
      </c>
      <c r="AB30" s="101">
        <v>0</v>
      </c>
      <c r="AC30" s="101">
        <v>0</v>
      </c>
    </row>
    <row r="31" spans="1:29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F185"/>
  <sheetViews>
    <sheetView workbookViewId="0">
      <selection activeCell="B7" sqref="B7"/>
    </sheetView>
  </sheetViews>
  <sheetFormatPr baseColWidth="10" defaultRowHeight="13" x14ac:dyDescent="0.15"/>
  <cols>
    <col min="1" max="1" width="3.33203125" customWidth="1"/>
    <col min="2" max="2" width="15.16406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83</v>
      </c>
      <c r="B1" s="3" t="s">
        <v>0</v>
      </c>
      <c r="C1" s="182" t="s">
        <v>220</v>
      </c>
      <c r="D1" s="182" t="s">
        <v>221</v>
      </c>
      <c r="E1" s="182" t="s">
        <v>228</v>
      </c>
      <c r="F1" s="182" t="s">
        <v>229</v>
      </c>
    </row>
    <row r="2" spans="1:6" x14ac:dyDescent="0.15">
      <c r="A2">
        <v>1</v>
      </c>
      <c r="B2" s="181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81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81" t="s">
        <v>194</v>
      </c>
      <c r="C4">
        <v>0.8</v>
      </c>
      <c r="D4">
        <v>0.8</v>
      </c>
      <c r="E4">
        <v>0</v>
      </c>
      <c r="F4">
        <v>0</v>
      </c>
    </row>
    <row r="5" spans="1:6" x14ac:dyDescent="0.15">
      <c r="A5">
        <v>4</v>
      </c>
      <c r="B5" s="181" t="s">
        <v>195</v>
      </c>
      <c r="C5">
        <v>0.8</v>
      </c>
      <c r="D5">
        <v>0.8</v>
      </c>
      <c r="E5">
        <v>0</v>
      </c>
      <c r="F5">
        <v>0</v>
      </c>
    </row>
    <row r="6" spans="1:6" x14ac:dyDescent="0.15">
      <c r="A6">
        <v>5</v>
      </c>
      <c r="B6" s="181" t="s">
        <v>196</v>
      </c>
      <c r="C6">
        <v>0.8</v>
      </c>
      <c r="D6">
        <v>0.8</v>
      </c>
      <c r="E6">
        <v>0</v>
      </c>
      <c r="F6">
        <v>0</v>
      </c>
    </row>
    <row r="7" spans="1:6" x14ac:dyDescent="0.15">
      <c r="A7">
        <v>6</v>
      </c>
      <c r="B7" s="181" t="s">
        <v>197</v>
      </c>
      <c r="C7">
        <v>0</v>
      </c>
      <c r="D7">
        <v>0</v>
      </c>
      <c r="E7">
        <v>0</v>
      </c>
      <c r="F7">
        <v>0.8</v>
      </c>
    </row>
    <row r="8" spans="1:6" x14ac:dyDescent="0.15">
      <c r="A8">
        <v>7</v>
      </c>
      <c r="B8" s="181" t="s">
        <v>198</v>
      </c>
      <c r="C8">
        <v>0.8</v>
      </c>
      <c r="D8">
        <v>0.8</v>
      </c>
      <c r="E8">
        <v>0</v>
      </c>
      <c r="F8">
        <v>0</v>
      </c>
    </row>
    <row r="9" spans="1:6" x14ac:dyDescent="0.15">
      <c r="A9">
        <v>8</v>
      </c>
      <c r="B9" s="181" t="s">
        <v>199</v>
      </c>
      <c r="C9">
        <v>0.8</v>
      </c>
      <c r="D9">
        <v>0.8</v>
      </c>
      <c r="E9">
        <v>0</v>
      </c>
      <c r="F9">
        <v>0</v>
      </c>
    </row>
    <row r="10" spans="1:6" x14ac:dyDescent="0.15">
      <c r="A10">
        <v>9</v>
      </c>
      <c r="B10" s="181" t="s">
        <v>200</v>
      </c>
      <c r="C10">
        <v>0</v>
      </c>
      <c r="D10">
        <v>0.8</v>
      </c>
      <c r="E10">
        <v>0</v>
      </c>
      <c r="F10">
        <v>0</v>
      </c>
    </row>
    <row r="11" spans="1:6" x14ac:dyDescent="0.15">
      <c r="A11">
        <v>10</v>
      </c>
      <c r="B11" s="181" t="s">
        <v>201</v>
      </c>
      <c r="C11">
        <v>0.8</v>
      </c>
      <c r="D11">
        <v>0.8</v>
      </c>
      <c r="E11">
        <v>0</v>
      </c>
      <c r="F11">
        <v>0</v>
      </c>
    </row>
    <row r="12" spans="1:6" x14ac:dyDescent="0.15">
      <c r="A12">
        <v>11</v>
      </c>
      <c r="B12" s="181" t="s">
        <v>202</v>
      </c>
      <c r="C12">
        <v>0.8</v>
      </c>
      <c r="D12">
        <v>0.8</v>
      </c>
      <c r="E12">
        <v>0</v>
      </c>
      <c r="F12">
        <v>0</v>
      </c>
    </row>
    <row r="13" spans="1:6" x14ac:dyDescent="0.15">
      <c r="A13">
        <v>12</v>
      </c>
      <c r="B13" s="181" t="s">
        <v>203</v>
      </c>
      <c r="C13">
        <v>0</v>
      </c>
      <c r="D13">
        <v>0.8</v>
      </c>
      <c r="E13">
        <v>0.8</v>
      </c>
      <c r="F13">
        <v>0</v>
      </c>
    </row>
    <row r="14" spans="1:6" x14ac:dyDescent="0.15">
      <c r="A14">
        <v>13</v>
      </c>
      <c r="B14" s="181" t="s">
        <v>204</v>
      </c>
      <c r="C14">
        <v>0.8</v>
      </c>
      <c r="D14">
        <v>0.8</v>
      </c>
      <c r="E14">
        <v>0</v>
      </c>
      <c r="F14">
        <v>0</v>
      </c>
    </row>
    <row r="15" spans="1:6" x14ac:dyDescent="0.15">
      <c r="A15">
        <v>14</v>
      </c>
      <c r="B15" s="181" t="s">
        <v>205</v>
      </c>
      <c r="C15">
        <v>0.8</v>
      </c>
      <c r="D15">
        <v>0.8</v>
      </c>
      <c r="E15">
        <v>0</v>
      </c>
      <c r="F15">
        <v>0</v>
      </c>
    </row>
    <row r="16" spans="1:6" x14ac:dyDescent="0.15">
      <c r="A16">
        <v>15</v>
      </c>
      <c r="B16" s="181" t="s">
        <v>206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81" t="s">
        <v>207</v>
      </c>
      <c r="C17">
        <v>0</v>
      </c>
      <c r="D17">
        <v>0.8</v>
      </c>
      <c r="E17">
        <v>0</v>
      </c>
      <c r="F17">
        <v>0</v>
      </c>
    </row>
    <row r="18" spans="1:6" x14ac:dyDescent="0.15">
      <c r="A18">
        <v>17</v>
      </c>
      <c r="B18" s="181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81" t="s">
        <v>209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81" t="s">
        <v>210</v>
      </c>
      <c r="C20">
        <v>0</v>
      </c>
      <c r="D20">
        <v>0.8</v>
      </c>
      <c r="E20">
        <v>0</v>
      </c>
      <c r="F20">
        <v>0</v>
      </c>
    </row>
    <row r="21" spans="1:6" x14ac:dyDescent="0.15">
      <c r="A21">
        <v>20</v>
      </c>
      <c r="B21" s="181" t="s">
        <v>211</v>
      </c>
      <c r="C21">
        <v>0.8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81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81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81" t="s">
        <v>214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81" t="s">
        <v>215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81" t="s">
        <v>216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81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81" t="s">
        <v>218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81" t="s">
        <v>219</v>
      </c>
      <c r="C29">
        <v>0</v>
      </c>
      <c r="D29">
        <v>0</v>
      </c>
      <c r="E29">
        <v>0</v>
      </c>
      <c r="F2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F29"/>
  <sheetViews>
    <sheetView workbookViewId="0">
      <selection activeCell="B7" sqref="B7"/>
    </sheetView>
  </sheetViews>
  <sheetFormatPr baseColWidth="10" defaultRowHeight="13" x14ac:dyDescent="0.15"/>
  <cols>
    <col min="1" max="1" width="3.33203125" customWidth="1"/>
    <col min="2" max="2" width="15.16406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82</v>
      </c>
      <c r="B1" s="3" t="s">
        <v>0</v>
      </c>
      <c r="C1" s="184" t="s">
        <v>220</v>
      </c>
      <c r="D1" s="184" t="s">
        <v>221</v>
      </c>
      <c r="E1" s="184" t="s">
        <v>228</v>
      </c>
      <c r="F1" s="184" t="s">
        <v>229</v>
      </c>
    </row>
    <row r="2" spans="1:6" x14ac:dyDescent="0.15">
      <c r="A2">
        <v>1</v>
      </c>
      <c r="B2" s="183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83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83" t="s">
        <v>194</v>
      </c>
      <c r="C4">
        <v>0.8</v>
      </c>
      <c r="D4">
        <v>0.8</v>
      </c>
      <c r="E4">
        <v>0</v>
      </c>
      <c r="F4">
        <v>0</v>
      </c>
    </row>
    <row r="5" spans="1:6" x14ac:dyDescent="0.15">
      <c r="A5">
        <v>4</v>
      </c>
      <c r="B5" s="183" t="s">
        <v>195</v>
      </c>
      <c r="C5">
        <v>0.8</v>
      </c>
      <c r="D5">
        <v>0.8</v>
      </c>
      <c r="E5">
        <v>0</v>
      </c>
      <c r="F5">
        <v>0</v>
      </c>
    </row>
    <row r="6" spans="1:6" x14ac:dyDescent="0.15">
      <c r="A6">
        <v>5</v>
      </c>
      <c r="B6" s="183" t="s">
        <v>196</v>
      </c>
      <c r="C6">
        <v>0.8</v>
      </c>
      <c r="D6">
        <v>0.8</v>
      </c>
      <c r="E6">
        <v>0</v>
      </c>
      <c r="F6">
        <v>0</v>
      </c>
    </row>
    <row r="7" spans="1:6" x14ac:dyDescent="0.15">
      <c r="A7">
        <v>6</v>
      </c>
      <c r="B7" s="183" t="s">
        <v>197</v>
      </c>
      <c r="C7">
        <v>0</v>
      </c>
      <c r="D7">
        <v>0</v>
      </c>
      <c r="E7">
        <v>0</v>
      </c>
      <c r="F7">
        <v>0.8</v>
      </c>
    </row>
    <row r="8" spans="1:6" x14ac:dyDescent="0.15">
      <c r="A8">
        <v>7</v>
      </c>
      <c r="B8" s="183" t="s">
        <v>198</v>
      </c>
      <c r="C8">
        <v>0.8</v>
      </c>
      <c r="D8">
        <v>0.8</v>
      </c>
      <c r="E8">
        <v>0</v>
      </c>
      <c r="F8">
        <v>0</v>
      </c>
    </row>
    <row r="9" spans="1:6" x14ac:dyDescent="0.15">
      <c r="A9">
        <v>8</v>
      </c>
      <c r="B9" s="183" t="s">
        <v>199</v>
      </c>
      <c r="C9">
        <v>0.8</v>
      </c>
      <c r="D9">
        <v>0.8</v>
      </c>
      <c r="E9">
        <v>0</v>
      </c>
      <c r="F9">
        <v>0</v>
      </c>
    </row>
    <row r="10" spans="1:6" x14ac:dyDescent="0.15">
      <c r="A10">
        <v>9</v>
      </c>
      <c r="B10" s="183" t="s">
        <v>200</v>
      </c>
      <c r="C10">
        <v>0</v>
      </c>
      <c r="D10">
        <v>0.8</v>
      </c>
      <c r="E10">
        <v>0</v>
      </c>
      <c r="F10">
        <v>0</v>
      </c>
    </row>
    <row r="11" spans="1:6" x14ac:dyDescent="0.15">
      <c r="A11">
        <v>10</v>
      </c>
      <c r="B11" s="183" t="s">
        <v>201</v>
      </c>
      <c r="C11">
        <v>0.8</v>
      </c>
      <c r="D11">
        <v>0.8</v>
      </c>
      <c r="E11">
        <v>0</v>
      </c>
      <c r="F11">
        <v>0</v>
      </c>
    </row>
    <row r="12" spans="1:6" x14ac:dyDescent="0.15">
      <c r="A12">
        <v>11</v>
      </c>
      <c r="B12" s="183" t="s">
        <v>202</v>
      </c>
      <c r="C12">
        <v>0.8</v>
      </c>
      <c r="D12">
        <v>0.8</v>
      </c>
      <c r="E12">
        <v>0</v>
      </c>
      <c r="F12">
        <v>0</v>
      </c>
    </row>
    <row r="13" spans="1:6" x14ac:dyDescent="0.15">
      <c r="A13">
        <v>12</v>
      </c>
      <c r="B13" s="183" t="s">
        <v>203</v>
      </c>
      <c r="C13">
        <v>0</v>
      </c>
      <c r="D13">
        <v>0.8</v>
      </c>
      <c r="E13">
        <v>0.8</v>
      </c>
      <c r="F13">
        <v>0</v>
      </c>
    </row>
    <row r="14" spans="1:6" x14ac:dyDescent="0.15">
      <c r="A14">
        <v>13</v>
      </c>
      <c r="B14" s="183" t="s">
        <v>204</v>
      </c>
      <c r="C14">
        <v>0.8</v>
      </c>
      <c r="D14">
        <v>0.8</v>
      </c>
      <c r="E14">
        <v>0</v>
      </c>
      <c r="F14">
        <v>0</v>
      </c>
    </row>
    <row r="15" spans="1:6" x14ac:dyDescent="0.15">
      <c r="A15">
        <v>14</v>
      </c>
      <c r="B15" s="183" t="s">
        <v>205</v>
      </c>
      <c r="C15">
        <v>0.8</v>
      </c>
      <c r="D15">
        <v>0.8</v>
      </c>
      <c r="E15">
        <v>0</v>
      </c>
      <c r="F15">
        <v>0</v>
      </c>
    </row>
    <row r="16" spans="1:6" x14ac:dyDescent="0.15">
      <c r="A16">
        <v>15</v>
      </c>
      <c r="B16" s="183" t="s">
        <v>206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83" t="s">
        <v>207</v>
      </c>
      <c r="C17">
        <v>0</v>
      </c>
      <c r="D17">
        <v>0.8</v>
      </c>
      <c r="E17">
        <v>0</v>
      </c>
      <c r="F17">
        <v>0</v>
      </c>
    </row>
    <row r="18" spans="1:6" x14ac:dyDescent="0.15">
      <c r="A18">
        <v>17</v>
      </c>
      <c r="B18" s="183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83" t="s">
        <v>209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83" t="s">
        <v>210</v>
      </c>
      <c r="C20">
        <v>0</v>
      </c>
      <c r="D20">
        <v>0.8</v>
      </c>
      <c r="E20">
        <v>0</v>
      </c>
      <c r="F20">
        <v>0</v>
      </c>
    </row>
    <row r="21" spans="1:6" x14ac:dyDescent="0.15">
      <c r="A21">
        <v>20</v>
      </c>
      <c r="B21" s="183" t="s">
        <v>211</v>
      </c>
      <c r="C21">
        <v>0.8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83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83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83" t="s">
        <v>214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83" t="s">
        <v>215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83" t="s">
        <v>216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83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83" t="s">
        <v>218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83" t="s">
        <v>219</v>
      </c>
      <c r="C29">
        <v>0</v>
      </c>
      <c r="D29">
        <v>0</v>
      </c>
      <c r="E29">
        <v>0</v>
      </c>
      <c r="F2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E2" activePane="bottomRight" state="frozen"/>
      <selection pane="topRight" activeCell="C1" sqref="C1"/>
      <selection pane="bottomLeft" activeCell="A3" sqref="A3"/>
      <selection pane="bottomRight" activeCell="B7" sqref="B7"/>
    </sheetView>
  </sheetViews>
  <sheetFormatPr baseColWidth="10" defaultColWidth="8.83203125" defaultRowHeight="15" customHeight="1" x14ac:dyDescent="0.15"/>
  <cols>
    <col min="1" max="1" width="8.83203125" style="73"/>
    <col min="2" max="2" width="41.83203125" style="73" bestFit="1" customWidth="1"/>
    <col min="3" max="3" width="9.33203125" style="73" bestFit="1" customWidth="1"/>
    <col min="4" max="4" width="13" style="73" bestFit="1" customWidth="1"/>
    <col min="5" max="6" width="9.33203125" style="73" bestFit="1" customWidth="1"/>
    <col min="7" max="7" width="9.33203125" style="89" bestFit="1" customWidth="1"/>
    <col min="8" max="8" width="9.33203125" style="73" bestFit="1" customWidth="1"/>
    <col min="9" max="9" width="11" style="73" customWidth="1"/>
    <col min="10" max="10" width="8.83203125" style="73"/>
    <col min="15" max="16384" width="8.83203125" style="7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136">
        <v>1</v>
      </c>
      <c r="B2" s="136" t="s">
        <v>192</v>
      </c>
      <c r="C2" s="8">
        <v>4.0018219947814941</v>
      </c>
      <c r="D2" s="9">
        <v>1.4999999664723873E-2</v>
      </c>
      <c r="E2" s="9">
        <v>2.1649999618530273</v>
      </c>
      <c r="F2" s="9">
        <v>29.304000854492188</v>
      </c>
      <c r="G2" s="7">
        <v>0</v>
      </c>
      <c r="H2" s="9">
        <v>7.3880694806575775E-2</v>
      </c>
      <c r="I2">
        <v>0</v>
      </c>
      <c r="J2"/>
    </row>
    <row r="3" spans="1:10" ht="15" customHeight="1" x14ac:dyDescent="0.15">
      <c r="A3" s="137">
        <v>2</v>
      </c>
      <c r="B3" s="137" t="s">
        <v>193</v>
      </c>
      <c r="C3" s="8">
        <v>3.8508396148681641</v>
      </c>
      <c r="D3" s="9">
        <v>1.3000000268220901E-2</v>
      </c>
      <c r="E3" s="9">
        <v>0.39100000262260437</v>
      </c>
      <c r="F3" s="9">
        <v>89.031997680664062</v>
      </c>
      <c r="G3" s="7">
        <v>0</v>
      </c>
      <c r="H3" s="9">
        <v>4.3916795402765274E-3</v>
      </c>
      <c r="I3">
        <v>0</v>
      </c>
      <c r="J3"/>
    </row>
    <row r="4" spans="1:10" ht="15" customHeight="1" x14ac:dyDescent="0.15">
      <c r="A4" s="138">
        <v>3</v>
      </c>
      <c r="B4" s="138" t="s">
        <v>194</v>
      </c>
      <c r="C4" s="8">
        <v>3.4748685359954834</v>
      </c>
      <c r="D4" s="9">
        <v>0.30877536535263062</v>
      </c>
      <c r="E4" s="9">
        <v>0.79100000858306885</v>
      </c>
      <c r="F4" s="9">
        <v>4.4169998168945312</v>
      </c>
      <c r="G4" s="9">
        <v>0.94099998474121094</v>
      </c>
      <c r="H4" s="9">
        <v>0.17908082902431488</v>
      </c>
      <c r="I4">
        <v>5.7199999690055847E-2</v>
      </c>
      <c r="J4"/>
    </row>
    <row r="5" spans="1:10" ht="15" customHeight="1" x14ac:dyDescent="0.15">
      <c r="A5" s="139">
        <v>4</v>
      </c>
      <c r="B5" s="139" t="s">
        <v>195</v>
      </c>
      <c r="C5" s="8">
        <v>3.6667416095733643</v>
      </c>
      <c r="D5" s="9">
        <v>0.2952854335308075</v>
      </c>
      <c r="E5" s="9">
        <v>0.86400002241134644</v>
      </c>
      <c r="F5" s="9">
        <v>7.2649998664855957</v>
      </c>
      <c r="G5" s="9">
        <v>0.95999997854232788</v>
      </c>
      <c r="H5" s="9">
        <v>0.11892636120319366</v>
      </c>
      <c r="I5">
        <v>9.2600002884864807E-2</v>
      </c>
      <c r="J5"/>
    </row>
    <row r="6" spans="1:10" ht="15" customHeight="1" x14ac:dyDescent="0.15">
      <c r="A6" s="140">
        <v>5</v>
      </c>
      <c r="B6" s="140" t="s">
        <v>196</v>
      </c>
      <c r="C6" s="8">
        <v>3.900728702545166</v>
      </c>
      <c r="D6" s="9">
        <v>0.17852969467639923</v>
      </c>
      <c r="E6" s="9">
        <v>0.46500000357627869</v>
      </c>
      <c r="F6" s="9">
        <v>9.4799995422363281</v>
      </c>
      <c r="G6" s="9">
        <v>0.73600000143051147</v>
      </c>
      <c r="H6" s="9">
        <v>4.905063658952713E-2</v>
      </c>
      <c r="I6">
        <v>6.1100002378225327E-2</v>
      </c>
      <c r="J6"/>
    </row>
    <row r="7" spans="1:10" ht="15" customHeight="1" x14ac:dyDescent="0.15">
      <c r="A7" s="141">
        <v>6</v>
      </c>
      <c r="B7" s="141" t="s">
        <v>197</v>
      </c>
      <c r="C7" s="8">
        <v>3.7021048069000244</v>
      </c>
      <c r="D7" s="9">
        <v>1.1398553848266602</v>
      </c>
      <c r="E7" s="9">
        <v>3.1630001068115234</v>
      </c>
      <c r="F7" s="9">
        <v>19.264999389648438</v>
      </c>
      <c r="G7" s="9">
        <v>0.82499998807907104</v>
      </c>
      <c r="H7" s="9">
        <v>0.16418376564979553</v>
      </c>
      <c r="I7">
        <v>0.36700001358985901</v>
      </c>
      <c r="J7"/>
    </row>
    <row r="8" spans="1:10" ht="15" customHeight="1" x14ac:dyDescent="0.15">
      <c r="A8" s="142">
        <v>7</v>
      </c>
      <c r="B8" s="142" t="s">
        <v>198</v>
      </c>
      <c r="C8" s="8">
        <v>3.5198092460632324</v>
      </c>
      <c r="D8" s="9">
        <v>0.92070150375366211</v>
      </c>
      <c r="E8" s="9">
        <v>0.63499999046325684</v>
      </c>
      <c r="F8" s="9">
        <v>3.2039999961853027</v>
      </c>
      <c r="G8" s="9">
        <v>0.96700006723403931</v>
      </c>
      <c r="H8" s="9">
        <v>0.19818976521492004</v>
      </c>
      <c r="I8">
        <v>1.9000000320374966E-3</v>
      </c>
      <c r="J8"/>
    </row>
    <row r="9" spans="1:10" ht="15" customHeight="1" x14ac:dyDescent="0.15">
      <c r="A9" s="143">
        <v>8</v>
      </c>
      <c r="B9" s="143" t="s">
        <v>199</v>
      </c>
      <c r="C9" s="8">
        <v>3.4448518753051758</v>
      </c>
      <c r="D9" s="9">
        <v>0.32699999213218689</v>
      </c>
      <c r="E9" s="9">
        <v>1.3229999542236328</v>
      </c>
      <c r="F9" s="9">
        <v>6.4439997673034668</v>
      </c>
      <c r="G9" s="9">
        <v>0.90210646390914917</v>
      </c>
      <c r="H9" s="9">
        <v>0.2053072601556778</v>
      </c>
      <c r="I9">
        <v>0.3596000075340271</v>
      </c>
      <c r="J9"/>
    </row>
    <row r="10" spans="1:10" ht="15" customHeight="1" x14ac:dyDescent="0.15">
      <c r="A10" s="144">
        <v>9</v>
      </c>
      <c r="B10" s="144" t="s">
        <v>200</v>
      </c>
      <c r="C10" s="8">
        <v>3.33331298828125</v>
      </c>
      <c r="D10" s="9">
        <v>0.1120000034570694</v>
      </c>
      <c r="E10" s="9">
        <v>0.82099997997283936</v>
      </c>
      <c r="F10" s="9">
        <v>3.8829998970031738</v>
      </c>
      <c r="G10" s="9">
        <v>0.79143232107162476</v>
      </c>
      <c r="H10" s="9">
        <v>0.21143445372581482</v>
      </c>
      <c r="I10">
        <v>6.210000067949295E-2</v>
      </c>
      <c r="J10"/>
    </row>
    <row r="11" spans="1:10" ht="15" customHeight="1" x14ac:dyDescent="0.15">
      <c r="A11" s="145">
        <v>10</v>
      </c>
      <c r="B11" s="145" t="s">
        <v>201</v>
      </c>
      <c r="C11" s="8">
        <v>3.1911430358886719</v>
      </c>
      <c r="D11" s="9">
        <v>2.2053024768829346</v>
      </c>
      <c r="E11" s="9">
        <v>1.5279999971389771</v>
      </c>
      <c r="F11" s="9">
        <v>7.9539999961853027</v>
      </c>
      <c r="G11" s="9">
        <v>0.93300002813339233</v>
      </c>
      <c r="H11" s="9">
        <v>0.19210460782051086</v>
      </c>
      <c r="I11">
        <v>0.1080000028014183</v>
      </c>
      <c r="J11"/>
    </row>
    <row r="12" spans="1:10" ht="15" customHeight="1" x14ac:dyDescent="0.15">
      <c r="A12" s="146">
        <v>11</v>
      </c>
      <c r="B12" s="146" t="s">
        <v>202</v>
      </c>
      <c r="C12" s="8">
        <v>3.2494361400604248</v>
      </c>
      <c r="D12" s="9">
        <v>0.33700001239776611</v>
      </c>
      <c r="E12" s="9">
        <v>1.4739999771118164</v>
      </c>
      <c r="F12" s="9">
        <v>8.5670003890991211</v>
      </c>
      <c r="G12" s="9">
        <v>0.49699121713638306</v>
      </c>
      <c r="H12" s="9">
        <v>0.17205555737018585</v>
      </c>
      <c r="I12">
        <v>0.19650000333786011</v>
      </c>
      <c r="J12"/>
    </row>
    <row r="13" spans="1:10" ht="15" customHeight="1" x14ac:dyDescent="0.15">
      <c r="A13" s="147">
        <v>12</v>
      </c>
      <c r="B13" s="147" t="s">
        <v>203</v>
      </c>
      <c r="C13" s="8">
        <v>3.0190250873565674</v>
      </c>
      <c r="D13" s="9">
        <v>10.668581008911133</v>
      </c>
      <c r="E13" s="9">
        <v>3.3090000152587891</v>
      </c>
      <c r="F13" s="9">
        <v>10.555999755859375</v>
      </c>
      <c r="G13" s="9">
        <v>0.93999993801116943</v>
      </c>
      <c r="H13" s="9">
        <v>0.31347101926803589</v>
      </c>
      <c r="I13">
        <v>14.505399703979492</v>
      </c>
      <c r="J13"/>
    </row>
    <row r="14" spans="1:10" ht="15" customHeight="1" x14ac:dyDescent="0.15">
      <c r="A14" s="148">
        <v>13</v>
      </c>
      <c r="B14" s="148" t="s">
        <v>204</v>
      </c>
      <c r="C14" s="8">
        <v>2.9100794792175293</v>
      </c>
      <c r="D14" s="9">
        <v>0.17416104674339294</v>
      </c>
      <c r="E14" s="9">
        <v>0.60100001096725464</v>
      </c>
      <c r="F14" s="9">
        <v>5.0879998207092285</v>
      </c>
      <c r="G14" s="9">
        <v>0.94899988174438477</v>
      </c>
      <c r="H14" s="9">
        <v>0.11812107264995575</v>
      </c>
      <c r="I14">
        <v>8.1000002101063728E-3</v>
      </c>
      <c r="J14"/>
    </row>
    <row r="15" spans="1:10" ht="15" customHeight="1" x14ac:dyDescent="0.15">
      <c r="A15" s="149">
        <v>14</v>
      </c>
      <c r="B15" s="149" t="s">
        <v>205</v>
      </c>
      <c r="C15" s="8">
        <v>2.701467752456665</v>
      </c>
      <c r="D15" s="9">
        <v>0.54339122772216797</v>
      </c>
      <c r="E15" s="9">
        <v>0.58399999141693115</v>
      </c>
      <c r="F15" s="9">
        <v>2.9869999885559082</v>
      </c>
      <c r="G15" s="9">
        <v>0.9649999737739563</v>
      </c>
      <c r="H15" s="9">
        <v>0.19551388919353485</v>
      </c>
      <c r="I15">
        <v>0.2515999972820282</v>
      </c>
      <c r="J15"/>
    </row>
    <row r="16" spans="1:10" ht="15" customHeight="1" x14ac:dyDescent="0.15">
      <c r="A16" s="150">
        <v>15</v>
      </c>
      <c r="B16" s="150" t="s">
        <v>206</v>
      </c>
      <c r="C16" s="8">
        <v>2.8441920280456543</v>
      </c>
      <c r="D16" s="9">
        <v>0.68599998950958252</v>
      </c>
      <c r="E16" s="9">
        <v>2.0179998874664307</v>
      </c>
      <c r="F16" s="9">
        <v>8.7519998550415039</v>
      </c>
      <c r="G16" s="9">
        <v>0.98413634300231934</v>
      </c>
      <c r="H16" s="9">
        <v>0.23057585954666138</v>
      </c>
      <c r="I16">
        <v>0</v>
      </c>
      <c r="J16"/>
    </row>
    <row r="17" spans="1:10" ht="15" customHeight="1" x14ac:dyDescent="0.15">
      <c r="A17" s="151">
        <v>16</v>
      </c>
      <c r="B17" s="151" t="s">
        <v>207</v>
      </c>
      <c r="C17" s="8">
        <v>2.739922046661377</v>
      </c>
      <c r="D17" s="9">
        <v>0.86488312482833862</v>
      </c>
      <c r="E17" s="9">
        <v>1.4559999704360962</v>
      </c>
      <c r="F17" s="9">
        <v>7.9369997978210449</v>
      </c>
      <c r="G17" s="9">
        <v>0.80299997329711914</v>
      </c>
      <c r="H17" s="9">
        <v>0.18344463407993317</v>
      </c>
      <c r="I17">
        <v>9.9999997473787516E-5</v>
      </c>
      <c r="J17"/>
    </row>
    <row r="18" spans="1:10" ht="15" customHeight="1" x14ac:dyDescent="0.15">
      <c r="A18" s="152">
        <v>17</v>
      </c>
      <c r="B18" s="152" t="s">
        <v>208</v>
      </c>
      <c r="C18" s="8">
        <v>2.7708094120025635</v>
      </c>
      <c r="D18" s="9">
        <v>0.49273374676704407</v>
      </c>
      <c r="E18" s="9">
        <v>2.3369998931884766</v>
      </c>
      <c r="F18" s="9">
        <v>7.9380002021789551</v>
      </c>
      <c r="G18" s="9">
        <v>0.95799994468688965</v>
      </c>
      <c r="H18" s="9">
        <v>0.29440662264823914</v>
      </c>
      <c r="I18">
        <v>0</v>
      </c>
      <c r="J18"/>
    </row>
    <row r="19" spans="1:10" ht="15" customHeight="1" x14ac:dyDescent="0.15">
      <c r="A19" s="153">
        <v>18</v>
      </c>
      <c r="B19" s="153" t="s">
        <v>209</v>
      </c>
      <c r="C19" s="8">
        <v>2.4594659805297852</v>
      </c>
      <c r="D19" s="9">
        <v>5.9000000357627869E-2</v>
      </c>
      <c r="E19" s="9">
        <v>6.7340002059936523</v>
      </c>
      <c r="F19" s="9">
        <v>24.547000885009766</v>
      </c>
      <c r="G19" s="9">
        <v>0.26411029696464539</v>
      </c>
      <c r="H19" s="9">
        <v>0.27433088421821594</v>
      </c>
      <c r="I19">
        <v>0</v>
      </c>
      <c r="J19"/>
    </row>
    <row r="20" spans="1:10" ht="15" customHeight="1" x14ac:dyDescent="0.15">
      <c r="A20" s="154">
        <v>19</v>
      </c>
      <c r="B20" s="154" t="s">
        <v>210</v>
      </c>
      <c r="C20" s="8">
        <v>2.3235909938812256</v>
      </c>
      <c r="D20" s="9">
        <v>0.50201785564422607</v>
      </c>
      <c r="E20" s="9">
        <v>5.875</v>
      </c>
      <c r="F20" s="9">
        <v>20.139999389648438</v>
      </c>
      <c r="G20" s="9">
        <v>0.92000007629394531</v>
      </c>
      <c r="H20" s="9">
        <v>0.29170805215835571</v>
      </c>
      <c r="I20">
        <v>1.4320000410079956</v>
      </c>
      <c r="J20"/>
    </row>
    <row r="21" spans="1:10" ht="15" customHeight="1" x14ac:dyDescent="0.15">
      <c r="A21" s="155">
        <v>20</v>
      </c>
      <c r="B21" s="155" t="s">
        <v>211</v>
      </c>
      <c r="C21" s="8">
        <v>2.3653545379638672</v>
      </c>
      <c r="D21" s="9">
        <v>0.35326647758483887</v>
      </c>
      <c r="E21" s="9">
        <v>2.6380000114440918</v>
      </c>
      <c r="F21" s="9">
        <v>9.0719995498657227</v>
      </c>
      <c r="G21" s="9">
        <v>0.96399998664855957</v>
      </c>
      <c r="H21" s="9">
        <v>0.29078483581542969</v>
      </c>
      <c r="I21">
        <v>0.20299999415874481</v>
      </c>
      <c r="J21"/>
    </row>
    <row r="22" spans="1:10" ht="15" customHeight="1" x14ac:dyDescent="0.15">
      <c r="A22" s="156">
        <v>21</v>
      </c>
      <c r="B22" s="156" t="s">
        <v>212</v>
      </c>
      <c r="C22" s="8">
        <v>2.2599163055419922</v>
      </c>
      <c r="D22" s="9">
        <v>0.62011271715164185</v>
      </c>
      <c r="E22" s="9">
        <v>4.2829999923706055</v>
      </c>
      <c r="F22" s="9">
        <v>20.611000061035156</v>
      </c>
      <c r="G22" s="9">
        <v>0.950999915599823</v>
      </c>
      <c r="H22" s="9">
        <v>0.20780165493488312</v>
      </c>
      <c r="I22">
        <v>0</v>
      </c>
      <c r="J22"/>
    </row>
    <row r="23" spans="1:10" ht="15" customHeight="1" x14ac:dyDescent="0.15">
      <c r="A23" s="157">
        <v>22</v>
      </c>
      <c r="B23" s="157" t="s">
        <v>213</v>
      </c>
      <c r="C23" s="8">
        <v>2.2085597515106201</v>
      </c>
      <c r="D23" s="9">
        <v>1.8715992569923401E-2</v>
      </c>
      <c r="E23" s="9">
        <v>2.1679999828338623</v>
      </c>
      <c r="F23" s="9">
        <v>8.7469997406005859</v>
      </c>
      <c r="G23" s="9">
        <v>0.94400012493133545</v>
      </c>
      <c r="H23" s="9">
        <v>0.24785640835762024</v>
      </c>
      <c r="I23">
        <v>0</v>
      </c>
      <c r="J23"/>
    </row>
    <row r="24" spans="1:10" ht="15" customHeight="1" x14ac:dyDescent="0.15">
      <c r="A24" s="158">
        <v>23</v>
      </c>
      <c r="B24" s="158" t="s">
        <v>214</v>
      </c>
      <c r="C24" s="8">
        <v>2.1890606880187988</v>
      </c>
      <c r="D24" s="9">
        <v>20.174999237060547</v>
      </c>
      <c r="E24" s="9">
        <v>24.458000183105469</v>
      </c>
      <c r="F24" s="9">
        <v>97.704002380371094</v>
      </c>
      <c r="G24" s="9">
        <v>0.88060230016708374</v>
      </c>
      <c r="H24" s="9">
        <v>0.25032752752304077</v>
      </c>
      <c r="I24">
        <v>0</v>
      </c>
      <c r="J24"/>
    </row>
    <row r="25" spans="1:10" ht="15" customHeight="1" x14ac:dyDescent="0.15">
      <c r="A25" s="159">
        <v>24</v>
      </c>
      <c r="B25" s="159" t="s">
        <v>215</v>
      </c>
      <c r="C25" s="8">
        <v>2.0438413619995117</v>
      </c>
      <c r="D25" s="9">
        <v>1.6480460166931152</v>
      </c>
      <c r="E25" s="9">
        <v>8.444000244140625</v>
      </c>
      <c r="F25" s="9">
        <v>52.928001403808594</v>
      </c>
      <c r="G25" s="9">
        <v>0.93399989604949951</v>
      </c>
      <c r="H25" s="9">
        <v>0.15953747928142548</v>
      </c>
      <c r="I25">
        <v>0</v>
      </c>
      <c r="J25"/>
    </row>
    <row r="26" spans="1:10" ht="15" customHeight="1" x14ac:dyDescent="0.15">
      <c r="A26" s="160">
        <v>25</v>
      </c>
      <c r="B26" s="160" t="s">
        <v>216</v>
      </c>
      <c r="C26" s="8">
        <v>1</v>
      </c>
      <c r="D26" s="9">
        <v>26.140132904052734</v>
      </c>
      <c r="E26" s="9">
        <v>66.396003723144531</v>
      </c>
      <c r="F26" s="10"/>
      <c r="G26" s="9">
        <v>0.89999991655349731</v>
      </c>
      <c r="H26" s="10"/>
      <c r="I26">
        <v>0</v>
      </c>
      <c r="J26"/>
    </row>
    <row r="27" spans="1:10" ht="15" customHeight="1" x14ac:dyDescent="0.15">
      <c r="A27" s="161">
        <v>26</v>
      </c>
      <c r="B27" s="161" t="s">
        <v>217</v>
      </c>
      <c r="C27" s="8">
        <v>1</v>
      </c>
      <c r="D27" s="9">
        <v>0.6470000147819519</v>
      </c>
      <c r="E27" s="10"/>
      <c r="F27" s="10"/>
      <c r="G27" s="7">
        <v>0.69766861200332642</v>
      </c>
      <c r="H27" s="10"/>
      <c r="I27">
        <v>0</v>
      </c>
      <c r="J27"/>
    </row>
    <row r="28" spans="1:10" ht="15" customHeight="1" x14ac:dyDescent="0.15">
      <c r="A28" s="162">
        <v>27</v>
      </c>
      <c r="B28" s="162" t="s">
        <v>218</v>
      </c>
      <c r="C28" s="8">
        <v>1</v>
      </c>
      <c r="D28" s="9">
        <v>2</v>
      </c>
      <c r="E28" s="10"/>
      <c r="F28" s="10"/>
      <c r="G28" s="9">
        <v>0.33080306649208069</v>
      </c>
      <c r="H28" s="10"/>
      <c r="I28">
        <v>0</v>
      </c>
      <c r="J28"/>
    </row>
    <row r="29" spans="1:10" ht="15" customHeight="1" x14ac:dyDescent="0.15">
      <c r="A29" s="163">
        <v>28</v>
      </c>
      <c r="B29" s="163" t="s">
        <v>219</v>
      </c>
      <c r="C29" s="8">
        <v>1</v>
      </c>
      <c r="D29" s="9">
        <v>5</v>
      </c>
      <c r="E29" s="10"/>
      <c r="F29" s="10"/>
      <c r="G29" s="7">
        <v>0</v>
      </c>
      <c r="H29" s="10"/>
      <c r="I29">
        <v>0</v>
      </c>
      <c r="J29"/>
    </row>
    <row r="30" spans="1:10" ht="15" customHeight="1" x14ac:dyDescent="0.15">
      <c r="A30" s="164">
        <v>29</v>
      </c>
      <c r="B30" s="164" t="s">
        <v>220</v>
      </c>
      <c r="C30" s="8">
        <v>4.0731892585754395</v>
      </c>
      <c r="D30" s="10"/>
      <c r="E30" s="10"/>
      <c r="F30" s="10"/>
      <c r="G30" s="10"/>
      <c r="H30" s="10"/>
      <c r="I30">
        <v>0.7579999566078186</v>
      </c>
      <c r="J30"/>
    </row>
    <row r="31" spans="1:10" ht="15" customHeight="1" x14ac:dyDescent="0.15">
      <c r="A31" s="165">
        <v>30</v>
      </c>
      <c r="B31" s="165" t="s">
        <v>221</v>
      </c>
      <c r="C31" s="8">
        <v>3.5995383262634277</v>
      </c>
      <c r="D31" s="10"/>
      <c r="E31" s="10"/>
      <c r="F31" s="10"/>
      <c r="G31" s="10"/>
      <c r="H31" s="10"/>
      <c r="I31">
        <v>2.081200122833252</v>
      </c>
      <c r="J31"/>
    </row>
    <row r="32" spans="1:10" ht="15" customHeight="1" x14ac:dyDescent="0.15">
      <c r="A32" s="193">
        <v>31</v>
      </c>
      <c r="B32" s="193" t="s">
        <v>228</v>
      </c>
      <c r="C32" s="8">
        <v>4.0190253257751465</v>
      </c>
      <c r="D32" s="10"/>
      <c r="E32" s="10"/>
      <c r="F32" s="10"/>
      <c r="G32" s="10"/>
      <c r="H32" s="10"/>
      <c r="I32">
        <v>14.5</v>
      </c>
      <c r="J32"/>
    </row>
    <row r="33" spans="1:10" ht="15" customHeight="1" x14ac:dyDescent="0.15">
      <c r="A33" s="194">
        <v>32</v>
      </c>
      <c r="B33" s="194" t="s">
        <v>229</v>
      </c>
      <c r="C33" s="8">
        <v>4.7021050453186035</v>
      </c>
      <c r="D33" s="10"/>
      <c r="E33" s="10"/>
      <c r="F33" s="10"/>
      <c r="G33" s="10"/>
      <c r="H33" s="10"/>
      <c r="I33">
        <v>0.36700001358985901</v>
      </c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I2" activePane="bottomRight" state="frozen"/>
      <selection pane="topRight" activeCell="D1" sqref="D1"/>
      <selection pane="bottomLeft" activeCell="A2" sqref="A2"/>
      <selection pane="bottomRight" activeCell="A7" sqref="A7"/>
    </sheetView>
  </sheetViews>
  <sheetFormatPr baseColWidth="10" defaultColWidth="8.83203125" defaultRowHeight="15" customHeight="1" x14ac:dyDescent="0.15"/>
  <cols>
    <col min="1" max="1" width="40.33203125" style="73" bestFit="1" customWidth="1"/>
    <col min="2" max="4" width="9.5" style="73" bestFit="1" customWidth="1"/>
    <col min="5" max="7" width="9" style="73" bestFit="1" customWidth="1"/>
    <col min="8" max="16" width="12.6640625" style="73" bestFit="1" customWidth="1"/>
    <col min="17" max="17" width="12.33203125" style="73" bestFit="1" customWidth="1"/>
    <col min="18" max="18" width="8.83203125" style="73"/>
    <col min="19" max="21" width="9.33203125" style="73" bestFit="1" customWidth="1"/>
    <col min="22" max="23" width="8.83203125" style="73"/>
    <col min="24" max="24" width="9.33203125" style="73" bestFit="1" customWidth="1"/>
    <col min="25" max="27" width="8.83203125" style="73"/>
    <col min="28" max="58" width="9" style="73" bestFit="1" customWidth="1"/>
    <col min="59" max="59" width="12.33203125" style="73" bestFit="1" customWidth="1"/>
    <col min="60" max="60" width="9" style="73" bestFit="1" customWidth="1"/>
    <col min="61" max="61" width="11.33203125" style="73" bestFit="1" customWidth="1"/>
    <col min="62" max="77" width="9" style="73" bestFit="1" customWidth="1"/>
    <col min="78" max="78" width="12.33203125" style="73" bestFit="1" customWidth="1"/>
    <col min="79" max="79" width="9" style="73" bestFit="1" customWidth="1"/>
    <col min="80" max="80" width="12.33203125" style="73" bestFit="1" customWidth="1"/>
    <col min="81" max="107" width="9" style="73" bestFit="1" customWidth="1"/>
    <col min="108" max="108" width="11.33203125" style="73" bestFit="1" customWidth="1"/>
    <col min="109" max="124" width="9" style="73" bestFit="1" customWidth="1"/>
    <col min="125" max="125" width="10.33203125" style="73" bestFit="1" customWidth="1"/>
    <col min="126" max="129" width="9.33203125" style="73" bestFit="1" customWidth="1"/>
    <col min="130" max="130" width="9" style="73" bestFit="1" customWidth="1"/>
    <col min="131" max="134" width="9.33203125" style="73" bestFit="1" customWidth="1"/>
    <col min="135" max="165" width="9" style="73" bestFit="1" customWidth="1"/>
    <col min="166" max="166" width="12.33203125" style="73" bestFit="1" customWidth="1"/>
    <col min="167" max="170" width="9" style="73" bestFit="1" customWidth="1"/>
    <col min="171" max="176" width="8.83203125" style="73"/>
    <col min="177" max="177" width="13.83203125" style="73" bestFit="1" customWidth="1"/>
    <col min="178" max="16384" width="8.83203125" style="7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226</v>
      </c>
      <c r="E1" t="s">
        <v>227</v>
      </c>
      <c r="F1" t="s">
        <v>230</v>
      </c>
      <c r="G1" t="s">
        <v>231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 t="s">
        <v>209</v>
      </c>
      <c r="Z1" t="s">
        <v>210</v>
      </c>
      <c r="AA1" t="s">
        <v>211</v>
      </c>
      <c r="AB1" t="s">
        <v>212</v>
      </c>
      <c r="AC1" t="s">
        <v>213</v>
      </c>
      <c r="AD1" t="s">
        <v>214</v>
      </c>
      <c r="AE1" t="s">
        <v>215</v>
      </c>
      <c r="AF1" t="s">
        <v>216</v>
      </c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2.1649999618530273</v>
      </c>
      <c r="C2">
        <v>2.1649999618530273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0.39100000262260437</v>
      </c>
      <c r="C3">
        <v>0.39100000262260437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0.79100000858306885</v>
      </c>
      <c r="C4">
        <v>4.6669013798236847E-2</v>
      </c>
      <c r="D4" s="195">
        <v>0.10363521426916122</v>
      </c>
      <c r="E4" s="201">
        <v>8.1612728536128998E-2</v>
      </c>
      <c r="F4"/>
      <c r="G4"/>
      <c r="H4"/>
      <c r="I4"/>
      <c r="J4"/>
      <c r="K4"/>
      <c r="L4" s="225">
        <v>0.55908304452896118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0.86400002241134644</v>
      </c>
      <c r="C5">
        <v>3.4560021013021469E-2</v>
      </c>
      <c r="D5" s="196">
        <v>0.31156295537948608</v>
      </c>
      <c r="E5" s="13">
        <v>2.0319323521107435E-3</v>
      </c>
      <c r="F5"/>
      <c r="G5"/>
      <c r="H5"/>
      <c r="I5"/>
      <c r="J5"/>
      <c r="K5"/>
      <c r="L5" s="222">
        <v>0.51584511995315552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0.46500000357627869</v>
      </c>
      <c r="C6">
        <v>0.12275999784469604</v>
      </c>
      <c r="D6" s="197">
        <v>0.34167987108230591</v>
      </c>
      <c r="E6" s="13">
        <v>5.6013086577877402E-4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3.1630001068115234</v>
      </c>
      <c r="C7">
        <v>0.55352503061294556</v>
      </c>
      <c r="D7"/>
      <c r="E7"/>
      <c r="F7"/>
      <c r="G7" s="206">
        <v>0.32197067141532898</v>
      </c>
      <c r="H7" s="15">
        <v>5.133984237909317E-2</v>
      </c>
      <c r="I7" s="211">
        <v>0.12705279886722565</v>
      </c>
      <c r="J7"/>
      <c r="K7"/>
      <c r="L7" s="17">
        <v>3.5635292530059814E-2</v>
      </c>
      <c r="M7" s="239">
        <v>1.1366349458694458</v>
      </c>
      <c r="N7"/>
      <c r="O7"/>
      <c r="P7"/>
      <c r="Q7" s="100">
        <v>0.93684148788452148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0.63499999046325684</v>
      </c>
      <c r="C8">
        <v>2.0954957231879234E-2</v>
      </c>
      <c r="D8" s="13">
        <v>1.0861284099519253E-3</v>
      </c>
      <c r="E8" s="13">
        <v>9.7751547582447529E-4</v>
      </c>
      <c r="F8"/>
      <c r="G8"/>
      <c r="H8" s="212">
        <v>5.6391783058643341E-2</v>
      </c>
      <c r="I8" s="218">
        <v>0.12709443271160126</v>
      </c>
      <c r="J8"/>
      <c r="K8"/>
      <c r="L8" s="17">
        <v>7.352922111749649E-3</v>
      </c>
      <c r="M8"/>
      <c r="N8"/>
      <c r="O8" s="24">
        <v>1.6085075214505196E-2</v>
      </c>
      <c r="P8"/>
      <c r="Q8" s="230">
        <v>0.39928820729255676</v>
      </c>
      <c r="R8"/>
      <c r="S8"/>
      <c r="T8" s="14">
        <v>5.7689459063112736E-3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1.3229999542236328</v>
      </c>
      <c r="C9">
        <v>0.12951314449310303</v>
      </c>
      <c r="D9" s="198">
        <v>0.55045872926712036</v>
      </c>
      <c r="E9" s="198">
        <v>0.54923546314239502</v>
      </c>
      <c r="F9"/>
      <c r="G9"/>
      <c r="H9"/>
      <c r="I9"/>
      <c r="J9"/>
      <c r="K9"/>
      <c r="L9"/>
      <c r="M9"/>
      <c r="N9"/>
      <c r="O9"/>
      <c r="P9"/>
      <c r="Q9"/>
      <c r="R9" s="99">
        <v>8.8378258049488068E-2</v>
      </c>
      <c r="S9"/>
      <c r="T9" s="12">
        <v>5.4143494926393032E-3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0.82099997997283936</v>
      </c>
      <c r="C10">
        <v>0.17123405635356903</v>
      </c>
      <c r="D10"/>
      <c r="E10" s="202">
        <v>0.55446428060531616</v>
      </c>
      <c r="F10"/>
      <c r="G10"/>
      <c r="H10"/>
      <c r="I10"/>
      <c r="J10"/>
      <c r="K10" s="207">
        <v>1.9154004752635956E-2</v>
      </c>
      <c r="L10" s="18">
        <v>1.5111264772713184E-2</v>
      </c>
      <c r="M10"/>
      <c r="N10" s="23">
        <v>2.6338638737797737E-2</v>
      </c>
      <c r="O10" s="207">
        <v>1.8889736384153366E-2</v>
      </c>
      <c r="P10"/>
      <c r="Q10"/>
      <c r="R10"/>
      <c r="S10"/>
      <c r="T10" s="20">
        <v>1.5807965770363808E-2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1.5279999971389771</v>
      </c>
      <c r="C11">
        <v>0.10237595438957214</v>
      </c>
      <c r="D11" s="15">
        <v>2.4486437439918518E-2</v>
      </c>
      <c r="E11" s="15">
        <v>2.4486437439918518E-2</v>
      </c>
      <c r="F11"/>
      <c r="G11"/>
      <c r="H11" s="60">
        <v>3.3319689333438873E-2</v>
      </c>
      <c r="I11" s="223">
        <v>8.7734878063201904E-2</v>
      </c>
      <c r="J11" s="18">
        <v>2.5948787108063698E-2</v>
      </c>
      <c r="K11"/>
      <c r="L11" s="16">
        <v>2.1488629281520844E-2</v>
      </c>
      <c r="M11"/>
      <c r="N11"/>
      <c r="O11" s="231">
        <v>0.17460116744041443</v>
      </c>
      <c r="P11" s="15">
        <v>2.5413988158106804E-2</v>
      </c>
      <c r="Q11" s="238">
        <v>0.4842255711555481</v>
      </c>
      <c r="R11" s="236">
        <v>0.44817864894866943</v>
      </c>
      <c r="S11"/>
      <c r="T11" s="17">
        <v>1.6859518364071846E-2</v>
      </c>
      <c r="U11" s="211">
        <v>5.888025090098381E-2</v>
      </c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1.4739999771118164</v>
      </c>
      <c r="C12">
        <v>0.74143493175506592</v>
      </c>
      <c r="D12" s="13">
        <v>2.9673590324819088E-3</v>
      </c>
      <c r="E12" s="203">
        <v>0.58011865615844727</v>
      </c>
      <c r="F12"/>
      <c r="G12"/>
      <c r="H12"/>
      <c r="I12"/>
      <c r="J12"/>
      <c r="K12"/>
      <c r="L12"/>
      <c r="M12"/>
      <c r="N12"/>
      <c r="O12" s="134">
        <v>4.3945260345935822E-2</v>
      </c>
      <c r="P12"/>
      <c r="Q12"/>
      <c r="R12" s="63">
        <v>0.10290689766407013</v>
      </c>
      <c r="S12"/>
      <c r="T12" s="13">
        <v>2.6268432848155499E-3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3.3090000152587891</v>
      </c>
      <c r="C13">
        <v>0.19854021072387695</v>
      </c>
      <c r="D13"/>
      <c r="E13" s="11">
        <v>5.0615915097296238E-4</v>
      </c>
      <c r="F13" s="205">
        <v>1.3591310977935791</v>
      </c>
      <c r="G13"/>
      <c r="H13" s="12">
        <v>1.4228696934878826E-2</v>
      </c>
      <c r="I13" s="17">
        <v>3.9855055510997772E-2</v>
      </c>
      <c r="J13" s="15">
        <v>5.1467649638652802E-2</v>
      </c>
      <c r="K13" s="23">
        <v>0.10516534745693207</v>
      </c>
      <c r="L13" s="15">
        <v>5.2509777247905731E-2</v>
      </c>
      <c r="M13" s="243">
        <v>1.0456247329711914</v>
      </c>
      <c r="N13" s="23">
        <v>0.10230725258588791</v>
      </c>
      <c r="O13"/>
      <c r="P13"/>
      <c r="Q13" s="206">
        <v>0.33966416120529175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0.60100001096725464</v>
      </c>
      <c r="C14">
        <v>3.0651072040200233E-2</v>
      </c>
      <c r="D14" s="25">
        <v>4.5934498310089111E-2</v>
      </c>
      <c r="E14" s="11">
        <v>5.7418120559304953E-4</v>
      </c>
      <c r="F14"/>
      <c r="G14"/>
      <c r="H14"/>
      <c r="I14"/>
      <c r="J14"/>
      <c r="K14"/>
      <c r="L14" s="23">
        <v>1.9435593858361244E-2</v>
      </c>
      <c r="M14"/>
      <c r="N14"/>
      <c r="O14" s="210">
        <v>0.14577201008796692</v>
      </c>
      <c r="P14"/>
      <c r="Q14"/>
      <c r="R14" s="214">
        <v>0.34846684336662292</v>
      </c>
      <c r="S14"/>
      <c r="T14" s="18">
        <v>1.0165832936763763E-2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0.58399999141693115</v>
      </c>
      <c r="C15">
        <v>2.0440015941858292E-2</v>
      </c>
      <c r="D15" s="199">
        <v>0.23187713325023651</v>
      </c>
      <c r="E15" s="199">
        <v>0.23114100098609924</v>
      </c>
      <c r="F15"/>
      <c r="G15"/>
      <c r="H15"/>
      <c r="I15"/>
      <c r="J15"/>
      <c r="K15"/>
      <c r="L15"/>
      <c r="M15"/>
      <c r="N15"/>
      <c r="O15" s="22">
        <v>3.8934205658733845E-3</v>
      </c>
      <c r="P15"/>
      <c r="Q15" s="213">
        <v>9.6648402512073517E-2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2.0179998874664307</v>
      </c>
      <c r="C16">
        <v>3.2012857496738434E-2</v>
      </c>
      <c r="D16"/>
      <c r="E16"/>
      <c r="F16"/>
      <c r="G16"/>
      <c r="H16"/>
      <c r="I16"/>
      <c r="J16" s="61">
        <v>8.143211156129837E-2</v>
      </c>
      <c r="K16"/>
      <c r="L16" s="98">
        <v>0.31579458713531494</v>
      </c>
      <c r="M16"/>
      <c r="N16" s="217">
        <v>0.16340707242488861</v>
      </c>
      <c r="O16" s="227">
        <v>0.37625271081924438</v>
      </c>
      <c r="P16"/>
      <c r="Q16"/>
      <c r="R16"/>
      <c r="S16"/>
      <c r="T16"/>
      <c r="U16"/>
      <c r="V16"/>
      <c r="W16"/>
      <c r="X16" s="235">
        <v>1.0491006374359131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1.4559999704360962</v>
      </c>
      <c r="C17">
        <v>0.28683203458786011</v>
      </c>
      <c r="D17"/>
      <c r="E17" s="11">
        <v>1.1562255531316623E-4</v>
      </c>
      <c r="F17"/>
      <c r="G17"/>
      <c r="H17"/>
      <c r="I17"/>
      <c r="J17" s="215">
        <v>7.0890992879867554E-2</v>
      </c>
      <c r="K17" s="97">
        <v>0.42166653275489807</v>
      </c>
      <c r="L17" s="221">
        <v>0.17024746537208557</v>
      </c>
      <c r="M17"/>
      <c r="N17"/>
      <c r="O17"/>
      <c r="P17"/>
      <c r="Q17"/>
      <c r="R17"/>
      <c r="S17"/>
      <c r="T17"/>
      <c r="U17"/>
      <c r="V17" s="233">
        <v>0.50624734163284302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2.3369998931884766</v>
      </c>
      <c r="C18">
        <v>9.8154127597808838E-2</v>
      </c>
      <c r="D18"/>
      <c r="E18"/>
      <c r="F18"/>
      <c r="G18"/>
      <c r="H18"/>
      <c r="I18"/>
      <c r="J18" s="219">
        <v>0.25163152813911438</v>
      </c>
      <c r="K18" s="21">
        <v>1.741507463157177E-2</v>
      </c>
      <c r="L18" s="16">
        <v>3.4348398447036743E-2</v>
      </c>
      <c r="M18"/>
      <c r="N18"/>
      <c r="O18" s="226">
        <v>0.44654473662376404</v>
      </c>
      <c r="P18" s="211">
        <v>9.3464121222496033E-2</v>
      </c>
      <c r="Q18"/>
      <c r="R18"/>
      <c r="S18"/>
      <c r="T18"/>
      <c r="U18"/>
      <c r="V18" s="234">
        <v>1.0833655595779419</v>
      </c>
      <c r="W18" s="220">
        <v>0.29256391525268555</v>
      </c>
      <c r="X18"/>
      <c r="Y18"/>
      <c r="Z18"/>
      <c r="AA18" s="21">
        <v>1.9512567669153214E-2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6.7340002059936523</v>
      </c>
      <c r="C19">
        <v>4.9554815292358398</v>
      </c>
      <c r="D19"/>
      <c r="E19"/>
      <c r="F19"/>
      <c r="G19"/>
      <c r="H19"/>
      <c r="I19"/>
      <c r="J19"/>
      <c r="K19"/>
      <c r="L19" s="216">
        <v>1.7785187959671021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5.875</v>
      </c>
      <c r="C20">
        <v>0.46999955177307129</v>
      </c>
      <c r="D20"/>
      <c r="E20" s="204">
        <v>2.8524882793426514</v>
      </c>
      <c r="F20"/>
      <c r="G20"/>
      <c r="H20"/>
      <c r="I20"/>
      <c r="J20" s="61">
        <v>0.23883581161499023</v>
      </c>
      <c r="K20"/>
      <c r="L20" s="21">
        <v>5.056975781917572E-2</v>
      </c>
      <c r="M20" s="131">
        <v>0.69987356662750244</v>
      </c>
      <c r="N20"/>
      <c r="O20" s="19">
        <v>0.25707188248634338</v>
      </c>
      <c r="P20" s="60">
        <v>0.12635283172130585</v>
      </c>
      <c r="Q20" s="66">
        <v>0.55793923139572144</v>
      </c>
      <c r="R20" s="61">
        <v>0.24178163707256317</v>
      </c>
      <c r="S20"/>
      <c r="T20" s="24">
        <v>0.14812356233596802</v>
      </c>
      <c r="U20" s="134">
        <v>0.16812488436698914</v>
      </c>
      <c r="V20"/>
      <c r="W20"/>
      <c r="X20"/>
      <c r="Y20"/>
      <c r="Z20"/>
      <c r="AA20" s="17">
        <v>6.3839033246040344E-2</v>
      </c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2.6380000114440918</v>
      </c>
      <c r="C21">
        <v>9.4968035817146301E-2</v>
      </c>
      <c r="D21" s="200">
        <v>0.57463699579238892</v>
      </c>
      <c r="E21"/>
      <c r="F21"/>
      <c r="G21"/>
      <c r="H21"/>
      <c r="I21"/>
      <c r="J21"/>
      <c r="K21"/>
      <c r="L21" s="135">
        <v>0.15809944272041321</v>
      </c>
      <c r="M21"/>
      <c r="N21"/>
      <c r="O21" s="229">
        <v>0.99414461851119995</v>
      </c>
      <c r="P21" s="60">
        <v>5.5342834442853928E-2</v>
      </c>
      <c r="Q21"/>
      <c r="R21"/>
      <c r="S21"/>
      <c r="T21" s="224">
        <v>0.48864808678627014</v>
      </c>
      <c r="U21"/>
      <c r="V21"/>
      <c r="W21"/>
      <c r="X21"/>
      <c r="Y21"/>
      <c r="Z21"/>
      <c r="AA21" s="201">
        <v>0.27215996384620667</v>
      </c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4.2829999923706055</v>
      </c>
      <c r="C22">
        <v>0.20986735820770264</v>
      </c>
      <c r="D22"/>
      <c r="E22"/>
      <c r="F22"/>
      <c r="G22"/>
      <c r="H22"/>
      <c r="I22"/>
      <c r="J22"/>
      <c r="K22"/>
      <c r="L22"/>
      <c r="M22"/>
      <c r="N22"/>
      <c r="O22" s="223">
        <v>0.24564376473426819</v>
      </c>
      <c r="P22"/>
      <c r="Q22" s="237">
        <v>1.7220479249954224</v>
      </c>
      <c r="R22"/>
      <c r="S22"/>
      <c r="T22"/>
      <c r="U22" s="68">
        <v>0.95013177394866943</v>
      </c>
      <c r="V22"/>
      <c r="W22"/>
      <c r="X22" s="232">
        <v>0.68120300769805908</v>
      </c>
      <c r="Y22" s="228">
        <v>0.47410643100738525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2.1679999828338623</v>
      </c>
      <c r="C23">
        <v>0.12140772491693497</v>
      </c>
      <c r="D23"/>
      <c r="E23"/>
      <c r="F23"/>
      <c r="G23"/>
      <c r="H23"/>
      <c r="I23"/>
      <c r="J23"/>
      <c r="K23"/>
      <c r="L23" s="208">
        <v>0.72342908382415771</v>
      </c>
      <c r="M23"/>
      <c r="N23"/>
      <c r="O23"/>
      <c r="P23" s="209">
        <v>1.3231631517410278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24.458000183105469</v>
      </c>
      <c r="C24">
        <v>2.9202289581298828</v>
      </c>
      <c r="D24"/>
      <c r="E24"/>
      <c r="F24"/>
      <c r="G24"/>
      <c r="H24" s="11">
        <v>5.1469644531607628E-3</v>
      </c>
      <c r="I24" s="11">
        <v>7.2357072494924068E-3</v>
      </c>
      <c r="J24" s="11">
        <v>7.9014766961336136E-3</v>
      </c>
      <c r="K24" s="13">
        <v>2.7327332645654678E-2</v>
      </c>
      <c r="L24" s="11">
        <v>1.9294482190161943E-3</v>
      </c>
      <c r="M24" s="18">
        <v>0.45388025045394897</v>
      </c>
      <c r="N24" s="12">
        <v>8.6121805012226105E-2</v>
      </c>
      <c r="O24" s="11">
        <v>7.8648719936609268E-3</v>
      </c>
      <c r="P24"/>
      <c r="Q24" s="14">
        <v>0.23428061604499817</v>
      </c>
      <c r="R24" s="13">
        <v>4.2114052921533585E-2</v>
      </c>
      <c r="S24" s="244">
        <v>4.7838034629821777</v>
      </c>
      <c r="T24" s="11">
        <v>7.1082958020269871E-3</v>
      </c>
      <c r="U24"/>
      <c r="V24" s="22">
        <v>0.1343761682510376</v>
      </c>
      <c r="W24" s="21">
        <v>0.20108874142169952</v>
      </c>
      <c r="X24"/>
      <c r="Y24" s="11">
        <v>2.6560646947473288E-3</v>
      </c>
      <c r="Z24"/>
      <c r="AA24"/>
      <c r="AB24"/>
      <c r="AC24"/>
      <c r="AD24" s="245">
        <v>15.53493595123291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8.444000244140625</v>
      </c>
      <c r="C25">
        <v>0.55730491876602173</v>
      </c>
      <c r="D25"/>
      <c r="E25"/>
      <c r="F25"/>
      <c r="G25"/>
      <c r="H25"/>
      <c r="I25"/>
      <c r="J25"/>
      <c r="K25"/>
      <c r="L25"/>
      <c r="M25"/>
      <c r="N25"/>
      <c r="O25" s="17">
        <v>0.10269860923290253</v>
      </c>
      <c r="P25" s="15">
        <v>0.13655632734298706</v>
      </c>
      <c r="Q25"/>
      <c r="R25" s="11">
        <v>3.5071463789790869E-3</v>
      </c>
      <c r="S25"/>
      <c r="T25" s="16">
        <v>0.11226411908864975</v>
      </c>
      <c r="U25"/>
      <c r="V25" s="14">
        <v>8.0066464841365814E-2</v>
      </c>
      <c r="W25"/>
      <c r="X25" s="217">
        <v>0.6716461181640625</v>
      </c>
      <c r="Y25" s="15">
        <v>0.13445363938808441</v>
      </c>
      <c r="Z25" s="240">
        <v>1.9018269777297974</v>
      </c>
      <c r="AA25" s="99">
        <v>0.56977546215057373</v>
      </c>
      <c r="AB25" s="241">
        <v>1.9310775995254517</v>
      </c>
      <c r="AC25" s="13">
        <v>1.9847169518470764E-2</v>
      </c>
      <c r="AD25"/>
      <c r="AE25" s="242">
        <v>2.2229759693145752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66.396003723144531</v>
      </c>
      <c r="C26">
        <v>6.6396059989929199</v>
      </c>
      <c r="D26"/>
      <c r="E26"/>
      <c r="F26"/>
      <c r="G26"/>
      <c r="H26"/>
      <c r="I26"/>
      <c r="J26" s="11">
        <v>7.2971993358805776E-4</v>
      </c>
      <c r="K26"/>
      <c r="L26"/>
      <c r="M26"/>
      <c r="N26" s="11">
        <v>1.1285052460152656E-4</v>
      </c>
      <c r="O26" s="11">
        <v>5.9891869314014912E-3</v>
      </c>
      <c r="P26"/>
      <c r="Q26" s="13">
        <v>9.7106046974658966E-2</v>
      </c>
      <c r="R26" s="11">
        <v>1.779964379966259E-2</v>
      </c>
      <c r="S26" s="14">
        <v>0.61607599258422852</v>
      </c>
      <c r="T26" s="11">
        <v>6.3328300602734089E-3</v>
      </c>
      <c r="U26"/>
      <c r="V26" s="13">
        <v>8.3749532699584961E-2</v>
      </c>
      <c r="W26" s="13">
        <v>9.401325136423111E-2</v>
      </c>
      <c r="X26" s="11">
        <v>2.2444343194365501E-2</v>
      </c>
      <c r="Y26" s="11">
        <v>2.7702096849679947E-4</v>
      </c>
      <c r="Z26" s="13">
        <v>6.8847924470901489E-2</v>
      </c>
      <c r="AA26"/>
      <c r="AB26"/>
      <c r="AC26"/>
      <c r="AD26" s="246">
        <v>58.742916107177734</v>
      </c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/>
      <c r="C27">
        <v>0.69766861200332642</v>
      </c>
      <c r="D27"/>
      <c r="E27"/>
      <c r="F27"/>
      <c r="G27"/>
      <c r="H27"/>
      <c r="I27" s="9">
        <v>0.13091892004013062</v>
      </c>
      <c r="J27"/>
      <c r="K27" s="9">
        <v>6.6502705216407776E-2</v>
      </c>
      <c r="L27" s="9">
        <v>8.8008001446723938E-2</v>
      </c>
      <c r="M27"/>
      <c r="N27" s="9">
        <v>2.9499277006834745E-3</v>
      </c>
      <c r="O27" s="9">
        <v>5.2891265600919724E-2</v>
      </c>
      <c r="P27"/>
      <c r="Q27" s="9">
        <v>0.17505964636802673</v>
      </c>
      <c r="R27"/>
      <c r="S27"/>
      <c r="T27"/>
      <c r="U27"/>
      <c r="V27"/>
      <c r="W27"/>
      <c r="X27" s="9">
        <v>3.911320585757494E-3</v>
      </c>
      <c r="Y27"/>
      <c r="Z27"/>
      <c r="AA27" s="9">
        <v>3.2048334833234549E-3</v>
      </c>
      <c r="AB27"/>
      <c r="AC27" s="9">
        <v>1.013980433344841E-2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/>
      <c r="C28">
        <v>0.33080306649208069</v>
      </c>
      <c r="D28"/>
      <c r="E28"/>
      <c r="F28"/>
      <c r="G28"/>
      <c r="H28"/>
      <c r="I28"/>
      <c r="J28" s="9">
        <v>0.21799972653388977</v>
      </c>
      <c r="K28" s="9">
        <v>3.0033482238650322E-2</v>
      </c>
      <c r="L28"/>
      <c r="M28"/>
      <c r="N28"/>
      <c r="O28" s="9">
        <v>1.4809553511440754E-2</v>
      </c>
      <c r="P28"/>
      <c r="Q28" s="9">
        <v>2.5733771324157715</v>
      </c>
      <c r="R28" s="9">
        <v>0.33234643936157227</v>
      </c>
      <c r="S28"/>
      <c r="T28" s="9">
        <v>9.6491828560829163E-2</v>
      </c>
      <c r="U28" s="9">
        <v>0.81967031955718994</v>
      </c>
      <c r="V28"/>
      <c r="W28" s="9">
        <v>0.20593731105327606</v>
      </c>
      <c r="X28" s="9">
        <v>1.0717017650604248</v>
      </c>
      <c r="Y28" s="9">
        <v>0.87186038494110107</v>
      </c>
      <c r="Z28" s="9">
        <v>5.1766476631164551</v>
      </c>
      <c r="AA28" s="9">
        <v>2.1248044967651367</v>
      </c>
      <c r="AB28" s="9">
        <v>9.5986385345458984</v>
      </c>
      <c r="AC28" s="9">
        <v>0.12085993587970734</v>
      </c>
      <c r="AD28" s="9">
        <v>122.21303558349609</v>
      </c>
      <c r="AE28" s="9">
        <v>83.564216613769531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/>
      <c r="C29">
        <v>0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10" sqref="D10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166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167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85" t="s">
        <v>192</v>
      </c>
      <c r="E5">
        <v>4</v>
      </c>
      <c r="F5">
        <v>3.13</v>
      </c>
      <c r="G5">
        <v>4</v>
      </c>
      <c r="H5" s="186" t="s">
        <v>192</v>
      </c>
      <c r="J5" s="53"/>
      <c r="K5" s="54"/>
    </row>
    <row r="6" spans="1:12" ht="14" thickBot="1" x14ac:dyDescent="0.2">
      <c r="A6" s="37" t="s">
        <v>121</v>
      </c>
      <c r="D6" s="185" t="s">
        <v>193</v>
      </c>
      <c r="E6">
        <v>5</v>
      </c>
      <c r="F6">
        <v>3.13</v>
      </c>
      <c r="G6">
        <v>5</v>
      </c>
      <c r="H6" s="186" t="s">
        <v>193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85" t="s">
        <v>194</v>
      </c>
      <c r="E7">
        <v>6</v>
      </c>
      <c r="F7">
        <v>3.22</v>
      </c>
      <c r="G7">
        <v>6</v>
      </c>
      <c r="H7" s="186" t="s">
        <v>194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85" t="s">
        <v>195</v>
      </c>
      <c r="E8">
        <v>7</v>
      </c>
      <c r="F8">
        <v>3.12</v>
      </c>
      <c r="G8">
        <v>7</v>
      </c>
      <c r="H8" s="186" t="s">
        <v>195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85" t="s">
        <v>196</v>
      </c>
      <c r="E9">
        <v>8</v>
      </c>
      <c r="F9">
        <v>3.12</v>
      </c>
      <c r="G9">
        <v>8</v>
      </c>
      <c r="H9" s="186" t="s">
        <v>196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85" t="s">
        <v>197</v>
      </c>
      <c r="E10">
        <v>9</v>
      </c>
      <c r="F10">
        <v>3.12</v>
      </c>
      <c r="G10">
        <v>9</v>
      </c>
      <c r="H10" s="186" t="s">
        <v>197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85" t="s">
        <v>198</v>
      </c>
      <c r="E11">
        <v>10</v>
      </c>
      <c r="F11">
        <v>3.12</v>
      </c>
      <c r="G11">
        <v>10</v>
      </c>
      <c r="H11" s="186" t="s">
        <v>198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85" t="s">
        <v>199</v>
      </c>
      <c r="E12">
        <v>11</v>
      </c>
      <c r="F12">
        <v>3.22</v>
      </c>
      <c r="G12">
        <v>11</v>
      </c>
      <c r="H12" s="186" t="s">
        <v>199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85" t="s">
        <v>200</v>
      </c>
      <c r="E13">
        <v>12</v>
      </c>
      <c r="F13">
        <v>3.12</v>
      </c>
      <c r="G13">
        <v>12</v>
      </c>
      <c r="H13" s="186" t="s">
        <v>200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85" t="s">
        <v>201</v>
      </c>
      <c r="E14">
        <v>13</v>
      </c>
      <c r="F14">
        <v>3</v>
      </c>
      <c r="G14">
        <v>13</v>
      </c>
      <c r="H14" s="186" t="s">
        <v>201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85" t="s">
        <v>202</v>
      </c>
      <c r="E15">
        <v>14</v>
      </c>
      <c r="F15">
        <v>3.22</v>
      </c>
      <c r="G15">
        <v>14</v>
      </c>
      <c r="H15" s="186" t="s">
        <v>202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85" t="s">
        <v>203</v>
      </c>
      <c r="E16">
        <v>15</v>
      </c>
      <c r="F16">
        <v>3.12</v>
      </c>
      <c r="G16">
        <v>15</v>
      </c>
      <c r="H16" s="186" t="s">
        <v>203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85" t="s">
        <v>204</v>
      </c>
      <c r="E17">
        <v>16</v>
      </c>
      <c r="F17">
        <v>3.22</v>
      </c>
      <c r="G17">
        <v>16</v>
      </c>
      <c r="H17" s="186" t="s">
        <v>204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85" t="s">
        <v>205</v>
      </c>
      <c r="E18">
        <v>17</v>
      </c>
      <c r="F18">
        <v>3.22</v>
      </c>
      <c r="G18">
        <v>17</v>
      </c>
      <c r="H18" s="186" t="s">
        <v>205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85" t="s">
        <v>206</v>
      </c>
      <c r="E19">
        <v>18</v>
      </c>
      <c r="F19">
        <v>3</v>
      </c>
      <c r="G19">
        <v>18</v>
      </c>
      <c r="H19" s="186" t="s">
        <v>206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85" t="s">
        <v>207</v>
      </c>
      <c r="E20">
        <v>19</v>
      </c>
      <c r="F20">
        <v>3.12</v>
      </c>
      <c r="G20">
        <v>19</v>
      </c>
      <c r="H20" s="186" t="s">
        <v>207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85" t="s">
        <v>208</v>
      </c>
      <c r="E21">
        <v>20</v>
      </c>
      <c r="F21">
        <v>3</v>
      </c>
      <c r="G21">
        <v>20</v>
      </c>
      <c r="H21" s="186" t="s">
        <v>208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85" t="s">
        <v>209</v>
      </c>
      <c r="E22">
        <v>21</v>
      </c>
      <c r="F22">
        <v>3.21</v>
      </c>
      <c r="G22">
        <v>21</v>
      </c>
      <c r="H22" s="186" t="s">
        <v>209</v>
      </c>
    </row>
    <row r="23" spans="1:12" x14ac:dyDescent="0.15">
      <c r="A23" s="32" t="s">
        <v>129</v>
      </c>
      <c r="B23" s="40">
        <v>4</v>
      </c>
      <c r="C23" s="34"/>
      <c r="D23" s="185" t="s">
        <v>210</v>
      </c>
      <c r="E23">
        <v>22</v>
      </c>
      <c r="F23">
        <v>3</v>
      </c>
      <c r="G23">
        <v>22</v>
      </c>
      <c r="H23" s="186" t="s">
        <v>210</v>
      </c>
    </row>
    <row r="24" spans="1:12" x14ac:dyDescent="0.15">
      <c r="A24" s="32" t="s">
        <v>122</v>
      </c>
      <c r="B24" s="40">
        <v>4.0999999999999996</v>
      </c>
      <c r="C24" s="34"/>
      <c r="D24" s="185" t="s">
        <v>211</v>
      </c>
      <c r="E24">
        <v>23</v>
      </c>
      <c r="F24">
        <v>3.21</v>
      </c>
      <c r="G24">
        <v>23</v>
      </c>
      <c r="H24" s="186" t="s">
        <v>211</v>
      </c>
    </row>
    <row r="25" spans="1:12" x14ac:dyDescent="0.15">
      <c r="A25" s="32" t="s">
        <v>70</v>
      </c>
      <c r="B25" s="40">
        <v>4.2</v>
      </c>
      <c r="C25" s="34"/>
      <c r="D25" s="185" t="s">
        <v>212</v>
      </c>
      <c r="E25">
        <v>24</v>
      </c>
      <c r="F25">
        <v>3.21</v>
      </c>
      <c r="G25">
        <v>24</v>
      </c>
      <c r="H25" s="186" t="s">
        <v>212</v>
      </c>
    </row>
    <row r="26" spans="1:12" x14ac:dyDescent="0.15">
      <c r="A26" s="32" t="s">
        <v>123</v>
      </c>
      <c r="B26" s="40">
        <v>4.3</v>
      </c>
      <c r="C26" s="34"/>
      <c r="D26" s="185" t="s">
        <v>213</v>
      </c>
      <c r="E26">
        <v>25</v>
      </c>
      <c r="F26">
        <v>3.21</v>
      </c>
      <c r="G26">
        <v>25</v>
      </c>
      <c r="H26" s="186" t="s">
        <v>213</v>
      </c>
    </row>
    <row r="27" spans="1:12" x14ac:dyDescent="0.15">
      <c r="A27" s="32" t="s">
        <v>125</v>
      </c>
      <c r="B27" s="40">
        <v>6.1</v>
      </c>
      <c r="D27" s="185" t="s">
        <v>214</v>
      </c>
      <c r="E27">
        <v>26</v>
      </c>
      <c r="F27">
        <v>3.11</v>
      </c>
      <c r="G27">
        <v>26</v>
      </c>
      <c r="H27" s="186" t="s">
        <v>214</v>
      </c>
    </row>
    <row r="28" spans="1:12" x14ac:dyDescent="0.15">
      <c r="A28" s="32" t="s">
        <v>124</v>
      </c>
      <c r="B28" s="40">
        <v>6.2</v>
      </c>
      <c r="D28" s="185" t="s">
        <v>215</v>
      </c>
      <c r="E28">
        <v>27</v>
      </c>
      <c r="F28">
        <v>3.2</v>
      </c>
      <c r="G28">
        <v>27</v>
      </c>
      <c r="H28" s="186" t="s">
        <v>215</v>
      </c>
    </row>
    <row r="29" spans="1:12" x14ac:dyDescent="0.15">
      <c r="A29" s="32" t="s">
        <v>44</v>
      </c>
      <c r="B29" s="40">
        <v>5</v>
      </c>
      <c r="D29" s="185" t="s">
        <v>216</v>
      </c>
      <c r="E29">
        <v>28</v>
      </c>
      <c r="F29">
        <v>2</v>
      </c>
      <c r="G29">
        <v>28</v>
      </c>
      <c r="H29" s="186" t="s">
        <v>216</v>
      </c>
    </row>
    <row r="30" spans="1:12" x14ac:dyDescent="0.15">
      <c r="A30" s="32" t="s">
        <v>73</v>
      </c>
      <c r="B30" s="40">
        <v>7</v>
      </c>
      <c r="D30" s="185" t="s">
        <v>217</v>
      </c>
      <c r="E30">
        <v>29</v>
      </c>
      <c r="F30">
        <v>4.2</v>
      </c>
      <c r="G30">
        <v>29</v>
      </c>
      <c r="H30" s="186" t="s">
        <v>217</v>
      </c>
    </row>
    <row r="31" spans="1:12" x14ac:dyDescent="0.15">
      <c r="A31" s="32" t="s">
        <v>169</v>
      </c>
      <c r="B31" s="40">
        <v>3.14</v>
      </c>
      <c r="D31" s="185" t="s">
        <v>218</v>
      </c>
      <c r="E31">
        <v>30</v>
      </c>
      <c r="F31">
        <v>4.0999999999999996</v>
      </c>
      <c r="G31">
        <v>30</v>
      </c>
      <c r="H31" s="186" t="s">
        <v>218</v>
      </c>
    </row>
    <row r="32" spans="1:12" ht="12" customHeight="1" thickBot="1" x14ac:dyDescent="0.2">
      <c r="A32" s="38" t="s">
        <v>170</v>
      </c>
      <c r="B32" s="41">
        <v>9</v>
      </c>
      <c r="D32" s="185" t="s">
        <v>219</v>
      </c>
      <c r="E32">
        <v>31</v>
      </c>
      <c r="F32">
        <v>4.3</v>
      </c>
      <c r="G32">
        <v>31</v>
      </c>
      <c r="H32" s="186" t="s">
        <v>219</v>
      </c>
    </row>
    <row r="33" spans="4:8" customFormat="1" ht="12" customHeight="1" x14ac:dyDescent="0.15">
      <c r="D33" s="185" t="s">
        <v>220</v>
      </c>
      <c r="E33">
        <v>32</v>
      </c>
      <c r="F33">
        <v>5</v>
      </c>
      <c r="G33">
        <v>32</v>
      </c>
      <c r="H33" s="186" t="s">
        <v>220</v>
      </c>
    </row>
    <row r="34" spans="4:8" customFormat="1" ht="12" customHeight="1" x14ac:dyDescent="0.15">
      <c r="D34" s="185" t="s">
        <v>221</v>
      </c>
      <c r="E34">
        <v>33</v>
      </c>
      <c r="F34">
        <v>5</v>
      </c>
      <c r="G34">
        <v>33</v>
      </c>
      <c r="H34" s="186" t="s">
        <v>221</v>
      </c>
    </row>
    <row r="35" spans="4:8" customFormat="1" x14ac:dyDescent="0.15">
      <c r="D35" s="185" t="s">
        <v>228</v>
      </c>
      <c r="E35">
        <v>34</v>
      </c>
      <c r="F35">
        <v>5</v>
      </c>
      <c r="G35">
        <v>34</v>
      </c>
      <c r="H35" s="186" t="s">
        <v>228</v>
      </c>
    </row>
    <row r="36" spans="4:8" customFormat="1" x14ac:dyDescent="0.15">
      <c r="D36" s="185" t="s">
        <v>229</v>
      </c>
      <c r="E36">
        <v>35</v>
      </c>
      <c r="F36">
        <v>5</v>
      </c>
      <c r="G36">
        <v>35</v>
      </c>
      <c r="H36" s="186" t="s">
        <v>229</v>
      </c>
    </row>
    <row r="37" spans="4:8" customFormat="1" ht="12" customHeight="1" x14ac:dyDescent="0.15">
      <c r="D37" s="185" t="s">
        <v>138</v>
      </c>
      <c r="E37">
        <v>36</v>
      </c>
      <c r="F37">
        <v>6.1</v>
      </c>
      <c r="G37">
        <v>36</v>
      </c>
      <c r="H37" s="186" t="s">
        <v>138</v>
      </c>
    </row>
    <row r="38" spans="4:8" customFormat="1" x14ac:dyDescent="0.15">
      <c r="D38" s="185" t="s">
        <v>45</v>
      </c>
      <c r="E38">
        <v>37</v>
      </c>
      <c r="F38">
        <v>6.2</v>
      </c>
      <c r="G38">
        <v>37</v>
      </c>
      <c r="H38" s="186" t="s">
        <v>45</v>
      </c>
    </row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22" activePane="bottomLeft" state="frozen"/>
      <selection pane="bottomLeft" activeCell="F37" sqref="F37"/>
    </sheetView>
  </sheetViews>
  <sheetFormatPr baseColWidth="10" defaultColWidth="11.5" defaultRowHeight="15" customHeight="1" x14ac:dyDescent="0.15"/>
  <cols>
    <col min="1" max="1" width="40.1640625" style="74" bestFit="1" customWidth="1"/>
    <col min="2" max="2" width="10.83203125" style="73" customWidth="1"/>
    <col min="3" max="3" width="13.1640625" style="73" customWidth="1"/>
    <col min="4" max="4" width="39.6640625" style="73" customWidth="1"/>
    <col min="5" max="5" width="8.1640625" style="73" customWidth="1"/>
    <col min="6" max="6" width="21.6640625" style="73" bestFit="1" customWidth="1"/>
    <col min="7" max="9" width="2.33203125" style="73" customWidth="1"/>
    <col min="10" max="10" width="2.33203125" style="73" bestFit="1" customWidth="1"/>
    <col min="11" max="15" width="2.33203125" style="73" customWidth="1"/>
    <col min="16" max="16" width="2.33203125" style="64" customWidth="1"/>
    <col min="17" max="17" width="2.33203125" style="73" customWidth="1"/>
    <col min="18" max="18" width="2.33203125" style="65" customWidth="1"/>
    <col min="19" max="16384" width="11.5" style="73"/>
  </cols>
  <sheetData>
    <row r="1" spans="1:23" ht="15" customHeight="1" thickBot="1" x14ac:dyDescent="0.2">
      <c r="F1" s="1"/>
      <c r="G1" s="62" t="s">
        <v>46</v>
      </c>
      <c r="H1" s="62" t="s">
        <v>47</v>
      </c>
      <c r="I1" s="62" t="s">
        <v>120</v>
      </c>
      <c r="J1" s="62" t="s">
        <v>132</v>
      </c>
      <c r="K1" s="75" t="s">
        <v>48</v>
      </c>
      <c r="L1" s="65"/>
      <c r="M1" s="75" t="s">
        <v>119</v>
      </c>
      <c r="N1" s="65"/>
      <c r="O1" s="75" t="s">
        <v>49</v>
      </c>
      <c r="P1" s="67"/>
      <c r="Q1" s="75" t="s">
        <v>50</v>
      </c>
      <c r="R1" s="62" t="s">
        <v>154</v>
      </c>
    </row>
    <row r="2" spans="1:23" ht="15" customHeight="1" x14ac:dyDescent="0.15">
      <c r="A2" s="75" t="s">
        <v>51</v>
      </c>
      <c r="B2" s="76">
        <v>0.5</v>
      </c>
      <c r="C2" s="74" t="s">
        <v>52</v>
      </c>
      <c r="D2" s="77"/>
      <c r="F2" s="1"/>
      <c r="G2" s="78"/>
      <c r="H2" s="78"/>
      <c r="I2" s="78" t="s">
        <v>133</v>
      </c>
      <c r="J2" s="78" t="s">
        <v>133</v>
      </c>
      <c r="K2" s="78" t="s">
        <v>52</v>
      </c>
      <c r="L2" s="78" t="s">
        <v>53</v>
      </c>
      <c r="M2" s="78" t="s">
        <v>52</v>
      </c>
      <c r="N2" s="78" t="s">
        <v>53</v>
      </c>
      <c r="O2" s="78" t="s">
        <v>52</v>
      </c>
      <c r="P2" s="79" t="s">
        <v>53</v>
      </c>
      <c r="Q2" s="78"/>
      <c r="R2" s="80" t="s">
        <v>155</v>
      </c>
    </row>
    <row r="3" spans="1:23" ht="15" customHeight="1" thickBot="1" x14ac:dyDescent="0.2">
      <c r="A3" s="75" t="s">
        <v>54</v>
      </c>
      <c r="B3" s="81">
        <v>0.5</v>
      </c>
      <c r="C3" s="74" t="s">
        <v>53</v>
      </c>
      <c r="D3" s="7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0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0">
        <v>0</v>
      </c>
      <c r="R4" s="102">
        <v>0</v>
      </c>
    </row>
    <row r="5" spans="1:23" ht="15" customHeight="1" x14ac:dyDescent="0.15">
      <c r="A5" s="75" t="s">
        <v>55</v>
      </c>
      <c r="B5" s="82">
        <v>0.5</v>
      </c>
      <c r="C5" s="74" t="s">
        <v>52</v>
      </c>
      <c r="D5" s="7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0">
        <v>0</v>
      </c>
      <c r="R5" s="102">
        <v>0</v>
      </c>
    </row>
    <row r="6" spans="1:23" ht="15" customHeight="1" thickBot="1" x14ac:dyDescent="0.2">
      <c r="A6" s="75"/>
      <c r="B6" s="83">
        <v>0.5</v>
      </c>
      <c r="C6" s="74" t="s">
        <v>53</v>
      </c>
      <c r="D6" s="77"/>
      <c r="F6" s="187" t="s">
        <v>192</v>
      </c>
      <c r="G6" s="73">
        <v>0</v>
      </c>
      <c r="H6" s="73">
        <v>0</v>
      </c>
      <c r="I6" s="73">
        <v>0</v>
      </c>
      <c r="J6" s="73">
        <v>0</v>
      </c>
      <c r="K6" s="73">
        <v>1</v>
      </c>
      <c r="L6" s="73">
        <v>0</v>
      </c>
      <c r="M6" s="73">
        <v>1</v>
      </c>
      <c r="N6" s="73">
        <v>0</v>
      </c>
      <c r="O6" s="73">
        <v>1</v>
      </c>
      <c r="P6" s="64">
        <v>0</v>
      </c>
      <c r="Q6" s="73">
        <v>0</v>
      </c>
      <c r="R6" s="65">
        <v>1</v>
      </c>
      <c r="S6"/>
      <c r="T6"/>
    </row>
    <row r="7" spans="1:23" ht="15" customHeight="1" thickBot="1" x14ac:dyDescent="0.2">
      <c r="F7" s="187" t="s">
        <v>193</v>
      </c>
      <c r="G7" s="73">
        <v>0</v>
      </c>
      <c r="H7" s="73">
        <v>0</v>
      </c>
      <c r="I7" s="73">
        <v>0</v>
      </c>
      <c r="J7" s="73">
        <v>0</v>
      </c>
      <c r="K7" s="73">
        <v>1</v>
      </c>
      <c r="L7" s="73">
        <v>0</v>
      </c>
      <c r="M7" s="73">
        <v>1</v>
      </c>
      <c r="N7" s="73">
        <v>0</v>
      </c>
      <c r="O7" s="73">
        <v>1</v>
      </c>
      <c r="P7" s="64">
        <v>0</v>
      </c>
      <c r="Q7" s="73">
        <v>0</v>
      </c>
      <c r="R7" s="65">
        <v>1</v>
      </c>
      <c r="S7"/>
      <c r="T7"/>
    </row>
    <row r="8" spans="1:23" ht="15" customHeight="1" x14ac:dyDescent="0.15">
      <c r="A8" s="75" t="s">
        <v>56</v>
      </c>
      <c r="B8" s="82">
        <v>1</v>
      </c>
      <c r="C8" s="188" t="s">
        <v>216</v>
      </c>
      <c r="D8" s="77" t="s">
        <v>160</v>
      </c>
      <c r="F8" s="187" t="s">
        <v>194</v>
      </c>
      <c r="G8" s="73">
        <v>0</v>
      </c>
      <c r="H8" s="73">
        <v>0</v>
      </c>
      <c r="I8" s="73">
        <v>0</v>
      </c>
      <c r="J8" s="73">
        <v>0</v>
      </c>
      <c r="K8" s="73">
        <v>1</v>
      </c>
      <c r="L8" s="73">
        <v>0</v>
      </c>
      <c r="M8" s="73">
        <v>1</v>
      </c>
      <c r="N8" s="73">
        <v>0</v>
      </c>
      <c r="O8" s="73">
        <v>1</v>
      </c>
      <c r="P8" s="64">
        <v>0</v>
      </c>
      <c r="Q8" s="73">
        <v>0</v>
      </c>
      <c r="R8" s="65">
        <v>1</v>
      </c>
      <c r="S8"/>
      <c r="T8"/>
      <c r="W8"/>
    </row>
    <row r="9" spans="1:23" ht="15" customHeight="1" x14ac:dyDescent="0.15">
      <c r="A9" s="116" t="s">
        <v>168</v>
      </c>
      <c r="B9" s="84"/>
      <c r="C9" s="72"/>
      <c r="D9" s="77" t="s">
        <v>160</v>
      </c>
      <c r="F9" s="187" t="s">
        <v>195</v>
      </c>
      <c r="G9" s="73">
        <v>0</v>
      </c>
      <c r="H9" s="73">
        <v>0</v>
      </c>
      <c r="I9" s="73">
        <v>0</v>
      </c>
      <c r="J9" s="73">
        <v>0</v>
      </c>
      <c r="K9" s="73">
        <v>1</v>
      </c>
      <c r="L9" s="73">
        <v>0</v>
      </c>
      <c r="M9" s="73">
        <v>1</v>
      </c>
      <c r="N9" s="73">
        <v>0</v>
      </c>
      <c r="O9" s="73">
        <v>1</v>
      </c>
      <c r="P9" s="64">
        <v>0</v>
      </c>
      <c r="Q9" s="73">
        <v>0</v>
      </c>
      <c r="R9" s="65">
        <v>1</v>
      </c>
      <c r="S9"/>
      <c r="T9"/>
      <c r="W9"/>
    </row>
    <row r="10" spans="1:23" ht="15" customHeight="1" x14ac:dyDescent="0.15">
      <c r="B10" s="84"/>
      <c r="C10" s="72"/>
      <c r="D10" s="77" t="s">
        <v>160</v>
      </c>
      <c r="F10" s="187" t="s">
        <v>196</v>
      </c>
      <c r="G10" s="73">
        <v>0</v>
      </c>
      <c r="H10" s="73">
        <v>0</v>
      </c>
      <c r="I10" s="73">
        <v>0</v>
      </c>
      <c r="J10" s="73">
        <v>0</v>
      </c>
      <c r="K10" s="73">
        <v>1</v>
      </c>
      <c r="L10" s="73">
        <v>0</v>
      </c>
      <c r="M10" s="73">
        <v>1</v>
      </c>
      <c r="N10" s="73">
        <v>0</v>
      </c>
      <c r="O10" s="73">
        <v>1</v>
      </c>
      <c r="P10" s="64">
        <v>0</v>
      </c>
      <c r="Q10" s="73">
        <v>0</v>
      </c>
      <c r="R10" s="65">
        <v>1</v>
      </c>
      <c r="S10"/>
      <c r="T10"/>
      <c r="W10"/>
    </row>
    <row r="11" spans="1:23" ht="15" customHeight="1" x14ac:dyDescent="0.15">
      <c r="A11" s="75"/>
      <c r="B11" s="84"/>
      <c r="C11" s="87"/>
      <c r="D11" s="77" t="s">
        <v>160</v>
      </c>
      <c r="F11" s="187" t="s">
        <v>197</v>
      </c>
      <c r="G11" s="73">
        <v>0</v>
      </c>
      <c r="H11" s="73">
        <v>0</v>
      </c>
      <c r="I11" s="73">
        <v>0</v>
      </c>
      <c r="J11" s="73">
        <v>0</v>
      </c>
      <c r="K11" s="73">
        <v>1</v>
      </c>
      <c r="L11" s="73">
        <v>0</v>
      </c>
      <c r="M11" s="73">
        <v>1</v>
      </c>
      <c r="N11" s="73">
        <v>0</v>
      </c>
      <c r="O11" s="73">
        <v>1</v>
      </c>
      <c r="P11" s="64">
        <v>0</v>
      </c>
      <c r="Q11" s="73">
        <v>0</v>
      </c>
      <c r="R11" s="65">
        <v>1</v>
      </c>
      <c r="S11"/>
      <c r="T11"/>
      <c r="W11"/>
    </row>
    <row r="12" spans="1:23" ht="15" customHeight="1" x14ac:dyDescent="0.15">
      <c r="B12" s="84"/>
      <c r="C12" s="88"/>
      <c r="D12" s="77" t="s">
        <v>160</v>
      </c>
      <c r="F12" s="187" t="s">
        <v>198</v>
      </c>
      <c r="G12" s="73">
        <v>0</v>
      </c>
      <c r="H12" s="73">
        <v>0</v>
      </c>
      <c r="I12" s="73">
        <v>0</v>
      </c>
      <c r="J12" s="73">
        <v>0</v>
      </c>
      <c r="K12" s="73">
        <v>1</v>
      </c>
      <c r="L12" s="73">
        <v>0</v>
      </c>
      <c r="M12" s="73">
        <v>1</v>
      </c>
      <c r="N12" s="73">
        <v>0</v>
      </c>
      <c r="O12" s="73">
        <v>1</v>
      </c>
      <c r="P12" s="64">
        <v>0</v>
      </c>
      <c r="Q12" s="73">
        <v>0</v>
      </c>
      <c r="R12" s="65">
        <v>1</v>
      </c>
      <c r="S12"/>
      <c r="T12"/>
      <c r="W12"/>
    </row>
    <row r="13" spans="1:23" ht="15" customHeight="1" x14ac:dyDescent="0.15">
      <c r="B13" s="84"/>
      <c r="C13" s="88"/>
      <c r="D13" s="77" t="s">
        <v>160</v>
      </c>
      <c r="F13" s="187" t="s">
        <v>199</v>
      </c>
      <c r="G13" s="73">
        <v>0</v>
      </c>
      <c r="H13" s="73">
        <v>0</v>
      </c>
      <c r="I13" s="73">
        <v>0</v>
      </c>
      <c r="J13" s="73">
        <v>0</v>
      </c>
      <c r="K13" s="73">
        <v>1</v>
      </c>
      <c r="L13" s="73">
        <v>0</v>
      </c>
      <c r="M13" s="73">
        <v>1</v>
      </c>
      <c r="N13" s="73">
        <v>0</v>
      </c>
      <c r="O13" s="73">
        <v>1</v>
      </c>
      <c r="P13" s="64">
        <v>0</v>
      </c>
      <c r="Q13" s="73">
        <v>0</v>
      </c>
      <c r="R13" s="65">
        <v>1</v>
      </c>
      <c r="S13"/>
      <c r="T13"/>
      <c r="W13"/>
    </row>
    <row r="14" spans="1:23" ht="15" customHeight="1" x14ac:dyDescent="0.15">
      <c r="B14" s="84"/>
      <c r="C14" s="72"/>
      <c r="D14" s="77" t="s">
        <v>160</v>
      </c>
      <c r="F14" s="187" t="s">
        <v>200</v>
      </c>
      <c r="G14" s="73">
        <v>0</v>
      </c>
      <c r="H14" s="73">
        <v>0</v>
      </c>
      <c r="I14" s="73">
        <v>0</v>
      </c>
      <c r="J14" s="73">
        <v>0</v>
      </c>
      <c r="K14" s="73">
        <v>1</v>
      </c>
      <c r="L14" s="73">
        <v>0</v>
      </c>
      <c r="M14" s="73">
        <v>1</v>
      </c>
      <c r="N14" s="73">
        <v>0</v>
      </c>
      <c r="O14" s="73">
        <v>1</v>
      </c>
      <c r="P14" s="64">
        <v>0</v>
      </c>
      <c r="Q14" s="73">
        <v>0</v>
      </c>
      <c r="R14" s="65">
        <v>1</v>
      </c>
      <c r="S14"/>
      <c r="T14"/>
      <c r="W14"/>
    </row>
    <row r="15" spans="1:23" ht="15" customHeight="1" x14ac:dyDescent="0.15">
      <c r="B15" s="84"/>
      <c r="C15" s="72"/>
      <c r="D15" s="77" t="s">
        <v>160</v>
      </c>
      <c r="F15" s="187" t="s">
        <v>201</v>
      </c>
      <c r="G15" s="73">
        <v>0</v>
      </c>
      <c r="H15" s="73">
        <v>0</v>
      </c>
      <c r="I15" s="73">
        <v>0</v>
      </c>
      <c r="J15" s="73">
        <v>0</v>
      </c>
      <c r="K15" s="73">
        <v>1</v>
      </c>
      <c r="L15" s="73">
        <v>0</v>
      </c>
      <c r="M15" s="73">
        <v>1</v>
      </c>
      <c r="N15" s="73">
        <v>0</v>
      </c>
      <c r="O15" s="73">
        <v>1</v>
      </c>
      <c r="P15" s="64">
        <v>0</v>
      </c>
      <c r="Q15" s="73">
        <v>0</v>
      </c>
      <c r="R15" s="65">
        <v>1</v>
      </c>
      <c r="S15"/>
      <c r="T15"/>
      <c r="W15"/>
    </row>
    <row r="16" spans="1:23" ht="15" customHeight="1" x14ac:dyDescent="0.15">
      <c r="B16" s="84"/>
      <c r="C16" s="72"/>
      <c r="D16" s="77" t="s">
        <v>160</v>
      </c>
      <c r="F16" s="187" t="s">
        <v>202</v>
      </c>
      <c r="G16" s="73">
        <v>0</v>
      </c>
      <c r="H16" s="73">
        <v>0</v>
      </c>
      <c r="I16" s="73">
        <v>0</v>
      </c>
      <c r="J16" s="73">
        <v>0</v>
      </c>
      <c r="K16" s="73">
        <v>1</v>
      </c>
      <c r="L16" s="73">
        <v>0</v>
      </c>
      <c r="M16" s="73">
        <v>1</v>
      </c>
      <c r="N16" s="73">
        <v>0</v>
      </c>
      <c r="O16" s="73">
        <v>1</v>
      </c>
      <c r="P16" s="64">
        <v>0</v>
      </c>
      <c r="Q16" s="73">
        <v>0</v>
      </c>
      <c r="R16" s="65">
        <v>1</v>
      </c>
      <c r="S16"/>
      <c r="T16"/>
    </row>
    <row r="17" spans="1:20" ht="15" customHeight="1" thickBot="1" x14ac:dyDescent="0.2">
      <c r="B17" s="83"/>
      <c r="C17" s="72"/>
      <c r="D17" s="77" t="s">
        <v>160</v>
      </c>
      <c r="F17" s="187" t="s">
        <v>203</v>
      </c>
      <c r="G17" s="73">
        <v>0</v>
      </c>
      <c r="H17" s="73">
        <v>0</v>
      </c>
      <c r="I17" s="73">
        <v>0</v>
      </c>
      <c r="J17" s="73">
        <v>0</v>
      </c>
      <c r="K17" s="73">
        <v>1</v>
      </c>
      <c r="L17" s="73">
        <v>0</v>
      </c>
      <c r="M17" s="73">
        <v>1</v>
      </c>
      <c r="N17" s="73">
        <v>0</v>
      </c>
      <c r="O17" s="73">
        <v>1</v>
      </c>
      <c r="P17" s="64">
        <v>0</v>
      </c>
      <c r="Q17" s="73">
        <v>0</v>
      </c>
      <c r="R17" s="65">
        <v>1</v>
      </c>
      <c r="S17"/>
      <c r="T17"/>
    </row>
    <row r="18" spans="1:20" ht="15" customHeight="1" thickBot="1" x14ac:dyDescent="0.2">
      <c r="B18" s="85"/>
      <c r="F18" s="187" t="s">
        <v>204</v>
      </c>
      <c r="G18" s="73">
        <v>0</v>
      </c>
      <c r="H18" s="73">
        <v>0</v>
      </c>
      <c r="I18" s="73">
        <v>0</v>
      </c>
      <c r="J18" s="73">
        <v>0</v>
      </c>
      <c r="K18" s="73">
        <v>1</v>
      </c>
      <c r="L18" s="73">
        <v>0</v>
      </c>
      <c r="M18" s="73">
        <v>1</v>
      </c>
      <c r="N18" s="73">
        <v>0</v>
      </c>
      <c r="O18" s="73">
        <v>1</v>
      </c>
      <c r="P18" s="64">
        <v>0</v>
      </c>
      <c r="Q18" s="73">
        <v>0</v>
      </c>
      <c r="R18" s="65">
        <v>1</v>
      </c>
      <c r="S18"/>
      <c r="T18"/>
    </row>
    <row r="19" spans="1:20" ht="15" customHeight="1" x14ac:dyDescent="0.15">
      <c r="A19" s="75" t="s">
        <v>57</v>
      </c>
      <c r="B19" s="82">
        <v>1</v>
      </c>
      <c r="C19" s="189" t="s">
        <v>216</v>
      </c>
      <c r="D19" s="77" t="s">
        <v>160</v>
      </c>
      <c r="F19" s="187" t="s">
        <v>205</v>
      </c>
      <c r="G19" s="73">
        <v>0</v>
      </c>
      <c r="H19" s="73">
        <v>0</v>
      </c>
      <c r="I19" s="73">
        <v>0</v>
      </c>
      <c r="J19" s="73">
        <v>0</v>
      </c>
      <c r="K19" s="73">
        <v>1</v>
      </c>
      <c r="L19" s="73">
        <v>0</v>
      </c>
      <c r="M19" s="73">
        <v>1</v>
      </c>
      <c r="N19" s="73">
        <v>0</v>
      </c>
      <c r="O19" s="73">
        <v>1</v>
      </c>
      <c r="P19" s="64">
        <v>0</v>
      </c>
      <c r="Q19" s="73">
        <v>0</v>
      </c>
      <c r="R19" s="65">
        <v>1</v>
      </c>
      <c r="S19"/>
      <c r="T19"/>
    </row>
    <row r="20" spans="1:20" ht="15" customHeight="1" x14ac:dyDescent="0.15">
      <c r="A20" s="116" t="s">
        <v>168</v>
      </c>
      <c r="B20" s="84"/>
      <c r="C20" s="72"/>
      <c r="D20" s="77" t="s">
        <v>160</v>
      </c>
      <c r="F20" s="187" t="s">
        <v>206</v>
      </c>
      <c r="G20" s="73">
        <v>0</v>
      </c>
      <c r="H20" s="73">
        <v>0</v>
      </c>
      <c r="I20" s="73">
        <v>0</v>
      </c>
      <c r="J20" s="73">
        <v>0</v>
      </c>
      <c r="K20" s="73">
        <v>1</v>
      </c>
      <c r="L20" s="73">
        <v>0</v>
      </c>
      <c r="M20" s="73">
        <v>1</v>
      </c>
      <c r="N20" s="73">
        <v>0</v>
      </c>
      <c r="O20" s="73">
        <v>1</v>
      </c>
      <c r="P20" s="64">
        <v>0</v>
      </c>
      <c r="Q20" s="73">
        <v>0</v>
      </c>
      <c r="R20" s="65">
        <v>1</v>
      </c>
      <c r="S20"/>
      <c r="T20"/>
    </row>
    <row r="21" spans="1:20" ht="15" customHeight="1" x14ac:dyDescent="0.15">
      <c r="B21" s="84"/>
      <c r="C21" s="72"/>
      <c r="D21" s="77" t="s">
        <v>160</v>
      </c>
      <c r="F21" s="187" t="s">
        <v>207</v>
      </c>
      <c r="G21" s="73">
        <v>0</v>
      </c>
      <c r="H21" s="73">
        <v>0</v>
      </c>
      <c r="I21" s="73">
        <v>0</v>
      </c>
      <c r="J21" s="73">
        <v>0</v>
      </c>
      <c r="K21" s="73">
        <v>1</v>
      </c>
      <c r="L21" s="73">
        <v>0</v>
      </c>
      <c r="M21" s="73">
        <v>1</v>
      </c>
      <c r="N21" s="73">
        <v>0</v>
      </c>
      <c r="O21" s="73">
        <v>1</v>
      </c>
      <c r="P21" s="64">
        <v>0</v>
      </c>
      <c r="Q21" s="73">
        <v>0</v>
      </c>
      <c r="R21" s="65">
        <v>1</v>
      </c>
      <c r="S21"/>
      <c r="T21"/>
    </row>
    <row r="22" spans="1:20" ht="15" customHeight="1" x14ac:dyDescent="0.15">
      <c r="A22" s="73"/>
      <c r="B22" s="84"/>
      <c r="C22" s="87"/>
      <c r="D22" s="77" t="s">
        <v>160</v>
      </c>
      <c r="F22" s="187" t="s">
        <v>208</v>
      </c>
      <c r="G22" s="73">
        <v>0</v>
      </c>
      <c r="H22" s="73">
        <v>0</v>
      </c>
      <c r="I22" s="73">
        <v>0</v>
      </c>
      <c r="J22" s="73">
        <v>0</v>
      </c>
      <c r="K22" s="73">
        <v>1</v>
      </c>
      <c r="L22" s="73">
        <v>0</v>
      </c>
      <c r="M22" s="73">
        <v>1</v>
      </c>
      <c r="N22" s="73">
        <v>0</v>
      </c>
      <c r="O22" s="73">
        <v>1</v>
      </c>
      <c r="P22" s="64">
        <v>0</v>
      </c>
      <c r="Q22" s="73">
        <v>0</v>
      </c>
      <c r="R22" s="65">
        <v>1</v>
      </c>
      <c r="S22"/>
      <c r="T22"/>
    </row>
    <row r="23" spans="1:20" ht="15" customHeight="1" x14ac:dyDescent="0.15">
      <c r="A23" s="73"/>
      <c r="B23" s="84"/>
      <c r="C23" s="88"/>
      <c r="D23" s="77" t="s">
        <v>160</v>
      </c>
      <c r="F23" s="187" t="s">
        <v>209</v>
      </c>
      <c r="G23" s="73">
        <v>0</v>
      </c>
      <c r="H23" s="73">
        <v>0</v>
      </c>
      <c r="I23" s="73">
        <v>0</v>
      </c>
      <c r="J23" s="73">
        <v>0</v>
      </c>
      <c r="K23" s="73">
        <v>1</v>
      </c>
      <c r="L23" s="73">
        <v>0</v>
      </c>
      <c r="M23" s="73">
        <v>1</v>
      </c>
      <c r="N23" s="73">
        <v>0</v>
      </c>
      <c r="O23" s="73">
        <v>1</v>
      </c>
      <c r="P23" s="64">
        <v>0</v>
      </c>
      <c r="Q23" s="73">
        <v>0</v>
      </c>
      <c r="R23" s="65">
        <v>1</v>
      </c>
      <c r="S23"/>
      <c r="T23"/>
    </row>
    <row r="24" spans="1:20" ht="15" customHeight="1" x14ac:dyDescent="0.15">
      <c r="A24" s="73"/>
      <c r="B24" s="84"/>
      <c r="C24" s="88"/>
      <c r="D24" s="77" t="s">
        <v>160</v>
      </c>
      <c r="F24" s="187" t="s">
        <v>210</v>
      </c>
      <c r="G24" s="73">
        <v>0</v>
      </c>
      <c r="H24" s="73">
        <v>0</v>
      </c>
      <c r="I24" s="73">
        <v>0</v>
      </c>
      <c r="J24" s="73">
        <v>0</v>
      </c>
      <c r="K24" s="73">
        <v>1</v>
      </c>
      <c r="L24" s="73">
        <v>0</v>
      </c>
      <c r="M24" s="73">
        <v>1</v>
      </c>
      <c r="N24" s="73">
        <v>0</v>
      </c>
      <c r="O24" s="73">
        <v>1</v>
      </c>
      <c r="P24" s="64">
        <v>0</v>
      </c>
      <c r="Q24" s="73">
        <v>0</v>
      </c>
      <c r="R24" s="65">
        <v>1</v>
      </c>
      <c r="S24"/>
      <c r="T24"/>
    </row>
    <row r="25" spans="1:20" ht="15" customHeight="1" x14ac:dyDescent="0.15">
      <c r="A25" s="73"/>
      <c r="B25" s="84"/>
      <c r="C25" s="72"/>
      <c r="D25" s="77" t="s">
        <v>160</v>
      </c>
      <c r="F25" s="187" t="s">
        <v>211</v>
      </c>
      <c r="G25" s="73">
        <v>0</v>
      </c>
      <c r="H25" s="73">
        <v>0</v>
      </c>
      <c r="I25" s="73">
        <v>0</v>
      </c>
      <c r="J25" s="73">
        <v>0</v>
      </c>
      <c r="K25" s="73">
        <v>1</v>
      </c>
      <c r="L25" s="73">
        <v>0</v>
      </c>
      <c r="M25" s="73">
        <v>1</v>
      </c>
      <c r="N25" s="73">
        <v>0</v>
      </c>
      <c r="O25" s="73">
        <v>1</v>
      </c>
      <c r="P25" s="64">
        <v>0</v>
      </c>
      <c r="Q25" s="73">
        <v>0</v>
      </c>
      <c r="R25" s="65">
        <v>1</v>
      </c>
      <c r="S25"/>
      <c r="T25"/>
    </row>
    <row r="26" spans="1:20" ht="15" customHeight="1" x14ac:dyDescent="0.15">
      <c r="B26" s="84"/>
      <c r="C26" s="72"/>
      <c r="D26" s="77" t="s">
        <v>160</v>
      </c>
      <c r="F26" s="187" t="s">
        <v>212</v>
      </c>
      <c r="G26" s="73">
        <v>0</v>
      </c>
      <c r="H26" s="73">
        <v>0</v>
      </c>
      <c r="I26" s="73">
        <v>0</v>
      </c>
      <c r="J26" s="73">
        <v>0</v>
      </c>
      <c r="K26" s="73">
        <v>1</v>
      </c>
      <c r="L26" s="73">
        <v>0</v>
      </c>
      <c r="M26" s="73">
        <v>1</v>
      </c>
      <c r="N26" s="73">
        <v>0</v>
      </c>
      <c r="O26" s="73">
        <v>1</v>
      </c>
      <c r="P26" s="64">
        <v>0</v>
      </c>
      <c r="Q26" s="73">
        <v>0</v>
      </c>
      <c r="R26" s="65">
        <v>1</v>
      </c>
      <c r="S26"/>
      <c r="T26"/>
    </row>
    <row r="27" spans="1:20" ht="15" customHeight="1" x14ac:dyDescent="0.15">
      <c r="B27" s="84"/>
      <c r="C27" s="72"/>
      <c r="D27" s="77" t="s">
        <v>160</v>
      </c>
      <c r="F27" s="187" t="s">
        <v>213</v>
      </c>
      <c r="G27" s="73">
        <v>0</v>
      </c>
      <c r="H27" s="73">
        <v>0</v>
      </c>
      <c r="I27" s="73">
        <v>0</v>
      </c>
      <c r="J27" s="73">
        <v>0</v>
      </c>
      <c r="K27" s="73">
        <v>1</v>
      </c>
      <c r="L27" s="73">
        <v>0</v>
      </c>
      <c r="M27" s="73">
        <v>1</v>
      </c>
      <c r="N27" s="73">
        <v>0</v>
      </c>
      <c r="O27" s="73">
        <v>1</v>
      </c>
      <c r="P27" s="64">
        <v>0</v>
      </c>
      <c r="Q27" s="73">
        <v>0</v>
      </c>
      <c r="R27" s="65">
        <v>1</v>
      </c>
      <c r="S27"/>
      <c r="T27"/>
    </row>
    <row r="28" spans="1:20" ht="15" customHeight="1" thickBot="1" x14ac:dyDescent="0.2">
      <c r="B28" s="83"/>
      <c r="C28" s="72"/>
      <c r="D28" s="77" t="s">
        <v>160</v>
      </c>
      <c r="F28" s="187" t="s">
        <v>214</v>
      </c>
      <c r="G28" s="73">
        <v>0</v>
      </c>
      <c r="H28" s="73">
        <v>0</v>
      </c>
      <c r="I28" s="73">
        <v>0</v>
      </c>
      <c r="J28" s="73">
        <v>0</v>
      </c>
      <c r="K28" s="73">
        <v>1</v>
      </c>
      <c r="L28" s="73">
        <v>0</v>
      </c>
      <c r="M28" s="73">
        <v>1</v>
      </c>
      <c r="N28" s="73">
        <v>0</v>
      </c>
      <c r="O28" s="73">
        <v>1</v>
      </c>
      <c r="P28" s="64">
        <v>0</v>
      </c>
      <c r="Q28" s="73">
        <v>0</v>
      </c>
      <c r="R28" s="65">
        <v>1</v>
      </c>
      <c r="S28"/>
      <c r="T28"/>
    </row>
    <row r="29" spans="1:20" ht="15" customHeight="1" x14ac:dyDescent="0.15">
      <c r="F29" s="187" t="s">
        <v>215</v>
      </c>
      <c r="G29" s="73">
        <v>0</v>
      </c>
      <c r="H29" s="73">
        <v>0</v>
      </c>
      <c r="I29" s="73">
        <v>0</v>
      </c>
      <c r="J29" s="73">
        <v>0</v>
      </c>
      <c r="K29" s="73">
        <v>1</v>
      </c>
      <c r="L29" s="73">
        <v>0</v>
      </c>
      <c r="M29" s="73">
        <v>1</v>
      </c>
      <c r="N29" s="73">
        <v>0</v>
      </c>
      <c r="O29" s="73">
        <v>1</v>
      </c>
      <c r="P29" s="64">
        <v>0</v>
      </c>
      <c r="Q29" s="73">
        <v>0</v>
      </c>
      <c r="R29" s="65">
        <v>1</v>
      </c>
      <c r="S29"/>
      <c r="T29"/>
    </row>
    <row r="30" spans="1:20" ht="15" customHeight="1" x14ac:dyDescent="0.15">
      <c r="F30" s="187" t="s">
        <v>216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0</v>
      </c>
      <c r="M30" s="73">
        <v>1</v>
      </c>
      <c r="N30" s="73">
        <v>0</v>
      </c>
      <c r="O30" s="73">
        <v>0</v>
      </c>
      <c r="P30" s="64">
        <v>0</v>
      </c>
      <c r="Q30" s="73">
        <v>0</v>
      </c>
      <c r="R30" s="65">
        <v>1</v>
      </c>
      <c r="S30"/>
      <c r="T30"/>
    </row>
    <row r="31" spans="1:20" ht="15" customHeight="1" x14ac:dyDescent="0.15">
      <c r="A31" s="117"/>
      <c r="B31" s="128" t="s">
        <v>17</v>
      </c>
      <c r="C31" s="128" t="s">
        <v>1</v>
      </c>
      <c r="D31" s="128" t="s">
        <v>161</v>
      </c>
      <c r="E31" s="129" t="s">
        <v>163</v>
      </c>
      <c r="F31" s="187" t="s">
        <v>217</v>
      </c>
      <c r="G31" s="73">
        <v>0</v>
      </c>
      <c r="H31" s="73">
        <v>0</v>
      </c>
      <c r="I31" s="73">
        <v>0</v>
      </c>
      <c r="J31" s="73">
        <v>0</v>
      </c>
      <c r="K31" s="73">
        <v>0</v>
      </c>
      <c r="L31" s="73">
        <v>1</v>
      </c>
      <c r="M31" s="73">
        <v>0</v>
      </c>
      <c r="N31" s="73">
        <v>1</v>
      </c>
      <c r="O31" s="73">
        <v>0</v>
      </c>
      <c r="P31" s="64">
        <v>1</v>
      </c>
      <c r="Q31" s="73">
        <v>0</v>
      </c>
      <c r="R31" s="65">
        <v>1</v>
      </c>
      <c r="S31"/>
      <c r="T31"/>
    </row>
    <row r="32" spans="1:20" ht="15" customHeight="1" x14ac:dyDescent="0.15">
      <c r="A32" s="190" t="s">
        <v>216</v>
      </c>
      <c r="B32" s="85">
        <v>26.140132900000001</v>
      </c>
      <c r="C32" s="85">
        <v>66.396000000000001</v>
      </c>
      <c r="D32" s="85">
        <v>1735.6002640284</v>
      </c>
      <c r="E32" s="119">
        <v>1</v>
      </c>
      <c r="F32" s="187" t="s">
        <v>218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1</v>
      </c>
      <c r="M32" s="73">
        <v>0</v>
      </c>
      <c r="N32" s="73">
        <v>1</v>
      </c>
      <c r="O32" s="73">
        <v>0</v>
      </c>
      <c r="P32" s="64">
        <v>1</v>
      </c>
      <c r="Q32" s="73">
        <v>0</v>
      </c>
      <c r="R32" s="65">
        <v>1</v>
      </c>
      <c r="S32"/>
      <c r="T32"/>
    </row>
    <row r="33" spans="1:20" ht="15" customHeight="1" x14ac:dyDescent="0.15">
      <c r="A33" s="118"/>
      <c r="B33" s="85"/>
      <c r="C33" s="85"/>
      <c r="D33" s="85"/>
      <c r="E33" s="119"/>
      <c r="F33" s="187" t="s">
        <v>219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1</v>
      </c>
      <c r="M33" s="73">
        <v>0</v>
      </c>
      <c r="N33" s="73">
        <v>1</v>
      </c>
      <c r="O33" s="73">
        <v>0</v>
      </c>
      <c r="P33" s="64">
        <v>1</v>
      </c>
      <c r="Q33" s="73">
        <v>0</v>
      </c>
      <c r="R33" s="65">
        <v>1</v>
      </c>
      <c r="S33"/>
      <c r="T33"/>
    </row>
    <row r="34" spans="1:20" ht="15" customHeight="1" x14ac:dyDescent="0.15">
      <c r="A34" s="120"/>
      <c r="B34" s="85"/>
      <c r="C34" s="85"/>
      <c r="D34" s="85"/>
      <c r="E34" s="119"/>
      <c r="F34" s="187" t="s">
        <v>220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1</v>
      </c>
      <c r="M34" s="73">
        <v>0</v>
      </c>
      <c r="N34" s="73">
        <v>0</v>
      </c>
      <c r="O34" s="73">
        <v>0</v>
      </c>
      <c r="P34" s="64">
        <v>0</v>
      </c>
      <c r="Q34" s="73">
        <v>0</v>
      </c>
      <c r="R34" s="65">
        <v>1</v>
      </c>
      <c r="S34"/>
      <c r="T34"/>
    </row>
    <row r="35" spans="1:20" ht="15" customHeight="1" x14ac:dyDescent="0.15">
      <c r="A35" s="121"/>
      <c r="B35" s="85"/>
      <c r="C35" s="85"/>
      <c r="D35" s="85"/>
      <c r="E35" s="119"/>
      <c r="F35" s="187" t="s">
        <v>221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1</v>
      </c>
      <c r="M35" s="73">
        <v>0</v>
      </c>
      <c r="N35" s="73">
        <v>0</v>
      </c>
      <c r="O35" s="73">
        <v>0</v>
      </c>
      <c r="P35" s="64">
        <v>0</v>
      </c>
      <c r="Q35" s="73">
        <v>0</v>
      </c>
      <c r="R35" s="65">
        <v>1</v>
      </c>
      <c r="S35"/>
      <c r="T35"/>
    </row>
    <row r="36" spans="1:20" ht="15" customHeight="1" x14ac:dyDescent="0.15">
      <c r="A36" s="122"/>
      <c r="B36" s="85"/>
      <c r="C36" s="85"/>
      <c r="D36" s="85"/>
      <c r="E36" s="119"/>
      <c r="F36" s="187" t="s">
        <v>228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1</v>
      </c>
      <c r="M36" s="73">
        <v>0</v>
      </c>
      <c r="N36" s="73">
        <v>0</v>
      </c>
      <c r="O36" s="73">
        <v>0</v>
      </c>
      <c r="P36" s="64">
        <v>0</v>
      </c>
      <c r="Q36" s="73">
        <v>0</v>
      </c>
      <c r="R36" s="65">
        <v>1</v>
      </c>
      <c r="S36"/>
      <c r="T36"/>
    </row>
    <row r="37" spans="1:20" ht="15" customHeight="1" x14ac:dyDescent="0.15">
      <c r="A37" s="122"/>
      <c r="B37" s="85"/>
      <c r="C37" s="85"/>
      <c r="D37" s="85"/>
      <c r="E37" s="119"/>
      <c r="F37" s="187" t="s">
        <v>229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1</v>
      </c>
      <c r="M37" s="73">
        <v>0</v>
      </c>
      <c r="N37" s="73">
        <v>0</v>
      </c>
      <c r="O37" s="73">
        <v>0</v>
      </c>
      <c r="P37" s="64">
        <v>0</v>
      </c>
      <c r="Q37" s="73">
        <v>0</v>
      </c>
      <c r="R37" s="65">
        <v>1</v>
      </c>
      <c r="S37"/>
      <c r="T37"/>
    </row>
    <row r="38" spans="1:20" ht="15" customHeight="1" x14ac:dyDescent="0.15">
      <c r="A38" s="123"/>
      <c r="B38" s="85"/>
      <c r="C38" s="85"/>
      <c r="D38" s="85"/>
      <c r="E38" s="11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3"/>
      <c r="B39" s="85"/>
      <c r="C39" s="85"/>
      <c r="D39" s="85"/>
      <c r="E39" s="11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3"/>
      <c r="B40" s="85"/>
      <c r="C40" s="85"/>
      <c r="D40" s="85"/>
      <c r="E40" s="11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3"/>
      <c r="B41" s="85"/>
      <c r="C41" s="85"/>
      <c r="D41" s="86"/>
      <c r="E41" s="1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5"/>
      <c r="B42" s="126"/>
      <c r="C42" s="126" t="s">
        <v>162</v>
      </c>
      <c r="D42" s="126">
        <f>SUM(D32:D41)</f>
        <v>1735.6002640284</v>
      </c>
      <c r="E42" s="12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N192"/>
  <sheetViews>
    <sheetView workbookViewId="0">
      <pane xSplit="1" ySplit="1" topLeftCell="B21" activePane="bottomRight" state="frozen"/>
      <selection pane="topRight" activeCell="B1" sqref="B1"/>
      <selection pane="bottomLeft" activeCell="A2" sqref="A2"/>
      <selection pane="bottomRight" activeCell="A36" sqref="A36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2" customWidth="1"/>
    <col min="3" max="5" width="7.83203125" style="102" customWidth="1"/>
    <col min="6" max="8" width="8.83203125" style="6"/>
    <col min="9" max="9" width="13.33203125" style="6" customWidth="1"/>
    <col min="10" max="10" width="9.1640625" style="6" customWidth="1"/>
    <col min="11" max="11" width="10.5" style="6" customWidth="1"/>
    <col min="12" max="12" width="11.1640625" style="6" customWidth="1"/>
    <col min="13" max="13" width="13.1640625" style="6" customWidth="1"/>
    <col min="14" max="14" width="6" style="6" customWidth="1"/>
    <col min="15" max="15" width="10.5" style="6" customWidth="1"/>
    <col min="16" max="16" width="10.1640625" style="6" customWidth="1"/>
    <col min="17" max="17" width="13.5" style="6" customWidth="1"/>
    <col min="18" max="18" width="9.33203125" style="6" customWidth="1"/>
    <col min="19" max="19" width="11" style="6" customWidth="1"/>
    <col min="20" max="20" width="10.5" style="6" customWidth="1"/>
    <col min="21" max="21" width="9.6640625" style="6" customWidth="1"/>
    <col min="22" max="22" width="13.5" style="6" customWidth="1"/>
    <col min="23" max="23" width="13.83203125" style="6" customWidth="1"/>
    <col min="24" max="24" width="11.83203125" style="6" customWidth="1"/>
    <col min="25" max="25" width="15.1640625" style="6" customWidth="1"/>
    <col min="26" max="26" width="8.6640625" style="6" customWidth="1"/>
    <col min="27" max="27" width="7.1640625" style="6" customWidth="1"/>
    <col min="28" max="28" width="6.1640625" style="6" customWidth="1"/>
    <col min="29" max="29" width="10.5" style="6" customWidth="1"/>
    <col min="30" max="30" width="12.33203125" style="6" customWidth="1"/>
    <col min="31" max="31" width="11.33203125" style="6" customWidth="1"/>
    <col min="32" max="32" width="11.83203125" style="6" customWidth="1"/>
    <col min="33" max="33" width="13.1640625" style="6" customWidth="1"/>
    <col min="34" max="34" width="13" style="6" customWidth="1"/>
    <col min="35" max="35" width="7.6640625" style="6" customWidth="1"/>
    <col min="36" max="36" width="21.6640625" style="6" customWidth="1"/>
    <col min="37" max="37" width="11.33203125" style="6" customWidth="1"/>
    <col min="38" max="38" width="12" style="6" customWidth="1"/>
    <col min="39" max="39" width="7.5" customWidth="1"/>
    <col min="40" max="40" width="6" customWidth="1"/>
    <col min="81" max="81" width="22.1640625" bestFit="1" customWidth="1"/>
  </cols>
  <sheetData>
    <row r="1" spans="1:40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 t="s">
        <v>38</v>
      </c>
      <c r="G1" t="s">
        <v>40</v>
      </c>
      <c r="H1" t="s">
        <v>41</v>
      </c>
      <c r="I1" s="192" t="s">
        <v>192</v>
      </c>
      <c r="J1" s="192" t="s">
        <v>193</v>
      </c>
      <c r="K1" s="192" t="s">
        <v>194</v>
      </c>
      <c r="L1" s="192" t="s">
        <v>195</v>
      </c>
      <c r="M1" s="192" t="s">
        <v>196</v>
      </c>
      <c r="N1" s="192" t="s">
        <v>197</v>
      </c>
      <c r="O1" s="192" t="s">
        <v>198</v>
      </c>
      <c r="P1" s="192" t="s">
        <v>199</v>
      </c>
      <c r="Q1" s="192" t="s">
        <v>200</v>
      </c>
      <c r="R1" s="192" t="s">
        <v>201</v>
      </c>
      <c r="S1" s="192" t="s">
        <v>202</v>
      </c>
      <c r="T1" s="192" t="s">
        <v>203</v>
      </c>
      <c r="U1" s="192" t="s">
        <v>204</v>
      </c>
      <c r="V1" s="192" t="s">
        <v>205</v>
      </c>
      <c r="W1" s="192" t="s">
        <v>206</v>
      </c>
      <c r="X1" s="192" t="s">
        <v>207</v>
      </c>
      <c r="Y1" s="192" t="s">
        <v>208</v>
      </c>
      <c r="Z1" s="192" t="s">
        <v>209</v>
      </c>
      <c r="AA1" s="192" t="s">
        <v>210</v>
      </c>
      <c r="AB1" s="192" t="s">
        <v>211</v>
      </c>
      <c r="AC1" s="192" t="s">
        <v>212</v>
      </c>
      <c r="AD1" s="192" t="s">
        <v>213</v>
      </c>
      <c r="AE1" s="192" t="s">
        <v>214</v>
      </c>
      <c r="AF1" s="192" t="s">
        <v>215</v>
      </c>
      <c r="AG1" s="192" t="s">
        <v>216</v>
      </c>
      <c r="AH1" s="192" t="s">
        <v>217</v>
      </c>
      <c r="AI1" s="192" t="s">
        <v>218</v>
      </c>
      <c r="AJ1" s="192" t="s">
        <v>219</v>
      </c>
      <c r="AK1" s="192" t="s">
        <v>220</v>
      </c>
      <c r="AL1" s="192" t="s">
        <v>221</v>
      </c>
      <c r="AM1" s="192" t="s">
        <v>228</v>
      </c>
      <c r="AN1" s="192" t="s">
        <v>229</v>
      </c>
    </row>
    <row r="2" spans="1:40" x14ac:dyDescent="0.15">
      <c r="A2" t="s">
        <v>38</v>
      </c>
      <c r="B2" s="10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0" x14ac:dyDescent="0.15">
      <c r="A3" t="s">
        <v>40</v>
      </c>
      <c r="B3" s="10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0" x14ac:dyDescent="0.15">
      <c r="A4" t="s">
        <v>41</v>
      </c>
      <c r="B4" s="10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0" x14ac:dyDescent="0.15">
      <c r="A5" s="191" t="s">
        <v>192</v>
      </c>
      <c r="B5" s="10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0" x14ac:dyDescent="0.15">
      <c r="A6" s="191" t="s">
        <v>193</v>
      </c>
      <c r="B6" s="10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0" x14ac:dyDescent="0.15">
      <c r="A7" s="191" t="s">
        <v>194</v>
      </c>
      <c r="B7" s="10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0" x14ac:dyDescent="0.15">
      <c r="A8" s="191" t="s">
        <v>195</v>
      </c>
      <c r="B8" s="10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0" x14ac:dyDescent="0.15">
      <c r="A9" s="191" t="s">
        <v>196</v>
      </c>
      <c r="B9" s="10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0" x14ac:dyDescent="0.15">
      <c r="A10" s="191" t="s">
        <v>197</v>
      </c>
      <c r="B10" s="10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0" x14ac:dyDescent="0.15">
      <c r="A11" s="191" t="s">
        <v>198</v>
      </c>
      <c r="B11" s="10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0" x14ac:dyDescent="0.15">
      <c r="A12" s="191" t="s">
        <v>199</v>
      </c>
      <c r="B12" s="10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0" x14ac:dyDescent="0.15">
      <c r="A13" s="191" t="s">
        <v>200</v>
      </c>
      <c r="B13" s="10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0" x14ac:dyDescent="0.15">
      <c r="A14" s="191" t="s">
        <v>201</v>
      </c>
      <c r="B14" s="10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0" x14ac:dyDescent="0.15">
      <c r="A15" s="191" t="s">
        <v>202</v>
      </c>
      <c r="B15" s="10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0" x14ac:dyDescent="0.15">
      <c r="A16" s="191" t="s">
        <v>203</v>
      </c>
      <c r="B16" s="10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1" t="s">
        <v>204</v>
      </c>
      <c r="B17" s="10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1" t="s">
        <v>205</v>
      </c>
      <c r="B18" s="10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1" t="s">
        <v>206</v>
      </c>
      <c r="B19" s="10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1" t="s">
        <v>207</v>
      </c>
      <c r="B20" s="10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1" t="s">
        <v>208</v>
      </c>
      <c r="B21" s="10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1" t="s">
        <v>209</v>
      </c>
      <c r="B22" s="10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1" t="s">
        <v>210</v>
      </c>
      <c r="B23" s="10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1" t="s">
        <v>211</v>
      </c>
      <c r="B24" s="10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1" t="s">
        <v>212</v>
      </c>
      <c r="B25" s="10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1" t="s">
        <v>213</v>
      </c>
      <c r="B26" s="10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1" t="s">
        <v>214</v>
      </c>
      <c r="B27" s="10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1" t="s">
        <v>215</v>
      </c>
      <c r="B28" s="10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1" t="s">
        <v>216</v>
      </c>
      <c r="B29" s="10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1" t="s">
        <v>217</v>
      </c>
      <c r="B30" s="10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1" t="s">
        <v>218</v>
      </c>
      <c r="B31" s="10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1" t="s">
        <v>219</v>
      </c>
      <c r="B32" s="10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1" t="s">
        <v>220</v>
      </c>
      <c r="B33" s="10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1" t="s">
        <v>221</v>
      </c>
      <c r="B34" s="10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1" t="s">
        <v>228</v>
      </c>
      <c r="B35" s="10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1" t="s">
        <v>229</v>
      </c>
      <c r="B36" s="102">
        <v>0</v>
      </c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2023-09-19T01:16:35Z</dcterms:modified>
</cp:coreProperties>
</file>