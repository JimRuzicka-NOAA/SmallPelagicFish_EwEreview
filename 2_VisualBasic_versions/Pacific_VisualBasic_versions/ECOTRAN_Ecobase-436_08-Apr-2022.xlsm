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FE4FE255-F01F-7C45-A31E-7D9601BB72E8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Main!$C$2:$N$23</definedName>
    <definedName name="matDetritus">Detritus!$C$2:$E$23</definedName>
    <definedName name="matDiet">Diets!$B$2:$T$23</definedName>
    <definedName name="matDiscards">Discards!$C$2:$C$22</definedName>
    <definedName name="matFishery">Fishing!$C$2:$C$22</definedName>
    <definedName name="matFishing">Fishing!#REF!</definedName>
    <definedName name="matMort">Mortalities!$A$1:$Y$22</definedName>
    <definedName name="matOut">MainOutputs!$A$2:$I$23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<sst xmlns="http://schemas.openxmlformats.org/spreadsheetml/2006/main" count="746" uniqueCount="217">
  <si>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</si>
  <si>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</si>
  <si>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</si>
  <si>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</si>
  <si>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</si>
  <si>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</si>
  <si>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</si>
  <si>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</si>
  <si>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</si>
  <si>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</si>
  <si>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</si>
  <si>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</si>
  <si>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</si>
  <si>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</si>
  <si>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</si>
  <si>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</si>
  <si>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</si>
  <si>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</si>
  <si>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</si>
  <si>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</si>
  <si>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</si>
  <si>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</si>
  <si>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</si>
  <si>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</si>
  <si>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</si>
  <si>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</si>
  <si>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</si>
  <si>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</si>
  <si>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</si>
  <si>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</si>
  <si>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</si>
  <si>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</si>
  <si>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</si>
  <si>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</si>
  <si>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</si>
  <si>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</si>
  <si>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</si>
  <si>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</si>
  <si>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</si>
  <si>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</si>
  <si>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</si>
  <si>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</si>
  <si>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</si>
  <si>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</si>
  <si>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</si>
  <si>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</si>
  <si>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</si>
  <si>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</si>
  <si>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</si>
  <si>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</si>
  <si>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</si>
  <si>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</si>
  <si>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</si>
  <si>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</si>
  <si>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</si>
  <si>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</si>
  <si>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</si>
  <si>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</si>
  <si>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</si>
  <si>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</si>
  <si>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</si>
  <si>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</si>
  <si>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</si>
  <si>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</si>
  <si>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</si>
  <si>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</si>
  <si>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</si>
  <si>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</si>
  <si>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</si>
  <si>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</si>
  <si>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</si>
  <si>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</si>
  <si>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</si>
  <si>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</si>
  <si>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</si>
  <si>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</si>
  <si>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</si>
  <si>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</si>
  <si>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</si>
  <si>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</si>
  <si>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</si>
  <si>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</si>
  <si>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</si>
  <si>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</si>
  <si>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</si>
  <si>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</si>
  <si>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</si>
  <si>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</si>
  <si>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</si>
  <si>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</si>
  <si>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</si>
  <si>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</si>
  <si>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</si>
  <si>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</si>
  <si>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</si>
  <si>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</si>
  <si>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</si>
  <si>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</si>
  <si>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</si>
  <si>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</si>
  <si>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</si>
  <si>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</si>
  <si>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</si>
  <si>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</si>
  <si>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</si>
  <si>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</si>
  <si>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</si>
  <si>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</si>
  <si>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</si>
  <si>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</si>
  <si>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</si>
  <si>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</si>
  <si>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</si>
  <si>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</si>
  <si>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</si>
  <si>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</si>
  <si>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</si>
  <si>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</si>
  <si>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</si>
  <si>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</si>
  <si>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</si>
  <si>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</si>
  <si>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</si>
  <si>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</si>
  <si>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</si>
  <si>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</si>
  <si>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</si>
  <si>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</si>
  <si>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</si>
  <si>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</si>
  <si>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</si>
  <si>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</si>
  <si>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</si>
  <si>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</si>
  <si>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</si>
  <si>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</si>
  <si>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</si>
  <si>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</si>
  <si>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</si>
  <si>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</si>
  <si>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</si>
  <si>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</si>
  <si>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</si>
  <si>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</si>
  <si>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</si>
  <si>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</si>
  <si>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</si>
  <si>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</si>
  <si>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</si>
  <si>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</si>
  <si>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</si>
  <si>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</si>
  <si>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</si>
  <si>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</si>
  <si>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</si>
  <si>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</si>
  <si>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</si>
  <si>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</si>
  <si>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</si>
  <si>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</si>
  <si>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</si>
  <si>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</si>
  <si>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</si>
  <si>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</si>
  <si>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</si>
  <si>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</si>
  <si>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cephalopods</t>
  </si>
  <si>
    <t>piscivorous fish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</si>
  <si>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</si>
  <si>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</si>
  <si>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</si>
  <si>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</si>
  <si>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</si>
  <si>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</si>
  <si>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</si>
  <si>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</si>
  <si>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</si>
  <si>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</si>
  <si>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</si>
  <si>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</si>
  <si>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</si>
  <si>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</si>
  <si>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</si>
  <si>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</si>
  <si>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</si>
  <si>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</si>
  <si>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</si>
  <si>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Western Tropical Pacific Ocean</t>
  </si>
  <si>
    <t>Not affiliated</t>
  </si>
  <si>
    <t>BOX(110 -15,180 15)</t>
  </si>
  <si>
    <t>open ocean</t>
  </si>
  <si>
    <t>WetWeight</t>
  </si>
  <si>
    <t>No description</t>
  </si>
  <si>
    <t>Godinot O.,Allain V.(2003). A preliminary Ecopath model of the warm pool pelagic ecosystem Standing Committee on Tuna and Billfish Working Paper</t>
  </si>
  <si>
    <t>Swordfish</t>
  </si>
  <si>
    <t>Other billfish</t>
  </si>
  <si>
    <t>Blue shark</t>
  </si>
  <si>
    <t>other sharks</t>
  </si>
  <si>
    <t>bigeye tuna</t>
  </si>
  <si>
    <t>yellowfin tuna</t>
  </si>
  <si>
    <t>skipjack tuna</t>
  </si>
  <si>
    <t>small billfish</t>
  </si>
  <si>
    <t>small sharks</t>
  </si>
  <si>
    <t>small scombrids</t>
  </si>
  <si>
    <t>epipelagic fish</t>
  </si>
  <si>
    <t>mesopelagic fish</t>
  </si>
  <si>
    <t>crustacea</t>
  </si>
  <si>
    <t>mesozooplankton</t>
  </si>
  <si>
    <t>microzooplankton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</si>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</sst>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02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C7FF00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85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8AFF00"/>
        <bgColor indexed="64"/>
      </patternFill>
    </fill>
    <fill>
      <patternFill patternType="solid">
        <fgColor rgb="FFFFF8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EFF00"/>
        <bgColor indexed="64"/>
      </patternFill>
    </fill>
    <fill>
      <patternFill patternType="solid">
        <fgColor rgb="FFFF1C00"/>
        <bgColor indexed="64"/>
      </patternFill>
    </fill>
    <fill>
      <patternFill patternType="solid">
        <fgColor rgb="FFF7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2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3" borderId="2" xfId="0" applyFont="1" applyFill="1" applyBorder="1" applyAlignment="1">
      <alignment horizontal="center"/>
    </xf>
    <xf numFmtId="0" fontId="1" fillId="23" borderId="4" xfId="0" applyFont="1" applyFill="1" applyBorder="1" applyAlignment="1">
      <alignment horizontal="center"/>
    </xf>
    <xf numFmtId="0" fontId="1" fillId="23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3" borderId="5" xfId="0" applyFill="1" applyBorder="1"/>
    <xf numFmtId="0" fontId="0" fillId="23" borderId="6" xfId="0" applyFill="1" applyBorder="1"/>
    <xf numFmtId="0" fontId="0" fillId="23" borderId="7" xfId="0" applyFill="1" applyBorder="1"/>
    <xf numFmtId="0" fontId="0" fillId="23" borderId="8" xfId="0" applyFill="1" applyBorder="1"/>
    <xf numFmtId="0" fontId="0" fillId="23" borderId="9" xfId="0" applyFill="1" applyBorder="1"/>
    <xf numFmtId="0" fontId="0" fillId="23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0" borderId="0" xfId="0" applyFont="1" applyAlignment="1">
      <alignment horizontal="center"/>
    </xf>
    <xf numFmtId="0" fontId="0" fillId="32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4" borderId="0" xfId="0" applyFill="1"/>
    <xf numFmtId="0" fontId="0" fillId="3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3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3" borderId="3" xfId="0" applyNumberFormat="1" applyFont="1" applyFill="1" applyBorder="1"/>
    <xf numFmtId="0" fontId="0" fillId="33" borderId="2" xfId="0" applyFont="1" applyFill="1" applyBorder="1"/>
    <xf numFmtId="0" fontId="0" fillId="33" borderId="3" xfId="0" applyFont="1" applyFill="1" applyBorder="1"/>
    <xf numFmtId="0" fontId="0" fillId="33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6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3" borderId="2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25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0" t="s">
        <v>164</v>
      </c>
    </row>
    <row r="6" spans="2:4" ht="14" thickBot="1" x14ac:dyDescent="0.2">
      <c r="B6" s="44" t="s">
        <v>141</v>
      </c>
    </row>
    <row r="7" spans="2:4" x14ac:dyDescent="0.15">
      <c r="B7" s="60" t="s">
        <v>143</v>
      </c>
    </row>
    <row r="8" spans="2:4" x14ac:dyDescent="0.15">
      <c r="B8" s="60" t="s">
        <v>142</v>
      </c>
    </row>
    <row r="9" spans="2:4" x14ac:dyDescent="0.15">
      <c r="B9" s="60" t="s">
        <v>144</v>
      </c>
    </row>
    <row r="10" spans="2:4" x14ac:dyDescent="0.15">
      <c r="B10" s="60" t="s">
        <v>147</v>
      </c>
    </row>
    <row r="11" spans="2:4" x14ac:dyDescent="0.15">
      <c r="B11" s="60" t="s">
        <v>151</v>
      </c>
    </row>
    <row r="12" spans="2:4" x14ac:dyDescent="0.15">
      <c r="B12" s="60" t="s">
        <v>153</v>
      </c>
    </row>
    <row r="13" spans="2:4" x14ac:dyDescent="0.15">
      <c r="B13" s="60" t="s">
        <v>165</v>
      </c>
    </row>
    <row r="15" spans="2:4" ht="14" thickBot="1" x14ac:dyDescent="0.2"/>
    <row r="16" spans="2:4" ht="14" thickBot="1" x14ac:dyDescent="0.2">
      <c r="B16" s="45" t="s">
        <v>137</v>
      </c>
      <c r="C16" s="46"/>
      <c r="D16" s="28">
        <v>41373</v>
      </c>
    </row>
    <row r="17" spans="2:4" x14ac:dyDescent="0.15">
      <c r="B17" s="47" t="s">
        <v>58</v>
      </c>
      <c r="C17" s="31">
        <v>0</v>
      </c>
    </row>
    <row r="18" spans="2:4" x14ac:dyDescent="0.15">
      <c r="B18" s="47" t="s">
        <v>59</v>
      </c>
      <c r="C18" s="31">
        <v>1</v>
      </c>
    </row>
    <row r="19" spans="2:4" x14ac:dyDescent="0.15">
      <c r="B19" s="47" t="s">
        <v>60</v>
      </c>
      <c r="C19" s="31">
        <v>2</v>
      </c>
    </row>
    <row r="20" spans="2:4" ht="14" thickBot="1" x14ac:dyDescent="0.2">
      <c r="B20" s="48" t="s">
        <v>44</v>
      </c>
      <c r="C20" s="32">
        <v>3</v>
      </c>
    </row>
    <row r="21" spans="2:4" x14ac:dyDescent="0.15">
      <c r="B21" s="49" t="s">
        <v>140</v>
      </c>
    </row>
    <row r="22" spans="2:4" ht="14" thickBot="1" x14ac:dyDescent="0.2"/>
    <row r="23" spans="2:4" ht="14" thickBot="1" x14ac:dyDescent="0.2">
      <c r="B23" s="45" t="s">
        <v>65</v>
      </c>
      <c r="C23" s="46"/>
      <c r="D23" s="28" t="s">
        <v>148</v>
      </c>
    </row>
    <row r="24" spans="2:4" x14ac:dyDescent="0.15">
      <c r="B24" s="51" t="s">
        <v>38</v>
      </c>
      <c r="C24" s="29">
        <v>1</v>
      </c>
    </row>
    <row r="25" spans="2:4" x14ac:dyDescent="0.15">
      <c r="B25" s="47" t="s">
        <v>40</v>
      </c>
      <c r="C25" s="31">
        <v>1.1000000000000001</v>
      </c>
    </row>
    <row r="26" spans="2:4" x14ac:dyDescent="0.15">
      <c r="B26" s="47" t="s">
        <v>41</v>
      </c>
      <c r="C26" s="31">
        <v>1.2</v>
      </c>
    </row>
    <row r="27" spans="2:4" x14ac:dyDescent="0.15">
      <c r="B27" s="47"/>
      <c r="C27" s="31"/>
    </row>
    <row r="28" spans="2:4" x14ac:dyDescent="0.15">
      <c r="B28" s="47" t="s">
        <v>42</v>
      </c>
      <c r="C28" s="31">
        <v>2.1</v>
      </c>
    </row>
    <row r="29" spans="2:4" x14ac:dyDescent="0.15">
      <c r="B29" s="47" t="s">
        <v>43</v>
      </c>
      <c r="C29" s="31">
        <v>2.2000000000000002</v>
      </c>
    </row>
    <row r="30" spans="2:4" x14ac:dyDescent="0.15">
      <c r="B30" s="47" t="s">
        <v>67</v>
      </c>
      <c r="C30" s="31">
        <v>2.2999999999999998</v>
      </c>
    </row>
    <row r="31" spans="2:4" x14ac:dyDescent="0.15">
      <c r="B31" s="47"/>
      <c r="C31" s="31"/>
    </row>
    <row r="32" spans="2:4" x14ac:dyDescent="0.15">
      <c r="B32" s="47" t="s">
        <v>62</v>
      </c>
      <c r="C32" s="31">
        <v>3.11</v>
      </c>
    </row>
    <row r="33" spans="2:3" x14ac:dyDescent="0.15">
      <c r="B33" s="47" t="s">
        <v>61</v>
      </c>
      <c r="C33" s="31">
        <v>3.12</v>
      </c>
    </row>
    <row r="34" spans="2:3" x14ac:dyDescent="0.15">
      <c r="B34" s="47" t="s">
        <v>68</v>
      </c>
      <c r="C34" s="31">
        <v>3.13</v>
      </c>
    </row>
    <row r="35" spans="2:3" x14ac:dyDescent="0.15">
      <c r="B35" s="47"/>
      <c r="C35" s="31"/>
    </row>
    <row r="36" spans="2:3" x14ac:dyDescent="0.15">
      <c r="B36" s="47" t="s">
        <v>66</v>
      </c>
      <c r="C36" s="31">
        <v>3.21</v>
      </c>
    </row>
    <row r="37" spans="2:3" x14ac:dyDescent="0.15">
      <c r="B37" s="47" t="s">
        <v>63</v>
      </c>
      <c r="C37" s="31">
        <v>3.22</v>
      </c>
    </row>
    <row r="38" spans="2:3" x14ac:dyDescent="0.15">
      <c r="B38" s="47" t="s">
        <v>69</v>
      </c>
      <c r="C38" s="31">
        <v>3.23</v>
      </c>
    </row>
    <row r="39" spans="2:3" x14ac:dyDescent="0.15">
      <c r="B39" s="47"/>
      <c r="C39" s="31"/>
    </row>
    <row r="40" spans="2:3" x14ac:dyDescent="0.15">
      <c r="B40" s="47" t="s">
        <v>64</v>
      </c>
      <c r="C40" s="31">
        <v>8</v>
      </c>
    </row>
    <row r="41" spans="2:3" x14ac:dyDescent="0.15">
      <c r="B41" s="47"/>
      <c r="C41" s="31"/>
    </row>
    <row r="42" spans="2:3" x14ac:dyDescent="0.15">
      <c r="B42" s="47" t="s">
        <v>71</v>
      </c>
      <c r="C42" s="31">
        <v>4.0999999999999996</v>
      </c>
    </row>
    <row r="43" spans="2:3" x14ac:dyDescent="0.15">
      <c r="B43" s="47" t="s">
        <v>70</v>
      </c>
      <c r="C43" s="31">
        <v>4.2</v>
      </c>
    </row>
    <row r="44" spans="2:3" x14ac:dyDescent="0.15">
      <c r="B44" s="47" t="s">
        <v>72</v>
      </c>
      <c r="C44" s="31">
        <v>4.3</v>
      </c>
    </row>
    <row r="45" spans="2:3" x14ac:dyDescent="0.15">
      <c r="B45" s="30"/>
      <c r="C45" s="31"/>
    </row>
    <row r="46" spans="2:3" x14ac:dyDescent="0.15">
      <c r="B46" s="47" t="s">
        <v>138</v>
      </c>
      <c r="C46" s="31">
        <v>6.1</v>
      </c>
    </row>
    <row r="47" spans="2:3" x14ac:dyDescent="0.15">
      <c r="B47" s="47" t="s">
        <v>45</v>
      </c>
      <c r="C47" s="31">
        <v>6.2</v>
      </c>
    </row>
    <row r="48" spans="2:3" x14ac:dyDescent="0.15">
      <c r="B48" s="47"/>
      <c r="C48" s="31"/>
    </row>
    <row r="49" spans="2:4" x14ac:dyDescent="0.15">
      <c r="B49" s="47" t="s">
        <v>44</v>
      </c>
      <c r="C49" s="31">
        <v>5</v>
      </c>
    </row>
    <row r="50" spans="2:4" x14ac:dyDescent="0.15">
      <c r="B50" s="47"/>
      <c r="C50" s="31"/>
    </row>
    <row r="51" spans="2:4" ht="14" thickBot="1" x14ac:dyDescent="0.2">
      <c r="B51" s="48" t="s">
        <v>73</v>
      </c>
      <c r="C51" s="32">
        <v>7</v>
      </c>
    </row>
    <row r="53" spans="2:4" x14ac:dyDescent="0.15">
      <c r="B53" s="157" t="s">
        <v>173</v>
      </c>
      <c r="C53" s="101">
        <v>436</v>
      </c>
      <c r="D53" s="101"/>
    </row>
    <row r="54" spans="2:4" x14ac:dyDescent="0.15">
      <c r="B54" s="157" t="s">
        <v>174</v>
      </c>
      <c r="C54" s="157" t="s">
        <v>187</v>
      </c>
      <c r="D54" s="101"/>
    </row>
    <row r="55" spans="2:4" x14ac:dyDescent="0.15">
      <c r="B55" s="157" t="s">
        <v>175</v>
      </c>
      <c r="C55" s="157" t="s">
        <v>188</v>
      </c>
      <c r="D55" s="101"/>
    </row>
    <row r="56" spans="2:4" x14ac:dyDescent="0.15">
      <c r="B56" s="157" t="s">
        <v>176</v>
      </c>
      <c r="C56" s="101">
        <v>25500000</v>
      </c>
      <c r="D56" s="101"/>
    </row>
    <row r="57" spans="2:4" x14ac:dyDescent="0.15">
      <c r="B57" s="157" t="s">
        <v>177</v>
      </c>
      <c r="C57" s="157" t="s">
        <v>189</v>
      </c>
      <c r="D57" s="101"/>
    </row>
    <row r="58" spans="2:4" x14ac:dyDescent="0.15">
      <c r="B58" s="157" t="s">
        <v>178</v>
      </c>
      <c r="C58" s="157" t="s">
        <v>190</v>
      </c>
      <c r="D58" s="101"/>
    </row>
    <row r="59" spans="2:4" x14ac:dyDescent="0.15">
      <c r="B59" s="157" t="s">
        <v>179</v>
      </c>
      <c r="C59" s="157" t="s">
        <v>191</v>
      </c>
      <c r="D59" s="101"/>
    </row>
    <row r="60" spans="2:4" x14ac:dyDescent="0.15">
      <c r="B60" s="157" t="s">
        <v>180</v>
      </c>
      <c r="C60" s="157" t="s">
        <v>192</v>
      </c>
      <c r="D60" s="101"/>
    </row>
    <row r="61" spans="2:4" x14ac:dyDescent="0.15">
      <c r="B61" s="157" t="s">
        <v>181</v>
      </c>
      <c r="C61" s="101">
        <v>20</v>
      </c>
      <c r="D61" s="101"/>
    </row>
    <row r="62" spans="2:4" x14ac:dyDescent="0.15">
      <c r="B62" s="157" t="s">
        <v>182</v>
      </c>
      <c r="C62" s="101">
        <v>1</v>
      </c>
      <c r="D62" s="101"/>
    </row>
    <row r="63" spans="2:4" x14ac:dyDescent="0.15">
      <c r="B63" s="157" t="s">
        <v>183</v>
      </c>
      <c r="C63" s="101">
        <v>1990</v>
      </c>
      <c r="D63" s="101"/>
    </row>
    <row r="64" spans="2:4" x14ac:dyDescent="0.15">
      <c r="B64" s="157" t="s">
        <v>184</v>
      </c>
      <c r="C64" s="101">
        <v>11</v>
      </c>
      <c r="D64" s="101"/>
    </row>
    <row r="65" spans="2:4" x14ac:dyDescent="0.15">
      <c r="B65" s="157" t="s">
        <v>185</v>
      </c>
      <c r="C65" s="157" t="s">
        <v>193</v>
      </c>
      <c r="D65" s="101"/>
    </row>
    <row r="66" spans="2:4" x14ac:dyDescent="0.15">
      <c r="B66" s="157" t="s">
        <v>186</v>
      </c>
      <c r="D66" s="101"/>
    </row>
    <row r="67" spans="2:4" x14ac:dyDescent="0.15">
      <c r="B67" s="101"/>
      <c r="C67" s="101"/>
      <c r="D67" s="101"/>
    </row>
    <row r="68" spans="2:4" x14ac:dyDescent="0.15">
      <c r="B68" s="101"/>
      <c r="C68" s="101"/>
      <c r="D68" s="101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76" customWidth="1"/>
    <col min="2" max="3" width="3.33203125" style="76" customWidth="1"/>
    <col min="4" max="4" width="14.33203125" style="76" customWidth="1"/>
    <col min="5" max="5" width="21.6640625" style="76" bestFit="1" customWidth="1"/>
    <col min="6" max="6" width="2.33203125" style="76" bestFit="1" customWidth="1"/>
    <col min="7" max="7" width="11.83203125" style="76" bestFit="1" customWidth="1"/>
    <col min="8" max="8" width="5.83203125" style="76" customWidth="1"/>
    <col min="9" max="9" width="10.83203125" style="76" customWidth="1"/>
    <col min="10" max="10" width="11.83203125" style="76" customWidth="1"/>
    <col min="11" max="11" width="12.83203125" style="76" customWidth="1"/>
    <col min="12" max="12" width="2.33203125" style="76" customWidth="1"/>
    <col min="13" max="13" width="3.83203125" style="76" customWidth="1"/>
    <col min="14" max="14" width="2.33203125" style="76" customWidth="1"/>
    <col min="16" max="25" width="8.83203125" style="7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6"/>
  </cols>
  <sheetData>
    <row r="1" spans="1:46" s="93" customFormat="1" ht="15" customHeight="1" x14ac:dyDescent="0.15">
      <c r="A1" s="72" t="s">
        <v>18</v>
      </c>
      <c r="C1" s="73" t="s">
        <v>8</v>
      </c>
      <c r="D1" s="72" t="s">
        <v>23</v>
      </c>
      <c r="E1" s="72" t="s">
        <v>0</v>
      </c>
      <c r="F1" s="72" t="s">
        <v>7</v>
      </c>
      <c r="G1" s="74" t="s">
        <v>13</v>
      </c>
      <c r="H1" s="72" t="s">
        <v>1</v>
      </c>
      <c r="I1" s="72" t="s">
        <v>2</v>
      </c>
      <c r="J1" s="72" t="s">
        <v>14</v>
      </c>
      <c r="K1" s="72" t="s">
        <v>3</v>
      </c>
      <c r="L1" s="72" t="s">
        <v>4</v>
      </c>
      <c r="M1" s="72" t="s">
        <v>5</v>
      </c>
      <c r="N1" s="7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3">
        <v>1</v>
      </c>
      <c r="D2"/>
      <c r="E2" s="158" t="s">
        <v>194</v>
      </c>
      <c r="F2" s="76">
        <v>0</v>
      </c>
      <c r="G2" s="76">
        <v>2E-3</v>
      </c>
      <c r="H2" s="76">
        <v>0.4</v>
      </c>
      <c r="I2" s="6">
        <v>5.2</v>
      </c>
      <c r="J2" s="6">
        <v>0.25624999999999998</v>
      </c>
      <c r="K2" s="6">
        <v>7.6923080000000005E-2</v>
      </c>
      <c r="L2" s="6">
        <v>0</v>
      </c>
      <c r="M2" s="76">
        <v>0.2</v>
      </c>
      <c r="N2" s="76">
        <v>0</v>
      </c>
    </row>
    <row r="3" spans="1:46" ht="15" customHeight="1" x14ac:dyDescent="0.15">
      <c r="A3" s="1" t="s">
        <v>9</v>
      </c>
      <c r="B3" s="4">
        <v>19</v>
      </c>
      <c r="C3" s="76">
        <v>2</v>
      </c>
      <c r="D3"/>
      <c r="E3" s="158" t="s">
        <v>195</v>
      </c>
      <c r="F3" s="76">
        <v>0</v>
      </c>
      <c r="G3" s="76">
        <v>5.0000000000000001E-3</v>
      </c>
      <c r="H3" s="76">
        <v>0.4</v>
      </c>
      <c r="I3" s="76">
        <v>5.3</v>
      </c>
      <c r="J3" s="76">
        <v>0.31550002100000002</v>
      </c>
      <c r="K3" s="76">
        <v>7.5471700000000003E-2</v>
      </c>
      <c r="L3" s="76">
        <v>0</v>
      </c>
      <c r="M3" s="76">
        <v>0.2</v>
      </c>
      <c r="N3" s="76">
        <v>0</v>
      </c>
    </row>
    <row r="4" spans="1:46" ht="15" customHeight="1" x14ac:dyDescent="0.15">
      <c r="A4" s="1" t="s">
        <v>10</v>
      </c>
      <c r="B4" s="4">
        <v>2</v>
      </c>
      <c r="C4" s="76">
        <v>3</v>
      </c>
      <c r="D4"/>
      <c r="E4" s="158" t="s">
        <v>196</v>
      </c>
      <c r="F4" s="76">
        <v>0</v>
      </c>
      <c r="G4" s="76">
        <v>1.4E-2</v>
      </c>
      <c r="H4" s="76">
        <v>0.3</v>
      </c>
      <c r="I4" s="76">
        <v>2.5</v>
      </c>
      <c r="J4" s="76">
        <v>0.42988091699999997</v>
      </c>
      <c r="K4" s="76">
        <v>0.12000000500000001</v>
      </c>
      <c r="L4" s="76">
        <v>0</v>
      </c>
      <c r="M4" s="76">
        <v>0.2</v>
      </c>
      <c r="N4" s="7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6">
        <v>4</v>
      </c>
      <c r="D5"/>
      <c r="E5" s="158" t="s">
        <v>197</v>
      </c>
      <c r="F5" s="76">
        <v>0</v>
      </c>
      <c r="G5" s="76">
        <v>0.01</v>
      </c>
      <c r="H5" s="76">
        <v>0.35</v>
      </c>
      <c r="I5" s="76">
        <v>4.8</v>
      </c>
      <c r="J5" s="76">
        <v>0.47471433899999999</v>
      </c>
      <c r="K5" s="76">
        <v>7.2916664199999995E-2</v>
      </c>
      <c r="L5" s="76">
        <v>0</v>
      </c>
      <c r="M5" s="76">
        <v>0.2</v>
      </c>
      <c r="N5" s="76">
        <v>0</v>
      </c>
      <c r="P5" s="67"/>
      <c r="Q5" s="67"/>
      <c r="R5" s="67"/>
    </row>
    <row r="6" spans="1:46" ht="15" customHeight="1" thickBot="1" x14ac:dyDescent="0.2">
      <c r="B6" s="1"/>
      <c r="C6" s="76">
        <v>5</v>
      </c>
      <c r="D6"/>
      <c r="E6" s="158" t="s">
        <v>198</v>
      </c>
      <c r="F6" s="76">
        <v>0</v>
      </c>
      <c r="G6" s="76">
        <v>1.7000000000000001E-2</v>
      </c>
      <c r="H6" s="76">
        <v>0.68600000000000005</v>
      </c>
      <c r="I6" s="76">
        <v>14.5</v>
      </c>
      <c r="J6" s="76">
        <v>0.159338012</v>
      </c>
      <c r="K6" s="76">
        <v>4.7310344900000002E-2</v>
      </c>
      <c r="L6" s="76">
        <v>0</v>
      </c>
      <c r="M6" s="76">
        <v>0.2</v>
      </c>
      <c r="N6" s="76">
        <v>0</v>
      </c>
      <c r="P6" s="67"/>
      <c r="Q6" s="67"/>
      <c r="R6" s="67"/>
      <c r="W6" s="34" t="s">
        <v>31</v>
      </c>
      <c r="X6" s="50">
        <f>MAX(MainOutputs!G:G)</f>
        <v>0.94999992847442627</v>
      </c>
    </row>
    <row r="7" spans="1:46" ht="15" customHeight="1" x14ac:dyDescent="0.15">
      <c r="A7" s="2" t="s">
        <v>27</v>
      </c>
      <c r="B7" s="76">
        <f ca="1">COUNTIF(OFFSET(cornerDiets,1,1,NumLiving+NumDead+1,NumLiving+NumDead),"&gt;0")+NumLiving+NumDead+1</f>
        <v>153</v>
      </c>
      <c r="C7" s="76">
        <v>6</v>
      </c>
      <c r="D7"/>
      <c r="E7" s="158" t="s">
        <v>199</v>
      </c>
      <c r="F7" s="76">
        <v>0</v>
      </c>
      <c r="G7" s="76">
        <v>4.4999999999999998E-2</v>
      </c>
      <c r="H7" s="76">
        <v>1.2210000000000001</v>
      </c>
      <c r="I7" s="76">
        <v>15.1</v>
      </c>
      <c r="J7" s="76">
        <v>0.21885703500000001</v>
      </c>
      <c r="K7" s="76">
        <v>8.0860920000000003E-2</v>
      </c>
      <c r="L7" s="76">
        <v>0</v>
      </c>
      <c r="M7" s="76">
        <v>0.2</v>
      </c>
      <c r="N7" s="76">
        <v>0</v>
      </c>
      <c r="P7" s="67"/>
      <c r="Q7" s="67"/>
      <c r="R7" s="67"/>
    </row>
    <row r="8" spans="1:46" ht="15" customHeight="1" x14ac:dyDescent="0.15">
      <c r="A8" s="2" t="s">
        <v>28</v>
      </c>
      <c r="B8" s="76">
        <f ca="1">COUNTIF(OFFSET(cornerFishing,1,2,NumLiving+NumDead,NumGears),"&gt;0")+NumDead*COUNTIF(OFFSET(cornerDiscards,1,2,NumLiving+NumDead,NumGears),"&gt;0")+NumLiving+NumDead+1</f>
        <v>32</v>
      </c>
      <c r="C8" s="76">
        <v>7</v>
      </c>
      <c r="D8"/>
      <c r="E8" s="158" t="s">
        <v>200</v>
      </c>
      <c r="F8" s="76">
        <v>0</v>
      </c>
      <c r="G8" s="76">
        <v>0.104</v>
      </c>
      <c r="H8" s="76">
        <v>2.3620000000000001</v>
      </c>
      <c r="I8" s="76">
        <v>17</v>
      </c>
      <c r="J8" s="76">
        <v>0.44103059999999999</v>
      </c>
      <c r="K8" s="76">
        <v>0.138941169</v>
      </c>
      <c r="L8" s="76">
        <v>0</v>
      </c>
      <c r="M8" s="76">
        <v>0.2</v>
      </c>
      <c r="N8" s="76">
        <v>0</v>
      </c>
      <c r="P8" s="67"/>
      <c r="Q8" s="67"/>
      <c r="R8" s="67"/>
    </row>
    <row r="9" spans="1:46" ht="15" customHeight="1" x14ac:dyDescent="0.15">
      <c r="B9" s="1"/>
      <c r="C9" s="76">
        <v>8</v>
      </c>
      <c r="D9"/>
      <c r="E9" s="158" t="s">
        <v>167</v>
      </c>
      <c r="F9" s="76">
        <v>0</v>
      </c>
      <c r="G9" s="76">
        <v>0.191637382</v>
      </c>
      <c r="H9" s="76">
        <v>1</v>
      </c>
      <c r="I9" s="76">
        <v>9</v>
      </c>
      <c r="J9" s="76">
        <v>0.95</v>
      </c>
      <c r="K9" s="76">
        <v>0.111111112</v>
      </c>
      <c r="L9" s="76">
        <v>0</v>
      </c>
      <c r="M9" s="76">
        <v>0.2</v>
      </c>
      <c r="N9" s="76">
        <v>0</v>
      </c>
      <c r="P9" s="67"/>
      <c r="Q9" s="67"/>
      <c r="R9" s="67"/>
    </row>
    <row r="10" spans="1:46" ht="15" customHeight="1" x14ac:dyDescent="0.15">
      <c r="B10" s="1"/>
      <c r="C10" s="76">
        <v>9</v>
      </c>
      <c r="D10"/>
      <c r="E10" s="158" t="s">
        <v>201</v>
      </c>
      <c r="F10" s="76">
        <v>0</v>
      </c>
      <c r="G10" s="76">
        <v>1.0999999999999999E-2</v>
      </c>
      <c r="H10" s="76">
        <v>0.9</v>
      </c>
      <c r="I10" s="76">
        <v>9.3000000000000007</v>
      </c>
      <c r="J10" s="76">
        <v>0.123777784</v>
      </c>
      <c r="K10" s="76">
        <v>9.6774189999999996E-2</v>
      </c>
      <c r="L10" s="76">
        <v>0</v>
      </c>
      <c r="M10" s="76">
        <v>0.2</v>
      </c>
      <c r="N10" s="76">
        <v>0</v>
      </c>
    </row>
    <row r="11" spans="1:46" ht="15" customHeight="1" x14ac:dyDescent="0.15">
      <c r="C11" s="76">
        <v>10</v>
      </c>
      <c r="D11"/>
      <c r="E11" s="158" t="s">
        <v>202</v>
      </c>
      <c r="F11" s="76">
        <v>0</v>
      </c>
      <c r="G11" s="76">
        <v>1.2E-2</v>
      </c>
      <c r="H11" s="76">
        <v>0.5</v>
      </c>
      <c r="I11" s="76">
        <v>5.2</v>
      </c>
      <c r="J11" s="76">
        <v>0.42430606500000001</v>
      </c>
      <c r="K11" s="76">
        <v>9.6153849999999999E-2</v>
      </c>
      <c r="L11" s="76">
        <v>0</v>
      </c>
      <c r="M11" s="76">
        <v>0.2</v>
      </c>
      <c r="N11" s="76">
        <v>0</v>
      </c>
    </row>
    <row r="12" spans="1:46" ht="15" customHeight="1" x14ac:dyDescent="0.15">
      <c r="C12" s="76">
        <v>11</v>
      </c>
      <c r="D12"/>
      <c r="E12" s="158" t="s">
        <v>203</v>
      </c>
      <c r="F12" s="76">
        <v>0</v>
      </c>
      <c r="G12" s="76">
        <v>0.214</v>
      </c>
      <c r="H12" s="76">
        <v>2</v>
      </c>
      <c r="I12" s="76">
        <v>17.600000000000001</v>
      </c>
      <c r="J12" s="76">
        <v>0.94812196500000001</v>
      </c>
      <c r="K12" s="76">
        <v>0.11363636000000001</v>
      </c>
      <c r="L12" s="76">
        <v>0</v>
      </c>
      <c r="M12" s="76">
        <v>0.2</v>
      </c>
      <c r="N12" s="76">
        <v>0</v>
      </c>
    </row>
    <row r="13" spans="1:46" ht="15" customHeight="1" x14ac:dyDescent="0.15">
      <c r="C13" s="76">
        <v>12</v>
      </c>
      <c r="D13"/>
      <c r="E13" s="158" t="s">
        <v>204</v>
      </c>
      <c r="F13" s="76">
        <v>0</v>
      </c>
      <c r="G13" s="76">
        <v>2.0318131400000001</v>
      </c>
      <c r="H13" s="76">
        <v>2</v>
      </c>
      <c r="I13" s="76">
        <v>13.9</v>
      </c>
      <c r="J13" s="76">
        <v>0.95</v>
      </c>
      <c r="K13" s="76">
        <v>0.14388490000000001</v>
      </c>
      <c r="L13" s="76">
        <v>0</v>
      </c>
      <c r="M13" s="76">
        <v>0.2</v>
      </c>
      <c r="N13" s="76">
        <v>0</v>
      </c>
    </row>
    <row r="14" spans="1:46" ht="15" customHeight="1" x14ac:dyDescent="0.15">
      <c r="C14" s="76">
        <v>13</v>
      </c>
      <c r="D14"/>
      <c r="E14" s="158" t="s">
        <v>205</v>
      </c>
      <c r="F14" s="76">
        <v>0</v>
      </c>
      <c r="G14" s="76">
        <v>1.722</v>
      </c>
      <c r="H14" s="76">
        <v>1.8</v>
      </c>
      <c r="I14" s="76">
        <v>13.9</v>
      </c>
      <c r="J14" s="76">
        <v>0.94885796300000003</v>
      </c>
      <c r="K14" s="76">
        <v>0.12949640000000001</v>
      </c>
      <c r="L14" s="76">
        <v>0</v>
      </c>
      <c r="M14" s="76">
        <v>0.2</v>
      </c>
      <c r="N14" s="76">
        <v>0</v>
      </c>
    </row>
    <row r="15" spans="1:46" ht="15" customHeight="1" x14ac:dyDescent="0.15">
      <c r="C15" s="76">
        <v>14</v>
      </c>
      <c r="D15"/>
      <c r="E15" s="158" t="s">
        <v>166</v>
      </c>
      <c r="F15" s="76">
        <v>0</v>
      </c>
      <c r="G15" s="76">
        <v>0.39500000000000002</v>
      </c>
      <c r="H15" s="76">
        <v>3.1</v>
      </c>
      <c r="I15" s="76">
        <v>22.4</v>
      </c>
      <c r="J15" s="76">
        <v>0.94710874599999995</v>
      </c>
      <c r="K15" s="76">
        <v>0.13839285100000001</v>
      </c>
      <c r="L15" s="76">
        <v>0</v>
      </c>
      <c r="M15" s="76">
        <v>0.2</v>
      </c>
      <c r="N15" s="76">
        <v>0</v>
      </c>
    </row>
    <row r="16" spans="1:46" ht="15" customHeight="1" x14ac:dyDescent="0.15">
      <c r="C16" s="76">
        <v>15</v>
      </c>
      <c r="D16"/>
      <c r="E16" s="158" t="s">
        <v>206</v>
      </c>
      <c r="F16" s="76">
        <v>0</v>
      </c>
      <c r="G16" s="76">
        <v>1</v>
      </c>
      <c r="H16" s="76">
        <v>5.2</v>
      </c>
      <c r="I16" s="76">
        <v>20.8</v>
      </c>
      <c r="J16" s="76">
        <v>0.94074994300000003</v>
      </c>
      <c r="K16" s="76">
        <v>0.25</v>
      </c>
      <c r="L16" s="76">
        <v>0</v>
      </c>
      <c r="M16" s="76">
        <v>0.2</v>
      </c>
      <c r="N16" s="76">
        <v>0</v>
      </c>
    </row>
    <row r="17" spans="1:22" ht="15" customHeight="1" x14ac:dyDescent="0.15">
      <c r="C17" s="76">
        <v>16</v>
      </c>
      <c r="D17"/>
      <c r="E17" s="158" t="s">
        <v>207</v>
      </c>
      <c r="F17" s="76">
        <v>0</v>
      </c>
      <c r="G17" s="76">
        <v>4</v>
      </c>
      <c r="H17" s="76">
        <v>33</v>
      </c>
      <c r="I17" s="76">
        <v>109.99999200000001</v>
      </c>
      <c r="J17" s="76">
        <v>0.93574923300000001</v>
      </c>
      <c r="K17" s="76">
        <v>0.3</v>
      </c>
      <c r="L17" s="76">
        <v>0</v>
      </c>
      <c r="M17" s="76">
        <v>0.2</v>
      </c>
      <c r="N17" s="76">
        <v>0</v>
      </c>
      <c r="V17" s="1" t="s">
        <v>30</v>
      </c>
    </row>
    <row r="18" spans="1:22" ht="15" customHeight="1" x14ac:dyDescent="0.15">
      <c r="C18" s="76">
        <v>17</v>
      </c>
      <c r="D18"/>
      <c r="E18" s="158" t="s">
        <v>208</v>
      </c>
      <c r="F18" s="76">
        <v>0</v>
      </c>
      <c r="G18" s="76">
        <v>1.724</v>
      </c>
      <c r="H18" s="76">
        <v>100</v>
      </c>
      <c r="I18" s="76">
        <v>300</v>
      </c>
      <c r="J18" s="76">
        <v>0.94431549999999997</v>
      </c>
      <c r="K18" s="76">
        <v>0.333333343</v>
      </c>
      <c r="L18" s="76">
        <v>0</v>
      </c>
      <c r="M18" s="76">
        <v>0.2</v>
      </c>
      <c r="N18" s="76">
        <v>0</v>
      </c>
      <c r="V18" s="1"/>
    </row>
    <row r="19" spans="1:22" ht="15" customHeight="1" x14ac:dyDescent="0.15">
      <c r="C19" s="76">
        <v>18</v>
      </c>
      <c r="D19"/>
      <c r="E19" s="158" t="s">
        <v>42</v>
      </c>
      <c r="F19" s="76">
        <v>1</v>
      </c>
      <c r="G19" s="76">
        <v>1.9890000000000001</v>
      </c>
      <c r="H19" s="76">
        <v>134</v>
      </c>
      <c r="I19" s="76">
        <v>0</v>
      </c>
      <c r="J19" s="76">
        <v>0.30164942099999997</v>
      </c>
      <c r="K19" s="76">
        <v>0</v>
      </c>
      <c r="L19" s="76">
        <v>0</v>
      </c>
      <c r="M19" s="76">
        <v>0</v>
      </c>
      <c r="N19" s="76">
        <v>0</v>
      </c>
    </row>
    <row r="20" spans="1:22" ht="15" customHeight="1" thickBot="1" x14ac:dyDescent="0.2">
      <c r="C20" s="76">
        <v>19</v>
      </c>
      <c r="D20"/>
      <c r="E20" s="158" t="s">
        <v>43</v>
      </c>
      <c r="F20" s="76">
        <v>1</v>
      </c>
      <c r="G20" s="76">
        <v>11.271000000000001</v>
      </c>
      <c r="H20" s="76">
        <v>94.6</v>
      </c>
      <c r="I20" s="76">
        <v>0</v>
      </c>
      <c r="J20" s="76">
        <v>0.48507060000000002</v>
      </c>
      <c r="K20" s="76">
        <v>0</v>
      </c>
      <c r="L20" s="76">
        <v>0</v>
      </c>
      <c r="M20" s="76">
        <v>0</v>
      </c>
      <c r="N20" s="76">
        <v>0</v>
      </c>
    </row>
    <row r="21" spans="1:22" ht="15" customHeight="1" thickBot="1" x14ac:dyDescent="0.2">
      <c r="A21" s="45" t="s">
        <v>137</v>
      </c>
      <c r="B21" s="94"/>
      <c r="C21" s="76">
        <v>20</v>
      </c>
      <c r="D21"/>
      <c r="E21" s="158" t="s">
        <v>209</v>
      </c>
      <c r="F21" s="76">
        <v>2</v>
      </c>
      <c r="G21" s="76">
        <v>130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0</v>
      </c>
      <c r="N21" s="76">
        <v>0</v>
      </c>
    </row>
    <row r="22" spans="1:22" ht="15" customHeight="1" x14ac:dyDescent="0.15">
      <c r="A22" s="95" t="s">
        <v>58</v>
      </c>
      <c r="B22" s="96">
        <v>0</v>
      </c>
      <c r="C22" s="76">
        <v>21</v>
      </c>
      <c r="D22"/>
      <c r="E22" s="158" t="s">
        <v>210</v>
      </c>
      <c r="F22" s="76">
        <v>2</v>
      </c>
      <c r="G22" s="76">
        <v>5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  <c r="N22" s="76">
        <v>0</v>
      </c>
    </row>
    <row r="23" spans="1:22" ht="15" customHeight="1" x14ac:dyDescent="0.15">
      <c r="A23" s="95" t="s">
        <v>59</v>
      </c>
      <c r="B23" s="96">
        <v>1</v>
      </c>
      <c r="C23" s="76">
        <v>22</v>
      </c>
      <c r="D23"/>
      <c r="E23" s="158" t="s">
        <v>211</v>
      </c>
      <c r="F23" s="76">
        <v>3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0</v>
      </c>
      <c r="N23" s="76">
        <v>0</v>
      </c>
    </row>
    <row r="24" spans="1:22" ht="15" customHeight="1" x14ac:dyDescent="0.15">
      <c r="A24" s="95" t="s">
        <v>60</v>
      </c>
      <c r="B24" s="96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7" t="s">
        <v>44</v>
      </c>
      <c r="B25" s="98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9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2" bestFit="1" customWidth="1"/>
    <col min="2" max="14" width="5.83203125" style="132" bestFit="1" customWidth="1"/>
    <col min="15" max="15" width="4.83203125" style="132" bestFit="1" customWidth="1"/>
    <col min="16" max="16" width="5.83203125" style="132" bestFit="1" customWidth="1"/>
    <col min="17" max="17" width="4.83203125" style="132" bestFit="1" customWidth="1"/>
    <col min="18" max="22" width="2.33203125" style="132" bestFit="1" customWidth="1"/>
    <col min="23" max="29" width="9" style="132" bestFit="1" customWidth="1"/>
    <col min="30" max="16384" width="8.83203125" style="132"/>
  </cols>
  <sheetData>
    <row r="1" spans="1:34" x14ac:dyDescent="0.15">
      <c r="A1" s="131" t="s">
        <v>19</v>
      </c>
      <c r="B1" s="160" t="s">
        <v>194</v>
      </c>
      <c r="C1" s="160" t="s">
        <v>195</v>
      </c>
      <c r="D1" s="160" t="s">
        <v>196</v>
      </c>
      <c r="E1" s="160" t="s">
        <v>197</v>
      </c>
      <c r="F1" s="160" t="s">
        <v>198</v>
      </c>
      <c r="G1" s="160" t="s">
        <v>199</v>
      </c>
      <c r="H1" s="160" t="s">
        <v>200</v>
      </c>
      <c r="I1" s="160" t="s">
        <v>167</v>
      </c>
      <c r="J1" s="160" t="s">
        <v>201</v>
      </c>
      <c r="K1" s="160" t="s">
        <v>202</v>
      </c>
      <c r="L1" s="160" t="s">
        <v>203</v>
      </c>
      <c r="M1" s="160" t="s">
        <v>204</v>
      </c>
      <c r="N1" s="160" t="s">
        <v>205</v>
      </c>
      <c r="O1" s="160" t="s">
        <v>166</v>
      </c>
      <c r="P1" s="160" t="s">
        <v>206</v>
      </c>
      <c r="Q1" s="160" t="s">
        <v>207</v>
      </c>
      <c r="R1" s="160" t="s">
        <v>208</v>
      </c>
      <c r="S1" s="160" t="s">
        <v>42</v>
      </c>
      <c r="T1" s="160" t="s">
        <v>43</v>
      </c>
      <c r="U1" s="160" t="s">
        <v>209</v>
      </c>
      <c r="V1" s="160" t="s">
        <v>210</v>
      </c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9" t="s">
        <v>194</v>
      </c>
      <c r="B2" s="132">
        <v>0</v>
      </c>
      <c r="C2" s="132">
        <v>2E-3</v>
      </c>
      <c r="D2" s="132">
        <v>0</v>
      </c>
      <c r="E2" s="132">
        <v>1.9999999999999996E-3</v>
      </c>
      <c r="F2" s="132">
        <v>0</v>
      </c>
      <c r="G2" s="132">
        <v>0</v>
      </c>
      <c r="H2" s="132">
        <v>0</v>
      </c>
      <c r="I2" s="132">
        <v>0</v>
      </c>
      <c r="J2" s="132">
        <v>0</v>
      </c>
      <c r="K2" s="132">
        <v>0</v>
      </c>
      <c r="L2" s="132">
        <v>0</v>
      </c>
      <c r="M2" s="132">
        <v>0</v>
      </c>
      <c r="N2" s="132">
        <v>0</v>
      </c>
      <c r="O2" s="132">
        <v>0</v>
      </c>
      <c r="P2" s="132">
        <v>0</v>
      </c>
      <c r="Q2" s="132">
        <v>0</v>
      </c>
      <c r="R2" s="132">
        <v>0</v>
      </c>
      <c r="S2" s="132">
        <v>0</v>
      </c>
      <c r="T2" s="132">
        <v>0</v>
      </c>
      <c r="U2" s="132">
        <v>0</v>
      </c>
      <c r="V2" s="132">
        <v>0</v>
      </c>
    </row>
    <row r="3" spans="1:34" customFormat="1" x14ac:dyDescent="0.15">
      <c r="A3" s="159" t="s">
        <v>195</v>
      </c>
      <c r="B3" s="132">
        <v>0</v>
      </c>
      <c r="C3" s="132">
        <v>2E-3</v>
      </c>
      <c r="D3" s="132">
        <v>0</v>
      </c>
      <c r="E3" s="132">
        <v>1.9999999999999996E-3</v>
      </c>
      <c r="F3" s="132">
        <v>0</v>
      </c>
      <c r="G3" s="132">
        <v>0</v>
      </c>
      <c r="H3" s="132">
        <v>0</v>
      </c>
      <c r="I3" s="132">
        <v>0</v>
      </c>
      <c r="J3" s="132">
        <v>0</v>
      </c>
      <c r="K3" s="132">
        <v>0</v>
      </c>
      <c r="L3" s="132">
        <v>0</v>
      </c>
      <c r="M3" s="132">
        <v>0</v>
      </c>
      <c r="N3" s="132">
        <v>0</v>
      </c>
      <c r="O3" s="132">
        <v>0</v>
      </c>
      <c r="P3" s="132">
        <v>0</v>
      </c>
      <c r="Q3" s="132">
        <v>0</v>
      </c>
      <c r="R3" s="132">
        <v>0</v>
      </c>
      <c r="S3" s="132">
        <v>0</v>
      </c>
      <c r="T3" s="132">
        <v>0</v>
      </c>
      <c r="U3" s="132">
        <v>0</v>
      </c>
      <c r="V3" s="132">
        <v>0</v>
      </c>
    </row>
    <row r="4" spans="1:34" customFormat="1" x14ac:dyDescent="0.15">
      <c r="A4" s="159" t="s">
        <v>196</v>
      </c>
      <c r="B4" s="132">
        <v>0</v>
      </c>
      <c r="C4" s="132">
        <v>1E-3</v>
      </c>
      <c r="D4" s="132">
        <v>0</v>
      </c>
      <c r="E4" s="132">
        <v>2.9999999999999992E-3</v>
      </c>
      <c r="F4" s="132">
        <v>0</v>
      </c>
      <c r="G4" s="132">
        <v>0</v>
      </c>
      <c r="H4" s="132">
        <v>0</v>
      </c>
      <c r="I4" s="132">
        <v>0</v>
      </c>
      <c r="J4" s="132">
        <v>0</v>
      </c>
      <c r="K4" s="132">
        <v>0</v>
      </c>
      <c r="L4" s="132">
        <v>0</v>
      </c>
      <c r="M4" s="132">
        <v>0</v>
      </c>
      <c r="N4" s="132">
        <v>0</v>
      </c>
      <c r="O4" s="132">
        <v>0</v>
      </c>
      <c r="P4" s="132">
        <v>0</v>
      </c>
      <c r="Q4" s="132">
        <v>0</v>
      </c>
      <c r="R4" s="132">
        <v>0</v>
      </c>
      <c r="S4" s="132">
        <v>0</v>
      </c>
      <c r="T4" s="132">
        <v>0</v>
      </c>
      <c r="U4" s="132">
        <v>0</v>
      </c>
      <c r="V4" s="132">
        <v>0</v>
      </c>
    </row>
    <row r="5" spans="1:34" customFormat="1" x14ac:dyDescent="0.15">
      <c r="A5" s="159" t="s">
        <v>197</v>
      </c>
      <c r="B5" s="132">
        <v>0</v>
      </c>
      <c r="C5" s="132">
        <v>1E-3</v>
      </c>
      <c r="D5" s="132">
        <v>1.2E-2</v>
      </c>
      <c r="E5" s="132">
        <v>9.999999999999998E-4</v>
      </c>
      <c r="F5" s="132">
        <v>0</v>
      </c>
      <c r="G5" s="132">
        <v>0</v>
      </c>
      <c r="H5" s="132">
        <v>0</v>
      </c>
      <c r="I5" s="132">
        <v>0</v>
      </c>
      <c r="J5" s="132">
        <v>0</v>
      </c>
      <c r="K5" s="132">
        <v>0</v>
      </c>
      <c r="L5" s="132">
        <v>0</v>
      </c>
      <c r="M5" s="132">
        <v>0</v>
      </c>
      <c r="N5" s="132">
        <v>0</v>
      </c>
      <c r="O5" s="132">
        <v>0</v>
      </c>
      <c r="P5" s="132">
        <v>0</v>
      </c>
      <c r="Q5" s="132">
        <v>0</v>
      </c>
      <c r="R5" s="132">
        <v>0</v>
      </c>
      <c r="S5" s="132">
        <v>0</v>
      </c>
      <c r="T5" s="132">
        <v>0</v>
      </c>
      <c r="U5" s="132">
        <v>0</v>
      </c>
      <c r="V5" s="132">
        <v>0</v>
      </c>
    </row>
    <row r="6" spans="1:34" customFormat="1" x14ac:dyDescent="0.15">
      <c r="A6" s="159" t="s">
        <v>198</v>
      </c>
      <c r="B6" s="132">
        <v>2E-3</v>
      </c>
      <c r="C6" s="132">
        <v>8.9999999999999993E-3</v>
      </c>
      <c r="D6" s="132">
        <v>0</v>
      </c>
      <c r="E6" s="132">
        <v>4.9999999999999992E-3</v>
      </c>
      <c r="F6" s="132">
        <v>0</v>
      </c>
      <c r="G6" s="132">
        <v>0</v>
      </c>
      <c r="H6" s="132">
        <v>0</v>
      </c>
      <c r="I6" s="132">
        <v>0</v>
      </c>
      <c r="J6" s="132">
        <v>3.0000000000000001E-3</v>
      </c>
      <c r="K6" s="132">
        <v>0</v>
      </c>
      <c r="L6" s="132">
        <v>0</v>
      </c>
      <c r="M6" s="132">
        <v>0</v>
      </c>
      <c r="N6" s="132">
        <v>0</v>
      </c>
      <c r="O6" s="132">
        <v>0</v>
      </c>
      <c r="P6" s="132">
        <v>0</v>
      </c>
      <c r="Q6" s="132">
        <v>0</v>
      </c>
      <c r="R6" s="132">
        <v>0</v>
      </c>
      <c r="S6" s="132">
        <v>0</v>
      </c>
      <c r="T6" s="132">
        <v>0</v>
      </c>
      <c r="U6" s="132">
        <v>0</v>
      </c>
      <c r="V6" s="132">
        <v>0</v>
      </c>
    </row>
    <row r="7" spans="1:34" customFormat="1" x14ac:dyDescent="0.15">
      <c r="A7" s="159" t="s">
        <v>199</v>
      </c>
      <c r="B7" s="132">
        <v>3.0000000000000001E-3</v>
      </c>
      <c r="C7" s="132">
        <v>1.6E-2</v>
      </c>
      <c r="D7" s="132">
        <v>0</v>
      </c>
      <c r="E7" s="132">
        <v>2.2999999999999996E-2</v>
      </c>
      <c r="F7" s="132">
        <v>0</v>
      </c>
      <c r="G7" s="132">
        <v>2E-3</v>
      </c>
      <c r="H7" s="132">
        <v>0</v>
      </c>
      <c r="I7" s="132">
        <v>0</v>
      </c>
      <c r="J7" s="132">
        <v>3.0000000000000001E-3</v>
      </c>
      <c r="K7" s="132">
        <v>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0</v>
      </c>
      <c r="V7" s="132">
        <v>0</v>
      </c>
    </row>
    <row r="8" spans="1:34" customFormat="1" x14ac:dyDescent="0.15">
      <c r="A8" s="159" t="s">
        <v>200</v>
      </c>
      <c r="B8" s="132">
        <v>2.5000000000000001E-2</v>
      </c>
      <c r="C8" s="132">
        <v>0.14599999999999999</v>
      </c>
      <c r="D8" s="132">
        <v>0</v>
      </c>
      <c r="E8" s="132">
        <v>4.6999999999999986E-2</v>
      </c>
      <c r="F8" s="132">
        <v>3.6999999999999998E-2</v>
      </c>
      <c r="G8" s="132">
        <v>1.7999999999999999E-2</v>
      </c>
      <c r="H8" s="132">
        <v>0</v>
      </c>
      <c r="I8" s="132">
        <v>5.0000000000000001E-3</v>
      </c>
      <c r="J8" s="132">
        <v>1.9E-2</v>
      </c>
      <c r="K8" s="132">
        <v>0.01</v>
      </c>
      <c r="L8" s="132">
        <v>1.0999999999999999E-2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0</v>
      </c>
      <c r="V8" s="132">
        <v>0</v>
      </c>
    </row>
    <row r="9" spans="1:34" customFormat="1" x14ac:dyDescent="0.15">
      <c r="A9" s="159" t="s">
        <v>167</v>
      </c>
      <c r="B9" s="132">
        <v>6.3E-2</v>
      </c>
      <c r="C9" s="132">
        <v>0.14299999999999999</v>
      </c>
      <c r="D9" s="132">
        <v>1E-3</v>
      </c>
      <c r="E9" s="132">
        <v>8.4999999999999992E-2</v>
      </c>
      <c r="F9" s="132">
        <v>0.115</v>
      </c>
      <c r="G9" s="132">
        <v>5.7000000000000002E-2</v>
      </c>
      <c r="H9" s="132">
        <v>0.01</v>
      </c>
      <c r="I9" s="132">
        <v>0</v>
      </c>
      <c r="J9" s="132">
        <v>0.1</v>
      </c>
      <c r="K9" s="132">
        <v>4.4999999999999998E-2</v>
      </c>
      <c r="L9" s="132">
        <v>7.0000000000000001E-3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0</v>
      </c>
      <c r="V9" s="132">
        <v>0</v>
      </c>
    </row>
    <row r="10" spans="1:34" customFormat="1" x14ac:dyDescent="0.15">
      <c r="A10" s="159" t="s">
        <v>201</v>
      </c>
      <c r="B10" s="132">
        <v>3.0000000000000001E-3</v>
      </c>
      <c r="C10" s="132">
        <v>5.0000000000000001E-3</v>
      </c>
      <c r="D10" s="132">
        <v>0</v>
      </c>
      <c r="E10" s="132">
        <v>1.9999999999999996E-3</v>
      </c>
      <c r="F10" s="132">
        <v>0</v>
      </c>
      <c r="G10" s="132">
        <v>0</v>
      </c>
      <c r="H10" s="132">
        <v>0</v>
      </c>
      <c r="I10" s="132">
        <v>0</v>
      </c>
      <c r="J10" s="132">
        <v>7.0000000000000001E-3</v>
      </c>
      <c r="K10" s="132">
        <v>4.0000000000000001E-3</v>
      </c>
      <c r="L10" s="132">
        <v>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0</v>
      </c>
      <c r="V10" s="132">
        <v>0</v>
      </c>
    </row>
    <row r="11" spans="1:34" customFormat="1" x14ac:dyDescent="0.15">
      <c r="A11" s="159" t="s">
        <v>202</v>
      </c>
      <c r="B11" s="132">
        <v>0</v>
      </c>
      <c r="C11" s="132">
        <v>3.0000000000000001E-3</v>
      </c>
      <c r="D11" s="132">
        <v>3.0000000000000001E-3</v>
      </c>
      <c r="E11" s="132">
        <v>8.9999999999999976E-3</v>
      </c>
      <c r="F11" s="132">
        <v>0</v>
      </c>
      <c r="G11" s="132">
        <v>0</v>
      </c>
      <c r="H11" s="132">
        <v>0</v>
      </c>
      <c r="I11" s="132">
        <v>1E-3</v>
      </c>
      <c r="J11" s="132">
        <v>2E-3</v>
      </c>
      <c r="K11" s="132">
        <v>0</v>
      </c>
      <c r="L11" s="132">
        <v>0</v>
      </c>
      <c r="M11" s="132">
        <v>0</v>
      </c>
      <c r="N11" s="132">
        <v>0</v>
      </c>
      <c r="O11" s="132">
        <v>0</v>
      </c>
      <c r="P11" s="132">
        <v>0</v>
      </c>
      <c r="Q11" s="132">
        <v>0</v>
      </c>
      <c r="R11" s="132">
        <v>0</v>
      </c>
      <c r="S11" s="132">
        <v>0</v>
      </c>
      <c r="T11" s="132">
        <v>0</v>
      </c>
      <c r="U11" s="132">
        <v>0</v>
      </c>
      <c r="V11" s="132">
        <v>0</v>
      </c>
    </row>
    <row r="12" spans="1:34" customFormat="1" x14ac:dyDescent="0.15">
      <c r="A12" s="159" t="s">
        <v>203</v>
      </c>
      <c r="B12" s="132">
        <v>6.7000000000000004E-2</v>
      </c>
      <c r="C12" s="132">
        <v>0.25</v>
      </c>
      <c r="D12" s="132">
        <v>0</v>
      </c>
      <c r="E12" s="132">
        <v>0.12599999999999997</v>
      </c>
      <c r="F12" s="132">
        <v>1.7000000000000001E-2</v>
      </c>
      <c r="G12" s="132">
        <v>0.18</v>
      </c>
      <c r="H12" s="132">
        <v>0.08</v>
      </c>
      <c r="I12" s="132">
        <v>6.5000000000000002E-2</v>
      </c>
      <c r="J12" s="132">
        <v>0.06</v>
      </c>
      <c r="K12" s="132">
        <v>0.1</v>
      </c>
      <c r="L12" s="132">
        <v>0</v>
      </c>
      <c r="M12" s="132">
        <v>0</v>
      </c>
      <c r="N12" s="132">
        <v>0</v>
      </c>
      <c r="O12" s="132">
        <v>0</v>
      </c>
      <c r="P12" s="132">
        <v>0</v>
      </c>
      <c r="Q12" s="132">
        <v>0</v>
      </c>
      <c r="R12" s="132">
        <v>0</v>
      </c>
      <c r="S12" s="132">
        <v>0</v>
      </c>
      <c r="T12" s="132">
        <v>0</v>
      </c>
      <c r="U12" s="132">
        <v>0</v>
      </c>
      <c r="V12" s="132">
        <v>0</v>
      </c>
    </row>
    <row r="13" spans="1:34" customFormat="1" x14ac:dyDescent="0.15">
      <c r="A13" s="159" t="s">
        <v>204</v>
      </c>
      <c r="B13" s="132">
        <v>0.122</v>
      </c>
      <c r="C13" s="132">
        <v>0.21</v>
      </c>
      <c r="D13" s="132">
        <v>0.30099999999999999</v>
      </c>
      <c r="E13" s="132">
        <v>0.20199999999999996</v>
      </c>
      <c r="F13" s="132">
        <v>3.1E-2</v>
      </c>
      <c r="G13" s="132">
        <v>0.38800000000000001</v>
      </c>
      <c r="H13" s="132">
        <v>0.38900000000000001</v>
      </c>
      <c r="I13" s="132">
        <v>0.45300000000000001</v>
      </c>
      <c r="J13" s="132">
        <v>0.33</v>
      </c>
      <c r="K13" s="132">
        <v>0.14699999999999999</v>
      </c>
      <c r="L13" s="132">
        <v>0.25</v>
      </c>
      <c r="M13" s="132">
        <v>0</v>
      </c>
      <c r="N13" s="132">
        <v>0</v>
      </c>
      <c r="O13" s="132">
        <v>0.12</v>
      </c>
      <c r="P13" s="132">
        <v>0</v>
      </c>
      <c r="Q13" s="132">
        <v>0</v>
      </c>
      <c r="R13" s="132">
        <v>0</v>
      </c>
      <c r="S13" s="132">
        <v>0</v>
      </c>
      <c r="T13" s="132">
        <v>0</v>
      </c>
      <c r="U13" s="132">
        <v>0</v>
      </c>
      <c r="V13" s="132">
        <v>0</v>
      </c>
    </row>
    <row r="14" spans="1:34" customFormat="1" x14ac:dyDescent="0.15">
      <c r="A14" s="159" t="s">
        <v>205</v>
      </c>
      <c r="B14" s="132">
        <v>0.156</v>
      </c>
      <c r="C14" s="132">
        <v>4.5999999999999999E-2</v>
      </c>
      <c r="D14" s="132">
        <v>0.05</v>
      </c>
      <c r="E14" s="132">
        <v>9.5999999999999974E-2</v>
      </c>
      <c r="F14" s="132">
        <v>0.34200000000000003</v>
      </c>
      <c r="G14" s="132">
        <v>0.13</v>
      </c>
      <c r="H14" s="132">
        <v>0.105</v>
      </c>
      <c r="I14" s="132">
        <v>0.11700000000000001</v>
      </c>
      <c r="J14" s="132">
        <v>0.14000000000000001</v>
      </c>
      <c r="K14" s="132">
        <v>0.125</v>
      </c>
      <c r="L14" s="132">
        <v>0.20100000000000001</v>
      </c>
      <c r="M14" s="132">
        <v>0</v>
      </c>
      <c r="N14" s="132">
        <v>0</v>
      </c>
      <c r="O14" s="132">
        <v>0.18</v>
      </c>
      <c r="P14" s="132">
        <v>0</v>
      </c>
      <c r="Q14" s="132">
        <v>0</v>
      </c>
      <c r="R14" s="132">
        <v>0</v>
      </c>
      <c r="S14" s="132">
        <v>0</v>
      </c>
      <c r="T14" s="132">
        <v>0</v>
      </c>
      <c r="U14" s="132">
        <v>0</v>
      </c>
      <c r="V14" s="132">
        <v>0</v>
      </c>
    </row>
    <row r="15" spans="1:34" customFormat="1" x14ac:dyDescent="0.15">
      <c r="A15" s="159" t="s">
        <v>166</v>
      </c>
      <c r="B15" s="132">
        <v>0.54200000000000004</v>
      </c>
      <c r="C15" s="132">
        <v>0.16400000000000001</v>
      </c>
      <c r="D15" s="132">
        <v>0.52700000000000002</v>
      </c>
      <c r="E15" s="132">
        <v>0.33299999999999996</v>
      </c>
      <c r="F15" s="132">
        <v>0.379</v>
      </c>
      <c r="G15" s="132">
        <v>0.13300000000000001</v>
      </c>
      <c r="H15" s="132">
        <v>0.159</v>
      </c>
      <c r="I15" s="132">
        <v>0.13200000000000001</v>
      </c>
      <c r="J15" s="132">
        <v>0.14499999999999999</v>
      </c>
      <c r="K15" s="132">
        <v>0.32300000000000001</v>
      </c>
      <c r="L15" s="132">
        <v>0.1</v>
      </c>
      <c r="M15" s="132">
        <v>0</v>
      </c>
      <c r="N15" s="132">
        <v>0</v>
      </c>
      <c r="O15" s="132">
        <v>0</v>
      </c>
      <c r="P15" s="132">
        <v>0</v>
      </c>
      <c r="Q15" s="132">
        <v>0</v>
      </c>
      <c r="R15" s="132">
        <v>0</v>
      </c>
      <c r="S15" s="132">
        <v>0</v>
      </c>
      <c r="T15" s="132">
        <v>0</v>
      </c>
      <c r="U15" s="132">
        <v>0</v>
      </c>
      <c r="V15" s="132">
        <v>0</v>
      </c>
    </row>
    <row r="16" spans="1:34" customFormat="1" x14ac:dyDescent="0.15">
      <c r="A16" s="159" t="s">
        <v>206</v>
      </c>
      <c r="B16" s="132">
        <v>1.7000000000000001E-2</v>
      </c>
      <c r="C16" s="132">
        <v>2E-3</v>
      </c>
      <c r="D16" s="132">
        <v>5.6000000000000001E-2</v>
      </c>
      <c r="E16" s="132">
        <v>1.7999999999999995E-2</v>
      </c>
      <c r="F16" s="132">
        <v>7.3999999999999996E-2</v>
      </c>
      <c r="G16" s="132">
        <v>7.0000000000000007E-2</v>
      </c>
      <c r="H16" s="132">
        <v>0.16900000000000001</v>
      </c>
      <c r="I16" s="132">
        <v>0.13700000000000001</v>
      </c>
      <c r="J16" s="132">
        <v>9.0999999999999998E-2</v>
      </c>
      <c r="K16" s="132">
        <v>0.12</v>
      </c>
      <c r="L16" s="132">
        <v>0.18099999999999999</v>
      </c>
      <c r="M16" s="132">
        <v>0.05</v>
      </c>
      <c r="N16" s="132">
        <v>5.3999999999999999E-2</v>
      </c>
      <c r="O16" s="132">
        <v>0.1</v>
      </c>
      <c r="P16" s="132">
        <v>0</v>
      </c>
      <c r="Q16" s="132">
        <v>0</v>
      </c>
      <c r="R16" s="132">
        <v>0</v>
      </c>
      <c r="S16" s="132">
        <v>0</v>
      </c>
      <c r="T16" s="132">
        <v>0</v>
      </c>
      <c r="U16" s="132">
        <v>0</v>
      </c>
      <c r="V16" s="132">
        <v>0</v>
      </c>
    </row>
    <row r="17" spans="1:22" customFormat="1" x14ac:dyDescent="0.15">
      <c r="A17" s="159" t="s">
        <v>207</v>
      </c>
      <c r="B17" s="132">
        <v>0</v>
      </c>
      <c r="C17" s="132">
        <v>0</v>
      </c>
      <c r="D17" s="132">
        <v>0.05</v>
      </c>
      <c r="E17" s="132">
        <v>2.4999999999999994E-2</v>
      </c>
      <c r="F17" s="132">
        <v>5.0000000000000001E-3</v>
      </c>
      <c r="G17" s="132">
        <v>2.1999999999999999E-2</v>
      </c>
      <c r="H17" s="132">
        <v>8.7999999999999995E-2</v>
      </c>
      <c r="I17" s="132">
        <v>8.8999999999999996E-2</v>
      </c>
      <c r="J17" s="132">
        <v>0.1</v>
      </c>
      <c r="K17" s="132">
        <v>0.12</v>
      </c>
      <c r="L17" s="132">
        <v>0.25</v>
      </c>
      <c r="M17" s="132">
        <v>0.63300000000000001</v>
      </c>
      <c r="N17" s="132">
        <v>0.94</v>
      </c>
      <c r="O17" s="132">
        <v>0.6</v>
      </c>
      <c r="P17" s="132">
        <v>0.50700000000000001</v>
      </c>
      <c r="Q17" s="132">
        <v>0.15</v>
      </c>
      <c r="R17" s="132">
        <v>0</v>
      </c>
      <c r="S17" s="132">
        <v>0</v>
      </c>
      <c r="T17" s="132">
        <v>0</v>
      </c>
      <c r="U17" s="132">
        <v>0</v>
      </c>
      <c r="V17" s="132">
        <v>0</v>
      </c>
    </row>
    <row r="18" spans="1:22" customFormat="1" x14ac:dyDescent="0.15">
      <c r="A18" s="159" t="s">
        <v>208</v>
      </c>
      <c r="B18" s="132">
        <v>0</v>
      </c>
      <c r="C18" s="132">
        <v>0</v>
      </c>
      <c r="D18" s="132">
        <v>0</v>
      </c>
      <c r="E18" s="132">
        <v>0</v>
      </c>
      <c r="F18" s="132">
        <v>0</v>
      </c>
      <c r="G18" s="132">
        <v>0</v>
      </c>
      <c r="H18" s="132">
        <v>0</v>
      </c>
      <c r="I18" s="132">
        <v>0</v>
      </c>
      <c r="J18" s="132">
        <v>0</v>
      </c>
      <c r="K18" s="132">
        <v>0</v>
      </c>
      <c r="L18" s="132">
        <v>0</v>
      </c>
      <c r="M18" s="132">
        <v>0</v>
      </c>
      <c r="N18" s="132">
        <v>0</v>
      </c>
      <c r="O18" s="132">
        <v>0</v>
      </c>
      <c r="P18" s="132">
        <v>0</v>
      </c>
      <c r="Q18" s="132">
        <v>0.37</v>
      </c>
      <c r="R18" s="132">
        <v>0</v>
      </c>
      <c r="S18" s="132">
        <v>0</v>
      </c>
      <c r="T18" s="132">
        <v>0</v>
      </c>
      <c r="U18" s="132">
        <v>0</v>
      </c>
      <c r="V18" s="132">
        <v>0</v>
      </c>
    </row>
    <row r="19" spans="1:22" customFormat="1" x14ac:dyDescent="0.15">
      <c r="A19" s="159" t="s">
        <v>42</v>
      </c>
      <c r="B19" s="132">
        <v>0</v>
      </c>
      <c r="C19" s="132">
        <v>0</v>
      </c>
      <c r="D19" s="132">
        <v>0</v>
      </c>
      <c r="E19" s="132">
        <v>0</v>
      </c>
      <c r="F19" s="132">
        <v>0</v>
      </c>
      <c r="G19" s="132">
        <v>0</v>
      </c>
      <c r="H19" s="132">
        <v>0</v>
      </c>
      <c r="I19" s="132">
        <v>0</v>
      </c>
      <c r="J19" s="132">
        <v>0</v>
      </c>
      <c r="K19" s="132">
        <v>0</v>
      </c>
      <c r="L19" s="132">
        <v>0</v>
      </c>
      <c r="M19" s="132">
        <v>0.28000000000000003</v>
      </c>
      <c r="N19" s="132">
        <v>0</v>
      </c>
      <c r="O19" s="132">
        <v>0</v>
      </c>
      <c r="P19" s="132">
        <v>0.312</v>
      </c>
      <c r="Q19" s="132">
        <v>0.15</v>
      </c>
      <c r="R19" s="132">
        <v>0</v>
      </c>
      <c r="S19" s="132">
        <v>0</v>
      </c>
      <c r="T19" s="132">
        <v>0</v>
      </c>
      <c r="U19" s="132">
        <v>0</v>
      </c>
      <c r="V19" s="132">
        <v>0</v>
      </c>
    </row>
    <row r="20" spans="1:22" customFormat="1" x14ac:dyDescent="0.15">
      <c r="A20" s="159" t="s">
        <v>43</v>
      </c>
      <c r="B20" s="132">
        <v>0</v>
      </c>
      <c r="C20" s="132">
        <v>0</v>
      </c>
      <c r="D20" s="132">
        <v>0</v>
      </c>
      <c r="E20" s="132">
        <v>0</v>
      </c>
      <c r="F20" s="132">
        <v>0</v>
      </c>
      <c r="G20" s="132">
        <v>0</v>
      </c>
      <c r="H20" s="132">
        <v>0</v>
      </c>
      <c r="I20" s="132">
        <v>0</v>
      </c>
      <c r="J20" s="132">
        <v>0</v>
      </c>
      <c r="K20" s="132">
        <v>0</v>
      </c>
      <c r="L20" s="132">
        <v>0</v>
      </c>
      <c r="M20" s="132">
        <v>0</v>
      </c>
      <c r="N20" s="132">
        <v>0</v>
      </c>
      <c r="O20" s="132">
        <v>0</v>
      </c>
      <c r="P20" s="132">
        <v>0</v>
      </c>
      <c r="Q20" s="132">
        <v>0</v>
      </c>
      <c r="R20" s="132">
        <v>1</v>
      </c>
      <c r="S20" s="132">
        <v>0</v>
      </c>
      <c r="T20" s="132">
        <v>0</v>
      </c>
      <c r="U20" s="132">
        <v>0</v>
      </c>
      <c r="V20" s="132">
        <v>0</v>
      </c>
    </row>
    <row r="21" spans="1:22" customFormat="1" x14ac:dyDescent="0.15">
      <c r="A21" s="159" t="s">
        <v>209</v>
      </c>
      <c r="B21" s="132">
        <v>0</v>
      </c>
      <c r="C21" s="132">
        <v>0</v>
      </c>
      <c r="D21" s="132">
        <v>0</v>
      </c>
      <c r="E21" s="132">
        <v>2.0999999999999998E-2</v>
      </c>
      <c r="F21" s="132">
        <v>0</v>
      </c>
      <c r="G21" s="132">
        <v>0</v>
      </c>
      <c r="H21" s="132">
        <v>0</v>
      </c>
      <c r="I21" s="132">
        <v>1E-3</v>
      </c>
      <c r="J21" s="132">
        <v>0</v>
      </c>
      <c r="K21" s="132">
        <v>6.0000000000000001E-3</v>
      </c>
      <c r="L21" s="132">
        <v>0</v>
      </c>
      <c r="M21" s="132">
        <v>3.6999999999999998E-2</v>
      </c>
      <c r="N21" s="132">
        <v>6.0000000000000001E-3</v>
      </c>
      <c r="O21" s="132">
        <v>0</v>
      </c>
      <c r="P21" s="132">
        <v>0.18099999999999999</v>
      </c>
      <c r="Q21" s="132">
        <v>0.33</v>
      </c>
      <c r="R21" s="132">
        <v>0</v>
      </c>
      <c r="S21" s="132">
        <v>0</v>
      </c>
      <c r="T21" s="132">
        <v>0</v>
      </c>
      <c r="U21" s="132">
        <v>0</v>
      </c>
      <c r="V21" s="132">
        <v>0</v>
      </c>
    </row>
    <row r="22" spans="1:22" customFormat="1" x14ac:dyDescent="0.15">
      <c r="A22" s="159" t="s">
        <v>210</v>
      </c>
      <c r="B22" s="132">
        <v>0</v>
      </c>
      <c r="C22" s="132">
        <v>0</v>
      </c>
      <c r="D22" s="132">
        <v>0</v>
      </c>
      <c r="E22" s="132">
        <v>0</v>
      </c>
      <c r="F22" s="132">
        <v>0</v>
      </c>
      <c r="G22" s="132">
        <v>0</v>
      </c>
      <c r="H22" s="132">
        <v>0</v>
      </c>
      <c r="I22" s="132">
        <v>0</v>
      </c>
      <c r="J22" s="132">
        <v>0</v>
      </c>
      <c r="K22" s="132">
        <v>0</v>
      </c>
      <c r="L22" s="132">
        <v>0</v>
      </c>
      <c r="M22" s="132">
        <v>0</v>
      </c>
      <c r="N22" s="132">
        <v>0</v>
      </c>
      <c r="O22" s="132">
        <v>0</v>
      </c>
      <c r="P22" s="132">
        <v>0</v>
      </c>
      <c r="Q22" s="132">
        <v>0</v>
      </c>
      <c r="R22" s="132">
        <v>0</v>
      </c>
      <c r="S22" s="132">
        <v>0</v>
      </c>
      <c r="T22" s="132">
        <v>0</v>
      </c>
      <c r="U22" s="132">
        <v>0</v>
      </c>
      <c r="V22" s="132">
        <v>0</v>
      </c>
    </row>
    <row r="23" spans="1:22" customFormat="1" x14ac:dyDescent="0.15">
      <c r="A23" s="159" t="s">
        <v>212</v>
      </c>
      <c r="B23" s="132">
        <v>0</v>
      </c>
      <c r="C23" s="132">
        <v>0</v>
      </c>
      <c r="D23" s="132">
        <v>0</v>
      </c>
      <c r="E23" s="132">
        <v>0</v>
      </c>
      <c r="F23" s="132">
        <v>0</v>
      </c>
      <c r="G23" s="132">
        <v>0</v>
      </c>
      <c r="H23" s="132">
        <v>0</v>
      </c>
      <c r="I23" s="132">
        <v>0</v>
      </c>
      <c r="J23" s="132">
        <v>0</v>
      </c>
      <c r="K23" s="132">
        <v>0</v>
      </c>
      <c r="L23" s="132">
        <v>0</v>
      </c>
      <c r="M23" s="132">
        <v>0</v>
      </c>
      <c r="N23" s="132">
        <v>0</v>
      </c>
      <c r="O23" s="132">
        <v>0</v>
      </c>
      <c r="P23" s="132">
        <v>0</v>
      </c>
      <c r="Q23" s="132">
        <v>0</v>
      </c>
      <c r="R23" s="132">
        <v>0</v>
      </c>
      <c r="S23" s="132">
        <v>0</v>
      </c>
      <c r="T23" s="132">
        <v>0</v>
      </c>
      <c r="U23" s="132">
        <v>0</v>
      </c>
      <c r="V23" s="132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3" customWidth="1"/>
    <col min="5" max="6" width="2.33203125" style="102" bestFit="1" customWidth="1"/>
    <col min="7" max="8" width="8.83203125" style="103"/>
  </cols>
  <sheetData>
    <row r="1" spans="1:8" ht="70" x14ac:dyDescent="0.15">
      <c r="A1" s="5" t="s">
        <v>20</v>
      </c>
      <c r="B1" s="1" t="s">
        <v>0</v>
      </c>
      <c r="C1" s="162" t="s">
        <v>209</v>
      </c>
      <c r="D1" s="162" t="s">
        <v>210</v>
      </c>
      <c r="E1" s="162" t="s">
        <v>213</v>
      </c>
      <c r="F1" s="162" t="s">
        <v>214</v>
      </c>
      <c r="G1"/>
      <c r="H1"/>
    </row>
    <row r="2" spans="1:8" x14ac:dyDescent="0.15">
      <c r="A2">
        <v>1</v>
      </c>
      <c r="B2" s="161" t="s">
        <v>194</v>
      </c>
      <c r="C2" s="103">
        <v>1</v>
      </c>
      <c r="D2" s="103">
        <v>0</v>
      </c>
      <c r="E2" s="102">
        <v>0</v>
      </c>
      <c r="F2" s="102">
        <v>1</v>
      </c>
      <c r="G2"/>
      <c r="H2"/>
    </row>
    <row r="3" spans="1:8" x14ac:dyDescent="0.15">
      <c r="A3">
        <v>2</v>
      </c>
      <c r="B3" s="161" t="s">
        <v>195</v>
      </c>
      <c r="C3" s="103">
        <v>1</v>
      </c>
      <c r="D3" s="103">
        <v>0</v>
      </c>
      <c r="E3" s="102">
        <v>0</v>
      </c>
      <c r="F3" s="102">
        <v>1</v>
      </c>
      <c r="G3"/>
      <c r="H3"/>
    </row>
    <row r="4" spans="1:8" x14ac:dyDescent="0.15">
      <c r="A4">
        <v>3</v>
      </c>
      <c r="B4" s="161" t="s">
        <v>196</v>
      </c>
      <c r="C4" s="103">
        <v>1</v>
      </c>
      <c r="D4" s="103">
        <v>0</v>
      </c>
      <c r="E4" s="102">
        <v>0</v>
      </c>
      <c r="F4" s="102">
        <v>1</v>
      </c>
      <c r="G4"/>
      <c r="H4"/>
    </row>
    <row r="5" spans="1:8" x14ac:dyDescent="0.15">
      <c r="A5">
        <v>4</v>
      </c>
      <c r="B5" s="161" t="s">
        <v>197</v>
      </c>
      <c r="C5" s="103">
        <v>1</v>
      </c>
      <c r="D5" s="103">
        <v>0</v>
      </c>
      <c r="E5" s="102">
        <v>0</v>
      </c>
      <c r="F5" s="102">
        <v>1</v>
      </c>
      <c r="G5"/>
      <c r="H5"/>
    </row>
    <row r="6" spans="1:8" x14ac:dyDescent="0.15">
      <c r="A6">
        <v>5</v>
      </c>
      <c r="B6" s="161" t="s">
        <v>198</v>
      </c>
      <c r="C6" s="103">
        <v>1</v>
      </c>
      <c r="D6" s="103">
        <v>0</v>
      </c>
      <c r="E6" s="102">
        <v>0</v>
      </c>
      <c r="F6" s="102">
        <v>1</v>
      </c>
      <c r="G6"/>
      <c r="H6"/>
    </row>
    <row r="7" spans="1:8" x14ac:dyDescent="0.15">
      <c r="A7">
        <v>6</v>
      </c>
      <c r="B7" s="161" t="s">
        <v>199</v>
      </c>
      <c r="C7" s="103">
        <v>1</v>
      </c>
      <c r="D7" s="103">
        <v>0</v>
      </c>
      <c r="E7" s="102">
        <v>0</v>
      </c>
      <c r="F7" s="102">
        <v>1</v>
      </c>
      <c r="G7"/>
      <c r="H7"/>
    </row>
    <row r="8" spans="1:8" x14ac:dyDescent="0.15">
      <c r="A8">
        <v>7</v>
      </c>
      <c r="B8" s="161" t="s">
        <v>200</v>
      </c>
      <c r="C8" s="103">
        <v>1</v>
      </c>
      <c r="D8" s="103">
        <v>0</v>
      </c>
      <c r="E8" s="102">
        <v>0</v>
      </c>
      <c r="F8" s="102">
        <v>1</v>
      </c>
      <c r="G8"/>
      <c r="H8"/>
    </row>
    <row r="9" spans="1:8" x14ac:dyDescent="0.15">
      <c r="A9">
        <v>8</v>
      </c>
      <c r="B9" s="161" t="s">
        <v>167</v>
      </c>
      <c r="C9" s="103">
        <v>1</v>
      </c>
      <c r="D9" s="103">
        <v>0</v>
      </c>
      <c r="E9" s="102">
        <v>0</v>
      </c>
      <c r="F9" s="102">
        <v>1</v>
      </c>
      <c r="G9"/>
      <c r="H9"/>
    </row>
    <row r="10" spans="1:8" x14ac:dyDescent="0.15">
      <c r="A10">
        <v>9</v>
      </c>
      <c r="B10" s="161" t="s">
        <v>201</v>
      </c>
      <c r="C10" s="103">
        <v>1</v>
      </c>
      <c r="D10" s="103">
        <v>0</v>
      </c>
      <c r="E10" s="102">
        <v>0</v>
      </c>
      <c r="F10" s="102">
        <v>1</v>
      </c>
      <c r="G10"/>
      <c r="H10"/>
    </row>
    <row r="11" spans="1:8" x14ac:dyDescent="0.15">
      <c r="A11">
        <v>10</v>
      </c>
      <c r="B11" s="161" t="s">
        <v>202</v>
      </c>
      <c r="C11" s="103">
        <v>1</v>
      </c>
      <c r="D11" s="103">
        <v>0</v>
      </c>
      <c r="E11" s="102">
        <v>0</v>
      </c>
      <c r="F11" s="102">
        <v>1</v>
      </c>
      <c r="G11"/>
      <c r="H11"/>
    </row>
    <row r="12" spans="1:8" x14ac:dyDescent="0.15">
      <c r="A12">
        <v>11</v>
      </c>
      <c r="B12" s="161" t="s">
        <v>203</v>
      </c>
      <c r="C12" s="103">
        <v>1</v>
      </c>
      <c r="D12" s="103">
        <v>0</v>
      </c>
      <c r="E12" s="102">
        <v>0</v>
      </c>
      <c r="F12" s="102">
        <v>1</v>
      </c>
      <c r="G12"/>
      <c r="H12"/>
    </row>
    <row r="13" spans="1:8" x14ac:dyDescent="0.15">
      <c r="A13">
        <v>12</v>
      </c>
      <c r="B13" s="161" t="s">
        <v>204</v>
      </c>
      <c r="C13" s="103">
        <v>1</v>
      </c>
      <c r="D13" s="103">
        <v>0</v>
      </c>
      <c r="E13" s="102">
        <v>0</v>
      </c>
      <c r="F13" s="102">
        <v>1</v>
      </c>
      <c r="G13"/>
      <c r="H13"/>
    </row>
    <row r="14" spans="1:8" x14ac:dyDescent="0.15">
      <c r="A14">
        <v>13</v>
      </c>
      <c r="B14" s="161" t="s">
        <v>205</v>
      </c>
      <c r="C14" s="103">
        <v>1</v>
      </c>
      <c r="D14" s="103">
        <v>0</v>
      </c>
      <c r="E14" s="102">
        <v>0</v>
      </c>
      <c r="F14" s="102">
        <v>1</v>
      </c>
      <c r="G14"/>
      <c r="H14"/>
    </row>
    <row r="15" spans="1:8" x14ac:dyDescent="0.15">
      <c r="A15">
        <v>14</v>
      </c>
      <c r="B15" s="161" t="s">
        <v>166</v>
      </c>
      <c r="C15" s="103">
        <v>1</v>
      </c>
      <c r="D15" s="103">
        <v>0</v>
      </c>
      <c r="E15" s="102">
        <v>0</v>
      </c>
      <c r="F15" s="102">
        <v>1</v>
      </c>
      <c r="G15"/>
      <c r="H15"/>
    </row>
    <row r="16" spans="1:8" x14ac:dyDescent="0.15">
      <c r="A16">
        <v>15</v>
      </c>
      <c r="B16" s="161" t="s">
        <v>206</v>
      </c>
      <c r="C16" s="103">
        <v>1</v>
      </c>
      <c r="D16" s="103">
        <v>0</v>
      </c>
      <c r="E16" s="102">
        <v>0</v>
      </c>
      <c r="F16" s="102">
        <v>1</v>
      </c>
      <c r="G16"/>
      <c r="H16"/>
    </row>
    <row r="17" spans="1:8" ht="15" customHeight="1" x14ac:dyDescent="0.15">
      <c r="A17">
        <v>16</v>
      </c>
      <c r="B17" s="161" t="s">
        <v>207</v>
      </c>
      <c r="C17" s="103">
        <v>1</v>
      </c>
      <c r="D17" s="103">
        <v>0</v>
      </c>
      <c r="E17" s="102">
        <v>0</v>
      </c>
      <c r="F17" s="102">
        <v>1</v>
      </c>
      <c r="G17"/>
      <c r="H17"/>
    </row>
    <row r="18" spans="1:8" ht="15" customHeight="1" x14ac:dyDescent="0.15">
      <c r="A18">
        <v>17</v>
      </c>
      <c r="B18" s="161" t="s">
        <v>208</v>
      </c>
      <c r="C18" s="103">
        <v>1</v>
      </c>
      <c r="D18" s="103">
        <v>0</v>
      </c>
      <c r="E18" s="102">
        <v>0</v>
      </c>
      <c r="F18" s="102">
        <v>1</v>
      </c>
      <c r="G18"/>
      <c r="H18"/>
    </row>
    <row r="19" spans="1:8" ht="15" customHeight="1" x14ac:dyDescent="0.15">
      <c r="A19">
        <v>18</v>
      </c>
      <c r="B19" s="161" t="s">
        <v>42</v>
      </c>
      <c r="C19" s="103">
        <v>1</v>
      </c>
      <c r="D19" s="103">
        <v>0</v>
      </c>
      <c r="E19" s="102">
        <v>0</v>
      </c>
      <c r="F19" s="102">
        <v>1</v>
      </c>
      <c r="G19"/>
      <c r="H19"/>
    </row>
    <row r="20" spans="1:8" ht="15" customHeight="1" x14ac:dyDescent="0.15">
      <c r="A20">
        <v>19</v>
      </c>
      <c r="B20" s="161" t="s">
        <v>43</v>
      </c>
      <c r="C20" s="103">
        <v>1</v>
      </c>
      <c r="D20" s="103">
        <v>0</v>
      </c>
      <c r="E20" s="102">
        <v>0</v>
      </c>
      <c r="F20" s="102">
        <v>1</v>
      </c>
      <c r="G20"/>
      <c r="H20"/>
    </row>
    <row r="21" spans="1:8" ht="15" customHeight="1" x14ac:dyDescent="0.15">
      <c r="A21">
        <v>20</v>
      </c>
      <c r="B21" s="161" t="s">
        <v>209</v>
      </c>
      <c r="C21" s="103">
        <v>0</v>
      </c>
      <c r="D21" s="103">
        <v>1</v>
      </c>
      <c r="E21" s="102">
        <v>0</v>
      </c>
      <c r="F21" s="102">
        <v>1</v>
      </c>
      <c r="G21"/>
      <c r="H21"/>
    </row>
    <row r="22" spans="1:8" ht="15" customHeight="1" x14ac:dyDescent="0.15">
      <c r="A22">
        <v>21</v>
      </c>
      <c r="B22" s="161" t="s">
        <v>210</v>
      </c>
      <c r="C22" s="103">
        <v>0</v>
      </c>
      <c r="D22" s="103">
        <v>0</v>
      </c>
      <c r="E22" s="102">
        <v>1</v>
      </c>
      <c r="F22" s="102">
        <v>1</v>
      </c>
      <c r="G22"/>
      <c r="H22"/>
    </row>
    <row r="23" spans="1:8" ht="15" customHeight="1" x14ac:dyDescent="0.15">
      <c r="A23">
        <v>22</v>
      </c>
      <c r="B23" s="161" t="s">
        <v>211</v>
      </c>
      <c r="C23" s="103">
        <v>0</v>
      </c>
      <c r="D23" s="103">
        <v>1</v>
      </c>
      <c r="E23" s="102">
        <v>0</v>
      </c>
      <c r="F23" s="102">
        <v>1</v>
      </c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3"/>
      <c r="F36" s="103"/>
      <c r="G36"/>
      <c r="H36"/>
    </row>
    <row r="37" spans="3:8" ht="15" customHeight="1" x14ac:dyDescent="0.15">
      <c r="C37"/>
      <c r="D37"/>
      <c r="E37" s="103"/>
      <c r="F37" s="103"/>
      <c r="G37"/>
      <c r="H37"/>
    </row>
    <row r="38" spans="3:8" ht="15" customHeight="1" x14ac:dyDescent="0.15">
      <c r="C38"/>
      <c r="D38"/>
      <c r="E38" s="103"/>
      <c r="F38" s="103"/>
      <c r="G38"/>
      <c r="H38"/>
    </row>
    <row r="39" spans="3:8" ht="15" customHeight="1" x14ac:dyDescent="0.15">
      <c r="C39"/>
      <c r="D39"/>
      <c r="E39" s="103"/>
      <c r="F39" s="103"/>
      <c r="G39"/>
      <c r="H39"/>
    </row>
    <row r="40" spans="3:8" ht="15" customHeight="1" x14ac:dyDescent="0.15">
      <c r="C40"/>
      <c r="D40"/>
      <c r="E40" s="103"/>
      <c r="F40" s="103"/>
      <c r="G40"/>
      <c r="H40"/>
    </row>
    <row r="41" spans="3:8" ht="15" customHeight="1" x14ac:dyDescent="0.15">
      <c r="C41"/>
      <c r="D41"/>
      <c r="E41" s="103"/>
      <c r="F41" s="103"/>
      <c r="G41"/>
      <c r="H41"/>
    </row>
    <row r="42" spans="3:8" ht="15" customHeight="1" x14ac:dyDescent="0.15">
      <c r="C42"/>
      <c r="D42"/>
      <c r="E42" s="103"/>
      <c r="F42" s="103"/>
      <c r="G42"/>
      <c r="H42"/>
    </row>
    <row r="43" spans="3:8" ht="15" customHeight="1" x14ac:dyDescent="0.15">
      <c r="C43"/>
      <c r="D43"/>
      <c r="E43" s="103"/>
      <c r="F43" s="103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3"/>
      <c r="F46" s="103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.83203125" bestFit="1" customWidth="1"/>
    <col min="3" max="4" width="8.83203125" bestFit="1" customWidth="1"/>
    <col min="5" max="5" width="12.1640625" bestFit="1" customWidth="1"/>
  </cols>
  <sheetData>
    <row r="1" spans="1:5" s="104" customFormat="1" ht="112" x14ac:dyDescent="0.15">
      <c r="A1" s="5" t="s">
        <v>21</v>
      </c>
      <c r="B1" s="3" t="s">
        <v>0</v>
      </c>
      <c r="C1" s="164" t="s">
        <v>211</v>
      </c>
      <c r="D1" s="164" t="s">
        <v>215</v>
      </c>
      <c r="E1"/>
    </row>
    <row r="2" spans="1:5" ht="15" customHeight="1" x14ac:dyDescent="0.15">
      <c r="A2">
        <v>1</v>
      </c>
      <c r="B2" s="163" t="s">
        <v>194</v>
      </c>
      <c r="C2">
        <v>5.5999999999999999E-5</v>
      </c>
      <c r="D2">
        <v>5.5999999999999999E-5</v>
      </c>
    </row>
    <row r="3" spans="1:5" ht="15" customHeight="1" x14ac:dyDescent="0.15">
      <c r="A3">
        <v>2</v>
      </c>
      <c r="B3" s="163" t="s">
        <v>195</v>
      </c>
      <c r="C3">
        <v>4.8200000000000001E-4</v>
      </c>
      <c r="D3">
        <v>4.8200000000000001E-4</v>
      </c>
    </row>
    <row r="4" spans="1:5" ht="15" customHeight="1" x14ac:dyDescent="0.15">
      <c r="A4">
        <v>3</v>
      </c>
      <c r="B4" s="163" t="s">
        <v>196</v>
      </c>
      <c r="C4">
        <v>1.635E-3</v>
      </c>
      <c r="D4">
        <v>1.635E-3</v>
      </c>
    </row>
    <row r="5" spans="1:5" ht="15" customHeight="1" x14ac:dyDescent="0.15">
      <c r="A5">
        <v>4</v>
      </c>
      <c r="B5" s="163" t="s">
        <v>197</v>
      </c>
      <c r="C5">
        <v>1.1670000000000001E-3</v>
      </c>
      <c r="D5">
        <v>1.1670000000000001E-3</v>
      </c>
    </row>
    <row r="6" spans="1:5" ht="15" customHeight="1" x14ac:dyDescent="0.15">
      <c r="A6">
        <v>5</v>
      </c>
      <c r="B6" s="163" t="s">
        <v>198</v>
      </c>
      <c r="C6">
        <v>1.052E-3</v>
      </c>
      <c r="D6">
        <v>1.052E-3</v>
      </c>
    </row>
    <row r="7" spans="1:5" ht="15" customHeight="1" x14ac:dyDescent="0.15">
      <c r="A7">
        <v>6</v>
      </c>
      <c r="B7" s="163" t="s">
        <v>199</v>
      </c>
      <c r="C7">
        <v>8.8000000000000005E-3</v>
      </c>
      <c r="D7">
        <v>8.8000000000000005E-3</v>
      </c>
    </row>
    <row r="8" spans="1:5" ht="15" customHeight="1" x14ac:dyDescent="0.15">
      <c r="A8">
        <v>7</v>
      </c>
      <c r="B8" s="163" t="s">
        <v>200</v>
      </c>
      <c r="C8">
        <v>2.7980000000000001E-2</v>
      </c>
      <c r="D8">
        <v>2.7980000000000001E-2</v>
      </c>
    </row>
    <row r="9" spans="1:5" ht="15" customHeight="1" x14ac:dyDescent="0.15">
      <c r="A9">
        <v>8</v>
      </c>
      <c r="B9" s="163" t="s">
        <v>167</v>
      </c>
      <c r="C9">
        <v>4.9334000000000003E-2</v>
      </c>
      <c r="D9">
        <v>4.9334000000000003E-2</v>
      </c>
    </row>
    <row r="10" spans="1:5" ht="15" customHeight="1" x14ac:dyDescent="0.15">
      <c r="A10">
        <v>9</v>
      </c>
      <c r="B10" s="163" t="s">
        <v>201</v>
      </c>
      <c r="C10">
        <v>0</v>
      </c>
      <c r="D10">
        <v>0</v>
      </c>
    </row>
    <row r="11" spans="1:5" ht="15" customHeight="1" x14ac:dyDescent="0.15">
      <c r="A11">
        <v>10</v>
      </c>
      <c r="B11" s="163" t="s">
        <v>202</v>
      </c>
      <c r="C11">
        <v>0</v>
      </c>
      <c r="D11">
        <v>0</v>
      </c>
    </row>
    <row r="12" spans="1:5" ht="15" customHeight="1" x14ac:dyDescent="0.15">
      <c r="A12">
        <v>11</v>
      </c>
      <c r="B12" s="163" t="s">
        <v>203</v>
      </c>
      <c r="C12">
        <v>0</v>
      </c>
      <c r="D12">
        <v>0</v>
      </c>
    </row>
    <row r="13" spans="1:5" ht="15" customHeight="1" x14ac:dyDescent="0.15">
      <c r="A13">
        <v>12</v>
      </c>
      <c r="B13" s="163" t="s">
        <v>204</v>
      </c>
      <c r="C13">
        <v>4.6743E-2</v>
      </c>
      <c r="D13">
        <v>4.6743E-2</v>
      </c>
    </row>
    <row r="14" spans="1:5" ht="15" customHeight="1" x14ac:dyDescent="0.15">
      <c r="A14">
        <v>13</v>
      </c>
      <c r="B14" s="163" t="s">
        <v>205</v>
      </c>
      <c r="C14">
        <v>0</v>
      </c>
      <c r="D14">
        <v>0</v>
      </c>
    </row>
    <row r="15" spans="1:5" ht="15" customHeight="1" x14ac:dyDescent="0.15">
      <c r="A15">
        <v>14</v>
      </c>
      <c r="B15" s="163" t="s">
        <v>166</v>
      </c>
      <c r="C15">
        <v>1.112E-2</v>
      </c>
      <c r="D15">
        <v>1.112E-2</v>
      </c>
    </row>
    <row r="16" spans="1:5" ht="15" customHeight="1" x14ac:dyDescent="0.15">
      <c r="A16">
        <v>15</v>
      </c>
      <c r="B16" s="163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63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63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63" t="s">
        <v>42</v>
      </c>
      <c r="C19">
        <v>0</v>
      </c>
      <c r="D19">
        <v>0</v>
      </c>
    </row>
    <row r="20" spans="1:4" ht="15" customHeight="1" x14ac:dyDescent="0.15">
      <c r="A20">
        <v>19</v>
      </c>
      <c r="B20" s="163" t="s">
        <v>43</v>
      </c>
      <c r="C20">
        <v>0</v>
      </c>
      <c r="D20">
        <v>0</v>
      </c>
    </row>
    <row r="21" spans="1:4" ht="15" customHeight="1" x14ac:dyDescent="0.15">
      <c r="A21">
        <v>20</v>
      </c>
      <c r="B21" s="163" t="s">
        <v>209</v>
      </c>
      <c r="C21">
        <v>0</v>
      </c>
      <c r="D21">
        <v>0</v>
      </c>
    </row>
    <row r="22" spans="1:4" ht="15" customHeight="1" x14ac:dyDescent="0.15">
      <c r="A22">
        <v>21</v>
      </c>
      <c r="B22" s="163" t="s">
        <v>210</v>
      </c>
      <c r="C22">
        <v>0</v>
      </c>
      <c r="D22">
        <v>0</v>
      </c>
    </row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7.83203125" bestFit="1" customWidth="1"/>
    <col min="3" max="4" width="2.33203125" bestFit="1" customWidth="1"/>
    <col min="5" max="5" width="12.1640625" bestFit="1" customWidth="1"/>
  </cols>
  <sheetData>
    <row r="1" spans="1:4" s="104" customFormat="1" ht="112" x14ac:dyDescent="0.15">
      <c r="A1" s="5" t="s">
        <v>22</v>
      </c>
      <c r="B1" s="3" t="s">
        <v>0</v>
      </c>
      <c r="C1" s="166" t="s">
        <v>211</v>
      </c>
      <c r="D1" s="166" t="s">
        <v>215</v>
      </c>
    </row>
    <row r="2" spans="1:4" x14ac:dyDescent="0.15">
      <c r="A2">
        <v>1</v>
      </c>
      <c r="B2" s="165" t="s">
        <v>194</v>
      </c>
      <c r="C2">
        <v>0</v>
      </c>
      <c r="D2">
        <v>0</v>
      </c>
    </row>
    <row r="3" spans="1:4" x14ac:dyDescent="0.15">
      <c r="A3">
        <v>2</v>
      </c>
      <c r="B3" s="165" t="s">
        <v>195</v>
      </c>
      <c r="C3">
        <v>0</v>
      </c>
      <c r="D3">
        <v>0</v>
      </c>
    </row>
    <row r="4" spans="1:4" x14ac:dyDescent="0.15">
      <c r="A4">
        <v>3</v>
      </c>
      <c r="B4" s="165" t="s">
        <v>196</v>
      </c>
      <c r="C4">
        <v>0</v>
      </c>
      <c r="D4">
        <v>0</v>
      </c>
    </row>
    <row r="5" spans="1:4" x14ac:dyDescent="0.15">
      <c r="A5">
        <v>4</v>
      </c>
      <c r="B5" s="165" t="s">
        <v>197</v>
      </c>
      <c r="C5">
        <v>0</v>
      </c>
      <c r="D5">
        <v>0</v>
      </c>
    </row>
    <row r="6" spans="1:4" x14ac:dyDescent="0.15">
      <c r="A6">
        <v>5</v>
      </c>
      <c r="B6" s="165" t="s">
        <v>198</v>
      </c>
      <c r="C6">
        <v>0</v>
      </c>
      <c r="D6">
        <v>0</v>
      </c>
    </row>
    <row r="7" spans="1:4" x14ac:dyDescent="0.15">
      <c r="A7">
        <v>6</v>
      </c>
      <c r="B7" s="165" t="s">
        <v>199</v>
      </c>
      <c r="C7">
        <v>0</v>
      </c>
      <c r="D7">
        <v>0</v>
      </c>
    </row>
    <row r="8" spans="1:4" x14ac:dyDescent="0.15">
      <c r="A8">
        <v>7</v>
      </c>
      <c r="B8" s="165" t="s">
        <v>200</v>
      </c>
      <c r="C8">
        <v>0</v>
      </c>
      <c r="D8">
        <v>0</v>
      </c>
    </row>
    <row r="9" spans="1:4" x14ac:dyDescent="0.15">
      <c r="A9">
        <v>8</v>
      </c>
      <c r="B9" s="165" t="s">
        <v>167</v>
      </c>
      <c r="C9">
        <v>0</v>
      </c>
      <c r="D9">
        <v>0</v>
      </c>
    </row>
    <row r="10" spans="1:4" x14ac:dyDescent="0.15">
      <c r="A10">
        <v>9</v>
      </c>
      <c r="B10" s="165" t="s">
        <v>201</v>
      </c>
      <c r="C10">
        <v>0</v>
      </c>
      <c r="D10">
        <v>0</v>
      </c>
    </row>
    <row r="11" spans="1:4" x14ac:dyDescent="0.15">
      <c r="A11">
        <v>10</v>
      </c>
      <c r="B11" s="165" t="s">
        <v>202</v>
      </c>
      <c r="C11">
        <v>0</v>
      </c>
      <c r="D11">
        <v>0</v>
      </c>
    </row>
    <row r="12" spans="1:4" x14ac:dyDescent="0.15">
      <c r="A12">
        <v>11</v>
      </c>
      <c r="B12" s="165" t="s">
        <v>203</v>
      </c>
      <c r="C12">
        <v>0</v>
      </c>
      <c r="D12">
        <v>0</v>
      </c>
    </row>
    <row r="13" spans="1:4" x14ac:dyDescent="0.15">
      <c r="A13">
        <v>12</v>
      </c>
      <c r="B13" s="165" t="s">
        <v>204</v>
      </c>
      <c r="C13">
        <v>0</v>
      </c>
      <c r="D13">
        <v>0</v>
      </c>
    </row>
    <row r="14" spans="1:4" x14ac:dyDescent="0.15">
      <c r="A14">
        <v>13</v>
      </c>
      <c r="B14" s="165" t="s">
        <v>205</v>
      </c>
      <c r="C14">
        <v>0</v>
      </c>
      <c r="D14">
        <v>0</v>
      </c>
    </row>
    <row r="15" spans="1:4" x14ac:dyDescent="0.15">
      <c r="A15">
        <v>14</v>
      </c>
      <c r="B15" s="165" t="s">
        <v>166</v>
      </c>
      <c r="C15">
        <v>0</v>
      </c>
      <c r="D15">
        <v>0</v>
      </c>
    </row>
    <row r="16" spans="1:4" x14ac:dyDescent="0.15">
      <c r="A16">
        <v>15</v>
      </c>
      <c r="B16" s="165" t="s">
        <v>206</v>
      </c>
      <c r="C16">
        <v>0</v>
      </c>
      <c r="D16">
        <v>0</v>
      </c>
    </row>
    <row r="17" spans="1:4" x14ac:dyDescent="0.15">
      <c r="A17">
        <v>16</v>
      </c>
      <c r="B17" s="165" t="s">
        <v>207</v>
      </c>
      <c r="C17">
        <v>0</v>
      </c>
      <c r="D17">
        <v>0</v>
      </c>
    </row>
    <row r="18" spans="1:4" x14ac:dyDescent="0.15">
      <c r="A18">
        <v>17</v>
      </c>
      <c r="B18" s="165" t="s">
        <v>208</v>
      </c>
      <c r="C18">
        <v>0</v>
      </c>
      <c r="D18">
        <v>0</v>
      </c>
    </row>
    <row r="19" spans="1:4" x14ac:dyDescent="0.15">
      <c r="A19">
        <v>18</v>
      </c>
      <c r="B19" s="165" t="s">
        <v>42</v>
      </c>
      <c r="C19">
        <v>0</v>
      </c>
      <c r="D19">
        <v>0</v>
      </c>
    </row>
    <row r="20" spans="1:4" x14ac:dyDescent="0.15">
      <c r="A20">
        <v>19</v>
      </c>
      <c r="B20" s="165" t="s">
        <v>43</v>
      </c>
      <c r="C20">
        <v>0</v>
      </c>
      <c r="D20">
        <v>0</v>
      </c>
    </row>
    <row r="21" spans="1:4" x14ac:dyDescent="0.15">
      <c r="A21">
        <v>20</v>
      </c>
      <c r="B21" s="165" t="s">
        <v>209</v>
      </c>
      <c r="C21">
        <v>0</v>
      </c>
      <c r="D21">
        <v>0</v>
      </c>
    </row>
    <row r="22" spans="1:4" x14ac:dyDescent="0.15">
      <c r="A22">
        <v>21</v>
      </c>
      <c r="B22" s="165" t="s">
        <v>210</v>
      </c>
      <c r="C22">
        <v>0</v>
      </c>
      <c r="D2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7.83203125" bestFit="1" customWidth="1"/>
    <col min="6" max="6" width="4.83203125" bestFit="1" customWidth="1"/>
    <col min="7" max="9" width="3.83203125" bestFit="1" customWidth="1"/>
    <col min="10" max="11" width="4.83203125" style="103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5" customFormat="1" ht="14" thickBot="1" x14ac:dyDescent="0.2">
      <c r="D1" s="106" t="s">
        <v>8</v>
      </c>
      <c r="E1" s="106" t="s">
        <v>0</v>
      </c>
      <c r="F1" s="107" t="s">
        <v>99</v>
      </c>
      <c r="G1" s="108" t="s">
        <v>84</v>
      </c>
      <c r="H1" s="108" t="s">
        <v>85</v>
      </c>
      <c r="I1" s="108" t="s">
        <v>86</v>
      </c>
      <c r="J1" s="108" t="s">
        <v>87</v>
      </c>
      <c r="K1" s="108" t="s">
        <v>88</v>
      </c>
      <c r="L1" s="109" t="s">
        <v>89</v>
      </c>
      <c r="M1" s="109" t="s">
        <v>93</v>
      </c>
      <c r="N1" s="109" t="s">
        <v>92</v>
      </c>
      <c r="O1" s="109" t="s">
        <v>90</v>
      </c>
      <c r="P1" s="109" t="s">
        <v>91</v>
      </c>
      <c r="Q1" s="110" t="s">
        <v>94</v>
      </c>
      <c r="R1" s="110" t="s">
        <v>95</v>
      </c>
      <c r="S1" s="110" t="s">
        <v>96</v>
      </c>
      <c r="T1" s="110" t="s">
        <v>97</v>
      </c>
      <c r="U1" s="110" t="s">
        <v>98</v>
      </c>
      <c r="V1" s="108" t="s">
        <v>100</v>
      </c>
      <c r="W1" s="108" t="s">
        <v>101</v>
      </c>
      <c r="X1" s="108" t="s">
        <v>102</v>
      </c>
      <c r="Y1" s="108" t="s">
        <v>134</v>
      </c>
      <c r="Z1" s="109" t="s">
        <v>103</v>
      </c>
      <c r="AA1" s="109" t="s">
        <v>104</v>
      </c>
      <c r="AB1" s="109" t="s">
        <v>105</v>
      </c>
      <c r="AC1" s="111" t="s">
        <v>135</v>
      </c>
      <c r="AD1" s="110" t="s">
        <v>106</v>
      </c>
      <c r="AE1" s="110" t="s">
        <v>107</v>
      </c>
      <c r="AF1" s="110" t="s">
        <v>108</v>
      </c>
      <c r="AG1" s="110" t="s">
        <v>136</v>
      </c>
      <c r="AH1" s="108" t="s">
        <v>109</v>
      </c>
      <c r="AI1" s="108" t="s">
        <v>111</v>
      </c>
      <c r="AJ1" s="108" t="s">
        <v>110</v>
      </c>
      <c r="AK1" s="109" t="s">
        <v>115</v>
      </c>
      <c r="AL1" s="109" t="s">
        <v>116</v>
      </c>
      <c r="AM1" s="109" t="s">
        <v>117</v>
      </c>
      <c r="AN1" s="110" t="s">
        <v>112</v>
      </c>
      <c r="AO1" s="110" t="s">
        <v>113</v>
      </c>
      <c r="AP1" s="110" t="s">
        <v>114</v>
      </c>
    </row>
    <row r="2" spans="1:42" x14ac:dyDescent="0.15">
      <c r="A2" s="112" t="s">
        <v>74</v>
      </c>
      <c r="B2" s="113">
        <v>1</v>
      </c>
      <c r="D2">
        <v>1</v>
      </c>
      <c r="E2" s="167" t="s">
        <v>194</v>
      </c>
      <c r="F2">
        <v>0.98</v>
      </c>
      <c r="G2">
        <v>0.8</v>
      </c>
      <c r="H2">
        <v>0.8</v>
      </c>
      <c r="I2">
        <v>0.8</v>
      </c>
      <c r="J2" s="103">
        <v>0.25</v>
      </c>
      <c r="K2" s="103">
        <v>0.05</v>
      </c>
    </row>
    <row r="3" spans="1:42" x14ac:dyDescent="0.15">
      <c r="A3" s="112" t="s">
        <v>75</v>
      </c>
      <c r="B3" s="114">
        <v>1</v>
      </c>
      <c r="D3">
        <v>2</v>
      </c>
      <c r="E3" s="167" t="s">
        <v>195</v>
      </c>
      <c r="F3">
        <v>0.98</v>
      </c>
      <c r="G3">
        <v>0.8</v>
      </c>
      <c r="H3">
        <v>0.8</v>
      </c>
      <c r="I3">
        <v>0.8</v>
      </c>
      <c r="J3" s="103">
        <v>0.25</v>
      </c>
      <c r="K3" s="103">
        <v>0.05</v>
      </c>
    </row>
    <row r="4" spans="1:42" x14ac:dyDescent="0.15">
      <c r="A4" s="112" t="s">
        <v>76</v>
      </c>
      <c r="B4" s="114">
        <v>1</v>
      </c>
      <c r="D4">
        <v>3</v>
      </c>
      <c r="E4" s="167" t="s">
        <v>196</v>
      </c>
      <c r="F4">
        <v>0.98</v>
      </c>
      <c r="G4">
        <v>0.8</v>
      </c>
      <c r="H4">
        <v>0.8</v>
      </c>
      <c r="I4">
        <v>0.8</v>
      </c>
      <c r="J4" s="103">
        <v>0.25</v>
      </c>
      <c r="K4" s="103">
        <v>0.05</v>
      </c>
    </row>
    <row r="5" spans="1:42" x14ac:dyDescent="0.15">
      <c r="A5" s="112" t="s">
        <v>77</v>
      </c>
      <c r="B5" s="114">
        <v>1</v>
      </c>
      <c r="D5">
        <v>4</v>
      </c>
      <c r="E5" s="167" t="s">
        <v>197</v>
      </c>
      <c r="F5">
        <v>0.98</v>
      </c>
      <c r="G5">
        <v>0.8</v>
      </c>
      <c r="H5">
        <v>0.8</v>
      </c>
      <c r="I5">
        <v>0.8</v>
      </c>
      <c r="J5" s="103">
        <v>0.25</v>
      </c>
      <c r="K5" s="103">
        <v>0.05</v>
      </c>
    </row>
    <row r="6" spans="1:42" x14ac:dyDescent="0.15">
      <c r="A6" s="112" t="s">
        <v>78</v>
      </c>
      <c r="B6" s="114">
        <v>1</v>
      </c>
      <c r="D6">
        <v>5</v>
      </c>
      <c r="E6" s="167" t="s">
        <v>198</v>
      </c>
      <c r="F6">
        <v>0.98</v>
      </c>
      <c r="G6">
        <v>0.8</v>
      </c>
      <c r="H6">
        <v>0.8</v>
      </c>
      <c r="I6">
        <v>0.8</v>
      </c>
      <c r="J6" s="103">
        <v>0.25</v>
      </c>
      <c r="K6" s="103">
        <v>0.05</v>
      </c>
    </row>
    <row r="7" spans="1:42" x14ac:dyDescent="0.15">
      <c r="A7" s="112" t="s">
        <v>79</v>
      </c>
      <c r="B7" s="114">
        <v>1</v>
      </c>
      <c r="D7">
        <v>6</v>
      </c>
      <c r="E7" s="167" t="s">
        <v>199</v>
      </c>
      <c r="F7">
        <v>0.98</v>
      </c>
      <c r="G7">
        <v>0.8</v>
      </c>
      <c r="H7">
        <v>0.8</v>
      </c>
      <c r="I7">
        <v>0.8</v>
      </c>
      <c r="J7" s="103">
        <v>0.25</v>
      </c>
      <c r="K7" s="103">
        <v>0.05</v>
      </c>
    </row>
    <row r="8" spans="1:42" x14ac:dyDescent="0.15">
      <c r="A8" s="112" t="s">
        <v>80</v>
      </c>
      <c r="B8" s="114">
        <v>1</v>
      </c>
      <c r="D8">
        <v>7</v>
      </c>
      <c r="E8" s="167" t="s">
        <v>200</v>
      </c>
      <c r="F8">
        <v>0.98</v>
      </c>
      <c r="G8">
        <v>0.8</v>
      </c>
      <c r="H8">
        <v>0.8</v>
      </c>
      <c r="I8">
        <v>0.8</v>
      </c>
      <c r="J8" s="103">
        <v>0.25</v>
      </c>
      <c r="K8" s="103">
        <v>0.05</v>
      </c>
    </row>
    <row r="9" spans="1:42" x14ac:dyDescent="0.15">
      <c r="A9" s="112" t="s">
        <v>81</v>
      </c>
      <c r="B9" s="114">
        <v>0.1</v>
      </c>
      <c r="C9" s="59" t="s">
        <v>150</v>
      </c>
      <c r="D9">
        <v>8</v>
      </c>
      <c r="E9" s="167" t="s">
        <v>167</v>
      </c>
      <c r="F9">
        <v>0.98</v>
      </c>
      <c r="G9">
        <v>0.8</v>
      </c>
      <c r="H9">
        <v>0.8</v>
      </c>
      <c r="I9">
        <v>0.8</v>
      </c>
      <c r="J9" s="103">
        <v>0.25</v>
      </c>
      <c r="K9" s="103">
        <v>0.05</v>
      </c>
    </row>
    <row r="10" spans="1:42" ht="14" thickBot="1" x14ac:dyDescent="0.2">
      <c r="A10" s="112" t="s">
        <v>149</v>
      </c>
      <c r="B10" s="115">
        <f>1/3</f>
        <v>0.33333333333333331</v>
      </c>
      <c r="C10" s="59" t="s">
        <v>150</v>
      </c>
      <c r="D10">
        <v>9</v>
      </c>
      <c r="E10" s="167" t="s">
        <v>201</v>
      </c>
      <c r="F10">
        <v>0.98</v>
      </c>
      <c r="G10">
        <v>0.8</v>
      </c>
      <c r="H10">
        <v>0.8</v>
      </c>
      <c r="I10">
        <v>0.8</v>
      </c>
      <c r="J10" s="103">
        <v>0.25</v>
      </c>
      <c r="K10" s="103">
        <v>0.05</v>
      </c>
    </row>
    <row r="11" spans="1:42" x14ac:dyDescent="0.15">
      <c r="D11">
        <v>10</v>
      </c>
      <c r="E11" s="167" t="s">
        <v>202</v>
      </c>
      <c r="F11">
        <v>0.98</v>
      </c>
      <c r="G11">
        <v>0.8</v>
      </c>
      <c r="H11">
        <v>0.8</v>
      </c>
      <c r="I11">
        <v>0.8</v>
      </c>
      <c r="J11" s="103">
        <v>0.25</v>
      </c>
      <c r="K11" s="103">
        <v>0.05</v>
      </c>
    </row>
    <row r="12" spans="1:42" x14ac:dyDescent="0.15">
      <c r="D12">
        <v>11</v>
      </c>
      <c r="E12" s="167" t="s">
        <v>203</v>
      </c>
      <c r="F12">
        <v>0.98</v>
      </c>
      <c r="G12">
        <v>0.8</v>
      </c>
      <c r="H12">
        <v>0.8</v>
      </c>
      <c r="I12">
        <v>0.8</v>
      </c>
      <c r="J12" s="103">
        <v>0.25</v>
      </c>
      <c r="K12" s="103">
        <v>0.05</v>
      </c>
    </row>
    <row r="13" spans="1:42" x14ac:dyDescent="0.15">
      <c r="D13">
        <v>12</v>
      </c>
      <c r="E13" s="167" t="s">
        <v>204</v>
      </c>
      <c r="F13">
        <v>0.98</v>
      </c>
      <c r="G13">
        <v>0.8</v>
      </c>
      <c r="H13">
        <v>0.8</v>
      </c>
      <c r="I13">
        <v>0.8</v>
      </c>
      <c r="J13" s="103">
        <v>0.25</v>
      </c>
      <c r="K13" s="103">
        <v>0.05</v>
      </c>
    </row>
    <row r="14" spans="1:42" x14ac:dyDescent="0.15">
      <c r="D14">
        <v>13</v>
      </c>
      <c r="E14" s="167" t="s">
        <v>205</v>
      </c>
      <c r="F14">
        <v>0.98</v>
      </c>
      <c r="G14">
        <v>0.8</v>
      </c>
      <c r="H14">
        <v>0.8</v>
      </c>
      <c r="I14">
        <v>0.8</v>
      </c>
      <c r="J14" s="103">
        <v>0.25</v>
      </c>
      <c r="K14" s="103">
        <v>0.05</v>
      </c>
    </row>
    <row r="15" spans="1:42" x14ac:dyDescent="0.15">
      <c r="D15">
        <v>14</v>
      </c>
      <c r="E15" s="167" t="s">
        <v>166</v>
      </c>
      <c r="F15">
        <v>0.98</v>
      </c>
      <c r="G15">
        <v>0.8</v>
      </c>
      <c r="H15">
        <v>0.8</v>
      </c>
      <c r="I15">
        <v>0.8</v>
      </c>
      <c r="J15" s="103">
        <v>0.25</v>
      </c>
      <c r="K15" s="103">
        <v>0.05</v>
      </c>
    </row>
    <row r="16" spans="1:42" x14ac:dyDescent="0.15">
      <c r="D16">
        <v>15</v>
      </c>
      <c r="E16" s="167" t="s">
        <v>206</v>
      </c>
      <c r="F16">
        <v>0.98</v>
      </c>
      <c r="G16">
        <v>0.8</v>
      </c>
      <c r="H16">
        <v>0.8</v>
      </c>
      <c r="I16">
        <v>0.8</v>
      </c>
      <c r="J16" s="103">
        <v>0.25</v>
      </c>
      <c r="K16" s="103">
        <v>0.05</v>
      </c>
    </row>
    <row r="17" spans="4:33" ht="15" customHeight="1" x14ac:dyDescent="0.15">
      <c r="D17">
        <v>16</v>
      </c>
      <c r="E17" s="167" t="s">
        <v>207</v>
      </c>
      <c r="F17">
        <v>0.98</v>
      </c>
      <c r="G17">
        <v>0.8</v>
      </c>
      <c r="H17">
        <v>0.8</v>
      </c>
      <c r="I17">
        <v>0.8</v>
      </c>
      <c r="J17" s="103">
        <v>0.25</v>
      </c>
      <c r="K17" s="103">
        <v>0.05</v>
      </c>
    </row>
    <row r="18" spans="4:33" ht="15" customHeight="1" x14ac:dyDescent="0.15">
      <c r="D18">
        <v>17</v>
      </c>
      <c r="E18" s="167" t="s">
        <v>208</v>
      </c>
      <c r="F18">
        <v>0.98</v>
      </c>
      <c r="G18">
        <v>0.8</v>
      </c>
      <c r="H18">
        <v>0.8</v>
      </c>
      <c r="I18">
        <v>0.8</v>
      </c>
      <c r="J18" s="103">
        <v>0.25</v>
      </c>
      <c r="K18" s="103">
        <v>0.05</v>
      </c>
    </row>
    <row r="19" spans="4:33" ht="15" customHeight="1" x14ac:dyDescent="0.15">
      <c r="D19">
        <v>18</v>
      </c>
      <c r="E19" s="167" t="s">
        <v>42</v>
      </c>
      <c r="F19">
        <v>0.98</v>
      </c>
      <c r="G19">
        <v>0.8</v>
      </c>
      <c r="H19">
        <v>0.8</v>
      </c>
      <c r="I19">
        <v>0</v>
      </c>
      <c r="J19" s="103">
        <v>0</v>
      </c>
      <c r="K19" s="103">
        <v>0</v>
      </c>
    </row>
    <row r="20" spans="4:33" ht="15" customHeight="1" x14ac:dyDescent="0.15">
      <c r="D20">
        <v>19</v>
      </c>
      <c r="E20" s="167" t="s">
        <v>43</v>
      </c>
      <c r="F20">
        <v>0.98</v>
      </c>
      <c r="G20">
        <v>0.8</v>
      </c>
      <c r="H20">
        <v>0.8</v>
      </c>
      <c r="I20">
        <v>0</v>
      </c>
      <c r="J20" s="103">
        <v>0</v>
      </c>
      <c r="K20" s="103">
        <v>0</v>
      </c>
    </row>
    <row r="21" spans="4:33" ht="15" customHeight="1" x14ac:dyDescent="0.15">
      <c r="D21">
        <v>20</v>
      </c>
      <c r="E21" s="167" t="s">
        <v>209</v>
      </c>
      <c r="F21">
        <v>0.98</v>
      </c>
      <c r="G21">
        <v>0.8</v>
      </c>
      <c r="H21">
        <v>0</v>
      </c>
      <c r="I21">
        <v>0</v>
      </c>
      <c r="J21" s="103">
        <v>0</v>
      </c>
      <c r="K21" s="103">
        <v>0</v>
      </c>
    </row>
    <row r="22" spans="4:33" ht="15" customHeight="1" x14ac:dyDescent="0.15">
      <c r="D22">
        <v>21</v>
      </c>
      <c r="E22" s="167" t="s">
        <v>210</v>
      </c>
      <c r="F22">
        <v>0.98</v>
      </c>
      <c r="G22">
        <v>0.8</v>
      </c>
      <c r="H22">
        <v>0</v>
      </c>
      <c r="I22">
        <v>0</v>
      </c>
      <c r="J22" s="103">
        <v>0</v>
      </c>
      <c r="K22" s="103">
        <v>0</v>
      </c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101" bestFit="1" customWidth="1"/>
    <col min="2" max="18" width="3.83203125" style="101" customWidth="1"/>
    <col min="19" max="22" width="2.33203125" style="101" customWidth="1"/>
    <col min="23" max="16384" width="10.83203125" style="101"/>
  </cols>
  <sheetData>
    <row r="1" spans="1:30" x14ac:dyDescent="0.15">
      <c r="A1" s="61" t="s">
        <v>118</v>
      </c>
      <c r="B1" s="169" t="s">
        <v>194</v>
      </c>
      <c r="C1" s="169" t="s">
        <v>195</v>
      </c>
      <c r="D1" s="169" t="s">
        <v>196</v>
      </c>
      <c r="E1" s="169" t="s">
        <v>197</v>
      </c>
      <c r="F1" s="169" t="s">
        <v>198</v>
      </c>
      <c r="G1" s="169" t="s">
        <v>199</v>
      </c>
      <c r="H1" s="169" t="s">
        <v>200</v>
      </c>
      <c r="I1" s="169" t="s">
        <v>167</v>
      </c>
      <c r="J1" s="169" t="s">
        <v>201</v>
      </c>
      <c r="K1" s="169" t="s">
        <v>202</v>
      </c>
      <c r="L1" s="169" t="s">
        <v>203</v>
      </c>
      <c r="M1" s="169" t="s">
        <v>204</v>
      </c>
      <c r="N1" s="169" t="s">
        <v>205</v>
      </c>
      <c r="O1" s="169" t="s">
        <v>166</v>
      </c>
      <c r="P1" s="169" t="s">
        <v>206</v>
      </c>
      <c r="Q1" s="169" t="s">
        <v>207</v>
      </c>
      <c r="R1" s="169" t="s">
        <v>208</v>
      </c>
      <c r="S1" s="169" t="s">
        <v>42</v>
      </c>
      <c r="T1" s="169" t="s">
        <v>43</v>
      </c>
      <c r="U1" s="169" t="s">
        <v>209</v>
      </c>
      <c r="V1" s="169" t="s">
        <v>210</v>
      </c>
      <c r="W1"/>
      <c r="X1"/>
      <c r="Y1"/>
      <c r="Z1"/>
      <c r="AA1"/>
      <c r="AB1"/>
      <c r="AC1"/>
      <c r="AD1"/>
    </row>
    <row r="2" spans="1:30" customFormat="1" x14ac:dyDescent="0.15">
      <c r="A2" s="168" t="s">
        <v>194</v>
      </c>
      <c r="B2" s="101">
        <v>0</v>
      </c>
      <c r="C2" s="101">
        <v>0.8</v>
      </c>
      <c r="D2" s="101">
        <v>0</v>
      </c>
      <c r="E2" s="101">
        <v>0.8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</row>
    <row r="3" spans="1:30" customFormat="1" x14ac:dyDescent="0.15">
      <c r="A3" s="168" t="s">
        <v>195</v>
      </c>
      <c r="B3" s="101">
        <v>0</v>
      </c>
      <c r="C3" s="101">
        <v>0.8</v>
      </c>
      <c r="D3" s="101">
        <v>0</v>
      </c>
      <c r="E3" s="101">
        <v>0.8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</row>
    <row r="4" spans="1:30" customFormat="1" x14ac:dyDescent="0.15">
      <c r="A4" s="168" t="s">
        <v>196</v>
      </c>
      <c r="B4" s="101">
        <v>0</v>
      </c>
      <c r="C4" s="101">
        <v>0.8</v>
      </c>
      <c r="D4" s="101">
        <v>0</v>
      </c>
      <c r="E4" s="101">
        <v>0.8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</row>
    <row r="5" spans="1:30" customFormat="1" x14ac:dyDescent="0.15">
      <c r="A5" s="168" t="s">
        <v>197</v>
      </c>
      <c r="B5" s="101">
        <v>0</v>
      </c>
      <c r="C5" s="101">
        <v>0.8</v>
      </c>
      <c r="D5" s="101">
        <v>0.8</v>
      </c>
      <c r="E5" s="101">
        <v>0.8</v>
      </c>
      <c r="F5" s="101">
        <v>0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</row>
    <row r="6" spans="1:30" customFormat="1" x14ac:dyDescent="0.15">
      <c r="A6" s="168" t="s">
        <v>198</v>
      </c>
      <c r="B6" s="101">
        <v>0.8</v>
      </c>
      <c r="C6" s="101">
        <v>0.8</v>
      </c>
      <c r="D6" s="101">
        <v>0</v>
      </c>
      <c r="E6" s="101">
        <v>0.8</v>
      </c>
      <c r="F6" s="101">
        <v>0</v>
      </c>
      <c r="G6" s="101">
        <v>0</v>
      </c>
      <c r="H6" s="101">
        <v>0</v>
      </c>
      <c r="I6" s="101">
        <v>0</v>
      </c>
      <c r="J6" s="101">
        <v>0.8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</row>
    <row r="7" spans="1:30" customFormat="1" x14ac:dyDescent="0.15">
      <c r="A7" s="168" t="s">
        <v>199</v>
      </c>
      <c r="B7" s="101">
        <v>0.8</v>
      </c>
      <c r="C7" s="101">
        <v>0.8</v>
      </c>
      <c r="D7" s="101">
        <v>0</v>
      </c>
      <c r="E7" s="101">
        <v>0.8</v>
      </c>
      <c r="F7" s="101">
        <v>0</v>
      </c>
      <c r="G7" s="101">
        <v>0.8</v>
      </c>
      <c r="H7" s="101">
        <v>0</v>
      </c>
      <c r="I7" s="101">
        <v>0</v>
      </c>
      <c r="J7" s="101">
        <v>0.8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</row>
    <row r="8" spans="1:30" customFormat="1" x14ac:dyDescent="0.15">
      <c r="A8" s="168" t="s">
        <v>200</v>
      </c>
      <c r="B8" s="101">
        <v>0.8</v>
      </c>
      <c r="C8" s="101">
        <v>0.8</v>
      </c>
      <c r="D8" s="101">
        <v>0</v>
      </c>
      <c r="E8" s="101">
        <v>0.8</v>
      </c>
      <c r="F8" s="101">
        <v>0.8</v>
      </c>
      <c r="G8" s="101">
        <v>0.8</v>
      </c>
      <c r="H8" s="101">
        <v>0</v>
      </c>
      <c r="I8" s="101">
        <v>0.8</v>
      </c>
      <c r="J8" s="101">
        <v>0.8</v>
      </c>
      <c r="K8" s="101">
        <v>0.8</v>
      </c>
      <c r="L8" s="101">
        <v>0.8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</row>
    <row r="9" spans="1:30" customFormat="1" x14ac:dyDescent="0.15">
      <c r="A9" s="168" t="s">
        <v>167</v>
      </c>
      <c r="B9" s="101">
        <v>0.8</v>
      </c>
      <c r="C9" s="101">
        <v>0.8</v>
      </c>
      <c r="D9" s="101">
        <v>0.8</v>
      </c>
      <c r="E9" s="101">
        <v>0.8</v>
      </c>
      <c r="F9" s="101">
        <v>0.8</v>
      </c>
      <c r="G9" s="101">
        <v>0.8</v>
      </c>
      <c r="H9" s="101">
        <v>0.8</v>
      </c>
      <c r="I9" s="101">
        <v>0</v>
      </c>
      <c r="J9" s="101">
        <v>0.8</v>
      </c>
      <c r="K9" s="101">
        <v>0.8</v>
      </c>
      <c r="L9" s="101">
        <v>0.8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</row>
    <row r="10" spans="1:30" customFormat="1" x14ac:dyDescent="0.15">
      <c r="A10" s="168" t="s">
        <v>201</v>
      </c>
      <c r="B10" s="101">
        <v>0.8</v>
      </c>
      <c r="C10" s="101">
        <v>0.8</v>
      </c>
      <c r="D10" s="101">
        <v>0</v>
      </c>
      <c r="E10" s="101">
        <v>0.8</v>
      </c>
      <c r="F10" s="101">
        <v>0</v>
      </c>
      <c r="G10" s="101">
        <v>0</v>
      </c>
      <c r="H10" s="101">
        <v>0</v>
      </c>
      <c r="I10" s="101">
        <v>0</v>
      </c>
      <c r="J10" s="101">
        <v>0.8</v>
      </c>
      <c r="K10" s="101">
        <v>0.8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</row>
    <row r="11" spans="1:30" customFormat="1" x14ac:dyDescent="0.15">
      <c r="A11" s="168" t="s">
        <v>202</v>
      </c>
      <c r="B11" s="101">
        <v>0</v>
      </c>
      <c r="C11" s="101">
        <v>0.8</v>
      </c>
      <c r="D11" s="101">
        <v>0.8</v>
      </c>
      <c r="E11" s="101">
        <v>0.8</v>
      </c>
      <c r="F11" s="101">
        <v>0</v>
      </c>
      <c r="G11" s="101">
        <v>0</v>
      </c>
      <c r="H11" s="101">
        <v>0</v>
      </c>
      <c r="I11" s="101">
        <v>0.8</v>
      </c>
      <c r="J11" s="101">
        <v>0.8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</row>
    <row r="12" spans="1:30" customFormat="1" x14ac:dyDescent="0.15">
      <c r="A12" s="168" t="s">
        <v>203</v>
      </c>
      <c r="B12" s="101">
        <v>0.8</v>
      </c>
      <c r="C12" s="101">
        <v>0.8</v>
      </c>
      <c r="D12" s="101">
        <v>0</v>
      </c>
      <c r="E12" s="101">
        <v>0.8</v>
      </c>
      <c r="F12" s="101">
        <v>0.8</v>
      </c>
      <c r="G12" s="101">
        <v>0.8</v>
      </c>
      <c r="H12" s="101">
        <v>0.8</v>
      </c>
      <c r="I12" s="101">
        <v>0.8</v>
      </c>
      <c r="J12" s="101">
        <v>0.8</v>
      </c>
      <c r="K12" s="101">
        <v>0.8</v>
      </c>
      <c r="L12" s="101">
        <v>0</v>
      </c>
      <c r="M12" s="101">
        <v>0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</row>
    <row r="13" spans="1:30" customFormat="1" x14ac:dyDescent="0.15">
      <c r="A13" s="168" t="s">
        <v>204</v>
      </c>
      <c r="B13" s="101">
        <v>0.8</v>
      </c>
      <c r="C13" s="101">
        <v>0.8</v>
      </c>
      <c r="D13" s="101">
        <v>0.8</v>
      </c>
      <c r="E13" s="101">
        <v>0.8</v>
      </c>
      <c r="F13" s="101">
        <v>0.8</v>
      </c>
      <c r="G13" s="101">
        <v>0.8</v>
      </c>
      <c r="H13" s="101">
        <v>0.8</v>
      </c>
      <c r="I13" s="101">
        <v>0.8</v>
      </c>
      <c r="J13" s="101">
        <v>0.8</v>
      </c>
      <c r="K13" s="101">
        <v>0.8</v>
      </c>
      <c r="L13" s="101">
        <v>0.8</v>
      </c>
      <c r="M13" s="101">
        <v>0</v>
      </c>
      <c r="N13" s="101">
        <v>0</v>
      </c>
      <c r="O13" s="101">
        <v>0.8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</row>
    <row r="14" spans="1:30" customFormat="1" x14ac:dyDescent="0.15">
      <c r="A14" s="168" t="s">
        <v>205</v>
      </c>
      <c r="B14" s="101">
        <v>0.8</v>
      </c>
      <c r="C14" s="101">
        <v>0.8</v>
      </c>
      <c r="D14" s="101">
        <v>0.8</v>
      </c>
      <c r="E14" s="101">
        <v>0.8</v>
      </c>
      <c r="F14" s="101">
        <v>0.8</v>
      </c>
      <c r="G14" s="101">
        <v>0.8</v>
      </c>
      <c r="H14" s="101">
        <v>0.8</v>
      </c>
      <c r="I14" s="101">
        <v>0.8</v>
      </c>
      <c r="J14" s="101">
        <v>0.8</v>
      </c>
      <c r="K14" s="101">
        <v>0.8</v>
      </c>
      <c r="L14" s="101">
        <v>0.8</v>
      </c>
      <c r="M14" s="101">
        <v>0</v>
      </c>
      <c r="N14" s="101">
        <v>0</v>
      </c>
      <c r="O14" s="101">
        <v>0.8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</row>
    <row r="15" spans="1:30" customFormat="1" x14ac:dyDescent="0.15">
      <c r="A15" s="168" t="s">
        <v>166</v>
      </c>
      <c r="B15" s="101">
        <v>0.8</v>
      </c>
      <c r="C15" s="101">
        <v>0.8</v>
      </c>
      <c r="D15" s="101">
        <v>0.8</v>
      </c>
      <c r="E15" s="101">
        <v>0.8</v>
      </c>
      <c r="F15" s="101">
        <v>0.8</v>
      </c>
      <c r="G15" s="101">
        <v>0.8</v>
      </c>
      <c r="H15" s="101">
        <v>0.8</v>
      </c>
      <c r="I15" s="101">
        <v>0.8</v>
      </c>
      <c r="J15" s="101">
        <v>0.8</v>
      </c>
      <c r="K15" s="101">
        <v>0.8</v>
      </c>
      <c r="L15" s="101">
        <v>0.8</v>
      </c>
      <c r="M15" s="101">
        <v>0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</row>
    <row r="16" spans="1:30" customFormat="1" x14ac:dyDescent="0.15">
      <c r="A16" s="168" t="s">
        <v>206</v>
      </c>
      <c r="B16" s="101">
        <v>0.8</v>
      </c>
      <c r="C16" s="101">
        <v>0.8</v>
      </c>
      <c r="D16" s="101">
        <v>0.8</v>
      </c>
      <c r="E16" s="101">
        <v>0.8</v>
      </c>
      <c r="F16" s="101">
        <v>0.8</v>
      </c>
      <c r="G16" s="101">
        <v>0.8</v>
      </c>
      <c r="H16" s="101">
        <v>0.8</v>
      </c>
      <c r="I16" s="101">
        <v>0.8</v>
      </c>
      <c r="J16" s="101">
        <v>0.8</v>
      </c>
      <c r="K16" s="101">
        <v>0.8</v>
      </c>
      <c r="L16" s="101">
        <v>0.8</v>
      </c>
      <c r="M16" s="101">
        <v>0.8</v>
      </c>
      <c r="N16" s="101">
        <v>0.8</v>
      </c>
      <c r="O16" s="101">
        <v>0.8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</row>
    <row r="17" spans="1:22" customFormat="1" x14ac:dyDescent="0.15">
      <c r="A17" s="168" t="s">
        <v>207</v>
      </c>
      <c r="B17" s="101">
        <v>0</v>
      </c>
      <c r="C17" s="101">
        <v>0</v>
      </c>
      <c r="D17" s="101">
        <v>0.8</v>
      </c>
      <c r="E17" s="101">
        <v>0.8</v>
      </c>
      <c r="F17" s="101">
        <v>0.8</v>
      </c>
      <c r="G17" s="101">
        <v>0.8</v>
      </c>
      <c r="H17" s="101">
        <v>0.8</v>
      </c>
      <c r="I17" s="101">
        <v>0.8</v>
      </c>
      <c r="J17" s="101">
        <v>0.8</v>
      </c>
      <c r="K17" s="101">
        <v>0.8</v>
      </c>
      <c r="L17" s="101">
        <v>0.8</v>
      </c>
      <c r="M17" s="101">
        <v>0.8</v>
      </c>
      <c r="N17" s="101">
        <v>0.8</v>
      </c>
      <c r="O17" s="101">
        <v>0.8</v>
      </c>
      <c r="P17" s="101">
        <v>0.8</v>
      </c>
      <c r="Q17" s="101">
        <v>0.8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</row>
    <row r="18" spans="1:22" customFormat="1" x14ac:dyDescent="0.15">
      <c r="A18" s="168" t="s">
        <v>208</v>
      </c>
      <c r="B18" s="101">
        <v>0</v>
      </c>
      <c r="C18" s="101">
        <v>0</v>
      </c>
      <c r="D18" s="101">
        <v>0</v>
      </c>
      <c r="E18" s="101">
        <v>0</v>
      </c>
      <c r="F18" s="101">
        <v>0</v>
      </c>
      <c r="G18" s="101">
        <v>0</v>
      </c>
      <c r="H18" s="101">
        <v>0</v>
      </c>
      <c r="I18" s="101">
        <v>0</v>
      </c>
      <c r="J18" s="101">
        <v>0</v>
      </c>
      <c r="K18" s="101">
        <v>0</v>
      </c>
      <c r="L18" s="101">
        <v>0</v>
      </c>
      <c r="M18" s="101">
        <v>0</v>
      </c>
      <c r="N18" s="101">
        <v>0</v>
      </c>
      <c r="O18" s="101">
        <v>0</v>
      </c>
      <c r="P18" s="101">
        <v>0</v>
      </c>
      <c r="Q18" s="101">
        <v>0.8</v>
      </c>
      <c r="R18" s="101">
        <v>0</v>
      </c>
      <c r="S18" s="101">
        <v>0</v>
      </c>
      <c r="T18" s="101">
        <v>0</v>
      </c>
      <c r="U18" s="101">
        <v>0</v>
      </c>
      <c r="V18" s="101">
        <v>0</v>
      </c>
    </row>
    <row r="19" spans="1:22" customFormat="1" x14ac:dyDescent="0.15">
      <c r="A19" s="168" t="s">
        <v>42</v>
      </c>
      <c r="B19" s="101">
        <v>0</v>
      </c>
      <c r="C19" s="101">
        <v>0</v>
      </c>
      <c r="D19" s="101">
        <v>0</v>
      </c>
      <c r="E19" s="101">
        <v>0</v>
      </c>
      <c r="F19" s="101">
        <v>0</v>
      </c>
      <c r="G19" s="101">
        <v>0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0.8</v>
      </c>
      <c r="N19" s="101">
        <v>0</v>
      </c>
      <c r="O19" s="101">
        <v>0</v>
      </c>
      <c r="P19" s="101">
        <v>0.8</v>
      </c>
      <c r="Q19" s="101">
        <v>0.8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</row>
    <row r="20" spans="1:22" customFormat="1" x14ac:dyDescent="0.15">
      <c r="A20" s="168" t="s">
        <v>43</v>
      </c>
      <c r="B20" s="101">
        <v>0</v>
      </c>
      <c r="C20" s="101">
        <v>0</v>
      </c>
      <c r="D20" s="101">
        <v>0</v>
      </c>
      <c r="E20" s="101">
        <v>0</v>
      </c>
      <c r="F20" s="101">
        <v>0</v>
      </c>
      <c r="G20" s="101">
        <v>0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0</v>
      </c>
      <c r="P20" s="101">
        <v>0</v>
      </c>
      <c r="Q20" s="101">
        <v>0</v>
      </c>
      <c r="R20" s="101">
        <v>0.8</v>
      </c>
      <c r="S20" s="101">
        <v>0</v>
      </c>
      <c r="T20" s="101">
        <v>0</v>
      </c>
      <c r="U20" s="101">
        <v>0</v>
      </c>
      <c r="V20" s="101">
        <v>0</v>
      </c>
    </row>
    <row r="21" spans="1:22" customFormat="1" x14ac:dyDescent="0.15">
      <c r="A21" s="168" t="s">
        <v>209</v>
      </c>
      <c r="B21" s="101">
        <v>0</v>
      </c>
      <c r="C21" s="101">
        <v>0</v>
      </c>
      <c r="D21" s="101">
        <v>0</v>
      </c>
      <c r="E21" s="101">
        <v>0.8</v>
      </c>
      <c r="F21" s="101">
        <v>0</v>
      </c>
      <c r="G21" s="101">
        <v>0</v>
      </c>
      <c r="H21" s="101">
        <v>0</v>
      </c>
      <c r="I21" s="101">
        <v>0.8</v>
      </c>
      <c r="J21" s="101">
        <v>0</v>
      </c>
      <c r="K21" s="101">
        <v>0.8</v>
      </c>
      <c r="L21" s="101">
        <v>0</v>
      </c>
      <c r="M21" s="101">
        <v>0.8</v>
      </c>
      <c r="N21" s="101">
        <v>0.8</v>
      </c>
      <c r="O21" s="101">
        <v>0</v>
      </c>
      <c r="P21" s="101">
        <v>0.8</v>
      </c>
      <c r="Q21" s="101">
        <v>0.8</v>
      </c>
      <c r="R21" s="101">
        <v>0</v>
      </c>
      <c r="S21" s="101">
        <v>0</v>
      </c>
      <c r="T21" s="101">
        <v>0</v>
      </c>
      <c r="U21" s="101">
        <v>0</v>
      </c>
      <c r="V21" s="101">
        <v>0</v>
      </c>
    </row>
    <row r="22" spans="1:22" customFormat="1" x14ac:dyDescent="0.15">
      <c r="A22" s="168" t="s">
        <v>210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0</v>
      </c>
      <c r="P22" s="101">
        <v>0</v>
      </c>
      <c r="Q22" s="101">
        <v>0</v>
      </c>
      <c r="R22" s="101">
        <v>0</v>
      </c>
      <c r="S22" s="101">
        <v>0</v>
      </c>
      <c r="T22" s="101">
        <v>0</v>
      </c>
      <c r="U22" s="101">
        <v>0</v>
      </c>
      <c r="V22" s="101">
        <v>0</v>
      </c>
    </row>
    <row r="23" spans="1:22" customFormat="1" x14ac:dyDescent="0.15">
      <c r="A23" s="168" t="s">
        <v>212</v>
      </c>
      <c r="B23" s="101">
        <v>0</v>
      </c>
      <c r="C23" s="101">
        <v>0</v>
      </c>
      <c r="D23" s="101">
        <v>0</v>
      </c>
      <c r="E23" s="101">
        <v>0</v>
      </c>
      <c r="F23" s="101">
        <v>0</v>
      </c>
      <c r="G23" s="101">
        <v>0</v>
      </c>
      <c r="H23" s="101">
        <v>0</v>
      </c>
      <c r="I23" s="101">
        <v>0</v>
      </c>
      <c r="J23" s="101">
        <v>0</v>
      </c>
      <c r="K23" s="101">
        <v>0</v>
      </c>
      <c r="L23" s="101">
        <v>0</v>
      </c>
      <c r="M23" s="101">
        <v>0</v>
      </c>
      <c r="N23" s="101">
        <v>0</v>
      </c>
      <c r="O23" s="101">
        <v>0</v>
      </c>
      <c r="P23" s="101">
        <v>0</v>
      </c>
      <c r="Q23" s="101">
        <v>0</v>
      </c>
      <c r="R23" s="101">
        <v>0</v>
      </c>
      <c r="S23" s="101">
        <v>0</v>
      </c>
      <c r="T23" s="101">
        <v>0</v>
      </c>
      <c r="U23" s="101">
        <v>0</v>
      </c>
      <c r="V23" s="101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101" bestFit="1" customWidth="1"/>
    <col min="2" max="22" width="2.33203125" style="101" customWidth="1"/>
    <col min="23" max="16384" width="10.83203125" style="101"/>
  </cols>
  <sheetData>
    <row r="1" spans="1:31" x14ac:dyDescent="0.15">
      <c r="A1" s="61" t="s">
        <v>139</v>
      </c>
      <c r="B1" s="171" t="s">
        <v>194</v>
      </c>
      <c r="C1" s="171" t="s">
        <v>195</v>
      </c>
      <c r="D1" s="171" t="s">
        <v>196</v>
      </c>
      <c r="E1" s="171" t="s">
        <v>197</v>
      </c>
      <c r="F1" s="171" t="s">
        <v>198</v>
      </c>
      <c r="G1" s="171" t="s">
        <v>199</v>
      </c>
      <c r="H1" s="171" t="s">
        <v>200</v>
      </c>
      <c r="I1" s="171" t="s">
        <v>167</v>
      </c>
      <c r="J1" s="171" t="s">
        <v>201</v>
      </c>
      <c r="K1" s="171" t="s">
        <v>202</v>
      </c>
      <c r="L1" s="171" t="s">
        <v>203</v>
      </c>
      <c r="M1" s="171" t="s">
        <v>204</v>
      </c>
      <c r="N1" s="171" t="s">
        <v>205</v>
      </c>
      <c r="O1" s="171" t="s">
        <v>166</v>
      </c>
      <c r="P1" s="171" t="s">
        <v>206</v>
      </c>
      <c r="Q1" s="171" t="s">
        <v>207</v>
      </c>
      <c r="R1" s="171" t="s">
        <v>208</v>
      </c>
      <c r="S1" s="171" t="s">
        <v>42</v>
      </c>
      <c r="T1" s="171" t="s">
        <v>43</v>
      </c>
      <c r="U1" s="171" t="s">
        <v>209</v>
      </c>
      <c r="V1" s="171" t="s">
        <v>210</v>
      </c>
      <c r="W1"/>
      <c r="X1"/>
      <c r="Y1"/>
      <c r="Z1"/>
      <c r="AA1"/>
      <c r="AB1"/>
      <c r="AC1"/>
      <c r="AD1"/>
      <c r="AE1"/>
    </row>
    <row r="2" spans="1:31" customFormat="1" x14ac:dyDescent="0.15">
      <c r="A2" s="170" t="s">
        <v>194</v>
      </c>
      <c r="B2" s="101">
        <v>0</v>
      </c>
      <c r="C2" s="101">
        <v>1</v>
      </c>
      <c r="D2" s="101">
        <v>0</v>
      </c>
      <c r="E2" s="101">
        <v>1</v>
      </c>
      <c r="F2" s="101">
        <v>0</v>
      </c>
      <c r="G2" s="101">
        <v>0</v>
      </c>
      <c r="H2" s="101">
        <v>0</v>
      </c>
      <c r="I2" s="101">
        <v>0</v>
      </c>
      <c r="J2" s="101">
        <v>0</v>
      </c>
      <c r="K2" s="101">
        <v>0</v>
      </c>
      <c r="L2" s="101">
        <v>0</v>
      </c>
      <c r="M2" s="101">
        <v>0</v>
      </c>
      <c r="N2" s="101">
        <v>0</v>
      </c>
      <c r="O2" s="101">
        <v>0</v>
      </c>
      <c r="P2" s="101">
        <v>0</v>
      </c>
      <c r="Q2" s="101">
        <v>0</v>
      </c>
      <c r="R2" s="101">
        <v>0</v>
      </c>
      <c r="S2" s="101">
        <v>0</v>
      </c>
      <c r="T2" s="101">
        <v>0</v>
      </c>
      <c r="U2" s="101">
        <v>0</v>
      </c>
      <c r="V2" s="101">
        <v>0</v>
      </c>
    </row>
    <row r="3" spans="1:31" customFormat="1" x14ac:dyDescent="0.15">
      <c r="A3" s="170" t="s">
        <v>195</v>
      </c>
      <c r="B3" s="101">
        <v>0</v>
      </c>
      <c r="C3" s="101">
        <v>1</v>
      </c>
      <c r="D3" s="101">
        <v>0</v>
      </c>
      <c r="E3" s="101">
        <v>1</v>
      </c>
      <c r="F3" s="101">
        <v>0</v>
      </c>
      <c r="G3" s="101">
        <v>0</v>
      </c>
      <c r="H3" s="101">
        <v>0</v>
      </c>
      <c r="I3" s="101">
        <v>0</v>
      </c>
      <c r="J3" s="101">
        <v>0</v>
      </c>
      <c r="K3" s="101">
        <v>0</v>
      </c>
      <c r="L3" s="101">
        <v>0</v>
      </c>
      <c r="M3" s="101">
        <v>0</v>
      </c>
      <c r="N3" s="101">
        <v>0</v>
      </c>
      <c r="O3" s="101">
        <v>0</v>
      </c>
      <c r="P3" s="101">
        <v>0</v>
      </c>
      <c r="Q3" s="101">
        <v>0</v>
      </c>
      <c r="R3" s="101">
        <v>0</v>
      </c>
      <c r="S3" s="101">
        <v>0</v>
      </c>
      <c r="T3" s="101">
        <v>0</v>
      </c>
      <c r="U3" s="101">
        <v>0</v>
      </c>
      <c r="V3" s="101">
        <v>0</v>
      </c>
    </row>
    <row r="4" spans="1:31" customFormat="1" x14ac:dyDescent="0.15">
      <c r="A4" s="170" t="s">
        <v>196</v>
      </c>
      <c r="B4" s="101">
        <v>0</v>
      </c>
      <c r="C4" s="101">
        <v>1</v>
      </c>
      <c r="D4" s="101">
        <v>0</v>
      </c>
      <c r="E4" s="101">
        <v>1</v>
      </c>
      <c r="F4" s="101">
        <v>0</v>
      </c>
      <c r="G4" s="101">
        <v>0</v>
      </c>
      <c r="H4" s="101">
        <v>0</v>
      </c>
      <c r="I4" s="101">
        <v>0</v>
      </c>
      <c r="J4" s="101">
        <v>0</v>
      </c>
      <c r="K4" s="101">
        <v>0</v>
      </c>
      <c r="L4" s="101">
        <v>0</v>
      </c>
      <c r="M4" s="101">
        <v>0</v>
      </c>
      <c r="N4" s="101">
        <v>0</v>
      </c>
      <c r="O4" s="101">
        <v>0</v>
      </c>
      <c r="P4" s="101">
        <v>0</v>
      </c>
      <c r="Q4" s="101">
        <v>0</v>
      </c>
      <c r="R4" s="101">
        <v>0</v>
      </c>
      <c r="S4" s="101">
        <v>0</v>
      </c>
      <c r="T4" s="101">
        <v>0</v>
      </c>
      <c r="U4" s="101">
        <v>0</v>
      </c>
      <c r="V4" s="101">
        <v>0</v>
      </c>
    </row>
    <row r="5" spans="1:31" customFormat="1" x14ac:dyDescent="0.15">
      <c r="A5" s="170" t="s">
        <v>197</v>
      </c>
      <c r="B5" s="101">
        <v>0</v>
      </c>
      <c r="C5" s="101">
        <v>1</v>
      </c>
      <c r="D5" s="101">
        <v>1</v>
      </c>
      <c r="E5" s="101">
        <v>1</v>
      </c>
      <c r="F5" s="101">
        <v>0</v>
      </c>
      <c r="G5" s="101">
        <v>0</v>
      </c>
      <c r="H5" s="101">
        <v>0</v>
      </c>
      <c r="I5" s="101">
        <v>0</v>
      </c>
      <c r="J5" s="101">
        <v>0</v>
      </c>
      <c r="K5" s="101">
        <v>0</v>
      </c>
      <c r="L5" s="101">
        <v>0</v>
      </c>
      <c r="M5" s="101">
        <v>0</v>
      </c>
      <c r="N5" s="101">
        <v>0</v>
      </c>
      <c r="O5" s="101">
        <v>0</v>
      </c>
      <c r="P5" s="101">
        <v>0</v>
      </c>
      <c r="Q5" s="101">
        <v>0</v>
      </c>
      <c r="R5" s="101">
        <v>0</v>
      </c>
      <c r="S5" s="101">
        <v>0</v>
      </c>
      <c r="T5" s="101">
        <v>0</v>
      </c>
      <c r="U5" s="101">
        <v>0</v>
      </c>
      <c r="V5" s="101">
        <v>0</v>
      </c>
    </row>
    <row r="6" spans="1:31" customFormat="1" x14ac:dyDescent="0.15">
      <c r="A6" s="170" t="s">
        <v>198</v>
      </c>
      <c r="B6" s="101">
        <v>1</v>
      </c>
      <c r="C6" s="101">
        <v>1</v>
      </c>
      <c r="D6" s="101">
        <v>0</v>
      </c>
      <c r="E6" s="101">
        <v>1</v>
      </c>
      <c r="F6" s="101">
        <v>0</v>
      </c>
      <c r="G6" s="101">
        <v>0</v>
      </c>
      <c r="H6" s="101">
        <v>0</v>
      </c>
      <c r="I6" s="101">
        <v>0</v>
      </c>
      <c r="J6" s="101">
        <v>1</v>
      </c>
      <c r="K6" s="101">
        <v>0</v>
      </c>
      <c r="L6" s="101">
        <v>0</v>
      </c>
      <c r="M6" s="101">
        <v>0</v>
      </c>
      <c r="N6" s="101">
        <v>0</v>
      </c>
      <c r="O6" s="101">
        <v>0</v>
      </c>
      <c r="P6" s="101">
        <v>0</v>
      </c>
      <c r="Q6" s="101">
        <v>0</v>
      </c>
      <c r="R6" s="101">
        <v>0</v>
      </c>
      <c r="S6" s="101">
        <v>0</v>
      </c>
      <c r="T6" s="101">
        <v>0</v>
      </c>
      <c r="U6" s="101">
        <v>0</v>
      </c>
      <c r="V6" s="101">
        <v>0</v>
      </c>
    </row>
    <row r="7" spans="1:31" customFormat="1" x14ac:dyDescent="0.15">
      <c r="A7" s="170" t="s">
        <v>199</v>
      </c>
      <c r="B7" s="101">
        <v>1</v>
      </c>
      <c r="C7" s="101">
        <v>1</v>
      </c>
      <c r="D7" s="101">
        <v>0</v>
      </c>
      <c r="E7" s="101">
        <v>1</v>
      </c>
      <c r="F7" s="101">
        <v>0</v>
      </c>
      <c r="G7" s="101">
        <v>1</v>
      </c>
      <c r="H7" s="101">
        <v>0</v>
      </c>
      <c r="I7" s="101">
        <v>0</v>
      </c>
      <c r="J7" s="101">
        <v>1</v>
      </c>
      <c r="K7" s="101">
        <v>0</v>
      </c>
      <c r="L7" s="101">
        <v>0</v>
      </c>
      <c r="M7" s="101">
        <v>0</v>
      </c>
      <c r="N7" s="101">
        <v>0</v>
      </c>
      <c r="O7" s="101">
        <v>0</v>
      </c>
      <c r="P7" s="101">
        <v>0</v>
      </c>
      <c r="Q7" s="101">
        <v>0</v>
      </c>
      <c r="R7" s="101">
        <v>0</v>
      </c>
      <c r="S7" s="101">
        <v>0</v>
      </c>
      <c r="T7" s="101">
        <v>0</v>
      </c>
      <c r="U7" s="101">
        <v>0</v>
      </c>
      <c r="V7" s="101">
        <v>0</v>
      </c>
    </row>
    <row r="8" spans="1:31" customFormat="1" x14ac:dyDescent="0.15">
      <c r="A8" s="170" t="s">
        <v>200</v>
      </c>
      <c r="B8" s="101">
        <v>1</v>
      </c>
      <c r="C8" s="101">
        <v>1</v>
      </c>
      <c r="D8" s="101">
        <v>0</v>
      </c>
      <c r="E8" s="101">
        <v>1</v>
      </c>
      <c r="F8" s="101">
        <v>1</v>
      </c>
      <c r="G8" s="101">
        <v>1</v>
      </c>
      <c r="H8" s="101">
        <v>0</v>
      </c>
      <c r="I8" s="101">
        <v>1</v>
      </c>
      <c r="J8" s="101">
        <v>1</v>
      </c>
      <c r="K8" s="101">
        <v>1</v>
      </c>
      <c r="L8" s="101">
        <v>1</v>
      </c>
      <c r="M8" s="101">
        <v>0</v>
      </c>
      <c r="N8" s="101">
        <v>0</v>
      </c>
      <c r="O8" s="101">
        <v>0</v>
      </c>
      <c r="P8" s="101">
        <v>0</v>
      </c>
      <c r="Q8" s="101">
        <v>0</v>
      </c>
      <c r="R8" s="101">
        <v>0</v>
      </c>
      <c r="S8" s="101">
        <v>0</v>
      </c>
      <c r="T8" s="101">
        <v>0</v>
      </c>
      <c r="U8" s="101">
        <v>0</v>
      </c>
      <c r="V8" s="101">
        <v>0</v>
      </c>
    </row>
    <row r="9" spans="1:31" customFormat="1" x14ac:dyDescent="0.15">
      <c r="A9" s="170" t="s">
        <v>167</v>
      </c>
      <c r="B9" s="101">
        <v>1</v>
      </c>
      <c r="C9" s="101">
        <v>1</v>
      </c>
      <c r="D9" s="101">
        <v>1</v>
      </c>
      <c r="E9" s="101">
        <v>1</v>
      </c>
      <c r="F9" s="101">
        <v>1</v>
      </c>
      <c r="G9" s="101">
        <v>1</v>
      </c>
      <c r="H9" s="101">
        <v>1</v>
      </c>
      <c r="I9" s="101">
        <v>0</v>
      </c>
      <c r="J9" s="101">
        <v>1</v>
      </c>
      <c r="K9" s="101">
        <v>1</v>
      </c>
      <c r="L9" s="101">
        <v>1</v>
      </c>
      <c r="M9" s="101">
        <v>0</v>
      </c>
      <c r="N9" s="101">
        <v>0</v>
      </c>
      <c r="O9" s="101">
        <v>0</v>
      </c>
      <c r="P9" s="101">
        <v>0</v>
      </c>
      <c r="Q9" s="101">
        <v>0</v>
      </c>
      <c r="R9" s="101">
        <v>0</v>
      </c>
      <c r="S9" s="101">
        <v>0</v>
      </c>
      <c r="T9" s="101">
        <v>0</v>
      </c>
      <c r="U9" s="101">
        <v>0</v>
      </c>
      <c r="V9" s="101">
        <v>0</v>
      </c>
    </row>
    <row r="10" spans="1:31" customFormat="1" x14ac:dyDescent="0.15">
      <c r="A10" s="170" t="s">
        <v>201</v>
      </c>
      <c r="B10" s="101">
        <v>1</v>
      </c>
      <c r="C10" s="101">
        <v>1</v>
      </c>
      <c r="D10" s="101">
        <v>0</v>
      </c>
      <c r="E10" s="101">
        <v>1</v>
      </c>
      <c r="F10" s="101">
        <v>0</v>
      </c>
      <c r="G10" s="101">
        <v>0</v>
      </c>
      <c r="H10" s="101">
        <v>0</v>
      </c>
      <c r="I10" s="101">
        <v>0</v>
      </c>
      <c r="J10" s="101">
        <v>1</v>
      </c>
      <c r="K10" s="101">
        <v>1</v>
      </c>
      <c r="L10" s="101">
        <v>0</v>
      </c>
      <c r="M10" s="101">
        <v>0</v>
      </c>
      <c r="N10" s="101">
        <v>0</v>
      </c>
      <c r="O10" s="101">
        <v>0</v>
      </c>
      <c r="P10" s="101">
        <v>0</v>
      </c>
      <c r="Q10" s="101">
        <v>0</v>
      </c>
      <c r="R10" s="101">
        <v>0</v>
      </c>
      <c r="S10" s="101">
        <v>0</v>
      </c>
      <c r="T10" s="101">
        <v>0</v>
      </c>
      <c r="U10" s="101">
        <v>0</v>
      </c>
      <c r="V10" s="101">
        <v>0</v>
      </c>
    </row>
    <row r="11" spans="1:31" customFormat="1" x14ac:dyDescent="0.15">
      <c r="A11" s="170" t="s">
        <v>202</v>
      </c>
      <c r="B11" s="101">
        <v>0</v>
      </c>
      <c r="C11" s="101">
        <v>1</v>
      </c>
      <c r="D11" s="101">
        <v>1</v>
      </c>
      <c r="E11" s="101">
        <v>1</v>
      </c>
      <c r="F11" s="101">
        <v>0</v>
      </c>
      <c r="G11" s="101">
        <v>0</v>
      </c>
      <c r="H11" s="101">
        <v>0</v>
      </c>
      <c r="I11" s="101">
        <v>1</v>
      </c>
      <c r="J11" s="101">
        <v>1</v>
      </c>
      <c r="K11" s="101">
        <v>0</v>
      </c>
      <c r="L11" s="101">
        <v>0</v>
      </c>
      <c r="M11" s="101">
        <v>0</v>
      </c>
      <c r="N11" s="101">
        <v>0</v>
      </c>
      <c r="O11" s="101">
        <v>0</v>
      </c>
      <c r="P11" s="101">
        <v>0</v>
      </c>
      <c r="Q11" s="101">
        <v>0</v>
      </c>
      <c r="R11" s="101">
        <v>0</v>
      </c>
      <c r="S11" s="101">
        <v>0</v>
      </c>
      <c r="T11" s="101">
        <v>0</v>
      </c>
      <c r="U11" s="101">
        <v>0</v>
      </c>
      <c r="V11" s="101">
        <v>0</v>
      </c>
    </row>
    <row r="12" spans="1:31" customFormat="1" x14ac:dyDescent="0.15">
      <c r="A12" s="170" t="s">
        <v>203</v>
      </c>
      <c r="B12" s="101">
        <v>1</v>
      </c>
      <c r="C12" s="101">
        <v>1</v>
      </c>
      <c r="D12" s="101">
        <v>0</v>
      </c>
      <c r="E12" s="101">
        <v>1</v>
      </c>
      <c r="F12" s="101">
        <v>1</v>
      </c>
      <c r="G12" s="101">
        <v>1</v>
      </c>
      <c r="H12" s="101">
        <v>1</v>
      </c>
      <c r="I12" s="101">
        <v>1</v>
      </c>
      <c r="J12" s="101">
        <v>1</v>
      </c>
      <c r="K12" s="101">
        <v>1</v>
      </c>
      <c r="L12" s="101">
        <v>0</v>
      </c>
      <c r="M12" s="101">
        <v>0</v>
      </c>
      <c r="N12" s="101">
        <v>0</v>
      </c>
      <c r="O12" s="101">
        <v>0</v>
      </c>
      <c r="P12" s="101">
        <v>0</v>
      </c>
      <c r="Q12" s="101">
        <v>0</v>
      </c>
      <c r="R12" s="101">
        <v>0</v>
      </c>
      <c r="S12" s="101">
        <v>0</v>
      </c>
      <c r="T12" s="101">
        <v>0</v>
      </c>
      <c r="U12" s="101">
        <v>0</v>
      </c>
      <c r="V12" s="101">
        <v>0</v>
      </c>
    </row>
    <row r="13" spans="1:31" customFormat="1" x14ac:dyDescent="0.15">
      <c r="A13" s="170" t="s">
        <v>204</v>
      </c>
      <c r="B13" s="101">
        <v>1</v>
      </c>
      <c r="C13" s="101">
        <v>1</v>
      </c>
      <c r="D13" s="101">
        <v>1</v>
      </c>
      <c r="E13" s="101">
        <v>1</v>
      </c>
      <c r="F13" s="101">
        <v>1</v>
      </c>
      <c r="G13" s="101">
        <v>1</v>
      </c>
      <c r="H13" s="101">
        <v>1</v>
      </c>
      <c r="I13" s="101">
        <v>1</v>
      </c>
      <c r="J13" s="101">
        <v>1</v>
      </c>
      <c r="K13" s="101">
        <v>1</v>
      </c>
      <c r="L13" s="101">
        <v>1</v>
      </c>
      <c r="M13" s="101">
        <v>0</v>
      </c>
      <c r="N13" s="101">
        <v>0</v>
      </c>
      <c r="O13" s="101">
        <v>1</v>
      </c>
      <c r="P13" s="101">
        <v>0</v>
      </c>
      <c r="Q13" s="101">
        <v>0</v>
      </c>
      <c r="R13" s="101">
        <v>0</v>
      </c>
      <c r="S13" s="101">
        <v>0</v>
      </c>
      <c r="T13" s="101">
        <v>0</v>
      </c>
      <c r="U13" s="101">
        <v>0</v>
      </c>
      <c r="V13" s="101">
        <v>0</v>
      </c>
    </row>
    <row r="14" spans="1:31" customFormat="1" x14ac:dyDescent="0.15">
      <c r="A14" s="170" t="s">
        <v>205</v>
      </c>
      <c r="B14" s="101">
        <v>1</v>
      </c>
      <c r="C14" s="101">
        <v>1</v>
      </c>
      <c r="D14" s="101">
        <v>1</v>
      </c>
      <c r="E14" s="101">
        <v>1</v>
      </c>
      <c r="F14" s="101">
        <v>1</v>
      </c>
      <c r="G14" s="101">
        <v>1</v>
      </c>
      <c r="H14" s="101">
        <v>1</v>
      </c>
      <c r="I14" s="101">
        <v>1</v>
      </c>
      <c r="J14" s="101">
        <v>1</v>
      </c>
      <c r="K14" s="101">
        <v>1</v>
      </c>
      <c r="L14" s="101">
        <v>1</v>
      </c>
      <c r="M14" s="101">
        <v>0</v>
      </c>
      <c r="N14" s="101">
        <v>0</v>
      </c>
      <c r="O14" s="101">
        <v>1</v>
      </c>
      <c r="P14" s="101">
        <v>0</v>
      </c>
      <c r="Q14" s="101">
        <v>0</v>
      </c>
      <c r="R14" s="101">
        <v>0</v>
      </c>
      <c r="S14" s="101">
        <v>0</v>
      </c>
      <c r="T14" s="101">
        <v>0</v>
      </c>
      <c r="U14" s="101">
        <v>0</v>
      </c>
      <c r="V14" s="101">
        <v>0</v>
      </c>
    </row>
    <row r="15" spans="1:31" customFormat="1" x14ac:dyDescent="0.15">
      <c r="A15" s="170" t="s">
        <v>166</v>
      </c>
      <c r="B15" s="101">
        <v>1</v>
      </c>
      <c r="C15" s="101">
        <v>1</v>
      </c>
      <c r="D15" s="101">
        <v>1</v>
      </c>
      <c r="E15" s="101">
        <v>1</v>
      </c>
      <c r="F15" s="101">
        <v>1</v>
      </c>
      <c r="G15" s="101">
        <v>1</v>
      </c>
      <c r="H15" s="101">
        <v>1</v>
      </c>
      <c r="I15" s="101">
        <v>1</v>
      </c>
      <c r="J15" s="101">
        <v>1</v>
      </c>
      <c r="K15" s="101">
        <v>1</v>
      </c>
      <c r="L15" s="101">
        <v>1</v>
      </c>
      <c r="M15" s="101">
        <v>0</v>
      </c>
      <c r="N15" s="101">
        <v>0</v>
      </c>
      <c r="O15" s="101">
        <v>0</v>
      </c>
      <c r="P15" s="101">
        <v>0</v>
      </c>
      <c r="Q15" s="101">
        <v>0</v>
      </c>
      <c r="R15" s="101">
        <v>0</v>
      </c>
      <c r="S15" s="101">
        <v>0</v>
      </c>
      <c r="T15" s="101">
        <v>0</v>
      </c>
      <c r="U15" s="101">
        <v>0</v>
      </c>
      <c r="V15" s="101">
        <v>0</v>
      </c>
    </row>
    <row r="16" spans="1:31" customFormat="1" x14ac:dyDescent="0.15">
      <c r="A16" s="170" t="s">
        <v>206</v>
      </c>
      <c r="B16" s="101">
        <v>1</v>
      </c>
      <c r="C16" s="101">
        <v>1</v>
      </c>
      <c r="D16" s="101">
        <v>1</v>
      </c>
      <c r="E16" s="101">
        <v>1</v>
      </c>
      <c r="F16" s="101">
        <v>1</v>
      </c>
      <c r="G16" s="101">
        <v>1</v>
      </c>
      <c r="H16" s="101">
        <v>1</v>
      </c>
      <c r="I16" s="101">
        <v>1</v>
      </c>
      <c r="J16" s="101">
        <v>1</v>
      </c>
      <c r="K16" s="101">
        <v>1</v>
      </c>
      <c r="L16" s="101">
        <v>1</v>
      </c>
      <c r="M16" s="101">
        <v>1</v>
      </c>
      <c r="N16" s="101">
        <v>1</v>
      </c>
      <c r="O16" s="101">
        <v>1</v>
      </c>
      <c r="P16" s="101">
        <v>0</v>
      </c>
      <c r="Q16" s="101">
        <v>0</v>
      </c>
      <c r="R16" s="101">
        <v>0</v>
      </c>
      <c r="S16" s="101">
        <v>0</v>
      </c>
      <c r="T16" s="101">
        <v>0</v>
      </c>
      <c r="U16" s="101">
        <v>0</v>
      </c>
      <c r="V16" s="101">
        <v>0</v>
      </c>
    </row>
    <row r="17" spans="1:22" customFormat="1" x14ac:dyDescent="0.15">
      <c r="A17" s="170" t="s">
        <v>207</v>
      </c>
      <c r="B17" s="101">
        <v>0</v>
      </c>
      <c r="C17" s="101">
        <v>0</v>
      </c>
      <c r="D17" s="101">
        <v>1</v>
      </c>
      <c r="E17" s="101">
        <v>1</v>
      </c>
      <c r="F17" s="101">
        <v>1</v>
      </c>
      <c r="G17" s="101">
        <v>1</v>
      </c>
      <c r="H17" s="101">
        <v>1</v>
      </c>
      <c r="I17" s="101">
        <v>1</v>
      </c>
      <c r="J17" s="101">
        <v>1</v>
      </c>
      <c r="K17" s="101">
        <v>1</v>
      </c>
      <c r="L17" s="101">
        <v>1</v>
      </c>
      <c r="M17" s="101">
        <v>1</v>
      </c>
      <c r="N17" s="101">
        <v>1</v>
      </c>
      <c r="O17" s="101">
        <v>1</v>
      </c>
      <c r="P17" s="101">
        <v>1</v>
      </c>
      <c r="Q17" s="101">
        <v>1</v>
      </c>
      <c r="R17" s="101">
        <v>0</v>
      </c>
      <c r="S17" s="101">
        <v>0</v>
      </c>
      <c r="T17" s="101">
        <v>0</v>
      </c>
      <c r="U17" s="101">
        <v>0</v>
      </c>
      <c r="V17" s="101">
        <v>0</v>
      </c>
    </row>
    <row r="18" spans="1:22" customFormat="1" x14ac:dyDescent="0.15">
      <c r="A18" s="170" t="s">
        <v>208</v>
      </c>
      <c r="B18" s="101">
        <v>0</v>
      </c>
      <c r="C18" s="101">
        <v>0</v>
      </c>
      <c r="D18" s="101">
        <v>0</v>
      </c>
      <c r="E18" s="101">
        <v>0</v>
      </c>
      <c r="F18" s="101">
        <v>0</v>
      </c>
      <c r="G18" s="101">
        <v>0</v>
      </c>
      <c r="H18" s="101">
        <v>0</v>
      </c>
      <c r="I18" s="101">
        <v>0</v>
      </c>
      <c r="J18" s="101">
        <v>0</v>
      </c>
      <c r="K18" s="101">
        <v>0</v>
      </c>
      <c r="L18" s="101">
        <v>0</v>
      </c>
      <c r="M18" s="101">
        <v>0</v>
      </c>
      <c r="N18" s="101">
        <v>0</v>
      </c>
      <c r="O18" s="101">
        <v>0</v>
      </c>
      <c r="P18" s="101">
        <v>0</v>
      </c>
      <c r="Q18" s="101">
        <v>1</v>
      </c>
      <c r="R18" s="101">
        <v>0</v>
      </c>
      <c r="S18" s="101">
        <v>0</v>
      </c>
      <c r="T18" s="101">
        <v>0</v>
      </c>
      <c r="U18" s="101">
        <v>0</v>
      </c>
      <c r="V18" s="101">
        <v>0</v>
      </c>
    </row>
    <row r="19" spans="1:22" customFormat="1" x14ac:dyDescent="0.15">
      <c r="A19" s="170" t="s">
        <v>42</v>
      </c>
      <c r="B19" s="101">
        <v>0</v>
      </c>
      <c r="C19" s="101">
        <v>0</v>
      </c>
      <c r="D19" s="101">
        <v>0</v>
      </c>
      <c r="E19" s="101">
        <v>0</v>
      </c>
      <c r="F19" s="101">
        <v>0</v>
      </c>
      <c r="G19" s="101">
        <v>0</v>
      </c>
      <c r="H19" s="101">
        <v>0</v>
      </c>
      <c r="I19" s="101">
        <v>0</v>
      </c>
      <c r="J19" s="101">
        <v>0</v>
      </c>
      <c r="K19" s="101">
        <v>0</v>
      </c>
      <c r="L19" s="101">
        <v>0</v>
      </c>
      <c r="M19" s="101">
        <v>1</v>
      </c>
      <c r="N19" s="101">
        <v>0</v>
      </c>
      <c r="O19" s="101">
        <v>0</v>
      </c>
      <c r="P19" s="101">
        <v>1</v>
      </c>
      <c r="Q19" s="101">
        <v>1</v>
      </c>
      <c r="R19" s="101">
        <v>0</v>
      </c>
      <c r="S19" s="101">
        <v>0</v>
      </c>
      <c r="T19" s="101">
        <v>0</v>
      </c>
      <c r="U19" s="101">
        <v>0</v>
      </c>
      <c r="V19" s="101">
        <v>0</v>
      </c>
    </row>
    <row r="20" spans="1:22" customFormat="1" x14ac:dyDescent="0.15">
      <c r="A20" s="170" t="s">
        <v>43</v>
      </c>
      <c r="B20" s="101">
        <v>0</v>
      </c>
      <c r="C20" s="101">
        <v>0</v>
      </c>
      <c r="D20" s="101">
        <v>0</v>
      </c>
      <c r="E20" s="101">
        <v>0</v>
      </c>
      <c r="F20" s="101">
        <v>0</v>
      </c>
      <c r="G20" s="101">
        <v>0</v>
      </c>
      <c r="H20" s="101">
        <v>0</v>
      </c>
      <c r="I20" s="101">
        <v>0</v>
      </c>
      <c r="J20" s="101">
        <v>0</v>
      </c>
      <c r="K20" s="101">
        <v>0</v>
      </c>
      <c r="L20" s="101">
        <v>0</v>
      </c>
      <c r="M20" s="101">
        <v>0</v>
      </c>
      <c r="N20" s="101">
        <v>0</v>
      </c>
      <c r="O20" s="101">
        <v>0</v>
      </c>
      <c r="P20" s="101">
        <v>0</v>
      </c>
      <c r="Q20" s="101">
        <v>0</v>
      </c>
      <c r="R20" s="101">
        <v>1</v>
      </c>
      <c r="S20" s="101">
        <v>0</v>
      </c>
      <c r="T20" s="101">
        <v>0</v>
      </c>
      <c r="U20" s="101">
        <v>0</v>
      </c>
      <c r="V20" s="101">
        <v>0</v>
      </c>
    </row>
    <row r="21" spans="1:22" customFormat="1" x14ac:dyDescent="0.15">
      <c r="A21" s="170" t="s">
        <v>209</v>
      </c>
      <c r="B21" s="101">
        <v>0</v>
      </c>
      <c r="C21" s="101">
        <v>0</v>
      </c>
      <c r="D21" s="101">
        <v>0</v>
      </c>
      <c r="E21" s="101">
        <v>1</v>
      </c>
      <c r="F21" s="101">
        <v>0</v>
      </c>
      <c r="G21" s="101">
        <v>0</v>
      </c>
      <c r="H21" s="101">
        <v>0</v>
      </c>
      <c r="I21" s="101">
        <v>1</v>
      </c>
      <c r="J21" s="101">
        <v>0</v>
      </c>
      <c r="K21" s="101">
        <v>1</v>
      </c>
      <c r="L21" s="101">
        <v>0</v>
      </c>
      <c r="M21" s="101">
        <v>1</v>
      </c>
      <c r="N21" s="101">
        <v>1</v>
      </c>
      <c r="O21" s="101">
        <v>0</v>
      </c>
      <c r="P21" s="101">
        <v>1</v>
      </c>
      <c r="Q21" s="101">
        <v>1</v>
      </c>
      <c r="R21" s="101">
        <v>0</v>
      </c>
      <c r="S21" s="101">
        <v>0</v>
      </c>
      <c r="T21" s="101">
        <v>0</v>
      </c>
      <c r="U21" s="101">
        <v>0</v>
      </c>
      <c r="V21" s="101">
        <v>0</v>
      </c>
    </row>
    <row r="22" spans="1:22" customFormat="1" x14ac:dyDescent="0.15">
      <c r="A22" s="170" t="s">
        <v>210</v>
      </c>
      <c r="B22" s="101">
        <v>0</v>
      </c>
      <c r="C22" s="101">
        <v>0</v>
      </c>
      <c r="D22" s="101">
        <v>0</v>
      </c>
      <c r="E22" s="101">
        <v>0</v>
      </c>
      <c r="F22" s="101">
        <v>0</v>
      </c>
      <c r="G22" s="101">
        <v>0</v>
      </c>
      <c r="H22" s="101">
        <v>0</v>
      </c>
      <c r="I22" s="101">
        <v>0</v>
      </c>
      <c r="J22" s="101">
        <v>0</v>
      </c>
      <c r="K22" s="101">
        <v>0</v>
      </c>
      <c r="L22" s="101">
        <v>0</v>
      </c>
      <c r="M22" s="101">
        <v>0</v>
      </c>
      <c r="N22" s="101">
        <v>0</v>
      </c>
      <c r="O22" s="101">
        <v>0</v>
      </c>
      <c r="P22" s="101">
        <v>0</v>
      </c>
      <c r="Q22" s="101">
        <v>0</v>
      </c>
      <c r="R22" s="101">
        <v>0</v>
      </c>
      <c r="S22" s="101">
        <v>0</v>
      </c>
      <c r="T22" s="101">
        <v>0</v>
      </c>
      <c r="U22" s="101">
        <v>0</v>
      </c>
      <c r="V22" s="101">
        <v>0</v>
      </c>
    </row>
    <row r="23" spans="1:22" customFormat="1" x14ac:dyDescent="0.15">
      <c r="A23" s="170" t="s">
        <v>212</v>
      </c>
      <c r="B23" s="101">
        <v>0</v>
      </c>
      <c r="C23" s="101">
        <v>0</v>
      </c>
      <c r="D23" s="101">
        <v>0</v>
      </c>
      <c r="E23" s="101">
        <v>0</v>
      </c>
      <c r="F23" s="101">
        <v>0</v>
      </c>
      <c r="G23" s="101">
        <v>0</v>
      </c>
      <c r="H23" s="101">
        <v>0</v>
      </c>
      <c r="I23" s="101">
        <v>0</v>
      </c>
      <c r="J23" s="101">
        <v>0</v>
      </c>
      <c r="K23" s="101">
        <v>0</v>
      </c>
      <c r="L23" s="101">
        <v>0</v>
      </c>
      <c r="M23" s="101">
        <v>0</v>
      </c>
      <c r="N23" s="101">
        <v>0</v>
      </c>
      <c r="O23" s="101">
        <v>0</v>
      </c>
      <c r="P23" s="101">
        <v>0</v>
      </c>
      <c r="Q23" s="101">
        <v>0</v>
      </c>
      <c r="R23" s="101">
        <v>0</v>
      </c>
      <c r="S23" s="101">
        <v>0</v>
      </c>
      <c r="T23" s="101">
        <v>0</v>
      </c>
      <c r="U23" s="101">
        <v>0</v>
      </c>
      <c r="V23" s="101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3" t="s">
        <v>211</v>
      </c>
    </row>
    <row r="2" spans="1:3" x14ac:dyDescent="0.15">
      <c r="A2">
        <v>1</v>
      </c>
      <c r="B2" s="172" t="s">
        <v>194</v>
      </c>
      <c r="C2">
        <v>0.8</v>
      </c>
    </row>
    <row r="3" spans="1:3" x14ac:dyDescent="0.15">
      <c r="A3">
        <v>2</v>
      </c>
      <c r="B3" s="172" t="s">
        <v>195</v>
      </c>
      <c r="C3">
        <v>0.8</v>
      </c>
    </row>
    <row r="4" spans="1:3" x14ac:dyDescent="0.15">
      <c r="A4">
        <v>3</v>
      </c>
      <c r="B4" s="172" t="s">
        <v>196</v>
      </c>
      <c r="C4">
        <v>0.8</v>
      </c>
    </row>
    <row r="5" spans="1:3" x14ac:dyDescent="0.15">
      <c r="A5">
        <v>4</v>
      </c>
      <c r="B5" s="172" t="s">
        <v>197</v>
      </c>
      <c r="C5">
        <v>0.8</v>
      </c>
    </row>
    <row r="6" spans="1:3" x14ac:dyDescent="0.15">
      <c r="A6">
        <v>5</v>
      </c>
      <c r="B6" s="172" t="s">
        <v>198</v>
      </c>
      <c r="C6">
        <v>0.8</v>
      </c>
    </row>
    <row r="7" spans="1:3" x14ac:dyDescent="0.15">
      <c r="A7">
        <v>6</v>
      </c>
      <c r="B7" s="172" t="s">
        <v>199</v>
      </c>
      <c r="C7">
        <v>0.8</v>
      </c>
    </row>
    <row r="8" spans="1:3" x14ac:dyDescent="0.15">
      <c r="A8">
        <v>7</v>
      </c>
      <c r="B8" s="172" t="s">
        <v>200</v>
      </c>
      <c r="C8">
        <v>0.8</v>
      </c>
    </row>
    <row r="9" spans="1:3" x14ac:dyDescent="0.15">
      <c r="A9">
        <v>8</v>
      </c>
      <c r="B9" s="172" t="s">
        <v>167</v>
      </c>
      <c r="C9">
        <v>0.8</v>
      </c>
    </row>
    <row r="10" spans="1:3" x14ac:dyDescent="0.15">
      <c r="A10">
        <v>9</v>
      </c>
      <c r="B10" s="172" t="s">
        <v>201</v>
      </c>
      <c r="C10">
        <v>0</v>
      </c>
    </row>
    <row r="11" spans="1:3" x14ac:dyDescent="0.15">
      <c r="A11">
        <v>10</v>
      </c>
      <c r="B11" s="172" t="s">
        <v>202</v>
      </c>
      <c r="C11">
        <v>0</v>
      </c>
    </row>
    <row r="12" spans="1:3" x14ac:dyDescent="0.15">
      <c r="A12">
        <v>11</v>
      </c>
      <c r="B12" s="172" t="s">
        <v>203</v>
      </c>
      <c r="C12">
        <v>0</v>
      </c>
    </row>
    <row r="13" spans="1:3" x14ac:dyDescent="0.15">
      <c r="A13">
        <v>12</v>
      </c>
      <c r="B13" s="172" t="s">
        <v>204</v>
      </c>
      <c r="C13">
        <v>0.8</v>
      </c>
    </row>
    <row r="14" spans="1:3" x14ac:dyDescent="0.15">
      <c r="A14">
        <v>13</v>
      </c>
      <c r="B14" s="172" t="s">
        <v>205</v>
      </c>
      <c r="C14">
        <v>0</v>
      </c>
    </row>
    <row r="15" spans="1:3" x14ac:dyDescent="0.15">
      <c r="A15">
        <v>14</v>
      </c>
      <c r="B15" s="172" t="s">
        <v>166</v>
      </c>
      <c r="C15">
        <v>0.8</v>
      </c>
    </row>
    <row r="16" spans="1:3" x14ac:dyDescent="0.15">
      <c r="A16">
        <v>15</v>
      </c>
      <c r="B16" s="172" t="s">
        <v>206</v>
      </c>
      <c r="C16">
        <v>0</v>
      </c>
    </row>
    <row r="17" spans="1:3" x14ac:dyDescent="0.15">
      <c r="A17">
        <v>16</v>
      </c>
      <c r="B17" s="172" t="s">
        <v>207</v>
      </c>
      <c r="C17">
        <v>0</v>
      </c>
    </row>
    <row r="18" spans="1:3" x14ac:dyDescent="0.15">
      <c r="A18">
        <v>17</v>
      </c>
      <c r="B18" s="172" t="s">
        <v>208</v>
      </c>
      <c r="C18">
        <v>0</v>
      </c>
    </row>
    <row r="19" spans="1:3" x14ac:dyDescent="0.15">
      <c r="A19">
        <v>18</v>
      </c>
      <c r="B19" s="172" t="s">
        <v>42</v>
      </c>
      <c r="C19">
        <v>0</v>
      </c>
    </row>
    <row r="20" spans="1:3" x14ac:dyDescent="0.15">
      <c r="A20">
        <v>19</v>
      </c>
      <c r="B20" s="172" t="s">
        <v>43</v>
      </c>
      <c r="C20">
        <v>0</v>
      </c>
    </row>
    <row r="21" spans="1:3" x14ac:dyDescent="0.15">
      <c r="A21">
        <v>20</v>
      </c>
      <c r="B21" s="172" t="s">
        <v>209</v>
      </c>
      <c r="C21">
        <v>0</v>
      </c>
    </row>
    <row r="22" spans="1:3" x14ac:dyDescent="0.15">
      <c r="A22">
        <v>21</v>
      </c>
      <c r="B22" s="172" t="s">
        <v>210</v>
      </c>
      <c r="C2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2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7.832031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5" t="s">
        <v>211</v>
      </c>
    </row>
    <row r="2" spans="1:3" x14ac:dyDescent="0.15">
      <c r="A2">
        <v>1</v>
      </c>
      <c r="B2" s="174" t="s">
        <v>194</v>
      </c>
      <c r="C2">
        <v>0.8</v>
      </c>
    </row>
    <row r="3" spans="1:3" x14ac:dyDescent="0.15">
      <c r="A3">
        <v>2</v>
      </c>
      <c r="B3" s="174" t="s">
        <v>195</v>
      </c>
      <c r="C3">
        <v>0.8</v>
      </c>
    </row>
    <row r="4" spans="1:3" x14ac:dyDescent="0.15">
      <c r="A4">
        <v>3</v>
      </c>
      <c r="B4" s="174" t="s">
        <v>196</v>
      </c>
      <c r="C4">
        <v>0.8</v>
      </c>
    </row>
    <row r="5" spans="1:3" x14ac:dyDescent="0.15">
      <c r="A5">
        <v>4</v>
      </c>
      <c r="B5" s="174" t="s">
        <v>197</v>
      </c>
      <c r="C5">
        <v>0.8</v>
      </c>
    </row>
    <row r="6" spans="1:3" x14ac:dyDescent="0.15">
      <c r="A6">
        <v>5</v>
      </c>
      <c r="B6" s="174" t="s">
        <v>198</v>
      </c>
      <c r="C6">
        <v>0.8</v>
      </c>
    </row>
    <row r="7" spans="1:3" x14ac:dyDescent="0.15">
      <c r="A7">
        <v>6</v>
      </c>
      <c r="B7" s="174" t="s">
        <v>199</v>
      </c>
      <c r="C7">
        <v>0.8</v>
      </c>
    </row>
    <row r="8" spans="1:3" x14ac:dyDescent="0.15">
      <c r="A8">
        <v>7</v>
      </c>
      <c r="B8" s="174" t="s">
        <v>200</v>
      </c>
      <c r="C8">
        <v>0.8</v>
      </c>
    </row>
    <row r="9" spans="1:3" x14ac:dyDescent="0.15">
      <c r="A9">
        <v>8</v>
      </c>
      <c r="B9" s="174" t="s">
        <v>167</v>
      </c>
      <c r="C9">
        <v>0.8</v>
      </c>
    </row>
    <row r="10" spans="1:3" x14ac:dyDescent="0.15">
      <c r="A10">
        <v>9</v>
      </c>
      <c r="B10" s="174" t="s">
        <v>201</v>
      </c>
      <c r="C10">
        <v>0</v>
      </c>
    </row>
    <row r="11" spans="1:3" x14ac:dyDescent="0.15">
      <c r="A11">
        <v>10</v>
      </c>
      <c r="B11" s="174" t="s">
        <v>202</v>
      </c>
      <c r="C11">
        <v>0</v>
      </c>
    </row>
    <row r="12" spans="1:3" x14ac:dyDescent="0.15">
      <c r="A12">
        <v>11</v>
      </c>
      <c r="B12" s="174" t="s">
        <v>203</v>
      </c>
      <c r="C12">
        <v>0</v>
      </c>
    </row>
    <row r="13" spans="1:3" x14ac:dyDescent="0.15">
      <c r="A13">
        <v>12</v>
      </c>
      <c r="B13" s="174" t="s">
        <v>204</v>
      </c>
      <c r="C13">
        <v>0.8</v>
      </c>
    </row>
    <row r="14" spans="1:3" x14ac:dyDescent="0.15">
      <c r="A14">
        <v>13</v>
      </c>
      <c r="B14" s="174" t="s">
        <v>205</v>
      </c>
      <c r="C14">
        <v>0</v>
      </c>
    </row>
    <row r="15" spans="1:3" x14ac:dyDescent="0.15">
      <c r="A15">
        <v>14</v>
      </c>
      <c r="B15" s="174" t="s">
        <v>166</v>
      </c>
      <c r="C15">
        <v>0.8</v>
      </c>
    </row>
    <row r="16" spans="1:3" x14ac:dyDescent="0.15">
      <c r="A16">
        <v>15</v>
      </c>
      <c r="B16" s="174" t="s">
        <v>206</v>
      </c>
      <c r="C16">
        <v>0</v>
      </c>
    </row>
    <row r="17" spans="1:3" x14ac:dyDescent="0.15">
      <c r="A17">
        <v>16</v>
      </c>
      <c r="B17" s="174" t="s">
        <v>207</v>
      </c>
      <c r="C17">
        <v>0</v>
      </c>
    </row>
    <row r="18" spans="1:3" x14ac:dyDescent="0.15">
      <c r="A18">
        <v>17</v>
      </c>
      <c r="B18" s="174" t="s">
        <v>208</v>
      </c>
      <c r="C18">
        <v>0</v>
      </c>
    </row>
    <row r="19" spans="1:3" x14ac:dyDescent="0.15">
      <c r="A19">
        <v>18</v>
      </c>
      <c r="B19" s="174" t="s">
        <v>42</v>
      </c>
      <c r="C19">
        <v>0</v>
      </c>
    </row>
    <row r="20" spans="1:3" x14ac:dyDescent="0.15">
      <c r="A20">
        <v>19</v>
      </c>
      <c r="B20" s="174" t="s">
        <v>43</v>
      </c>
      <c r="C20">
        <v>0</v>
      </c>
    </row>
    <row r="21" spans="1:3" x14ac:dyDescent="0.15">
      <c r="A21">
        <v>20</v>
      </c>
      <c r="B21" s="174" t="s">
        <v>209</v>
      </c>
      <c r="C21">
        <v>0</v>
      </c>
    </row>
    <row r="22" spans="1:3" x14ac:dyDescent="0.15">
      <c r="A22">
        <v>21</v>
      </c>
      <c r="B22" s="174" t="s">
        <v>210</v>
      </c>
      <c r="C2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6" sqref="K6"/>
    </sheetView>
  </sheetViews>
  <sheetFormatPr baseColWidth="10" defaultColWidth="8.83203125" defaultRowHeight="15" customHeight="1" x14ac:dyDescent="0.15"/>
  <cols>
    <col min="1" max="1" width="8.83203125" style="76"/>
    <col min="2" max="2" width="41.83203125" style="76" bestFit="1" customWidth="1"/>
    <col min="3" max="3" width="9.33203125" style="76" bestFit="1" customWidth="1"/>
    <col min="4" max="4" width="13" style="76" bestFit="1" customWidth="1"/>
    <col min="5" max="6" width="9.33203125" style="76" bestFit="1" customWidth="1"/>
    <col min="7" max="7" width="9.33203125" style="92" bestFit="1" customWidth="1"/>
    <col min="8" max="8" width="9.33203125" style="76" bestFit="1" customWidth="1"/>
    <col min="9" max="9" width="11" style="76" customWidth="1"/>
    <col min="10" max="10" width="8.83203125" style="76"/>
    <col min="15" max="16384" width="8.83203125" style="7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3" t="s">
        <v>14</v>
      </c>
      <c r="H1" s="1" t="s">
        <v>26</v>
      </c>
      <c r="I1" s="1" t="s">
        <v>24</v>
      </c>
    </row>
    <row r="2" spans="1:10" ht="15" customHeight="1" x14ac:dyDescent="0.15">
      <c r="A2" s="135">
        <v>1</v>
      </c>
      <c r="B2" s="135" t="s">
        <v>194</v>
      </c>
      <c r="C2" s="8">
        <v>4.7784104347229004</v>
      </c>
      <c r="D2" s="9">
        <v>2.0000000949949026E-3</v>
      </c>
      <c r="E2" s="9">
        <v>0.40000000596046448</v>
      </c>
      <c r="F2" s="9">
        <v>5.1999998092651367</v>
      </c>
      <c r="G2" s="9">
        <v>0.25624999403953552</v>
      </c>
      <c r="H2" s="9">
        <v>7.6923079788684845E-2</v>
      </c>
      <c r="I2">
        <v>5.6000000768108293E-5</v>
      </c>
      <c r="J2"/>
    </row>
    <row r="3" spans="1:10" ht="15" customHeight="1" x14ac:dyDescent="0.15">
      <c r="A3" s="136">
        <v>2</v>
      </c>
      <c r="B3" s="136" t="s">
        <v>195</v>
      </c>
      <c r="C3" s="8">
        <v>4.9064617156982422</v>
      </c>
      <c r="D3" s="9">
        <v>4.999999888241291E-3</v>
      </c>
      <c r="E3" s="9">
        <v>0.40000000596046448</v>
      </c>
      <c r="F3" s="9">
        <v>5.3000001907348633</v>
      </c>
      <c r="G3" s="9">
        <v>0.31550002098083496</v>
      </c>
      <c r="H3" s="9">
        <v>7.5471699237823486E-2</v>
      </c>
      <c r="I3">
        <v>4.8200000310316682E-4</v>
      </c>
      <c r="J3"/>
    </row>
    <row r="4" spans="1:10" ht="15" customHeight="1" x14ac:dyDescent="0.15">
      <c r="A4" s="137">
        <v>3</v>
      </c>
      <c r="B4" s="137" t="s">
        <v>196</v>
      </c>
      <c r="C4" s="8">
        <v>4.5203542709350586</v>
      </c>
      <c r="D4" s="9">
        <v>1.4000000432133675E-2</v>
      </c>
      <c r="E4" s="9">
        <v>0.30000001192092896</v>
      </c>
      <c r="F4" s="9">
        <v>2.5</v>
      </c>
      <c r="G4" s="9">
        <v>0.42988091707229614</v>
      </c>
      <c r="H4" s="9">
        <v>0.12000000476837158</v>
      </c>
      <c r="I4">
        <v>1.6349999932572246E-3</v>
      </c>
      <c r="J4"/>
    </row>
    <row r="5" spans="1:10" ht="15" customHeight="1" x14ac:dyDescent="0.15">
      <c r="A5" s="138">
        <v>4</v>
      </c>
      <c r="B5" s="138" t="s">
        <v>197</v>
      </c>
      <c r="C5" s="8">
        <v>4.700049877166748</v>
      </c>
      <c r="D5" s="9">
        <v>9.9999997764825821E-3</v>
      </c>
      <c r="E5" s="9">
        <v>0.34999999403953552</v>
      </c>
      <c r="F5" s="9">
        <v>4.8000001907348633</v>
      </c>
      <c r="G5" s="9">
        <v>0.47471433877944946</v>
      </c>
      <c r="H5" s="9">
        <v>7.2916664183139801E-2</v>
      </c>
      <c r="I5">
        <v>1.167000038549304E-3</v>
      </c>
      <c r="J5"/>
    </row>
    <row r="6" spans="1:10" ht="15" customHeight="1" x14ac:dyDescent="0.15">
      <c r="A6" s="139">
        <v>5</v>
      </c>
      <c r="B6" s="139" t="s">
        <v>198</v>
      </c>
      <c r="C6" s="8">
        <v>4.7396621704101562</v>
      </c>
      <c r="D6" s="9">
        <v>1.7000000923871994E-2</v>
      </c>
      <c r="E6" s="9">
        <v>0.68599998950958252</v>
      </c>
      <c r="F6" s="9">
        <v>14.5</v>
      </c>
      <c r="G6" s="9">
        <v>0.15933801233768463</v>
      </c>
      <c r="H6" s="9">
        <v>4.7310344874858856E-2</v>
      </c>
      <c r="I6">
        <v>1.0519999777898192E-3</v>
      </c>
      <c r="J6"/>
    </row>
    <row r="7" spans="1:10" ht="15" customHeight="1" x14ac:dyDescent="0.15">
      <c r="A7" s="140">
        <v>6</v>
      </c>
      <c r="B7" s="140" t="s">
        <v>199</v>
      </c>
      <c r="C7" s="8">
        <v>4.5189199447631836</v>
      </c>
      <c r="D7" s="9">
        <v>4.5000001788139343E-2</v>
      </c>
      <c r="E7" s="9">
        <v>1.2209999561309814</v>
      </c>
      <c r="F7" s="9">
        <v>15.100000381469727</v>
      </c>
      <c r="G7" s="9">
        <v>0.21885703504085541</v>
      </c>
      <c r="H7" s="9">
        <v>8.0860920250415802E-2</v>
      </c>
      <c r="I7">
        <v>8.7999999523162842E-3</v>
      </c>
      <c r="J7"/>
    </row>
    <row r="8" spans="1:10" ht="15" customHeight="1" x14ac:dyDescent="0.15">
      <c r="A8" s="141">
        <v>7</v>
      </c>
      <c r="B8" s="141" t="s">
        <v>200</v>
      </c>
      <c r="C8" s="8">
        <v>4.2843198776245117</v>
      </c>
      <c r="D8" s="9">
        <v>0.10400000214576721</v>
      </c>
      <c r="E8" s="9">
        <v>2.3619999885559082</v>
      </c>
      <c r="F8" s="9">
        <v>17</v>
      </c>
      <c r="G8" s="9">
        <v>0.4410305917263031</v>
      </c>
      <c r="H8" s="9">
        <v>0.13894116878509521</v>
      </c>
      <c r="I8">
        <v>2.7979999780654907E-2</v>
      </c>
      <c r="J8"/>
    </row>
    <row r="9" spans="1:10" ht="15" customHeight="1" x14ac:dyDescent="0.15">
      <c r="A9" s="142">
        <v>8</v>
      </c>
      <c r="B9" s="142" t="s">
        <v>167</v>
      </c>
      <c r="C9" s="8">
        <v>4.2570619583129883</v>
      </c>
      <c r="D9" s="9">
        <v>0.19163738191127777</v>
      </c>
      <c r="E9" s="9">
        <v>1</v>
      </c>
      <c r="F9" s="9">
        <v>9</v>
      </c>
      <c r="G9" s="9">
        <v>0.94999992847442627</v>
      </c>
      <c r="H9" s="9">
        <v>0.1111111119389534</v>
      </c>
      <c r="I9">
        <v>4.9334000796079636E-2</v>
      </c>
      <c r="J9"/>
    </row>
    <row r="10" spans="1:10" ht="15" customHeight="1" x14ac:dyDescent="0.15">
      <c r="A10" s="143">
        <v>9</v>
      </c>
      <c r="B10" s="143" t="s">
        <v>201</v>
      </c>
      <c r="C10" s="8">
        <v>4.4343113899230957</v>
      </c>
      <c r="D10" s="9">
        <v>1.0999999940395355E-2</v>
      </c>
      <c r="E10" s="9">
        <v>0.89999997615814209</v>
      </c>
      <c r="F10" s="9">
        <v>9.3000001907348633</v>
      </c>
      <c r="G10" s="9">
        <v>0.12377778440713882</v>
      </c>
      <c r="H10" s="9">
        <v>9.6774190664291382E-2</v>
      </c>
      <c r="I10">
        <v>0</v>
      </c>
      <c r="J10"/>
    </row>
    <row r="11" spans="1:10" ht="15" customHeight="1" x14ac:dyDescent="0.15">
      <c r="A11" s="144">
        <v>10</v>
      </c>
      <c r="B11" s="144" t="s">
        <v>202</v>
      </c>
      <c r="C11" s="8">
        <v>4.4825172424316406</v>
      </c>
      <c r="D11" s="9">
        <v>1.2000000104308128E-2</v>
      </c>
      <c r="E11" s="9">
        <v>0.5</v>
      </c>
      <c r="F11" s="9">
        <v>5.1999998092651367</v>
      </c>
      <c r="G11" s="9">
        <v>0.42430606484413147</v>
      </c>
      <c r="H11" s="9">
        <v>9.6153847873210907E-2</v>
      </c>
      <c r="I11">
        <v>0</v>
      </c>
      <c r="J11"/>
    </row>
    <row r="12" spans="1:10" ht="15" customHeight="1" x14ac:dyDescent="0.15">
      <c r="A12" s="145">
        <v>11</v>
      </c>
      <c r="B12" s="145" t="s">
        <v>203</v>
      </c>
      <c r="C12" s="8">
        <v>4.1310491561889648</v>
      </c>
      <c r="D12" s="9">
        <v>0.21400000154972076</v>
      </c>
      <c r="E12" s="9">
        <v>2</v>
      </c>
      <c r="F12" s="9">
        <v>17.600000381469727</v>
      </c>
      <c r="G12" s="9">
        <v>0.94812196493148804</v>
      </c>
      <c r="H12" s="9">
        <v>0.11363635957241058</v>
      </c>
      <c r="I12">
        <v>0</v>
      </c>
      <c r="J12"/>
    </row>
    <row r="13" spans="1:10" ht="15" customHeight="1" x14ac:dyDescent="0.15">
      <c r="A13" s="146">
        <v>12</v>
      </c>
      <c r="B13" s="146" t="s">
        <v>204</v>
      </c>
      <c r="C13" s="8">
        <v>3.11110520362854</v>
      </c>
      <c r="D13" s="9">
        <v>2.0318131446838379</v>
      </c>
      <c r="E13" s="9">
        <v>2</v>
      </c>
      <c r="F13" s="9">
        <v>13.899999618530273</v>
      </c>
      <c r="G13" s="9">
        <v>0.94999992847442627</v>
      </c>
      <c r="H13" s="9">
        <v>0.14388489723205566</v>
      </c>
      <c r="I13">
        <v>4.6743001788854599E-2</v>
      </c>
      <c r="J13"/>
    </row>
    <row r="14" spans="1:10" ht="15" customHeight="1" x14ac:dyDescent="0.15">
      <c r="A14" s="147">
        <v>13</v>
      </c>
      <c r="B14" s="147" t="s">
        <v>205</v>
      </c>
      <c r="C14" s="8">
        <v>3.6131856441497803</v>
      </c>
      <c r="D14" s="9">
        <v>1.7220000028610229</v>
      </c>
      <c r="E14" s="9">
        <v>1.7999999523162842</v>
      </c>
      <c r="F14" s="9">
        <v>13.899999618530273</v>
      </c>
      <c r="G14" s="9">
        <v>0.94885796308517456</v>
      </c>
      <c r="H14" s="9">
        <v>0.12949639558792114</v>
      </c>
      <c r="I14">
        <v>0</v>
      </c>
      <c r="J14"/>
    </row>
    <row r="15" spans="1:10" ht="15" customHeight="1" x14ac:dyDescent="0.15">
      <c r="A15" s="148">
        <v>14</v>
      </c>
      <c r="B15" s="148" t="s">
        <v>166</v>
      </c>
      <c r="C15" s="8">
        <v>3.8724813461303711</v>
      </c>
      <c r="D15" s="9">
        <v>0.39500001072883606</v>
      </c>
      <c r="E15" s="9">
        <v>3.0999999046325684</v>
      </c>
      <c r="F15" s="9">
        <v>22.399999618530273</v>
      </c>
      <c r="G15" s="9">
        <v>0.94710874557495117</v>
      </c>
      <c r="H15" s="9">
        <v>0.1383928507566452</v>
      </c>
      <c r="I15">
        <v>1.1119999922811985E-2</v>
      </c>
      <c r="J15"/>
    </row>
    <row r="16" spans="1:10" ht="15" customHeight="1" x14ac:dyDescent="0.15">
      <c r="A16" s="149">
        <v>15</v>
      </c>
      <c r="B16" s="149" t="s">
        <v>206</v>
      </c>
      <c r="C16" s="8">
        <v>2.8171648979187012</v>
      </c>
      <c r="D16" s="9">
        <v>1</v>
      </c>
      <c r="E16" s="9">
        <v>5.1999998092651367</v>
      </c>
      <c r="F16" s="9">
        <v>20.799999237060547</v>
      </c>
      <c r="G16" s="9">
        <v>0.94074994325637817</v>
      </c>
      <c r="H16" s="9">
        <v>0.25</v>
      </c>
      <c r="I16">
        <v>0</v>
      </c>
      <c r="J16"/>
    </row>
    <row r="17" spans="1:10" ht="15" customHeight="1" x14ac:dyDescent="0.15">
      <c r="A17" s="150">
        <v>16</v>
      </c>
      <c r="B17" s="150" t="s">
        <v>207</v>
      </c>
      <c r="C17" s="8">
        <v>2.611764669418335</v>
      </c>
      <c r="D17" s="9">
        <v>4</v>
      </c>
      <c r="E17" s="9">
        <v>33</v>
      </c>
      <c r="F17" s="9">
        <v>109.99999237060547</v>
      </c>
      <c r="G17" s="9">
        <v>0.93574923276901245</v>
      </c>
      <c r="H17" s="9">
        <v>0.30000001192092896</v>
      </c>
      <c r="I17">
        <v>0</v>
      </c>
      <c r="J17"/>
    </row>
    <row r="18" spans="1:10" ht="15" customHeight="1" x14ac:dyDescent="0.15">
      <c r="A18" s="151">
        <v>17</v>
      </c>
      <c r="B18" s="151" t="s">
        <v>208</v>
      </c>
      <c r="C18" s="8">
        <v>2</v>
      </c>
      <c r="D18" s="9">
        <v>1.7239999771118164</v>
      </c>
      <c r="E18" s="9">
        <v>100</v>
      </c>
      <c r="F18" s="9">
        <v>300</v>
      </c>
      <c r="G18" s="9">
        <v>0.94431549310684204</v>
      </c>
      <c r="H18" s="9">
        <v>0.3333333432674408</v>
      </c>
      <c r="I18">
        <v>0</v>
      </c>
      <c r="J18"/>
    </row>
    <row r="19" spans="1:10" ht="15" customHeight="1" x14ac:dyDescent="0.15">
      <c r="A19" s="152">
        <v>18</v>
      </c>
      <c r="B19" s="152" t="s">
        <v>42</v>
      </c>
      <c r="C19" s="8">
        <v>1</v>
      </c>
      <c r="D19" s="9">
        <v>1.9889999628067017</v>
      </c>
      <c r="E19" s="9">
        <v>134</v>
      </c>
      <c r="F19" s="10"/>
      <c r="G19" s="9">
        <v>0.30164942145347595</v>
      </c>
      <c r="H19" s="10"/>
      <c r="I19">
        <v>0</v>
      </c>
      <c r="J19"/>
    </row>
    <row r="20" spans="1:10" ht="15" customHeight="1" x14ac:dyDescent="0.15">
      <c r="A20" s="153">
        <v>19</v>
      </c>
      <c r="B20" s="153" t="s">
        <v>43</v>
      </c>
      <c r="C20" s="8">
        <v>1</v>
      </c>
      <c r="D20" s="9">
        <v>11.270999908447266</v>
      </c>
      <c r="E20" s="9">
        <v>94.599998474121094</v>
      </c>
      <c r="F20" s="10"/>
      <c r="G20" s="9">
        <v>0.48507058620452881</v>
      </c>
      <c r="H20" s="10"/>
      <c r="I20">
        <v>0</v>
      </c>
      <c r="J20"/>
    </row>
    <row r="21" spans="1:10" ht="15" customHeight="1" x14ac:dyDescent="0.15">
      <c r="A21" s="154">
        <v>20</v>
      </c>
      <c r="B21" s="154" t="s">
        <v>209</v>
      </c>
      <c r="C21" s="8">
        <v>1</v>
      </c>
      <c r="D21" s="9">
        <v>130</v>
      </c>
      <c r="E21" s="10"/>
      <c r="F21" s="10"/>
      <c r="G21" s="7">
        <v>0.15580922365188599</v>
      </c>
      <c r="H21" s="10"/>
      <c r="I21">
        <v>0</v>
      </c>
      <c r="J21"/>
    </row>
    <row r="22" spans="1:10" ht="15" customHeight="1" x14ac:dyDescent="0.15">
      <c r="A22" s="155">
        <v>21</v>
      </c>
      <c r="B22" s="155" t="s">
        <v>210</v>
      </c>
      <c r="C22" s="8">
        <v>1</v>
      </c>
      <c r="D22" s="9">
        <v>5</v>
      </c>
      <c r="E22" s="10"/>
      <c r="F22" s="10"/>
      <c r="G22" s="7">
        <v>0</v>
      </c>
      <c r="H22" s="10"/>
      <c r="I22">
        <v>0</v>
      </c>
      <c r="J22"/>
    </row>
    <row r="23" spans="1:10" ht="15" customHeight="1" x14ac:dyDescent="0.15">
      <c r="A23" s="156">
        <v>22</v>
      </c>
      <c r="B23" s="156" t="s">
        <v>211</v>
      </c>
      <c r="C23" s="8">
        <v>4.8999953269958496</v>
      </c>
      <c r="D23" s="10"/>
      <c r="E23" s="10"/>
      <c r="F23" s="10"/>
      <c r="G23" s="10"/>
      <c r="H23" s="10"/>
      <c r="I23">
        <v>0.14836901426315308</v>
      </c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6" bestFit="1" customWidth="1"/>
    <col min="2" max="4" width="9.5" style="76" bestFit="1" customWidth="1"/>
    <col min="5" max="7" width="9" style="76" bestFit="1" customWidth="1"/>
    <col min="8" max="16" width="12.6640625" style="76" bestFit="1" customWidth="1"/>
    <col min="17" max="17" width="12.33203125" style="76" bestFit="1" customWidth="1"/>
    <col min="18" max="18" width="8.83203125" style="76"/>
    <col min="19" max="21" width="9.33203125" style="76" bestFit="1" customWidth="1"/>
    <col min="22" max="23" width="8.83203125" style="76"/>
    <col min="24" max="24" width="9.33203125" style="76" bestFit="1" customWidth="1"/>
    <col min="25" max="27" width="8.83203125" style="76"/>
    <col min="28" max="58" width="9" style="76" bestFit="1" customWidth="1"/>
    <col min="59" max="59" width="12.33203125" style="76" bestFit="1" customWidth="1"/>
    <col min="60" max="60" width="9" style="76" bestFit="1" customWidth="1"/>
    <col min="61" max="61" width="11.33203125" style="76" bestFit="1" customWidth="1"/>
    <col min="62" max="77" width="9" style="76" bestFit="1" customWidth="1"/>
    <col min="78" max="78" width="12.33203125" style="76" bestFit="1" customWidth="1"/>
    <col min="79" max="79" width="9" style="76" bestFit="1" customWidth="1"/>
    <col min="80" max="80" width="12.33203125" style="76" bestFit="1" customWidth="1"/>
    <col min="81" max="107" width="9" style="76" bestFit="1" customWidth="1"/>
    <col min="108" max="108" width="11.33203125" style="76" bestFit="1" customWidth="1"/>
    <col min="109" max="124" width="9" style="76" bestFit="1" customWidth="1"/>
    <col min="125" max="125" width="10.33203125" style="76" bestFit="1" customWidth="1"/>
    <col min="126" max="129" width="9.33203125" style="76" bestFit="1" customWidth="1"/>
    <col min="130" max="130" width="9" style="76" bestFit="1" customWidth="1"/>
    <col min="131" max="134" width="9.33203125" style="76" bestFit="1" customWidth="1"/>
    <col min="135" max="165" width="9" style="76" bestFit="1" customWidth="1"/>
    <col min="166" max="166" width="12.33203125" style="76" bestFit="1" customWidth="1"/>
    <col min="167" max="170" width="9" style="76" bestFit="1" customWidth="1"/>
    <col min="171" max="176" width="8.83203125" style="76"/>
    <col min="177" max="177" width="13.83203125" style="76" bestFit="1" customWidth="1"/>
    <col min="178" max="16384" width="8.83203125" style="7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216</v>
      </c>
      <c r="E1" t="s">
        <v>194</v>
      </c>
      <c r="F1" t="s">
        <v>195</v>
      </c>
      <c r="G1" t="s">
        <v>196</v>
      </c>
      <c r="H1" t="s">
        <v>197</v>
      </c>
      <c r="I1" t="s">
        <v>198</v>
      </c>
      <c r="J1" t="s">
        <v>199</v>
      </c>
      <c r="K1" t="s">
        <v>200</v>
      </c>
      <c r="L1" t="s">
        <v>167</v>
      </c>
      <c r="M1" t="s">
        <v>201</v>
      </c>
      <c r="N1" t="s">
        <v>202</v>
      </c>
      <c r="O1" t="s">
        <v>203</v>
      </c>
      <c r="P1" t="s">
        <v>204</v>
      </c>
      <c r="Q1" t="s">
        <v>205</v>
      </c>
      <c r="R1" t="s">
        <v>166</v>
      </c>
      <c r="S1" t="s">
        <v>206</v>
      </c>
      <c r="T1" t="s">
        <v>207</v>
      </c>
      <c r="U1" t="s">
        <v>208</v>
      </c>
      <c r="V1" t="s">
        <v>42</v>
      </c>
      <c r="W1" t="s">
        <v>43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194</v>
      </c>
      <c r="B2">
        <v>0.40000000596046448</v>
      </c>
      <c r="C2">
        <v>0.29750001430511475</v>
      </c>
      <c r="D2" s="66">
        <v>2.79999990016222E-2</v>
      </c>
      <c r="E2"/>
      <c r="F2" s="100">
        <v>2.6499999687075615E-2</v>
      </c>
      <c r="G2"/>
      <c r="H2" s="130">
        <v>4.8000000417232513E-2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195</v>
      </c>
      <c r="B3">
        <v>0.40000000596046448</v>
      </c>
      <c r="C3">
        <v>0.27379998564720154</v>
      </c>
      <c r="D3" s="184">
        <v>9.6400000154972076E-2</v>
      </c>
      <c r="E3"/>
      <c r="F3" s="23">
        <v>1.0600000619888306E-2</v>
      </c>
      <c r="G3"/>
      <c r="H3" s="27">
        <v>1.9200000911951065E-2</v>
      </c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196</v>
      </c>
      <c r="B4">
        <v>0.30000001192092896</v>
      </c>
      <c r="C4">
        <v>0.17103573679924011</v>
      </c>
      <c r="D4" s="185">
        <v>0.11678571254014969</v>
      </c>
      <c r="E4"/>
      <c r="F4" s="22">
        <v>1.8928572535514832E-3</v>
      </c>
      <c r="G4"/>
      <c r="H4" s="191">
        <v>1.0285714641213417E-2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197</v>
      </c>
      <c r="B5">
        <v>0.34999999403953552</v>
      </c>
      <c r="C5">
        <v>0.18384997546672821</v>
      </c>
      <c r="D5" s="186">
        <v>0.11670000851154327</v>
      </c>
      <c r="E5"/>
      <c r="F5" s="21">
        <v>2.6500001549720764E-3</v>
      </c>
      <c r="G5" s="130">
        <v>4.2000003159046173E-2</v>
      </c>
      <c r="H5" s="17">
        <v>4.8000002279877663E-3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198</v>
      </c>
      <c r="B6">
        <v>0.68599998950958252</v>
      </c>
      <c r="C6">
        <v>0.57669413089752197</v>
      </c>
      <c r="D6" s="187">
        <v>6.1882346868515015E-2</v>
      </c>
      <c r="E6" s="14">
        <v>1.2235294561833143E-3</v>
      </c>
      <c r="F6" s="20">
        <v>1.4029410667717457E-2</v>
      </c>
      <c r="G6"/>
      <c r="H6" s="20">
        <v>1.4117646031081676E-2</v>
      </c>
      <c r="I6"/>
      <c r="J6"/>
      <c r="K6"/>
      <c r="L6"/>
      <c r="M6" s="24">
        <v>1.8052941188216209E-2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199</v>
      </c>
      <c r="B7">
        <v>1.2209999561309814</v>
      </c>
      <c r="C7">
        <v>0.95377552509307861</v>
      </c>
      <c r="D7" s="188">
        <v>0.19555555284023285</v>
      </c>
      <c r="E7" s="11">
        <v>6.9333333522081375E-4</v>
      </c>
      <c r="F7" s="21">
        <v>9.4222221523523331E-3</v>
      </c>
      <c r="G7"/>
      <c r="H7" s="20">
        <v>2.4533333256840706E-2</v>
      </c>
      <c r="I7"/>
      <c r="J7" s="24">
        <v>3.020000085234642E-2</v>
      </c>
      <c r="K7"/>
      <c r="L7"/>
      <c r="M7" s="22">
        <v>6.8199997767806053E-3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200</v>
      </c>
      <c r="B8">
        <v>2.3619999885559082</v>
      </c>
      <c r="C8">
        <v>1.3202856779098511</v>
      </c>
      <c r="D8" s="189">
        <v>0.26903846859931946</v>
      </c>
      <c r="E8" s="14">
        <v>2.4999999441206455E-3</v>
      </c>
      <c r="F8" s="16">
        <v>3.7201922386884689E-2</v>
      </c>
      <c r="G8"/>
      <c r="H8" s="15">
        <v>2.1692307665944099E-2</v>
      </c>
      <c r="I8" s="13">
        <v>8.7697118520736694E-2</v>
      </c>
      <c r="J8" s="195">
        <v>0.1176057755947113</v>
      </c>
      <c r="K8"/>
      <c r="L8" s="26">
        <v>8.292001485824585E-2</v>
      </c>
      <c r="M8" s="21">
        <v>1.8689421936869621E-2</v>
      </c>
      <c r="N8" s="14">
        <v>5.9999995864927769E-3</v>
      </c>
      <c r="O8" s="71">
        <v>0.39836925268173218</v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167</v>
      </c>
      <c r="B9">
        <v>1</v>
      </c>
      <c r="C9">
        <v>5.000007152557373E-2</v>
      </c>
      <c r="D9" s="190">
        <v>0.25743412971496582</v>
      </c>
      <c r="E9" s="12">
        <v>3.4189573489129543E-3</v>
      </c>
      <c r="F9" s="20">
        <v>1.9774327054619789E-2</v>
      </c>
      <c r="G9" s="11">
        <v>1.8263660604134202E-4</v>
      </c>
      <c r="H9" s="62">
        <v>2.1290211006999016E-2</v>
      </c>
      <c r="I9" s="197">
        <v>0.14792260527610779</v>
      </c>
      <c r="J9" s="198">
        <v>0.20210829377174377</v>
      </c>
      <c r="K9" s="64">
        <v>9.2257574200630188E-2</v>
      </c>
      <c r="L9"/>
      <c r="M9" s="194">
        <v>5.3382068872451782E-2</v>
      </c>
      <c r="N9" s="17">
        <v>1.4652673155069351E-2</v>
      </c>
      <c r="O9" s="196">
        <v>0.13757650554180145</v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0.89999997615814209</v>
      </c>
      <c r="C10">
        <v>0.78859996795654297</v>
      </c>
      <c r="D10"/>
      <c r="E10" s="12">
        <v>2.8363638557493687E-3</v>
      </c>
      <c r="F10" s="17">
        <v>1.2045455165207386E-2</v>
      </c>
      <c r="G10"/>
      <c r="H10" s="15">
        <v>8.7272729724645615E-3</v>
      </c>
      <c r="I10"/>
      <c r="J10"/>
      <c r="K10"/>
      <c r="L10"/>
      <c r="M10" s="192">
        <v>6.5100006759166718E-2</v>
      </c>
      <c r="N10" s="24">
        <v>2.2690910845994949E-2</v>
      </c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0.5</v>
      </c>
      <c r="C11">
        <v>0.28784698247909546</v>
      </c>
      <c r="D11"/>
      <c r="E11"/>
      <c r="F11" s="17">
        <v>6.6249999217689037E-3</v>
      </c>
      <c r="G11" s="19">
        <v>8.750000037252903E-3</v>
      </c>
      <c r="H11" s="192">
        <v>3.5999998450279236E-2</v>
      </c>
      <c r="I11"/>
      <c r="J11"/>
      <c r="K11"/>
      <c r="L11" s="193">
        <v>0.14372804760932922</v>
      </c>
      <c r="M11" s="191">
        <v>1.705000177025795E-2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2</v>
      </c>
      <c r="C12">
        <v>0.10375607013702393</v>
      </c>
      <c r="D12"/>
      <c r="E12" s="14">
        <v>3.2560748513787985E-3</v>
      </c>
      <c r="F12" s="16">
        <v>3.0957942828536034E-2</v>
      </c>
      <c r="G12"/>
      <c r="H12" s="17">
        <v>2.8261683881282806E-2</v>
      </c>
      <c r="I12" s="15">
        <v>1.9581777974963188E-2</v>
      </c>
      <c r="J12" s="201">
        <v>0.57154208421707153</v>
      </c>
      <c r="K12" s="202">
        <v>0.66093456745147705</v>
      </c>
      <c r="L12" s="200">
        <v>0.52386850118637085</v>
      </c>
      <c r="M12" s="17">
        <v>2.8682243078947067E-2</v>
      </c>
      <c r="N12" s="17">
        <v>2.9158879071474075E-2</v>
      </c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2</v>
      </c>
      <c r="C13">
        <v>0.10000014305114746</v>
      </c>
      <c r="D13" s="18">
        <v>2.3005561903119087E-2</v>
      </c>
      <c r="E13" s="11">
        <v>6.2446686206385493E-4</v>
      </c>
      <c r="F13" s="14">
        <v>2.7389328461140394E-3</v>
      </c>
      <c r="G13" s="14">
        <v>5.1850238814949989E-3</v>
      </c>
      <c r="H13" s="14">
        <v>4.7720926813781261E-3</v>
      </c>
      <c r="I13" s="14">
        <v>3.7609266582876444E-3</v>
      </c>
      <c r="J13" s="70">
        <v>0.12975899875164032</v>
      </c>
      <c r="K13" s="71">
        <v>0.33849173784255981</v>
      </c>
      <c r="L13" s="210">
        <v>0.38453611731529236</v>
      </c>
      <c r="M13" s="21">
        <v>1.6615210101008415E-2</v>
      </c>
      <c r="N13" s="14">
        <v>4.5145885087549686E-3</v>
      </c>
      <c r="O13" s="212">
        <v>0.46342846751213074</v>
      </c>
      <c r="P13"/>
      <c r="Q13"/>
      <c r="R13" s="213">
        <v>0.52256768941879272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1.7999999523162842</v>
      </c>
      <c r="C14">
        <v>9.2055663466453552E-2</v>
      </c>
      <c r="D14"/>
      <c r="E14" s="11">
        <v>9.4216025900095701E-4</v>
      </c>
      <c r="F14" s="11">
        <v>7.07897765096277E-4</v>
      </c>
      <c r="G14" s="11">
        <v>1.0162602411583066E-3</v>
      </c>
      <c r="H14" s="14">
        <v>2.6759582106024027E-3</v>
      </c>
      <c r="I14" s="23">
        <v>4.8956450074911118E-2</v>
      </c>
      <c r="J14" s="133">
        <v>5.1297910511493683E-2</v>
      </c>
      <c r="K14" s="134">
        <v>0.10780486464500427</v>
      </c>
      <c r="L14" s="70">
        <v>0.11718591302633286</v>
      </c>
      <c r="M14" s="12">
        <v>8.3170738071203232E-3</v>
      </c>
      <c r="N14" s="14">
        <v>4.5296167954802513E-3</v>
      </c>
      <c r="O14" s="209">
        <v>0.43963208794593811</v>
      </c>
      <c r="P14"/>
      <c r="Q14"/>
      <c r="R14" s="216">
        <v>0.92487806081771851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166</v>
      </c>
      <c r="B15">
        <v>3.0999999046325684</v>
      </c>
      <c r="C15">
        <v>0.16396288573741913</v>
      </c>
      <c r="D15" s="15">
        <v>2.8151897713541985E-2</v>
      </c>
      <c r="E15" s="12">
        <v>1.4270379208028316E-2</v>
      </c>
      <c r="F15" s="12">
        <v>1.100253127515316E-2</v>
      </c>
      <c r="G15" s="16">
        <v>4.6696200966835022E-2</v>
      </c>
      <c r="H15" s="17">
        <v>4.04658243060112E-2</v>
      </c>
      <c r="I15" s="25">
        <v>0.23651520907878876</v>
      </c>
      <c r="J15" s="199">
        <v>0.2287936806678772</v>
      </c>
      <c r="K15" s="205">
        <v>0.71167588233947754</v>
      </c>
      <c r="L15" s="203">
        <v>0.57636761665344238</v>
      </c>
      <c r="M15" s="18">
        <v>3.7553161382675171E-2</v>
      </c>
      <c r="N15" s="16">
        <v>5.1025822758674622E-2</v>
      </c>
      <c r="O15" s="207">
        <v>0.95351904630661011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5.1999998092651367</v>
      </c>
      <c r="C16">
        <v>0.30810028314590454</v>
      </c>
      <c r="D16"/>
      <c r="E16" s="11">
        <v>1.7680000746622682E-4</v>
      </c>
      <c r="F16" s="11">
        <v>5.3000003390479833E-5</v>
      </c>
      <c r="G16" s="11">
        <v>1.9600000232458115E-3</v>
      </c>
      <c r="H16" s="11">
        <v>8.6400000145658851E-4</v>
      </c>
      <c r="I16" s="12">
        <v>1.8241001293063164E-2</v>
      </c>
      <c r="J16" s="15">
        <v>4.7565001994371414E-2</v>
      </c>
      <c r="K16" s="206">
        <v>0.29879200458526611</v>
      </c>
      <c r="L16" s="204">
        <v>0.23628887534141541</v>
      </c>
      <c r="M16" s="14">
        <v>9.3093002215027809E-3</v>
      </c>
      <c r="N16" s="14">
        <v>7.4879997409880161E-3</v>
      </c>
      <c r="O16" s="208">
        <v>0.68171840906143188</v>
      </c>
      <c r="P16" s="215">
        <v>1.4121100902557373</v>
      </c>
      <c r="Q16" s="214">
        <v>1.2925331592559814</v>
      </c>
      <c r="R16" s="211">
        <v>0.8848000168800354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33</v>
      </c>
      <c r="C17">
        <v>2.1202752590179443</v>
      </c>
      <c r="D17"/>
      <c r="E17"/>
      <c r="F17"/>
      <c r="G17" s="11">
        <v>4.3750001350417733E-4</v>
      </c>
      <c r="H17" s="11">
        <v>3.0000001424923539E-4</v>
      </c>
      <c r="I17" s="11">
        <v>3.0812501790933311E-4</v>
      </c>
      <c r="J17" s="11">
        <v>3.7372501101344824E-3</v>
      </c>
      <c r="K17" s="14">
        <v>3.8896001875400543E-2</v>
      </c>
      <c r="L17" s="14">
        <v>3.8375385105609894E-2</v>
      </c>
      <c r="M17" s="11">
        <v>2.5575000327080488E-3</v>
      </c>
      <c r="N17" s="11">
        <v>1.871999935247004E-3</v>
      </c>
      <c r="O17" s="21">
        <v>0.2354000061750412</v>
      </c>
      <c r="P17" s="219">
        <v>4.4693284034729004</v>
      </c>
      <c r="Q17" s="211">
        <v>5.6249127388000488</v>
      </c>
      <c r="R17" s="63">
        <v>1.3272000551223755</v>
      </c>
      <c r="S17" s="218">
        <v>2.6363999843597412</v>
      </c>
      <c r="T17" s="220">
        <v>16.5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100</v>
      </c>
      <c r="C18">
        <v>5.568450927734375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 s="222">
        <v>94.431549072265625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42</v>
      </c>
      <c r="B19">
        <v>134</v>
      </c>
      <c r="C19">
        <v>93.5789794921875</v>
      </c>
      <c r="D19"/>
      <c r="E19"/>
      <c r="F19"/>
      <c r="G19"/>
      <c r="H19"/>
      <c r="I19"/>
      <c r="J19"/>
      <c r="K19"/>
      <c r="L19"/>
      <c r="M19"/>
      <c r="N19"/>
      <c r="O19"/>
      <c r="P19" s="133">
        <v>3.9757750034332275</v>
      </c>
      <c r="Q19"/>
      <c r="R19"/>
      <c r="S19" s="217">
        <v>3.2627449035644531</v>
      </c>
      <c r="T19" s="221">
        <v>33.182502746582031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43</v>
      </c>
      <c r="B20">
        <v>94.599998474121094</v>
      </c>
      <c r="C20">
        <v>48.712322235107422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 s="223">
        <v>45.887676239013672</v>
      </c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209</v>
      </c>
      <c r="B21"/>
      <c r="C21">
        <v>0.15580922365188599</v>
      </c>
      <c r="D21"/>
      <c r="E21"/>
      <c r="F21"/>
      <c r="G21"/>
      <c r="H21" s="9">
        <v>1.0079999919980764E-3</v>
      </c>
      <c r="I21"/>
      <c r="J21"/>
      <c r="K21"/>
      <c r="L21" s="9">
        <v>1.7247365321964025E-3</v>
      </c>
      <c r="M21"/>
      <c r="N21" s="9">
        <v>3.7439999869093299E-4</v>
      </c>
      <c r="O21"/>
      <c r="P21" s="9">
        <v>1.0449614524841309</v>
      </c>
      <c r="Q21" s="9">
        <v>0.14361479878425598</v>
      </c>
      <c r="R21"/>
      <c r="S21" s="9">
        <v>3.7647998332977295</v>
      </c>
      <c r="T21" s="9">
        <v>145.19999694824219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210</v>
      </c>
      <c r="B22"/>
      <c r="C22">
        <v>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2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0" t="s">
        <v>168</v>
      </c>
    </row>
    <row r="2" spans="1:12" x14ac:dyDescent="0.15">
      <c r="A2" s="1" t="s">
        <v>37</v>
      </c>
      <c r="B2" s="37">
        <v>3</v>
      </c>
      <c r="C2" s="35"/>
      <c r="D2" t="s">
        <v>38</v>
      </c>
      <c r="E2">
        <v>1</v>
      </c>
      <c r="F2">
        <v>1</v>
      </c>
      <c r="G2">
        <v>1</v>
      </c>
      <c r="H2" t="s">
        <v>38</v>
      </c>
      <c r="J2" s="53"/>
      <c r="K2" s="54"/>
      <c r="L2" s="60" t="s">
        <v>169</v>
      </c>
    </row>
    <row r="3" spans="1:12" ht="14" thickBot="1" x14ac:dyDescent="0.2">
      <c r="A3" s="1" t="s">
        <v>39</v>
      </c>
      <c r="B3" s="38">
        <v>0</v>
      </c>
      <c r="C3" s="35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5"/>
      <c r="K3" s="56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5"/>
      <c r="K4" s="56"/>
    </row>
    <row r="5" spans="1:12" x14ac:dyDescent="0.15">
      <c r="D5" s="176" t="s">
        <v>194</v>
      </c>
      <c r="E5">
        <v>4</v>
      </c>
      <c r="F5">
        <v>3.12</v>
      </c>
      <c r="G5">
        <v>4</v>
      </c>
      <c r="H5" s="177" t="s">
        <v>194</v>
      </c>
      <c r="J5" s="55"/>
      <c r="K5" s="56"/>
    </row>
    <row r="6" spans="1:12" ht="14" thickBot="1" x14ac:dyDescent="0.2">
      <c r="A6" s="39" t="s">
        <v>121</v>
      </c>
      <c r="D6" s="176" t="s">
        <v>195</v>
      </c>
      <c r="E6">
        <v>5</v>
      </c>
      <c r="F6">
        <v>3.12</v>
      </c>
      <c r="G6">
        <v>5</v>
      </c>
      <c r="H6" s="177" t="s">
        <v>195</v>
      </c>
      <c r="J6" s="55"/>
      <c r="K6" s="56"/>
    </row>
    <row r="7" spans="1:12" x14ac:dyDescent="0.15">
      <c r="A7" s="34" t="s">
        <v>126</v>
      </c>
      <c r="B7" s="41">
        <v>1</v>
      </c>
      <c r="C7" s="36"/>
      <c r="D7" s="176" t="s">
        <v>196</v>
      </c>
      <c r="E7">
        <v>6</v>
      </c>
      <c r="F7">
        <v>3.12</v>
      </c>
      <c r="G7">
        <v>6</v>
      </c>
      <c r="H7" s="177" t="s">
        <v>196</v>
      </c>
      <c r="J7" s="55"/>
      <c r="K7" s="56"/>
    </row>
    <row r="8" spans="1:12" x14ac:dyDescent="0.15">
      <c r="A8" s="34" t="s">
        <v>38</v>
      </c>
      <c r="B8" s="42">
        <v>1</v>
      </c>
      <c r="C8" s="36"/>
      <c r="D8" s="176" t="s">
        <v>197</v>
      </c>
      <c r="E8">
        <v>7</v>
      </c>
      <c r="F8">
        <v>3.12</v>
      </c>
      <c r="G8">
        <v>7</v>
      </c>
      <c r="H8" s="177" t="s">
        <v>197</v>
      </c>
      <c r="J8" s="55"/>
      <c r="K8" s="56"/>
    </row>
    <row r="9" spans="1:12" x14ac:dyDescent="0.15">
      <c r="A9" s="34" t="s">
        <v>40</v>
      </c>
      <c r="B9" s="42">
        <v>1.1000000000000001</v>
      </c>
      <c r="C9" s="36"/>
      <c r="D9" s="176" t="s">
        <v>198</v>
      </c>
      <c r="E9">
        <v>8</v>
      </c>
      <c r="F9">
        <v>3.12</v>
      </c>
      <c r="G9">
        <v>8</v>
      </c>
      <c r="H9" s="177" t="s">
        <v>198</v>
      </c>
      <c r="J9" s="55"/>
      <c r="K9" s="56"/>
    </row>
    <row r="10" spans="1:12" x14ac:dyDescent="0.15">
      <c r="A10" s="34" t="s">
        <v>41</v>
      </c>
      <c r="B10" s="42">
        <v>1.2</v>
      </c>
      <c r="C10" s="36"/>
      <c r="D10" s="176" t="s">
        <v>199</v>
      </c>
      <c r="E10">
        <v>9</v>
      </c>
      <c r="F10">
        <v>3.12</v>
      </c>
      <c r="G10">
        <v>9</v>
      </c>
      <c r="H10" s="177" t="s">
        <v>199</v>
      </c>
      <c r="J10" s="55"/>
      <c r="K10" s="56"/>
    </row>
    <row r="11" spans="1:12" ht="12" customHeight="1" x14ac:dyDescent="0.15">
      <c r="A11" s="40" t="s">
        <v>127</v>
      </c>
      <c r="B11" s="42">
        <v>2</v>
      </c>
      <c r="C11" s="36"/>
      <c r="D11" s="176" t="s">
        <v>200</v>
      </c>
      <c r="E11">
        <v>10</v>
      </c>
      <c r="F11">
        <v>3.12</v>
      </c>
      <c r="G11">
        <v>10</v>
      </c>
      <c r="H11" s="177" t="s">
        <v>200</v>
      </c>
      <c r="J11" s="55"/>
      <c r="K11" s="56"/>
    </row>
    <row r="12" spans="1:12" x14ac:dyDescent="0.15">
      <c r="A12" s="34" t="s">
        <v>42</v>
      </c>
      <c r="B12" s="42">
        <v>2.1</v>
      </c>
      <c r="C12" s="36"/>
      <c r="D12" s="176" t="s">
        <v>167</v>
      </c>
      <c r="E12">
        <v>11</v>
      </c>
      <c r="F12">
        <v>3</v>
      </c>
      <c r="G12">
        <v>11</v>
      </c>
      <c r="H12" s="177" t="s">
        <v>167</v>
      </c>
      <c r="J12" s="55"/>
      <c r="K12" s="56"/>
    </row>
    <row r="13" spans="1:12" x14ac:dyDescent="0.15">
      <c r="A13" s="34" t="s">
        <v>43</v>
      </c>
      <c r="B13" s="42">
        <v>2.2000000000000002</v>
      </c>
      <c r="C13" s="36"/>
      <c r="D13" s="176" t="s">
        <v>201</v>
      </c>
      <c r="E13">
        <v>12</v>
      </c>
      <c r="F13">
        <v>3.12</v>
      </c>
      <c r="G13">
        <v>12</v>
      </c>
      <c r="H13" s="177" t="s">
        <v>201</v>
      </c>
      <c r="J13" s="55"/>
      <c r="K13" s="56"/>
    </row>
    <row r="14" spans="1:12" x14ac:dyDescent="0.15">
      <c r="A14" s="34" t="s">
        <v>67</v>
      </c>
      <c r="B14" s="42">
        <v>2.2999999999999998</v>
      </c>
      <c r="C14" s="36"/>
      <c r="D14" s="176" t="s">
        <v>202</v>
      </c>
      <c r="E14">
        <v>13</v>
      </c>
      <c r="F14">
        <v>3.12</v>
      </c>
      <c r="G14">
        <v>13</v>
      </c>
      <c r="H14" s="177" t="s">
        <v>202</v>
      </c>
      <c r="J14" s="55"/>
      <c r="K14" s="56"/>
    </row>
    <row r="15" spans="1:12" x14ac:dyDescent="0.15">
      <c r="A15" s="40" t="s">
        <v>128</v>
      </c>
      <c r="B15" s="42">
        <v>3</v>
      </c>
      <c r="C15" s="36"/>
      <c r="D15" s="176" t="s">
        <v>203</v>
      </c>
      <c r="E15">
        <v>14</v>
      </c>
      <c r="F15">
        <v>3.12</v>
      </c>
      <c r="G15">
        <v>14</v>
      </c>
      <c r="H15" s="177" t="s">
        <v>203</v>
      </c>
      <c r="J15" s="55"/>
      <c r="K15" s="56"/>
    </row>
    <row r="16" spans="1:12" x14ac:dyDescent="0.15">
      <c r="A16" s="34" t="s">
        <v>62</v>
      </c>
      <c r="B16" s="42">
        <v>3.11</v>
      </c>
      <c r="C16" s="36"/>
      <c r="D16" s="176" t="s">
        <v>204</v>
      </c>
      <c r="E16">
        <v>15</v>
      </c>
      <c r="F16">
        <v>3.12</v>
      </c>
      <c r="G16">
        <v>15</v>
      </c>
      <c r="H16" s="177" t="s">
        <v>204</v>
      </c>
      <c r="J16" s="55"/>
      <c r="K16" s="56"/>
    </row>
    <row r="17" spans="1:12" x14ac:dyDescent="0.15">
      <c r="A17" s="34" t="s">
        <v>61</v>
      </c>
      <c r="B17" s="42">
        <v>3.12</v>
      </c>
      <c r="C17" s="36"/>
      <c r="D17" s="176" t="s">
        <v>205</v>
      </c>
      <c r="E17">
        <v>16</v>
      </c>
      <c r="F17">
        <v>3.12</v>
      </c>
      <c r="G17">
        <v>16</v>
      </c>
      <c r="H17" s="177" t="s">
        <v>205</v>
      </c>
      <c r="J17" s="55"/>
      <c r="K17" s="56"/>
    </row>
    <row r="18" spans="1:12" x14ac:dyDescent="0.15">
      <c r="A18" s="34" t="s">
        <v>68</v>
      </c>
      <c r="B18" s="42">
        <v>3.13</v>
      </c>
      <c r="C18" s="36"/>
      <c r="D18" s="176" t="s">
        <v>166</v>
      </c>
      <c r="E18">
        <v>17</v>
      </c>
      <c r="F18">
        <v>3.12</v>
      </c>
      <c r="G18">
        <v>17</v>
      </c>
      <c r="H18" s="177" t="s">
        <v>166</v>
      </c>
      <c r="J18" s="55"/>
      <c r="K18" s="56"/>
    </row>
    <row r="19" spans="1:12" x14ac:dyDescent="0.15">
      <c r="A19" s="34" t="s">
        <v>66</v>
      </c>
      <c r="B19" s="42">
        <v>3.21</v>
      </c>
      <c r="C19" s="36"/>
      <c r="D19" s="176" t="s">
        <v>206</v>
      </c>
      <c r="E19">
        <v>18</v>
      </c>
      <c r="F19">
        <v>3</v>
      </c>
      <c r="G19">
        <v>18</v>
      </c>
      <c r="H19" s="177" t="s">
        <v>206</v>
      </c>
      <c r="J19" s="55"/>
      <c r="K19" s="56"/>
    </row>
    <row r="20" spans="1:12" x14ac:dyDescent="0.15">
      <c r="A20" s="34" t="s">
        <v>63</v>
      </c>
      <c r="B20" s="42">
        <v>3.22</v>
      </c>
      <c r="C20" s="36"/>
      <c r="D20" s="176" t="s">
        <v>207</v>
      </c>
      <c r="E20">
        <v>19</v>
      </c>
      <c r="F20">
        <v>3.11</v>
      </c>
      <c r="G20">
        <v>19</v>
      </c>
      <c r="H20" s="177" t="s">
        <v>207</v>
      </c>
      <c r="J20" s="55"/>
      <c r="K20" s="56"/>
    </row>
    <row r="21" spans="1:12" ht="14" thickBot="1" x14ac:dyDescent="0.2">
      <c r="A21" s="34" t="s">
        <v>69</v>
      </c>
      <c r="B21" s="42">
        <v>3.23</v>
      </c>
      <c r="C21" s="36"/>
      <c r="D21" s="176" t="s">
        <v>208</v>
      </c>
      <c r="E21">
        <v>20</v>
      </c>
      <c r="F21">
        <v>3.14</v>
      </c>
      <c r="G21">
        <v>20</v>
      </c>
      <c r="H21" s="177" t="s">
        <v>208</v>
      </c>
      <c r="J21" s="57"/>
      <c r="K21" s="58"/>
      <c r="L21" s="60" t="s">
        <v>152</v>
      </c>
    </row>
    <row r="22" spans="1:12" x14ac:dyDescent="0.15">
      <c r="A22" s="34" t="s">
        <v>64</v>
      </c>
      <c r="B22" s="42">
        <v>8</v>
      </c>
      <c r="C22" s="36"/>
      <c r="D22" s="176" t="s">
        <v>42</v>
      </c>
      <c r="E22">
        <v>21</v>
      </c>
      <c r="F22">
        <v>2.1</v>
      </c>
      <c r="G22">
        <v>21</v>
      </c>
      <c r="H22" s="177" t="s">
        <v>42</v>
      </c>
    </row>
    <row r="23" spans="1:12" x14ac:dyDescent="0.15">
      <c r="A23" s="34" t="s">
        <v>129</v>
      </c>
      <c r="B23" s="42">
        <v>4</v>
      </c>
      <c r="C23" s="36"/>
      <c r="D23" s="176" t="s">
        <v>43</v>
      </c>
      <c r="E23">
        <v>22</v>
      </c>
      <c r="F23">
        <v>2.2000000000000002</v>
      </c>
      <c r="G23">
        <v>22</v>
      </c>
      <c r="H23" s="177" t="s">
        <v>43</v>
      </c>
    </row>
    <row r="24" spans="1:12" x14ac:dyDescent="0.15">
      <c r="A24" s="34" t="s">
        <v>122</v>
      </c>
      <c r="B24" s="42">
        <v>4.0999999999999996</v>
      </c>
      <c r="C24" s="36"/>
      <c r="D24" s="176" t="s">
        <v>209</v>
      </c>
      <c r="E24">
        <v>23</v>
      </c>
      <c r="F24">
        <v>4.0999999999999996</v>
      </c>
      <c r="G24">
        <v>23</v>
      </c>
      <c r="H24" s="177" t="s">
        <v>209</v>
      </c>
    </row>
    <row r="25" spans="1:12" x14ac:dyDescent="0.15">
      <c r="A25" s="34" t="s">
        <v>70</v>
      </c>
      <c r="B25" s="42">
        <v>4.2</v>
      </c>
      <c r="C25" s="36"/>
      <c r="D25" s="176" t="s">
        <v>210</v>
      </c>
      <c r="E25">
        <v>24</v>
      </c>
      <c r="F25">
        <v>4.3</v>
      </c>
      <c r="G25">
        <v>24</v>
      </c>
      <c r="H25" s="177" t="s">
        <v>210</v>
      </c>
    </row>
    <row r="26" spans="1:12" x14ac:dyDescent="0.15">
      <c r="A26" s="34" t="s">
        <v>123</v>
      </c>
      <c r="B26" s="42">
        <v>4.3</v>
      </c>
      <c r="C26" s="36"/>
      <c r="D26" s="176" t="s">
        <v>211</v>
      </c>
      <c r="E26">
        <v>25</v>
      </c>
      <c r="F26">
        <v>5</v>
      </c>
      <c r="G26">
        <v>25</v>
      </c>
      <c r="H26" s="177" t="s">
        <v>211</v>
      </c>
    </row>
    <row r="27" spans="1:12" x14ac:dyDescent="0.15">
      <c r="A27" s="34" t="s">
        <v>125</v>
      </c>
      <c r="B27" s="42">
        <v>6.1</v>
      </c>
      <c r="D27" s="176" t="s">
        <v>138</v>
      </c>
      <c r="E27">
        <v>26</v>
      </c>
      <c r="F27">
        <v>6.1</v>
      </c>
      <c r="G27">
        <v>26</v>
      </c>
      <c r="H27" s="177" t="s">
        <v>138</v>
      </c>
    </row>
    <row r="28" spans="1:12" x14ac:dyDescent="0.15">
      <c r="A28" s="34" t="s">
        <v>124</v>
      </c>
      <c r="B28" s="42">
        <v>6.2</v>
      </c>
      <c r="D28" s="176" t="s">
        <v>45</v>
      </c>
      <c r="E28">
        <v>27</v>
      </c>
      <c r="F28">
        <v>6.2</v>
      </c>
      <c r="G28">
        <v>27</v>
      </c>
      <c r="H28" s="177" t="s">
        <v>45</v>
      </c>
    </row>
    <row r="29" spans="1:12" x14ac:dyDescent="0.15">
      <c r="A29" s="34" t="s">
        <v>44</v>
      </c>
      <c r="B29" s="42">
        <v>5</v>
      </c>
    </row>
    <row r="30" spans="1:12" x14ac:dyDescent="0.15">
      <c r="A30" s="34" t="s">
        <v>73</v>
      </c>
      <c r="B30" s="42">
        <v>7</v>
      </c>
    </row>
    <row r="31" spans="1:12" x14ac:dyDescent="0.15">
      <c r="A31" s="34" t="s">
        <v>171</v>
      </c>
      <c r="B31" s="42">
        <v>3.14</v>
      </c>
    </row>
    <row r="32" spans="1:12" ht="12" customHeight="1" thickBot="1" x14ac:dyDescent="0.2">
      <c r="A32" s="40" t="s">
        <v>172</v>
      </c>
      <c r="B32" s="43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7.5" style="77" bestFit="1" customWidth="1"/>
    <col min="2" max="2" width="12.83203125" style="76" customWidth="1"/>
    <col min="3" max="3" width="17.5" style="76" customWidth="1"/>
    <col min="4" max="4" width="7.83203125" style="76" customWidth="1"/>
    <col min="5" max="5" width="12.83203125" style="76" customWidth="1"/>
    <col min="6" max="6" width="21.6640625" style="76" bestFit="1" customWidth="1"/>
    <col min="7" max="9" width="2.33203125" style="76" customWidth="1"/>
    <col min="10" max="10" width="2.33203125" style="76" bestFit="1" customWidth="1"/>
    <col min="11" max="15" width="2.33203125" style="76" customWidth="1"/>
    <col min="16" max="16" width="2.33203125" style="67" customWidth="1"/>
    <col min="17" max="17" width="2.33203125" style="76" customWidth="1"/>
    <col min="18" max="18" width="2.33203125" style="68" customWidth="1"/>
    <col min="19" max="16384" width="11.5" style="76"/>
  </cols>
  <sheetData>
    <row r="1" spans="1:23" ht="15" customHeight="1" thickBot="1" x14ac:dyDescent="0.2">
      <c r="F1" s="1"/>
      <c r="G1" s="65" t="s">
        <v>46</v>
      </c>
      <c r="H1" s="65" t="s">
        <v>47</v>
      </c>
      <c r="I1" s="65" t="s">
        <v>120</v>
      </c>
      <c r="J1" s="65" t="s">
        <v>132</v>
      </c>
      <c r="K1" s="78" t="s">
        <v>48</v>
      </c>
      <c r="L1" s="68"/>
      <c r="M1" s="78" t="s">
        <v>119</v>
      </c>
      <c r="N1" s="68"/>
      <c r="O1" s="78" t="s">
        <v>49</v>
      </c>
      <c r="P1" s="69"/>
      <c r="Q1" s="78" t="s">
        <v>50</v>
      </c>
      <c r="R1" s="65" t="s">
        <v>154</v>
      </c>
    </row>
    <row r="2" spans="1:23" ht="15" customHeight="1" x14ac:dyDescent="0.15">
      <c r="A2" s="78" t="s">
        <v>51</v>
      </c>
      <c r="B2" s="79">
        <v>0.5</v>
      </c>
      <c r="C2" s="77" t="s">
        <v>52</v>
      </c>
      <c r="D2" s="80"/>
      <c r="F2" s="1"/>
      <c r="G2" s="81"/>
      <c r="H2" s="81"/>
      <c r="I2" s="81" t="s">
        <v>133</v>
      </c>
      <c r="J2" s="81" t="s">
        <v>133</v>
      </c>
      <c r="K2" s="81" t="s">
        <v>52</v>
      </c>
      <c r="L2" s="81" t="s">
        <v>53</v>
      </c>
      <c r="M2" s="81" t="s">
        <v>52</v>
      </c>
      <c r="N2" s="81" t="s">
        <v>53</v>
      </c>
      <c r="O2" s="81" t="s">
        <v>52</v>
      </c>
      <c r="P2" s="82" t="s">
        <v>53</v>
      </c>
      <c r="Q2" s="81"/>
      <c r="R2" s="83" t="s">
        <v>155</v>
      </c>
    </row>
    <row r="3" spans="1:23" ht="15" customHeight="1" thickBot="1" x14ac:dyDescent="0.2">
      <c r="A3" s="78" t="s">
        <v>54</v>
      </c>
      <c r="B3" s="84">
        <v>0.5</v>
      </c>
      <c r="C3" s="77" t="s">
        <v>53</v>
      </c>
      <c r="D3" s="8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9">
        <v>0</v>
      </c>
      <c r="R3" s="36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9">
        <v>0</v>
      </c>
      <c r="R4" s="102">
        <v>0</v>
      </c>
    </row>
    <row r="5" spans="1:23" ht="15" customHeight="1" x14ac:dyDescent="0.15">
      <c r="A5" s="78" t="s">
        <v>55</v>
      </c>
      <c r="B5" s="85">
        <v>0.5</v>
      </c>
      <c r="C5" s="77" t="s">
        <v>52</v>
      </c>
      <c r="D5" s="8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9">
        <v>0</v>
      </c>
      <c r="R5" s="102">
        <v>0</v>
      </c>
    </row>
    <row r="6" spans="1:23" ht="15" customHeight="1" thickBot="1" x14ac:dyDescent="0.2">
      <c r="A6" s="78"/>
      <c r="B6" s="86">
        <v>0.5</v>
      </c>
      <c r="C6" s="77" t="s">
        <v>53</v>
      </c>
      <c r="D6" s="80"/>
      <c r="F6" s="178" t="s">
        <v>194</v>
      </c>
      <c r="G6" s="76">
        <v>0</v>
      </c>
      <c r="H6" s="76">
        <v>0</v>
      </c>
      <c r="I6" s="76">
        <v>0</v>
      </c>
      <c r="J6" s="76">
        <v>0</v>
      </c>
      <c r="K6" s="76">
        <v>1</v>
      </c>
      <c r="L6" s="76">
        <v>0</v>
      </c>
      <c r="M6" s="76">
        <v>1</v>
      </c>
      <c r="N6" s="76">
        <v>0</v>
      </c>
      <c r="O6" s="76">
        <v>1</v>
      </c>
      <c r="P6" s="67">
        <v>0</v>
      </c>
      <c r="Q6" s="76">
        <v>0</v>
      </c>
      <c r="R6" s="68">
        <v>1</v>
      </c>
      <c r="S6"/>
      <c r="T6"/>
    </row>
    <row r="7" spans="1:23" ht="15" customHeight="1" thickBot="1" x14ac:dyDescent="0.2">
      <c r="F7" s="178" t="s">
        <v>195</v>
      </c>
      <c r="G7" s="76">
        <v>0</v>
      </c>
      <c r="H7" s="76">
        <v>0</v>
      </c>
      <c r="I7" s="76">
        <v>0</v>
      </c>
      <c r="J7" s="76">
        <v>0</v>
      </c>
      <c r="K7" s="76">
        <v>1</v>
      </c>
      <c r="L7" s="76">
        <v>0</v>
      </c>
      <c r="M7" s="76">
        <v>1</v>
      </c>
      <c r="N7" s="76">
        <v>0</v>
      </c>
      <c r="O7" s="76">
        <v>1</v>
      </c>
      <c r="P7" s="67">
        <v>0</v>
      </c>
      <c r="Q7" s="76">
        <v>0</v>
      </c>
      <c r="R7" s="68">
        <v>1</v>
      </c>
      <c r="S7"/>
      <c r="T7"/>
    </row>
    <row r="8" spans="1:23" ht="15" customHeight="1" x14ac:dyDescent="0.15">
      <c r="A8" s="78" t="s">
        <v>56</v>
      </c>
      <c r="B8" s="85">
        <v>0.19998010148243955</v>
      </c>
      <c r="C8" s="179" t="s">
        <v>42</v>
      </c>
      <c r="D8" s="80" t="s">
        <v>160</v>
      </c>
      <c r="F8" s="178" t="s">
        <v>196</v>
      </c>
      <c r="G8" s="76">
        <v>0</v>
      </c>
      <c r="H8" s="76">
        <v>0</v>
      </c>
      <c r="I8" s="76">
        <v>0</v>
      </c>
      <c r="J8" s="76">
        <v>0</v>
      </c>
      <c r="K8" s="76">
        <v>1</v>
      </c>
      <c r="L8" s="76">
        <v>0</v>
      </c>
      <c r="M8" s="76">
        <v>1</v>
      </c>
      <c r="N8" s="76">
        <v>0</v>
      </c>
      <c r="O8" s="76">
        <v>1</v>
      </c>
      <c r="P8" s="67">
        <v>0</v>
      </c>
      <c r="Q8" s="76">
        <v>0</v>
      </c>
      <c r="R8" s="68">
        <v>1</v>
      </c>
      <c r="S8"/>
      <c r="T8"/>
      <c r="W8"/>
    </row>
    <row r="9" spans="1:23" ht="15" customHeight="1" x14ac:dyDescent="0.15">
      <c r="A9" s="116" t="s">
        <v>170</v>
      </c>
      <c r="B9" s="87">
        <v>0.80001989851756039</v>
      </c>
      <c r="C9" s="179" t="s">
        <v>43</v>
      </c>
      <c r="D9" s="80" t="s">
        <v>160</v>
      </c>
      <c r="F9" s="178" t="s">
        <v>197</v>
      </c>
      <c r="G9" s="76">
        <v>0</v>
      </c>
      <c r="H9" s="76">
        <v>0</v>
      </c>
      <c r="I9" s="76">
        <v>0</v>
      </c>
      <c r="J9" s="76">
        <v>0</v>
      </c>
      <c r="K9" s="76">
        <v>1</v>
      </c>
      <c r="L9" s="76">
        <v>0</v>
      </c>
      <c r="M9" s="76">
        <v>1</v>
      </c>
      <c r="N9" s="76">
        <v>0</v>
      </c>
      <c r="O9" s="76">
        <v>1</v>
      </c>
      <c r="P9" s="67">
        <v>0</v>
      </c>
      <c r="Q9" s="76">
        <v>0</v>
      </c>
      <c r="R9" s="68">
        <v>1</v>
      </c>
      <c r="S9"/>
      <c r="T9"/>
      <c r="W9"/>
    </row>
    <row r="10" spans="1:23" ht="15" customHeight="1" x14ac:dyDescent="0.15">
      <c r="B10" s="87"/>
      <c r="C10" s="75"/>
      <c r="D10" s="80" t="s">
        <v>160</v>
      </c>
      <c r="F10" s="178" t="s">
        <v>198</v>
      </c>
      <c r="G10" s="76">
        <v>0</v>
      </c>
      <c r="H10" s="76">
        <v>0</v>
      </c>
      <c r="I10" s="76">
        <v>0</v>
      </c>
      <c r="J10" s="76">
        <v>0</v>
      </c>
      <c r="K10" s="76">
        <v>1</v>
      </c>
      <c r="L10" s="76">
        <v>0</v>
      </c>
      <c r="M10" s="76">
        <v>1</v>
      </c>
      <c r="N10" s="76">
        <v>0</v>
      </c>
      <c r="O10" s="76">
        <v>1</v>
      </c>
      <c r="P10" s="67">
        <v>0</v>
      </c>
      <c r="Q10" s="76">
        <v>0</v>
      </c>
      <c r="R10" s="68">
        <v>1</v>
      </c>
      <c r="S10"/>
      <c r="T10"/>
      <c r="W10"/>
    </row>
    <row r="11" spans="1:23" ht="15" customHeight="1" x14ac:dyDescent="0.15">
      <c r="A11" s="78"/>
      <c r="B11" s="87"/>
      <c r="C11" s="90"/>
      <c r="D11" s="80" t="s">
        <v>160</v>
      </c>
      <c r="F11" s="178" t="s">
        <v>199</v>
      </c>
      <c r="G11" s="76">
        <v>0</v>
      </c>
      <c r="H11" s="76">
        <v>0</v>
      </c>
      <c r="I11" s="76">
        <v>0</v>
      </c>
      <c r="J11" s="76">
        <v>0</v>
      </c>
      <c r="K11" s="76">
        <v>1</v>
      </c>
      <c r="L11" s="76">
        <v>0</v>
      </c>
      <c r="M11" s="76">
        <v>1</v>
      </c>
      <c r="N11" s="76">
        <v>0</v>
      </c>
      <c r="O11" s="76">
        <v>1</v>
      </c>
      <c r="P11" s="67">
        <v>0</v>
      </c>
      <c r="Q11" s="76">
        <v>0</v>
      </c>
      <c r="R11" s="68">
        <v>1</v>
      </c>
      <c r="S11"/>
      <c r="T11"/>
      <c r="W11"/>
    </row>
    <row r="12" spans="1:23" ht="15" customHeight="1" x14ac:dyDescent="0.15">
      <c r="B12" s="87"/>
      <c r="C12" s="91"/>
      <c r="D12" s="80" t="s">
        <v>160</v>
      </c>
      <c r="F12" s="178" t="s">
        <v>200</v>
      </c>
      <c r="G12" s="76">
        <v>0</v>
      </c>
      <c r="H12" s="76">
        <v>0</v>
      </c>
      <c r="I12" s="76">
        <v>0</v>
      </c>
      <c r="J12" s="76">
        <v>0</v>
      </c>
      <c r="K12" s="76">
        <v>1</v>
      </c>
      <c r="L12" s="76">
        <v>0</v>
      </c>
      <c r="M12" s="76">
        <v>1</v>
      </c>
      <c r="N12" s="76">
        <v>0</v>
      </c>
      <c r="O12" s="76">
        <v>1</v>
      </c>
      <c r="P12" s="67">
        <v>0</v>
      </c>
      <c r="Q12" s="76">
        <v>0</v>
      </c>
      <c r="R12" s="68">
        <v>1</v>
      </c>
      <c r="S12"/>
      <c r="T12"/>
      <c r="W12"/>
    </row>
    <row r="13" spans="1:23" ht="15" customHeight="1" x14ac:dyDescent="0.15">
      <c r="B13" s="87"/>
      <c r="C13" s="91"/>
      <c r="D13" s="80" t="s">
        <v>160</v>
      </c>
      <c r="F13" s="178" t="s">
        <v>167</v>
      </c>
      <c r="G13" s="76">
        <v>0</v>
      </c>
      <c r="H13" s="76">
        <v>0</v>
      </c>
      <c r="I13" s="76">
        <v>0</v>
      </c>
      <c r="J13" s="76">
        <v>0</v>
      </c>
      <c r="K13" s="76">
        <v>1</v>
      </c>
      <c r="L13" s="76">
        <v>0</v>
      </c>
      <c r="M13" s="76">
        <v>1</v>
      </c>
      <c r="N13" s="76">
        <v>0</v>
      </c>
      <c r="O13" s="76">
        <v>1</v>
      </c>
      <c r="P13" s="67">
        <v>0</v>
      </c>
      <c r="Q13" s="76">
        <v>0</v>
      </c>
      <c r="R13" s="68">
        <v>1</v>
      </c>
      <c r="S13"/>
      <c r="T13"/>
      <c r="W13"/>
    </row>
    <row r="14" spans="1:23" ht="15" customHeight="1" x14ac:dyDescent="0.15">
      <c r="B14" s="87"/>
      <c r="C14" s="75"/>
      <c r="D14" s="80" t="s">
        <v>160</v>
      </c>
      <c r="F14" s="178" t="s">
        <v>201</v>
      </c>
      <c r="G14" s="76">
        <v>0</v>
      </c>
      <c r="H14" s="76">
        <v>0</v>
      </c>
      <c r="I14" s="76">
        <v>0</v>
      </c>
      <c r="J14" s="76">
        <v>0</v>
      </c>
      <c r="K14" s="76">
        <v>1</v>
      </c>
      <c r="L14" s="76">
        <v>0</v>
      </c>
      <c r="M14" s="76">
        <v>1</v>
      </c>
      <c r="N14" s="76">
        <v>0</v>
      </c>
      <c r="O14" s="76">
        <v>1</v>
      </c>
      <c r="P14" s="67">
        <v>0</v>
      </c>
      <c r="Q14" s="76">
        <v>0</v>
      </c>
      <c r="R14" s="68">
        <v>1</v>
      </c>
      <c r="S14"/>
      <c r="T14"/>
      <c r="W14"/>
    </row>
    <row r="15" spans="1:23" ht="15" customHeight="1" x14ac:dyDescent="0.15">
      <c r="B15" s="87"/>
      <c r="C15" s="75"/>
      <c r="D15" s="80" t="s">
        <v>160</v>
      </c>
      <c r="F15" s="178" t="s">
        <v>202</v>
      </c>
      <c r="G15" s="76">
        <v>0</v>
      </c>
      <c r="H15" s="76">
        <v>0</v>
      </c>
      <c r="I15" s="76">
        <v>0</v>
      </c>
      <c r="J15" s="76">
        <v>0</v>
      </c>
      <c r="K15" s="76">
        <v>1</v>
      </c>
      <c r="L15" s="76">
        <v>0</v>
      </c>
      <c r="M15" s="76">
        <v>1</v>
      </c>
      <c r="N15" s="76">
        <v>0</v>
      </c>
      <c r="O15" s="76">
        <v>1</v>
      </c>
      <c r="P15" s="67">
        <v>0</v>
      </c>
      <c r="Q15" s="76">
        <v>0</v>
      </c>
      <c r="R15" s="68">
        <v>1</v>
      </c>
      <c r="S15"/>
      <c r="T15"/>
      <c r="W15"/>
    </row>
    <row r="16" spans="1:23" ht="15" customHeight="1" x14ac:dyDescent="0.15">
      <c r="B16" s="87"/>
      <c r="C16" s="75"/>
      <c r="D16" s="80" t="s">
        <v>160</v>
      </c>
      <c r="F16" s="178" t="s">
        <v>203</v>
      </c>
      <c r="G16" s="76">
        <v>0</v>
      </c>
      <c r="H16" s="76">
        <v>0</v>
      </c>
      <c r="I16" s="76">
        <v>0</v>
      </c>
      <c r="J16" s="76">
        <v>0</v>
      </c>
      <c r="K16" s="76">
        <v>1</v>
      </c>
      <c r="L16" s="76">
        <v>0</v>
      </c>
      <c r="M16" s="76">
        <v>1</v>
      </c>
      <c r="N16" s="76">
        <v>0</v>
      </c>
      <c r="O16" s="76">
        <v>1</v>
      </c>
      <c r="P16" s="67">
        <v>0</v>
      </c>
      <c r="Q16" s="76">
        <v>0</v>
      </c>
      <c r="R16" s="68">
        <v>1</v>
      </c>
      <c r="S16"/>
      <c r="T16"/>
    </row>
    <row r="17" spans="1:20" ht="15" customHeight="1" thickBot="1" x14ac:dyDescent="0.2">
      <c r="B17" s="86"/>
      <c r="C17" s="75"/>
      <c r="D17" s="80" t="s">
        <v>160</v>
      </c>
      <c r="F17" s="178" t="s">
        <v>204</v>
      </c>
      <c r="G17" s="76">
        <v>0</v>
      </c>
      <c r="H17" s="76">
        <v>0</v>
      </c>
      <c r="I17" s="76">
        <v>0</v>
      </c>
      <c r="J17" s="76">
        <v>0</v>
      </c>
      <c r="K17" s="76">
        <v>1</v>
      </c>
      <c r="L17" s="76">
        <v>0</v>
      </c>
      <c r="M17" s="76">
        <v>1</v>
      </c>
      <c r="N17" s="76">
        <v>0</v>
      </c>
      <c r="O17" s="76">
        <v>1</v>
      </c>
      <c r="P17" s="67">
        <v>0</v>
      </c>
      <c r="Q17" s="76">
        <v>0</v>
      </c>
      <c r="R17" s="68">
        <v>1</v>
      </c>
      <c r="S17"/>
      <c r="T17"/>
    </row>
    <row r="18" spans="1:20" ht="15" customHeight="1" thickBot="1" x14ac:dyDescent="0.2">
      <c r="B18" s="88"/>
      <c r="F18" s="178" t="s">
        <v>205</v>
      </c>
      <c r="G18" s="76">
        <v>0</v>
      </c>
      <c r="H18" s="76">
        <v>0</v>
      </c>
      <c r="I18" s="76">
        <v>0</v>
      </c>
      <c r="J18" s="76">
        <v>0</v>
      </c>
      <c r="K18" s="76">
        <v>1</v>
      </c>
      <c r="L18" s="76">
        <v>0</v>
      </c>
      <c r="M18" s="76">
        <v>1</v>
      </c>
      <c r="N18" s="76">
        <v>0</v>
      </c>
      <c r="O18" s="76">
        <v>1</v>
      </c>
      <c r="P18" s="67">
        <v>0</v>
      </c>
      <c r="Q18" s="76">
        <v>0</v>
      </c>
      <c r="R18" s="68">
        <v>1</v>
      </c>
      <c r="S18"/>
      <c r="T18"/>
    </row>
    <row r="19" spans="1:20" ht="15" customHeight="1" x14ac:dyDescent="0.15">
      <c r="A19" s="78" t="s">
        <v>57</v>
      </c>
      <c r="B19" s="85">
        <v>0.19998010148243955</v>
      </c>
      <c r="C19" s="180" t="s">
        <v>42</v>
      </c>
      <c r="D19" s="80" t="s">
        <v>160</v>
      </c>
      <c r="F19" s="178" t="s">
        <v>166</v>
      </c>
      <c r="G19" s="76">
        <v>0</v>
      </c>
      <c r="H19" s="76">
        <v>0</v>
      </c>
      <c r="I19" s="76">
        <v>0</v>
      </c>
      <c r="J19" s="76">
        <v>0</v>
      </c>
      <c r="K19" s="76">
        <v>1</v>
      </c>
      <c r="L19" s="76">
        <v>0</v>
      </c>
      <c r="M19" s="76">
        <v>1</v>
      </c>
      <c r="N19" s="76">
        <v>0</v>
      </c>
      <c r="O19" s="76">
        <v>1</v>
      </c>
      <c r="P19" s="67">
        <v>0</v>
      </c>
      <c r="Q19" s="76">
        <v>0</v>
      </c>
      <c r="R19" s="68">
        <v>1</v>
      </c>
      <c r="S19"/>
      <c r="T19"/>
    </row>
    <row r="20" spans="1:20" ht="15" customHeight="1" x14ac:dyDescent="0.15">
      <c r="A20" s="116" t="s">
        <v>170</v>
      </c>
      <c r="B20" s="87">
        <v>0.80001989851756039</v>
      </c>
      <c r="C20" s="180" t="s">
        <v>43</v>
      </c>
      <c r="D20" s="80" t="s">
        <v>160</v>
      </c>
      <c r="F20" s="178" t="s">
        <v>206</v>
      </c>
      <c r="G20" s="76">
        <v>0</v>
      </c>
      <c r="H20" s="76">
        <v>0</v>
      </c>
      <c r="I20" s="76">
        <v>0</v>
      </c>
      <c r="J20" s="76">
        <v>0</v>
      </c>
      <c r="K20" s="76">
        <v>1</v>
      </c>
      <c r="L20" s="76">
        <v>0</v>
      </c>
      <c r="M20" s="76">
        <v>1</v>
      </c>
      <c r="N20" s="76">
        <v>0</v>
      </c>
      <c r="O20" s="76">
        <v>1</v>
      </c>
      <c r="P20" s="67">
        <v>0</v>
      </c>
      <c r="Q20" s="76">
        <v>0</v>
      </c>
      <c r="R20" s="68">
        <v>1</v>
      </c>
      <c r="S20"/>
      <c r="T20"/>
    </row>
    <row r="21" spans="1:20" ht="15" customHeight="1" x14ac:dyDescent="0.15">
      <c r="B21" s="87"/>
      <c r="C21" s="75"/>
      <c r="D21" s="80" t="s">
        <v>160</v>
      </c>
      <c r="F21" s="178" t="s">
        <v>207</v>
      </c>
      <c r="G21" s="76">
        <v>0</v>
      </c>
      <c r="H21" s="76">
        <v>0</v>
      </c>
      <c r="I21" s="76">
        <v>0</v>
      </c>
      <c r="J21" s="76">
        <v>0</v>
      </c>
      <c r="K21" s="76">
        <v>1</v>
      </c>
      <c r="L21" s="76">
        <v>0</v>
      </c>
      <c r="M21" s="76">
        <v>1</v>
      </c>
      <c r="N21" s="76">
        <v>0</v>
      </c>
      <c r="O21" s="76">
        <v>1</v>
      </c>
      <c r="P21" s="67">
        <v>0</v>
      </c>
      <c r="Q21" s="76">
        <v>0</v>
      </c>
      <c r="R21" s="68">
        <v>1</v>
      </c>
      <c r="S21"/>
      <c r="T21"/>
    </row>
    <row r="22" spans="1:20" ht="15" customHeight="1" x14ac:dyDescent="0.15">
      <c r="A22" s="76"/>
      <c r="B22" s="87"/>
      <c r="C22" s="90"/>
      <c r="D22" s="80" t="s">
        <v>160</v>
      </c>
      <c r="F22" s="178" t="s">
        <v>208</v>
      </c>
      <c r="G22" s="76">
        <v>0</v>
      </c>
      <c r="H22" s="76">
        <v>0</v>
      </c>
      <c r="I22" s="76">
        <v>0</v>
      </c>
      <c r="J22" s="76">
        <v>0</v>
      </c>
      <c r="K22" s="76">
        <v>1</v>
      </c>
      <c r="L22" s="76">
        <v>0</v>
      </c>
      <c r="M22" s="76">
        <v>1</v>
      </c>
      <c r="N22" s="76">
        <v>0</v>
      </c>
      <c r="O22" s="76">
        <v>1</v>
      </c>
      <c r="P22" s="67">
        <v>0</v>
      </c>
      <c r="Q22" s="76">
        <v>0</v>
      </c>
      <c r="R22" s="68">
        <v>1</v>
      </c>
      <c r="S22"/>
      <c r="T22"/>
    </row>
    <row r="23" spans="1:20" ht="15" customHeight="1" x14ac:dyDescent="0.15">
      <c r="A23" s="76"/>
      <c r="B23" s="87"/>
      <c r="C23" s="91"/>
      <c r="D23" s="80" t="s">
        <v>160</v>
      </c>
      <c r="F23" s="178" t="s">
        <v>42</v>
      </c>
      <c r="G23" s="76">
        <v>0</v>
      </c>
      <c r="H23" s="76">
        <v>0</v>
      </c>
      <c r="I23" s="76">
        <v>0</v>
      </c>
      <c r="J23" s="76">
        <v>0</v>
      </c>
      <c r="K23" s="76">
        <v>0</v>
      </c>
      <c r="L23" s="76">
        <v>0</v>
      </c>
      <c r="M23" s="76">
        <v>1</v>
      </c>
      <c r="N23" s="76">
        <v>0</v>
      </c>
      <c r="O23" s="76">
        <v>0</v>
      </c>
      <c r="P23" s="67">
        <v>0</v>
      </c>
      <c r="Q23" s="76">
        <v>0</v>
      </c>
      <c r="R23" s="68">
        <v>1</v>
      </c>
      <c r="S23"/>
      <c r="T23"/>
    </row>
    <row r="24" spans="1:20" ht="15" customHeight="1" x14ac:dyDescent="0.15">
      <c r="A24" s="76"/>
      <c r="B24" s="87"/>
      <c r="C24" s="91"/>
      <c r="D24" s="80" t="s">
        <v>160</v>
      </c>
      <c r="F24" s="178" t="s">
        <v>43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1</v>
      </c>
      <c r="N24" s="76">
        <v>0</v>
      </c>
      <c r="O24" s="76">
        <v>0</v>
      </c>
      <c r="P24" s="67">
        <v>0</v>
      </c>
      <c r="Q24" s="76">
        <v>0</v>
      </c>
      <c r="R24" s="68">
        <v>1</v>
      </c>
      <c r="S24"/>
      <c r="T24"/>
    </row>
    <row r="25" spans="1:20" ht="15" customHeight="1" x14ac:dyDescent="0.15">
      <c r="A25" s="76"/>
      <c r="B25" s="87"/>
      <c r="C25" s="75"/>
      <c r="D25" s="80" t="s">
        <v>160</v>
      </c>
      <c r="F25" s="178" t="s">
        <v>209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6">
        <v>1</v>
      </c>
      <c r="M25" s="76">
        <v>0</v>
      </c>
      <c r="N25" s="76">
        <v>1</v>
      </c>
      <c r="O25" s="76">
        <v>0</v>
      </c>
      <c r="P25" s="67">
        <v>1</v>
      </c>
      <c r="Q25" s="76">
        <v>0</v>
      </c>
      <c r="R25" s="68">
        <v>1</v>
      </c>
      <c r="S25"/>
      <c r="T25"/>
    </row>
    <row r="26" spans="1:20" ht="15" customHeight="1" x14ac:dyDescent="0.15">
      <c r="B26" s="87"/>
      <c r="C26" s="75"/>
      <c r="D26" s="80" t="s">
        <v>160</v>
      </c>
      <c r="F26" s="178" t="s">
        <v>210</v>
      </c>
      <c r="G26" s="76">
        <v>0</v>
      </c>
      <c r="H26" s="76">
        <v>0</v>
      </c>
      <c r="I26" s="76">
        <v>0</v>
      </c>
      <c r="J26" s="76">
        <v>0</v>
      </c>
      <c r="K26" s="76">
        <v>0</v>
      </c>
      <c r="L26" s="76">
        <v>1</v>
      </c>
      <c r="M26" s="76">
        <v>0</v>
      </c>
      <c r="N26" s="76">
        <v>1</v>
      </c>
      <c r="O26" s="76">
        <v>0</v>
      </c>
      <c r="P26" s="67">
        <v>1</v>
      </c>
      <c r="Q26" s="76">
        <v>0</v>
      </c>
      <c r="R26" s="68">
        <v>1</v>
      </c>
      <c r="S26"/>
      <c r="T26"/>
    </row>
    <row r="27" spans="1:20" ht="15" customHeight="1" x14ac:dyDescent="0.15">
      <c r="B27" s="87"/>
      <c r="C27" s="75"/>
      <c r="D27" s="80" t="s">
        <v>160</v>
      </c>
      <c r="F27" s="178" t="s">
        <v>211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1</v>
      </c>
      <c r="M27" s="76">
        <v>0</v>
      </c>
      <c r="N27" s="76">
        <v>0</v>
      </c>
      <c r="O27" s="76">
        <v>0</v>
      </c>
      <c r="P27" s="67">
        <v>0</v>
      </c>
      <c r="Q27" s="76">
        <v>0</v>
      </c>
      <c r="R27" s="68">
        <v>1</v>
      </c>
      <c r="S27"/>
      <c r="T27"/>
    </row>
    <row r="28" spans="1:20" ht="15" customHeight="1" thickBot="1" x14ac:dyDescent="0.2">
      <c r="B28" s="86"/>
      <c r="C28" s="75"/>
      <c r="D28" s="80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7"/>
      <c r="B31" s="127" t="s">
        <v>17</v>
      </c>
      <c r="C31" s="127" t="s">
        <v>1</v>
      </c>
      <c r="D31" s="127" t="s">
        <v>161</v>
      </c>
      <c r="E31" s="128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81" t="s">
        <v>42</v>
      </c>
      <c r="B32" s="88">
        <v>1.9890000000000001</v>
      </c>
      <c r="C32" s="88">
        <v>134</v>
      </c>
      <c r="D32" s="88">
        <v>266.52600000000001</v>
      </c>
      <c r="E32" s="118">
        <v>0.19998010148243955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81" t="s">
        <v>43</v>
      </c>
      <c r="B33" s="88">
        <v>11.271000000000001</v>
      </c>
      <c r="C33" s="88">
        <v>94.6</v>
      </c>
      <c r="D33" s="88">
        <v>1066.2366</v>
      </c>
      <c r="E33" s="118">
        <v>0.80001989851756039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9"/>
      <c r="B34" s="88"/>
      <c r="C34" s="88"/>
      <c r="D34" s="88"/>
      <c r="E34" s="118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20"/>
      <c r="B35" s="88"/>
      <c r="C35" s="88"/>
      <c r="D35" s="88"/>
      <c r="E35" s="118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21"/>
      <c r="B36" s="88"/>
      <c r="C36" s="88"/>
      <c r="D36" s="88"/>
      <c r="E36" s="118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21"/>
      <c r="B37" s="88"/>
      <c r="C37" s="88"/>
      <c r="D37" s="88"/>
      <c r="E37" s="118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2"/>
      <c r="B38" s="88"/>
      <c r="C38" s="88"/>
      <c r="D38" s="88"/>
      <c r="E38" s="11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2"/>
      <c r="B39" s="88"/>
      <c r="C39" s="88"/>
      <c r="D39" s="88"/>
      <c r="E39" s="118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2"/>
      <c r="B40" s="88"/>
      <c r="C40" s="88"/>
      <c r="D40" s="88"/>
      <c r="E40" s="118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2"/>
      <c r="B41" s="88"/>
      <c r="C41" s="88"/>
      <c r="D41" s="89"/>
      <c r="E41" s="123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4"/>
      <c r="B42" s="125"/>
      <c r="C42" s="125" t="s">
        <v>162</v>
      </c>
      <c r="D42" s="125">
        <f>SUM(D32:D41)</f>
        <v>1332.7626</v>
      </c>
      <c r="E42" s="126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6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6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6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6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6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6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6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6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6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6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6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6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6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6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6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6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6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6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6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6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6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6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6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6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6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2" customWidth="1"/>
    <col min="3" max="5" width="7.83203125" style="102" customWidth="1"/>
    <col min="6" max="8" width="8.83203125" style="6"/>
    <col min="9" max="9" width="9.33203125" style="6" customWidth="1"/>
    <col min="10" max="10" width="11.5" style="6" customWidth="1"/>
    <col min="11" max="11" width="10.1640625" style="6" customWidth="1"/>
    <col min="12" max="12" width="11.5" style="6" customWidth="1"/>
    <col min="13" max="13" width="10.83203125" style="6" customWidth="1"/>
    <col min="14" max="14" width="12.5" style="6" customWidth="1"/>
    <col min="15" max="15" width="12.33203125" style="6" customWidth="1"/>
    <col min="16" max="16" width="13.83203125" style="6" customWidth="1"/>
    <col min="17" max="17" width="11.5" style="6" customWidth="1"/>
    <col min="18" max="18" width="11.83203125" style="6" customWidth="1"/>
    <col min="19" max="19" width="14.83203125" style="6" customWidth="1"/>
    <col min="20" max="20" width="13" style="6" customWidth="1"/>
    <col min="21" max="21" width="15.1640625" style="6" customWidth="1"/>
    <col min="22" max="22" width="11.6640625" style="6" customWidth="1"/>
    <col min="23" max="23" width="9.5" style="6" customWidth="1"/>
    <col min="24" max="25" width="15.83203125" style="6" customWidth="1"/>
    <col min="26" max="26" width="17.5" style="6" customWidth="1"/>
    <col min="27" max="27" width="17.83203125" style="6" customWidth="1"/>
    <col min="28" max="28" width="7.6640625" style="6" customWidth="1"/>
    <col min="29" max="29" width="21.6640625" style="6" customWidth="1"/>
    <col min="30" max="30" width="6.5" style="6" customWidth="1"/>
    <col min="31" max="38" width="8.83203125" style="6"/>
    <col min="81" max="81" width="22.1640625" bestFit="1" customWidth="1"/>
  </cols>
  <sheetData>
    <row r="1" spans="1:38" x14ac:dyDescent="0.15">
      <c r="A1" s="4" t="s">
        <v>156</v>
      </c>
      <c r="B1" s="35" t="s">
        <v>157</v>
      </c>
      <c r="C1" s="35" t="s">
        <v>17</v>
      </c>
      <c r="D1" s="35" t="s">
        <v>158</v>
      </c>
      <c r="E1" s="35" t="s">
        <v>159</v>
      </c>
      <c r="F1" t="s">
        <v>38</v>
      </c>
      <c r="G1" t="s">
        <v>40</v>
      </c>
      <c r="H1" t="s">
        <v>41</v>
      </c>
      <c r="I1" s="183" t="s">
        <v>194</v>
      </c>
      <c r="J1" s="183" t="s">
        <v>195</v>
      </c>
      <c r="K1" s="183" t="s">
        <v>196</v>
      </c>
      <c r="L1" s="183" t="s">
        <v>197</v>
      </c>
      <c r="M1" s="183" t="s">
        <v>198</v>
      </c>
      <c r="N1" s="183" t="s">
        <v>199</v>
      </c>
      <c r="O1" s="183" t="s">
        <v>200</v>
      </c>
      <c r="P1" s="183" t="s">
        <v>167</v>
      </c>
      <c r="Q1" s="183" t="s">
        <v>201</v>
      </c>
      <c r="R1" s="183" t="s">
        <v>202</v>
      </c>
      <c r="S1" s="183" t="s">
        <v>203</v>
      </c>
      <c r="T1" s="183" t="s">
        <v>204</v>
      </c>
      <c r="U1" s="183" t="s">
        <v>205</v>
      </c>
      <c r="V1" s="183" t="s">
        <v>166</v>
      </c>
      <c r="W1" s="183" t="s">
        <v>206</v>
      </c>
      <c r="X1" s="183" t="s">
        <v>207</v>
      </c>
      <c r="Y1" s="183" t="s">
        <v>208</v>
      </c>
      <c r="Z1" s="183" t="s">
        <v>42</v>
      </c>
      <c r="AA1" s="183" t="s">
        <v>43</v>
      </c>
      <c r="AB1" s="183" t="s">
        <v>209</v>
      </c>
      <c r="AC1" s="183" t="s">
        <v>210</v>
      </c>
      <c r="AD1" s="183" t="s">
        <v>211</v>
      </c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102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2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2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82" t="s">
        <v>194</v>
      </c>
      <c r="B5" s="102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82" t="s">
        <v>195</v>
      </c>
      <c r="B6" s="102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82" t="s">
        <v>196</v>
      </c>
      <c r="B7" s="102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82" t="s">
        <v>197</v>
      </c>
      <c r="B8" s="102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82" t="s">
        <v>198</v>
      </c>
      <c r="B9" s="102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82" t="s">
        <v>199</v>
      </c>
      <c r="B10" s="102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82" t="s">
        <v>200</v>
      </c>
      <c r="B11" s="102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82" t="s">
        <v>167</v>
      </c>
      <c r="B12" s="102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82" t="s">
        <v>201</v>
      </c>
      <c r="B13" s="102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82" t="s">
        <v>202</v>
      </c>
      <c r="B14" s="102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82" t="s">
        <v>203</v>
      </c>
      <c r="B15" s="102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82" t="s">
        <v>204</v>
      </c>
      <c r="B16" s="102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82" t="s">
        <v>205</v>
      </c>
      <c r="B17" s="102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82" t="s">
        <v>166</v>
      </c>
      <c r="B18" s="102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82" t="s">
        <v>206</v>
      </c>
      <c r="B19" s="102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82" t="s">
        <v>207</v>
      </c>
      <c r="B20" s="102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82" t="s">
        <v>208</v>
      </c>
      <c r="B21" s="102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82" t="s">
        <v>42</v>
      </c>
      <c r="B22" s="102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82" t="s">
        <v>43</v>
      </c>
      <c r="B23" s="102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82" t="s">
        <v>209</v>
      </c>
      <c r="B24" s="102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82" t="s">
        <v>210</v>
      </c>
      <c r="B25" s="102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82" t="s">
        <v>211</v>
      </c>
      <c r="B26" s="102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2022-10-23T22:45:05Z</dcterms:modified>
</cp:coreProperties>
</file>