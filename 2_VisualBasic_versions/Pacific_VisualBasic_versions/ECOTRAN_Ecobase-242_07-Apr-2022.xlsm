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9FF98405-E5D6-1243-847F-C271C87497D5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Main!$C$2:$N$34</definedName>
    <definedName name="matDetritus">Detritus!$C$2:$E$34</definedName>
    <definedName name="matDiet">Diets!$B$2:$AC$32</definedName>
    <definedName name="matDiscards">Discards!$C$2:$E$31</definedName>
    <definedName name="matFishery">Fishing!$C$2:$E$31</definedName>
    <definedName name="matFishing">Fishing!#REF!</definedName>
    <definedName name="matMort">Mortalities!$A$1:$AJ$31</definedName>
    <definedName name="matOut">MainOutputs!$A$2:$I$34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<sst xmlns="http://schemas.openxmlformats.org/spreadsheetml/2006/main" count="961" uniqueCount="232">
  <si>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</si>
  <si>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</si>
  <si>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</si>
  <si>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</si>
  <si>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</si>
  <si>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</si>
  <si>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</si>
  <si>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</si>
  <si>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</si>
  <si>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</si>
  <si>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</si>
  <si>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</si>
  <si>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</si>
  <si>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</si>
  <si>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</si>
  <si>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</si>
  <si>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</si>
  <si>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</si>
  <si>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</si>
  <si>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</si>
  <si>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</si>
  <si>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</si>
  <si>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</si>
  <si>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</si>
  <si>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</si>
  <si>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</si>
  <si>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</si>
  <si>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</si>
  <si>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</si>
  <si>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</si>
  <si>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</si>
  <si>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</si>
  <si>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</si>
  <si>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</si>
  <si>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</si>
  <si>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</si>
  <si>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</si>
  <si>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</si>
  <si>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</si>
  <si>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</si>
  <si>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</si>
  <si>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</si>
  <si>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</si>
  <si>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</si>
  <si>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</si>
  <si>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</si>
  <si>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</si>
  <si>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</si>
  <si>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</si>
  <si>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</si>
  <si>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</si>
  <si>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</si>
  <si>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</si>
  <si>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</si>
  <si>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</si>
  <si>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</si>
  <si>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</si>
  <si>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</si>
  <si>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</si>
  <si>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</si>
  <si>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</si>
  <si>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</si>
  <si>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</si>
  <si>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</si>
  <si>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</si>
  <si>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</si>
  <si>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</si>
  <si>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</si>
  <si>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</si>
  <si>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</si>
  <si>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</si>
  <si>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</si>
  <si>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</si>
  <si>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</si>
  <si>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</si>
  <si>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</si>
  <si>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</si>
  <si>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</si>
  <si>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</si>
  <si>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</si>
  <si>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</si>
  <si>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</si>
  <si>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</si>
  <si>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</si>
  <si>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</si>
  <si>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</si>
  <si>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</si>
  <si>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</si>
  <si>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</si>
  <si>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</si>
  <si>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</si>
  <si>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</si>
  <si>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</si>
  <si>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</si>
  <si>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</si>
  <si>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</si>
  <si>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</si>
  <si>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</si>
  <si>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</si>
  <si>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</si>
  <si>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</si>
  <si>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</si>
  <si>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</si>
  <si>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</si>
  <si>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</si>
  <si>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</si>
  <si>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</si>
  <si>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</si>
  <si>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</si>
  <si>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</si>
  <si>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</si>
  <si>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</si>
  <si>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</si>
  <si>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</si>
  <si>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</si>
  <si>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</si>
  <si>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</si>
  <si>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</si>
  <si>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</si>
  <si>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</si>
  <si>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</si>
  <si>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</si>
  <si>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</si>
  <si>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</si>
  <si>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</si>
  <si>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</si>
  <si>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</si>
  <si>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</si>
  <si>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</si>
  <si>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</si>
  <si>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</si>
  <si>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</si>
  <si>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</si>
  <si>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</si>
  <si>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</si>
  <si>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</si>
  <si>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</si>
  <si>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</si>
  <si>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</si>
  <si>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</si>
  <si>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</si>
  <si>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</si>
  <si>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</si>
  <si>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</si>
  <si>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</si>
  <si>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</si>
  <si>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</si>
  <si>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</si>
  <si>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</si>
  <si>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</si>
  <si>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</si>
  <si>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</si>
  <si>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</si>
  <si>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</si>
  <si>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</si>
  <si>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</si>
  <si>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</si>
  <si>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</si>
  <si>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</si>
  <si>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</si>
  <si>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</si>
  <si>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</si>
  <si>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</si>
  <si>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</si>
  <si>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</si>
  <si>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</si>
  <si>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</si>
  <si>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</si>
  <si>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</si>
  <si>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</si>
  <si>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</si>
  <si>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</si>
  <si>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</si>
  <si>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</si>
  <si>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</si>
  <si>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</si>
  <si>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</si>
  <si>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</si>
  <si>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</si>
  <si>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</si>
  <si>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</si>
  <si>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</si>
  <si>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</si>
  <si>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</si>
  <si>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</si>
  <si>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Alto Golfo de California</t>
  </si>
  <si>
    <t>Mexico</t>
  </si>
  <si>
    <t>BOX(-115.331125289131 29.4758920937028,-112.404110390263 32.0190444305102)</t>
  </si>
  <si>
    <t>continental shelf</t>
  </si>
  <si>
    <t>WetWeight</t>
  </si>
  <si>
    <t>; 14/04/2006 01:24:38 a.m.; 14/04/2006 01:25:01 a.m.; 14/04/2006 11:16:48 a.m.</t>
  </si>
  <si>
    <t>Morales-Zárate M.V.,Arreguın-Sánchez F.,López-Martınez J.,Lluch-Cota S.E.(2004). Ecosystem trophic structure and energy flux in the Northern Gulf of California, México Ecological Modelling. pp 331-345</t>
  </si>
  <si>
    <t>Totoaba</t>
  </si>
  <si>
    <t>Vaquita</t>
  </si>
  <si>
    <t>Tiburón</t>
  </si>
  <si>
    <t>Lobo marino</t>
  </si>
  <si>
    <t>Ballenas dentadas</t>
  </si>
  <si>
    <t>Merlucciidos</t>
  </si>
  <si>
    <t>Ballenas barbadas</t>
  </si>
  <si>
    <t>Sciaenidos</t>
  </si>
  <si>
    <t>Rhinobatidos</t>
  </si>
  <si>
    <t>Serranidos</t>
  </si>
  <si>
    <t>Stomatópodos</t>
  </si>
  <si>
    <t>Jaibas</t>
  </si>
  <si>
    <t>Mantarayas</t>
  </si>
  <si>
    <t>C. de roca</t>
  </si>
  <si>
    <t>Peces planos</t>
  </si>
  <si>
    <t>Otros peces</t>
  </si>
  <si>
    <t>Myctophidos</t>
  </si>
  <si>
    <t>C. cafe</t>
  </si>
  <si>
    <t>C. azul</t>
  </si>
  <si>
    <t>Cefalópodos</t>
  </si>
  <si>
    <t>Poliquetos</t>
  </si>
  <si>
    <t>Haemulidos</t>
  </si>
  <si>
    <t>Mojarras</t>
  </si>
  <si>
    <t>Pelágicos</t>
  </si>
  <si>
    <t>Infauna</t>
  </si>
  <si>
    <t>Zooplancton</t>
  </si>
  <si>
    <t>Fitoplancton</t>
  </si>
  <si>
    <t>Macrofitas</t>
  </si>
  <si>
    <t>Detritus</t>
  </si>
  <si>
    <t>detritus_TerminalBenthic</t>
  </si>
  <si>
    <t>Camaronera</t>
  </si>
  <si>
    <t>Cam. artesanal</t>
  </si>
  <si>
    <t>Ribereña</t>
  </si>
  <si>
    <t>Import</t>
  </si>
  <si>
    <t>export</t>
  </si>
  <si>
    <t>sum</t>
  </si>
  <si>
    <t>TOTAL</t>
  </si>
  <si>
    <t>F Camaronera</t>
  </si>
  <si>
    <t>F Cam. artesanal</t>
  </si>
  <si>
    <t>F Ribereña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</si>
</sst>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5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9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7" t="s">
        <v>171</v>
      </c>
      <c r="C53" s="111">
        <v>242</v>
      </c>
      <c r="D53" s="111"/>
    </row>
    <row r="54" spans="2:4" x14ac:dyDescent="0.15">
      <c r="B54" s="177" t="s">
        <v>172</v>
      </c>
      <c r="C54" s="177" t="s">
        <v>185</v>
      </c>
      <c r="D54" s="111"/>
    </row>
    <row r="55" spans="2:4" x14ac:dyDescent="0.15">
      <c r="B55" s="177" t="s">
        <v>173</v>
      </c>
      <c r="C55" s="177" t="s">
        <v>186</v>
      </c>
      <c r="D55" s="111"/>
    </row>
    <row r="56" spans="2:4" x14ac:dyDescent="0.15">
      <c r="B56" s="177" t="s">
        <v>174</v>
      </c>
      <c r="C56" s="111">
        <v>7200</v>
      </c>
      <c r="D56" s="111"/>
    </row>
    <row r="57" spans="2:4" x14ac:dyDescent="0.15">
      <c r="B57" s="177" t="s">
        <v>175</v>
      </c>
      <c r="C57" s="177" t="s">
        <v>187</v>
      </c>
      <c r="D57" s="111"/>
    </row>
    <row r="58" spans="2:4" x14ac:dyDescent="0.15">
      <c r="B58" s="177" t="s">
        <v>176</v>
      </c>
      <c r="C58" s="177" t="s">
        <v>188</v>
      </c>
      <c r="D58" s="111"/>
    </row>
    <row r="59" spans="2:4" x14ac:dyDescent="0.15">
      <c r="B59" s="177" t="s">
        <v>177</v>
      </c>
      <c r="C59" s="177" t="s">
        <v>189</v>
      </c>
      <c r="D59" s="111"/>
    </row>
    <row r="60" spans="2:4" x14ac:dyDescent="0.15">
      <c r="B60" s="177" t="s">
        <v>178</v>
      </c>
      <c r="C60" s="177" t="s">
        <v>190</v>
      </c>
      <c r="D60" s="111"/>
    </row>
    <row r="61" spans="2:4" x14ac:dyDescent="0.15">
      <c r="B61" s="177" t="s">
        <v>179</v>
      </c>
      <c r="C61" s="111">
        <v>29</v>
      </c>
      <c r="D61" s="111"/>
    </row>
    <row r="62" spans="2:4" x14ac:dyDescent="0.15">
      <c r="B62" s="177" t="s">
        <v>180</v>
      </c>
      <c r="C62" s="111">
        <v>3</v>
      </c>
      <c r="D62" s="111"/>
    </row>
    <row r="63" spans="2:4" x14ac:dyDescent="0.15">
      <c r="B63" s="177" t="s">
        <v>181</v>
      </c>
      <c r="C63" s="111">
        <v>0</v>
      </c>
      <c r="D63" s="111"/>
    </row>
    <row r="64" spans="2:4" x14ac:dyDescent="0.15">
      <c r="B64" s="177" t="s">
        <v>182</v>
      </c>
      <c r="D64" s="111"/>
    </row>
    <row r="65" spans="2:4" x14ac:dyDescent="0.15">
      <c r="B65" s="177" t="s">
        <v>183</v>
      </c>
      <c r="C65" s="177" t="s">
        <v>191</v>
      </c>
      <c r="D65" s="111"/>
    </row>
    <row r="66" spans="2:4" x14ac:dyDescent="0.15">
      <c r="B66" s="177" t="s">
        <v>184</v>
      </c>
      <c r="D66" s="111"/>
    </row>
    <row r="67" spans="2:4" x14ac:dyDescent="0.15">
      <c r="B67" s="111"/>
      <c r="C67" s="111"/>
      <c r="D67" s="111"/>
    </row>
    <row r="68" spans="2:4" x14ac:dyDescent="0.15">
      <c r="B68" s="111"/>
      <c r="C68" s="111"/>
      <c r="D68" s="11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1.6640625" style="83" bestFit="1" customWidth="1"/>
    <col min="6" max="6" width="2.33203125" style="83" bestFit="1" customWidth="1"/>
    <col min="7" max="7" width="12.83203125" style="83" bestFit="1" customWidth="1"/>
    <col min="8" max="8" width="11.83203125" style="83" customWidth="1"/>
    <col min="9" max="9" width="6.83203125" style="83" customWidth="1"/>
    <col min="10" max="10" width="11.83203125" style="83" customWidth="1"/>
    <col min="11" max="11" width="12.83203125" style="83" customWidth="1"/>
    <col min="12" max="12" width="2.33203125" style="83" customWidth="1"/>
    <col min="13" max="13" width="3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78" t="s">
        <v>192</v>
      </c>
      <c r="F2" s="83">
        <v>0</v>
      </c>
      <c r="G2" s="83">
        <v>9.9000000000000008E-3</v>
      </c>
      <c r="H2" s="83">
        <v>0.4</v>
      </c>
      <c r="I2" s="6">
        <v>5</v>
      </c>
      <c r="J2" s="6">
        <v>0.84701630000000006</v>
      </c>
      <c r="K2" s="6">
        <v>0.08</v>
      </c>
      <c r="L2" s="6">
        <v>0</v>
      </c>
      <c r="M2" s="83">
        <v>0.2</v>
      </c>
      <c r="N2" s="83">
        <v>0</v>
      </c>
    </row>
    <row r="3" spans="1:46" ht="15" customHeight="1" x14ac:dyDescent="0.15">
      <c r="A3" s="1" t="s">
        <v>9</v>
      </c>
      <c r="B3" s="4">
        <v>28</v>
      </c>
      <c r="C3" s="83">
        <v>2</v>
      </c>
      <c r="D3"/>
      <c r="E3" s="178" t="s">
        <v>193</v>
      </c>
      <c r="F3" s="83">
        <v>0</v>
      </c>
      <c r="G3" s="83">
        <v>1.5E-3</v>
      </c>
      <c r="H3" s="83">
        <v>0.599999964</v>
      </c>
      <c r="I3" s="83">
        <v>30</v>
      </c>
      <c r="J3" s="83">
        <v>0.56349510000000003</v>
      </c>
      <c r="K3" s="83">
        <v>0.02</v>
      </c>
      <c r="L3" s="83">
        <v>0</v>
      </c>
      <c r="M3" s="83">
        <v>0.2</v>
      </c>
      <c r="N3" s="83">
        <v>0</v>
      </c>
    </row>
    <row r="4" spans="1:46" ht="15" customHeight="1" x14ac:dyDescent="0.15">
      <c r="A4" s="1" t="s">
        <v>10</v>
      </c>
      <c r="B4" s="4">
        <v>2</v>
      </c>
      <c r="C4" s="83">
        <v>3</v>
      </c>
      <c r="D4"/>
      <c r="E4" s="178" t="s">
        <v>194</v>
      </c>
      <c r="F4" s="83">
        <v>0</v>
      </c>
      <c r="G4" s="83">
        <v>0.47400003699999999</v>
      </c>
      <c r="H4" s="83">
        <v>0.28000000000000003</v>
      </c>
      <c r="I4" s="83">
        <v>3</v>
      </c>
      <c r="J4" s="83">
        <v>0.76418983900000004</v>
      </c>
      <c r="K4" s="83">
        <v>9.3333333700000007E-2</v>
      </c>
      <c r="L4" s="83">
        <v>0</v>
      </c>
      <c r="M4" s="83">
        <v>0.2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3</v>
      </c>
      <c r="C5" s="83">
        <v>4</v>
      </c>
      <c r="D5"/>
      <c r="E5" s="178" t="s">
        <v>195</v>
      </c>
      <c r="F5" s="83">
        <v>0</v>
      </c>
      <c r="G5" s="83">
        <v>3.30000035E-2</v>
      </c>
      <c r="H5" s="83">
        <v>0.54400000000000004</v>
      </c>
      <c r="I5" s="83">
        <v>23.725000000000001</v>
      </c>
      <c r="J5" s="83">
        <v>0.36186269999999998</v>
      </c>
      <c r="K5" s="83">
        <v>2.2929399999999999E-2</v>
      </c>
      <c r="L5" s="83">
        <v>0</v>
      </c>
      <c r="M5" s="83">
        <v>0.2</v>
      </c>
      <c r="N5" s="83">
        <v>0</v>
      </c>
      <c r="P5" s="72"/>
      <c r="Q5" s="72"/>
      <c r="R5" s="72"/>
    </row>
    <row r="6" spans="1:46" ht="15" customHeight="1" thickBot="1" x14ac:dyDescent="0.2">
      <c r="B6" s="1"/>
      <c r="C6" s="83">
        <v>5</v>
      </c>
      <c r="D6"/>
      <c r="E6" s="178" t="s">
        <v>196</v>
      </c>
      <c r="F6" s="83">
        <v>0</v>
      </c>
      <c r="G6" s="83">
        <v>0.13800001100000001</v>
      </c>
      <c r="H6" s="83">
        <v>0.23599999999999999</v>
      </c>
      <c r="I6" s="83">
        <v>26.449000000000002</v>
      </c>
      <c r="J6" s="83">
        <v>0.199464485</v>
      </c>
      <c r="K6" s="83">
        <v>8.9228329999999998E-3</v>
      </c>
      <c r="L6" s="83">
        <v>0</v>
      </c>
      <c r="M6" s="83">
        <v>0.2</v>
      </c>
      <c r="N6" s="83">
        <v>0</v>
      </c>
      <c r="P6" s="72"/>
      <c r="Q6" s="72"/>
      <c r="R6" s="72"/>
      <c r="W6" s="36" t="s">
        <v>31</v>
      </c>
      <c r="X6" s="52">
        <f>MAX(MainOutputs!G:G)</f>
        <v>0.98202598094940186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280</v>
      </c>
      <c r="C7" s="83">
        <v>6</v>
      </c>
      <c r="D7"/>
      <c r="E7" s="178" t="s">
        <v>197</v>
      </c>
      <c r="F7" s="83">
        <v>0</v>
      </c>
      <c r="G7" s="83">
        <v>0.14700001500000001</v>
      </c>
      <c r="H7" s="83">
        <v>0.45</v>
      </c>
      <c r="I7" s="83">
        <v>1.85</v>
      </c>
      <c r="J7" s="83">
        <v>0.89373369999999996</v>
      </c>
      <c r="K7" s="83">
        <v>0.243243232</v>
      </c>
      <c r="L7" s="83">
        <v>0</v>
      </c>
      <c r="M7" s="83">
        <v>0.2</v>
      </c>
      <c r="N7" s="83">
        <v>0</v>
      </c>
      <c r="P7" s="72"/>
      <c r="Q7" s="72"/>
      <c r="R7" s="72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88</v>
      </c>
      <c r="C8" s="83">
        <v>7</v>
      </c>
      <c r="D8"/>
      <c r="E8" s="178" t="s">
        <v>198</v>
      </c>
      <c r="F8" s="83">
        <v>0</v>
      </c>
      <c r="G8" s="83">
        <v>0.19</v>
      </c>
      <c r="H8" s="83">
        <v>0.2</v>
      </c>
      <c r="I8" s="83">
        <v>2.92</v>
      </c>
      <c r="J8" s="83">
        <v>0.17095157499999999</v>
      </c>
      <c r="K8" s="83">
        <v>6.8493150000000003E-2</v>
      </c>
      <c r="L8" s="83">
        <v>0</v>
      </c>
      <c r="M8" s="83">
        <v>0.2</v>
      </c>
      <c r="N8" s="83">
        <v>0</v>
      </c>
      <c r="P8" s="72"/>
      <c r="Q8" s="72"/>
      <c r="R8" s="72"/>
    </row>
    <row r="9" spans="1:46" ht="15" customHeight="1" x14ac:dyDescent="0.15">
      <c r="B9" s="1"/>
      <c r="C9" s="83">
        <v>8</v>
      </c>
      <c r="D9"/>
      <c r="E9" s="178" t="s">
        <v>199</v>
      </c>
      <c r="F9" s="83">
        <v>0</v>
      </c>
      <c r="G9" s="83">
        <v>0.34560000000000002</v>
      </c>
      <c r="H9" s="83">
        <v>2.95</v>
      </c>
      <c r="I9" s="83">
        <v>12.1</v>
      </c>
      <c r="J9" s="83">
        <v>0.82236419999999999</v>
      </c>
      <c r="K9" s="83">
        <v>0.24380165300000001</v>
      </c>
      <c r="L9" s="83">
        <v>0</v>
      </c>
      <c r="M9" s="83">
        <v>0.2</v>
      </c>
      <c r="N9" s="83">
        <v>0</v>
      </c>
      <c r="P9" s="72"/>
      <c r="Q9" s="72"/>
      <c r="R9" s="72"/>
    </row>
    <row r="10" spans="1:46" ht="15" customHeight="1" x14ac:dyDescent="0.15">
      <c r="B10" s="1"/>
      <c r="C10" s="83">
        <v>9</v>
      </c>
      <c r="D10"/>
      <c r="E10" s="178" t="s">
        <v>200</v>
      </c>
      <c r="F10" s="83">
        <v>0</v>
      </c>
      <c r="G10" s="83">
        <v>0.33060002300000002</v>
      </c>
      <c r="H10" s="83">
        <v>2.2999999999999998</v>
      </c>
      <c r="I10" s="83">
        <v>10.199999999999999</v>
      </c>
      <c r="J10" s="83">
        <v>0.91599005499999997</v>
      </c>
      <c r="K10" s="83">
        <v>0.2254902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78" t="s">
        <v>201</v>
      </c>
      <c r="F11" s="83">
        <v>0</v>
      </c>
      <c r="G11" s="83">
        <v>0.29399999999999998</v>
      </c>
      <c r="H11" s="83">
        <v>0.79</v>
      </c>
      <c r="I11" s="83">
        <v>3.6</v>
      </c>
      <c r="J11" s="83">
        <v>0.97172349999999996</v>
      </c>
      <c r="K11" s="83">
        <v>0.21944445400000001</v>
      </c>
      <c r="L11" s="83">
        <v>0</v>
      </c>
      <c r="M11" s="83">
        <v>0.2</v>
      </c>
      <c r="N11" s="83">
        <v>0</v>
      </c>
    </row>
    <row r="12" spans="1:46" ht="15" customHeight="1" x14ac:dyDescent="0.15">
      <c r="C12" s="83">
        <v>11</v>
      </c>
      <c r="D12"/>
      <c r="E12" s="178" t="s">
        <v>202</v>
      </c>
      <c r="F12" s="83">
        <v>0</v>
      </c>
      <c r="G12" s="83">
        <v>0.26400000000000001</v>
      </c>
      <c r="H12" s="83">
        <v>6.3</v>
      </c>
      <c r="I12" s="83">
        <v>12.9</v>
      </c>
      <c r="J12" s="83">
        <v>0.94502073499999995</v>
      </c>
      <c r="K12" s="83">
        <v>0.48837211699999999</v>
      </c>
      <c r="L12" s="83">
        <v>0</v>
      </c>
      <c r="M12" s="83">
        <v>0.2</v>
      </c>
      <c r="N12" s="83">
        <v>0</v>
      </c>
    </row>
    <row r="13" spans="1:46" ht="15" customHeight="1" x14ac:dyDescent="0.15">
      <c r="C13" s="83">
        <v>12</v>
      </c>
      <c r="D13"/>
      <c r="E13" s="178" t="s">
        <v>203</v>
      </c>
      <c r="F13" s="83">
        <v>0</v>
      </c>
      <c r="G13" s="83">
        <v>2.9149999999999999E-2</v>
      </c>
      <c r="H13" s="83">
        <v>2.65</v>
      </c>
      <c r="I13" s="83">
        <v>6.28</v>
      </c>
      <c r="J13" s="83">
        <v>0.98202610000000001</v>
      </c>
      <c r="K13" s="83">
        <v>0.42197449999999997</v>
      </c>
      <c r="L13" s="83">
        <v>0</v>
      </c>
      <c r="M13" s="83">
        <v>0.2</v>
      </c>
      <c r="N13" s="83">
        <v>0</v>
      </c>
    </row>
    <row r="14" spans="1:46" ht="15" customHeight="1" x14ac:dyDescent="0.15">
      <c r="C14" s="83">
        <v>13</v>
      </c>
      <c r="D14"/>
      <c r="E14" s="178" t="s">
        <v>204</v>
      </c>
      <c r="F14" s="83">
        <v>0</v>
      </c>
      <c r="G14" s="83">
        <v>0.56340003000000005</v>
      </c>
      <c r="H14" s="83">
        <v>3.45</v>
      </c>
      <c r="I14" s="83">
        <v>18.399999999999999</v>
      </c>
      <c r="J14" s="83">
        <v>0.94384610000000002</v>
      </c>
      <c r="K14" s="83">
        <v>0.1875</v>
      </c>
      <c r="L14" s="83">
        <v>0</v>
      </c>
      <c r="M14" s="83">
        <v>0.2</v>
      </c>
      <c r="N14" s="83">
        <v>0</v>
      </c>
    </row>
    <row r="15" spans="1:46" ht="15" customHeight="1" x14ac:dyDescent="0.15">
      <c r="C15" s="83">
        <v>14</v>
      </c>
      <c r="D15"/>
      <c r="E15" s="178" t="s">
        <v>205</v>
      </c>
      <c r="F15" s="83">
        <v>0</v>
      </c>
      <c r="G15" s="83">
        <v>8.9999996099999993E-2</v>
      </c>
      <c r="H15" s="83">
        <v>3</v>
      </c>
      <c r="I15" s="83">
        <v>8.5</v>
      </c>
      <c r="J15" s="83">
        <v>0.92309810000000003</v>
      </c>
      <c r="K15" s="83">
        <v>0.35294120000000001</v>
      </c>
      <c r="L15" s="83">
        <v>0</v>
      </c>
      <c r="M15" s="83">
        <v>0.2</v>
      </c>
      <c r="N15" s="83">
        <v>0</v>
      </c>
    </row>
    <row r="16" spans="1:46" ht="15" customHeight="1" x14ac:dyDescent="0.15">
      <c r="C16" s="83">
        <v>15</v>
      </c>
      <c r="D16"/>
      <c r="E16" s="178" t="s">
        <v>206</v>
      </c>
      <c r="F16" s="83">
        <v>0</v>
      </c>
      <c r="G16" s="83">
        <v>1.5043500000000001</v>
      </c>
      <c r="H16" s="83">
        <v>4.95</v>
      </c>
      <c r="I16" s="83">
        <v>10.199999999999999</v>
      </c>
      <c r="J16" s="83">
        <v>0.49917602500000002</v>
      </c>
      <c r="K16" s="83">
        <v>0.48529410000000001</v>
      </c>
      <c r="L16" s="83">
        <v>0</v>
      </c>
      <c r="M16" s="83">
        <v>0.2</v>
      </c>
      <c r="N16" s="83">
        <v>0</v>
      </c>
    </row>
    <row r="17" spans="1:22" ht="15" customHeight="1" x14ac:dyDescent="0.15">
      <c r="C17" s="83">
        <v>16</v>
      </c>
      <c r="D17"/>
      <c r="E17" s="178" t="s">
        <v>207</v>
      </c>
      <c r="F17" s="83">
        <v>0</v>
      </c>
      <c r="G17" s="83">
        <v>5.54</v>
      </c>
      <c r="H17" s="83">
        <v>1.95</v>
      </c>
      <c r="I17" s="83">
        <v>5.6</v>
      </c>
      <c r="J17" s="83">
        <v>0.86406380000000005</v>
      </c>
      <c r="K17" s="83">
        <v>0.34821429999999998</v>
      </c>
      <c r="L17" s="83">
        <v>0</v>
      </c>
      <c r="M17" s="83">
        <v>0.2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78" t="s">
        <v>208</v>
      </c>
      <c r="F18" s="83">
        <v>0</v>
      </c>
      <c r="G18" s="83">
        <v>1.2532300000000001</v>
      </c>
      <c r="H18" s="83">
        <v>2.5</v>
      </c>
      <c r="I18" s="83">
        <v>7.9370000000000003</v>
      </c>
      <c r="J18" s="83">
        <v>0.75</v>
      </c>
      <c r="K18" s="83">
        <v>0.31498047699999998</v>
      </c>
      <c r="L18" s="83">
        <v>0</v>
      </c>
      <c r="M18" s="83">
        <v>0.2</v>
      </c>
      <c r="N18" s="83">
        <v>0</v>
      </c>
      <c r="V18" s="1"/>
    </row>
    <row r="19" spans="1:22" ht="15" customHeight="1" x14ac:dyDescent="0.15">
      <c r="C19" s="83">
        <v>18</v>
      </c>
      <c r="D19"/>
      <c r="E19" s="178" t="s">
        <v>209</v>
      </c>
      <c r="F19" s="83">
        <v>0</v>
      </c>
      <c r="G19" s="83">
        <v>2.56000012E-2</v>
      </c>
      <c r="H19" s="83">
        <v>2.65</v>
      </c>
      <c r="I19" s="83">
        <v>8.5</v>
      </c>
      <c r="J19" s="83">
        <v>0.90689319999999995</v>
      </c>
      <c r="K19" s="83">
        <v>0.31176471700000002</v>
      </c>
      <c r="L19" s="83">
        <v>0</v>
      </c>
      <c r="M19" s="83">
        <v>0.2</v>
      </c>
      <c r="N19" s="83">
        <v>0</v>
      </c>
    </row>
    <row r="20" spans="1:22" ht="15" customHeight="1" thickBot="1" x14ac:dyDescent="0.2">
      <c r="C20" s="83">
        <v>19</v>
      </c>
      <c r="D20"/>
      <c r="E20" s="178" t="s">
        <v>210</v>
      </c>
      <c r="F20" s="83">
        <v>0</v>
      </c>
      <c r="G20" s="83">
        <v>0.44974999999999998</v>
      </c>
      <c r="H20" s="83">
        <v>4.03</v>
      </c>
      <c r="I20" s="83">
        <v>10.199999999999999</v>
      </c>
      <c r="J20" s="83">
        <v>0.86406939999999999</v>
      </c>
      <c r="K20" s="83">
        <v>0.39509805999999997</v>
      </c>
      <c r="L20" s="83">
        <v>0</v>
      </c>
      <c r="M20" s="83">
        <v>0.2</v>
      </c>
      <c r="N20" s="83">
        <v>0</v>
      </c>
    </row>
    <row r="21" spans="1:22" ht="15" customHeight="1" thickBot="1" x14ac:dyDescent="0.2">
      <c r="A21" s="47" t="s">
        <v>137</v>
      </c>
      <c r="B21" s="101"/>
      <c r="C21" s="83">
        <v>20</v>
      </c>
      <c r="D21"/>
      <c r="E21" s="178" t="s">
        <v>211</v>
      </c>
      <c r="F21" s="83">
        <v>0</v>
      </c>
      <c r="G21" s="83">
        <v>3.1862754799999999</v>
      </c>
      <c r="H21" s="83">
        <v>3.45</v>
      </c>
      <c r="I21" s="83">
        <v>11.68</v>
      </c>
      <c r="J21" s="83">
        <v>0.75</v>
      </c>
      <c r="K21" s="83">
        <v>0.29537671799999998</v>
      </c>
      <c r="L21" s="83">
        <v>0</v>
      </c>
      <c r="M21" s="83">
        <v>0.2</v>
      </c>
      <c r="N21" s="83">
        <v>0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78" t="s">
        <v>212</v>
      </c>
      <c r="F22" s="83">
        <v>0</v>
      </c>
      <c r="G22" s="83">
        <v>22.9333916</v>
      </c>
      <c r="H22" s="83">
        <v>8</v>
      </c>
      <c r="I22" s="83">
        <v>27</v>
      </c>
      <c r="J22" s="83">
        <v>0.8</v>
      </c>
      <c r="K22" s="83">
        <v>0.29629630000000001</v>
      </c>
      <c r="L22" s="83">
        <v>0</v>
      </c>
      <c r="M22" s="83">
        <v>0.2</v>
      </c>
      <c r="N22" s="83">
        <v>0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78" t="s">
        <v>213</v>
      </c>
      <c r="F23" s="83">
        <v>0</v>
      </c>
      <c r="G23" s="83">
        <v>3.6280000000000001</v>
      </c>
      <c r="H23" s="83">
        <v>2.85</v>
      </c>
      <c r="I23" s="83">
        <v>14.4</v>
      </c>
      <c r="J23" s="83">
        <v>0.94561669999999998</v>
      </c>
      <c r="K23" s="83">
        <v>0.19791667199999999</v>
      </c>
      <c r="L23" s="83">
        <v>0</v>
      </c>
      <c r="M23" s="83">
        <v>0.2</v>
      </c>
      <c r="N23" s="83">
        <v>0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78" t="s">
        <v>214</v>
      </c>
      <c r="F24" s="83">
        <v>0</v>
      </c>
      <c r="G24" s="83">
        <v>3.3035999999999999</v>
      </c>
      <c r="H24" s="83">
        <v>1.65</v>
      </c>
      <c r="I24" s="83">
        <v>6.2</v>
      </c>
      <c r="J24" s="83">
        <v>0.90768649999999995</v>
      </c>
      <c r="K24" s="83">
        <v>0.26612904700000001</v>
      </c>
      <c r="L24" s="83">
        <v>0</v>
      </c>
      <c r="M24" s="83">
        <v>0.2</v>
      </c>
      <c r="N24" s="83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78" t="s">
        <v>215</v>
      </c>
      <c r="F25" s="83">
        <v>0</v>
      </c>
      <c r="G25" s="83">
        <v>7.2900004700000007E-2</v>
      </c>
      <c r="H25" s="83">
        <v>3.98</v>
      </c>
      <c r="I25" s="83">
        <v>10.3</v>
      </c>
      <c r="J25" s="83">
        <v>0.98114319999999999</v>
      </c>
      <c r="K25" s="83">
        <v>0.38640776300000002</v>
      </c>
      <c r="L25" s="83">
        <v>0</v>
      </c>
      <c r="M25" s="83">
        <v>0.2</v>
      </c>
      <c r="N25" s="83">
        <v>0</v>
      </c>
    </row>
    <row r="26" spans="1:22" ht="15" customHeight="1" x14ac:dyDescent="0.15">
      <c r="A26" s="106" t="s">
        <v>140</v>
      </c>
      <c r="C26" s="83">
        <v>25</v>
      </c>
      <c r="D26"/>
      <c r="E26" s="178" t="s">
        <v>216</v>
      </c>
      <c r="F26" s="83">
        <v>0</v>
      </c>
      <c r="G26" s="83">
        <v>2.8860000000000001</v>
      </c>
      <c r="H26" s="83">
        <v>38</v>
      </c>
      <c r="I26" s="83">
        <v>84</v>
      </c>
      <c r="J26" s="83">
        <v>0.97462780000000004</v>
      </c>
      <c r="K26" s="83">
        <v>0.45238095499999997</v>
      </c>
      <c r="L26" s="83">
        <v>0</v>
      </c>
      <c r="M26" s="83">
        <v>0.2</v>
      </c>
      <c r="N26" s="83">
        <v>0</v>
      </c>
    </row>
    <row r="27" spans="1:22" ht="15" customHeight="1" x14ac:dyDescent="0.15">
      <c r="C27" s="83">
        <v>26</v>
      </c>
      <c r="D27"/>
      <c r="E27" s="178" t="s">
        <v>217</v>
      </c>
      <c r="F27" s="83">
        <v>0</v>
      </c>
      <c r="G27" s="83">
        <v>39.457709999999999</v>
      </c>
      <c r="H27" s="83">
        <v>27</v>
      </c>
      <c r="I27" s="83">
        <v>60</v>
      </c>
      <c r="J27" s="83">
        <v>0.9</v>
      </c>
      <c r="K27" s="83">
        <v>0.45</v>
      </c>
      <c r="L27" s="83">
        <v>0</v>
      </c>
      <c r="M27" s="83">
        <v>0.2</v>
      </c>
      <c r="N27" s="83">
        <v>0</v>
      </c>
    </row>
    <row r="28" spans="1:22" ht="15" customHeight="1" x14ac:dyDescent="0.15">
      <c r="C28" s="83">
        <v>27</v>
      </c>
      <c r="D28"/>
      <c r="E28" s="178" t="s">
        <v>218</v>
      </c>
      <c r="F28" s="83">
        <v>1</v>
      </c>
      <c r="G28" s="83">
        <v>33.950607300000001</v>
      </c>
      <c r="H28" s="83">
        <v>60</v>
      </c>
      <c r="I28" s="83">
        <v>0</v>
      </c>
      <c r="J28" s="83">
        <v>0.9</v>
      </c>
      <c r="K28" s="83">
        <v>0</v>
      </c>
      <c r="L28" s="83">
        <v>0</v>
      </c>
      <c r="M28" s="83">
        <v>0</v>
      </c>
      <c r="N28" s="83">
        <v>0</v>
      </c>
    </row>
    <row r="29" spans="1:22" customFormat="1" ht="15" customHeight="1" x14ac:dyDescent="0.15">
      <c r="C29" s="83">
        <v>28</v>
      </c>
      <c r="E29" s="178" t="s">
        <v>219</v>
      </c>
      <c r="F29" s="83">
        <v>1</v>
      </c>
      <c r="G29" s="83">
        <v>1.6099999</v>
      </c>
      <c r="H29" s="83">
        <v>60</v>
      </c>
      <c r="I29" s="83">
        <v>0</v>
      </c>
      <c r="J29" s="83">
        <v>0.89986889999999997</v>
      </c>
      <c r="K29" s="83">
        <v>0</v>
      </c>
      <c r="L29" s="83">
        <v>0</v>
      </c>
      <c r="M29" s="83">
        <v>0</v>
      </c>
      <c r="N29" s="83">
        <v>0</v>
      </c>
    </row>
    <row r="30" spans="1:22" customFormat="1" ht="15" customHeight="1" x14ac:dyDescent="0.15">
      <c r="C30" s="83">
        <v>29</v>
      </c>
      <c r="E30" s="178" t="s">
        <v>220</v>
      </c>
      <c r="F30" s="83">
        <v>2</v>
      </c>
      <c r="G30" s="83">
        <v>0</v>
      </c>
      <c r="H30" s="83">
        <v>0</v>
      </c>
      <c r="I30" s="83">
        <v>0</v>
      </c>
      <c r="J30" s="83">
        <v>0.25184086</v>
      </c>
      <c r="K30" s="83">
        <v>0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78" t="s">
        <v>221</v>
      </c>
      <c r="F31" s="83">
        <v>2</v>
      </c>
      <c r="G31" s="83">
        <v>5</v>
      </c>
      <c r="H31" s="83">
        <v>0</v>
      </c>
      <c r="I31" s="83">
        <v>0</v>
      </c>
      <c r="J31" s="83">
        <v>0</v>
      </c>
      <c r="K31" s="83">
        <v>0</v>
      </c>
      <c r="L31" s="83">
        <v>0</v>
      </c>
      <c r="M31" s="83">
        <v>0</v>
      </c>
      <c r="N31" s="83">
        <v>0</v>
      </c>
    </row>
    <row r="32" spans="1:22" customFormat="1" ht="15" customHeight="1" x14ac:dyDescent="0.15">
      <c r="C32" s="83">
        <v>31</v>
      </c>
      <c r="E32" s="178" t="s">
        <v>222</v>
      </c>
      <c r="F32" s="83">
        <v>3</v>
      </c>
      <c r="G32" s="83">
        <v>0</v>
      </c>
      <c r="H32" s="83">
        <v>0</v>
      </c>
      <c r="I32" s="83">
        <v>0</v>
      </c>
      <c r="J32" s="83">
        <v>0</v>
      </c>
      <c r="K32" s="83">
        <v>0</v>
      </c>
      <c r="L32" s="83">
        <v>0</v>
      </c>
      <c r="M32" s="83">
        <v>0</v>
      </c>
      <c r="N32" s="83">
        <v>0</v>
      </c>
    </row>
    <row r="33" spans="3:14" customFormat="1" ht="15" customHeight="1" x14ac:dyDescent="0.15">
      <c r="C33" s="83">
        <v>32</v>
      </c>
      <c r="E33" s="178" t="s">
        <v>223</v>
      </c>
      <c r="F33" s="83">
        <v>3</v>
      </c>
      <c r="G33" s="83">
        <v>0</v>
      </c>
      <c r="H33" s="83">
        <v>0</v>
      </c>
      <c r="I33" s="83">
        <v>0</v>
      </c>
      <c r="J33" s="83">
        <v>0</v>
      </c>
      <c r="K33" s="83">
        <v>0</v>
      </c>
      <c r="L33" s="83">
        <v>0</v>
      </c>
      <c r="M33" s="83">
        <v>0</v>
      </c>
      <c r="N33" s="83">
        <v>0</v>
      </c>
    </row>
    <row r="34" spans="3:14" customFormat="1" ht="15" customHeight="1" x14ac:dyDescent="0.15">
      <c r="C34" s="83">
        <v>33</v>
      </c>
      <c r="E34" s="178" t="s">
        <v>224</v>
      </c>
      <c r="F34" s="83">
        <v>3</v>
      </c>
      <c r="G34" s="83">
        <v>0</v>
      </c>
      <c r="H34" s="83">
        <v>0</v>
      </c>
      <c r="I34" s="83">
        <v>0</v>
      </c>
      <c r="J34" s="83">
        <v>0</v>
      </c>
      <c r="K34" s="83">
        <v>0</v>
      </c>
      <c r="L34" s="83">
        <v>0</v>
      </c>
      <c r="M34" s="83">
        <v>0</v>
      </c>
      <c r="N34" s="83">
        <v>0</v>
      </c>
    </row>
    <row r="35" spans="3:14" customFormat="1" ht="15" customHeight="1" x14ac:dyDescent="0.15"/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4" bestFit="1" customWidth="1"/>
    <col min="2" max="2" width="15.83203125" style="144" bestFit="1" customWidth="1"/>
    <col min="3" max="3" width="5.83203125" style="144" bestFit="1" customWidth="1"/>
    <col min="4" max="4" width="15.5" style="144" bestFit="1" customWidth="1"/>
    <col min="5" max="5" width="14.83203125" style="144" bestFit="1" customWidth="1"/>
    <col min="6" max="6" width="15.83203125" style="144" bestFit="1" customWidth="1"/>
    <col min="7" max="8" width="13.83203125" style="144" bestFit="1" customWidth="1"/>
    <col min="9" max="9" width="14.83203125" style="144" bestFit="1" customWidth="1"/>
    <col min="10" max="10" width="13.83203125" style="144" bestFit="1" customWidth="1"/>
    <col min="11" max="13" width="14.83203125" style="144" bestFit="1" customWidth="1"/>
    <col min="14" max="14" width="15.83203125" style="144" bestFit="1" customWidth="1"/>
    <col min="15" max="15" width="13.83203125" style="144" bestFit="1" customWidth="1"/>
    <col min="16" max="17" width="15.83203125" style="144" bestFit="1" customWidth="1"/>
    <col min="18" max="19" width="13.83203125" style="144" bestFit="1" customWidth="1"/>
    <col min="20" max="20" width="12.83203125" style="144" bestFit="1" customWidth="1"/>
    <col min="21" max="21" width="5.83203125" style="144" bestFit="1" customWidth="1"/>
    <col min="22" max="22" width="13.83203125" style="144" bestFit="1" customWidth="1"/>
    <col min="23" max="23" width="15.83203125" style="144" bestFit="1" customWidth="1"/>
    <col min="24" max="24" width="14.83203125" style="144" bestFit="1" customWidth="1"/>
    <col min="25" max="25" width="12.83203125" style="144" bestFit="1" customWidth="1"/>
    <col min="26" max="26" width="13.83203125" style="144" bestFit="1" customWidth="1"/>
    <col min="27" max="27" width="3.83203125" style="144" bestFit="1" customWidth="1"/>
    <col min="28" max="29" width="2.33203125" style="144" bestFit="1" customWidth="1"/>
    <col min="30" max="31" width="2.33203125" style="144" customWidth="1"/>
    <col min="32" max="16384" width="8.83203125" style="144"/>
  </cols>
  <sheetData>
    <row r="1" spans="1:34" x14ac:dyDescent="0.15">
      <c r="A1" s="143" t="s">
        <v>19</v>
      </c>
      <c r="B1" s="180" t="s">
        <v>192</v>
      </c>
      <c r="C1" s="180" t="s">
        <v>193</v>
      </c>
      <c r="D1" s="180" t="s">
        <v>194</v>
      </c>
      <c r="E1" s="180" t="s">
        <v>195</v>
      </c>
      <c r="F1" s="180" t="s">
        <v>196</v>
      </c>
      <c r="G1" s="180" t="s">
        <v>197</v>
      </c>
      <c r="H1" s="180" t="s">
        <v>198</v>
      </c>
      <c r="I1" s="180" t="s">
        <v>199</v>
      </c>
      <c r="J1" s="180" t="s">
        <v>200</v>
      </c>
      <c r="K1" s="180" t="s">
        <v>201</v>
      </c>
      <c r="L1" s="180" t="s">
        <v>202</v>
      </c>
      <c r="M1" s="180" t="s">
        <v>203</v>
      </c>
      <c r="N1" s="180" t="s">
        <v>204</v>
      </c>
      <c r="O1" s="180" t="s">
        <v>205</v>
      </c>
      <c r="P1" s="180" t="s">
        <v>206</v>
      </c>
      <c r="Q1" s="180" t="s">
        <v>207</v>
      </c>
      <c r="R1" s="180" t="s">
        <v>208</v>
      </c>
      <c r="S1" s="180" t="s">
        <v>209</v>
      </c>
      <c r="T1" s="180" t="s">
        <v>210</v>
      </c>
      <c r="U1" s="180" t="s">
        <v>211</v>
      </c>
      <c r="V1" s="180" t="s">
        <v>212</v>
      </c>
      <c r="W1" s="180" t="s">
        <v>213</v>
      </c>
      <c r="X1" s="180" t="s">
        <v>214</v>
      </c>
      <c r="Y1" s="180" t="s">
        <v>215</v>
      </c>
      <c r="Z1" s="180" t="s">
        <v>216</v>
      </c>
      <c r="AA1" s="180" t="s">
        <v>217</v>
      </c>
      <c r="AB1" s="180" t="s">
        <v>218</v>
      </c>
      <c r="AC1" s="180" t="s">
        <v>219</v>
      </c>
      <c r="AD1" s="180" t="s">
        <v>220</v>
      </c>
      <c r="AE1" s="180" t="s">
        <v>221</v>
      </c>
      <c r="AF1"/>
      <c r="AG1"/>
      <c r="AH1"/>
    </row>
    <row r="2" spans="1:34" customFormat="1" x14ac:dyDescent="0.15">
      <c r="A2" s="179" t="s">
        <v>192</v>
      </c>
      <c r="B2" s="144">
        <v>9.9880035105878295E-3</v>
      </c>
      <c r="C2" s="144">
        <v>1.4999999999999999E-2</v>
      </c>
      <c r="D2" s="144">
        <v>0</v>
      </c>
      <c r="E2" s="144">
        <v>1.9980022751448683E-3</v>
      </c>
      <c r="F2" s="144">
        <v>0</v>
      </c>
      <c r="G2" s="144">
        <v>0</v>
      </c>
      <c r="H2" s="144">
        <v>0</v>
      </c>
      <c r="I2" s="144">
        <v>0</v>
      </c>
      <c r="J2" s="144">
        <v>0</v>
      </c>
      <c r="K2" s="144">
        <v>0</v>
      </c>
      <c r="L2" s="144">
        <v>0</v>
      </c>
      <c r="M2" s="144">
        <v>0</v>
      </c>
      <c r="N2" s="144">
        <v>0</v>
      </c>
      <c r="O2" s="144">
        <v>0</v>
      </c>
      <c r="P2" s="144">
        <v>0</v>
      </c>
      <c r="Q2" s="144">
        <v>2.0000400264233289E-5</v>
      </c>
      <c r="R2" s="144">
        <v>0</v>
      </c>
      <c r="S2" s="144">
        <v>0</v>
      </c>
      <c r="T2" s="144">
        <v>0</v>
      </c>
      <c r="U2" s="144">
        <v>0</v>
      </c>
      <c r="V2" s="144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4">
        <v>0</v>
      </c>
      <c r="AD2" s="144">
        <v>0</v>
      </c>
      <c r="AE2" s="144">
        <v>0</v>
      </c>
    </row>
    <row r="3" spans="1:34" customFormat="1" x14ac:dyDescent="0.15">
      <c r="A3" s="179" t="s">
        <v>193</v>
      </c>
      <c r="B3" s="144">
        <v>0</v>
      </c>
      <c r="C3" s="144">
        <v>0</v>
      </c>
      <c r="D3" s="144">
        <v>9.999000591940785E-5</v>
      </c>
      <c r="E3" s="144">
        <v>0</v>
      </c>
      <c r="F3" s="144">
        <v>9.9990000966903298E-5</v>
      </c>
      <c r="G3" s="144">
        <v>0</v>
      </c>
      <c r="H3" s="144">
        <v>0</v>
      </c>
      <c r="I3" s="144">
        <v>0</v>
      </c>
      <c r="J3" s="144">
        <v>0</v>
      </c>
      <c r="K3" s="144">
        <v>0</v>
      </c>
      <c r="L3" s="144">
        <v>0</v>
      </c>
      <c r="M3" s="144">
        <v>0</v>
      </c>
      <c r="N3" s="144">
        <v>0</v>
      </c>
      <c r="O3" s="144">
        <v>0</v>
      </c>
      <c r="P3" s="144">
        <v>0</v>
      </c>
      <c r="Q3" s="144">
        <v>0</v>
      </c>
      <c r="R3" s="144">
        <v>0</v>
      </c>
      <c r="S3" s="144">
        <v>0</v>
      </c>
      <c r="T3" s="144">
        <v>0</v>
      </c>
      <c r="U3" s="144">
        <v>0</v>
      </c>
      <c r="V3" s="144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4">
        <v>0</v>
      </c>
      <c r="AD3" s="144">
        <v>0</v>
      </c>
      <c r="AE3" s="144">
        <v>0</v>
      </c>
    </row>
    <row r="4" spans="1:34" customFormat="1" x14ac:dyDescent="0.15">
      <c r="A4" s="179" t="s">
        <v>194</v>
      </c>
      <c r="B4" s="144">
        <v>0</v>
      </c>
      <c r="C4" s="144">
        <v>0</v>
      </c>
      <c r="D4" s="144">
        <v>1.0009009591532318E-3</v>
      </c>
      <c r="E4" s="144">
        <v>0</v>
      </c>
      <c r="F4" s="144">
        <v>0</v>
      </c>
      <c r="G4" s="144">
        <v>0</v>
      </c>
      <c r="H4" s="144">
        <v>0</v>
      </c>
      <c r="I4" s="144">
        <v>0</v>
      </c>
      <c r="J4" s="144">
        <v>0</v>
      </c>
      <c r="K4" s="144">
        <v>0</v>
      </c>
      <c r="L4" s="144">
        <v>0</v>
      </c>
      <c r="M4" s="144">
        <v>0</v>
      </c>
      <c r="N4" s="144">
        <v>0</v>
      </c>
      <c r="O4" s="144">
        <v>0</v>
      </c>
      <c r="P4" s="144">
        <v>0</v>
      </c>
      <c r="Q4" s="144">
        <v>0</v>
      </c>
      <c r="R4" s="144">
        <v>0</v>
      </c>
      <c r="S4" s="144">
        <v>0</v>
      </c>
      <c r="T4" s="144">
        <v>0</v>
      </c>
      <c r="U4" s="144">
        <v>0</v>
      </c>
      <c r="V4" s="144">
        <v>0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4">
        <v>0</v>
      </c>
      <c r="AD4" s="144">
        <v>0</v>
      </c>
      <c r="AE4" s="144">
        <v>0</v>
      </c>
    </row>
    <row r="5" spans="1:34" customFormat="1" x14ac:dyDescent="0.15">
      <c r="A5" s="179" t="s">
        <v>195</v>
      </c>
      <c r="B5" s="144">
        <v>0</v>
      </c>
      <c r="C5" s="144">
        <v>0</v>
      </c>
      <c r="D5" s="144">
        <v>2.0018019183064635E-3</v>
      </c>
      <c r="E5" s="144">
        <v>0</v>
      </c>
      <c r="F5" s="144">
        <v>9.999000096690329E-4</v>
      </c>
      <c r="G5" s="144">
        <v>0</v>
      </c>
      <c r="H5" s="144">
        <v>0</v>
      </c>
      <c r="I5" s="144">
        <v>0</v>
      </c>
      <c r="J5" s="144">
        <v>0</v>
      </c>
      <c r="K5" s="144">
        <v>0</v>
      </c>
      <c r="L5" s="144">
        <v>0</v>
      </c>
      <c r="M5" s="144">
        <v>0</v>
      </c>
      <c r="N5" s="144">
        <v>0</v>
      </c>
      <c r="O5" s="144">
        <v>0</v>
      </c>
      <c r="P5" s="144">
        <v>0</v>
      </c>
      <c r="Q5" s="144">
        <v>0</v>
      </c>
      <c r="R5" s="144">
        <v>0</v>
      </c>
      <c r="S5" s="144">
        <v>0</v>
      </c>
      <c r="T5" s="144">
        <v>0</v>
      </c>
      <c r="U5" s="144">
        <v>0</v>
      </c>
      <c r="V5" s="144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4">
        <v>0</v>
      </c>
      <c r="AD5" s="144">
        <v>0</v>
      </c>
      <c r="AE5" s="144">
        <v>0</v>
      </c>
    </row>
    <row r="6" spans="1:34" customFormat="1" x14ac:dyDescent="0.15">
      <c r="A6" s="179" t="s">
        <v>196</v>
      </c>
      <c r="B6" s="144">
        <v>0</v>
      </c>
      <c r="C6" s="144">
        <v>0</v>
      </c>
      <c r="D6" s="144">
        <v>2.0018019183064635E-3</v>
      </c>
      <c r="E6" s="144">
        <v>0</v>
      </c>
      <c r="F6" s="144">
        <v>9.999000096690329E-4</v>
      </c>
      <c r="G6" s="144">
        <v>0</v>
      </c>
      <c r="H6" s="144">
        <v>0</v>
      </c>
      <c r="I6" s="144">
        <v>0</v>
      </c>
      <c r="J6" s="144">
        <v>0</v>
      </c>
      <c r="K6" s="144">
        <v>0</v>
      </c>
      <c r="L6" s="144">
        <v>0</v>
      </c>
      <c r="M6" s="144">
        <v>0</v>
      </c>
      <c r="N6" s="144">
        <v>0</v>
      </c>
      <c r="O6" s="144">
        <v>0</v>
      </c>
      <c r="P6" s="144">
        <v>0</v>
      </c>
      <c r="Q6" s="144">
        <v>0</v>
      </c>
      <c r="R6" s="144">
        <v>0</v>
      </c>
      <c r="S6" s="144">
        <v>0</v>
      </c>
      <c r="T6" s="144">
        <v>0</v>
      </c>
      <c r="U6" s="144">
        <v>0</v>
      </c>
      <c r="V6" s="144">
        <v>0</v>
      </c>
      <c r="W6" s="144">
        <v>0</v>
      </c>
      <c r="X6" s="144">
        <v>0</v>
      </c>
      <c r="Y6" s="144">
        <v>0</v>
      </c>
      <c r="Z6" s="144">
        <v>0</v>
      </c>
      <c r="AA6" s="144">
        <v>0</v>
      </c>
      <c r="AB6" s="144">
        <v>0</v>
      </c>
      <c r="AC6" s="144">
        <v>0</v>
      </c>
      <c r="AD6" s="144">
        <v>0</v>
      </c>
      <c r="AE6" s="144">
        <v>0</v>
      </c>
    </row>
    <row r="7" spans="1:34" customFormat="1" x14ac:dyDescent="0.15">
      <c r="A7" s="179" t="s">
        <v>197</v>
      </c>
      <c r="B7" s="144">
        <v>8.4898045839995773E-2</v>
      </c>
      <c r="C7" s="144">
        <v>8.5999999999999993E-2</v>
      </c>
      <c r="D7" s="144">
        <v>1.7015314905604997E-2</v>
      </c>
      <c r="E7" s="144">
        <v>0</v>
      </c>
      <c r="F7" s="144">
        <v>6.9993003976832344E-3</v>
      </c>
      <c r="G7" s="144">
        <v>0</v>
      </c>
      <c r="H7" s="144">
        <v>0</v>
      </c>
      <c r="I7" s="144">
        <v>0</v>
      </c>
      <c r="J7" s="144">
        <v>0</v>
      </c>
      <c r="K7" s="144">
        <v>0</v>
      </c>
      <c r="L7" s="144">
        <v>0</v>
      </c>
      <c r="M7" s="144">
        <v>0</v>
      </c>
      <c r="N7" s="144">
        <v>0</v>
      </c>
      <c r="O7" s="144">
        <v>0</v>
      </c>
      <c r="P7" s="144">
        <v>0</v>
      </c>
      <c r="Q7" s="144">
        <v>1.0007932532218801E-5</v>
      </c>
      <c r="R7" s="144">
        <v>9.9990000999900002E-5</v>
      </c>
      <c r="S7" s="144">
        <v>0</v>
      </c>
      <c r="T7" s="144">
        <v>0</v>
      </c>
      <c r="U7" s="144">
        <v>0</v>
      </c>
      <c r="V7" s="144">
        <v>0</v>
      </c>
      <c r="W7" s="144">
        <v>0</v>
      </c>
      <c r="X7" s="144">
        <v>0</v>
      </c>
      <c r="Y7" s="144">
        <v>0</v>
      </c>
      <c r="Z7" s="144">
        <v>0</v>
      </c>
      <c r="AA7" s="144">
        <v>0</v>
      </c>
      <c r="AB7" s="144">
        <v>0</v>
      </c>
      <c r="AC7" s="144">
        <v>0</v>
      </c>
      <c r="AD7" s="144">
        <v>0</v>
      </c>
      <c r="AE7" s="144">
        <v>0</v>
      </c>
    </row>
    <row r="8" spans="1:34" customFormat="1" x14ac:dyDescent="0.15">
      <c r="A8" s="179" t="s">
        <v>198</v>
      </c>
      <c r="B8" s="144">
        <v>0</v>
      </c>
      <c r="C8" s="144">
        <v>0</v>
      </c>
      <c r="D8" s="144">
        <v>2.0018019183064635E-3</v>
      </c>
      <c r="E8" s="144">
        <v>0</v>
      </c>
      <c r="F8" s="144">
        <v>9.999000096690329E-4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  <c r="AC8" s="144">
        <v>0</v>
      </c>
      <c r="AD8" s="144">
        <v>0</v>
      </c>
      <c r="AE8" s="144">
        <v>0</v>
      </c>
    </row>
    <row r="9" spans="1:34" customFormat="1" x14ac:dyDescent="0.15">
      <c r="A9" s="179" t="s">
        <v>199</v>
      </c>
      <c r="B9" s="144">
        <v>0.12485005888234713</v>
      </c>
      <c r="C9" s="144">
        <v>0.153</v>
      </c>
      <c r="D9" s="144">
        <v>0.1090981915477028</v>
      </c>
      <c r="E9" s="144">
        <v>0.16483519284945186</v>
      </c>
      <c r="F9" s="144">
        <v>1.8998100183711626E-2</v>
      </c>
      <c r="G9" s="144">
        <v>0</v>
      </c>
      <c r="H9" s="144">
        <v>0</v>
      </c>
      <c r="I9" s="144">
        <v>1.2999999666810006E-2</v>
      </c>
      <c r="J9" s="144">
        <v>0</v>
      </c>
      <c r="K9" s="144">
        <v>6.0000002125599888E-3</v>
      </c>
      <c r="L9" s="144">
        <v>0</v>
      </c>
      <c r="M9" s="144">
        <v>0</v>
      </c>
      <c r="N9" s="144">
        <v>0</v>
      </c>
      <c r="O9" s="144">
        <v>0</v>
      </c>
      <c r="P9" s="144">
        <v>0</v>
      </c>
      <c r="Q9" s="144">
        <v>1.0007931432218785E-4</v>
      </c>
      <c r="R9" s="144">
        <v>0</v>
      </c>
      <c r="S9" s="144">
        <v>0</v>
      </c>
      <c r="T9" s="144">
        <v>0</v>
      </c>
      <c r="U9" s="144">
        <v>0</v>
      </c>
      <c r="V9" s="144">
        <v>0</v>
      </c>
      <c r="W9" s="144">
        <v>0</v>
      </c>
      <c r="X9" s="144">
        <v>0</v>
      </c>
      <c r="Y9" s="144">
        <v>0</v>
      </c>
      <c r="Z9" s="144">
        <v>0</v>
      </c>
      <c r="AA9" s="144">
        <v>0</v>
      </c>
      <c r="AB9" s="144">
        <v>0</v>
      </c>
      <c r="AC9" s="144">
        <v>0</v>
      </c>
      <c r="AD9" s="144">
        <v>0</v>
      </c>
      <c r="AE9" s="144">
        <v>0</v>
      </c>
    </row>
    <row r="10" spans="1:34" customFormat="1" x14ac:dyDescent="0.15">
      <c r="A10" s="179" t="s">
        <v>200</v>
      </c>
      <c r="B10" s="144">
        <v>5.6931623310350468E-2</v>
      </c>
      <c r="C10" s="144">
        <v>0</v>
      </c>
      <c r="D10" s="144">
        <v>7.0063067140726229E-2</v>
      </c>
      <c r="E10" s="144">
        <v>0</v>
      </c>
      <c r="F10" s="144">
        <v>8.9991000870212959E-3</v>
      </c>
      <c r="G10" s="144">
        <v>0</v>
      </c>
      <c r="H10" s="144">
        <v>0</v>
      </c>
      <c r="I10" s="144">
        <v>1.0000001343699965E-3</v>
      </c>
      <c r="J10" s="144">
        <v>0</v>
      </c>
      <c r="K10" s="144">
        <v>3.6000000355359982E-2</v>
      </c>
      <c r="L10" s="144">
        <v>1.4000000195940011E-2</v>
      </c>
      <c r="M10" s="144">
        <v>0</v>
      </c>
      <c r="N10" s="144">
        <v>0</v>
      </c>
      <c r="O10" s="144">
        <v>0</v>
      </c>
      <c r="P10" s="144">
        <v>0</v>
      </c>
      <c r="Q10" s="144">
        <v>1.0007931432218785E-4</v>
      </c>
      <c r="R10" s="144">
        <v>0</v>
      </c>
      <c r="S10" s="144">
        <v>0</v>
      </c>
      <c r="T10" s="144">
        <v>0</v>
      </c>
      <c r="U10" s="144">
        <v>0</v>
      </c>
      <c r="V10" s="144">
        <v>0</v>
      </c>
      <c r="W10" s="144">
        <v>9.9800403951097981E-4</v>
      </c>
      <c r="X10" s="144">
        <v>0</v>
      </c>
      <c r="Y10" s="144">
        <v>0</v>
      </c>
      <c r="Z10" s="144">
        <v>0</v>
      </c>
      <c r="AA10" s="144">
        <v>0</v>
      </c>
      <c r="AB10" s="144">
        <v>0</v>
      </c>
      <c r="AC10" s="144">
        <v>0</v>
      </c>
      <c r="AD10" s="144">
        <v>0</v>
      </c>
      <c r="AE10" s="144">
        <v>0</v>
      </c>
    </row>
    <row r="11" spans="1:34" customFormat="1" x14ac:dyDescent="0.15">
      <c r="A11" s="179" t="s">
        <v>201</v>
      </c>
      <c r="B11" s="144">
        <v>1.997600902117556E-3</v>
      </c>
      <c r="C11" s="144">
        <v>0.04</v>
      </c>
      <c r="D11" s="144">
        <v>3.0027026974597026E-2</v>
      </c>
      <c r="E11" s="144">
        <v>5.8941012806771026E-2</v>
      </c>
      <c r="F11" s="144">
        <v>2.9997000290070989E-3</v>
      </c>
      <c r="G11" s="144">
        <v>0</v>
      </c>
      <c r="H11" s="144">
        <v>0</v>
      </c>
      <c r="I11" s="144">
        <v>0</v>
      </c>
      <c r="J11" s="144">
        <v>0</v>
      </c>
      <c r="K11" s="144">
        <v>0</v>
      </c>
      <c r="L11" s="144">
        <v>0</v>
      </c>
      <c r="M11" s="144">
        <v>0</v>
      </c>
      <c r="N11" s="144">
        <v>0</v>
      </c>
      <c r="O11" s="144">
        <v>0</v>
      </c>
      <c r="P11" s="144">
        <v>0</v>
      </c>
      <c r="Q11" s="144">
        <v>0</v>
      </c>
      <c r="R11" s="144">
        <v>0</v>
      </c>
      <c r="S11" s="144">
        <v>0</v>
      </c>
      <c r="T11" s="144">
        <v>0</v>
      </c>
      <c r="U11" s="144">
        <v>0</v>
      </c>
      <c r="V11" s="144">
        <v>0</v>
      </c>
      <c r="W11" s="144">
        <v>0</v>
      </c>
      <c r="X11" s="144">
        <v>0</v>
      </c>
      <c r="Y11" s="144">
        <v>0</v>
      </c>
      <c r="Z11" s="144">
        <v>0</v>
      </c>
      <c r="AA11" s="144">
        <v>0</v>
      </c>
      <c r="AB11" s="144">
        <v>0</v>
      </c>
      <c r="AC11" s="144">
        <v>0</v>
      </c>
      <c r="AD11" s="144">
        <v>0</v>
      </c>
      <c r="AE11" s="144">
        <v>0</v>
      </c>
    </row>
    <row r="12" spans="1:34" customFormat="1" x14ac:dyDescent="0.15">
      <c r="A12" s="179" t="s">
        <v>202</v>
      </c>
      <c r="B12" s="144">
        <v>0</v>
      </c>
      <c r="C12" s="144">
        <v>0</v>
      </c>
      <c r="D12" s="144">
        <v>0</v>
      </c>
      <c r="E12" s="144">
        <v>0</v>
      </c>
      <c r="F12" s="144">
        <v>0</v>
      </c>
      <c r="G12" s="144">
        <v>0</v>
      </c>
      <c r="H12" s="144">
        <v>0</v>
      </c>
      <c r="I12" s="144">
        <v>2.9999999231100018E-3</v>
      </c>
      <c r="J12" s="144">
        <v>6.6933065973976066E-2</v>
      </c>
      <c r="K12" s="144">
        <v>0.1159999980561601</v>
      </c>
      <c r="L12" s="144">
        <v>7.0000003479700174E-2</v>
      </c>
      <c r="M12" s="144">
        <v>0.1791791889897896</v>
      </c>
      <c r="N12" s="144">
        <v>2.2013216552503247E-2</v>
      </c>
      <c r="O12" s="144">
        <v>0</v>
      </c>
      <c r="P12" s="144">
        <v>0</v>
      </c>
      <c r="Q12" s="144">
        <v>7.0038510925306795E-3</v>
      </c>
      <c r="R12" s="144">
        <v>0</v>
      </c>
      <c r="S12" s="144">
        <v>0</v>
      </c>
      <c r="T12" s="144">
        <v>0</v>
      </c>
      <c r="U12" s="144">
        <v>0</v>
      </c>
      <c r="V12" s="144">
        <v>0</v>
      </c>
      <c r="W12" s="144">
        <v>0</v>
      </c>
      <c r="X12" s="144">
        <v>1.8018017472072045E-2</v>
      </c>
      <c r="Y12" s="144">
        <v>0</v>
      </c>
      <c r="Z12" s="144">
        <v>0</v>
      </c>
      <c r="AA12" s="144">
        <v>0</v>
      </c>
      <c r="AB12" s="144">
        <v>0</v>
      </c>
      <c r="AC12" s="144">
        <v>0</v>
      </c>
      <c r="AD12" s="144">
        <v>0</v>
      </c>
      <c r="AE12" s="144">
        <v>0</v>
      </c>
    </row>
    <row r="13" spans="1:34" customFormat="1" x14ac:dyDescent="0.15">
      <c r="A13" s="179" t="s">
        <v>203</v>
      </c>
      <c r="B13" s="144">
        <v>0</v>
      </c>
      <c r="C13" s="144">
        <v>0</v>
      </c>
      <c r="D13" s="144">
        <v>0</v>
      </c>
      <c r="E13" s="144">
        <v>0</v>
      </c>
      <c r="F13" s="144">
        <v>0</v>
      </c>
      <c r="G13" s="144">
        <v>0</v>
      </c>
      <c r="H13" s="144">
        <v>0</v>
      </c>
      <c r="I13" s="144">
        <v>0</v>
      </c>
      <c r="J13" s="144">
        <v>1.1988012378921054E-2</v>
      </c>
      <c r="K13" s="144">
        <v>2.2000000572719971E-2</v>
      </c>
      <c r="L13" s="144">
        <v>0</v>
      </c>
      <c r="M13" s="144">
        <v>8.0080088654654498E-3</v>
      </c>
      <c r="N13" s="144">
        <v>1.0006007205683302E-3</v>
      </c>
      <c r="O13" s="144">
        <v>0</v>
      </c>
      <c r="P13" s="144">
        <v>0</v>
      </c>
      <c r="Q13" s="144">
        <v>1.0007932532218801E-5</v>
      </c>
      <c r="R13" s="144">
        <v>0</v>
      </c>
      <c r="S13" s="144">
        <v>0</v>
      </c>
      <c r="T13" s="144">
        <v>0</v>
      </c>
      <c r="U13" s="144">
        <v>0</v>
      </c>
      <c r="V13" s="144">
        <v>0</v>
      </c>
      <c r="W13" s="144">
        <v>0</v>
      </c>
      <c r="X13" s="144">
        <v>0</v>
      </c>
      <c r="Y13" s="144">
        <v>0</v>
      </c>
      <c r="Z13" s="144">
        <v>0</v>
      </c>
      <c r="AA13" s="144">
        <v>0</v>
      </c>
      <c r="AB13" s="144">
        <v>0</v>
      </c>
      <c r="AC13" s="144">
        <v>0</v>
      </c>
      <c r="AD13" s="144">
        <v>0</v>
      </c>
      <c r="AE13" s="144">
        <v>0</v>
      </c>
    </row>
    <row r="14" spans="1:34" customFormat="1" x14ac:dyDescent="0.15">
      <c r="A14" s="179" t="s">
        <v>204</v>
      </c>
      <c r="B14" s="144">
        <v>0</v>
      </c>
      <c r="C14" s="144">
        <v>0</v>
      </c>
      <c r="D14" s="144">
        <v>0</v>
      </c>
      <c r="E14" s="144">
        <v>0</v>
      </c>
      <c r="F14" s="144">
        <v>0</v>
      </c>
      <c r="G14" s="144">
        <v>0</v>
      </c>
      <c r="H14" s="144">
        <v>0</v>
      </c>
      <c r="I14" s="144">
        <v>4.0000001774799947E-2</v>
      </c>
      <c r="J14" s="144">
        <v>0.1058941046304696</v>
      </c>
      <c r="K14" s="144">
        <v>6.1000001274359936E-2</v>
      </c>
      <c r="L14" s="144">
        <v>2.3999999493039974E-2</v>
      </c>
      <c r="M14" s="144">
        <v>0</v>
      </c>
      <c r="N14" s="144">
        <v>3.0018025117049805E-3</v>
      </c>
      <c r="O14" s="144">
        <v>0</v>
      </c>
      <c r="P14" s="144">
        <v>1.1998816062264521E-2</v>
      </c>
      <c r="Q14" s="144">
        <v>0</v>
      </c>
      <c r="R14" s="144">
        <v>0</v>
      </c>
      <c r="S14" s="144">
        <v>0</v>
      </c>
      <c r="T14" s="144">
        <v>0</v>
      </c>
      <c r="U14" s="144">
        <v>0</v>
      </c>
      <c r="V14" s="144">
        <v>0</v>
      </c>
      <c r="W14" s="144">
        <v>4.9900201975548999E-3</v>
      </c>
      <c r="X14" s="144">
        <v>0</v>
      </c>
      <c r="Y14" s="144">
        <v>0</v>
      </c>
      <c r="Z14" s="144">
        <v>0</v>
      </c>
      <c r="AA14" s="144">
        <v>0</v>
      </c>
      <c r="AB14" s="144">
        <v>0</v>
      </c>
      <c r="AC14" s="144">
        <v>0</v>
      </c>
      <c r="AD14" s="144">
        <v>0</v>
      </c>
      <c r="AE14" s="144">
        <v>0</v>
      </c>
    </row>
    <row r="15" spans="1:34" customFormat="1" x14ac:dyDescent="0.15">
      <c r="A15" s="179" t="s">
        <v>205</v>
      </c>
      <c r="B15" s="144">
        <v>7.5908836280467046E-2</v>
      </c>
      <c r="C15" s="144">
        <v>0</v>
      </c>
      <c r="D15" s="144">
        <v>0</v>
      </c>
      <c r="E15" s="144">
        <v>0</v>
      </c>
      <c r="F15" s="144">
        <v>0</v>
      </c>
      <c r="G15" s="144">
        <v>1.3999999646999994E-2</v>
      </c>
      <c r="H15" s="144">
        <v>0</v>
      </c>
      <c r="I15" s="144">
        <v>1.0000001343699965E-3</v>
      </c>
      <c r="J15" s="144">
        <v>0</v>
      </c>
      <c r="K15" s="144">
        <v>3.3000001809079908E-2</v>
      </c>
      <c r="L15" s="144">
        <v>0</v>
      </c>
      <c r="M15" s="144">
        <v>6.0060058990991008E-3</v>
      </c>
      <c r="N15" s="144">
        <v>1.0006007205683302E-3</v>
      </c>
      <c r="O15" s="144">
        <v>0</v>
      </c>
      <c r="P15" s="144">
        <v>9.9990134685537719E-4</v>
      </c>
      <c r="Q15" s="144">
        <v>1.0011134232261099E-4</v>
      </c>
      <c r="R15" s="144">
        <v>0</v>
      </c>
      <c r="S15" s="144">
        <v>0</v>
      </c>
      <c r="T15" s="144">
        <v>0</v>
      </c>
      <c r="U15" s="144">
        <v>0</v>
      </c>
      <c r="V15" s="144">
        <v>0</v>
      </c>
      <c r="W15" s="144">
        <v>9.9800403951097981E-4</v>
      </c>
      <c r="X15" s="144">
        <v>1.0010010484484508E-3</v>
      </c>
      <c r="Y15" s="144">
        <v>0</v>
      </c>
      <c r="Z15" s="144">
        <v>0</v>
      </c>
      <c r="AA15" s="144">
        <v>0</v>
      </c>
      <c r="AB15" s="144">
        <v>0</v>
      </c>
      <c r="AC15" s="144">
        <v>0</v>
      </c>
      <c r="AD15" s="144">
        <v>0</v>
      </c>
      <c r="AE15" s="144">
        <v>0</v>
      </c>
    </row>
    <row r="16" spans="1:34" customFormat="1" x14ac:dyDescent="0.15">
      <c r="A16" s="179" t="s">
        <v>206</v>
      </c>
      <c r="B16" s="144">
        <v>0.19676369035857921</v>
      </c>
      <c r="C16" s="144">
        <v>0</v>
      </c>
      <c r="D16" s="144">
        <v>0</v>
      </c>
      <c r="E16" s="144">
        <v>2.8971006579599331E-2</v>
      </c>
      <c r="F16" s="144">
        <v>2.3997600232056791E-2</v>
      </c>
      <c r="G16" s="144">
        <v>0</v>
      </c>
      <c r="H16" s="144">
        <v>0</v>
      </c>
      <c r="I16" s="144">
        <v>4.000000557479985E-3</v>
      </c>
      <c r="J16" s="144">
        <v>9.3906098951548139E-2</v>
      </c>
      <c r="K16" s="144">
        <v>1.9999998975200051E-3</v>
      </c>
      <c r="L16" s="144">
        <v>5.4000000384340024E-2</v>
      </c>
      <c r="M16" s="144">
        <v>0</v>
      </c>
      <c r="N16" s="144">
        <v>1.0006007205683302E-3</v>
      </c>
      <c r="O16" s="144">
        <v>0</v>
      </c>
      <c r="P16" s="144">
        <v>1.1998816062264521E-2</v>
      </c>
      <c r="Q16" s="144">
        <v>2.3012650304029329E-2</v>
      </c>
      <c r="R16" s="144">
        <v>0</v>
      </c>
      <c r="S16" s="144">
        <v>0</v>
      </c>
      <c r="T16" s="144">
        <v>0</v>
      </c>
      <c r="U16" s="144">
        <v>0</v>
      </c>
      <c r="V16" s="144">
        <v>0</v>
      </c>
      <c r="W16" s="144">
        <v>1.9960080790219596E-3</v>
      </c>
      <c r="X16" s="144">
        <v>0</v>
      </c>
      <c r="Y16" s="144">
        <v>0</v>
      </c>
      <c r="Z16" s="144">
        <v>0</v>
      </c>
      <c r="AA16" s="144">
        <v>0</v>
      </c>
      <c r="AB16" s="144">
        <v>0</v>
      </c>
      <c r="AC16" s="144">
        <v>0</v>
      </c>
      <c r="AD16" s="144">
        <v>0</v>
      </c>
      <c r="AE16" s="144">
        <v>0</v>
      </c>
    </row>
    <row r="17" spans="1:31" customFormat="1" x14ac:dyDescent="0.15">
      <c r="A17" s="179" t="s">
        <v>207</v>
      </c>
      <c r="B17" s="144">
        <v>0.12385124893128882</v>
      </c>
      <c r="C17" s="144">
        <v>0.158</v>
      </c>
      <c r="D17" s="144">
        <v>0.36733065500923595</v>
      </c>
      <c r="E17" s="144">
        <v>0.16383618880187931</v>
      </c>
      <c r="F17" s="144">
        <v>0.15598440150836915</v>
      </c>
      <c r="G17" s="144">
        <v>0.28900000303449996</v>
      </c>
      <c r="H17" s="144">
        <v>0</v>
      </c>
      <c r="I17" s="144">
        <v>0.23999999384880011</v>
      </c>
      <c r="J17" s="144">
        <v>0.11188811926992961</v>
      </c>
      <c r="K17" s="144">
        <v>0.1159999980561601</v>
      </c>
      <c r="L17" s="144">
        <v>0</v>
      </c>
      <c r="M17" s="144">
        <v>0</v>
      </c>
      <c r="N17" s="144">
        <v>5.7034244922394714E-2</v>
      </c>
      <c r="O17" s="144">
        <v>0</v>
      </c>
      <c r="P17" s="144">
        <v>5.8994176764467131E-2</v>
      </c>
      <c r="Q17" s="144">
        <v>1.2006601458624014E-2</v>
      </c>
      <c r="R17" s="144">
        <v>3.6996300369963007E-2</v>
      </c>
      <c r="S17" s="144">
        <v>0</v>
      </c>
      <c r="T17" s="144">
        <v>0</v>
      </c>
      <c r="U17" s="144">
        <v>0</v>
      </c>
      <c r="V17" s="144">
        <v>0</v>
      </c>
      <c r="W17" s="144">
        <v>2.89421167458184E-2</v>
      </c>
      <c r="X17" s="144">
        <v>0</v>
      </c>
      <c r="Y17" s="144">
        <v>0</v>
      </c>
      <c r="Z17" s="144">
        <v>0</v>
      </c>
      <c r="AA17" s="144">
        <v>0</v>
      </c>
      <c r="AB17" s="144">
        <v>0</v>
      </c>
      <c r="AC17" s="144">
        <v>0</v>
      </c>
      <c r="AD17" s="144">
        <v>0</v>
      </c>
      <c r="AE17" s="144">
        <v>0</v>
      </c>
    </row>
    <row r="18" spans="1:31" customFormat="1" x14ac:dyDescent="0.15">
      <c r="A18" s="179" t="s">
        <v>208</v>
      </c>
      <c r="B18" s="144">
        <v>9.9880045105877799E-4</v>
      </c>
      <c r="C18" s="144">
        <v>0.13900000000000001</v>
      </c>
      <c r="D18" s="144">
        <v>0.14312882115891279</v>
      </c>
      <c r="E18" s="144">
        <v>0.14985016713586496</v>
      </c>
      <c r="F18" s="144">
        <v>8.7991200850874904E-2</v>
      </c>
      <c r="G18" s="144">
        <v>0.32800000344399999</v>
      </c>
      <c r="H18" s="144">
        <v>0.11361310281883312</v>
      </c>
      <c r="I18" s="144">
        <v>2.4999999359250014E-2</v>
      </c>
      <c r="J18" s="144">
        <v>0</v>
      </c>
      <c r="K18" s="144">
        <v>0</v>
      </c>
      <c r="L18" s="144">
        <v>0</v>
      </c>
      <c r="M18" s="144">
        <v>0</v>
      </c>
      <c r="N18" s="144">
        <v>0</v>
      </c>
      <c r="O18" s="144">
        <v>0</v>
      </c>
      <c r="P18" s="144">
        <v>0</v>
      </c>
      <c r="Q18" s="144">
        <v>1.0005501232186679E-3</v>
      </c>
      <c r="R18" s="144">
        <v>0.11698830116988301</v>
      </c>
      <c r="S18" s="144">
        <v>0</v>
      </c>
      <c r="T18" s="144">
        <v>0</v>
      </c>
      <c r="U18" s="144">
        <v>0</v>
      </c>
      <c r="V18" s="144">
        <v>0</v>
      </c>
      <c r="W18" s="144">
        <v>0</v>
      </c>
      <c r="X18" s="144">
        <v>0</v>
      </c>
      <c r="Y18" s="144">
        <v>0</v>
      </c>
      <c r="Z18" s="144">
        <v>0</v>
      </c>
      <c r="AA18" s="144">
        <v>0</v>
      </c>
      <c r="AB18" s="144">
        <v>0</v>
      </c>
      <c r="AC18" s="144">
        <v>0</v>
      </c>
      <c r="AD18" s="144">
        <v>0</v>
      </c>
      <c r="AE18" s="144">
        <v>0</v>
      </c>
    </row>
    <row r="19" spans="1:31" customFormat="1" x14ac:dyDescent="0.15">
      <c r="A19" s="179" t="s">
        <v>209</v>
      </c>
      <c r="B19" s="144">
        <v>9.9880035105878295E-3</v>
      </c>
      <c r="C19" s="144">
        <v>0</v>
      </c>
      <c r="D19" s="144">
        <v>0</v>
      </c>
      <c r="E19" s="144">
        <v>0</v>
      </c>
      <c r="F19" s="144">
        <v>0</v>
      </c>
      <c r="G19" s="144">
        <v>1.0000000105E-3</v>
      </c>
      <c r="H19" s="144">
        <v>0</v>
      </c>
      <c r="I19" s="144">
        <v>5.0000002218499933E-3</v>
      </c>
      <c r="J19" s="144">
        <v>0</v>
      </c>
      <c r="K19" s="144">
        <v>1.200000038511998E-2</v>
      </c>
      <c r="L19" s="144">
        <v>0</v>
      </c>
      <c r="M19" s="144">
        <v>6.1061060874174171E-2</v>
      </c>
      <c r="N19" s="144">
        <v>3.9984005223910464E-4</v>
      </c>
      <c r="O19" s="144">
        <v>0</v>
      </c>
      <c r="P19" s="144">
        <v>9.8679054624100512E-5</v>
      </c>
      <c r="Q19" s="144">
        <v>1.0011133932261096E-5</v>
      </c>
      <c r="R19" s="144">
        <v>0</v>
      </c>
      <c r="S19" s="144">
        <v>0</v>
      </c>
      <c r="T19" s="144">
        <v>0</v>
      </c>
      <c r="U19" s="144">
        <v>0</v>
      </c>
      <c r="V19" s="144">
        <v>0</v>
      </c>
      <c r="W19" s="144">
        <v>0</v>
      </c>
      <c r="X19" s="144">
        <v>0</v>
      </c>
      <c r="Y19" s="144">
        <v>0</v>
      </c>
      <c r="Z19" s="144">
        <v>0</v>
      </c>
      <c r="AA19" s="144">
        <v>0</v>
      </c>
      <c r="AB19" s="144">
        <v>0</v>
      </c>
      <c r="AC19" s="144">
        <v>0</v>
      </c>
      <c r="AD19" s="144">
        <v>0</v>
      </c>
      <c r="AE19" s="144">
        <v>0</v>
      </c>
    </row>
    <row r="20" spans="1:31" customFormat="1" x14ac:dyDescent="0.15">
      <c r="A20" s="179" t="s">
        <v>210</v>
      </c>
      <c r="B20" s="144">
        <v>1.7978406519058084E-2</v>
      </c>
      <c r="C20" s="144">
        <v>0</v>
      </c>
      <c r="D20" s="144">
        <v>0</v>
      </c>
      <c r="E20" s="144">
        <v>0</v>
      </c>
      <c r="F20" s="144">
        <v>0</v>
      </c>
      <c r="G20" s="144">
        <v>1.0000000105E-2</v>
      </c>
      <c r="H20" s="144">
        <v>0</v>
      </c>
      <c r="I20" s="144">
        <v>3.2000004379839887E-2</v>
      </c>
      <c r="J20" s="144">
        <v>1.1988012378921054E-2</v>
      </c>
      <c r="K20" s="144">
        <v>2.5999998667760066E-2</v>
      </c>
      <c r="L20" s="144">
        <v>3.3000001640430085E-2</v>
      </c>
      <c r="M20" s="144">
        <v>6.6066062790090141E-2</v>
      </c>
      <c r="N20" s="144">
        <v>1.0006007405683297E-2</v>
      </c>
      <c r="O20" s="144">
        <v>0</v>
      </c>
      <c r="P20" s="144">
        <v>4.9995065242768762E-3</v>
      </c>
      <c r="Q20" s="144">
        <v>1.2006601458624014E-2</v>
      </c>
      <c r="R20" s="144">
        <v>0</v>
      </c>
      <c r="S20" s="144">
        <v>0</v>
      </c>
      <c r="T20" s="144">
        <v>0</v>
      </c>
      <c r="U20" s="144">
        <v>0</v>
      </c>
      <c r="V20" s="144">
        <v>0</v>
      </c>
      <c r="W20" s="144">
        <v>5.9880239470658679E-3</v>
      </c>
      <c r="X20" s="144">
        <v>1.0010010484484508E-3</v>
      </c>
      <c r="Y20" s="144">
        <v>0</v>
      </c>
      <c r="Z20" s="144">
        <v>0</v>
      </c>
      <c r="AA20" s="144">
        <v>0</v>
      </c>
      <c r="AB20" s="144">
        <v>0</v>
      </c>
      <c r="AC20" s="144">
        <v>0</v>
      </c>
      <c r="AD20" s="144">
        <v>0</v>
      </c>
      <c r="AE20" s="144">
        <v>0</v>
      </c>
    </row>
    <row r="21" spans="1:31" customFormat="1" x14ac:dyDescent="0.15">
      <c r="A21" s="179" t="s">
        <v>211</v>
      </c>
      <c r="B21" s="144">
        <v>9.4886035350584291E-2</v>
      </c>
      <c r="C21" s="144">
        <v>0.11899999999999999</v>
      </c>
      <c r="D21" s="144">
        <v>0</v>
      </c>
      <c r="E21" s="144">
        <v>6.7932083234925805E-2</v>
      </c>
      <c r="F21" s="144">
        <v>0.2849715027556744</v>
      </c>
      <c r="G21" s="144">
        <v>0</v>
      </c>
      <c r="H21" s="144">
        <v>0</v>
      </c>
      <c r="I21" s="144">
        <v>4.3999998872280018E-2</v>
      </c>
      <c r="J21" s="144">
        <v>0</v>
      </c>
      <c r="K21" s="144">
        <v>0</v>
      </c>
      <c r="L21" s="144">
        <v>0</v>
      </c>
      <c r="M21" s="144">
        <v>0</v>
      </c>
      <c r="N21" s="144">
        <v>0</v>
      </c>
      <c r="O21" s="144">
        <v>0</v>
      </c>
      <c r="P21" s="144">
        <v>0</v>
      </c>
      <c r="Q21" s="144">
        <v>4.9026950647714659E-2</v>
      </c>
      <c r="R21" s="144">
        <v>0.11698830116988301</v>
      </c>
      <c r="S21" s="144">
        <v>0</v>
      </c>
      <c r="T21" s="144">
        <v>0</v>
      </c>
      <c r="U21" s="144">
        <v>0.112</v>
      </c>
      <c r="V21" s="144">
        <v>0</v>
      </c>
      <c r="W21" s="144">
        <v>1.9960080790219596E-3</v>
      </c>
      <c r="X21" s="144">
        <v>0</v>
      </c>
      <c r="Y21" s="144">
        <v>0</v>
      </c>
      <c r="Z21" s="144">
        <v>0</v>
      </c>
      <c r="AA21" s="144">
        <v>0</v>
      </c>
      <c r="AB21" s="144">
        <v>0</v>
      </c>
      <c r="AC21" s="144">
        <v>0</v>
      </c>
      <c r="AD21" s="144">
        <v>0</v>
      </c>
      <c r="AE21" s="144">
        <v>0</v>
      </c>
    </row>
    <row r="22" spans="1:31" customFormat="1" x14ac:dyDescent="0.15">
      <c r="A22" s="179" t="s">
        <v>212</v>
      </c>
      <c r="B22" s="144">
        <v>0</v>
      </c>
      <c r="C22" s="144">
        <v>0</v>
      </c>
      <c r="D22" s="144">
        <v>0</v>
      </c>
      <c r="E22" s="144">
        <v>0</v>
      </c>
      <c r="F22" s="144">
        <v>0</v>
      </c>
      <c r="G22" s="144">
        <v>6.9000000724500007E-2</v>
      </c>
      <c r="H22" s="144">
        <v>6.8577278079836212E-2</v>
      </c>
      <c r="I22" s="144">
        <v>6.6000008308419775E-2</v>
      </c>
      <c r="J22" s="144">
        <v>0.17382616254435632</v>
      </c>
      <c r="K22" s="144">
        <v>6.1000001274359936E-2</v>
      </c>
      <c r="L22" s="144">
        <v>0.11999999596519981</v>
      </c>
      <c r="M22" s="144">
        <v>9.0090094486486402E-2</v>
      </c>
      <c r="N22" s="144">
        <v>0.21913156755446403</v>
      </c>
      <c r="O22" s="144">
        <v>0.24124123434003999</v>
      </c>
      <c r="P22" s="144">
        <v>0.15398480721572808</v>
      </c>
      <c r="Q22" s="144">
        <v>9.7053371282210921E-2</v>
      </c>
      <c r="R22" s="144">
        <v>0</v>
      </c>
      <c r="S22" s="144">
        <v>0.29770229020439543</v>
      </c>
      <c r="T22" s="144">
        <v>0.15584416606493501</v>
      </c>
      <c r="U22" s="144">
        <v>0</v>
      </c>
      <c r="V22" s="144">
        <v>0.1598401558111891</v>
      </c>
      <c r="W22" s="144">
        <v>0.21157684237632718</v>
      </c>
      <c r="X22" s="144">
        <v>0.27627627437177171</v>
      </c>
      <c r="Y22" s="144">
        <v>0</v>
      </c>
      <c r="Z22" s="144">
        <v>8.6913088522477491E-2</v>
      </c>
      <c r="AA22" s="144">
        <v>0</v>
      </c>
      <c r="AB22" s="144">
        <v>0</v>
      </c>
      <c r="AC22" s="144">
        <v>0</v>
      </c>
      <c r="AD22" s="144">
        <v>0</v>
      </c>
      <c r="AE22" s="144">
        <v>0</v>
      </c>
    </row>
    <row r="23" spans="1:31" customFormat="1" x14ac:dyDescent="0.15">
      <c r="A23" s="179" t="s">
        <v>213</v>
      </c>
      <c r="B23" s="144">
        <v>0.1599678761615741</v>
      </c>
      <c r="C23" s="144">
        <v>1.7999999999999999E-2</v>
      </c>
      <c r="D23" s="144">
        <v>0.1461315240363725</v>
      </c>
      <c r="E23" s="144">
        <v>0.12787214508927153</v>
      </c>
      <c r="F23" s="144">
        <v>0.25997400251394859</v>
      </c>
      <c r="G23" s="144">
        <v>0</v>
      </c>
      <c r="H23" s="144">
        <v>0</v>
      </c>
      <c r="I23" s="144">
        <v>3.300000265420993E-2</v>
      </c>
      <c r="J23" s="144">
        <v>0</v>
      </c>
      <c r="K23" s="144">
        <v>6.0000002125599888E-3</v>
      </c>
      <c r="L23" s="144">
        <v>5.0000002485500123E-3</v>
      </c>
      <c r="M23" s="144">
        <v>0</v>
      </c>
      <c r="N23" s="144">
        <v>0</v>
      </c>
      <c r="O23" s="144">
        <v>0</v>
      </c>
      <c r="P23" s="144">
        <v>0</v>
      </c>
      <c r="Q23" s="144">
        <v>8.7047861150024122E-2</v>
      </c>
      <c r="R23" s="144">
        <v>0</v>
      </c>
      <c r="S23" s="144">
        <v>0</v>
      </c>
      <c r="T23" s="144">
        <v>0</v>
      </c>
      <c r="U23" s="144">
        <v>0</v>
      </c>
      <c r="V23" s="144">
        <v>0</v>
      </c>
      <c r="W23" s="144">
        <v>3.5928146522395323E-2</v>
      </c>
      <c r="X23" s="144">
        <v>0</v>
      </c>
      <c r="Y23" s="144">
        <v>0</v>
      </c>
      <c r="Z23" s="144">
        <v>0</v>
      </c>
      <c r="AA23" s="144">
        <v>0</v>
      </c>
      <c r="AB23" s="144">
        <v>0</v>
      </c>
      <c r="AC23" s="144">
        <v>0</v>
      </c>
      <c r="AD23" s="144">
        <v>0</v>
      </c>
      <c r="AE23" s="144">
        <v>0</v>
      </c>
    </row>
    <row r="24" spans="1:31" customFormat="1" x14ac:dyDescent="0.15">
      <c r="A24" s="179" t="s">
        <v>214</v>
      </c>
      <c r="B24" s="144">
        <v>4.0991769991403283E-2</v>
      </c>
      <c r="C24" s="144">
        <v>9.0999999999999998E-2</v>
      </c>
      <c r="D24" s="144">
        <v>0.11009910250685562</v>
      </c>
      <c r="E24" s="144">
        <v>0.16883117803974068</v>
      </c>
      <c r="F24" s="144">
        <v>0.14298570138267172</v>
      </c>
      <c r="G24" s="144">
        <v>0</v>
      </c>
      <c r="H24" s="144">
        <v>0</v>
      </c>
      <c r="I24" s="144">
        <v>4.0000001774799947E-2</v>
      </c>
      <c r="J24" s="144">
        <v>3.9960041096403524E-3</v>
      </c>
      <c r="K24" s="144">
        <v>9.000000538839972E-3</v>
      </c>
      <c r="L24" s="144">
        <v>0</v>
      </c>
      <c r="M24" s="144">
        <v>0</v>
      </c>
      <c r="N24" s="144">
        <v>0</v>
      </c>
      <c r="O24" s="144">
        <v>0</v>
      </c>
      <c r="P24" s="144">
        <v>4.0995957421070567E-2</v>
      </c>
      <c r="Q24" s="144">
        <v>1.6008802011498686E-2</v>
      </c>
      <c r="R24" s="144">
        <v>0</v>
      </c>
      <c r="S24" s="144">
        <v>0</v>
      </c>
      <c r="T24" s="144">
        <v>0</v>
      </c>
      <c r="U24" s="144">
        <v>0</v>
      </c>
      <c r="V24" s="144">
        <v>0</v>
      </c>
      <c r="W24" s="144">
        <v>0</v>
      </c>
      <c r="X24" s="144">
        <v>0</v>
      </c>
      <c r="Y24" s="144">
        <v>0</v>
      </c>
      <c r="Z24" s="144">
        <v>0</v>
      </c>
      <c r="AA24" s="144">
        <v>0</v>
      </c>
      <c r="AB24" s="144">
        <v>0</v>
      </c>
      <c r="AC24" s="144">
        <v>0</v>
      </c>
      <c r="AD24" s="144">
        <v>0</v>
      </c>
      <c r="AE24" s="144">
        <v>0</v>
      </c>
    </row>
    <row r="25" spans="1:31" customFormat="1" x14ac:dyDescent="0.15">
      <c r="A25" s="179" t="s">
        <v>215</v>
      </c>
      <c r="B25" s="144">
        <v>0</v>
      </c>
      <c r="C25" s="144">
        <v>0.18099999999999999</v>
      </c>
      <c r="D25" s="144">
        <v>0</v>
      </c>
      <c r="E25" s="144">
        <v>4.8951002331046732E-2</v>
      </c>
      <c r="F25" s="144">
        <v>2.9997000290070989E-3</v>
      </c>
      <c r="G25" s="144">
        <v>0.15800000165899999</v>
      </c>
      <c r="H25" s="144">
        <v>0.15353121970112582</v>
      </c>
      <c r="I25" s="144">
        <v>0</v>
      </c>
      <c r="J25" s="144">
        <v>0</v>
      </c>
      <c r="K25" s="144">
        <v>0</v>
      </c>
      <c r="L25" s="144">
        <v>0</v>
      </c>
      <c r="M25" s="144">
        <v>0</v>
      </c>
      <c r="N25" s="144">
        <v>0</v>
      </c>
      <c r="O25" s="144">
        <v>0</v>
      </c>
      <c r="P25" s="144">
        <v>0</v>
      </c>
      <c r="Q25" s="144">
        <v>1.0007931432218785E-4</v>
      </c>
      <c r="R25" s="144">
        <v>0</v>
      </c>
      <c r="S25" s="144">
        <v>0</v>
      </c>
      <c r="T25" s="144">
        <v>0</v>
      </c>
      <c r="U25" s="144">
        <v>0</v>
      </c>
      <c r="V25" s="144">
        <v>0</v>
      </c>
      <c r="W25" s="144">
        <v>0</v>
      </c>
      <c r="X25" s="144">
        <v>0</v>
      </c>
      <c r="Y25" s="144">
        <v>0</v>
      </c>
      <c r="Z25" s="144">
        <v>0</v>
      </c>
      <c r="AA25" s="144">
        <v>0</v>
      </c>
      <c r="AB25" s="144">
        <v>0</v>
      </c>
      <c r="AC25" s="144">
        <v>0</v>
      </c>
      <c r="AD25" s="144">
        <v>0</v>
      </c>
      <c r="AE25" s="144">
        <v>0</v>
      </c>
    </row>
    <row r="26" spans="1:31" customFormat="1" x14ac:dyDescent="0.15">
      <c r="A26" s="179" t="s">
        <v>216</v>
      </c>
      <c r="B26" s="144">
        <v>0</v>
      </c>
      <c r="C26" s="144">
        <v>0</v>
      </c>
      <c r="D26" s="144">
        <v>0</v>
      </c>
      <c r="E26" s="144">
        <v>1.7982020856303835E-2</v>
      </c>
      <c r="F26" s="144">
        <v>0</v>
      </c>
      <c r="G26" s="144">
        <v>3.2000000335999999E-2</v>
      </c>
      <c r="H26" s="144">
        <v>0.22620266066632547</v>
      </c>
      <c r="I26" s="144">
        <v>0.29799999236226016</v>
      </c>
      <c r="J26" s="144">
        <v>0.21678321296048972</v>
      </c>
      <c r="K26" s="144">
        <v>0.26900001021643949</v>
      </c>
      <c r="L26" s="144">
        <v>0.42500000312675018</v>
      </c>
      <c r="M26" s="144">
        <v>0.2172171963507511</v>
      </c>
      <c r="N26" s="144">
        <v>0.42125292360926647</v>
      </c>
      <c r="O26" s="144">
        <v>0.34734735236926939</v>
      </c>
      <c r="P26" s="144">
        <v>0.34196625802453884</v>
      </c>
      <c r="Q26" s="144">
        <v>9.5052265855773518E-2</v>
      </c>
      <c r="R26" s="144">
        <v>0</v>
      </c>
      <c r="S26" s="144">
        <v>0.21378620517362618</v>
      </c>
      <c r="T26" s="144">
        <v>0.33266734900399592</v>
      </c>
      <c r="U26" s="144">
        <v>0</v>
      </c>
      <c r="V26" s="144">
        <v>0.10089910793706244</v>
      </c>
      <c r="W26" s="144">
        <v>0.17465070691442147</v>
      </c>
      <c r="X26" s="144">
        <v>0.13913913773433426</v>
      </c>
      <c r="Y26" s="144">
        <v>0</v>
      </c>
      <c r="Z26" s="144">
        <v>5.2947049099900161E-2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</row>
    <row r="27" spans="1:31" customFormat="1" x14ac:dyDescent="0.15">
      <c r="A27" s="179" t="s">
        <v>217</v>
      </c>
      <c r="B27" s="144">
        <v>0</v>
      </c>
      <c r="C27" s="144">
        <v>0</v>
      </c>
      <c r="D27" s="144">
        <v>0</v>
      </c>
      <c r="E27" s="144">
        <v>0</v>
      </c>
      <c r="F27" s="144">
        <v>0</v>
      </c>
      <c r="G27" s="144">
        <v>9.8999991039499885E-2</v>
      </c>
      <c r="H27" s="144">
        <v>0.43807573873387928</v>
      </c>
      <c r="I27" s="144">
        <v>0</v>
      </c>
      <c r="J27" s="144">
        <v>0</v>
      </c>
      <c r="K27" s="144">
        <v>0</v>
      </c>
      <c r="L27" s="144">
        <v>1.199999979651999E-2</v>
      </c>
      <c r="M27" s="144">
        <v>7.1071068806006041E-2</v>
      </c>
      <c r="N27" s="144">
        <v>0</v>
      </c>
      <c r="O27" s="144">
        <v>0.12112111717487485</v>
      </c>
      <c r="P27" s="144">
        <v>0</v>
      </c>
      <c r="Q27" s="144">
        <v>0.22812544101385648</v>
      </c>
      <c r="R27" s="144">
        <v>0.35196480351964804</v>
      </c>
      <c r="S27" s="144">
        <v>0.10189810246593409</v>
      </c>
      <c r="T27" s="144">
        <v>0.11888111328671332</v>
      </c>
      <c r="U27" s="144">
        <v>0.49</v>
      </c>
      <c r="V27" s="144">
        <v>0.28271728020979037</v>
      </c>
      <c r="W27" s="144">
        <v>8.98203635559882E-3</v>
      </c>
      <c r="X27" s="144">
        <v>0</v>
      </c>
      <c r="Y27" s="144">
        <v>0.52079001916839918</v>
      </c>
      <c r="Z27" s="144">
        <v>0.1768231809940059</v>
      </c>
      <c r="AA27" s="144">
        <v>0.3</v>
      </c>
      <c r="AB27" s="144">
        <v>0</v>
      </c>
      <c r="AC27" s="144">
        <v>0</v>
      </c>
      <c r="AD27" s="144">
        <v>0</v>
      </c>
      <c r="AE27" s="144">
        <v>0</v>
      </c>
    </row>
    <row r="28" spans="1:31" customFormat="1" x14ac:dyDescent="0.15">
      <c r="A28" s="179" t="s">
        <v>218</v>
      </c>
      <c r="B28" s="144">
        <v>0</v>
      </c>
      <c r="C28" s="144">
        <v>0</v>
      </c>
      <c r="D28" s="144">
        <v>0</v>
      </c>
      <c r="E28" s="144">
        <v>0</v>
      </c>
      <c r="F28" s="144">
        <v>0</v>
      </c>
      <c r="G28" s="144">
        <v>0</v>
      </c>
      <c r="H28" s="144">
        <v>0</v>
      </c>
      <c r="I28" s="144">
        <v>0</v>
      </c>
      <c r="J28" s="144">
        <v>0</v>
      </c>
      <c r="K28" s="144">
        <v>0</v>
      </c>
      <c r="L28" s="144">
        <v>3.9000001938690097E-2</v>
      </c>
      <c r="M28" s="144">
        <v>0.20820821450210197</v>
      </c>
      <c r="N28" s="144">
        <v>0</v>
      </c>
      <c r="O28" s="144">
        <v>5.1051050495195198E-2</v>
      </c>
      <c r="P28" s="144">
        <v>0</v>
      </c>
      <c r="Q28" s="144">
        <v>0.12206712561267763</v>
      </c>
      <c r="R28" s="144">
        <v>0.37696230376962298</v>
      </c>
      <c r="S28" s="144">
        <v>8.3916077530769087E-2</v>
      </c>
      <c r="T28" s="144">
        <v>0.11888111328671332</v>
      </c>
      <c r="U28" s="144">
        <v>0.36099999999999999</v>
      </c>
      <c r="V28" s="144">
        <v>0.15484515216083936</v>
      </c>
      <c r="W28" s="144">
        <v>0</v>
      </c>
      <c r="X28" s="144">
        <v>0</v>
      </c>
      <c r="Y28" s="144">
        <v>0.47920998083160082</v>
      </c>
      <c r="Z28" s="144">
        <v>0.23976023092407606</v>
      </c>
      <c r="AA28" s="144">
        <v>0.7</v>
      </c>
      <c r="AB28" s="144">
        <v>0</v>
      </c>
      <c r="AC28" s="144">
        <v>0</v>
      </c>
      <c r="AD28" s="144">
        <v>0</v>
      </c>
      <c r="AE28" s="144">
        <v>0</v>
      </c>
    </row>
    <row r="29" spans="1:31" customFormat="1" x14ac:dyDescent="0.15">
      <c r="A29" s="179" t="s">
        <v>219</v>
      </c>
      <c r="B29" s="144">
        <v>0</v>
      </c>
      <c r="C29" s="144">
        <v>0</v>
      </c>
      <c r="D29" s="144">
        <v>0</v>
      </c>
      <c r="E29" s="144">
        <v>0</v>
      </c>
      <c r="F29" s="144">
        <v>0</v>
      </c>
      <c r="G29" s="144">
        <v>0</v>
      </c>
      <c r="H29" s="144">
        <v>0</v>
      </c>
      <c r="I29" s="144">
        <v>0</v>
      </c>
      <c r="J29" s="144">
        <v>0</v>
      </c>
      <c r="K29" s="144">
        <v>0.22499998847100058</v>
      </c>
      <c r="L29" s="144">
        <v>5.9999998882599949E-3</v>
      </c>
      <c r="M29" s="144">
        <v>9.3093098436035943E-2</v>
      </c>
      <c r="N29" s="144">
        <v>3.2019223058186566E-2</v>
      </c>
      <c r="O29" s="144">
        <v>2.3023022523323323E-2</v>
      </c>
      <c r="P29" s="144">
        <v>9.9990134685537715E-3</v>
      </c>
      <c r="Q29" s="144">
        <v>0.17209463027361102</v>
      </c>
      <c r="R29" s="144">
        <v>0</v>
      </c>
      <c r="S29" s="144">
        <v>1.6983017710989028E-2</v>
      </c>
      <c r="T29" s="144">
        <v>3.3966039796203759E-2</v>
      </c>
      <c r="U29" s="144">
        <v>0</v>
      </c>
      <c r="V29" s="144">
        <v>4.6953046713286734E-2</v>
      </c>
      <c r="W29" s="144">
        <v>0.3243512938410677</v>
      </c>
      <c r="X29" s="144">
        <v>0.18818818910830837</v>
      </c>
      <c r="Y29" s="144">
        <v>0</v>
      </c>
      <c r="Z29" s="144">
        <v>0.12687313384315671</v>
      </c>
      <c r="AA29" s="144">
        <v>0</v>
      </c>
      <c r="AB29" s="144">
        <v>0</v>
      </c>
      <c r="AC29" s="144">
        <v>0</v>
      </c>
      <c r="AD29" s="144">
        <v>0</v>
      </c>
      <c r="AE29" s="144">
        <v>0</v>
      </c>
    </row>
    <row r="30" spans="1:31" customFormat="1" x14ac:dyDescent="0.15">
      <c r="A30" s="179" t="s">
        <v>220</v>
      </c>
      <c r="B30" s="144">
        <v>0</v>
      </c>
      <c r="C30" s="144">
        <v>0</v>
      </c>
      <c r="D30" s="144">
        <v>0</v>
      </c>
      <c r="E30" s="144">
        <v>0</v>
      </c>
      <c r="F30" s="144">
        <v>0</v>
      </c>
      <c r="G30" s="144">
        <v>0</v>
      </c>
      <c r="H30" s="144">
        <v>0</v>
      </c>
      <c r="I30" s="144">
        <v>0.1549999960273501</v>
      </c>
      <c r="J30" s="144">
        <v>0.20279720680174798</v>
      </c>
      <c r="K30" s="144">
        <v>0</v>
      </c>
      <c r="L30" s="144">
        <v>0.19799999384257969</v>
      </c>
      <c r="M30" s="144">
        <v>0</v>
      </c>
      <c r="N30" s="144">
        <v>0.23213937217185249</v>
      </c>
      <c r="O30" s="144">
        <v>0.21621622309729738</v>
      </c>
      <c r="P30" s="144">
        <v>0.3639640680553563</v>
      </c>
      <c r="Q30" s="144">
        <v>7.8042921031056256E-2</v>
      </c>
      <c r="R30" s="144">
        <v>0</v>
      </c>
      <c r="S30" s="144">
        <v>0.28571430691428623</v>
      </c>
      <c r="T30" s="144">
        <v>0.23976021856143867</v>
      </c>
      <c r="U30" s="144">
        <v>3.6999999999999998E-2</v>
      </c>
      <c r="V30" s="144">
        <v>0.25474525716783197</v>
      </c>
      <c r="W30" s="144">
        <v>0.1986027888626844</v>
      </c>
      <c r="X30" s="144">
        <v>0.37637637921661676</v>
      </c>
      <c r="Y30" s="144">
        <v>0</v>
      </c>
      <c r="Z30" s="144">
        <v>0.3166833166163836</v>
      </c>
      <c r="AA30" s="144">
        <v>0</v>
      </c>
      <c r="AB30" s="144">
        <v>0</v>
      </c>
      <c r="AC30" s="144">
        <v>0</v>
      </c>
      <c r="AD30" s="144">
        <v>0</v>
      </c>
      <c r="AE30" s="144">
        <v>0</v>
      </c>
    </row>
    <row r="31" spans="1:31" customFormat="1" x14ac:dyDescent="0.15">
      <c r="A31" s="179" t="s">
        <v>221</v>
      </c>
      <c r="B31" s="144">
        <v>0</v>
      </c>
      <c r="C31" s="144">
        <v>0</v>
      </c>
      <c r="D31" s="144">
        <v>0</v>
      </c>
      <c r="E31" s="144">
        <v>0</v>
      </c>
      <c r="F31" s="144">
        <v>0</v>
      </c>
      <c r="G31" s="144">
        <v>0</v>
      </c>
      <c r="H31" s="144">
        <v>0</v>
      </c>
      <c r="I31" s="144">
        <v>0</v>
      </c>
      <c r="J31" s="144">
        <v>0</v>
      </c>
      <c r="K31" s="144">
        <v>0</v>
      </c>
      <c r="L31" s="144">
        <v>0</v>
      </c>
      <c r="M31" s="144">
        <v>0</v>
      </c>
      <c r="N31" s="144">
        <v>0</v>
      </c>
      <c r="O31" s="144">
        <v>0</v>
      </c>
      <c r="P31" s="144">
        <v>0</v>
      </c>
      <c r="Q31" s="144">
        <v>0</v>
      </c>
      <c r="R31" s="144">
        <v>0</v>
      </c>
      <c r="S31" s="144">
        <v>0</v>
      </c>
      <c r="T31" s="144">
        <v>0</v>
      </c>
      <c r="U31" s="144">
        <v>0</v>
      </c>
      <c r="V31" s="144">
        <v>0</v>
      </c>
      <c r="W31" s="144">
        <v>0</v>
      </c>
      <c r="X31" s="144">
        <v>0</v>
      </c>
      <c r="Y31" s="144">
        <v>0</v>
      </c>
      <c r="Z31" s="144">
        <v>0</v>
      </c>
      <c r="AA31" s="144">
        <v>0</v>
      </c>
      <c r="AB31" s="144">
        <v>0</v>
      </c>
      <c r="AC31" s="144">
        <v>0</v>
      </c>
      <c r="AD31" s="144">
        <v>0</v>
      </c>
      <c r="AE31" s="144">
        <v>0</v>
      </c>
    </row>
    <row r="32" spans="1:31" customFormat="1" x14ac:dyDescent="0.15">
      <c r="A32" s="179" t="s">
        <v>225</v>
      </c>
      <c r="B32" s="144">
        <v>0</v>
      </c>
      <c r="C32" s="144">
        <v>0</v>
      </c>
      <c r="D32" s="144">
        <v>0</v>
      </c>
      <c r="E32" s="144">
        <v>0</v>
      </c>
      <c r="F32" s="144">
        <v>0</v>
      </c>
      <c r="G32" s="144">
        <v>0</v>
      </c>
      <c r="H32" s="144">
        <v>0</v>
      </c>
      <c r="I32" s="144">
        <v>0</v>
      </c>
      <c r="J32" s="144">
        <v>0</v>
      </c>
      <c r="K32" s="144">
        <v>0</v>
      </c>
      <c r="L32" s="144">
        <v>0</v>
      </c>
      <c r="M32" s="144">
        <v>0</v>
      </c>
      <c r="N32" s="144">
        <v>0</v>
      </c>
      <c r="O32" s="144">
        <v>0</v>
      </c>
      <c r="P32" s="144">
        <v>0</v>
      </c>
      <c r="Q32" s="144">
        <v>0</v>
      </c>
      <c r="R32" s="144">
        <v>0</v>
      </c>
      <c r="S32" s="144">
        <v>0</v>
      </c>
      <c r="T32" s="144">
        <v>0</v>
      </c>
      <c r="U32" s="144">
        <v>0</v>
      </c>
      <c r="V32" s="144">
        <v>0</v>
      </c>
      <c r="W32" s="144">
        <v>0</v>
      </c>
      <c r="X32" s="144">
        <v>0</v>
      </c>
      <c r="Y32" s="144">
        <v>0</v>
      </c>
      <c r="Z32" s="144">
        <v>0</v>
      </c>
      <c r="AA32" s="144">
        <v>0</v>
      </c>
      <c r="AB32" s="144">
        <v>0</v>
      </c>
      <c r="AC32" s="144">
        <v>0</v>
      </c>
      <c r="AD32" s="144">
        <v>0</v>
      </c>
      <c r="AE32" s="144">
        <v>0</v>
      </c>
    </row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13" customWidth="1"/>
    <col min="5" max="6" width="2.33203125" style="112" bestFit="1" customWidth="1"/>
    <col min="7" max="8" width="8.83203125" style="113"/>
  </cols>
  <sheetData>
    <row r="1" spans="1:8" ht="70" x14ac:dyDescent="0.15">
      <c r="A1" s="5" t="s">
        <v>20</v>
      </c>
      <c r="B1" s="1" t="s">
        <v>0</v>
      </c>
      <c r="C1" s="182" t="s">
        <v>220</v>
      </c>
      <c r="D1" s="182" t="s">
        <v>221</v>
      </c>
      <c r="E1" s="182" t="s">
        <v>226</v>
      </c>
      <c r="F1" s="182" t="s">
        <v>227</v>
      </c>
      <c r="G1"/>
      <c r="H1"/>
    </row>
    <row r="2" spans="1:8" x14ac:dyDescent="0.15">
      <c r="A2">
        <v>1</v>
      </c>
      <c r="B2" s="181" t="s">
        <v>192</v>
      </c>
      <c r="C2" s="113">
        <v>1</v>
      </c>
      <c r="D2" s="113">
        <v>0</v>
      </c>
      <c r="E2" s="112">
        <v>0</v>
      </c>
      <c r="F2" s="112">
        <v>1</v>
      </c>
      <c r="G2"/>
      <c r="H2"/>
    </row>
    <row r="3" spans="1:8" x14ac:dyDescent="0.15">
      <c r="A3">
        <v>2</v>
      </c>
      <c r="B3" s="181" t="s">
        <v>193</v>
      </c>
      <c r="C3" s="113">
        <v>1</v>
      </c>
      <c r="D3" s="113">
        <v>0</v>
      </c>
      <c r="E3" s="112">
        <v>0</v>
      </c>
      <c r="F3" s="112">
        <v>1</v>
      </c>
      <c r="G3"/>
      <c r="H3"/>
    </row>
    <row r="4" spans="1:8" x14ac:dyDescent="0.15">
      <c r="A4">
        <v>3</v>
      </c>
      <c r="B4" s="181" t="s">
        <v>194</v>
      </c>
      <c r="C4" s="113">
        <v>1</v>
      </c>
      <c r="D4" s="113">
        <v>0</v>
      </c>
      <c r="E4" s="112">
        <v>0</v>
      </c>
      <c r="F4" s="112">
        <v>1</v>
      </c>
      <c r="G4"/>
      <c r="H4"/>
    </row>
    <row r="5" spans="1:8" x14ac:dyDescent="0.15">
      <c r="A5">
        <v>4</v>
      </c>
      <c r="B5" s="181" t="s">
        <v>195</v>
      </c>
      <c r="C5" s="113">
        <v>1</v>
      </c>
      <c r="D5" s="113">
        <v>0</v>
      </c>
      <c r="E5" s="112">
        <v>0</v>
      </c>
      <c r="F5" s="112">
        <v>1</v>
      </c>
      <c r="G5"/>
      <c r="H5"/>
    </row>
    <row r="6" spans="1:8" x14ac:dyDescent="0.15">
      <c r="A6">
        <v>5</v>
      </c>
      <c r="B6" s="181" t="s">
        <v>196</v>
      </c>
      <c r="C6" s="113">
        <v>1</v>
      </c>
      <c r="D6" s="113">
        <v>0</v>
      </c>
      <c r="E6" s="112">
        <v>0</v>
      </c>
      <c r="F6" s="112">
        <v>1</v>
      </c>
      <c r="G6"/>
      <c r="H6"/>
    </row>
    <row r="7" spans="1:8" x14ac:dyDescent="0.15">
      <c r="A7">
        <v>6</v>
      </c>
      <c r="B7" s="181" t="s">
        <v>197</v>
      </c>
      <c r="C7" s="113">
        <v>1</v>
      </c>
      <c r="D7" s="113">
        <v>0</v>
      </c>
      <c r="E7" s="112">
        <v>0</v>
      </c>
      <c r="F7" s="112">
        <v>1</v>
      </c>
      <c r="G7"/>
      <c r="H7"/>
    </row>
    <row r="8" spans="1:8" x14ac:dyDescent="0.15">
      <c r="A8">
        <v>7</v>
      </c>
      <c r="B8" s="181" t="s">
        <v>198</v>
      </c>
      <c r="C8" s="113">
        <v>1</v>
      </c>
      <c r="D8" s="113">
        <v>0</v>
      </c>
      <c r="E8" s="112">
        <v>0</v>
      </c>
      <c r="F8" s="112">
        <v>1</v>
      </c>
      <c r="G8"/>
      <c r="H8"/>
    </row>
    <row r="9" spans="1:8" x14ac:dyDescent="0.15">
      <c r="A9">
        <v>8</v>
      </c>
      <c r="B9" s="181" t="s">
        <v>199</v>
      </c>
      <c r="C9" s="113">
        <v>1</v>
      </c>
      <c r="D9" s="113">
        <v>0</v>
      </c>
      <c r="E9" s="112">
        <v>0</v>
      </c>
      <c r="F9" s="112">
        <v>1</v>
      </c>
      <c r="G9"/>
      <c r="H9"/>
    </row>
    <row r="10" spans="1:8" x14ac:dyDescent="0.15">
      <c r="A10">
        <v>9</v>
      </c>
      <c r="B10" s="181" t="s">
        <v>200</v>
      </c>
      <c r="C10" s="113">
        <v>1</v>
      </c>
      <c r="D10" s="113">
        <v>0</v>
      </c>
      <c r="E10" s="112">
        <v>0</v>
      </c>
      <c r="F10" s="112">
        <v>1</v>
      </c>
      <c r="G10"/>
      <c r="H10"/>
    </row>
    <row r="11" spans="1:8" x14ac:dyDescent="0.15">
      <c r="A11">
        <v>10</v>
      </c>
      <c r="B11" s="181" t="s">
        <v>201</v>
      </c>
      <c r="C11" s="113">
        <v>1</v>
      </c>
      <c r="D11" s="113">
        <v>0</v>
      </c>
      <c r="E11" s="112">
        <v>0</v>
      </c>
      <c r="F11" s="112">
        <v>1</v>
      </c>
      <c r="G11"/>
      <c r="H11"/>
    </row>
    <row r="12" spans="1:8" x14ac:dyDescent="0.15">
      <c r="A12">
        <v>11</v>
      </c>
      <c r="B12" s="181" t="s">
        <v>202</v>
      </c>
      <c r="C12" s="113">
        <v>1</v>
      </c>
      <c r="D12" s="113">
        <v>0</v>
      </c>
      <c r="E12" s="112">
        <v>0</v>
      </c>
      <c r="F12" s="112">
        <v>1</v>
      </c>
      <c r="G12"/>
      <c r="H12"/>
    </row>
    <row r="13" spans="1:8" x14ac:dyDescent="0.15">
      <c r="A13">
        <v>12</v>
      </c>
      <c r="B13" s="181" t="s">
        <v>203</v>
      </c>
      <c r="C13" s="113">
        <v>1</v>
      </c>
      <c r="D13" s="113">
        <v>0</v>
      </c>
      <c r="E13" s="112">
        <v>0</v>
      </c>
      <c r="F13" s="112">
        <v>1</v>
      </c>
      <c r="G13"/>
      <c r="H13"/>
    </row>
    <row r="14" spans="1:8" x14ac:dyDescent="0.15">
      <c r="A14">
        <v>13</v>
      </c>
      <c r="B14" s="181" t="s">
        <v>204</v>
      </c>
      <c r="C14" s="113">
        <v>1</v>
      </c>
      <c r="D14" s="113">
        <v>0</v>
      </c>
      <c r="E14" s="112">
        <v>0</v>
      </c>
      <c r="F14" s="112">
        <v>1</v>
      </c>
      <c r="G14"/>
      <c r="H14"/>
    </row>
    <row r="15" spans="1:8" x14ac:dyDescent="0.15">
      <c r="A15">
        <v>14</v>
      </c>
      <c r="B15" s="181" t="s">
        <v>205</v>
      </c>
      <c r="C15" s="113">
        <v>1</v>
      </c>
      <c r="D15" s="113">
        <v>0</v>
      </c>
      <c r="E15" s="112">
        <v>0</v>
      </c>
      <c r="F15" s="112">
        <v>1</v>
      </c>
      <c r="G15"/>
      <c r="H15"/>
    </row>
    <row r="16" spans="1:8" x14ac:dyDescent="0.15">
      <c r="A16">
        <v>15</v>
      </c>
      <c r="B16" s="181" t="s">
        <v>206</v>
      </c>
      <c r="C16" s="113">
        <v>1</v>
      </c>
      <c r="D16" s="113">
        <v>0</v>
      </c>
      <c r="E16" s="112">
        <v>0</v>
      </c>
      <c r="F16" s="112">
        <v>1</v>
      </c>
      <c r="G16"/>
      <c r="H16"/>
    </row>
    <row r="17" spans="1:8" ht="15" customHeight="1" x14ac:dyDescent="0.15">
      <c r="A17">
        <v>16</v>
      </c>
      <c r="B17" s="181" t="s">
        <v>207</v>
      </c>
      <c r="C17" s="113">
        <v>1</v>
      </c>
      <c r="D17" s="113">
        <v>0</v>
      </c>
      <c r="E17" s="112">
        <v>0</v>
      </c>
      <c r="F17" s="112">
        <v>1</v>
      </c>
      <c r="G17"/>
      <c r="H17"/>
    </row>
    <row r="18" spans="1:8" ht="15" customHeight="1" x14ac:dyDescent="0.15">
      <c r="A18">
        <v>17</v>
      </c>
      <c r="B18" s="181" t="s">
        <v>208</v>
      </c>
      <c r="C18" s="113">
        <v>1</v>
      </c>
      <c r="D18" s="113">
        <v>0</v>
      </c>
      <c r="E18" s="112">
        <v>0</v>
      </c>
      <c r="F18" s="112">
        <v>1</v>
      </c>
      <c r="G18"/>
      <c r="H18"/>
    </row>
    <row r="19" spans="1:8" ht="15" customHeight="1" x14ac:dyDescent="0.15">
      <c r="A19">
        <v>18</v>
      </c>
      <c r="B19" s="181" t="s">
        <v>209</v>
      </c>
      <c r="C19" s="113">
        <v>1</v>
      </c>
      <c r="D19" s="113">
        <v>0</v>
      </c>
      <c r="E19" s="112">
        <v>0</v>
      </c>
      <c r="F19" s="112">
        <v>1</v>
      </c>
      <c r="G19"/>
      <c r="H19"/>
    </row>
    <row r="20" spans="1:8" ht="15" customHeight="1" x14ac:dyDescent="0.15">
      <c r="A20">
        <v>19</v>
      </c>
      <c r="B20" s="181" t="s">
        <v>210</v>
      </c>
      <c r="C20" s="113">
        <v>1</v>
      </c>
      <c r="D20" s="113">
        <v>0</v>
      </c>
      <c r="E20" s="112">
        <v>0</v>
      </c>
      <c r="F20" s="112">
        <v>1</v>
      </c>
      <c r="G20"/>
      <c r="H20"/>
    </row>
    <row r="21" spans="1:8" ht="15" customHeight="1" x14ac:dyDescent="0.15">
      <c r="A21">
        <v>20</v>
      </c>
      <c r="B21" s="181" t="s">
        <v>211</v>
      </c>
      <c r="C21" s="113">
        <v>1</v>
      </c>
      <c r="D21" s="113">
        <v>0</v>
      </c>
      <c r="E21" s="112">
        <v>0</v>
      </c>
      <c r="F21" s="112">
        <v>1</v>
      </c>
      <c r="G21"/>
      <c r="H21"/>
    </row>
    <row r="22" spans="1:8" ht="15" customHeight="1" x14ac:dyDescent="0.15">
      <c r="A22">
        <v>21</v>
      </c>
      <c r="B22" s="181" t="s">
        <v>212</v>
      </c>
      <c r="C22" s="113">
        <v>1</v>
      </c>
      <c r="D22" s="113">
        <v>0</v>
      </c>
      <c r="E22" s="112">
        <v>0</v>
      </c>
      <c r="F22" s="112">
        <v>1</v>
      </c>
      <c r="G22"/>
      <c r="H22"/>
    </row>
    <row r="23" spans="1:8" ht="15" customHeight="1" x14ac:dyDescent="0.15">
      <c r="A23">
        <v>22</v>
      </c>
      <c r="B23" s="181" t="s">
        <v>213</v>
      </c>
      <c r="C23" s="113">
        <v>1</v>
      </c>
      <c r="D23" s="113">
        <v>0</v>
      </c>
      <c r="E23" s="112">
        <v>0</v>
      </c>
      <c r="F23" s="112">
        <v>1</v>
      </c>
      <c r="G23"/>
      <c r="H23"/>
    </row>
    <row r="24" spans="1:8" ht="15" customHeight="1" x14ac:dyDescent="0.15">
      <c r="A24">
        <v>23</v>
      </c>
      <c r="B24" s="181" t="s">
        <v>214</v>
      </c>
      <c r="C24" s="113">
        <v>1</v>
      </c>
      <c r="D24" s="113">
        <v>0</v>
      </c>
      <c r="E24" s="112">
        <v>0</v>
      </c>
      <c r="F24" s="112">
        <v>1</v>
      </c>
      <c r="G24"/>
      <c r="H24"/>
    </row>
    <row r="25" spans="1:8" ht="15" customHeight="1" x14ac:dyDescent="0.15">
      <c r="A25">
        <v>24</v>
      </c>
      <c r="B25" s="181" t="s">
        <v>215</v>
      </c>
      <c r="C25" s="113">
        <v>1</v>
      </c>
      <c r="D25" s="113">
        <v>0</v>
      </c>
      <c r="E25" s="112">
        <v>0</v>
      </c>
      <c r="F25" s="112">
        <v>1</v>
      </c>
      <c r="G25"/>
      <c r="H25"/>
    </row>
    <row r="26" spans="1:8" ht="15" customHeight="1" x14ac:dyDescent="0.15">
      <c r="A26">
        <v>25</v>
      </c>
      <c r="B26" s="181" t="s">
        <v>216</v>
      </c>
      <c r="C26" s="113">
        <v>1</v>
      </c>
      <c r="D26" s="113">
        <v>0</v>
      </c>
      <c r="E26" s="112">
        <v>0</v>
      </c>
      <c r="F26" s="112">
        <v>1</v>
      </c>
      <c r="G26"/>
      <c r="H26"/>
    </row>
    <row r="27" spans="1:8" ht="15" customHeight="1" x14ac:dyDescent="0.15">
      <c r="A27">
        <v>26</v>
      </c>
      <c r="B27" s="181" t="s">
        <v>217</v>
      </c>
      <c r="C27" s="113">
        <v>1</v>
      </c>
      <c r="D27" s="113">
        <v>0</v>
      </c>
      <c r="E27" s="112">
        <v>0</v>
      </c>
      <c r="F27" s="112">
        <v>1</v>
      </c>
      <c r="G27"/>
      <c r="H27"/>
    </row>
    <row r="28" spans="1:8" ht="15" customHeight="1" x14ac:dyDescent="0.15">
      <c r="A28">
        <v>27</v>
      </c>
      <c r="B28" s="181" t="s">
        <v>218</v>
      </c>
      <c r="C28" s="113">
        <v>1</v>
      </c>
      <c r="D28" s="113">
        <v>0</v>
      </c>
      <c r="E28" s="112">
        <v>0</v>
      </c>
      <c r="F28" s="112">
        <v>1</v>
      </c>
      <c r="G28"/>
      <c r="H28"/>
    </row>
    <row r="29" spans="1:8" ht="15" customHeight="1" x14ac:dyDescent="0.15">
      <c r="A29">
        <v>28</v>
      </c>
      <c r="B29" s="181" t="s">
        <v>219</v>
      </c>
      <c r="C29" s="113">
        <v>1</v>
      </c>
      <c r="D29" s="113">
        <v>0</v>
      </c>
      <c r="E29" s="112">
        <v>0</v>
      </c>
      <c r="F29" s="112">
        <v>1</v>
      </c>
      <c r="G29"/>
      <c r="H29"/>
    </row>
    <row r="30" spans="1:8" ht="15" customHeight="1" x14ac:dyDescent="0.15">
      <c r="A30">
        <v>29</v>
      </c>
      <c r="B30" s="181" t="s">
        <v>220</v>
      </c>
      <c r="C30" s="113">
        <v>0</v>
      </c>
      <c r="D30" s="113">
        <v>1</v>
      </c>
      <c r="E30" s="112">
        <v>0</v>
      </c>
      <c r="F30" s="112">
        <v>1</v>
      </c>
      <c r="G30"/>
      <c r="H30"/>
    </row>
    <row r="31" spans="1:8" ht="15" customHeight="1" x14ac:dyDescent="0.15">
      <c r="A31">
        <v>30</v>
      </c>
      <c r="B31" s="181" t="s">
        <v>221</v>
      </c>
      <c r="C31" s="113">
        <v>0</v>
      </c>
      <c r="D31" s="113">
        <v>0</v>
      </c>
      <c r="E31" s="112">
        <v>1</v>
      </c>
      <c r="F31" s="112">
        <v>1</v>
      </c>
      <c r="G31"/>
      <c r="H31"/>
    </row>
    <row r="32" spans="1:8" ht="15" customHeight="1" x14ac:dyDescent="0.15">
      <c r="A32">
        <v>31</v>
      </c>
      <c r="B32" s="181" t="s">
        <v>222</v>
      </c>
      <c r="C32" s="113">
        <v>0</v>
      </c>
      <c r="D32" s="113">
        <v>1</v>
      </c>
      <c r="E32" s="112">
        <v>0</v>
      </c>
      <c r="F32" s="112">
        <v>1</v>
      </c>
    </row>
    <row r="33" spans="1:8" ht="15" customHeight="1" x14ac:dyDescent="0.15">
      <c r="A33">
        <v>32</v>
      </c>
      <c r="B33" s="181" t="s">
        <v>223</v>
      </c>
      <c r="C33" s="113">
        <v>0</v>
      </c>
      <c r="D33" s="113">
        <v>1</v>
      </c>
      <c r="E33" s="112">
        <v>0</v>
      </c>
      <c r="F33" s="112">
        <v>1</v>
      </c>
    </row>
    <row r="34" spans="1:8" ht="15" customHeight="1" x14ac:dyDescent="0.15">
      <c r="A34">
        <v>33</v>
      </c>
      <c r="B34" s="181" t="s">
        <v>224</v>
      </c>
      <c r="C34" s="113">
        <v>0</v>
      </c>
      <c r="D34" s="113">
        <v>1</v>
      </c>
      <c r="E34" s="112">
        <v>0</v>
      </c>
      <c r="F34" s="112">
        <v>1</v>
      </c>
    </row>
    <row r="35" spans="1:8" ht="15" customHeight="1" x14ac:dyDescent="0.15"/>
    <row r="36" spans="1:8" ht="15" customHeight="1" x14ac:dyDescent="0.15">
      <c r="C36"/>
      <c r="D36"/>
      <c r="E36" s="113"/>
      <c r="F36" s="113"/>
      <c r="G36"/>
      <c r="H36"/>
    </row>
    <row r="37" spans="1:8" ht="15" customHeight="1" x14ac:dyDescent="0.15">
      <c r="C37"/>
      <c r="D37"/>
      <c r="E37" s="113"/>
      <c r="F37" s="113"/>
      <c r="G37"/>
      <c r="H37"/>
    </row>
    <row r="38" spans="1:8" ht="15" customHeight="1" x14ac:dyDescent="0.15">
      <c r="C38"/>
      <c r="D38"/>
      <c r="E38" s="113"/>
      <c r="F38" s="113"/>
      <c r="G38"/>
      <c r="H38"/>
    </row>
    <row r="39" spans="1:8" ht="15" customHeight="1" x14ac:dyDescent="0.15">
      <c r="C39"/>
      <c r="D39"/>
      <c r="E39" s="113"/>
      <c r="F39" s="113"/>
      <c r="G39"/>
      <c r="H39"/>
    </row>
    <row r="40" spans="1:8" ht="15" customHeight="1" x14ac:dyDescent="0.15">
      <c r="C40"/>
      <c r="D40"/>
      <c r="E40" s="113"/>
      <c r="F40" s="113"/>
      <c r="G40"/>
      <c r="H40"/>
    </row>
    <row r="41" spans="1:8" ht="15" customHeight="1" x14ac:dyDescent="0.15">
      <c r="C41"/>
      <c r="D41"/>
      <c r="E41" s="113"/>
      <c r="F41" s="113"/>
      <c r="G41"/>
      <c r="H41"/>
    </row>
    <row r="42" spans="1:8" ht="15" customHeight="1" x14ac:dyDescent="0.15">
      <c r="C42"/>
      <c r="D42"/>
      <c r="E42" s="113"/>
      <c r="F42" s="113"/>
      <c r="G42"/>
      <c r="H42"/>
    </row>
    <row r="43" spans="1:8" ht="15" customHeight="1" x14ac:dyDescent="0.15">
      <c r="C43"/>
      <c r="D43"/>
      <c r="E43" s="113"/>
      <c r="F43" s="113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3"/>
      <c r="F46" s="113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F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5" bestFit="1" customWidth="1"/>
    <col min="3" max="5" width="5.83203125" bestFit="1" customWidth="1"/>
    <col min="6" max="6" width="5.83203125" customWidth="1"/>
  </cols>
  <sheetData>
    <row r="1" spans="1:6" s="114" customFormat="1" ht="112" x14ac:dyDescent="0.15">
      <c r="A1" s="5" t="s">
        <v>21</v>
      </c>
      <c r="B1" s="3" t="s">
        <v>0</v>
      </c>
      <c r="C1" s="184" t="s">
        <v>222</v>
      </c>
      <c r="D1" s="184" t="s">
        <v>223</v>
      </c>
      <c r="E1" s="184" t="s">
        <v>224</v>
      </c>
      <c r="F1" s="184" t="s">
        <v>228</v>
      </c>
    </row>
    <row r="2" spans="1:6" ht="15" customHeight="1" x14ac:dyDescent="0.15">
      <c r="A2">
        <v>1</v>
      </c>
      <c r="B2" s="183" t="s">
        <v>192</v>
      </c>
      <c r="C2">
        <v>0</v>
      </c>
      <c r="D2">
        <v>0</v>
      </c>
      <c r="E2">
        <v>0</v>
      </c>
      <c r="F2">
        <v>0</v>
      </c>
    </row>
    <row r="3" spans="1:6" ht="15" customHeight="1" x14ac:dyDescent="0.15">
      <c r="A3">
        <v>2</v>
      </c>
      <c r="B3" s="183" t="s">
        <v>193</v>
      </c>
      <c r="C3">
        <v>0</v>
      </c>
      <c r="D3">
        <v>0</v>
      </c>
      <c r="E3">
        <v>0</v>
      </c>
      <c r="F3">
        <v>0</v>
      </c>
    </row>
    <row r="4" spans="1:6" ht="15" customHeight="1" x14ac:dyDescent="0.15">
      <c r="A4">
        <v>3</v>
      </c>
      <c r="B4" s="183" t="s">
        <v>194</v>
      </c>
      <c r="C4">
        <v>0.1</v>
      </c>
      <c r="D4">
        <v>0</v>
      </c>
      <c r="E4">
        <v>0</v>
      </c>
      <c r="F4">
        <v>0.1</v>
      </c>
    </row>
    <row r="5" spans="1:6" ht="15" customHeight="1" x14ac:dyDescent="0.15">
      <c r="A5">
        <v>4</v>
      </c>
      <c r="B5" s="183" t="s">
        <v>195</v>
      </c>
      <c r="C5">
        <v>0</v>
      </c>
      <c r="D5">
        <v>0</v>
      </c>
      <c r="E5">
        <v>0</v>
      </c>
      <c r="F5">
        <v>0</v>
      </c>
    </row>
    <row r="6" spans="1:6" ht="15" customHeight="1" x14ac:dyDescent="0.15">
      <c r="A6">
        <v>5</v>
      </c>
      <c r="B6" s="183" t="s">
        <v>196</v>
      </c>
      <c r="C6">
        <v>0</v>
      </c>
      <c r="D6">
        <v>0</v>
      </c>
      <c r="E6">
        <v>0</v>
      </c>
      <c r="F6">
        <v>0</v>
      </c>
    </row>
    <row r="7" spans="1:6" ht="15" customHeight="1" x14ac:dyDescent="0.15">
      <c r="A7">
        <v>6</v>
      </c>
      <c r="B7" s="183" t="s">
        <v>197</v>
      </c>
      <c r="C7">
        <v>0</v>
      </c>
      <c r="D7">
        <v>0</v>
      </c>
      <c r="E7">
        <v>0</v>
      </c>
      <c r="F7">
        <v>0</v>
      </c>
    </row>
    <row r="8" spans="1:6" ht="15" customHeight="1" x14ac:dyDescent="0.15">
      <c r="A8">
        <v>7</v>
      </c>
      <c r="B8" s="183" t="s">
        <v>198</v>
      </c>
      <c r="C8">
        <v>0</v>
      </c>
      <c r="D8">
        <v>0</v>
      </c>
      <c r="E8">
        <v>0</v>
      </c>
      <c r="F8">
        <v>0</v>
      </c>
    </row>
    <row r="9" spans="1:6" ht="15" customHeight="1" x14ac:dyDescent="0.15">
      <c r="A9">
        <v>8</v>
      </c>
      <c r="B9" s="183" t="s">
        <v>199</v>
      </c>
      <c r="C9">
        <v>0.19500000000000001</v>
      </c>
      <c r="D9">
        <v>0</v>
      </c>
      <c r="E9">
        <v>6.8000000000000005E-2</v>
      </c>
      <c r="F9">
        <v>0.26300000000000001</v>
      </c>
    </row>
    <row r="10" spans="1:6" ht="15" customHeight="1" x14ac:dyDescent="0.15">
      <c r="A10">
        <v>9</v>
      </c>
      <c r="B10" s="183" t="s">
        <v>200</v>
      </c>
      <c r="C10">
        <v>0.14000000000000001</v>
      </c>
      <c r="D10">
        <v>0</v>
      </c>
      <c r="E10">
        <v>0.17599999999999999</v>
      </c>
      <c r="F10">
        <v>0.316</v>
      </c>
    </row>
    <row r="11" spans="1:6" ht="15" customHeight="1" x14ac:dyDescent="0.15">
      <c r="A11">
        <v>10</v>
      </c>
      <c r="B11" s="183" t="s">
        <v>201</v>
      </c>
      <c r="C11">
        <v>8.5000000000000006E-2</v>
      </c>
      <c r="D11">
        <v>0</v>
      </c>
      <c r="E11">
        <v>3.9E-2</v>
      </c>
      <c r="F11">
        <v>0.124</v>
      </c>
    </row>
    <row r="12" spans="1:6" ht="15" customHeight="1" x14ac:dyDescent="0.15">
      <c r="A12">
        <v>11</v>
      </c>
      <c r="B12" s="183" t="s">
        <v>202</v>
      </c>
      <c r="C12">
        <v>0</v>
      </c>
      <c r="D12">
        <v>0</v>
      </c>
      <c r="E12">
        <v>0</v>
      </c>
      <c r="F12">
        <v>0</v>
      </c>
    </row>
    <row r="13" spans="1:6" ht="15" customHeight="1" x14ac:dyDescent="0.15">
      <c r="A13">
        <v>12</v>
      </c>
      <c r="B13" s="183" t="s">
        <v>203</v>
      </c>
      <c r="C13">
        <v>0</v>
      </c>
      <c r="D13">
        <v>0</v>
      </c>
      <c r="E13">
        <v>0</v>
      </c>
      <c r="F13">
        <v>0</v>
      </c>
    </row>
    <row r="14" spans="1:6" ht="15" customHeight="1" x14ac:dyDescent="0.15">
      <c r="A14">
        <v>13</v>
      </c>
      <c r="B14" s="183" t="s">
        <v>204</v>
      </c>
      <c r="C14">
        <v>0.06</v>
      </c>
      <c r="D14">
        <v>0</v>
      </c>
      <c r="E14">
        <v>2.8000000000000001E-2</v>
      </c>
      <c r="F14">
        <v>8.7999999999999995E-2</v>
      </c>
    </row>
    <row r="15" spans="1:6" ht="15" customHeight="1" x14ac:dyDescent="0.15">
      <c r="A15">
        <v>14</v>
      </c>
      <c r="B15" s="183" t="s">
        <v>205</v>
      </c>
      <c r="C15">
        <v>7.4999999999999997E-2</v>
      </c>
      <c r="D15">
        <v>2.5000000000000001E-2</v>
      </c>
      <c r="E15">
        <v>0</v>
      </c>
      <c r="F15">
        <v>0.1</v>
      </c>
    </row>
    <row r="16" spans="1:6" ht="15" customHeight="1" x14ac:dyDescent="0.15">
      <c r="A16">
        <v>15</v>
      </c>
      <c r="B16" s="183" t="s">
        <v>206</v>
      </c>
      <c r="C16">
        <v>1.032</v>
      </c>
      <c r="D16">
        <v>0</v>
      </c>
      <c r="E16">
        <v>0.38300000000000001</v>
      </c>
      <c r="F16">
        <v>1.415</v>
      </c>
    </row>
    <row r="17" spans="1:6" ht="15" customHeight="1" x14ac:dyDescent="0.15">
      <c r="A17">
        <v>16</v>
      </c>
      <c r="B17" s="183" t="s">
        <v>207</v>
      </c>
      <c r="C17">
        <v>0.75</v>
      </c>
      <c r="D17">
        <v>0</v>
      </c>
      <c r="E17">
        <v>0.17</v>
      </c>
      <c r="F17">
        <v>0.92</v>
      </c>
    </row>
    <row r="18" spans="1:6" ht="15" customHeight="1" x14ac:dyDescent="0.15">
      <c r="A18">
        <v>17</v>
      </c>
      <c r="B18" s="183" t="s">
        <v>208</v>
      </c>
      <c r="C18">
        <v>0</v>
      </c>
      <c r="D18">
        <v>0</v>
      </c>
      <c r="E18">
        <v>0</v>
      </c>
      <c r="F18">
        <v>0</v>
      </c>
    </row>
    <row r="19" spans="1:6" ht="15" customHeight="1" x14ac:dyDescent="0.15">
      <c r="A19">
        <v>18</v>
      </c>
      <c r="B19" s="183" t="s">
        <v>209</v>
      </c>
      <c r="C19">
        <v>8.0000000000000002E-3</v>
      </c>
      <c r="D19">
        <v>2E-3</v>
      </c>
      <c r="E19">
        <v>0</v>
      </c>
      <c r="F19">
        <v>0.01</v>
      </c>
    </row>
    <row r="20" spans="1:6" ht="15" customHeight="1" x14ac:dyDescent="0.15">
      <c r="A20">
        <v>19</v>
      </c>
      <c r="B20" s="183" t="s">
        <v>210</v>
      </c>
      <c r="C20">
        <v>0.25</v>
      </c>
      <c r="D20">
        <v>0.1</v>
      </c>
      <c r="E20">
        <v>0</v>
      </c>
      <c r="F20">
        <v>0.35</v>
      </c>
    </row>
    <row r="21" spans="1:6" ht="15" customHeight="1" x14ac:dyDescent="0.15">
      <c r="A21">
        <v>20</v>
      </c>
      <c r="B21" s="183" t="s">
        <v>211</v>
      </c>
      <c r="C21">
        <v>0</v>
      </c>
      <c r="D21">
        <v>0</v>
      </c>
      <c r="E21">
        <v>0</v>
      </c>
      <c r="F21">
        <v>0</v>
      </c>
    </row>
    <row r="22" spans="1:6" ht="15" customHeight="1" x14ac:dyDescent="0.15">
      <c r="A22">
        <v>21</v>
      </c>
      <c r="B22" s="183" t="s">
        <v>212</v>
      </c>
      <c r="C22">
        <v>0</v>
      </c>
      <c r="D22">
        <v>0</v>
      </c>
      <c r="E22">
        <v>0</v>
      </c>
      <c r="F22">
        <v>0</v>
      </c>
    </row>
    <row r="23" spans="1:6" ht="15" customHeight="1" x14ac:dyDescent="0.15">
      <c r="A23">
        <v>22</v>
      </c>
      <c r="B23" s="183" t="s">
        <v>213</v>
      </c>
      <c r="C23">
        <v>2.7829999999999999</v>
      </c>
      <c r="D23">
        <v>0</v>
      </c>
      <c r="E23">
        <v>0.16</v>
      </c>
      <c r="F23">
        <v>2.9430000000000001</v>
      </c>
    </row>
    <row r="24" spans="1:6" ht="15" customHeight="1" x14ac:dyDescent="0.15">
      <c r="A24">
        <v>23</v>
      </c>
      <c r="B24" s="183" t="s">
        <v>214</v>
      </c>
      <c r="C24">
        <v>1.75</v>
      </c>
      <c r="D24">
        <v>0</v>
      </c>
      <c r="E24">
        <v>0.125</v>
      </c>
      <c r="F24">
        <v>1.875</v>
      </c>
    </row>
    <row r="25" spans="1:6" ht="15" customHeight="1" x14ac:dyDescent="0.15">
      <c r="A25">
        <v>24</v>
      </c>
      <c r="B25" s="183" t="s">
        <v>215</v>
      </c>
      <c r="C25">
        <v>7.4999999999999997E-2</v>
      </c>
      <c r="D25">
        <v>0</v>
      </c>
      <c r="E25">
        <v>1.0999999999999999E-2</v>
      </c>
      <c r="F25">
        <v>8.5999999999999993E-2</v>
      </c>
    </row>
    <row r="26" spans="1:6" ht="15" customHeight="1" x14ac:dyDescent="0.15">
      <c r="A26">
        <v>25</v>
      </c>
      <c r="B26" s="183" t="s">
        <v>216</v>
      </c>
      <c r="C26">
        <v>0</v>
      </c>
      <c r="D26">
        <v>0</v>
      </c>
      <c r="E26">
        <v>0</v>
      </c>
      <c r="F26">
        <v>0</v>
      </c>
    </row>
    <row r="27" spans="1:6" ht="15" customHeight="1" x14ac:dyDescent="0.15">
      <c r="A27">
        <v>26</v>
      </c>
      <c r="B27" s="183" t="s">
        <v>217</v>
      </c>
      <c r="C27">
        <v>0</v>
      </c>
      <c r="D27">
        <v>0</v>
      </c>
      <c r="E27">
        <v>0</v>
      </c>
      <c r="F27">
        <v>0</v>
      </c>
    </row>
    <row r="28" spans="1:6" ht="15" customHeight="1" x14ac:dyDescent="0.15">
      <c r="A28">
        <v>27</v>
      </c>
      <c r="B28" s="183" t="s">
        <v>218</v>
      </c>
      <c r="C28">
        <v>0</v>
      </c>
      <c r="D28">
        <v>0</v>
      </c>
      <c r="E28">
        <v>0</v>
      </c>
      <c r="F28">
        <v>0</v>
      </c>
    </row>
    <row r="29" spans="1:6" ht="15" customHeight="1" x14ac:dyDescent="0.15">
      <c r="A29">
        <v>28</v>
      </c>
      <c r="B29" s="183" t="s">
        <v>219</v>
      </c>
      <c r="C29">
        <v>0</v>
      </c>
      <c r="D29">
        <v>0</v>
      </c>
      <c r="E29">
        <v>0</v>
      </c>
      <c r="F29">
        <v>0</v>
      </c>
    </row>
    <row r="30" spans="1:6" ht="15" customHeight="1" x14ac:dyDescent="0.15">
      <c r="A30">
        <v>29</v>
      </c>
      <c r="B30" s="183" t="s">
        <v>220</v>
      </c>
      <c r="C30">
        <v>0</v>
      </c>
      <c r="D30">
        <v>0</v>
      </c>
      <c r="E30">
        <v>0</v>
      </c>
      <c r="F30">
        <v>0</v>
      </c>
    </row>
    <row r="31" spans="1:6" ht="15" customHeight="1" x14ac:dyDescent="0.15">
      <c r="A31">
        <v>30</v>
      </c>
      <c r="B31" s="183" t="s">
        <v>221</v>
      </c>
      <c r="C31">
        <v>0</v>
      </c>
      <c r="D31">
        <v>0</v>
      </c>
      <c r="E31">
        <v>0</v>
      </c>
      <c r="F31">
        <v>0</v>
      </c>
    </row>
    <row r="32" spans="1:6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F3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5" bestFit="1" customWidth="1"/>
    <col min="3" max="3" width="5.83203125" bestFit="1" customWidth="1"/>
    <col min="4" max="4" width="4.83203125" bestFit="1" customWidth="1"/>
    <col min="5" max="5" width="2.33203125" bestFit="1" customWidth="1"/>
    <col min="6" max="6" width="5.83203125" customWidth="1"/>
  </cols>
  <sheetData>
    <row r="1" spans="1:6" s="114" customFormat="1" ht="112" x14ac:dyDescent="0.15">
      <c r="A1" s="5" t="s">
        <v>22</v>
      </c>
      <c r="B1" s="3" t="s">
        <v>0</v>
      </c>
      <c r="C1" s="186" t="s">
        <v>222</v>
      </c>
      <c r="D1" s="186" t="s">
        <v>223</v>
      </c>
      <c r="E1" s="186" t="s">
        <v>224</v>
      </c>
      <c r="F1" s="186" t="s">
        <v>228</v>
      </c>
    </row>
    <row r="2" spans="1:6" x14ac:dyDescent="0.15">
      <c r="A2">
        <v>1</v>
      </c>
      <c r="B2" s="185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85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85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85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85" t="s">
        <v>196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85" t="s">
        <v>197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85" t="s">
        <v>198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85" t="s">
        <v>199</v>
      </c>
      <c r="C9">
        <v>0.125</v>
      </c>
      <c r="D9">
        <v>0.02</v>
      </c>
      <c r="E9">
        <v>0</v>
      </c>
      <c r="F9">
        <v>0.14499999999999999</v>
      </c>
    </row>
    <row r="10" spans="1:6" x14ac:dyDescent="0.15">
      <c r="A10">
        <v>9</v>
      </c>
      <c r="B10" s="185" t="s">
        <v>200</v>
      </c>
      <c r="C10">
        <v>0.1</v>
      </c>
      <c r="D10">
        <v>0</v>
      </c>
      <c r="E10">
        <v>0</v>
      </c>
      <c r="F10">
        <v>0.1</v>
      </c>
    </row>
    <row r="11" spans="1:6" x14ac:dyDescent="0.15">
      <c r="A11">
        <v>10</v>
      </c>
      <c r="B11" s="185" t="s">
        <v>201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85" t="s">
        <v>202</v>
      </c>
      <c r="C12">
        <v>0.125</v>
      </c>
      <c r="D12">
        <v>0</v>
      </c>
      <c r="E12">
        <v>0</v>
      </c>
      <c r="F12">
        <v>0.125</v>
      </c>
    </row>
    <row r="13" spans="1:6" x14ac:dyDescent="0.15">
      <c r="A13">
        <v>12</v>
      </c>
      <c r="B13" s="185" t="s">
        <v>203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85" t="s">
        <v>204</v>
      </c>
      <c r="C14">
        <v>0.6</v>
      </c>
      <c r="D14">
        <v>0</v>
      </c>
      <c r="E14">
        <v>0</v>
      </c>
      <c r="F14">
        <v>0.6</v>
      </c>
    </row>
    <row r="15" spans="1:6" x14ac:dyDescent="0.15">
      <c r="A15">
        <v>14</v>
      </c>
      <c r="B15" s="185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85" t="s">
        <v>206</v>
      </c>
      <c r="C16">
        <v>0.65</v>
      </c>
      <c r="D16">
        <v>0</v>
      </c>
      <c r="E16">
        <v>0</v>
      </c>
      <c r="F16">
        <v>0.65</v>
      </c>
    </row>
    <row r="17" spans="1:6" x14ac:dyDescent="0.15">
      <c r="A17">
        <v>16</v>
      </c>
      <c r="B17" s="185" t="s">
        <v>207</v>
      </c>
      <c r="C17">
        <v>1.8</v>
      </c>
      <c r="D17">
        <v>0.05</v>
      </c>
      <c r="E17">
        <v>0</v>
      </c>
      <c r="F17">
        <v>1.85</v>
      </c>
    </row>
    <row r="18" spans="1:6" x14ac:dyDescent="0.15">
      <c r="A18">
        <v>17</v>
      </c>
      <c r="B18" s="185" t="s">
        <v>208</v>
      </c>
      <c r="C18">
        <v>0.25</v>
      </c>
      <c r="D18">
        <v>0</v>
      </c>
      <c r="E18">
        <v>0</v>
      </c>
      <c r="F18">
        <v>0.25</v>
      </c>
    </row>
    <row r="19" spans="1:6" x14ac:dyDescent="0.15">
      <c r="A19">
        <v>18</v>
      </c>
      <c r="B19" s="185" t="s">
        <v>209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85" t="s">
        <v>210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85" t="s">
        <v>211</v>
      </c>
      <c r="C21">
        <v>0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85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85" t="s">
        <v>213</v>
      </c>
      <c r="C23">
        <v>0.75</v>
      </c>
      <c r="D23">
        <v>0.08</v>
      </c>
      <c r="E23">
        <v>0</v>
      </c>
      <c r="F23">
        <v>0.83</v>
      </c>
    </row>
    <row r="24" spans="1:6" x14ac:dyDescent="0.15">
      <c r="A24">
        <v>23</v>
      </c>
      <c r="B24" s="185" t="s">
        <v>214</v>
      </c>
      <c r="C24">
        <v>0.85</v>
      </c>
      <c r="D24">
        <v>0.09</v>
      </c>
      <c r="E24">
        <v>0</v>
      </c>
      <c r="F24">
        <v>0.94</v>
      </c>
    </row>
    <row r="25" spans="1:6" x14ac:dyDescent="0.15">
      <c r="A25">
        <v>24</v>
      </c>
      <c r="B25" s="185" t="s">
        <v>215</v>
      </c>
      <c r="C25">
        <v>0.01</v>
      </c>
      <c r="D25">
        <v>0</v>
      </c>
      <c r="E25">
        <v>0</v>
      </c>
      <c r="F25">
        <v>0.01</v>
      </c>
    </row>
    <row r="26" spans="1:6" x14ac:dyDescent="0.15">
      <c r="A26">
        <v>25</v>
      </c>
      <c r="B26" s="185" t="s">
        <v>216</v>
      </c>
      <c r="C26">
        <v>1.3</v>
      </c>
      <c r="D26">
        <v>0</v>
      </c>
      <c r="E26">
        <v>0</v>
      </c>
      <c r="F26">
        <v>1.3</v>
      </c>
    </row>
    <row r="27" spans="1:6" x14ac:dyDescent="0.15">
      <c r="A27">
        <v>26</v>
      </c>
      <c r="B27" s="185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85" t="s">
        <v>218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85" t="s">
        <v>219</v>
      </c>
      <c r="C29">
        <v>0.02</v>
      </c>
      <c r="D29">
        <v>0</v>
      </c>
      <c r="E29">
        <v>0</v>
      </c>
      <c r="F29">
        <v>0.02</v>
      </c>
    </row>
    <row r="30" spans="1:6" x14ac:dyDescent="0.15">
      <c r="A30">
        <v>29</v>
      </c>
      <c r="B30" s="185" t="s">
        <v>220</v>
      </c>
      <c r="C30">
        <v>0</v>
      </c>
      <c r="D30">
        <v>0</v>
      </c>
      <c r="E30">
        <v>0</v>
      </c>
      <c r="F30">
        <v>0</v>
      </c>
    </row>
    <row r="31" spans="1:6" x14ac:dyDescent="0.15">
      <c r="A31">
        <v>30</v>
      </c>
      <c r="B31" s="185" t="s">
        <v>221</v>
      </c>
      <c r="C31">
        <v>0</v>
      </c>
      <c r="D31">
        <v>0</v>
      </c>
      <c r="E31">
        <v>0</v>
      </c>
      <c r="F3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5" bestFit="1" customWidth="1"/>
    <col min="6" max="6" width="4.83203125" bestFit="1" customWidth="1"/>
    <col min="7" max="9" width="3.83203125" bestFit="1" customWidth="1"/>
    <col min="10" max="11" width="4.83203125" style="11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5" customFormat="1" ht="14" thickBot="1" x14ac:dyDescent="0.2">
      <c r="D1" s="116" t="s">
        <v>8</v>
      </c>
      <c r="E1" s="116" t="s">
        <v>0</v>
      </c>
      <c r="F1" s="117" t="s">
        <v>99</v>
      </c>
      <c r="G1" s="118" t="s">
        <v>84</v>
      </c>
      <c r="H1" s="118" t="s">
        <v>85</v>
      </c>
      <c r="I1" s="118" t="s">
        <v>86</v>
      </c>
      <c r="J1" s="118" t="s">
        <v>87</v>
      </c>
      <c r="K1" s="118" t="s">
        <v>88</v>
      </c>
      <c r="L1" s="119" t="s">
        <v>89</v>
      </c>
      <c r="M1" s="119" t="s">
        <v>93</v>
      </c>
      <c r="N1" s="119" t="s">
        <v>92</v>
      </c>
      <c r="O1" s="119" t="s">
        <v>90</v>
      </c>
      <c r="P1" s="119" t="s">
        <v>91</v>
      </c>
      <c r="Q1" s="120" t="s">
        <v>94</v>
      </c>
      <c r="R1" s="120" t="s">
        <v>95</v>
      </c>
      <c r="S1" s="120" t="s">
        <v>96</v>
      </c>
      <c r="T1" s="120" t="s">
        <v>97</v>
      </c>
      <c r="U1" s="120" t="s">
        <v>98</v>
      </c>
      <c r="V1" s="118" t="s">
        <v>100</v>
      </c>
      <c r="W1" s="118" t="s">
        <v>101</v>
      </c>
      <c r="X1" s="118" t="s">
        <v>102</v>
      </c>
      <c r="Y1" s="118" t="s">
        <v>134</v>
      </c>
      <c r="Z1" s="119" t="s">
        <v>103</v>
      </c>
      <c r="AA1" s="119" t="s">
        <v>104</v>
      </c>
      <c r="AB1" s="119" t="s">
        <v>105</v>
      </c>
      <c r="AC1" s="121" t="s">
        <v>135</v>
      </c>
      <c r="AD1" s="120" t="s">
        <v>106</v>
      </c>
      <c r="AE1" s="120" t="s">
        <v>107</v>
      </c>
      <c r="AF1" s="120" t="s">
        <v>108</v>
      </c>
      <c r="AG1" s="120" t="s">
        <v>136</v>
      </c>
      <c r="AH1" s="118" t="s">
        <v>109</v>
      </c>
      <c r="AI1" s="118" t="s">
        <v>111</v>
      </c>
      <c r="AJ1" s="118" t="s">
        <v>110</v>
      </c>
      <c r="AK1" s="119" t="s">
        <v>115</v>
      </c>
      <c r="AL1" s="119" t="s">
        <v>116</v>
      </c>
      <c r="AM1" s="119" t="s">
        <v>117</v>
      </c>
      <c r="AN1" s="120" t="s">
        <v>112</v>
      </c>
      <c r="AO1" s="120" t="s">
        <v>113</v>
      </c>
      <c r="AP1" s="120" t="s">
        <v>114</v>
      </c>
    </row>
    <row r="2" spans="1:42" x14ac:dyDescent="0.15">
      <c r="A2" s="122" t="s">
        <v>74</v>
      </c>
      <c r="B2" s="123">
        <v>1</v>
      </c>
      <c r="D2">
        <v>1</v>
      </c>
      <c r="E2" s="187" t="s">
        <v>192</v>
      </c>
      <c r="F2">
        <v>0.98</v>
      </c>
      <c r="G2">
        <v>0.8</v>
      </c>
      <c r="H2">
        <v>0.8</v>
      </c>
      <c r="I2">
        <v>0.8</v>
      </c>
      <c r="J2" s="113">
        <v>0.25</v>
      </c>
      <c r="K2" s="113">
        <v>0.05</v>
      </c>
    </row>
    <row r="3" spans="1:42" x14ac:dyDescent="0.15">
      <c r="A3" s="122" t="s">
        <v>75</v>
      </c>
      <c r="B3" s="124">
        <v>1</v>
      </c>
      <c r="D3">
        <v>2</v>
      </c>
      <c r="E3" s="187" t="s">
        <v>193</v>
      </c>
      <c r="F3">
        <v>0.98</v>
      </c>
      <c r="G3">
        <v>0.8</v>
      </c>
      <c r="H3">
        <v>0.8</v>
      </c>
      <c r="I3">
        <v>0.8</v>
      </c>
      <c r="J3" s="113">
        <v>0.25</v>
      </c>
      <c r="K3" s="113">
        <v>0.05</v>
      </c>
    </row>
    <row r="4" spans="1:42" x14ac:dyDescent="0.15">
      <c r="A4" s="122" t="s">
        <v>76</v>
      </c>
      <c r="B4" s="124">
        <v>1</v>
      </c>
      <c r="D4">
        <v>3</v>
      </c>
      <c r="E4" s="187" t="s">
        <v>194</v>
      </c>
      <c r="F4">
        <v>0.98</v>
      </c>
      <c r="G4">
        <v>0.8</v>
      </c>
      <c r="H4">
        <v>0.8</v>
      </c>
      <c r="I4">
        <v>0.8</v>
      </c>
      <c r="J4" s="113">
        <v>0.25</v>
      </c>
      <c r="K4" s="113">
        <v>0.05</v>
      </c>
    </row>
    <row r="5" spans="1:42" x14ac:dyDescent="0.15">
      <c r="A5" s="122" t="s">
        <v>77</v>
      </c>
      <c r="B5" s="124">
        <v>1</v>
      </c>
      <c r="D5">
        <v>4</v>
      </c>
      <c r="E5" s="187" t="s">
        <v>195</v>
      </c>
      <c r="F5">
        <v>0.98</v>
      </c>
      <c r="G5">
        <v>0.8</v>
      </c>
      <c r="H5">
        <v>0.8</v>
      </c>
      <c r="I5">
        <v>0.8</v>
      </c>
      <c r="J5" s="113">
        <v>0.25</v>
      </c>
      <c r="K5" s="113">
        <v>0.05</v>
      </c>
    </row>
    <row r="6" spans="1:42" x14ac:dyDescent="0.15">
      <c r="A6" s="122" t="s">
        <v>78</v>
      </c>
      <c r="B6" s="124">
        <v>1</v>
      </c>
      <c r="D6">
        <v>5</v>
      </c>
      <c r="E6" s="187" t="s">
        <v>196</v>
      </c>
      <c r="F6">
        <v>0.98</v>
      </c>
      <c r="G6">
        <v>0.8</v>
      </c>
      <c r="H6">
        <v>0.8</v>
      </c>
      <c r="I6">
        <v>0.8</v>
      </c>
      <c r="J6" s="113">
        <v>0.25</v>
      </c>
      <c r="K6" s="113">
        <v>0.05</v>
      </c>
    </row>
    <row r="7" spans="1:42" x14ac:dyDescent="0.15">
      <c r="A7" s="122" t="s">
        <v>79</v>
      </c>
      <c r="B7" s="124">
        <v>1</v>
      </c>
      <c r="D7">
        <v>6</v>
      </c>
      <c r="E7" s="187" t="s">
        <v>197</v>
      </c>
      <c r="F7">
        <v>0.98</v>
      </c>
      <c r="G7">
        <v>0.8</v>
      </c>
      <c r="H7">
        <v>0.8</v>
      </c>
      <c r="I7">
        <v>0.8</v>
      </c>
      <c r="J7" s="113">
        <v>0.25</v>
      </c>
      <c r="K7" s="113">
        <v>0.05</v>
      </c>
    </row>
    <row r="8" spans="1:42" x14ac:dyDescent="0.15">
      <c r="A8" s="122" t="s">
        <v>80</v>
      </c>
      <c r="B8" s="124">
        <v>1</v>
      </c>
      <c r="D8">
        <v>7</v>
      </c>
      <c r="E8" s="187" t="s">
        <v>198</v>
      </c>
      <c r="F8">
        <v>0.98</v>
      </c>
      <c r="G8">
        <v>0.8</v>
      </c>
      <c r="H8">
        <v>0.8</v>
      </c>
      <c r="I8">
        <v>0.8</v>
      </c>
      <c r="J8" s="113">
        <v>0.25</v>
      </c>
      <c r="K8" s="113">
        <v>0.05</v>
      </c>
    </row>
    <row r="9" spans="1:42" x14ac:dyDescent="0.15">
      <c r="A9" s="122" t="s">
        <v>81</v>
      </c>
      <c r="B9" s="124">
        <v>0.1</v>
      </c>
      <c r="C9" s="61" t="s">
        <v>150</v>
      </c>
      <c r="D9">
        <v>8</v>
      </c>
      <c r="E9" s="187" t="s">
        <v>199</v>
      </c>
      <c r="F9">
        <v>0.98</v>
      </c>
      <c r="G9">
        <v>0.8</v>
      </c>
      <c r="H9">
        <v>0.8</v>
      </c>
      <c r="I9">
        <v>0.8</v>
      </c>
      <c r="J9" s="113">
        <v>0.25</v>
      </c>
      <c r="K9" s="113">
        <v>0.05</v>
      </c>
    </row>
    <row r="10" spans="1:42" ht="14" thickBot="1" x14ac:dyDescent="0.2">
      <c r="A10" s="122" t="s">
        <v>149</v>
      </c>
      <c r="B10" s="125">
        <f>1/3</f>
        <v>0.33333333333333331</v>
      </c>
      <c r="C10" s="61" t="s">
        <v>150</v>
      </c>
      <c r="D10">
        <v>9</v>
      </c>
      <c r="E10" s="187" t="s">
        <v>200</v>
      </c>
      <c r="F10">
        <v>0.98</v>
      </c>
      <c r="G10">
        <v>0.8</v>
      </c>
      <c r="H10">
        <v>0.8</v>
      </c>
      <c r="I10">
        <v>0.8</v>
      </c>
      <c r="J10" s="113">
        <v>0.25</v>
      </c>
      <c r="K10" s="113">
        <v>0.05</v>
      </c>
    </row>
    <row r="11" spans="1:42" x14ac:dyDescent="0.15">
      <c r="D11">
        <v>10</v>
      </c>
      <c r="E11" s="187" t="s">
        <v>201</v>
      </c>
      <c r="F11">
        <v>0.98</v>
      </c>
      <c r="G11">
        <v>0.8</v>
      </c>
      <c r="H11">
        <v>0.8</v>
      </c>
      <c r="I11">
        <v>0.8</v>
      </c>
      <c r="J11" s="113">
        <v>0.25</v>
      </c>
      <c r="K11" s="113">
        <v>0.05</v>
      </c>
    </row>
    <row r="12" spans="1:42" x14ac:dyDescent="0.15">
      <c r="D12">
        <v>11</v>
      </c>
      <c r="E12" s="187" t="s">
        <v>202</v>
      </c>
      <c r="F12">
        <v>0.98</v>
      </c>
      <c r="G12">
        <v>0.8</v>
      </c>
      <c r="H12">
        <v>0.8</v>
      </c>
      <c r="I12">
        <v>0.8</v>
      </c>
      <c r="J12" s="113">
        <v>0.25</v>
      </c>
      <c r="K12" s="113">
        <v>0.05</v>
      </c>
    </row>
    <row r="13" spans="1:42" x14ac:dyDescent="0.15">
      <c r="D13">
        <v>12</v>
      </c>
      <c r="E13" s="187" t="s">
        <v>203</v>
      </c>
      <c r="F13">
        <v>0.98</v>
      </c>
      <c r="G13">
        <v>0.8</v>
      </c>
      <c r="H13">
        <v>0.8</v>
      </c>
      <c r="I13">
        <v>0.8</v>
      </c>
      <c r="J13" s="113">
        <v>0.25</v>
      </c>
      <c r="K13" s="113">
        <v>0.05</v>
      </c>
    </row>
    <row r="14" spans="1:42" x14ac:dyDescent="0.15">
      <c r="D14">
        <v>13</v>
      </c>
      <c r="E14" s="187" t="s">
        <v>204</v>
      </c>
      <c r="F14">
        <v>0.98</v>
      </c>
      <c r="G14">
        <v>0.8</v>
      </c>
      <c r="H14">
        <v>0.8</v>
      </c>
      <c r="I14">
        <v>0.8</v>
      </c>
      <c r="J14" s="113">
        <v>0.25</v>
      </c>
      <c r="K14" s="113">
        <v>0.05</v>
      </c>
    </row>
    <row r="15" spans="1:42" x14ac:dyDescent="0.15">
      <c r="D15">
        <v>14</v>
      </c>
      <c r="E15" s="187" t="s">
        <v>205</v>
      </c>
      <c r="F15">
        <v>0.98</v>
      </c>
      <c r="G15">
        <v>0.8</v>
      </c>
      <c r="H15">
        <v>0.8</v>
      </c>
      <c r="I15">
        <v>0.8</v>
      </c>
      <c r="J15" s="113">
        <v>0.25</v>
      </c>
      <c r="K15" s="113">
        <v>0.05</v>
      </c>
    </row>
    <row r="16" spans="1:42" x14ac:dyDescent="0.15">
      <c r="D16">
        <v>15</v>
      </c>
      <c r="E16" s="187" t="s">
        <v>206</v>
      </c>
      <c r="F16">
        <v>0.98</v>
      </c>
      <c r="G16">
        <v>0.8</v>
      </c>
      <c r="H16">
        <v>0.8</v>
      </c>
      <c r="I16">
        <v>0.8</v>
      </c>
      <c r="J16" s="113">
        <v>0.25</v>
      </c>
      <c r="K16" s="113">
        <v>0.05</v>
      </c>
    </row>
    <row r="17" spans="4:33" ht="15" customHeight="1" x14ac:dyDescent="0.15">
      <c r="D17">
        <v>16</v>
      </c>
      <c r="E17" s="187" t="s">
        <v>207</v>
      </c>
      <c r="F17">
        <v>0.98</v>
      </c>
      <c r="G17">
        <v>0.8</v>
      </c>
      <c r="H17">
        <v>0.8</v>
      </c>
      <c r="I17">
        <v>0.8</v>
      </c>
      <c r="J17" s="113">
        <v>0.25</v>
      </c>
      <c r="K17" s="113">
        <v>0.05</v>
      </c>
    </row>
    <row r="18" spans="4:33" ht="15" customHeight="1" x14ac:dyDescent="0.15">
      <c r="D18">
        <v>17</v>
      </c>
      <c r="E18" s="187" t="s">
        <v>208</v>
      </c>
      <c r="F18">
        <v>0.98</v>
      </c>
      <c r="G18">
        <v>0.8</v>
      </c>
      <c r="H18">
        <v>0.8</v>
      </c>
      <c r="I18">
        <v>0.8</v>
      </c>
      <c r="J18" s="113">
        <v>0.25</v>
      </c>
      <c r="K18" s="113">
        <v>0.05</v>
      </c>
    </row>
    <row r="19" spans="4:33" ht="15" customHeight="1" x14ac:dyDescent="0.15">
      <c r="D19">
        <v>18</v>
      </c>
      <c r="E19" s="187" t="s">
        <v>209</v>
      </c>
      <c r="F19">
        <v>0.98</v>
      </c>
      <c r="G19">
        <v>0.8</v>
      </c>
      <c r="H19">
        <v>0.8</v>
      </c>
      <c r="I19">
        <v>0.8</v>
      </c>
      <c r="J19" s="113">
        <v>0.25</v>
      </c>
      <c r="K19" s="113">
        <v>0.05</v>
      </c>
    </row>
    <row r="20" spans="4:33" ht="15" customHeight="1" x14ac:dyDescent="0.15">
      <c r="D20">
        <v>19</v>
      </c>
      <c r="E20" s="187" t="s">
        <v>210</v>
      </c>
      <c r="F20">
        <v>0.98</v>
      </c>
      <c r="G20">
        <v>0.8</v>
      </c>
      <c r="H20">
        <v>0.8</v>
      </c>
      <c r="I20">
        <v>0.8</v>
      </c>
      <c r="J20" s="113">
        <v>0.25</v>
      </c>
      <c r="K20" s="113">
        <v>0.05</v>
      </c>
    </row>
    <row r="21" spans="4:33" ht="15" customHeight="1" x14ac:dyDescent="0.15">
      <c r="D21">
        <v>20</v>
      </c>
      <c r="E21" s="187" t="s">
        <v>211</v>
      </c>
      <c r="F21">
        <v>0.98</v>
      </c>
      <c r="G21">
        <v>0.8</v>
      </c>
      <c r="H21">
        <v>0.8</v>
      </c>
      <c r="I21">
        <v>0.8</v>
      </c>
      <c r="J21" s="113">
        <v>0.25</v>
      </c>
      <c r="K21" s="113">
        <v>0.05</v>
      </c>
    </row>
    <row r="22" spans="4:33" ht="15" customHeight="1" x14ac:dyDescent="0.15">
      <c r="D22">
        <v>21</v>
      </c>
      <c r="E22" s="187" t="s">
        <v>212</v>
      </c>
      <c r="F22">
        <v>0.98</v>
      </c>
      <c r="G22">
        <v>0.8</v>
      </c>
      <c r="H22">
        <v>0.8</v>
      </c>
      <c r="I22">
        <v>0.8</v>
      </c>
      <c r="J22" s="113">
        <v>0.25</v>
      </c>
      <c r="K22" s="113">
        <v>0.05</v>
      </c>
    </row>
    <row r="23" spans="4:33" ht="15" customHeight="1" x14ac:dyDescent="0.15">
      <c r="D23">
        <v>22</v>
      </c>
      <c r="E23" s="187" t="s">
        <v>213</v>
      </c>
      <c r="F23">
        <v>0.98</v>
      </c>
      <c r="G23">
        <v>0.8</v>
      </c>
      <c r="H23">
        <v>0.8</v>
      </c>
      <c r="I23">
        <v>0.8</v>
      </c>
      <c r="J23" s="113">
        <v>0.25</v>
      </c>
      <c r="K23" s="113">
        <v>0.05</v>
      </c>
    </row>
    <row r="24" spans="4:33" ht="15" customHeight="1" x14ac:dyDescent="0.15">
      <c r="D24">
        <v>23</v>
      </c>
      <c r="E24" s="187" t="s">
        <v>214</v>
      </c>
      <c r="F24">
        <v>0.98</v>
      </c>
      <c r="G24">
        <v>0.8</v>
      </c>
      <c r="H24">
        <v>0.8</v>
      </c>
      <c r="I24">
        <v>0.8</v>
      </c>
      <c r="J24" s="113">
        <v>0.25</v>
      </c>
      <c r="K24" s="113">
        <v>0.05</v>
      </c>
    </row>
    <row r="25" spans="4:33" ht="15" customHeight="1" x14ac:dyDescent="0.15">
      <c r="D25">
        <v>24</v>
      </c>
      <c r="E25" s="187" t="s">
        <v>215</v>
      </c>
      <c r="F25">
        <v>0.98</v>
      </c>
      <c r="G25">
        <v>0.8</v>
      </c>
      <c r="H25">
        <v>0.8</v>
      </c>
      <c r="I25">
        <v>0.8</v>
      </c>
      <c r="J25" s="113">
        <v>0.25</v>
      </c>
      <c r="K25" s="113">
        <v>0.05</v>
      </c>
    </row>
    <row r="26" spans="4:33" ht="15" customHeight="1" x14ac:dyDescent="0.15">
      <c r="D26">
        <v>25</v>
      </c>
      <c r="E26" s="187" t="s">
        <v>216</v>
      </c>
      <c r="F26">
        <v>0.98</v>
      </c>
      <c r="G26">
        <v>0.8</v>
      </c>
      <c r="H26">
        <v>0.8</v>
      </c>
      <c r="I26">
        <v>0.8</v>
      </c>
      <c r="J26" s="113">
        <v>0.25</v>
      </c>
      <c r="K26" s="113">
        <v>0.05</v>
      </c>
    </row>
    <row r="27" spans="4:33" ht="15" customHeight="1" x14ac:dyDescent="0.15">
      <c r="D27">
        <v>26</v>
      </c>
      <c r="E27" s="187" t="s">
        <v>217</v>
      </c>
      <c r="F27">
        <v>0.98</v>
      </c>
      <c r="G27">
        <v>0.8</v>
      </c>
      <c r="H27">
        <v>0.8</v>
      </c>
      <c r="I27">
        <v>0.8</v>
      </c>
      <c r="J27" s="113">
        <v>0.25</v>
      </c>
      <c r="K27" s="113">
        <v>0.05</v>
      </c>
    </row>
    <row r="28" spans="4:33" ht="15" customHeight="1" x14ac:dyDescent="0.15">
      <c r="D28">
        <v>27</v>
      </c>
      <c r="E28" s="187" t="s">
        <v>218</v>
      </c>
      <c r="F28">
        <v>0.98</v>
      </c>
      <c r="G28">
        <v>0.8</v>
      </c>
      <c r="H28">
        <v>0.8</v>
      </c>
      <c r="I28">
        <v>0</v>
      </c>
      <c r="J28" s="113">
        <v>0</v>
      </c>
      <c r="K28" s="113">
        <v>0</v>
      </c>
    </row>
    <row r="29" spans="4:33" ht="15" customHeight="1" x14ac:dyDescent="0.15">
      <c r="D29">
        <v>28</v>
      </c>
      <c r="E29" s="187" t="s">
        <v>219</v>
      </c>
      <c r="F29">
        <v>0.98</v>
      </c>
      <c r="G29">
        <v>0.8</v>
      </c>
      <c r="H29">
        <v>0.8</v>
      </c>
      <c r="I29">
        <v>0</v>
      </c>
      <c r="J29" s="113">
        <v>0</v>
      </c>
      <c r="K29" s="113">
        <v>0</v>
      </c>
      <c r="Y29"/>
      <c r="AC29"/>
      <c r="AG29"/>
    </row>
    <row r="30" spans="4:33" ht="15" customHeight="1" x14ac:dyDescent="0.15">
      <c r="D30">
        <v>29</v>
      </c>
      <c r="E30" s="187" t="s">
        <v>220</v>
      </c>
      <c r="F30">
        <v>0.98</v>
      </c>
      <c r="G30">
        <v>0.8</v>
      </c>
      <c r="H30">
        <v>0</v>
      </c>
      <c r="I30">
        <v>0</v>
      </c>
      <c r="J30" s="113">
        <v>0</v>
      </c>
      <c r="K30" s="113">
        <v>0</v>
      </c>
      <c r="Y30"/>
      <c r="AC30"/>
      <c r="AG30"/>
    </row>
    <row r="31" spans="4:33" ht="15" customHeight="1" x14ac:dyDescent="0.15">
      <c r="D31">
        <v>30</v>
      </c>
      <c r="E31" s="187" t="s">
        <v>221</v>
      </c>
      <c r="F31">
        <v>0.98</v>
      </c>
      <c r="G31">
        <v>0.8</v>
      </c>
      <c r="H31">
        <v>0</v>
      </c>
      <c r="I31">
        <v>0</v>
      </c>
      <c r="J31" s="113">
        <v>0</v>
      </c>
      <c r="K31" s="113">
        <v>0</v>
      </c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1.6640625" style="111" bestFit="1" customWidth="1"/>
    <col min="2" max="27" width="3.83203125" style="111" customWidth="1"/>
    <col min="28" max="31" width="2.33203125" style="111" customWidth="1"/>
    <col min="32" max="16384" width="10.83203125" style="111"/>
  </cols>
  <sheetData>
    <row r="1" spans="1:31" x14ac:dyDescent="0.15">
      <c r="A1" s="63" t="s">
        <v>118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</row>
    <row r="2" spans="1:31" customFormat="1" x14ac:dyDescent="0.15">
      <c r="A2" s="188" t="s">
        <v>192</v>
      </c>
      <c r="B2" s="111">
        <v>0.8</v>
      </c>
      <c r="C2" s="111">
        <v>0.8</v>
      </c>
      <c r="D2" s="111">
        <v>0</v>
      </c>
      <c r="E2" s="111">
        <v>0.8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0.8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</row>
    <row r="3" spans="1:31" customFormat="1" x14ac:dyDescent="0.15">
      <c r="A3" s="188" t="s">
        <v>193</v>
      </c>
      <c r="B3" s="111">
        <v>0</v>
      </c>
      <c r="C3" s="111">
        <v>0</v>
      </c>
      <c r="D3" s="111">
        <v>0.8</v>
      </c>
      <c r="E3" s="111">
        <v>0</v>
      </c>
      <c r="F3" s="111">
        <v>0.8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</row>
    <row r="4" spans="1:31" customFormat="1" x14ac:dyDescent="0.15">
      <c r="A4" s="188" t="s">
        <v>194</v>
      </c>
      <c r="B4" s="111">
        <v>0</v>
      </c>
      <c r="C4" s="111">
        <v>0</v>
      </c>
      <c r="D4" s="111">
        <v>0.8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</row>
    <row r="5" spans="1:31" customFormat="1" x14ac:dyDescent="0.15">
      <c r="A5" s="188" t="s">
        <v>195</v>
      </c>
      <c r="B5" s="111">
        <v>0</v>
      </c>
      <c r="C5" s="111">
        <v>0</v>
      </c>
      <c r="D5" s="111">
        <v>0.8</v>
      </c>
      <c r="E5" s="111">
        <v>0</v>
      </c>
      <c r="F5" s="111">
        <v>0.8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</row>
    <row r="6" spans="1:31" customFormat="1" x14ac:dyDescent="0.15">
      <c r="A6" s="188" t="s">
        <v>196</v>
      </c>
      <c r="B6" s="111">
        <v>0</v>
      </c>
      <c r="C6" s="111">
        <v>0</v>
      </c>
      <c r="D6" s="111">
        <v>0.8</v>
      </c>
      <c r="E6" s="111">
        <v>0</v>
      </c>
      <c r="F6" s="111">
        <v>0.8</v>
      </c>
      <c r="G6" s="111">
        <v>0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</row>
    <row r="7" spans="1:31" customFormat="1" x14ac:dyDescent="0.15">
      <c r="A7" s="188" t="s">
        <v>197</v>
      </c>
      <c r="B7" s="111">
        <v>0.8</v>
      </c>
      <c r="C7" s="111">
        <v>0.8</v>
      </c>
      <c r="D7" s="111">
        <v>0.8</v>
      </c>
      <c r="E7" s="111">
        <v>0</v>
      </c>
      <c r="F7" s="111">
        <v>0.8</v>
      </c>
      <c r="G7" s="111">
        <v>0</v>
      </c>
      <c r="H7" s="111">
        <v>0</v>
      </c>
      <c r="I7" s="111">
        <v>0</v>
      </c>
      <c r="J7" s="111">
        <v>0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0.8</v>
      </c>
      <c r="R7" s="111">
        <v>0.8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</row>
    <row r="8" spans="1:31" customFormat="1" x14ac:dyDescent="0.15">
      <c r="A8" s="188" t="s">
        <v>198</v>
      </c>
      <c r="B8" s="111">
        <v>0</v>
      </c>
      <c r="C8" s="111">
        <v>0</v>
      </c>
      <c r="D8" s="111">
        <v>0.8</v>
      </c>
      <c r="E8" s="111">
        <v>0</v>
      </c>
      <c r="F8" s="111">
        <v>0.8</v>
      </c>
      <c r="G8" s="111">
        <v>0</v>
      </c>
      <c r="H8" s="111">
        <v>0</v>
      </c>
      <c r="I8" s="111">
        <v>0</v>
      </c>
      <c r="J8" s="111">
        <v>0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</row>
    <row r="9" spans="1:31" customFormat="1" x14ac:dyDescent="0.15">
      <c r="A9" s="188" t="s">
        <v>199</v>
      </c>
      <c r="B9" s="111">
        <v>0.8</v>
      </c>
      <c r="C9" s="111">
        <v>0.8</v>
      </c>
      <c r="D9" s="111">
        <v>0.8</v>
      </c>
      <c r="E9" s="111">
        <v>0.8</v>
      </c>
      <c r="F9" s="111">
        <v>0.8</v>
      </c>
      <c r="G9" s="111">
        <v>0</v>
      </c>
      <c r="H9" s="111">
        <v>0</v>
      </c>
      <c r="I9" s="111">
        <v>0.8</v>
      </c>
      <c r="J9" s="111">
        <v>0</v>
      </c>
      <c r="K9" s="111">
        <v>0.8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0.8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</row>
    <row r="10" spans="1:31" customFormat="1" x14ac:dyDescent="0.15">
      <c r="A10" s="188" t="s">
        <v>200</v>
      </c>
      <c r="B10" s="111">
        <v>0.8</v>
      </c>
      <c r="C10" s="111">
        <v>0</v>
      </c>
      <c r="D10" s="111">
        <v>0.8</v>
      </c>
      <c r="E10" s="111">
        <v>0</v>
      </c>
      <c r="F10" s="111">
        <v>0.8</v>
      </c>
      <c r="G10" s="111">
        <v>0</v>
      </c>
      <c r="H10" s="111">
        <v>0</v>
      </c>
      <c r="I10" s="111">
        <v>0.8</v>
      </c>
      <c r="J10" s="111">
        <v>0</v>
      </c>
      <c r="K10" s="111">
        <v>0.8</v>
      </c>
      <c r="L10" s="111">
        <v>0.8</v>
      </c>
      <c r="M10" s="111">
        <v>0</v>
      </c>
      <c r="N10" s="111">
        <v>0</v>
      </c>
      <c r="O10" s="111">
        <v>0</v>
      </c>
      <c r="P10" s="111">
        <v>0</v>
      </c>
      <c r="Q10" s="111">
        <v>0.8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0.8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</row>
    <row r="11" spans="1:31" customFormat="1" x14ac:dyDescent="0.15">
      <c r="A11" s="188" t="s">
        <v>201</v>
      </c>
      <c r="B11" s="111">
        <v>0.8</v>
      </c>
      <c r="C11" s="111">
        <v>0.8</v>
      </c>
      <c r="D11" s="111">
        <v>0.8</v>
      </c>
      <c r="E11" s="111">
        <v>0.8</v>
      </c>
      <c r="F11" s="111">
        <v>0.8</v>
      </c>
      <c r="G11" s="111">
        <v>0</v>
      </c>
      <c r="H11" s="111">
        <v>0</v>
      </c>
      <c r="I11" s="111">
        <v>0</v>
      </c>
      <c r="J11" s="111">
        <v>0</v>
      </c>
      <c r="K11" s="111">
        <v>0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</row>
    <row r="12" spans="1:31" customFormat="1" x14ac:dyDescent="0.15">
      <c r="A12" s="188" t="s">
        <v>202</v>
      </c>
      <c r="B12" s="111">
        <v>0</v>
      </c>
      <c r="C12" s="111">
        <v>0</v>
      </c>
      <c r="D12" s="111">
        <v>0</v>
      </c>
      <c r="E12" s="111">
        <v>0</v>
      </c>
      <c r="F12" s="111">
        <v>0</v>
      </c>
      <c r="G12" s="111">
        <v>0</v>
      </c>
      <c r="H12" s="111">
        <v>0</v>
      </c>
      <c r="I12" s="111">
        <v>0.8</v>
      </c>
      <c r="J12" s="111">
        <v>0.8</v>
      </c>
      <c r="K12" s="111">
        <v>0.8</v>
      </c>
      <c r="L12" s="111">
        <v>0.8</v>
      </c>
      <c r="M12" s="111">
        <v>0.8</v>
      </c>
      <c r="N12" s="111">
        <v>0.8</v>
      </c>
      <c r="O12" s="111">
        <v>0</v>
      </c>
      <c r="P12" s="111">
        <v>0</v>
      </c>
      <c r="Q12" s="111">
        <v>0.8</v>
      </c>
      <c r="R12" s="111">
        <v>0</v>
      </c>
      <c r="S12" s="111">
        <v>0</v>
      </c>
      <c r="T12" s="111">
        <v>0</v>
      </c>
      <c r="U12" s="111">
        <v>0</v>
      </c>
      <c r="V12" s="111">
        <v>0</v>
      </c>
      <c r="W12" s="111">
        <v>0</v>
      </c>
      <c r="X12" s="111">
        <v>0.8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</row>
    <row r="13" spans="1:31" customFormat="1" x14ac:dyDescent="0.15">
      <c r="A13" s="188" t="s">
        <v>203</v>
      </c>
      <c r="B13" s="111">
        <v>0</v>
      </c>
      <c r="C13" s="111">
        <v>0</v>
      </c>
      <c r="D13" s="111">
        <v>0</v>
      </c>
      <c r="E13" s="111">
        <v>0</v>
      </c>
      <c r="F13" s="111">
        <v>0</v>
      </c>
      <c r="G13" s="111">
        <v>0</v>
      </c>
      <c r="H13" s="111">
        <v>0</v>
      </c>
      <c r="I13" s="111">
        <v>0</v>
      </c>
      <c r="J13" s="111">
        <v>0.8</v>
      </c>
      <c r="K13" s="111">
        <v>0.8</v>
      </c>
      <c r="L13" s="111">
        <v>0</v>
      </c>
      <c r="M13" s="111">
        <v>0.8</v>
      </c>
      <c r="N13" s="111">
        <v>0.8</v>
      </c>
      <c r="O13" s="111">
        <v>0</v>
      </c>
      <c r="P13" s="111">
        <v>0</v>
      </c>
      <c r="Q13" s="111">
        <v>0.8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</row>
    <row r="14" spans="1:31" customFormat="1" x14ac:dyDescent="0.15">
      <c r="A14" s="188" t="s">
        <v>204</v>
      </c>
      <c r="B14" s="111">
        <v>0</v>
      </c>
      <c r="C14" s="111">
        <v>0</v>
      </c>
      <c r="D14" s="111">
        <v>0</v>
      </c>
      <c r="E14" s="111">
        <v>0</v>
      </c>
      <c r="F14" s="111">
        <v>0</v>
      </c>
      <c r="G14" s="111">
        <v>0</v>
      </c>
      <c r="H14" s="111">
        <v>0</v>
      </c>
      <c r="I14" s="111">
        <v>0.8</v>
      </c>
      <c r="J14" s="111">
        <v>0.8</v>
      </c>
      <c r="K14" s="111">
        <v>0.8</v>
      </c>
      <c r="L14" s="111">
        <v>0.8</v>
      </c>
      <c r="M14" s="111">
        <v>0</v>
      </c>
      <c r="N14" s="111">
        <v>0.8</v>
      </c>
      <c r="O14" s="111">
        <v>0</v>
      </c>
      <c r="P14" s="111">
        <v>0.8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0</v>
      </c>
      <c r="W14" s="111">
        <v>0.8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</row>
    <row r="15" spans="1:31" customFormat="1" x14ac:dyDescent="0.15">
      <c r="A15" s="188" t="s">
        <v>205</v>
      </c>
      <c r="B15" s="111">
        <v>0.8</v>
      </c>
      <c r="C15" s="111">
        <v>0</v>
      </c>
      <c r="D15" s="111">
        <v>0</v>
      </c>
      <c r="E15" s="111">
        <v>0</v>
      </c>
      <c r="F15" s="111">
        <v>0</v>
      </c>
      <c r="G15" s="111">
        <v>0.8</v>
      </c>
      <c r="H15" s="111">
        <v>0</v>
      </c>
      <c r="I15" s="111">
        <v>0.8</v>
      </c>
      <c r="J15" s="111">
        <v>0</v>
      </c>
      <c r="K15" s="111">
        <v>0.8</v>
      </c>
      <c r="L15" s="111">
        <v>0</v>
      </c>
      <c r="M15" s="111">
        <v>0.8</v>
      </c>
      <c r="N15" s="111">
        <v>0.8</v>
      </c>
      <c r="O15" s="111">
        <v>0</v>
      </c>
      <c r="P15" s="111">
        <v>0.8</v>
      </c>
      <c r="Q15" s="111">
        <v>0.8</v>
      </c>
      <c r="R15" s="111">
        <v>0</v>
      </c>
      <c r="S15" s="111">
        <v>0</v>
      </c>
      <c r="T15" s="111">
        <v>0</v>
      </c>
      <c r="U15" s="111">
        <v>0</v>
      </c>
      <c r="V15" s="111">
        <v>0</v>
      </c>
      <c r="W15" s="111">
        <v>0.8</v>
      </c>
      <c r="X15" s="111">
        <v>0.8</v>
      </c>
      <c r="Y15" s="111">
        <v>0</v>
      </c>
      <c r="Z15" s="111">
        <v>0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</row>
    <row r="16" spans="1:31" customFormat="1" x14ac:dyDescent="0.15">
      <c r="A16" s="188" t="s">
        <v>206</v>
      </c>
      <c r="B16" s="111">
        <v>0.8</v>
      </c>
      <c r="C16" s="111">
        <v>0</v>
      </c>
      <c r="D16" s="111">
        <v>0</v>
      </c>
      <c r="E16" s="111">
        <v>0.8</v>
      </c>
      <c r="F16" s="111">
        <v>0.8</v>
      </c>
      <c r="G16" s="111">
        <v>0</v>
      </c>
      <c r="H16" s="111">
        <v>0</v>
      </c>
      <c r="I16" s="111">
        <v>0.8</v>
      </c>
      <c r="J16" s="111">
        <v>0.8</v>
      </c>
      <c r="K16" s="111">
        <v>0.8</v>
      </c>
      <c r="L16" s="111">
        <v>0.8</v>
      </c>
      <c r="M16" s="111">
        <v>0</v>
      </c>
      <c r="N16" s="111">
        <v>0.8</v>
      </c>
      <c r="O16" s="111">
        <v>0</v>
      </c>
      <c r="P16" s="111">
        <v>0.8</v>
      </c>
      <c r="Q16" s="111">
        <v>0.8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0.8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</row>
    <row r="17" spans="1:31" customFormat="1" x14ac:dyDescent="0.15">
      <c r="A17" s="188" t="s">
        <v>207</v>
      </c>
      <c r="B17" s="111">
        <v>0.8</v>
      </c>
      <c r="C17" s="111">
        <v>0.8</v>
      </c>
      <c r="D17" s="111">
        <v>0.8</v>
      </c>
      <c r="E17" s="111">
        <v>0.8</v>
      </c>
      <c r="F17" s="111">
        <v>0.8</v>
      </c>
      <c r="G17" s="111">
        <v>0.8</v>
      </c>
      <c r="H17" s="111">
        <v>0</v>
      </c>
      <c r="I17" s="111">
        <v>0.8</v>
      </c>
      <c r="J17" s="111">
        <v>0.8</v>
      </c>
      <c r="K17" s="111">
        <v>0.8</v>
      </c>
      <c r="L17" s="111">
        <v>0</v>
      </c>
      <c r="M17" s="111">
        <v>0</v>
      </c>
      <c r="N17" s="111">
        <v>0.8</v>
      </c>
      <c r="O17" s="111">
        <v>0</v>
      </c>
      <c r="P17" s="111">
        <v>0.8</v>
      </c>
      <c r="Q17" s="111">
        <v>0.8</v>
      </c>
      <c r="R17" s="111">
        <v>0.8</v>
      </c>
      <c r="S17" s="111">
        <v>0</v>
      </c>
      <c r="T17" s="111">
        <v>0</v>
      </c>
      <c r="U17" s="111">
        <v>0</v>
      </c>
      <c r="V17" s="111">
        <v>0</v>
      </c>
      <c r="W17" s="111">
        <v>0.8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</row>
    <row r="18" spans="1:31" customFormat="1" x14ac:dyDescent="0.15">
      <c r="A18" s="188" t="s">
        <v>208</v>
      </c>
      <c r="B18" s="111">
        <v>0.8</v>
      </c>
      <c r="C18" s="111">
        <v>0.8</v>
      </c>
      <c r="D18" s="111">
        <v>0.8</v>
      </c>
      <c r="E18" s="111">
        <v>0.8</v>
      </c>
      <c r="F18" s="111">
        <v>0.8</v>
      </c>
      <c r="G18" s="111">
        <v>0.8</v>
      </c>
      <c r="H18" s="111">
        <v>0.8</v>
      </c>
      <c r="I18" s="111">
        <v>0.8</v>
      </c>
      <c r="J18" s="111">
        <v>0</v>
      </c>
      <c r="K18" s="111">
        <v>0</v>
      </c>
      <c r="L18" s="111">
        <v>0</v>
      </c>
      <c r="M18" s="111">
        <v>0</v>
      </c>
      <c r="N18" s="111">
        <v>0</v>
      </c>
      <c r="O18" s="111">
        <v>0</v>
      </c>
      <c r="P18" s="111">
        <v>0</v>
      </c>
      <c r="Q18" s="111">
        <v>0.8</v>
      </c>
      <c r="R18" s="111">
        <v>0.8</v>
      </c>
      <c r="S18" s="111">
        <v>0</v>
      </c>
      <c r="T18" s="111">
        <v>0</v>
      </c>
      <c r="U18" s="111">
        <v>0</v>
      </c>
      <c r="V18" s="111">
        <v>0</v>
      </c>
      <c r="W18" s="111">
        <v>0</v>
      </c>
      <c r="X18" s="111">
        <v>0</v>
      </c>
      <c r="Y18" s="111">
        <v>0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</row>
    <row r="19" spans="1:31" customFormat="1" x14ac:dyDescent="0.15">
      <c r="A19" s="188" t="s">
        <v>209</v>
      </c>
      <c r="B19" s="111">
        <v>0.8</v>
      </c>
      <c r="C19" s="111">
        <v>0</v>
      </c>
      <c r="D19" s="111">
        <v>0</v>
      </c>
      <c r="E19" s="111">
        <v>0</v>
      </c>
      <c r="F19" s="111">
        <v>0</v>
      </c>
      <c r="G19" s="111">
        <v>0.8</v>
      </c>
      <c r="H19" s="111">
        <v>0</v>
      </c>
      <c r="I19" s="111">
        <v>0.8</v>
      </c>
      <c r="J19" s="111">
        <v>0</v>
      </c>
      <c r="K19" s="111">
        <v>0.8</v>
      </c>
      <c r="L19" s="111">
        <v>0</v>
      </c>
      <c r="M19" s="111">
        <v>0.8</v>
      </c>
      <c r="N19" s="111">
        <v>0.8</v>
      </c>
      <c r="O19" s="111">
        <v>0</v>
      </c>
      <c r="P19" s="111">
        <v>0.8</v>
      </c>
      <c r="Q19" s="111">
        <v>0.8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0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</row>
    <row r="20" spans="1:31" customFormat="1" x14ac:dyDescent="0.15">
      <c r="A20" s="188" t="s">
        <v>210</v>
      </c>
      <c r="B20" s="111">
        <v>0.8</v>
      </c>
      <c r="C20" s="111">
        <v>0</v>
      </c>
      <c r="D20" s="111">
        <v>0</v>
      </c>
      <c r="E20" s="111">
        <v>0</v>
      </c>
      <c r="F20" s="111">
        <v>0</v>
      </c>
      <c r="G20" s="111">
        <v>0.8</v>
      </c>
      <c r="H20" s="111">
        <v>0</v>
      </c>
      <c r="I20" s="111">
        <v>0.8</v>
      </c>
      <c r="J20" s="111">
        <v>0.8</v>
      </c>
      <c r="K20" s="111">
        <v>0.8</v>
      </c>
      <c r="L20" s="111">
        <v>0.8</v>
      </c>
      <c r="M20" s="111">
        <v>0.8</v>
      </c>
      <c r="N20" s="111">
        <v>0.8</v>
      </c>
      <c r="O20" s="111">
        <v>0</v>
      </c>
      <c r="P20" s="111">
        <v>0.8</v>
      </c>
      <c r="Q20" s="111">
        <v>0.8</v>
      </c>
      <c r="R20" s="111">
        <v>0</v>
      </c>
      <c r="S20" s="111">
        <v>0</v>
      </c>
      <c r="T20" s="111">
        <v>0</v>
      </c>
      <c r="U20" s="111">
        <v>0</v>
      </c>
      <c r="V20" s="111">
        <v>0</v>
      </c>
      <c r="W20" s="111">
        <v>0.8</v>
      </c>
      <c r="X20" s="111">
        <v>0.8</v>
      </c>
      <c r="Y20" s="111">
        <v>0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</row>
    <row r="21" spans="1:31" customFormat="1" x14ac:dyDescent="0.15">
      <c r="A21" s="188" t="s">
        <v>211</v>
      </c>
      <c r="B21" s="111">
        <v>0.8</v>
      </c>
      <c r="C21" s="111">
        <v>0.8</v>
      </c>
      <c r="D21" s="111">
        <v>0</v>
      </c>
      <c r="E21" s="111">
        <v>0.8</v>
      </c>
      <c r="F21" s="111">
        <v>0.8</v>
      </c>
      <c r="G21" s="111">
        <v>0</v>
      </c>
      <c r="H21" s="111">
        <v>0</v>
      </c>
      <c r="I21" s="111">
        <v>0.8</v>
      </c>
      <c r="J21" s="111">
        <v>0</v>
      </c>
      <c r="K21" s="111">
        <v>0</v>
      </c>
      <c r="L21" s="111">
        <v>0</v>
      </c>
      <c r="M21" s="111">
        <v>0</v>
      </c>
      <c r="N21" s="111">
        <v>0</v>
      </c>
      <c r="O21" s="111">
        <v>0</v>
      </c>
      <c r="P21" s="111">
        <v>0</v>
      </c>
      <c r="Q21" s="111">
        <v>0.8</v>
      </c>
      <c r="R21" s="111">
        <v>0.8</v>
      </c>
      <c r="S21" s="111">
        <v>0</v>
      </c>
      <c r="T21" s="111">
        <v>0</v>
      </c>
      <c r="U21" s="111">
        <v>0.8</v>
      </c>
      <c r="V21" s="111">
        <v>0</v>
      </c>
      <c r="W21" s="111">
        <v>0.8</v>
      </c>
      <c r="X21" s="111">
        <v>0</v>
      </c>
      <c r="Y21" s="111">
        <v>0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</row>
    <row r="22" spans="1:31" customFormat="1" x14ac:dyDescent="0.15">
      <c r="A22" s="188" t="s">
        <v>212</v>
      </c>
      <c r="B22" s="111">
        <v>0</v>
      </c>
      <c r="C22" s="111">
        <v>0</v>
      </c>
      <c r="D22" s="111">
        <v>0</v>
      </c>
      <c r="E22" s="111">
        <v>0</v>
      </c>
      <c r="F22" s="111">
        <v>0</v>
      </c>
      <c r="G22" s="111">
        <v>0.8</v>
      </c>
      <c r="H22" s="111">
        <v>0.8</v>
      </c>
      <c r="I22" s="111">
        <v>0.8</v>
      </c>
      <c r="J22" s="111">
        <v>0.8</v>
      </c>
      <c r="K22" s="111">
        <v>0.8</v>
      </c>
      <c r="L22" s="111">
        <v>0.8</v>
      </c>
      <c r="M22" s="111">
        <v>0.8</v>
      </c>
      <c r="N22" s="111">
        <v>0.8</v>
      </c>
      <c r="O22" s="111">
        <v>0.8</v>
      </c>
      <c r="P22" s="111">
        <v>0.8</v>
      </c>
      <c r="Q22" s="111">
        <v>0.8</v>
      </c>
      <c r="R22" s="111">
        <v>0</v>
      </c>
      <c r="S22" s="111">
        <v>0.8</v>
      </c>
      <c r="T22" s="111">
        <v>0.8</v>
      </c>
      <c r="U22" s="111">
        <v>0</v>
      </c>
      <c r="V22" s="111">
        <v>0.8</v>
      </c>
      <c r="W22" s="111">
        <v>0.8</v>
      </c>
      <c r="X22" s="111">
        <v>0.8</v>
      </c>
      <c r="Y22" s="111">
        <v>0</v>
      </c>
      <c r="Z22" s="111">
        <v>0.8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</row>
    <row r="23" spans="1:31" customFormat="1" x14ac:dyDescent="0.15">
      <c r="A23" s="188" t="s">
        <v>213</v>
      </c>
      <c r="B23" s="111">
        <v>0.8</v>
      </c>
      <c r="C23" s="111">
        <v>0.8</v>
      </c>
      <c r="D23" s="111">
        <v>0.8</v>
      </c>
      <c r="E23" s="111">
        <v>0.8</v>
      </c>
      <c r="F23" s="111">
        <v>0.8</v>
      </c>
      <c r="G23" s="111">
        <v>0</v>
      </c>
      <c r="H23" s="111">
        <v>0</v>
      </c>
      <c r="I23" s="111">
        <v>0.8</v>
      </c>
      <c r="J23" s="111">
        <v>0</v>
      </c>
      <c r="K23" s="111">
        <v>0.8</v>
      </c>
      <c r="L23" s="111">
        <v>0.8</v>
      </c>
      <c r="M23" s="111">
        <v>0</v>
      </c>
      <c r="N23" s="111">
        <v>0</v>
      </c>
      <c r="O23" s="111">
        <v>0</v>
      </c>
      <c r="P23" s="111">
        <v>0</v>
      </c>
      <c r="Q23" s="111">
        <v>0.8</v>
      </c>
      <c r="R23" s="111">
        <v>0</v>
      </c>
      <c r="S23" s="111">
        <v>0</v>
      </c>
      <c r="T23" s="111">
        <v>0</v>
      </c>
      <c r="U23" s="111">
        <v>0</v>
      </c>
      <c r="V23" s="111">
        <v>0</v>
      </c>
      <c r="W23" s="111">
        <v>0.8</v>
      </c>
      <c r="X23" s="111">
        <v>0</v>
      </c>
      <c r="Y23" s="111">
        <v>0</v>
      </c>
      <c r="Z23" s="111">
        <v>0</v>
      </c>
      <c r="AA23" s="111">
        <v>0</v>
      </c>
      <c r="AB23" s="111">
        <v>0</v>
      </c>
      <c r="AC23" s="111">
        <v>0</v>
      </c>
      <c r="AD23" s="111">
        <v>0</v>
      </c>
      <c r="AE23" s="111">
        <v>0</v>
      </c>
    </row>
    <row r="24" spans="1:31" customFormat="1" x14ac:dyDescent="0.15">
      <c r="A24" s="188" t="s">
        <v>214</v>
      </c>
      <c r="B24" s="111">
        <v>0.8</v>
      </c>
      <c r="C24" s="111">
        <v>0.8</v>
      </c>
      <c r="D24" s="111">
        <v>0.8</v>
      </c>
      <c r="E24" s="111">
        <v>0.8</v>
      </c>
      <c r="F24" s="111">
        <v>0.8</v>
      </c>
      <c r="G24" s="111">
        <v>0</v>
      </c>
      <c r="H24" s="111">
        <v>0</v>
      </c>
      <c r="I24" s="111">
        <v>0.8</v>
      </c>
      <c r="J24" s="111">
        <v>0.8</v>
      </c>
      <c r="K24" s="111">
        <v>0.8</v>
      </c>
      <c r="L24" s="111">
        <v>0</v>
      </c>
      <c r="M24" s="111">
        <v>0</v>
      </c>
      <c r="N24" s="111">
        <v>0</v>
      </c>
      <c r="O24" s="111">
        <v>0</v>
      </c>
      <c r="P24" s="111">
        <v>0.8</v>
      </c>
      <c r="Q24" s="111">
        <v>0.8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</row>
    <row r="25" spans="1:31" customFormat="1" x14ac:dyDescent="0.15">
      <c r="A25" s="188" t="s">
        <v>215</v>
      </c>
      <c r="B25" s="111">
        <v>0</v>
      </c>
      <c r="C25" s="111">
        <v>0.8</v>
      </c>
      <c r="D25" s="111">
        <v>0</v>
      </c>
      <c r="E25" s="111">
        <v>0.8</v>
      </c>
      <c r="F25" s="111">
        <v>0.8</v>
      </c>
      <c r="G25" s="111">
        <v>0.8</v>
      </c>
      <c r="H25" s="111">
        <v>0.8</v>
      </c>
      <c r="I25" s="111">
        <v>0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0.8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</row>
    <row r="26" spans="1:31" customFormat="1" x14ac:dyDescent="0.15">
      <c r="A26" s="188" t="s">
        <v>216</v>
      </c>
      <c r="B26" s="111">
        <v>0</v>
      </c>
      <c r="C26" s="111">
        <v>0</v>
      </c>
      <c r="D26" s="111">
        <v>0</v>
      </c>
      <c r="E26" s="111">
        <v>0.8</v>
      </c>
      <c r="F26" s="111">
        <v>0</v>
      </c>
      <c r="G26" s="111">
        <v>0.8</v>
      </c>
      <c r="H26" s="111">
        <v>0.8</v>
      </c>
      <c r="I26" s="111">
        <v>0.8</v>
      </c>
      <c r="J26" s="111">
        <v>0.8</v>
      </c>
      <c r="K26" s="111">
        <v>0.8</v>
      </c>
      <c r="L26" s="111">
        <v>0.8</v>
      </c>
      <c r="M26" s="111">
        <v>0.8</v>
      </c>
      <c r="N26" s="111">
        <v>0.8</v>
      </c>
      <c r="O26" s="111">
        <v>0.8</v>
      </c>
      <c r="P26" s="111">
        <v>0.8</v>
      </c>
      <c r="Q26" s="111">
        <v>0.8</v>
      </c>
      <c r="R26" s="111">
        <v>0</v>
      </c>
      <c r="S26" s="111">
        <v>0.8</v>
      </c>
      <c r="T26" s="111">
        <v>0.8</v>
      </c>
      <c r="U26" s="111">
        <v>0</v>
      </c>
      <c r="V26" s="111">
        <v>0.8</v>
      </c>
      <c r="W26" s="111">
        <v>0.8</v>
      </c>
      <c r="X26" s="111">
        <v>0.8</v>
      </c>
      <c r="Y26" s="111">
        <v>0</v>
      </c>
      <c r="Z26" s="111">
        <v>0.8</v>
      </c>
      <c r="AA26" s="111">
        <v>0</v>
      </c>
      <c r="AB26" s="111">
        <v>0</v>
      </c>
      <c r="AC26" s="111">
        <v>0</v>
      </c>
      <c r="AD26" s="111">
        <v>0</v>
      </c>
      <c r="AE26" s="111">
        <v>0</v>
      </c>
    </row>
    <row r="27" spans="1:31" customFormat="1" x14ac:dyDescent="0.15">
      <c r="A27" s="188" t="s">
        <v>217</v>
      </c>
      <c r="B27" s="111">
        <v>0</v>
      </c>
      <c r="C27" s="111">
        <v>0</v>
      </c>
      <c r="D27" s="111">
        <v>0</v>
      </c>
      <c r="E27" s="111">
        <v>0</v>
      </c>
      <c r="F27" s="111">
        <v>0</v>
      </c>
      <c r="G27" s="111">
        <v>0.8</v>
      </c>
      <c r="H27" s="111">
        <v>0.8</v>
      </c>
      <c r="I27" s="111">
        <v>0</v>
      </c>
      <c r="J27" s="111">
        <v>0</v>
      </c>
      <c r="K27" s="111">
        <v>0</v>
      </c>
      <c r="L27" s="111">
        <v>0.8</v>
      </c>
      <c r="M27" s="111">
        <v>0.8</v>
      </c>
      <c r="N27" s="111">
        <v>0</v>
      </c>
      <c r="O27" s="111">
        <v>0.8</v>
      </c>
      <c r="P27" s="111">
        <v>0</v>
      </c>
      <c r="Q27" s="111">
        <v>0.8</v>
      </c>
      <c r="R27" s="111">
        <v>0.8</v>
      </c>
      <c r="S27" s="111">
        <v>0.8</v>
      </c>
      <c r="T27" s="111">
        <v>0.8</v>
      </c>
      <c r="U27" s="111">
        <v>0.8</v>
      </c>
      <c r="V27" s="111">
        <v>0.8</v>
      </c>
      <c r="W27" s="111">
        <v>0.8</v>
      </c>
      <c r="X27" s="111">
        <v>0</v>
      </c>
      <c r="Y27" s="111">
        <v>0.8</v>
      </c>
      <c r="Z27" s="111">
        <v>0.8</v>
      </c>
      <c r="AA27" s="111">
        <v>0.8</v>
      </c>
      <c r="AB27" s="111">
        <v>0</v>
      </c>
      <c r="AC27" s="111">
        <v>0</v>
      </c>
      <c r="AD27" s="111">
        <v>0</v>
      </c>
      <c r="AE27" s="111">
        <v>0</v>
      </c>
    </row>
    <row r="28" spans="1:31" customFormat="1" x14ac:dyDescent="0.15">
      <c r="A28" s="188" t="s">
        <v>218</v>
      </c>
      <c r="B28" s="111">
        <v>0</v>
      </c>
      <c r="C28" s="111">
        <v>0</v>
      </c>
      <c r="D28" s="111">
        <v>0</v>
      </c>
      <c r="E28" s="111">
        <v>0</v>
      </c>
      <c r="F28" s="111">
        <v>0</v>
      </c>
      <c r="G28" s="111">
        <v>0</v>
      </c>
      <c r="H28" s="111">
        <v>0</v>
      </c>
      <c r="I28" s="111">
        <v>0</v>
      </c>
      <c r="J28" s="111">
        <v>0</v>
      </c>
      <c r="K28" s="111">
        <v>0</v>
      </c>
      <c r="L28" s="111">
        <v>0.8</v>
      </c>
      <c r="M28" s="111">
        <v>0.8</v>
      </c>
      <c r="N28" s="111">
        <v>0</v>
      </c>
      <c r="O28" s="111">
        <v>0.8</v>
      </c>
      <c r="P28" s="111">
        <v>0</v>
      </c>
      <c r="Q28" s="111">
        <v>0.8</v>
      </c>
      <c r="R28" s="111">
        <v>0.8</v>
      </c>
      <c r="S28" s="111">
        <v>0.8</v>
      </c>
      <c r="T28" s="111">
        <v>0.8</v>
      </c>
      <c r="U28" s="111">
        <v>0.8</v>
      </c>
      <c r="V28" s="111">
        <v>0.8</v>
      </c>
      <c r="W28" s="111">
        <v>0</v>
      </c>
      <c r="X28" s="111">
        <v>0</v>
      </c>
      <c r="Y28" s="111">
        <v>0.8</v>
      </c>
      <c r="Z28" s="111">
        <v>0.8</v>
      </c>
      <c r="AA28" s="111">
        <v>0.8</v>
      </c>
      <c r="AB28" s="111">
        <v>0</v>
      </c>
      <c r="AC28" s="111">
        <v>0</v>
      </c>
      <c r="AD28" s="111">
        <v>0</v>
      </c>
      <c r="AE28" s="111">
        <v>0</v>
      </c>
    </row>
    <row r="29" spans="1:31" customFormat="1" x14ac:dyDescent="0.15">
      <c r="A29" s="188" t="s">
        <v>219</v>
      </c>
      <c r="B29" s="111">
        <v>0</v>
      </c>
      <c r="C29" s="111">
        <v>0</v>
      </c>
      <c r="D29" s="111">
        <v>0</v>
      </c>
      <c r="E29" s="111">
        <v>0</v>
      </c>
      <c r="F29" s="111">
        <v>0</v>
      </c>
      <c r="G29" s="111">
        <v>0</v>
      </c>
      <c r="H29" s="111">
        <v>0</v>
      </c>
      <c r="I29" s="111">
        <v>0</v>
      </c>
      <c r="J29" s="111">
        <v>0</v>
      </c>
      <c r="K29" s="111">
        <v>0.8</v>
      </c>
      <c r="L29" s="111">
        <v>0.8</v>
      </c>
      <c r="M29" s="111">
        <v>0.8</v>
      </c>
      <c r="N29" s="111">
        <v>0.8</v>
      </c>
      <c r="O29" s="111">
        <v>0.8</v>
      </c>
      <c r="P29" s="111">
        <v>0.8</v>
      </c>
      <c r="Q29" s="111">
        <v>0.8</v>
      </c>
      <c r="R29" s="111">
        <v>0</v>
      </c>
      <c r="S29" s="111">
        <v>0.8</v>
      </c>
      <c r="T29" s="111">
        <v>0.8</v>
      </c>
      <c r="U29" s="111">
        <v>0</v>
      </c>
      <c r="V29" s="111">
        <v>0.8</v>
      </c>
      <c r="W29" s="111">
        <v>0.8</v>
      </c>
      <c r="X29" s="111">
        <v>0.8</v>
      </c>
      <c r="Y29" s="111">
        <v>0</v>
      </c>
      <c r="Z29" s="111">
        <v>0.8</v>
      </c>
      <c r="AA29" s="111">
        <v>0</v>
      </c>
      <c r="AB29" s="111">
        <v>0</v>
      </c>
      <c r="AC29" s="111">
        <v>0</v>
      </c>
      <c r="AD29" s="111">
        <v>0</v>
      </c>
      <c r="AE29" s="111">
        <v>0</v>
      </c>
    </row>
    <row r="30" spans="1:31" customFormat="1" x14ac:dyDescent="0.15">
      <c r="A30" s="188" t="s">
        <v>220</v>
      </c>
      <c r="B30" s="111">
        <v>0</v>
      </c>
      <c r="C30" s="111">
        <v>0</v>
      </c>
      <c r="D30" s="111">
        <v>0</v>
      </c>
      <c r="E30" s="111">
        <v>0</v>
      </c>
      <c r="F30" s="111">
        <v>0</v>
      </c>
      <c r="G30" s="111">
        <v>0</v>
      </c>
      <c r="H30" s="111">
        <v>0</v>
      </c>
      <c r="I30" s="111">
        <v>0.8</v>
      </c>
      <c r="J30" s="111">
        <v>0.8</v>
      </c>
      <c r="K30" s="111">
        <v>0</v>
      </c>
      <c r="L30" s="111">
        <v>0.8</v>
      </c>
      <c r="M30" s="111">
        <v>0</v>
      </c>
      <c r="N30" s="111">
        <v>0.8</v>
      </c>
      <c r="O30" s="111">
        <v>0.8</v>
      </c>
      <c r="P30" s="111">
        <v>0.8</v>
      </c>
      <c r="Q30" s="111">
        <v>0.8</v>
      </c>
      <c r="R30" s="111">
        <v>0</v>
      </c>
      <c r="S30" s="111">
        <v>0.8</v>
      </c>
      <c r="T30" s="111">
        <v>0.8</v>
      </c>
      <c r="U30" s="111">
        <v>0.8</v>
      </c>
      <c r="V30" s="111">
        <v>0.8</v>
      </c>
      <c r="W30" s="111">
        <v>0.8</v>
      </c>
      <c r="X30" s="111">
        <v>0.8</v>
      </c>
      <c r="Y30" s="111">
        <v>0</v>
      </c>
      <c r="Z30" s="111">
        <v>0.8</v>
      </c>
      <c r="AA30" s="111">
        <v>0</v>
      </c>
      <c r="AB30" s="111">
        <v>0</v>
      </c>
      <c r="AC30" s="111">
        <v>0</v>
      </c>
      <c r="AD30" s="111">
        <v>0</v>
      </c>
      <c r="AE30" s="111">
        <v>0</v>
      </c>
    </row>
    <row r="31" spans="1:31" customFormat="1" x14ac:dyDescent="0.15">
      <c r="A31" s="188" t="s">
        <v>221</v>
      </c>
      <c r="B31" s="111">
        <v>0</v>
      </c>
      <c r="C31" s="111">
        <v>0</v>
      </c>
      <c r="D31" s="111">
        <v>0</v>
      </c>
      <c r="E31" s="111">
        <v>0</v>
      </c>
      <c r="F31" s="111">
        <v>0</v>
      </c>
      <c r="G31" s="111">
        <v>0</v>
      </c>
      <c r="H31" s="111">
        <v>0</v>
      </c>
      <c r="I31" s="111">
        <v>0</v>
      </c>
      <c r="J31" s="111">
        <v>0</v>
      </c>
      <c r="K31" s="111">
        <v>0</v>
      </c>
      <c r="L31" s="111">
        <v>0</v>
      </c>
      <c r="M31" s="111">
        <v>0</v>
      </c>
      <c r="N31" s="111">
        <v>0</v>
      </c>
      <c r="O31" s="111">
        <v>0</v>
      </c>
      <c r="P31" s="111">
        <v>0</v>
      </c>
      <c r="Q31" s="111">
        <v>0</v>
      </c>
      <c r="R31" s="111">
        <v>0</v>
      </c>
      <c r="S31" s="111">
        <v>0</v>
      </c>
      <c r="T31" s="111">
        <v>0</v>
      </c>
      <c r="U31" s="111">
        <v>0</v>
      </c>
      <c r="V31" s="111">
        <v>0</v>
      </c>
      <c r="W31" s="111">
        <v>0</v>
      </c>
      <c r="X31" s="111">
        <v>0</v>
      </c>
      <c r="Y31" s="111">
        <v>0</v>
      </c>
      <c r="Z31" s="111">
        <v>0</v>
      </c>
      <c r="AA31" s="111">
        <v>0</v>
      </c>
      <c r="AB31" s="111">
        <v>0</v>
      </c>
      <c r="AC31" s="111">
        <v>0</v>
      </c>
      <c r="AD31" s="111">
        <v>0</v>
      </c>
      <c r="AE31" s="111">
        <v>0</v>
      </c>
    </row>
    <row r="32" spans="1:31" customFormat="1" x14ac:dyDescent="0.15">
      <c r="A32" s="188" t="s">
        <v>225</v>
      </c>
      <c r="B32" s="111">
        <v>0</v>
      </c>
      <c r="C32" s="111">
        <v>0</v>
      </c>
      <c r="D32" s="111">
        <v>0</v>
      </c>
      <c r="E32" s="111">
        <v>0</v>
      </c>
      <c r="F32" s="111">
        <v>0</v>
      </c>
      <c r="G32" s="111">
        <v>0</v>
      </c>
      <c r="H32" s="111">
        <v>0</v>
      </c>
      <c r="I32" s="111">
        <v>0</v>
      </c>
      <c r="J32" s="111">
        <v>0</v>
      </c>
      <c r="K32" s="111">
        <v>0</v>
      </c>
      <c r="L32" s="111">
        <v>0</v>
      </c>
      <c r="M32" s="111">
        <v>0</v>
      </c>
      <c r="N32" s="111">
        <v>0</v>
      </c>
      <c r="O32" s="111">
        <v>0</v>
      </c>
      <c r="P32" s="111">
        <v>0</v>
      </c>
      <c r="Q32" s="111">
        <v>0</v>
      </c>
      <c r="R32" s="111">
        <v>0</v>
      </c>
      <c r="S32" s="111">
        <v>0</v>
      </c>
      <c r="T32" s="111">
        <v>0</v>
      </c>
      <c r="U32" s="111">
        <v>0</v>
      </c>
      <c r="V32" s="111">
        <v>0</v>
      </c>
      <c r="W32" s="111">
        <v>0</v>
      </c>
      <c r="X32" s="111">
        <v>0</v>
      </c>
      <c r="Y32" s="111">
        <v>0</v>
      </c>
      <c r="Z32" s="111">
        <v>0</v>
      </c>
      <c r="AA32" s="111">
        <v>0</v>
      </c>
      <c r="AB32" s="111">
        <v>0</v>
      </c>
      <c r="AC32" s="111">
        <v>0</v>
      </c>
      <c r="AD32" s="111">
        <v>0</v>
      </c>
      <c r="AE32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1.6640625" style="111" bestFit="1" customWidth="1"/>
    <col min="2" max="31" width="2.33203125" style="111" customWidth="1"/>
    <col min="32" max="16384" width="10.83203125" style="111"/>
  </cols>
  <sheetData>
    <row r="1" spans="1:31" x14ac:dyDescent="0.15">
      <c r="A1" s="63" t="s">
        <v>139</v>
      </c>
      <c r="B1" s="191" t="s">
        <v>192</v>
      </c>
      <c r="C1" s="191" t="s">
        <v>193</v>
      </c>
      <c r="D1" s="191" t="s">
        <v>194</v>
      </c>
      <c r="E1" s="191" t="s">
        <v>195</v>
      </c>
      <c r="F1" s="191" t="s">
        <v>196</v>
      </c>
      <c r="G1" s="191" t="s">
        <v>197</v>
      </c>
      <c r="H1" s="191" t="s">
        <v>198</v>
      </c>
      <c r="I1" s="191" t="s">
        <v>199</v>
      </c>
      <c r="J1" s="191" t="s">
        <v>200</v>
      </c>
      <c r="K1" s="191" t="s">
        <v>201</v>
      </c>
      <c r="L1" s="191" t="s">
        <v>202</v>
      </c>
      <c r="M1" s="191" t="s">
        <v>203</v>
      </c>
      <c r="N1" s="191" t="s">
        <v>204</v>
      </c>
      <c r="O1" s="191" t="s">
        <v>205</v>
      </c>
      <c r="P1" s="191" t="s">
        <v>206</v>
      </c>
      <c r="Q1" s="191" t="s">
        <v>207</v>
      </c>
      <c r="R1" s="191" t="s">
        <v>208</v>
      </c>
      <c r="S1" s="191" t="s">
        <v>209</v>
      </c>
      <c r="T1" s="191" t="s">
        <v>210</v>
      </c>
      <c r="U1" s="191" t="s">
        <v>211</v>
      </c>
      <c r="V1" s="191" t="s">
        <v>212</v>
      </c>
      <c r="W1" s="191" t="s">
        <v>213</v>
      </c>
      <c r="X1" s="191" t="s">
        <v>214</v>
      </c>
      <c r="Y1" s="191" t="s">
        <v>215</v>
      </c>
      <c r="Z1" s="191" t="s">
        <v>216</v>
      </c>
      <c r="AA1" s="191" t="s">
        <v>217</v>
      </c>
      <c r="AB1" s="191" t="s">
        <v>218</v>
      </c>
      <c r="AC1" s="191" t="s">
        <v>219</v>
      </c>
      <c r="AD1" s="191" t="s">
        <v>220</v>
      </c>
      <c r="AE1" s="191" t="s">
        <v>221</v>
      </c>
    </row>
    <row r="2" spans="1:31" customFormat="1" x14ac:dyDescent="0.15">
      <c r="A2" s="190" t="s">
        <v>192</v>
      </c>
      <c r="B2" s="111">
        <v>1</v>
      </c>
      <c r="C2" s="111">
        <v>1</v>
      </c>
      <c r="D2" s="111">
        <v>0</v>
      </c>
      <c r="E2" s="111">
        <v>1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1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</row>
    <row r="3" spans="1:31" customFormat="1" x14ac:dyDescent="0.15">
      <c r="A3" s="190" t="s">
        <v>193</v>
      </c>
      <c r="B3" s="111">
        <v>0</v>
      </c>
      <c r="C3" s="111">
        <v>0</v>
      </c>
      <c r="D3" s="111">
        <v>1</v>
      </c>
      <c r="E3" s="111">
        <v>0</v>
      </c>
      <c r="F3" s="111">
        <v>1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</row>
    <row r="4" spans="1:31" customFormat="1" x14ac:dyDescent="0.15">
      <c r="A4" s="190" t="s">
        <v>194</v>
      </c>
      <c r="B4" s="111">
        <v>0</v>
      </c>
      <c r="C4" s="111">
        <v>0</v>
      </c>
      <c r="D4" s="111">
        <v>1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</row>
    <row r="5" spans="1:31" customFormat="1" x14ac:dyDescent="0.15">
      <c r="A5" s="190" t="s">
        <v>195</v>
      </c>
      <c r="B5" s="111">
        <v>0</v>
      </c>
      <c r="C5" s="111">
        <v>0</v>
      </c>
      <c r="D5" s="111">
        <v>1</v>
      </c>
      <c r="E5" s="111">
        <v>0</v>
      </c>
      <c r="F5" s="111">
        <v>1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</row>
    <row r="6" spans="1:31" customFormat="1" x14ac:dyDescent="0.15">
      <c r="A6" s="190" t="s">
        <v>196</v>
      </c>
      <c r="B6" s="111">
        <v>0</v>
      </c>
      <c r="C6" s="111">
        <v>0</v>
      </c>
      <c r="D6" s="111">
        <v>1</v>
      </c>
      <c r="E6" s="111">
        <v>0</v>
      </c>
      <c r="F6" s="111">
        <v>1</v>
      </c>
      <c r="G6" s="111">
        <v>0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</row>
    <row r="7" spans="1:31" customFormat="1" x14ac:dyDescent="0.15">
      <c r="A7" s="190" t="s">
        <v>197</v>
      </c>
      <c r="B7" s="111">
        <v>1</v>
      </c>
      <c r="C7" s="111">
        <v>1</v>
      </c>
      <c r="D7" s="111">
        <v>1</v>
      </c>
      <c r="E7" s="111">
        <v>0</v>
      </c>
      <c r="F7" s="111">
        <v>1</v>
      </c>
      <c r="G7" s="111">
        <v>0</v>
      </c>
      <c r="H7" s="111">
        <v>0</v>
      </c>
      <c r="I7" s="111">
        <v>0</v>
      </c>
      <c r="J7" s="111">
        <v>0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1</v>
      </c>
      <c r="R7" s="111">
        <v>1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</row>
    <row r="8" spans="1:31" customFormat="1" x14ac:dyDescent="0.15">
      <c r="A8" s="190" t="s">
        <v>198</v>
      </c>
      <c r="B8" s="111">
        <v>0</v>
      </c>
      <c r="C8" s="111">
        <v>0</v>
      </c>
      <c r="D8" s="111">
        <v>1</v>
      </c>
      <c r="E8" s="111">
        <v>0</v>
      </c>
      <c r="F8" s="111">
        <v>1</v>
      </c>
      <c r="G8" s="111">
        <v>0</v>
      </c>
      <c r="H8" s="111">
        <v>0</v>
      </c>
      <c r="I8" s="111">
        <v>0</v>
      </c>
      <c r="J8" s="111">
        <v>0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</row>
    <row r="9" spans="1:31" customFormat="1" x14ac:dyDescent="0.15">
      <c r="A9" s="190" t="s">
        <v>199</v>
      </c>
      <c r="B9" s="111">
        <v>1</v>
      </c>
      <c r="C9" s="111">
        <v>1</v>
      </c>
      <c r="D9" s="111">
        <v>1</v>
      </c>
      <c r="E9" s="111">
        <v>1</v>
      </c>
      <c r="F9" s="111">
        <v>1</v>
      </c>
      <c r="G9" s="111">
        <v>0</v>
      </c>
      <c r="H9" s="111">
        <v>0</v>
      </c>
      <c r="I9" s="111">
        <v>1</v>
      </c>
      <c r="J9" s="111">
        <v>0</v>
      </c>
      <c r="K9" s="111">
        <v>1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1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</row>
    <row r="10" spans="1:31" customFormat="1" x14ac:dyDescent="0.15">
      <c r="A10" s="190" t="s">
        <v>200</v>
      </c>
      <c r="B10" s="111">
        <v>1</v>
      </c>
      <c r="C10" s="111">
        <v>0</v>
      </c>
      <c r="D10" s="111">
        <v>1</v>
      </c>
      <c r="E10" s="111">
        <v>0</v>
      </c>
      <c r="F10" s="111">
        <v>1</v>
      </c>
      <c r="G10" s="111">
        <v>0</v>
      </c>
      <c r="H10" s="111">
        <v>0</v>
      </c>
      <c r="I10" s="111">
        <v>1</v>
      </c>
      <c r="J10" s="111">
        <v>0</v>
      </c>
      <c r="K10" s="111">
        <v>1</v>
      </c>
      <c r="L10" s="111">
        <v>1</v>
      </c>
      <c r="M10" s="111">
        <v>0</v>
      </c>
      <c r="N10" s="111">
        <v>0</v>
      </c>
      <c r="O10" s="111">
        <v>0</v>
      </c>
      <c r="P10" s="111">
        <v>0</v>
      </c>
      <c r="Q10" s="111">
        <v>1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1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</row>
    <row r="11" spans="1:31" customFormat="1" x14ac:dyDescent="0.15">
      <c r="A11" s="190" t="s">
        <v>201</v>
      </c>
      <c r="B11" s="111">
        <v>1</v>
      </c>
      <c r="C11" s="111">
        <v>1</v>
      </c>
      <c r="D11" s="111">
        <v>1</v>
      </c>
      <c r="E11" s="111">
        <v>1</v>
      </c>
      <c r="F11" s="111">
        <v>1</v>
      </c>
      <c r="G11" s="111">
        <v>0</v>
      </c>
      <c r="H11" s="111">
        <v>0</v>
      </c>
      <c r="I11" s="111">
        <v>0</v>
      </c>
      <c r="J11" s="111">
        <v>0</v>
      </c>
      <c r="K11" s="111">
        <v>0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</row>
    <row r="12" spans="1:31" customFormat="1" x14ac:dyDescent="0.15">
      <c r="A12" s="190" t="s">
        <v>202</v>
      </c>
      <c r="B12" s="111">
        <v>0</v>
      </c>
      <c r="C12" s="111">
        <v>0</v>
      </c>
      <c r="D12" s="111">
        <v>0</v>
      </c>
      <c r="E12" s="111">
        <v>0</v>
      </c>
      <c r="F12" s="111">
        <v>0</v>
      </c>
      <c r="G12" s="111">
        <v>0</v>
      </c>
      <c r="H12" s="111">
        <v>0</v>
      </c>
      <c r="I12" s="111">
        <v>1</v>
      </c>
      <c r="J12" s="111">
        <v>1</v>
      </c>
      <c r="K12" s="111">
        <v>1</v>
      </c>
      <c r="L12" s="111">
        <v>1</v>
      </c>
      <c r="M12" s="111">
        <v>1</v>
      </c>
      <c r="N12" s="111">
        <v>1</v>
      </c>
      <c r="O12" s="111">
        <v>0</v>
      </c>
      <c r="P12" s="111">
        <v>0</v>
      </c>
      <c r="Q12" s="111">
        <v>1</v>
      </c>
      <c r="R12" s="111">
        <v>0</v>
      </c>
      <c r="S12" s="111">
        <v>0</v>
      </c>
      <c r="T12" s="111">
        <v>0</v>
      </c>
      <c r="U12" s="111">
        <v>0</v>
      </c>
      <c r="V12" s="111">
        <v>0</v>
      </c>
      <c r="W12" s="111">
        <v>0</v>
      </c>
      <c r="X12" s="111">
        <v>1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</row>
    <row r="13" spans="1:31" customFormat="1" x14ac:dyDescent="0.15">
      <c r="A13" s="190" t="s">
        <v>203</v>
      </c>
      <c r="B13" s="111">
        <v>0</v>
      </c>
      <c r="C13" s="111">
        <v>0</v>
      </c>
      <c r="D13" s="111">
        <v>0</v>
      </c>
      <c r="E13" s="111">
        <v>0</v>
      </c>
      <c r="F13" s="111">
        <v>0</v>
      </c>
      <c r="G13" s="111">
        <v>0</v>
      </c>
      <c r="H13" s="111">
        <v>0</v>
      </c>
      <c r="I13" s="111">
        <v>0</v>
      </c>
      <c r="J13" s="111">
        <v>1</v>
      </c>
      <c r="K13" s="111">
        <v>1</v>
      </c>
      <c r="L13" s="111">
        <v>0</v>
      </c>
      <c r="M13" s="111">
        <v>1</v>
      </c>
      <c r="N13" s="111">
        <v>1</v>
      </c>
      <c r="O13" s="111">
        <v>0</v>
      </c>
      <c r="P13" s="111">
        <v>0</v>
      </c>
      <c r="Q13" s="111">
        <v>1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</row>
    <row r="14" spans="1:31" customFormat="1" x14ac:dyDescent="0.15">
      <c r="A14" s="190" t="s">
        <v>204</v>
      </c>
      <c r="B14" s="111">
        <v>0</v>
      </c>
      <c r="C14" s="111">
        <v>0</v>
      </c>
      <c r="D14" s="111">
        <v>0</v>
      </c>
      <c r="E14" s="111">
        <v>0</v>
      </c>
      <c r="F14" s="111">
        <v>0</v>
      </c>
      <c r="G14" s="111">
        <v>0</v>
      </c>
      <c r="H14" s="111">
        <v>0</v>
      </c>
      <c r="I14" s="111">
        <v>1</v>
      </c>
      <c r="J14" s="111">
        <v>1</v>
      </c>
      <c r="K14" s="111">
        <v>1</v>
      </c>
      <c r="L14" s="111">
        <v>1</v>
      </c>
      <c r="M14" s="111">
        <v>0</v>
      </c>
      <c r="N14" s="111">
        <v>1</v>
      </c>
      <c r="O14" s="111">
        <v>0</v>
      </c>
      <c r="P14" s="111">
        <v>1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0</v>
      </c>
      <c r="W14" s="111">
        <v>1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</row>
    <row r="15" spans="1:31" customFormat="1" x14ac:dyDescent="0.15">
      <c r="A15" s="190" t="s">
        <v>205</v>
      </c>
      <c r="B15" s="111">
        <v>1</v>
      </c>
      <c r="C15" s="111">
        <v>0</v>
      </c>
      <c r="D15" s="111">
        <v>0</v>
      </c>
      <c r="E15" s="111">
        <v>0</v>
      </c>
      <c r="F15" s="111">
        <v>0</v>
      </c>
      <c r="G15" s="111">
        <v>1</v>
      </c>
      <c r="H15" s="111">
        <v>0</v>
      </c>
      <c r="I15" s="111">
        <v>1</v>
      </c>
      <c r="J15" s="111">
        <v>0</v>
      </c>
      <c r="K15" s="111">
        <v>1</v>
      </c>
      <c r="L15" s="111">
        <v>0</v>
      </c>
      <c r="M15" s="111">
        <v>1</v>
      </c>
      <c r="N15" s="111">
        <v>1</v>
      </c>
      <c r="O15" s="111">
        <v>0</v>
      </c>
      <c r="P15" s="111">
        <v>1</v>
      </c>
      <c r="Q15" s="111">
        <v>1</v>
      </c>
      <c r="R15" s="111">
        <v>0</v>
      </c>
      <c r="S15" s="111">
        <v>0</v>
      </c>
      <c r="T15" s="111">
        <v>0</v>
      </c>
      <c r="U15" s="111">
        <v>0</v>
      </c>
      <c r="V15" s="111">
        <v>0</v>
      </c>
      <c r="W15" s="111">
        <v>1</v>
      </c>
      <c r="X15" s="111">
        <v>1</v>
      </c>
      <c r="Y15" s="111">
        <v>0</v>
      </c>
      <c r="Z15" s="111">
        <v>0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</row>
    <row r="16" spans="1:31" customFormat="1" x14ac:dyDescent="0.15">
      <c r="A16" s="190" t="s">
        <v>206</v>
      </c>
      <c r="B16" s="111">
        <v>1</v>
      </c>
      <c r="C16" s="111">
        <v>0</v>
      </c>
      <c r="D16" s="111">
        <v>0</v>
      </c>
      <c r="E16" s="111">
        <v>1</v>
      </c>
      <c r="F16" s="111">
        <v>1</v>
      </c>
      <c r="G16" s="111">
        <v>0</v>
      </c>
      <c r="H16" s="111">
        <v>0</v>
      </c>
      <c r="I16" s="111">
        <v>1</v>
      </c>
      <c r="J16" s="111">
        <v>1</v>
      </c>
      <c r="K16" s="111">
        <v>1</v>
      </c>
      <c r="L16" s="111">
        <v>1</v>
      </c>
      <c r="M16" s="111">
        <v>0</v>
      </c>
      <c r="N16" s="111">
        <v>1</v>
      </c>
      <c r="O16" s="111">
        <v>0</v>
      </c>
      <c r="P16" s="111">
        <v>1</v>
      </c>
      <c r="Q16" s="111">
        <v>1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1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</row>
    <row r="17" spans="1:31" customFormat="1" x14ac:dyDescent="0.15">
      <c r="A17" s="190" t="s">
        <v>207</v>
      </c>
      <c r="B17" s="111">
        <v>1</v>
      </c>
      <c r="C17" s="111">
        <v>1</v>
      </c>
      <c r="D17" s="111">
        <v>1</v>
      </c>
      <c r="E17" s="111">
        <v>1</v>
      </c>
      <c r="F17" s="111">
        <v>1</v>
      </c>
      <c r="G17" s="111">
        <v>1</v>
      </c>
      <c r="H17" s="111">
        <v>0</v>
      </c>
      <c r="I17" s="111">
        <v>1</v>
      </c>
      <c r="J17" s="111">
        <v>1</v>
      </c>
      <c r="K17" s="111">
        <v>1</v>
      </c>
      <c r="L17" s="111">
        <v>0</v>
      </c>
      <c r="M17" s="111">
        <v>0</v>
      </c>
      <c r="N17" s="111">
        <v>1</v>
      </c>
      <c r="O17" s="111">
        <v>0</v>
      </c>
      <c r="P17" s="111">
        <v>1</v>
      </c>
      <c r="Q17" s="111">
        <v>1</v>
      </c>
      <c r="R17" s="111">
        <v>1</v>
      </c>
      <c r="S17" s="111">
        <v>0</v>
      </c>
      <c r="T17" s="111">
        <v>0</v>
      </c>
      <c r="U17" s="111">
        <v>0</v>
      </c>
      <c r="V17" s="111">
        <v>0</v>
      </c>
      <c r="W17" s="111">
        <v>1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</row>
    <row r="18" spans="1:31" customFormat="1" x14ac:dyDescent="0.15">
      <c r="A18" s="190" t="s">
        <v>208</v>
      </c>
      <c r="B18" s="111">
        <v>1</v>
      </c>
      <c r="C18" s="111">
        <v>1</v>
      </c>
      <c r="D18" s="111">
        <v>1</v>
      </c>
      <c r="E18" s="111">
        <v>1</v>
      </c>
      <c r="F18" s="111">
        <v>1</v>
      </c>
      <c r="G18" s="111">
        <v>1</v>
      </c>
      <c r="H18" s="111">
        <v>1</v>
      </c>
      <c r="I18" s="111">
        <v>1</v>
      </c>
      <c r="J18" s="111">
        <v>0</v>
      </c>
      <c r="K18" s="111">
        <v>0</v>
      </c>
      <c r="L18" s="111">
        <v>0</v>
      </c>
      <c r="M18" s="111">
        <v>0</v>
      </c>
      <c r="N18" s="111">
        <v>0</v>
      </c>
      <c r="O18" s="111">
        <v>0</v>
      </c>
      <c r="P18" s="111">
        <v>0</v>
      </c>
      <c r="Q18" s="111">
        <v>1</v>
      </c>
      <c r="R18" s="111">
        <v>1</v>
      </c>
      <c r="S18" s="111">
        <v>0</v>
      </c>
      <c r="T18" s="111">
        <v>0</v>
      </c>
      <c r="U18" s="111">
        <v>0</v>
      </c>
      <c r="V18" s="111">
        <v>0</v>
      </c>
      <c r="W18" s="111">
        <v>0</v>
      </c>
      <c r="X18" s="111">
        <v>0</v>
      </c>
      <c r="Y18" s="111">
        <v>0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</row>
    <row r="19" spans="1:31" customFormat="1" x14ac:dyDescent="0.15">
      <c r="A19" s="190" t="s">
        <v>209</v>
      </c>
      <c r="B19" s="111">
        <v>1</v>
      </c>
      <c r="C19" s="111">
        <v>0</v>
      </c>
      <c r="D19" s="111">
        <v>0</v>
      </c>
      <c r="E19" s="111">
        <v>0</v>
      </c>
      <c r="F19" s="111">
        <v>0</v>
      </c>
      <c r="G19" s="111">
        <v>1</v>
      </c>
      <c r="H19" s="111">
        <v>0</v>
      </c>
      <c r="I19" s="111">
        <v>1</v>
      </c>
      <c r="J19" s="111">
        <v>0</v>
      </c>
      <c r="K19" s="111">
        <v>1</v>
      </c>
      <c r="L19" s="111">
        <v>0</v>
      </c>
      <c r="M19" s="111">
        <v>1</v>
      </c>
      <c r="N19" s="111">
        <v>1</v>
      </c>
      <c r="O19" s="111">
        <v>0</v>
      </c>
      <c r="P19" s="111">
        <v>1</v>
      </c>
      <c r="Q19" s="111">
        <v>1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0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</row>
    <row r="20" spans="1:31" customFormat="1" x14ac:dyDescent="0.15">
      <c r="A20" s="190" t="s">
        <v>210</v>
      </c>
      <c r="B20" s="111">
        <v>1</v>
      </c>
      <c r="C20" s="111">
        <v>0</v>
      </c>
      <c r="D20" s="111">
        <v>0</v>
      </c>
      <c r="E20" s="111">
        <v>0</v>
      </c>
      <c r="F20" s="111">
        <v>0</v>
      </c>
      <c r="G20" s="111">
        <v>1</v>
      </c>
      <c r="H20" s="111">
        <v>0</v>
      </c>
      <c r="I20" s="111">
        <v>1</v>
      </c>
      <c r="J20" s="111">
        <v>1</v>
      </c>
      <c r="K20" s="111">
        <v>1</v>
      </c>
      <c r="L20" s="111">
        <v>1</v>
      </c>
      <c r="M20" s="111">
        <v>1</v>
      </c>
      <c r="N20" s="111">
        <v>1</v>
      </c>
      <c r="O20" s="111">
        <v>0</v>
      </c>
      <c r="P20" s="111">
        <v>1</v>
      </c>
      <c r="Q20" s="111">
        <v>1</v>
      </c>
      <c r="R20" s="111">
        <v>0</v>
      </c>
      <c r="S20" s="111">
        <v>0</v>
      </c>
      <c r="T20" s="111">
        <v>0</v>
      </c>
      <c r="U20" s="111">
        <v>0</v>
      </c>
      <c r="V20" s="111">
        <v>0</v>
      </c>
      <c r="W20" s="111">
        <v>1</v>
      </c>
      <c r="X20" s="111">
        <v>1</v>
      </c>
      <c r="Y20" s="111">
        <v>0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</row>
    <row r="21" spans="1:31" customFormat="1" x14ac:dyDescent="0.15">
      <c r="A21" s="190" t="s">
        <v>211</v>
      </c>
      <c r="B21" s="111">
        <v>1</v>
      </c>
      <c r="C21" s="111">
        <v>1</v>
      </c>
      <c r="D21" s="111">
        <v>0</v>
      </c>
      <c r="E21" s="111">
        <v>1</v>
      </c>
      <c r="F21" s="111">
        <v>1</v>
      </c>
      <c r="G21" s="111">
        <v>0</v>
      </c>
      <c r="H21" s="111">
        <v>0</v>
      </c>
      <c r="I21" s="111">
        <v>1</v>
      </c>
      <c r="J21" s="111">
        <v>0</v>
      </c>
      <c r="K21" s="111">
        <v>0</v>
      </c>
      <c r="L21" s="111">
        <v>0</v>
      </c>
      <c r="M21" s="111">
        <v>0</v>
      </c>
      <c r="N21" s="111">
        <v>0</v>
      </c>
      <c r="O21" s="111">
        <v>0</v>
      </c>
      <c r="P21" s="111">
        <v>0</v>
      </c>
      <c r="Q21" s="111">
        <v>1</v>
      </c>
      <c r="R21" s="111">
        <v>1</v>
      </c>
      <c r="S21" s="111">
        <v>0</v>
      </c>
      <c r="T21" s="111">
        <v>0</v>
      </c>
      <c r="U21" s="111">
        <v>1</v>
      </c>
      <c r="V21" s="111">
        <v>0</v>
      </c>
      <c r="W21" s="111">
        <v>1</v>
      </c>
      <c r="X21" s="111">
        <v>0</v>
      </c>
      <c r="Y21" s="111">
        <v>0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</row>
    <row r="22" spans="1:31" customFormat="1" x14ac:dyDescent="0.15">
      <c r="A22" s="190" t="s">
        <v>212</v>
      </c>
      <c r="B22" s="111">
        <v>0</v>
      </c>
      <c r="C22" s="111">
        <v>0</v>
      </c>
      <c r="D22" s="111">
        <v>0</v>
      </c>
      <c r="E22" s="111">
        <v>0</v>
      </c>
      <c r="F22" s="111">
        <v>0</v>
      </c>
      <c r="G22" s="111">
        <v>1</v>
      </c>
      <c r="H22" s="111">
        <v>1</v>
      </c>
      <c r="I22" s="111">
        <v>1</v>
      </c>
      <c r="J22" s="111">
        <v>1</v>
      </c>
      <c r="K22" s="111">
        <v>1</v>
      </c>
      <c r="L22" s="111">
        <v>1</v>
      </c>
      <c r="M22" s="111">
        <v>1</v>
      </c>
      <c r="N22" s="111">
        <v>1</v>
      </c>
      <c r="O22" s="111">
        <v>1</v>
      </c>
      <c r="P22" s="111">
        <v>1</v>
      </c>
      <c r="Q22" s="111">
        <v>1</v>
      </c>
      <c r="R22" s="111">
        <v>0</v>
      </c>
      <c r="S22" s="111">
        <v>1</v>
      </c>
      <c r="T22" s="111">
        <v>1</v>
      </c>
      <c r="U22" s="111">
        <v>0</v>
      </c>
      <c r="V22" s="111">
        <v>1</v>
      </c>
      <c r="W22" s="111">
        <v>1</v>
      </c>
      <c r="X22" s="111">
        <v>1</v>
      </c>
      <c r="Y22" s="111">
        <v>0</v>
      </c>
      <c r="Z22" s="111">
        <v>1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</row>
    <row r="23" spans="1:31" customFormat="1" x14ac:dyDescent="0.15">
      <c r="A23" s="190" t="s">
        <v>213</v>
      </c>
      <c r="B23" s="111">
        <v>1</v>
      </c>
      <c r="C23" s="111">
        <v>1</v>
      </c>
      <c r="D23" s="111">
        <v>1</v>
      </c>
      <c r="E23" s="111">
        <v>1</v>
      </c>
      <c r="F23" s="111">
        <v>1</v>
      </c>
      <c r="G23" s="111">
        <v>0</v>
      </c>
      <c r="H23" s="111">
        <v>0</v>
      </c>
      <c r="I23" s="111">
        <v>1</v>
      </c>
      <c r="J23" s="111">
        <v>0</v>
      </c>
      <c r="K23" s="111">
        <v>1</v>
      </c>
      <c r="L23" s="111">
        <v>1</v>
      </c>
      <c r="M23" s="111">
        <v>0</v>
      </c>
      <c r="N23" s="111">
        <v>0</v>
      </c>
      <c r="O23" s="111">
        <v>0</v>
      </c>
      <c r="P23" s="111">
        <v>0</v>
      </c>
      <c r="Q23" s="111">
        <v>1</v>
      </c>
      <c r="R23" s="111">
        <v>0</v>
      </c>
      <c r="S23" s="111">
        <v>0</v>
      </c>
      <c r="T23" s="111">
        <v>0</v>
      </c>
      <c r="U23" s="111">
        <v>0</v>
      </c>
      <c r="V23" s="111">
        <v>0</v>
      </c>
      <c r="W23" s="111">
        <v>1</v>
      </c>
      <c r="X23" s="111">
        <v>0</v>
      </c>
      <c r="Y23" s="111">
        <v>0</v>
      </c>
      <c r="Z23" s="111">
        <v>0</v>
      </c>
      <c r="AA23" s="111">
        <v>0</v>
      </c>
      <c r="AB23" s="111">
        <v>0</v>
      </c>
      <c r="AC23" s="111">
        <v>0</v>
      </c>
      <c r="AD23" s="111">
        <v>0</v>
      </c>
      <c r="AE23" s="111">
        <v>0</v>
      </c>
    </row>
    <row r="24" spans="1:31" customFormat="1" x14ac:dyDescent="0.15">
      <c r="A24" s="190" t="s">
        <v>214</v>
      </c>
      <c r="B24" s="111">
        <v>1</v>
      </c>
      <c r="C24" s="111">
        <v>1</v>
      </c>
      <c r="D24" s="111">
        <v>1</v>
      </c>
      <c r="E24" s="111">
        <v>1</v>
      </c>
      <c r="F24" s="111">
        <v>1</v>
      </c>
      <c r="G24" s="111">
        <v>0</v>
      </c>
      <c r="H24" s="111">
        <v>0</v>
      </c>
      <c r="I24" s="111">
        <v>1</v>
      </c>
      <c r="J24" s="111">
        <v>1</v>
      </c>
      <c r="K24" s="111">
        <v>1</v>
      </c>
      <c r="L24" s="111">
        <v>0</v>
      </c>
      <c r="M24" s="111">
        <v>0</v>
      </c>
      <c r="N24" s="111">
        <v>0</v>
      </c>
      <c r="O24" s="111">
        <v>0</v>
      </c>
      <c r="P24" s="111">
        <v>1</v>
      </c>
      <c r="Q24" s="111">
        <v>1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</row>
    <row r="25" spans="1:31" customFormat="1" x14ac:dyDescent="0.15">
      <c r="A25" s="190" t="s">
        <v>215</v>
      </c>
      <c r="B25" s="111">
        <v>0</v>
      </c>
      <c r="C25" s="111">
        <v>1</v>
      </c>
      <c r="D25" s="111">
        <v>0</v>
      </c>
      <c r="E25" s="111">
        <v>1</v>
      </c>
      <c r="F25" s="111">
        <v>1</v>
      </c>
      <c r="G25" s="111">
        <v>1</v>
      </c>
      <c r="H25" s="111">
        <v>1</v>
      </c>
      <c r="I25" s="111">
        <v>0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1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</row>
    <row r="26" spans="1:31" customFormat="1" x14ac:dyDescent="0.15">
      <c r="A26" s="190" t="s">
        <v>216</v>
      </c>
      <c r="B26" s="111">
        <v>0</v>
      </c>
      <c r="C26" s="111">
        <v>0</v>
      </c>
      <c r="D26" s="111">
        <v>0</v>
      </c>
      <c r="E26" s="111">
        <v>1</v>
      </c>
      <c r="F26" s="111">
        <v>0</v>
      </c>
      <c r="G26" s="111">
        <v>1</v>
      </c>
      <c r="H26" s="111">
        <v>1</v>
      </c>
      <c r="I26" s="111">
        <v>1</v>
      </c>
      <c r="J26" s="111">
        <v>1</v>
      </c>
      <c r="K26" s="111">
        <v>1</v>
      </c>
      <c r="L26" s="111">
        <v>1</v>
      </c>
      <c r="M26" s="111">
        <v>1</v>
      </c>
      <c r="N26" s="111">
        <v>1</v>
      </c>
      <c r="O26" s="111">
        <v>1</v>
      </c>
      <c r="P26" s="111">
        <v>1</v>
      </c>
      <c r="Q26" s="111">
        <v>1</v>
      </c>
      <c r="R26" s="111">
        <v>0</v>
      </c>
      <c r="S26" s="111">
        <v>1</v>
      </c>
      <c r="T26" s="111">
        <v>1</v>
      </c>
      <c r="U26" s="111">
        <v>0</v>
      </c>
      <c r="V26" s="111">
        <v>1</v>
      </c>
      <c r="W26" s="111">
        <v>1</v>
      </c>
      <c r="X26" s="111">
        <v>1</v>
      </c>
      <c r="Y26" s="111">
        <v>0</v>
      </c>
      <c r="Z26" s="111">
        <v>1</v>
      </c>
      <c r="AA26" s="111">
        <v>0</v>
      </c>
      <c r="AB26" s="111">
        <v>0</v>
      </c>
      <c r="AC26" s="111">
        <v>0</v>
      </c>
      <c r="AD26" s="111">
        <v>0</v>
      </c>
      <c r="AE26" s="111">
        <v>0</v>
      </c>
    </row>
    <row r="27" spans="1:31" customFormat="1" x14ac:dyDescent="0.15">
      <c r="A27" s="190" t="s">
        <v>217</v>
      </c>
      <c r="B27" s="111">
        <v>0</v>
      </c>
      <c r="C27" s="111">
        <v>0</v>
      </c>
      <c r="D27" s="111">
        <v>0</v>
      </c>
      <c r="E27" s="111">
        <v>0</v>
      </c>
      <c r="F27" s="111">
        <v>0</v>
      </c>
      <c r="G27" s="111">
        <v>1</v>
      </c>
      <c r="H27" s="111">
        <v>1</v>
      </c>
      <c r="I27" s="111">
        <v>0</v>
      </c>
      <c r="J27" s="111">
        <v>0</v>
      </c>
      <c r="K27" s="111">
        <v>0</v>
      </c>
      <c r="L27" s="111">
        <v>1</v>
      </c>
      <c r="M27" s="111">
        <v>1</v>
      </c>
      <c r="N27" s="111">
        <v>0</v>
      </c>
      <c r="O27" s="111">
        <v>1</v>
      </c>
      <c r="P27" s="111">
        <v>0</v>
      </c>
      <c r="Q27" s="111">
        <v>1</v>
      </c>
      <c r="R27" s="111">
        <v>1</v>
      </c>
      <c r="S27" s="111">
        <v>1</v>
      </c>
      <c r="T27" s="111">
        <v>1</v>
      </c>
      <c r="U27" s="111">
        <v>1</v>
      </c>
      <c r="V27" s="111">
        <v>1</v>
      </c>
      <c r="W27" s="111">
        <v>1</v>
      </c>
      <c r="X27" s="111">
        <v>0</v>
      </c>
      <c r="Y27" s="111">
        <v>1</v>
      </c>
      <c r="Z27" s="111">
        <v>1</v>
      </c>
      <c r="AA27" s="111">
        <v>1</v>
      </c>
      <c r="AB27" s="111">
        <v>0</v>
      </c>
      <c r="AC27" s="111">
        <v>0</v>
      </c>
      <c r="AD27" s="111">
        <v>0</v>
      </c>
      <c r="AE27" s="111">
        <v>0</v>
      </c>
    </row>
    <row r="28" spans="1:31" customFormat="1" x14ac:dyDescent="0.15">
      <c r="A28" s="190" t="s">
        <v>218</v>
      </c>
      <c r="B28" s="111">
        <v>0</v>
      </c>
      <c r="C28" s="111">
        <v>0</v>
      </c>
      <c r="D28" s="111">
        <v>0</v>
      </c>
      <c r="E28" s="111">
        <v>0</v>
      </c>
      <c r="F28" s="111">
        <v>0</v>
      </c>
      <c r="G28" s="111">
        <v>0</v>
      </c>
      <c r="H28" s="111">
        <v>0</v>
      </c>
      <c r="I28" s="111">
        <v>0</v>
      </c>
      <c r="J28" s="111">
        <v>0</v>
      </c>
      <c r="K28" s="111">
        <v>0</v>
      </c>
      <c r="L28" s="111">
        <v>1</v>
      </c>
      <c r="M28" s="111">
        <v>1</v>
      </c>
      <c r="N28" s="111">
        <v>0</v>
      </c>
      <c r="O28" s="111">
        <v>1</v>
      </c>
      <c r="P28" s="111">
        <v>0</v>
      </c>
      <c r="Q28" s="111">
        <v>1</v>
      </c>
      <c r="R28" s="111">
        <v>1</v>
      </c>
      <c r="S28" s="111">
        <v>1</v>
      </c>
      <c r="T28" s="111">
        <v>1</v>
      </c>
      <c r="U28" s="111">
        <v>1</v>
      </c>
      <c r="V28" s="111">
        <v>1</v>
      </c>
      <c r="W28" s="111">
        <v>0</v>
      </c>
      <c r="X28" s="111">
        <v>0</v>
      </c>
      <c r="Y28" s="111">
        <v>1</v>
      </c>
      <c r="Z28" s="111">
        <v>1</v>
      </c>
      <c r="AA28" s="111">
        <v>1</v>
      </c>
      <c r="AB28" s="111">
        <v>0</v>
      </c>
      <c r="AC28" s="111">
        <v>0</v>
      </c>
      <c r="AD28" s="111">
        <v>0</v>
      </c>
      <c r="AE28" s="111">
        <v>0</v>
      </c>
    </row>
    <row r="29" spans="1:31" customFormat="1" x14ac:dyDescent="0.15">
      <c r="A29" s="190" t="s">
        <v>219</v>
      </c>
      <c r="B29" s="111">
        <v>0</v>
      </c>
      <c r="C29" s="111">
        <v>0</v>
      </c>
      <c r="D29" s="111">
        <v>0</v>
      </c>
      <c r="E29" s="111">
        <v>0</v>
      </c>
      <c r="F29" s="111">
        <v>0</v>
      </c>
      <c r="G29" s="111">
        <v>0</v>
      </c>
      <c r="H29" s="111">
        <v>0</v>
      </c>
      <c r="I29" s="111">
        <v>0</v>
      </c>
      <c r="J29" s="111">
        <v>0</v>
      </c>
      <c r="K29" s="111">
        <v>1</v>
      </c>
      <c r="L29" s="111">
        <v>1</v>
      </c>
      <c r="M29" s="111">
        <v>1</v>
      </c>
      <c r="N29" s="111">
        <v>1</v>
      </c>
      <c r="O29" s="111">
        <v>1</v>
      </c>
      <c r="P29" s="111">
        <v>1</v>
      </c>
      <c r="Q29" s="111">
        <v>1</v>
      </c>
      <c r="R29" s="111">
        <v>0</v>
      </c>
      <c r="S29" s="111">
        <v>1</v>
      </c>
      <c r="T29" s="111">
        <v>1</v>
      </c>
      <c r="U29" s="111">
        <v>0</v>
      </c>
      <c r="V29" s="111">
        <v>1</v>
      </c>
      <c r="W29" s="111">
        <v>1</v>
      </c>
      <c r="X29" s="111">
        <v>1</v>
      </c>
      <c r="Y29" s="111">
        <v>0</v>
      </c>
      <c r="Z29" s="111">
        <v>1</v>
      </c>
      <c r="AA29" s="111">
        <v>0</v>
      </c>
      <c r="AB29" s="111">
        <v>0</v>
      </c>
      <c r="AC29" s="111">
        <v>0</v>
      </c>
      <c r="AD29" s="111">
        <v>0</v>
      </c>
      <c r="AE29" s="111">
        <v>0</v>
      </c>
    </row>
    <row r="30" spans="1:31" customFormat="1" x14ac:dyDescent="0.15">
      <c r="A30" s="190" t="s">
        <v>220</v>
      </c>
      <c r="B30" s="111">
        <v>0</v>
      </c>
      <c r="C30" s="111">
        <v>0</v>
      </c>
      <c r="D30" s="111">
        <v>0</v>
      </c>
      <c r="E30" s="111">
        <v>0</v>
      </c>
      <c r="F30" s="111">
        <v>0</v>
      </c>
      <c r="G30" s="111">
        <v>0</v>
      </c>
      <c r="H30" s="111">
        <v>0</v>
      </c>
      <c r="I30" s="111">
        <v>1</v>
      </c>
      <c r="J30" s="111">
        <v>1</v>
      </c>
      <c r="K30" s="111">
        <v>0</v>
      </c>
      <c r="L30" s="111">
        <v>1</v>
      </c>
      <c r="M30" s="111">
        <v>0</v>
      </c>
      <c r="N30" s="111">
        <v>1</v>
      </c>
      <c r="O30" s="111">
        <v>1</v>
      </c>
      <c r="P30" s="111">
        <v>1</v>
      </c>
      <c r="Q30" s="111">
        <v>1</v>
      </c>
      <c r="R30" s="111">
        <v>0</v>
      </c>
      <c r="S30" s="111">
        <v>1</v>
      </c>
      <c r="T30" s="111">
        <v>1</v>
      </c>
      <c r="U30" s="111">
        <v>1</v>
      </c>
      <c r="V30" s="111">
        <v>1</v>
      </c>
      <c r="W30" s="111">
        <v>1</v>
      </c>
      <c r="X30" s="111">
        <v>1</v>
      </c>
      <c r="Y30" s="111">
        <v>0</v>
      </c>
      <c r="Z30" s="111">
        <v>1</v>
      </c>
      <c r="AA30" s="111">
        <v>0</v>
      </c>
      <c r="AB30" s="111">
        <v>0</v>
      </c>
      <c r="AC30" s="111">
        <v>0</v>
      </c>
      <c r="AD30" s="111">
        <v>0</v>
      </c>
      <c r="AE30" s="111">
        <v>0</v>
      </c>
    </row>
    <row r="31" spans="1:31" customFormat="1" x14ac:dyDescent="0.15">
      <c r="A31" s="190" t="s">
        <v>221</v>
      </c>
      <c r="B31" s="111">
        <v>0</v>
      </c>
      <c r="C31" s="111">
        <v>0</v>
      </c>
      <c r="D31" s="111">
        <v>0</v>
      </c>
      <c r="E31" s="111">
        <v>0</v>
      </c>
      <c r="F31" s="111">
        <v>0</v>
      </c>
      <c r="G31" s="111">
        <v>0</v>
      </c>
      <c r="H31" s="111">
        <v>0</v>
      </c>
      <c r="I31" s="111">
        <v>0</v>
      </c>
      <c r="J31" s="111">
        <v>0</v>
      </c>
      <c r="K31" s="111">
        <v>0</v>
      </c>
      <c r="L31" s="111">
        <v>0</v>
      </c>
      <c r="M31" s="111">
        <v>0</v>
      </c>
      <c r="N31" s="111">
        <v>0</v>
      </c>
      <c r="O31" s="111">
        <v>0</v>
      </c>
      <c r="P31" s="111">
        <v>0</v>
      </c>
      <c r="Q31" s="111">
        <v>0</v>
      </c>
      <c r="R31" s="111">
        <v>0</v>
      </c>
      <c r="S31" s="111">
        <v>0</v>
      </c>
      <c r="T31" s="111">
        <v>0</v>
      </c>
      <c r="U31" s="111">
        <v>0</v>
      </c>
      <c r="V31" s="111">
        <v>0</v>
      </c>
      <c r="W31" s="111">
        <v>0</v>
      </c>
      <c r="X31" s="111">
        <v>0</v>
      </c>
      <c r="Y31" s="111">
        <v>0</v>
      </c>
      <c r="Z31" s="111">
        <v>0</v>
      </c>
      <c r="AA31" s="111">
        <v>0</v>
      </c>
      <c r="AB31" s="111">
        <v>0</v>
      </c>
      <c r="AC31" s="111">
        <v>0</v>
      </c>
      <c r="AD31" s="111">
        <v>0</v>
      </c>
      <c r="AE31" s="111">
        <v>0</v>
      </c>
    </row>
    <row r="32" spans="1:31" x14ac:dyDescent="0.15">
      <c r="A32" s="190" t="s">
        <v>225</v>
      </c>
      <c r="B32" s="111">
        <v>0</v>
      </c>
      <c r="C32" s="111">
        <v>0</v>
      </c>
      <c r="D32" s="111">
        <v>0</v>
      </c>
      <c r="E32" s="111">
        <v>0</v>
      </c>
      <c r="F32" s="111">
        <v>0</v>
      </c>
      <c r="G32" s="111">
        <v>0</v>
      </c>
      <c r="H32" s="111">
        <v>0</v>
      </c>
      <c r="I32" s="111">
        <v>0</v>
      </c>
      <c r="J32" s="111">
        <v>0</v>
      </c>
      <c r="K32" s="111">
        <v>0</v>
      </c>
      <c r="L32" s="111">
        <v>0</v>
      </c>
      <c r="M32" s="111">
        <v>0</v>
      </c>
      <c r="N32" s="111">
        <v>0</v>
      </c>
      <c r="O32" s="111">
        <v>0</v>
      </c>
      <c r="P32" s="111">
        <v>0</v>
      </c>
      <c r="Q32" s="111">
        <v>0</v>
      </c>
      <c r="R32" s="111">
        <v>0</v>
      </c>
      <c r="S32" s="111">
        <v>0</v>
      </c>
      <c r="T32" s="111">
        <v>0</v>
      </c>
      <c r="U32" s="111">
        <v>0</v>
      </c>
      <c r="V32" s="111">
        <v>0</v>
      </c>
      <c r="W32" s="111">
        <v>0</v>
      </c>
      <c r="X32" s="111">
        <v>0</v>
      </c>
      <c r="Y32" s="111">
        <v>0</v>
      </c>
      <c r="Z32" s="111">
        <v>0</v>
      </c>
      <c r="AA32" s="111">
        <v>0</v>
      </c>
      <c r="AB32" s="111">
        <v>0</v>
      </c>
      <c r="AC32" s="111">
        <v>0</v>
      </c>
      <c r="AD32" s="111">
        <v>0</v>
      </c>
      <c r="AE32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E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83</v>
      </c>
      <c r="B1" s="3" t="s">
        <v>0</v>
      </c>
      <c r="C1" s="193" t="s">
        <v>222</v>
      </c>
      <c r="D1" s="193" t="s">
        <v>223</v>
      </c>
      <c r="E1" s="193" t="s">
        <v>224</v>
      </c>
    </row>
    <row r="2" spans="1:5" x14ac:dyDescent="0.15">
      <c r="A2">
        <v>1</v>
      </c>
      <c r="B2" s="192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92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92" t="s">
        <v>194</v>
      </c>
      <c r="C4">
        <v>0.8</v>
      </c>
      <c r="D4">
        <v>0</v>
      </c>
      <c r="E4">
        <v>0</v>
      </c>
    </row>
    <row r="5" spans="1:5" x14ac:dyDescent="0.15">
      <c r="A5">
        <v>4</v>
      </c>
      <c r="B5" s="192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92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92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92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92" t="s">
        <v>199</v>
      </c>
      <c r="C9">
        <v>0.8</v>
      </c>
      <c r="D9">
        <v>0.8</v>
      </c>
      <c r="E9">
        <v>0.8</v>
      </c>
    </row>
    <row r="10" spans="1:5" x14ac:dyDescent="0.15">
      <c r="A10">
        <v>9</v>
      </c>
      <c r="B10" s="192" t="s">
        <v>200</v>
      </c>
      <c r="C10">
        <v>0.8</v>
      </c>
      <c r="D10">
        <v>0</v>
      </c>
      <c r="E10">
        <v>0.8</v>
      </c>
    </row>
    <row r="11" spans="1:5" x14ac:dyDescent="0.15">
      <c r="A11">
        <v>10</v>
      </c>
      <c r="B11" s="192" t="s">
        <v>201</v>
      </c>
      <c r="C11">
        <v>0.8</v>
      </c>
      <c r="D11">
        <v>0</v>
      </c>
      <c r="E11">
        <v>0.8</v>
      </c>
    </row>
    <row r="12" spans="1:5" x14ac:dyDescent="0.15">
      <c r="A12">
        <v>11</v>
      </c>
      <c r="B12" s="192" t="s">
        <v>202</v>
      </c>
      <c r="C12">
        <v>0.8</v>
      </c>
      <c r="D12">
        <v>0</v>
      </c>
      <c r="E12">
        <v>0</v>
      </c>
    </row>
    <row r="13" spans="1:5" x14ac:dyDescent="0.15">
      <c r="A13">
        <v>12</v>
      </c>
      <c r="B13" s="192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92" t="s">
        <v>204</v>
      </c>
      <c r="C14">
        <v>0.8</v>
      </c>
      <c r="D14">
        <v>0</v>
      </c>
      <c r="E14">
        <v>0.8</v>
      </c>
    </row>
    <row r="15" spans="1:5" x14ac:dyDescent="0.15">
      <c r="A15">
        <v>14</v>
      </c>
      <c r="B15" s="192" t="s">
        <v>205</v>
      </c>
      <c r="C15">
        <v>0.8</v>
      </c>
      <c r="D15">
        <v>0.8</v>
      </c>
      <c r="E15">
        <v>0</v>
      </c>
    </row>
    <row r="16" spans="1:5" x14ac:dyDescent="0.15">
      <c r="A16">
        <v>15</v>
      </c>
      <c r="B16" s="192" t="s">
        <v>206</v>
      </c>
      <c r="C16">
        <v>0.8</v>
      </c>
      <c r="D16">
        <v>0</v>
      </c>
      <c r="E16">
        <v>0.8</v>
      </c>
    </row>
    <row r="17" spans="1:5" x14ac:dyDescent="0.15">
      <c r="A17">
        <v>16</v>
      </c>
      <c r="B17" s="192" t="s">
        <v>207</v>
      </c>
      <c r="C17">
        <v>0.8</v>
      </c>
      <c r="D17">
        <v>0.8</v>
      </c>
      <c r="E17">
        <v>0.8</v>
      </c>
    </row>
    <row r="18" spans="1:5" x14ac:dyDescent="0.15">
      <c r="A18">
        <v>17</v>
      </c>
      <c r="B18" s="192" t="s">
        <v>208</v>
      </c>
      <c r="C18">
        <v>0.8</v>
      </c>
      <c r="D18">
        <v>0</v>
      </c>
      <c r="E18">
        <v>0</v>
      </c>
    </row>
    <row r="19" spans="1:5" x14ac:dyDescent="0.15">
      <c r="A19">
        <v>18</v>
      </c>
      <c r="B19" s="192" t="s">
        <v>209</v>
      </c>
      <c r="C19">
        <v>0.8</v>
      </c>
      <c r="D19">
        <v>0.8</v>
      </c>
      <c r="E19">
        <v>0</v>
      </c>
    </row>
    <row r="20" spans="1:5" x14ac:dyDescent="0.15">
      <c r="A20">
        <v>19</v>
      </c>
      <c r="B20" s="192" t="s">
        <v>210</v>
      </c>
      <c r="C20">
        <v>0.8</v>
      </c>
      <c r="D20">
        <v>0.8</v>
      </c>
      <c r="E20">
        <v>0</v>
      </c>
    </row>
    <row r="21" spans="1:5" x14ac:dyDescent="0.15">
      <c r="A21">
        <v>20</v>
      </c>
      <c r="B21" s="192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92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92" t="s">
        <v>213</v>
      </c>
      <c r="C23">
        <v>0.8</v>
      </c>
      <c r="D23">
        <v>0.8</v>
      </c>
      <c r="E23">
        <v>0.8</v>
      </c>
    </row>
    <row r="24" spans="1:5" x14ac:dyDescent="0.15">
      <c r="A24">
        <v>23</v>
      </c>
      <c r="B24" s="192" t="s">
        <v>214</v>
      </c>
      <c r="C24">
        <v>0.8</v>
      </c>
      <c r="D24">
        <v>0.8</v>
      </c>
      <c r="E24">
        <v>0.8</v>
      </c>
    </row>
    <row r="25" spans="1:5" x14ac:dyDescent="0.15">
      <c r="A25">
        <v>24</v>
      </c>
      <c r="B25" s="192" t="s">
        <v>215</v>
      </c>
      <c r="C25">
        <v>0.8</v>
      </c>
      <c r="D25">
        <v>0</v>
      </c>
      <c r="E25">
        <v>0.8</v>
      </c>
    </row>
    <row r="26" spans="1:5" x14ac:dyDescent="0.15">
      <c r="A26">
        <v>25</v>
      </c>
      <c r="B26" s="192" t="s">
        <v>216</v>
      </c>
      <c r="C26">
        <v>0.8</v>
      </c>
      <c r="D26">
        <v>0</v>
      </c>
      <c r="E26">
        <v>0</v>
      </c>
    </row>
    <row r="27" spans="1:5" x14ac:dyDescent="0.15">
      <c r="A27">
        <v>26</v>
      </c>
      <c r="B27" s="192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92" t="s">
        <v>218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92" t="s">
        <v>219</v>
      </c>
      <c r="C29">
        <v>0.8</v>
      </c>
      <c r="D29">
        <v>0</v>
      </c>
      <c r="E29">
        <v>0</v>
      </c>
    </row>
    <row r="30" spans="1:5" x14ac:dyDescent="0.15">
      <c r="A30">
        <v>29</v>
      </c>
      <c r="B30" s="192" t="s">
        <v>220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92" t="s">
        <v>221</v>
      </c>
      <c r="C31">
        <v>0</v>
      </c>
      <c r="D31">
        <v>0</v>
      </c>
      <c r="E3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E3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82</v>
      </c>
      <c r="B1" s="3" t="s">
        <v>0</v>
      </c>
      <c r="C1" s="195" t="s">
        <v>222</v>
      </c>
      <c r="D1" s="195" t="s">
        <v>223</v>
      </c>
      <c r="E1" s="195" t="s">
        <v>224</v>
      </c>
    </row>
    <row r="2" spans="1:5" x14ac:dyDescent="0.15">
      <c r="A2">
        <v>1</v>
      </c>
      <c r="B2" s="194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94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94" t="s">
        <v>194</v>
      </c>
      <c r="C4">
        <v>0.8</v>
      </c>
      <c r="D4">
        <v>0</v>
      </c>
      <c r="E4">
        <v>0</v>
      </c>
    </row>
    <row r="5" spans="1:5" x14ac:dyDescent="0.15">
      <c r="A5">
        <v>4</v>
      </c>
      <c r="B5" s="194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94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94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94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94" t="s">
        <v>199</v>
      </c>
      <c r="C9">
        <v>0.8</v>
      </c>
      <c r="D9">
        <v>0.8</v>
      </c>
      <c r="E9">
        <v>0.8</v>
      </c>
    </row>
    <row r="10" spans="1:5" x14ac:dyDescent="0.15">
      <c r="A10">
        <v>9</v>
      </c>
      <c r="B10" s="194" t="s">
        <v>200</v>
      </c>
      <c r="C10">
        <v>0.8</v>
      </c>
      <c r="D10">
        <v>0</v>
      </c>
      <c r="E10">
        <v>0.8</v>
      </c>
    </row>
    <row r="11" spans="1:5" x14ac:dyDescent="0.15">
      <c r="A11">
        <v>10</v>
      </c>
      <c r="B11" s="194" t="s">
        <v>201</v>
      </c>
      <c r="C11">
        <v>0.8</v>
      </c>
      <c r="D11">
        <v>0</v>
      </c>
      <c r="E11">
        <v>0.8</v>
      </c>
    </row>
    <row r="12" spans="1:5" x14ac:dyDescent="0.15">
      <c r="A12">
        <v>11</v>
      </c>
      <c r="B12" s="194" t="s">
        <v>202</v>
      </c>
      <c r="C12">
        <v>0.8</v>
      </c>
      <c r="D12">
        <v>0</v>
      </c>
      <c r="E12">
        <v>0</v>
      </c>
    </row>
    <row r="13" spans="1:5" x14ac:dyDescent="0.15">
      <c r="A13">
        <v>12</v>
      </c>
      <c r="B13" s="194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94" t="s">
        <v>204</v>
      </c>
      <c r="C14">
        <v>0.8</v>
      </c>
      <c r="D14">
        <v>0</v>
      </c>
      <c r="E14">
        <v>0.8</v>
      </c>
    </row>
    <row r="15" spans="1:5" x14ac:dyDescent="0.15">
      <c r="A15">
        <v>14</v>
      </c>
      <c r="B15" s="194" t="s">
        <v>205</v>
      </c>
      <c r="C15">
        <v>0.8</v>
      </c>
      <c r="D15">
        <v>0.8</v>
      </c>
      <c r="E15">
        <v>0</v>
      </c>
    </row>
    <row r="16" spans="1:5" x14ac:dyDescent="0.15">
      <c r="A16">
        <v>15</v>
      </c>
      <c r="B16" s="194" t="s">
        <v>206</v>
      </c>
      <c r="C16">
        <v>0.8</v>
      </c>
      <c r="D16">
        <v>0</v>
      </c>
      <c r="E16">
        <v>0.8</v>
      </c>
    </row>
    <row r="17" spans="1:5" x14ac:dyDescent="0.15">
      <c r="A17">
        <v>16</v>
      </c>
      <c r="B17" s="194" t="s">
        <v>207</v>
      </c>
      <c r="C17">
        <v>0.8</v>
      </c>
      <c r="D17">
        <v>0.8</v>
      </c>
      <c r="E17">
        <v>0.8</v>
      </c>
    </row>
    <row r="18" spans="1:5" x14ac:dyDescent="0.15">
      <c r="A18">
        <v>17</v>
      </c>
      <c r="B18" s="194" t="s">
        <v>208</v>
      </c>
      <c r="C18">
        <v>0.8</v>
      </c>
      <c r="D18">
        <v>0</v>
      </c>
      <c r="E18">
        <v>0</v>
      </c>
    </row>
    <row r="19" spans="1:5" x14ac:dyDescent="0.15">
      <c r="A19">
        <v>18</v>
      </c>
      <c r="B19" s="194" t="s">
        <v>209</v>
      </c>
      <c r="C19">
        <v>0.8</v>
      </c>
      <c r="D19">
        <v>0.8</v>
      </c>
      <c r="E19">
        <v>0</v>
      </c>
    </row>
    <row r="20" spans="1:5" x14ac:dyDescent="0.15">
      <c r="A20">
        <v>19</v>
      </c>
      <c r="B20" s="194" t="s">
        <v>210</v>
      </c>
      <c r="C20">
        <v>0.8</v>
      </c>
      <c r="D20">
        <v>0.8</v>
      </c>
      <c r="E20">
        <v>0</v>
      </c>
    </row>
    <row r="21" spans="1:5" x14ac:dyDescent="0.15">
      <c r="A21">
        <v>20</v>
      </c>
      <c r="B21" s="194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94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94" t="s">
        <v>213</v>
      </c>
      <c r="C23">
        <v>0.8</v>
      </c>
      <c r="D23">
        <v>0.8</v>
      </c>
      <c r="E23">
        <v>0.8</v>
      </c>
    </row>
    <row r="24" spans="1:5" x14ac:dyDescent="0.15">
      <c r="A24">
        <v>23</v>
      </c>
      <c r="B24" s="194" t="s">
        <v>214</v>
      </c>
      <c r="C24">
        <v>0.8</v>
      </c>
      <c r="D24">
        <v>0.8</v>
      </c>
      <c r="E24">
        <v>0.8</v>
      </c>
    </row>
    <row r="25" spans="1:5" x14ac:dyDescent="0.15">
      <c r="A25">
        <v>24</v>
      </c>
      <c r="B25" s="194" t="s">
        <v>215</v>
      </c>
      <c r="C25">
        <v>0.8</v>
      </c>
      <c r="D25">
        <v>0</v>
      </c>
      <c r="E25">
        <v>0.8</v>
      </c>
    </row>
    <row r="26" spans="1:5" x14ac:dyDescent="0.15">
      <c r="A26">
        <v>25</v>
      </c>
      <c r="B26" s="194" t="s">
        <v>216</v>
      </c>
      <c r="C26">
        <v>0.8</v>
      </c>
      <c r="D26">
        <v>0</v>
      </c>
      <c r="E26">
        <v>0</v>
      </c>
    </row>
    <row r="27" spans="1:5" x14ac:dyDescent="0.15">
      <c r="A27">
        <v>26</v>
      </c>
      <c r="B27" s="194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94" t="s">
        <v>218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94" t="s">
        <v>219</v>
      </c>
      <c r="C29">
        <v>0.8</v>
      </c>
      <c r="D29">
        <v>0</v>
      </c>
      <c r="E29">
        <v>0</v>
      </c>
    </row>
    <row r="30" spans="1:5" x14ac:dyDescent="0.15">
      <c r="A30">
        <v>29</v>
      </c>
      <c r="B30" s="194" t="s">
        <v>220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94" t="s">
        <v>221</v>
      </c>
      <c r="C31">
        <v>0</v>
      </c>
      <c r="D31">
        <v>0</v>
      </c>
      <c r="E3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6" sqref="L6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7">
        <v>1</v>
      </c>
      <c r="B2" s="147" t="s">
        <v>192</v>
      </c>
      <c r="C2" s="8">
        <v>4.1654019355773926</v>
      </c>
      <c r="D2" s="9">
        <v>9.8999999463558197E-3</v>
      </c>
      <c r="E2" s="9">
        <v>0.40000000596046448</v>
      </c>
      <c r="F2" s="9">
        <v>5</v>
      </c>
      <c r="G2" s="9">
        <v>0.84701621532440186</v>
      </c>
      <c r="H2" s="9">
        <v>7.9999998211860657E-2</v>
      </c>
      <c r="I2">
        <v>0</v>
      </c>
      <c r="J2"/>
    </row>
    <row r="3" spans="1:10" ht="15" customHeight="1" x14ac:dyDescent="0.15">
      <c r="A3" s="148">
        <v>2</v>
      </c>
      <c r="B3" s="148" t="s">
        <v>193</v>
      </c>
      <c r="C3" s="8">
        <v>4.1284608840942383</v>
      </c>
      <c r="D3" s="9">
        <v>1.500000013038516E-3</v>
      </c>
      <c r="E3" s="9">
        <v>0.59999996423721313</v>
      </c>
      <c r="F3" s="9">
        <v>30</v>
      </c>
      <c r="G3" s="9">
        <v>0.56349509954452515</v>
      </c>
      <c r="H3" s="9">
        <v>1.9999999552965164E-2</v>
      </c>
      <c r="I3">
        <v>0</v>
      </c>
      <c r="J3"/>
    </row>
    <row r="4" spans="1:10" ht="15" customHeight="1" x14ac:dyDescent="0.15">
      <c r="A4" s="149">
        <v>3</v>
      </c>
      <c r="B4" s="149" t="s">
        <v>194</v>
      </c>
      <c r="C4" s="8">
        <v>4.101341724395752</v>
      </c>
      <c r="D4" s="9">
        <v>0.47400003671646118</v>
      </c>
      <c r="E4" s="9">
        <v>0.2800000011920929</v>
      </c>
      <c r="F4" s="9">
        <v>3</v>
      </c>
      <c r="G4" s="9">
        <v>0.76418983936309814</v>
      </c>
      <c r="H4" s="9">
        <v>9.3333333730697632E-2</v>
      </c>
      <c r="I4">
        <v>0.10000000149011612</v>
      </c>
      <c r="J4"/>
    </row>
    <row r="5" spans="1:10" ht="15" customHeight="1" x14ac:dyDescent="0.15">
      <c r="A5" s="150">
        <v>4</v>
      </c>
      <c r="B5" s="150" t="s">
        <v>195</v>
      </c>
      <c r="C5" s="8">
        <v>4.044884204864502</v>
      </c>
      <c r="D5" s="9">
        <v>3.3000003546476364E-2</v>
      </c>
      <c r="E5" s="9">
        <v>0.54400002956390381</v>
      </c>
      <c r="F5" s="9">
        <v>23.725000381469727</v>
      </c>
      <c r="G5" s="9">
        <v>0.36186268925666809</v>
      </c>
      <c r="H5" s="9">
        <v>2.2929400205612183E-2</v>
      </c>
      <c r="I5">
        <v>0</v>
      </c>
      <c r="J5"/>
    </row>
    <row r="6" spans="1:10" ht="15" customHeight="1" x14ac:dyDescent="0.15">
      <c r="A6" s="151">
        <v>5</v>
      </c>
      <c r="B6" s="151" t="s">
        <v>196</v>
      </c>
      <c r="C6" s="8">
        <v>3.932574987411499</v>
      </c>
      <c r="D6" s="9">
        <v>0.1380000114440918</v>
      </c>
      <c r="E6" s="9">
        <v>0.23600000143051147</v>
      </c>
      <c r="F6" s="9">
        <v>26.448999404907227</v>
      </c>
      <c r="G6" s="9">
        <v>0.19946449995040894</v>
      </c>
      <c r="H6" s="9">
        <v>8.9228330180048943E-3</v>
      </c>
      <c r="I6">
        <v>0</v>
      </c>
      <c r="J6"/>
    </row>
    <row r="7" spans="1:10" ht="15" customHeight="1" x14ac:dyDescent="0.15">
      <c r="A7" s="152">
        <v>6</v>
      </c>
      <c r="B7" s="152" t="s">
        <v>197</v>
      </c>
      <c r="C7" s="8">
        <v>3.9038431644439697</v>
      </c>
      <c r="D7" s="9">
        <v>0.1470000147819519</v>
      </c>
      <c r="E7" s="9">
        <v>0.44999998807907104</v>
      </c>
      <c r="F7" s="9">
        <v>1.8500000238418579</v>
      </c>
      <c r="G7" s="9">
        <v>0.89373373985290527</v>
      </c>
      <c r="H7" s="9">
        <v>0.24324323236942291</v>
      </c>
      <c r="I7">
        <v>0</v>
      </c>
      <c r="J7"/>
    </row>
    <row r="8" spans="1:10" ht="15" customHeight="1" x14ac:dyDescent="0.15">
      <c r="A8" s="153">
        <v>7</v>
      </c>
      <c r="B8" s="153" t="s">
        <v>198</v>
      </c>
      <c r="C8" s="8">
        <v>3.5899896621704102</v>
      </c>
      <c r="D8" s="9">
        <v>0.18999999761581421</v>
      </c>
      <c r="E8" s="9">
        <v>0.20000000298023224</v>
      </c>
      <c r="F8" s="9">
        <v>2.9200000762939453</v>
      </c>
      <c r="G8" s="9">
        <v>0.17095158994197845</v>
      </c>
      <c r="H8" s="9">
        <v>6.8493150174617767E-2</v>
      </c>
      <c r="I8">
        <v>0</v>
      </c>
      <c r="J8"/>
    </row>
    <row r="9" spans="1:10" ht="15" customHeight="1" x14ac:dyDescent="0.15">
      <c r="A9" s="154">
        <v>8</v>
      </c>
      <c r="B9" s="154" t="s">
        <v>199</v>
      </c>
      <c r="C9" s="8">
        <v>3.5379998683929443</v>
      </c>
      <c r="D9" s="9">
        <v>0.34560000896453857</v>
      </c>
      <c r="E9" s="9">
        <v>2.9500000476837158</v>
      </c>
      <c r="F9" s="9">
        <v>12.100000381469727</v>
      </c>
      <c r="G9" s="9">
        <v>0.82236427068710327</v>
      </c>
      <c r="H9" s="9">
        <v>0.24380165338516235</v>
      </c>
      <c r="I9">
        <v>0.40799999237060547</v>
      </c>
      <c r="J9"/>
    </row>
    <row r="10" spans="1:10" ht="15" customHeight="1" x14ac:dyDescent="0.15">
      <c r="A10" s="155">
        <v>9</v>
      </c>
      <c r="B10" s="155" t="s">
        <v>200</v>
      </c>
      <c r="C10" s="8">
        <v>3.5154736042022705</v>
      </c>
      <c r="D10" s="9">
        <v>0.33060002326965332</v>
      </c>
      <c r="E10" s="9">
        <v>2.2999999523162842</v>
      </c>
      <c r="F10" s="9">
        <v>10.199999809265137</v>
      </c>
      <c r="G10" s="9">
        <v>0.91599005460739136</v>
      </c>
      <c r="H10" s="9">
        <v>0.22549019753932953</v>
      </c>
      <c r="I10">
        <v>0.41600000858306885</v>
      </c>
      <c r="J10"/>
    </row>
    <row r="11" spans="1:10" ht="15" customHeight="1" x14ac:dyDescent="0.15">
      <c r="A11" s="156">
        <v>10</v>
      </c>
      <c r="B11" s="156" t="s">
        <v>201</v>
      </c>
      <c r="C11" s="8">
        <v>3.4880218505859375</v>
      </c>
      <c r="D11" s="9">
        <v>0.29399999976158142</v>
      </c>
      <c r="E11" s="9">
        <v>0.79000002145767212</v>
      </c>
      <c r="F11" s="9">
        <v>3.5999999046325684</v>
      </c>
      <c r="G11" s="9">
        <v>0.97172349691390991</v>
      </c>
      <c r="H11" s="9">
        <v>0.21944445371627808</v>
      </c>
      <c r="I11">
        <v>0.12399999797344208</v>
      </c>
      <c r="J11"/>
    </row>
    <row r="12" spans="1:10" ht="15" customHeight="1" x14ac:dyDescent="0.15">
      <c r="A12" s="157">
        <v>11</v>
      </c>
      <c r="B12" s="157" t="s">
        <v>202</v>
      </c>
      <c r="C12" s="8">
        <v>3.3083071708679199</v>
      </c>
      <c r="D12" s="9">
        <v>0.26399999856948853</v>
      </c>
      <c r="E12" s="9">
        <v>6.3000001907348633</v>
      </c>
      <c r="F12" s="9">
        <v>12.899999618530273</v>
      </c>
      <c r="G12" s="9">
        <v>0.94502067565917969</v>
      </c>
      <c r="H12" s="9">
        <v>0.48837211728096008</v>
      </c>
      <c r="I12">
        <v>0.125</v>
      </c>
      <c r="J12"/>
    </row>
    <row r="13" spans="1:10" ht="15" customHeight="1" x14ac:dyDescent="0.15">
      <c r="A13" s="158">
        <v>12</v>
      </c>
      <c r="B13" s="158" t="s">
        <v>203</v>
      </c>
      <c r="C13" s="8">
        <v>3.2893714904785156</v>
      </c>
      <c r="D13" s="9">
        <v>2.9149999842047691E-2</v>
      </c>
      <c r="E13" s="9">
        <v>2.6500000953674316</v>
      </c>
      <c r="F13" s="9">
        <v>6.2800002098083496</v>
      </c>
      <c r="G13" s="9">
        <v>0.98202598094940186</v>
      </c>
      <c r="H13" s="9">
        <v>0.42197450995445251</v>
      </c>
      <c r="I13">
        <v>0</v>
      </c>
      <c r="J13"/>
    </row>
    <row r="14" spans="1:10" ht="15" customHeight="1" x14ac:dyDescent="0.15">
      <c r="A14" s="159">
        <v>13</v>
      </c>
      <c r="B14" s="159" t="s">
        <v>204</v>
      </c>
      <c r="C14" s="8">
        <v>3.2350046634674072</v>
      </c>
      <c r="D14" s="9">
        <v>0.5634000301361084</v>
      </c>
      <c r="E14" s="9">
        <v>3.4500000476837158</v>
      </c>
      <c r="F14" s="9">
        <v>18.399999618530273</v>
      </c>
      <c r="G14" s="9">
        <v>0.94384616613388062</v>
      </c>
      <c r="H14" s="9">
        <v>0.1875</v>
      </c>
      <c r="I14">
        <v>0.68800002336502075</v>
      </c>
      <c r="J14"/>
    </row>
    <row r="15" spans="1:10" ht="15" customHeight="1" x14ac:dyDescent="0.15">
      <c r="A15" s="160">
        <v>14</v>
      </c>
      <c r="B15" s="160" t="s">
        <v>205</v>
      </c>
      <c r="C15" s="8">
        <v>3.1377675533294678</v>
      </c>
      <c r="D15" s="9">
        <v>8.999999612569809E-2</v>
      </c>
      <c r="E15" s="9">
        <v>3</v>
      </c>
      <c r="F15" s="9">
        <v>8.5</v>
      </c>
      <c r="G15" s="9">
        <v>0.92309808731079102</v>
      </c>
      <c r="H15" s="9">
        <v>0.35294118523597717</v>
      </c>
      <c r="I15">
        <v>0.10000000149011612</v>
      </c>
      <c r="J15"/>
    </row>
    <row r="16" spans="1:10" ht="15" customHeight="1" x14ac:dyDescent="0.15">
      <c r="A16" s="161">
        <v>15</v>
      </c>
      <c r="B16" s="161" t="s">
        <v>206</v>
      </c>
      <c r="C16" s="8">
        <v>3.0516560077667236</v>
      </c>
      <c r="D16" s="9">
        <v>1.504349946975708</v>
      </c>
      <c r="E16" s="9">
        <v>4.9499998092651367</v>
      </c>
      <c r="F16" s="9">
        <v>10.199999809265137</v>
      </c>
      <c r="G16" s="9">
        <v>0.49917605519294739</v>
      </c>
      <c r="H16" s="9">
        <v>0.48529410362243652</v>
      </c>
      <c r="I16">
        <v>2.0649998188018799</v>
      </c>
      <c r="J16"/>
    </row>
    <row r="17" spans="1:10" ht="15" customHeight="1" x14ac:dyDescent="0.15">
      <c r="A17" s="162">
        <v>16</v>
      </c>
      <c r="B17" s="162" t="s">
        <v>207</v>
      </c>
      <c r="C17" s="8">
        <v>3.0427422523498535</v>
      </c>
      <c r="D17" s="9">
        <v>5.5399999618530273</v>
      </c>
      <c r="E17" s="9">
        <v>1.9500000476837158</v>
      </c>
      <c r="F17" s="9">
        <v>5.5999999046325684</v>
      </c>
      <c r="G17" s="9">
        <v>0.8640637993812561</v>
      </c>
      <c r="H17" s="9">
        <v>0.34821429848670959</v>
      </c>
      <c r="I17">
        <v>2.7699999809265137</v>
      </c>
      <c r="J17"/>
    </row>
    <row r="18" spans="1:10" ht="15" customHeight="1" x14ac:dyDescent="0.15">
      <c r="A18" s="163">
        <v>17</v>
      </c>
      <c r="B18" s="163" t="s">
        <v>208</v>
      </c>
      <c r="C18" s="8">
        <v>3.0414626598358154</v>
      </c>
      <c r="D18" s="9">
        <v>1.2532299757003784</v>
      </c>
      <c r="E18" s="9">
        <v>2.5</v>
      </c>
      <c r="F18" s="9">
        <v>7.9369997978210449</v>
      </c>
      <c r="G18" s="9">
        <v>0.75000005960464478</v>
      </c>
      <c r="H18" s="9">
        <v>0.31498047709465027</v>
      </c>
      <c r="I18">
        <v>0.25</v>
      </c>
      <c r="J18"/>
    </row>
    <row r="19" spans="1:10" ht="15" customHeight="1" x14ac:dyDescent="0.15">
      <c r="A19" s="164">
        <v>18</v>
      </c>
      <c r="B19" s="164" t="s">
        <v>209</v>
      </c>
      <c r="C19" s="8">
        <v>3.0154397487640381</v>
      </c>
      <c r="D19" s="9">
        <v>2.5600001215934753E-2</v>
      </c>
      <c r="E19" s="9">
        <v>2.6500000953674316</v>
      </c>
      <c r="F19" s="9">
        <v>8.5</v>
      </c>
      <c r="G19" s="9">
        <v>0.90689319372177124</v>
      </c>
      <c r="H19" s="9">
        <v>0.31176471710205078</v>
      </c>
      <c r="I19">
        <v>1.0000000707805157E-2</v>
      </c>
      <c r="J19"/>
    </row>
    <row r="20" spans="1:10" ht="15" customHeight="1" x14ac:dyDescent="0.15">
      <c r="A20" s="165">
        <v>19</v>
      </c>
      <c r="B20" s="165" t="s">
        <v>210</v>
      </c>
      <c r="C20" s="8">
        <v>2.9546568393707275</v>
      </c>
      <c r="D20" s="9">
        <v>0.44975000619888306</v>
      </c>
      <c r="E20" s="9">
        <v>4.0300002098083496</v>
      </c>
      <c r="F20" s="9">
        <v>10.199999809265137</v>
      </c>
      <c r="G20" s="9">
        <v>0.86406940221786499</v>
      </c>
      <c r="H20" s="9">
        <v>0.39509806036949158</v>
      </c>
      <c r="I20">
        <v>0.34999999403953552</v>
      </c>
      <c r="J20"/>
    </row>
    <row r="21" spans="1:10" ht="15" customHeight="1" x14ac:dyDescent="0.15">
      <c r="A21" s="166">
        <v>20</v>
      </c>
      <c r="B21" s="166" t="s">
        <v>211</v>
      </c>
      <c r="C21" s="8">
        <v>2.9144144058227539</v>
      </c>
      <c r="D21" s="9">
        <v>3.1862754821777344</v>
      </c>
      <c r="E21" s="9">
        <v>3.4500000476837158</v>
      </c>
      <c r="F21" s="9">
        <v>11.680000305175781</v>
      </c>
      <c r="G21" s="9">
        <v>0.75</v>
      </c>
      <c r="H21" s="9">
        <v>0.29537671804428101</v>
      </c>
      <c r="I21">
        <v>0</v>
      </c>
      <c r="J21"/>
    </row>
    <row r="22" spans="1:10" ht="15" customHeight="1" x14ac:dyDescent="0.15">
      <c r="A22" s="167">
        <v>21</v>
      </c>
      <c r="B22" s="167" t="s">
        <v>212</v>
      </c>
      <c r="C22" s="8">
        <v>2.8502039909362793</v>
      </c>
      <c r="D22" s="9">
        <v>22.933391571044922</v>
      </c>
      <c r="E22" s="9">
        <v>8</v>
      </c>
      <c r="F22" s="9">
        <v>27</v>
      </c>
      <c r="G22" s="9">
        <v>0.80000001192092896</v>
      </c>
      <c r="H22" s="9">
        <v>0.29629629850387573</v>
      </c>
      <c r="I22">
        <v>0</v>
      </c>
      <c r="J22"/>
    </row>
    <row r="23" spans="1:10" ht="15" customHeight="1" x14ac:dyDescent="0.15">
      <c r="A23" s="168">
        <v>22</v>
      </c>
      <c r="B23" s="168" t="s">
        <v>213</v>
      </c>
      <c r="C23" s="8">
        <v>2.8250560760498047</v>
      </c>
      <c r="D23" s="9">
        <v>3.628000020980835</v>
      </c>
      <c r="E23" s="9">
        <v>2.8499999046325684</v>
      </c>
      <c r="F23" s="9">
        <v>14.399999618530273</v>
      </c>
      <c r="G23" s="9">
        <v>0.94561672210693359</v>
      </c>
      <c r="H23" s="9">
        <v>0.1979166716337204</v>
      </c>
      <c r="I23">
        <v>3.7730000019073486</v>
      </c>
      <c r="J23"/>
    </row>
    <row r="24" spans="1:10" ht="15" customHeight="1" x14ac:dyDescent="0.15">
      <c r="A24" s="169">
        <v>23</v>
      </c>
      <c r="B24" s="169" t="s">
        <v>214</v>
      </c>
      <c r="C24" s="8">
        <v>2.7645106315612793</v>
      </c>
      <c r="D24" s="9">
        <v>3.3036000728607178</v>
      </c>
      <c r="E24" s="9">
        <v>1.6499999761581421</v>
      </c>
      <c r="F24" s="9">
        <v>6.1999998092651367</v>
      </c>
      <c r="G24" s="9">
        <v>0.90768653154373169</v>
      </c>
      <c r="H24" s="9">
        <v>0.26612904667854309</v>
      </c>
      <c r="I24">
        <v>2.8149998188018799</v>
      </c>
      <c r="J24"/>
    </row>
    <row r="25" spans="1:10" ht="15" customHeight="1" x14ac:dyDescent="0.15">
      <c r="A25" s="170">
        <v>24</v>
      </c>
      <c r="B25" s="170" t="s">
        <v>215</v>
      </c>
      <c r="C25" s="8">
        <v>2.7439858913421631</v>
      </c>
      <c r="D25" s="9">
        <v>7.2900004684925079E-2</v>
      </c>
      <c r="E25" s="9">
        <v>3.9800000190734863</v>
      </c>
      <c r="F25" s="9">
        <v>10.300000190734863</v>
      </c>
      <c r="G25" s="9">
        <v>0.98114317655563354</v>
      </c>
      <c r="H25" s="9">
        <v>0.3864077627658844</v>
      </c>
      <c r="I25">
        <v>9.6000000834465027E-2</v>
      </c>
      <c r="J25"/>
    </row>
    <row r="26" spans="1:10" ht="15" customHeight="1" x14ac:dyDescent="0.15">
      <c r="A26" s="171">
        <v>25</v>
      </c>
      <c r="B26" s="171" t="s">
        <v>216</v>
      </c>
      <c r="C26" s="8">
        <v>2.4924314022064209</v>
      </c>
      <c r="D26" s="9">
        <v>2.8859999179840088</v>
      </c>
      <c r="E26" s="9">
        <v>38</v>
      </c>
      <c r="F26" s="9">
        <v>84</v>
      </c>
      <c r="G26" s="9">
        <v>0.9746277928352356</v>
      </c>
      <c r="H26" s="9">
        <v>0.4523809552192688</v>
      </c>
      <c r="I26">
        <v>1.2999999523162842</v>
      </c>
      <c r="J26"/>
    </row>
    <row r="27" spans="1:10" ht="15" customHeight="1" x14ac:dyDescent="0.15">
      <c r="A27" s="172">
        <v>26</v>
      </c>
      <c r="B27" s="172" t="s">
        <v>217</v>
      </c>
      <c r="C27" s="8">
        <v>2.4285714626312256</v>
      </c>
      <c r="D27" s="9">
        <v>39.457710266113281</v>
      </c>
      <c r="E27" s="9">
        <v>27</v>
      </c>
      <c r="F27" s="9">
        <v>60</v>
      </c>
      <c r="G27" s="9">
        <v>0.89999997615814209</v>
      </c>
      <c r="H27" s="9">
        <v>0.44999998807907104</v>
      </c>
      <c r="I27">
        <v>0</v>
      </c>
      <c r="J27"/>
    </row>
    <row r="28" spans="1:10" ht="15" customHeight="1" x14ac:dyDescent="0.15">
      <c r="A28" s="173">
        <v>27</v>
      </c>
      <c r="B28" s="173" t="s">
        <v>218</v>
      </c>
      <c r="C28" s="8">
        <v>1</v>
      </c>
      <c r="D28" s="9">
        <v>33.950607299804688</v>
      </c>
      <c r="E28" s="9">
        <v>60</v>
      </c>
      <c r="F28" s="10"/>
      <c r="G28" s="9">
        <v>0.89999997615814209</v>
      </c>
      <c r="H28" s="10"/>
      <c r="I28">
        <v>0</v>
      </c>
      <c r="J28"/>
    </row>
    <row r="29" spans="1:10" ht="15" customHeight="1" x14ac:dyDescent="0.15">
      <c r="A29" s="174">
        <v>28</v>
      </c>
      <c r="B29" s="174" t="s">
        <v>219</v>
      </c>
      <c r="C29" s="8">
        <v>1</v>
      </c>
      <c r="D29" s="9">
        <v>1.6099998950958252</v>
      </c>
      <c r="E29" s="9">
        <v>60</v>
      </c>
      <c r="F29" s="10"/>
      <c r="G29" s="9">
        <v>0.89986902475357056</v>
      </c>
      <c r="H29" s="10"/>
      <c r="I29">
        <v>1.9999999552965164E-2</v>
      </c>
      <c r="J29"/>
    </row>
    <row r="30" spans="1:10" ht="15" customHeight="1" x14ac:dyDescent="0.15">
      <c r="A30" s="175">
        <v>29</v>
      </c>
      <c r="B30" s="175" t="s">
        <v>220</v>
      </c>
      <c r="C30" s="8">
        <v>1</v>
      </c>
      <c r="D30" s="10"/>
      <c r="E30" s="10"/>
      <c r="F30" s="10"/>
      <c r="G30" s="9">
        <v>0.25346696376800537</v>
      </c>
      <c r="H30" s="10"/>
      <c r="I30">
        <v>0</v>
      </c>
      <c r="J30"/>
    </row>
    <row r="31" spans="1:10" ht="15" customHeight="1" x14ac:dyDescent="0.15">
      <c r="A31" s="176">
        <v>30</v>
      </c>
      <c r="B31" s="176" t="s">
        <v>221</v>
      </c>
      <c r="C31" s="8">
        <v>1</v>
      </c>
      <c r="D31" s="9">
        <v>5</v>
      </c>
      <c r="E31" s="10"/>
      <c r="F31" s="10"/>
      <c r="G31" s="7">
        <v>0</v>
      </c>
      <c r="H31" s="10"/>
      <c r="I31">
        <v>0</v>
      </c>
      <c r="J31"/>
    </row>
    <row r="32" spans="1:10" ht="15" customHeight="1" x14ac:dyDescent="0.15">
      <c r="A32" s="204">
        <v>31</v>
      </c>
      <c r="B32" s="204" t="s">
        <v>222</v>
      </c>
      <c r="C32" s="8">
        <v>3.9203732013702393</v>
      </c>
      <c r="D32" s="10"/>
      <c r="E32" s="10"/>
      <c r="F32" s="10"/>
      <c r="G32" s="10"/>
      <c r="H32" s="10"/>
      <c r="I32">
        <v>13.883001327514648</v>
      </c>
      <c r="J32"/>
    </row>
    <row r="33" spans="1:10" ht="15" customHeight="1" x14ac:dyDescent="0.15">
      <c r="A33" s="205">
        <v>32</v>
      </c>
      <c r="B33" s="205" t="s">
        <v>223</v>
      </c>
      <c r="C33" s="8">
        <v>3.9363713264465332</v>
      </c>
      <c r="D33" s="10"/>
      <c r="E33" s="10"/>
      <c r="F33" s="10"/>
      <c r="G33" s="10"/>
      <c r="H33" s="10"/>
      <c r="I33">
        <v>0.36700001358985901</v>
      </c>
      <c r="J33"/>
    </row>
    <row r="34" spans="1:10" ht="15" customHeight="1" x14ac:dyDescent="0.15">
      <c r="A34" s="206">
        <v>33</v>
      </c>
      <c r="B34" s="206" t="s">
        <v>224</v>
      </c>
      <c r="C34" s="8">
        <v>4.1032133102416992</v>
      </c>
      <c r="D34" s="10"/>
      <c r="E34" s="10"/>
      <c r="F34" s="10"/>
      <c r="G34" s="10"/>
      <c r="H34" s="10"/>
      <c r="I34">
        <v>1.1600000858306885</v>
      </c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229</v>
      </c>
      <c r="E1" t="s">
        <v>230</v>
      </c>
      <c r="F1" t="s">
        <v>231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t="s">
        <v>216</v>
      </c>
      <c r="AF1" t="s">
        <v>217</v>
      </c>
      <c r="AG1" t="s">
        <v>218</v>
      </c>
      <c r="AH1" t="s">
        <v>219</v>
      </c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0.40000000596046448</v>
      </c>
      <c r="C2">
        <v>6.1193514615297318E-2</v>
      </c>
      <c r="D2"/>
      <c r="E2"/>
      <c r="F2"/>
      <c r="G2" s="225">
        <v>4.9940016120672226E-2</v>
      </c>
      <c r="H2" s="226">
        <v>6.8181820213794708E-2</v>
      </c>
      <c r="I2"/>
      <c r="J2" s="227">
        <v>0.15800869464874268</v>
      </c>
      <c r="K2"/>
      <c r="L2"/>
      <c r="M2"/>
      <c r="N2"/>
      <c r="O2"/>
      <c r="P2"/>
      <c r="Q2"/>
      <c r="R2"/>
      <c r="S2"/>
      <c r="T2"/>
      <c r="U2"/>
      <c r="V2" s="107">
        <v>6.2675997614860535E-2</v>
      </c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0.59999996423721313</v>
      </c>
      <c r="C3">
        <v>0.26190292835235596</v>
      </c>
      <c r="D3"/>
      <c r="E3"/>
      <c r="F3"/>
      <c r="G3"/>
      <c r="H3"/>
      <c r="I3" s="223">
        <v>9.4790548086166382E-2</v>
      </c>
      <c r="J3"/>
      <c r="K3" s="224">
        <v>0.2433064877986908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0.2800000011920929</v>
      </c>
      <c r="C4">
        <v>6.6026844084262848E-2</v>
      </c>
      <c r="D4" s="207">
        <v>0.2109704464673996</v>
      </c>
      <c r="E4"/>
      <c r="F4"/>
      <c r="G4"/>
      <c r="H4"/>
      <c r="I4" s="15">
        <v>3.0027034226804972E-3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0.54400002956390381</v>
      </c>
      <c r="C5">
        <v>0.34714671969413757</v>
      </c>
      <c r="D5"/>
      <c r="E5"/>
      <c r="F5"/>
      <c r="G5"/>
      <c r="H5"/>
      <c r="I5" s="223">
        <v>8.6259476840496063E-2</v>
      </c>
      <c r="J5"/>
      <c r="K5" s="231">
        <v>0.11059384793043137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0.23600000143051147</v>
      </c>
      <c r="C6">
        <v>0.18892638385295868</v>
      </c>
      <c r="D6"/>
      <c r="E6"/>
      <c r="F6"/>
      <c r="G6"/>
      <c r="H6"/>
      <c r="I6" s="228">
        <v>2.0627265796065331E-2</v>
      </c>
      <c r="J6"/>
      <c r="K6" s="230">
        <v>2.6446355506777763E-2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0.44999998807907104</v>
      </c>
      <c r="C7">
        <v>4.7819815576076508E-2</v>
      </c>
      <c r="D7"/>
      <c r="E7"/>
      <c r="F7"/>
      <c r="G7" s="68">
        <v>2.858811616897583E-2</v>
      </c>
      <c r="H7" s="67">
        <v>2.6326529681682587E-2</v>
      </c>
      <c r="I7" s="210">
        <v>0.16459713876247406</v>
      </c>
      <c r="J7"/>
      <c r="K7" s="239">
        <v>0.1737903356552124</v>
      </c>
      <c r="L7"/>
      <c r="M7"/>
      <c r="N7"/>
      <c r="O7"/>
      <c r="P7"/>
      <c r="Q7"/>
      <c r="R7"/>
      <c r="S7"/>
      <c r="T7"/>
      <c r="U7"/>
      <c r="V7" s="12">
        <v>2.1121501922607422E-3</v>
      </c>
      <c r="W7" s="16">
        <v>6.7659122869372368E-3</v>
      </c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0.20000000298023224</v>
      </c>
      <c r="C8">
        <v>0.16580969095230103</v>
      </c>
      <c r="D8"/>
      <c r="E8"/>
      <c r="F8"/>
      <c r="G8"/>
      <c r="H8"/>
      <c r="I8" s="211">
        <v>1.4981910586357117E-2</v>
      </c>
      <c r="J8"/>
      <c r="K8" s="229">
        <v>1.9208407029509544E-2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2.9500000476837158</v>
      </c>
      <c r="C9">
        <v>0.52402538061141968</v>
      </c>
      <c r="D9" s="208">
        <v>0.92592591047286987</v>
      </c>
      <c r="E9" s="21">
        <v>5.7870369404554367E-2</v>
      </c>
      <c r="F9" s="108">
        <v>0.19675926864147186</v>
      </c>
      <c r="G9" s="23">
        <v>1.7882168292999268E-2</v>
      </c>
      <c r="H9" s="23">
        <v>1.992187462747097E-2</v>
      </c>
      <c r="I9" s="251">
        <v>0.44889363646507263</v>
      </c>
      <c r="J9" s="250">
        <v>0.37341898679733276</v>
      </c>
      <c r="K9" s="245">
        <v>0.20064336061477661</v>
      </c>
      <c r="L9"/>
      <c r="M9"/>
      <c r="N9" s="247">
        <v>0.15729999542236328</v>
      </c>
      <c r="O9"/>
      <c r="P9" s="23">
        <v>1.8374999985098839E-2</v>
      </c>
      <c r="Q9"/>
      <c r="R9"/>
      <c r="S9"/>
      <c r="T9"/>
      <c r="U9"/>
      <c r="V9" s="12">
        <v>8.983970619738102E-3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2.2999999523162842</v>
      </c>
      <c r="C10">
        <v>0.19322286546230316</v>
      </c>
      <c r="D10" s="209">
        <v>0.72595274448394775</v>
      </c>
      <c r="E10"/>
      <c r="F10" s="221">
        <v>0.53236538171768188</v>
      </c>
      <c r="G10" s="12">
        <v>8.5242437198758125E-3</v>
      </c>
      <c r="H10"/>
      <c r="I10" s="240">
        <v>0.30136021971702576</v>
      </c>
      <c r="J10"/>
      <c r="K10" s="20">
        <v>9.9353820085525513E-2</v>
      </c>
      <c r="L10"/>
      <c r="M10"/>
      <c r="N10" s="23">
        <v>1.264900341629982E-2</v>
      </c>
      <c r="O10"/>
      <c r="P10" s="70">
        <v>0.11525225639343262</v>
      </c>
      <c r="Q10" s="68">
        <v>0.14421777427196503</v>
      </c>
      <c r="R10"/>
      <c r="S10"/>
      <c r="T10"/>
      <c r="U10"/>
      <c r="V10" s="12">
        <v>9.3915918841958046E-3</v>
      </c>
      <c r="W10"/>
      <c r="X10"/>
      <c r="Y10"/>
      <c r="Z10"/>
      <c r="AA10"/>
      <c r="AB10" s="245">
        <v>0.15770997107028961</v>
      </c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0.79000002145767212</v>
      </c>
      <c r="C11">
        <v>2.2338438779115677E-2</v>
      </c>
      <c r="D11" s="210">
        <v>0.28911563754081726</v>
      </c>
      <c r="E11"/>
      <c r="F11" s="78">
        <v>0.13265305757522583</v>
      </c>
      <c r="G11" s="11">
        <v>3.3633076236583292E-4</v>
      </c>
      <c r="H11" s="22">
        <v>6.1224489472806454E-3</v>
      </c>
      <c r="I11" s="242">
        <v>0.14523278176784515</v>
      </c>
      <c r="J11" s="244">
        <v>0.15696054697036743</v>
      </c>
      <c r="K11" s="29">
        <v>3.7240788340568542E-2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6.3000001907348633</v>
      </c>
      <c r="C12">
        <v>0.34636974334716797</v>
      </c>
      <c r="D12" s="211">
        <v>0.47348484396934509</v>
      </c>
      <c r="E12"/>
      <c r="F12"/>
      <c r="G12"/>
      <c r="H12"/>
      <c r="I12"/>
      <c r="J12"/>
      <c r="K12"/>
      <c r="L12"/>
      <c r="M12"/>
      <c r="N12" s="22">
        <v>4.7520004212856293E-2</v>
      </c>
      <c r="O12" s="253">
        <v>0.85494828224182129</v>
      </c>
      <c r="P12" s="211">
        <v>0.46505451202392578</v>
      </c>
      <c r="Q12" s="254">
        <v>0.90299999713897705</v>
      </c>
      <c r="R12" s="21">
        <v>0.12424583733081818</v>
      </c>
      <c r="S12" s="217">
        <v>0.8643990159034729</v>
      </c>
      <c r="T12"/>
      <c r="U12"/>
      <c r="V12" s="240">
        <v>0.82305866479873657</v>
      </c>
      <c r="W12"/>
      <c r="X12"/>
      <c r="Y12"/>
      <c r="Z12"/>
      <c r="AA12"/>
      <c r="AB12"/>
      <c r="AC12" s="77">
        <v>1.3979195356369019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2.6500000953674316</v>
      </c>
      <c r="C13">
        <v>4.7631151974201202E-2</v>
      </c>
      <c r="D13"/>
      <c r="E13"/>
      <c r="F13"/>
      <c r="G13"/>
      <c r="H13"/>
      <c r="I13"/>
      <c r="J13"/>
      <c r="K13"/>
      <c r="L13"/>
      <c r="M13"/>
      <c r="N13"/>
      <c r="O13" s="241">
        <v>1.3867930173873901</v>
      </c>
      <c r="P13" s="238">
        <v>0.79879242181777954</v>
      </c>
      <c r="Q13"/>
      <c r="R13" s="21">
        <v>5.0290297716856003E-2</v>
      </c>
      <c r="S13" s="233">
        <v>0.35584178566932678</v>
      </c>
      <c r="T13"/>
      <c r="U13"/>
      <c r="V13" s="12">
        <v>1.0651323944330215E-2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3.4500000476837158</v>
      </c>
      <c r="C14">
        <v>0.19373072683811188</v>
      </c>
      <c r="D14" s="141">
        <v>1.1714589595794678</v>
      </c>
      <c r="E14"/>
      <c r="F14" s="17">
        <v>4.9698259681463242E-2</v>
      </c>
      <c r="G14"/>
      <c r="H14"/>
      <c r="I14"/>
      <c r="J14"/>
      <c r="K14"/>
      <c r="L14"/>
      <c r="M14"/>
      <c r="N14" s="252">
        <v>0.29689458012580872</v>
      </c>
      <c r="O14" s="242">
        <v>0.63380837440490723</v>
      </c>
      <c r="P14" s="248">
        <v>0.11459425091743469</v>
      </c>
      <c r="Q14" s="66">
        <v>0.14507347345352173</v>
      </c>
      <c r="R14"/>
      <c r="S14" s="16">
        <v>5.5233165621757507E-2</v>
      </c>
      <c r="T14"/>
      <c r="U14" s="74">
        <v>0.32679134607315063</v>
      </c>
      <c r="V14"/>
      <c r="W14"/>
      <c r="X14"/>
      <c r="Y14"/>
      <c r="Z14"/>
      <c r="AA14"/>
      <c r="AB14" s="233">
        <v>0.4627167284488678</v>
      </c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3</v>
      </c>
      <c r="C15">
        <v>0.23070573806762695</v>
      </c>
      <c r="D15" s="212">
        <v>0.83333337306976318</v>
      </c>
      <c r="E15" s="69">
        <v>0.27777779102325439</v>
      </c>
      <c r="F15"/>
      <c r="G15" s="17">
        <v>4.1749864816665649E-2</v>
      </c>
      <c r="H15"/>
      <c r="I15"/>
      <c r="J15"/>
      <c r="K15"/>
      <c r="L15" s="17">
        <v>4.2303338646888733E-2</v>
      </c>
      <c r="M15"/>
      <c r="N15" s="16">
        <v>4.6464011073112488E-2</v>
      </c>
      <c r="O15"/>
      <c r="P15" s="140">
        <v>0.38808006048202515</v>
      </c>
      <c r="Q15"/>
      <c r="R15" s="12">
        <v>1.2216350063681602E-2</v>
      </c>
      <c r="S15" s="232">
        <v>0.11525320261716843</v>
      </c>
      <c r="T15"/>
      <c r="U15" s="236">
        <v>0.17047616839408875</v>
      </c>
      <c r="V15" s="18">
        <v>3.4509491175413132E-2</v>
      </c>
      <c r="W15"/>
      <c r="X15"/>
      <c r="Y15"/>
      <c r="Z15"/>
      <c r="AA15"/>
      <c r="AB15" s="246">
        <v>0.57932138442993164</v>
      </c>
      <c r="AC15" s="27">
        <v>0.22780917584896088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4.9499998092651367</v>
      </c>
      <c r="C16">
        <v>2.4790785312652588</v>
      </c>
      <c r="D16" s="213">
        <v>1.1180908679962158</v>
      </c>
      <c r="E16"/>
      <c r="F16" s="70">
        <v>0.25459501147270203</v>
      </c>
      <c r="G16" s="14">
        <v>6.474426481872797E-3</v>
      </c>
      <c r="H16"/>
      <c r="I16"/>
      <c r="J16" s="12">
        <v>1.5077694319188595E-2</v>
      </c>
      <c r="K16" s="18">
        <v>5.8224707841873169E-2</v>
      </c>
      <c r="L16"/>
      <c r="M16"/>
      <c r="N16" s="14">
        <v>1.111911702901125E-2</v>
      </c>
      <c r="O16" s="20">
        <v>0.21049799025058746</v>
      </c>
      <c r="P16" s="11">
        <v>1.4071193290874362E-3</v>
      </c>
      <c r="Q16" s="26">
        <v>0.12224708497524261</v>
      </c>
      <c r="R16"/>
      <c r="S16" s="14">
        <v>6.895196158438921E-3</v>
      </c>
      <c r="T16"/>
      <c r="U16" s="26">
        <v>0.12238792330026627</v>
      </c>
      <c r="V16" s="229">
        <v>0.47458672523498535</v>
      </c>
      <c r="W16"/>
      <c r="X16"/>
      <c r="Y16"/>
      <c r="Z16"/>
      <c r="AA16"/>
      <c r="AB16" s="17">
        <v>6.9317542016506195E-2</v>
      </c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1.9500000476837158</v>
      </c>
      <c r="C17">
        <v>0.26507559418678284</v>
      </c>
      <c r="D17" s="214">
        <v>0.46028879284858704</v>
      </c>
      <c r="E17" s="12">
        <v>9.025271050632E-3</v>
      </c>
      <c r="F17" s="16">
        <v>3.0685920268297195E-2</v>
      </c>
      <c r="G17" s="11">
        <v>1.1066130828112364E-3</v>
      </c>
      <c r="H17" s="11">
        <v>1.2833935907110572E-3</v>
      </c>
      <c r="I17" s="258">
        <v>9.4285964965820312E-2</v>
      </c>
      <c r="J17" s="18">
        <v>2.3153696209192276E-2</v>
      </c>
      <c r="K17" s="247">
        <v>0.10276844352483749</v>
      </c>
      <c r="L17" s="22">
        <v>1.4186562970280647E-2</v>
      </c>
      <c r="M17"/>
      <c r="N17" s="69">
        <v>0.18115928769111633</v>
      </c>
      <c r="O17" s="28">
        <v>6.810472160577774E-2</v>
      </c>
      <c r="P17" s="18">
        <v>2.2161442786455154E-2</v>
      </c>
      <c r="Q17"/>
      <c r="R17"/>
      <c r="S17" s="64">
        <v>0.10672363638877869</v>
      </c>
      <c r="T17"/>
      <c r="U17" s="260">
        <v>0.16339863836765289</v>
      </c>
      <c r="V17" s="28">
        <v>6.7236967384815216E-2</v>
      </c>
      <c r="W17" s="248">
        <v>6.6425636410713196E-2</v>
      </c>
      <c r="X17"/>
      <c r="Y17"/>
      <c r="Z17"/>
      <c r="AA17"/>
      <c r="AB17" s="263">
        <v>0.27292940020561218</v>
      </c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2.5</v>
      </c>
      <c r="C18">
        <v>0.62499988079071045</v>
      </c>
      <c r="D18" s="215">
        <v>0.19948454201221466</v>
      </c>
      <c r="E18"/>
      <c r="F18"/>
      <c r="G18" s="11">
        <v>3.9450558688258752E-5</v>
      </c>
      <c r="H18" s="14">
        <v>4.9911029636859894E-3</v>
      </c>
      <c r="I18" s="76">
        <v>0.16240373253822327</v>
      </c>
      <c r="J18" s="13">
        <v>9.3615263700485229E-2</v>
      </c>
      <c r="K18" s="255">
        <v>0.25626945495605469</v>
      </c>
      <c r="L18" s="145">
        <v>7.1175768971443176E-2</v>
      </c>
      <c r="M18" s="21">
        <v>5.0296079367399216E-2</v>
      </c>
      <c r="N18" s="248">
        <v>8.3419643342494965E-2</v>
      </c>
      <c r="O18"/>
      <c r="P18"/>
      <c r="Q18"/>
      <c r="R18"/>
      <c r="S18"/>
      <c r="T18"/>
      <c r="U18"/>
      <c r="V18" s="15">
        <v>2.4768849834799767E-2</v>
      </c>
      <c r="W18" s="261">
        <v>0.92853617668151855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2.6500000953674316</v>
      </c>
      <c r="C19">
        <v>0.24673303961753845</v>
      </c>
      <c r="D19" s="216">
        <v>0.3125</v>
      </c>
      <c r="E19" s="145">
        <v>7.8125E-2</v>
      </c>
      <c r="F19"/>
      <c r="G19" s="22">
        <v>1.9312739372253418E-2</v>
      </c>
      <c r="H19"/>
      <c r="I19"/>
      <c r="J19"/>
      <c r="K19"/>
      <c r="L19" s="12">
        <v>1.0623048059642315E-2</v>
      </c>
      <c r="M19"/>
      <c r="N19" s="237">
        <v>0.81675004959106445</v>
      </c>
      <c r="O19"/>
      <c r="P19" s="235">
        <v>0.4961249828338623</v>
      </c>
      <c r="Q19"/>
      <c r="R19" s="234">
        <v>0.43663907051086426</v>
      </c>
      <c r="S19" s="146">
        <v>0.16191273927688599</v>
      </c>
      <c r="T19"/>
      <c r="U19" s="65">
        <v>5.9147179126739502E-2</v>
      </c>
      <c r="V19" s="12">
        <v>1.2132241390645504E-2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4.0300002098083496</v>
      </c>
      <c r="C20">
        <v>0.54780036211013794</v>
      </c>
      <c r="D20" s="217">
        <v>0.55586433410644531</v>
      </c>
      <c r="E20" s="64">
        <v>0.2223457545042038</v>
      </c>
      <c r="F20"/>
      <c r="G20" s="11">
        <v>1.978724030777812E-3</v>
      </c>
      <c r="H20"/>
      <c r="I20"/>
      <c r="J20"/>
      <c r="K20"/>
      <c r="L20" s="14">
        <v>6.0466933064162731E-3</v>
      </c>
      <c r="M20"/>
      <c r="N20" s="211">
        <v>0.29753494262695312</v>
      </c>
      <c r="O20" s="65">
        <v>8.9883305132389069E-2</v>
      </c>
      <c r="P20" s="16">
        <v>6.1185985803604126E-2</v>
      </c>
      <c r="Q20" s="68">
        <v>0.24988281726837158</v>
      </c>
      <c r="R20" s="23">
        <v>2.6890907436609268E-2</v>
      </c>
      <c r="S20" s="236">
        <v>0.23063454031944275</v>
      </c>
      <c r="T20"/>
      <c r="U20" s="20">
        <v>0.17057092487812042</v>
      </c>
      <c r="V20" s="256">
        <v>0.82822185754776001</v>
      </c>
      <c r="W20"/>
      <c r="X20"/>
      <c r="Y20"/>
      <c r="Z20"/>
      <c r="AA20"/>
      <c r="AB20" s="109">
        <v>0.69557207822799683</v>
      </c>
      <c r="AC20" s="18">
        <v>4.5587155967950821E-2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3.4500000476837158</v>
      </c>
      <c r="C21">
        <v>0.86250001192092896</v>
      </c>
      <c r="D21"/>
      <c r="E21"/>
      <c r="F21"/>
      <c r="G21" s="11">
        <v>1.4740905025973916E-3</v>
      </c>
      <c r="H21" s="11">
        <v>1.6806456260383129E-3</v>
      </c>
      <c r="I21"/>
      <c r="J21" s="12">
        <v>1.6692133620381355E-2</v>
      </c>
      <c r="K21" s="74">
        <v>0.32644236087799072</v>
      </c>
      <c r="L21"/>
      <c r="M21"/>
      <c r="N21" s="19">
        <v>5.7746876031160355E-2</v>
      </c>
      <c r="O21"/>
      <c r="P21"/>
      <c r="Q21"/>
      <c r="R21"/>
      <c r="S21"/>
      <c r="T21"/>
      <c r="U21"/>
      <c r="V21" s="263">
        <v>0.47736364603042603</v>
      </c>
      <c r="W21" s="262">
        <v>0.36521303653717041</v>
      </c>
      <c r="X21"/>
      <c r="Y21"/>
      <c r="Z21" s="142">
        <v>1.3081600666046143</v>
      </c>
      <c r="AA21"/>
      <c r="AB21" s="15">
        <v>3.2727189362049103E-2</v>
      </c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8</v>
      </c>
      <c r="C22">
        <v>1.5999999046325684</v>
      </c>
      <c r="D22"/>
      <c r="E22"/>
      <c r="F22"/>
      <c r="G22"/>
      <c r="H22"/>
      <c r="I22"/>
      <c r="J22"/>
      <c r="K22"/>
      <c r="L22" s="11">
        <v>8.1821967614814639E-4</v>
      </c>
      <c r="M22" s="11">
        <v>1.6590077430009842E-3</v>
      </c>
      <c r="N22" s="14">
        <v>1.2034688144922256E-2</v>
      </c>
      <c r="O22" s="12">
        <v>2.5559354573488235E-2</v>
      </c>
      <c r="P22" s="11">
        <v>2.8152139857411385E-3</v>
      </c>
      <c r="Q22" s="14">
        <v>1.7819954082369804E-2</v>
      </c>
      <c r="R22" s="11">
        <v>7.1912934072315693E-4</v>
      </c>
      <c r="S22" s="18">
        <v>9.9053852260112762E-2</v>
      </c>
      <c r="T22" s="14">
        <v>8.0471979454159737E-3</v>
      </c>
      <c r="U22" s="17">
        <v>0.1030287891626358</v>
      </c>
      <c r="V22" s="16">
        <v>0.13129256665706635</v>
      </c>
      <c r="W22"/>
      <c r="X22" s="11">
        <v>2.8247029986232519E-3</v>
      </c>
      <c r="Y22" s="12">
        <v>3.1174076721072197E-2</v>
      </c>
      <c r="Z22"/>
      <c r="AA22" s="270">
        <v>4.3156843185424805</v>
      </c>
      <c r="AB22" s="146">
        <v>0.48198068141937256</v>
      </c>
      <c r="AC22" s="25">
        <v>0.24674844741821289</v>
      </c>
      <c r="AD22"/>
      <c r="AE22" s="259">
        <v>0.9187396764755249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2.8499999046325684</v>
      </c>
      <c r="C23">
        <v>0.15499234199523926</v>
      </c>
      <c r="D23" s="218">
        <v>0.97381478548049927</v>
      </c>
      <c r="E23" s="22">
        <v>2.2050715982913971E-2</v>
      </c>
      <c r="F23" s="16">
        <v>4.4101431965827942E-2</v>
      </c>
      <c r="G23" s="11">
        <v>2.1825823932886124E-3</v>
      </c>
      <c r="H23" s="11">
        <v>2.2326350153889507E-4</v>
      </c>
      <c r="I23" s="21">
        <v>5.727647989988327E-2</v>
      </c>
      <c r="J23" s="15">
        <v>2.7594903483986855E-2</v>
      </c>
      <c r="K23" s="69">
        <v>0.2615477442741394</v>
      </c>
      <c r="L23"/>
      <c r="M23"/>
      <c r="N23" s="17">
        <v>3.803696483373642E-2</v>
      </c>
      <c r="O23"/>
      <c r="P23" s="11">
        <v>1.7503858543932438E-3</v>
      </c>
      <c r="Q23" s="14">
        <v>4.6934951096773148E-3</v>
      </c>
      <c r="R23"/>
      <c r="S23"/>
      <c r="T23"/>
      <c r="U23"/>
      <c r="V23" s="264">
        <v>0.74436956644058228</v>
      </c>
      <c r="W23"/>
      <c r="X23"/>
      <c r="Y23"/>
      <c r="Z23"/>
      <c r="AA23"/>
      <c r="AB23" s="110">
        <v>0.51736527681350708</v>
      </c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1.6499999761581421</v>
      </c>
      <c r="C24">
        <v>0.15231722593307495</v>
      </c>
      <c r="D24" s="219">
        <v>0.78702020645141602</v>
      </c>
      <c r="E24" s="16">
        <v>2.7243008837103844E-2</v>
      </c>
      <c r="F24" s="222">
        <v>3.783750906586647E-2</v>
      </c>
      <c r="G24" s="11">
        <v>6.1420648125931621E-4</v>
      </c>
      <c r="H24" s="11">
        <v>1.2395567027851939E-3</v>
      </c>
      <c r="I24" s="145">
        <v>4.7391008585691452E-2</v>
      </c>
      <c r="J24" s="222">
        <v>4.0011551231145859E-2</v>
      </c>
      <c r="K24" s="229">
        <v>0.15797688066959381</v>
      </c>
      <c r="L24"/>
      <c r="M24"/>
      <c r="N24" s="25">
        <v>5.0632771104574203E-2</v>
      </c>
      <c r="O24" s="14">
        <v>4.0788850747048855E-3</v>
      </c>
      <c r="P24" s="14">
        <v>2.8833998367190361E-3</v>
      </c>
      <c r="Q24"/>
      <c r="R24"/>
      <c r="S24"/>
      <c r="T24"/>
      <c r="U24" s="259">
        <v>0.1904156357049942</v>
      </c>
      <c r="V24" s="257">
        <v>0.15033812820911407</v>
      </c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3.9800000190734863</v>
      </c>
      <c r="C25">
        <v>7.505016028881073E-2</v>
      </c>
      <c r="D25" s="220">
        <v>1.1659808158874512</v>
      </c>
      <c r="E25"/>
      <c r="F25" s="13">
        <v>0.15089161694049835</v>
      </c>
      <c r="G25"/>
      <c r="H25" s="24">
        <v>0.11172838509082794</v>
      </c>
      <c r="I25"/>
      <c r="J25" s="240">
        <v>0.52571970224380493</v>
      </c>
      <c r="K25" s="13">
        <v>0.15018917620182037</v>
      </c>
      <c r="L25" s="243">
        <v>0.58941155672073364</v>
      </c>
      <c r="M25" s="249">
        <v>1.1684378385543823</v>
      </c>
      <c r="N25"/>
      <c r="O25"/>
      <c r="P25"/>
      <c r="Q25"/>
      <c r="R25"/>
      <c r="S25"/>
      <c r="T25"/>
      <c r="U25"/>
      <c r="V25" s="15">
        <v>4.2590674012899399E-2</v>
      </c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38</v>
      </c>
      <c r="C26">
        <v>0.96414387226104736</v>
      </c>
      <c r="D26" s="18">
        <v>0.45045045018196106</v>
      </c>
      <c r="E26"/>
      <c r="F26"/>
      <c r="G26"/>
      <c r="H26"/>
      <c r="I26"/>
      <c r="J26" s="11">
        <v>4.8782313242554665E-3</v>
      </c>
      <c r="K26"/>
      <c r="L26" s="11">
        <v>3.0153850093483925E-3</v>
      </c>
      <c r="M26" s="14">
        <v>4.348483681678772E-2</v>
      </c>
      <c r="N26" s="18">
        <v>0.43179643154144287</v>
      </c>
      <c r="O26" s="23">
        <v>0.25329834222793579</v>
      </c>
      <c r="P26" s="14">
        <v>9.8651975393295288E-2</v>
      </c>
      <c r="Q26" s="17">
        <v>0.501517653465271</v>
      </c>
      <c r="R26" s="11">
        <v>1.3778313994407654E-2</v>
      </c>
      <c r="S26" s="232">
        <v>1.5131475925445557</v>
      </c>
      <c r="T26" s="14">
        <v>9.2072322964668274E-2</v>
      </c>
      <c r="U26" s="29">
        <v>1.8181763887405396</v>
      </c>
      <c r="V26" s="24">
        <v>1.021795392036438</v>
      </c>
      <c r="W26"/>
      <c r="X26" s="11">
        <v>1.6119154170155525E-2</v>
      </c>
      <c r="Y26" s="17">
        <v>0.52879238128662109</v>
      </c>
      <c r="Z26"/>
      <c r="AA26" s="269">
        <v>21.648263931274414</v>
      </c>
      <c r="AB26" s="265">
        <v>3.1615774631500244</v>
      </c>
      <c r="AC26" s="26">
        <v>0.98748862743377686</v>
      </c>
      <c r="AD26"/>
      <c r="AE26" s="216">
        <v>4.4475522041320801</v>
      </c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27</v>
      </c>
      <c r="C27">
        <v>2.7000007629394531</v>
      </c>
      <c r="D27"/>
      <c r="E27"/>
      <c r="F27"/>
      <c r="G27"/>
      <c r="H27"/>
      <c r="I27"/>
      <c r="J27"/>
      <c r="K27"/>
      <c r="L27" s="11">
        <v>6.8232673220336437E-4</v>
      </c>
      <c r="M27" s="11">
        <v>6.1596184968948364E-3</v>
      </c>
      <c r="N27"/>
      <c r="O27"/>
      <c r="P27"/>
      <c r="Q27" s="11">
        <v>1.0357215069234371E-3</v>
      </c>
      <c r="R27" s="11">
        <v>3.2973053748719394E-4</v>
      </c>
      <c r="S27"/>
      <c r="T27" s="11">
        <v>2.3482772521674633E-3</v>
      </c>
      <c r="U27"/>
      <c r="V27" s="23">
        <v>0.17936579883098602</v>
      </c>
      <c r="W27" s="12">
        <v>8.8726729154586792E-2</v>
      </c>
      <c r="X27" s="11">
        <v>5.6194415083155036E-4</v>
      </c>
      <c r="Y27" s="11">
        <v>1.3821409083902836E-2</v>
      </c>
      <c r="Z27" s="19">
        <v>0.46215790510177612</v>
      </c>
      <c r="AA27" s="234">
        <v>4.4366235733032227</v>
      </c>
      <c r="AB27" s="11">
        <v>1.1892487294971943E-2</v>
      </c>
      <c r="AC27"/>
      <c r="AD27" s="11">
        <v>9.9105006083846092E-3</v>
      </c>
      <c r="AE27" s="66">
        <v>1.0863828659057617</v>
      </c>
      <c r="AF27" s="271">
        <v>18.000001907348633</v>
      </c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60</v>
      </c>
      <c r="C28">
        <v>6.0000014305114746</v>
      </c>
      <c r="D28"/>
      <c r="E28"/>
      <c r="F28"/>
      <c r="G28"/>
      <c r="H28"/>
      <c r="I28"/>
      <c r="J28"/>
      <c r="K28"/>
      <c r="L28"/>
      <c r="M28"/>
      <c r="N28"/>
      <c r="O28"/>
      <c r="P28"/>
      <c r="Q28" s="11">
        <v>3.9121066220104694E-3</v>
      </c>
      <c r="R28" s="11">
        <v>1.1226607020944357E-3</v>
      </c>
      <c r="S28"/>
      <c r="T28" s="11">
        <v>1.1503197019919753E-3</v>
      </c>
      <c r="U28"/>
      <c r="V28" s="14">
        <v>0.11154470592737198</v>
      </c>
      <c r="W28" s="14">
        <v>0.11044283211231232</v>
      </c>
      <c r="X28" s="11">
        <v>5.378442001529038E-4</v>
      </c>
      <c r="Y28" s="11">
        <v>1.6063369810581207E-2</v>
      </c>
      <c r="Z28" s="23">
        <v>0.39571800827980042</v>
      </c>
      <c r="AA28" s="29">
        <v>2.8241136074066162</v>
      </c>
      <c r="AB28"/>
      <c r="AC28"/>
      <c r="AD28" s="11">
        <v>1.0598468594253063E-2</v>
      </c>
      <c r="AE28" s="145">
        <v>1.7120057344436646</v>
      </c>
      <c r="AF28" s="272">
        <v>48.812786102294922</v>
      </c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60</v>
      </c>
      <c r="C29">
        <v>6.0078582763671875</v>
      </c>
      <c r="D29" s="11">
        <v>1.2422360479831696E-2</v>
      </c>
      <c r="E29"/>
      <c r="F29"/>
      <c r="G29"/>
      <c r="H29"/>
      <c r="I29"/>
      <c r="J29"/>
      <c r="K29"/>
      <c r="L29"/>
      <c r="M29"/>
      <c r="N29"/>
      <c r="O29"/>
      <c r="P29" s="14">
        <v>0.14791303873062134</v>
      </c>
      <c r="Q29" s="11">
        <v>1.2691677547991276E-2</v>
      </c>
      <c r="R29" s="11">
        <v>1.0584975592792034E-2</v>
      </c>
      <c r="S29" s="12">
        <v>0.20616722106933594</v>
      </c>
      <c r="T29" s="11">
        <v>1.0939511470496655E-2</v>
      </c>
      <c r="U29" s="14">
        <v>9.5297247171401978E-2</v>
      </c>
      <c r="V29" s="64">
        <v>3.3161888122558594</v>
      </c>
      <c r="W29"/>
      <c r="X29" s="11">
        <v>2.295344602316618E-3</v>
      </c>
      <c r="Y29" s="14">
        <v>9.6781067550182343E-2</v>
      </c>
      <c r="Z29"/>
      <c r="AA29" s="267">
        <v>18.058015823364258</v>
      </c>
      <c r="AB29" s="266">
        <v>10.524937629699707</v>
      </c>
      <c r="AC29" s="232">
        <v>2.3941187858581543</v>
      </c>
      <c r="AD29"/>
      <c r="AE29" s="268">
        <v>19.103784561157227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/>
      <c r="C30">
        <v>0.25346696376800537</v>
      </c>
      <c r="D30"/>
      <c r="E30"/>
      <c r="F30"/>
      <c r="G30"/>
      <c r="H30"/>
      <c r="I30"/>
      <c r="J30"/>
      <c r="K30"/>
      <c r="L30"/>
      <c r="M30"/>
      <c r="N30" s="9">
        <v>0.64817285537719727</v>
      </c>
      <c r="O30" s="9">
        <v>0.6838565468788147</v>
      </c>
      <c r="P30"/>
      <c r="Q30" s="9">
        <v>0.67430877685546875</v>
      </c>
      <c r="R30"/>
      <c r="S30" s="9">
        <v>2.406486988067627</v>
      </c>
      <c r="T30" s="9">
        <v>0.16540540754795074</v>
      </c>
      <c r="U30" s="9">
        <v>5.5847992897033691</v>
      </c>
      <c r="V30" s="9">
        <v>2.42120361328125</v>
      </c>
      <c r="W30"/>
      <c r="X30" s="9">
        <v>6.2171433120965958E-2</v>
      </c>
      <c r="Y30" s="9">
        <v>1.0998879671096802</v>
      </c>
      <c r="Z30" s="9">
        <v>1.3769809007644653</v>
      </c>
      <c r="AA30" s="9">
        <v>157.73867797851562</v>
      </c>
      <c r="AB30" s="9">
        <v>10.375645637512207</v>
      </c>
      <c r="AC30" s="9">
        <v>7.7090616226196289</v>
      </c>
      <c r="AD30"/>
      <c r="AE30" s="9">
        <v>76.771636962890625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/>
      <c r="C31">
        <v>0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6" t="s">
        <v>192</v>
      </c>
      <c r="E5">
        <v>4</v>
      </c>
      <c r="F5">
        <v>3.22</v>
      </c>
      <c r="G5">
        <v>4</v>
      </c>
      <c r="H5" s="197" t="s">
        <v>192</v>
      </c>
      <c r="J5" s="57"/>
      <c r="K5" s="58"/>
    </row>
    <row r="6" spans="1:12" ht="14" thickBot="1" x14ac:dyDescent="0.2">
      <c r="A6" s="41" t="s">
        <v>121</v>
      </c>
      <c r="D6" s="196" t="s">
        <v>193</v>
      </c>
      <c r="E6">
        <v>5</v>
      </c>
      <c r="F6">
        <v>3.13</v>
      </c>
      <c r="G6">
        <v>5</v>
      </c>
      <c r="H6" s="197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6" t="s">
        <v>194</v>
      </c>
      <c r="E7">
        <v>6</v>
      </c>
      <c r="F7">
        <v>3.12</v>
      </c>
      <c r="G7">
        <v>6</v>
      </c>
      <c r="H7" s="197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6" t="s">
        <v>195</v>
      </c>
      <c r="E8">
        <v>7</v>
      </c>
      <c r="F8">
        <v>3.13</v>
      </c>
      <c r="G8">
        <v>7</v>
      </c>
      <c r="H8" s="197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6" t="s">
        <v>196</v>
      </c>
      <c r="E9">
        <v>8</v>
      </c>
      <c r="F9">
        <v>3.13</v>
      </c>
      <c r="G9">
        <v>8</v>
      </c>
      <c r="H9" s="197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6" t="s">
        <v>197</v>
      </c>
      <c r="E10">
        <v>9</v>
      </c>
      <c r="F10">
        <v>3.12</v>
      </c>
      <c r="G10">
        <v>9</v>
      </c>
      <c r="H10" s="197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6" t="s">
        <v>198</v>
      </c>
      <c r="E11">
        <v>10</v>
      </c>
      <c r="F11">
        <v>3.13</v>
      </c>
      <c r="G11">
        <v>10</v>
      </c>
      <c r="H11" s="197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6" t="s">
        <v>199</v>
      </c>
      <c r="E12">
        <v>11</v>
      </c>
      <c r="F12">
        <v>3.22</v>
      </c>
      <c r="G12">
        <v>11</v>
      </c>
      <c r="H12" s="197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6" t="s">
        <v>200</v>
      </c>
      <c r="E13">
        <v>12</v>
      </c>
      <c r="F13">
        <v>3.22</v>
      </c>
      <c r="G13">
        <v>12</v>
      </c>
      <c r="H13" s="197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6" t="s">
        <v>201</v>
      </c>
      <c r="E14">
        <v>13</v>
      </c>
      <c r="F14">
        <v>3.22</v>
      </c>
      <c r="G14">
        <v>13</v>
      </c>
      <c r="H14" s="197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6" t="s">
        <v>202</v>
      </c>
      <c r="E15">
        <v>14</v>
      </c>
      <c r="F15">
        <v>3.21</v>
      </c>
      <c r="G15">
        <v>14</v>
      </c>
      <c r="H15" s="197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6" t="s">
        <v>203</v>
      </c>
      <c r="E16">
        <v>15</v>
      </c>
      <c r="F16">
        <v>3.21</v>
      </c>
      <c r="G16">
        <v>15</v>
      </c>
      <c r="H16" s="197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6" t="s">
        <v>204</v>
      </c>
      <c r="E17">
        <v>16</v>
      </c>
      <c r="F17">
        <v>3.12</v>
      </c>
      <c r="G17">
        <v>16</v>
      </c>
      <c r="H17" s="197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6" t="s">
        <v>205</v>
      </c>
      <c r="E18">
        <v>17</v>
      </c>
      <c r="F18">
        <v>3</v>
      </c>
      <c r="G18">
        <v>17</v>
      </c>
      <c r="H18" s="197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6" t="s">
        <v>206</v>
      </c>
      <c r="E19">
        <v>18</v>
      </c>
      <c r="F19">
        <v>3.22</v>
      </c>
      <c r="G19">
        <v>18</v>
      </c>
      <c r="H19" s="197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6" t="s">
        <v>207</v>
      </c>
      <c r="E20">
        <v>19</v>
      </c>
      <c r="F20">
        <v>3</v>
      </c>
      <c r="G20">
        <v>19</v>
      </c>
      <c r="H20" s="197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6" t="s">
        <v>208</v>
      </c>
      <c r="E21">
        <v>20</v>
      </c>
      <c r="F21">
        <v>3.12</v>
      </c>
      <c r="G21">
        <v>20</v>
      </c>
      <c r="H21" s="197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6" t="s">
        <v>209</v>
      </c>
      <c r="E22">
        <v>21</v>
      </c>
      <c r="F22">
        <v>3</v>
      </c>
      <c r="G22">
        <v>21</v>
      </c>
      <c r="H22" s="197" t="s">
        <v>209</v>
      </c>
    </row>
    <row r="23" spans="1:12" x14ac:dyDescent="0.15">
      <c r="A23" s="36" t="s">
        <v>129</v>
      </c>
      <c r="B23" s="44">
        <v>4</v>
      </c>
      <c r="C23" s="38"/>
      <c r="D23" s="196" t="s">
        <v>210</v>
      </c>
      <c r="E23">
        <v>22</v>
      </c>
      <c r="F23">
        <v>3</v>
      </c>
      <c r="G23">
        <v>22</v>
      </c>
      <c r="H23" s="197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6" t="s">
        <v>211</v>
      </c>
      <c r="E24">
        <v>23</v>
      </c>
      <c r="F24">
        <v>3.12</v>
      </c>
      <c r="G24">
        <v>23</v>
      </c>
      <c r="H24" s="197" t="s">
        <v>211</v>
      </c>
    </row>
    <row r="25" spans="1:12" x14ac:dyDescent="0.15">
      <c r="A25" s="36" t="s">
        <v>70</v>
      </c>
      <c r="B25" s="44">
        <v>4.2</v>
      </c>
      <c r="C25" s="38"/>
      <c r="D25" s="196" t="s">
        <v>212</v>
      </c>
      <c r="E25">
        <v>24</v>
      </c>
      <c r="F25">
        <v>3</v>
      </c>
      <c r="G25">
        <v>24</v>
      </c>
      <c r="H25" s="197" t="s">
        <v>212</v>
      </c>
    </row>
    <row r="26" spans="1:12" x14ac:dyDescent="0.15">
      <c r="A26" s="36" t="s">
        <v>123</v>
      </c>
      <c r="B26" s="44">
        <v>4.3</v>
      </c>
      <c r="C26" s="38"/>
      <c r="D26" s="196" t="s">
        <v>213</v>
      </c>
      <c r="E26">
        <v>25</v>
      </c>
      <c r="F26">
        <v>3.22</v>
      </c>
      <c r="G26">
        <v>25</v>
      </c>
      <c r="H26" s="197" t="s">
        <v>213</v>
      </c>
    </row>
    <row r="27" spans="1:12" x14ac:dyDescent="0.15">
      <c r="A27" s="36" t="s">
        <v>125</v>
      </c>
      <c r="B27" s="44">
        <v>6.1</v>
      </c>
      <c r="D27" s="196" t="s">
        <v>214</v>
      </c>
      <c r="E27">
        <v>26</v>
      </c>
      <c r="F27">
        <v>3</v>
      </c>
      <c r="G27">
        <v>26</v>
      </c>
      <c r="H27" s="197" t="s">
        <v>214</v>
      </c>
    </row>
    <row r="28" spans="1:12" x14ac:dyDescent="0.15">
      <c r="A28" s="36" t="s">
        <v>124</v>
      </c>
      <c r="B28" s="44">
        <v>6.2</v>
      </c>
      <c r="D28" s="196" t="s">
        <v>215</v>
      </c>
      <c r="E28">
        <v>27</v>
      </c>
      <c r="F28">
        <v>3.1</v>
      </c>
      <c r="G28">
        <v>27</v>
      </c>
      <c r="H28" s="197" t="s">
        <v>215</v>
      </c>
    </row>
    <row r="29" spans="1:12" x14ac:dyDescent="0.15">
      <c r="A29" s="36" t="s">
        <v>44</v>
      </c>
      <c r="B29" s="44">
        <v>5</v>
      </c>
      <c r="D29" s="196" t="s">
        <v>216</v>
      </c>
      <c r="E29">
        <v>28</v>
      </c>
      <c r="F29">
        <v>3.21</v>
      </c>
      <c r="G29">
        <v>28</v>
      </c>
      <c r="H29" s="197" t="s">
        <v>216</v>
      </c>
    </row>
    <row r="30" spans="1:12" x14ac:dyDescent="0.15">
      <c r="A30" s="36" t="s">
        <v>73</v>
      </c>
      <c r="B30" s="44">
        <v>7</v>
      </c>
      <c r="D30" s="196" t="s">
        <v>217</v>
      </c>
      <c r="E30">
        <v>29</v>
      </c>
      <c r="F30">
        <v>3.11</v>
      </c>
      <c r="G30">
        <v>29</v>
      </c>
      <c r="H30" s="197" t="s">
        <v>217</v>
      </c>
    </row>
    <row r="31" spans="1:12" x14ac:dyDescent="0.15">
      <c r="A31" s="36" t="s">
        <v>169</v>
      </c>
      <c r="B31" s="44">
        <v>3.14</v>
      </c>
      <c r="D31" s="196" t="s">
        <v>218</v>
      </c>
      <c r="E31">
        <v>30</v>
      </c>
      <c r="F31">
        <v>2</v>
      </c>
      <c r="G31">
        <v>30</v>
      </c>
      <c r="H31" s="197" t="s">
        <v>218</v>
      </c>
    </row>
    <row r="32" spans="1:12" ht="12" customHeight="1" thickBot="1" x14ac:dyDescent="0.2">
      <c r="A32" s="42" t="s">
        <v>170</v>
      </c>
      <c r="B32" s="45">
        <v>9</v>
      </c>
      <c r="D32" s="196" t="s">
        <v>219</v>
      </c>
      <c r="E32">
        <v>31</v>
      </c>
      <c r="F32">
        <v>2.2999999999999998</v>
      </c>
      <c r="G32">
        <v>31</v>
      </c>
      <c r="H32" s="197" t="s">
        <v>219</v>
      </c>
    </row>
    <row r="33" spans="4:8" customFormat="1" ht="12" customHeight="1" x14ac:dyDescent="0.15">
      <c r="D33" s="196" t="s">
        <v>220</v>
      </c>
      <c r="E33">
        <v>32</v>
      </c>
      <c r="F33">
        <v>4.0999999999999996</v>
      </c>
      <c r="G33">
        <v>32</v>
      </c>
      <c r="H33" s="197" t="s">
        <v>220</v>
      </c>
    </row>
    <row r="34" spans="4:8" customFormat="1" ht="12" customHeight="1" x14ac:dyDescent="0.15">
      <c r="D34" s="196" t="s">
        <v>221</v>
      </c>
      <c r="E34">
        <v>33</v>
      </c>
      <c r="F34">
        <v>4.3</v>
      </c>
      <c r="G34">
        <v>33</v>
      </c>
      <c r="H34" s="197" t="s">
        <v>221</v>
      </c>
    </row>
    <row r="35" spans="4:8" customFormat="1" x14ac:dyDescent="0.15">
      <c r="D35" s="196" t="s">
        <v>222</v>
      </c>
      <c r="E35">
        <v>34</v>
      </c>
      <c r="F35">
        <v>5</v>
      </c>
      <c r="G35">
        <v>34</v>
      </c>
      <c r="H35" s="197" t="s">
        <v>222</v>
      </c>
    </row>
    <row r="36" spans="4:8" customFormat="1" x14ac:dyDescent="0.15">
      <c r="D36" s="196" t="s">
        <v>223</v>
      </c>
      <c r="E36">
        <v>35</v>
      </c>
      <c r="F36">
        <v>5</v>
      </c>
      <c r="G36">
        <v>35</v>
      </c>
      <c r="H36" s="197" t="s">
        <v>223</v>
      </c>
    </row>
    <row r="37" spans="4:8" customFormat="1" ht="12" customHeight="1" x14ac:dyDescent="0.15">
      <c r="D37" s="196" t="s">
        <v>224</v>
      </c>
      <c r="E37">
        <v>36</v>
      </c>
      <c r="F37">
        <v>5</v>
      </c>
      <c r="G37">
        <v>36</v>
      </c>
      <c r="H37" s="197" t="s">
        <v>224</v>
      </c>
    </row>
    <row r="38" spans="4:8" customFormat="1" x14ac:dyDescent="0.15">
      <c r="D38" s="196" t="s">
        <v>138</v>
      </c>
      <c r="E38">
        <v>37</v>
      </c>
      <c r="F38">
        <v>6.1</v>
      </c>
      <c r="G38">
        <v>37</v>
      </c>
      <c r="H38" s="197" t="s">
        <v>138</v>
      </c>
    </row>
    <row r="39" spans="4:8" customFormat="1" x14ac:dyDescent="0.15">
      <c r="D39" s="196" t="s">
        <v>45</v>
      </c>
      <c r="E39">
        <v>38</v>
      </c>
      <c r="F39">
        <v>6.2</v>
      </c>
      <c r="G39">
        <v>38</v>
      </c>
      <c r="H39" s="197" t="s">
        <v>45</v>
      </c>
    </row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1.5" style="84" bestFit="1" customWidth="1"/>
    <col min="2" max="2" width="12.83203125" style="83" customWidth="1"/>
    <col min="3" max="3" width="11.5" style="83" customWidth="1"/>
    <col min="4" max="4" width="11.83203125" style="83" customWidth="1"/>
    <col min="5" max="5" width="12.83203125" style="83" customWidth="1"/>
    <col min="6" max="6" width="21.664062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2" customWidth="1"/>
    <col min="17" max="17" width="2.33203125" style="83" customWidth="1"/>
    <col min="18" max="18" width="2.33203125" style="73" customWidth="1"/>
    <col min="19" max="16384" width="11.5" style="83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5" t="s">
        <v>48</v>
      </c>
      <c r="L1" s="73"/>
      <c r="M1" s="85" t="s">
        <v>119</v>
      </c>
      <c r="N1" s="73"/>
      <c r="O1" s="85" t="s">
        <v>49</v>
      </c>
      <c r="P1" s="75"/>
      <c r="Q1" s="85" t="s">
        <v>50</v>
      </c>
      <c r="R1" s="71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2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2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198" t="s">
        <v>192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0</v>
      </c>
      <c r="M6" s="83">
        <v>1</v>
      </c>
      <c r="N6" s="83">
        <v>0</v>
      </c>
      <c r="O6" s="83">
        <v>1</v>
      </c>
      <c r="P6" s="72">
        <v>0</v>
      </c>
      <c r="Q6" s="83">
        <v>0</v>
      </c>
      <c r="R6" s="73">
        <v>1</v>
      </c>
      <c r="S6"/>
      <c r="T6"/>
    </row>
    <row r="7" spans="1:23" ht="15" customHeight="1" thickBot="1" x14ac:dyDescent="0.2">
      <c r="F7" s="198" t="s">
        <v>193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2">
        <v>0</v>
      </c>
      <c r="Q7" s="83">
        <v>0</v>
      </c>
      <c r="R7" s="73">
        <v>1</v>
      </c>
      <c r="S7"/>
      <c r="T7"/>
    </row>
    <row r="8" spans="1:23" ht="15" customHeight="1" x14ac:dyDescent="0.15">
      <c r="A8" s="85" t="s">
        <v>56</v>
      </c>
      <c r="B8" s="92">
        <v>0.95472518534497908</v>
      </c>
      <c r="C8" s="199" t="s">
        <v>218</v>
      </c>
      <c r="D8" s="87" t="s">
        <v>160</v>
      </c>
      <c r="F8" s="198" t="s">
        <v>194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2">
        <v>0</v>
      </c>
      <c r="Q8" s="83">
        <v>0</v>
      </c>
      <c r="R8" s="73">
        <v>1</v>
      </c>
      <c r="S8"/>
      <c r="T8"/>
      <c r="W8"/>
    </row>
    <row r="9" spans="1:23" ht="15" customHeight="1" x14ac:dyDescent="0.15">
      <c r="A9" s="126" t="s">
        <v>168</v>
      </c>
      <c r="B9" s="94">
        <v>4.5274814655020854E-2</v>
      </c>
      <c r="C9" s="199" t="s">
        <v>219</v>
      </c>
      <c r="D9" s="87" t="s">
        <v>160</v>
      </c>
      <c r="F9" s="198" t="s">
        <v>195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2">
        <v>0</v>
      </c>
      <c r="Q9" s="83">
        <v>0</v>
      </c>
      <c r="R9" s="73">
        <v>1</v>
      </c>
      <c r="S9"/>
      <c r="T9"/>
      <c r="W9"/>
    </row>
    <row r="10" spans="1:23" ht="15" customHeight="1" x14ac:dyDescent="0.15">
      <c r="B10" s="94"/>
      <c r="C10" s="82"/>
      <c r="D10" s="87" t="s">
        <v>160</v>
      </c>
      <c r="F10" s="198" t="s">
        <v>196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2">
        <v>0</v>
      </c>
      <c r="Q10" s="83">
        <v>0</v>
      </c>
      <c r="R10" s="73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198" t="s">
        <v>197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2">
        <v>0</v>
      </c>
      <c r="Q11" s="83">
        <v>0</v>
      </c>
      <c r="R11" s="73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198" t="s">
        <v>198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2">
        <v>0</v>
      </c>
      <c r="Q12" s="83">
        <v>0</v>
      </c>
      <c r="R12" s="73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198" t="s">
        <v>199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2">
        <v>0</v>
      </c>
      <c r="Q13" s="83">
        <v>0</v>
      </c>
      <c r="R13" s="73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198" t="s">
        <v>200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2">
        <v>0</v>
      </c>
      <c r="Q14" s="83">
        <v>0</v>
      </c>
      <c r="R14" s="73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198" t="s">
        <v>201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2">
        <v>0</v>
      </c>
      <c r="Q15" s="83">
        <v>0</v>
      </c>
      <c r="R15" s="73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198" t="s">
        <v>202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2">
        <v>0</v>
      </c>
      <c r="Q16" s="83">
        <v>0</v>
      </c>
      <c r="R16" s="73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198" t="s">
        <v>203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2">
        <v>0</v>
      </c>
      <c r="Q17" s="83">
        <v>0</v>
      </c>
      <c r="R17" s="73">
        <v>1</v>
      </c>
      <c r="S17"/>
      <c r="T17"/>
    </row>
    <row r="18" spans="1:20" ht="15" customHeight="1" thickBot="1" x14ac:dyDescent="0.2">
      <c r="B18" s="95"/>
      <c r="F18" s="198" t="s">
        <v>204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2">
        <v>0</v>
      </c>
      <c r="Q18" s="83">
        <v>0</v>
      </c>
      <c r="R18" s="73">
        <v>1</v>
      </c>
      <c r="S18"/>
      <c r="T18"/>
    </row>
    <row r="19" spans="1:20" ht="15" customHeight="1" x14ac:dyDescent="0.15">
      <c r="A19" s="85" t="s">
        <v>57</v>
      </c>
      <c r="B19" s="92">
        <v>0.95472518534497908</v>
      </c>
      <c r="C19" s="200" t="s">
        <v>218</v>
      </c>
      <c r="D19" s="87" t="s">
        <v>160</v>
      </c>
      <c r="F19" s="198" t="s">
        <v>205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2">
        <v>0</v>
      </c>
      <c r="Q19" s="83">
        <v>0</v>
      </c>
      <c r="R19" s="73">
        <v>1</v>
      </c>
      <c r="S19"/>
      <c r="T19"/>
    </row>
    <row r="20" spans="1:20" ht="15" customHeight="1" x14ac:dyDescent="0.15">
      <c r="A20" s="126" t="s">
        <v>168</v>
      </c>
      <c r="B20" s="94">
        <v>4.5274814655020854E-2</v>
      </c>
      <c r="C20" s="200" t="s">
        <v>219</v>
      </c>
      <c r="D20" s="87" t="s">
        <v>160</v>
      </c>
      <c r="F20" s="198" t="s">
        <v>206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2">
        <v>0</v>
      </c>
      <c r="Q20" s="83">
        <v>0</v>
      </c>
      <c r="R20" s="73">
        <v>1</v>
      </c>
      <c r="S20"/>
      <c r="T20"/>
    </row>
    <row r="21" spans="1:20" ht="15" customHeight="1" x14ac:dyDescent="0.15">
      <c r="B21" s="94"/>
      <c r="C21" s="82"/>
      <c r="D21" s="87" t="s">
        <v>160</v>
      </c>
      <c r="F21" s="198" t="s">
        <v>207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2">
        <v>0</v>
      </c>
      <c r="Q21" s="83">
        <v>0</v>
      </c>
      <c r="R21" s="73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198" t="s">
        <v>208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2">
        <v>0</v>
      </c>
      <c r="Q22" s="83">
        <v>0</v>
      </c>
      <c r="R22" s="73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198" t="s">
        <v>209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2">
        <v>0</v>
      </c>
      <c r="Q23" s="83">
        <v>0</v>
      </c>
      <c r="R23" s="73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198" t="s">
        <v>210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2">
        <v>0</v>
      </c>
      <c r="Q24" s="83">
        <v>0</v>
      </c>
      <c r="R24" s="73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198" t="s">
        <v>211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2">
        <v>0</v>
      </c>
      <c r="Q25" s="83">
        <v>0</v>
      </c>
      <c r="R25" s="73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198" t="s">
        <v>212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2">
        <v>0</v>
      </c>
      <c r="Q26" s="83">
        <v>0</v>
      </c>
      <c r="R26" s="73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198" t="s">
        <v>213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2">
        <v>0</v>
      </c>
      <c r="Q27" s="83">
        <v>0</v>
      </c>
      <c r="R27" s="73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198" t="s">
        <v>214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2">
        <v>0</v>
      </c>
      <c r="Q28" s="83">
        <v>0</v>
      </c>
      <c r="R28" s="73">
        <v>1</v>
      </c>
      <c r="S28"/>
      <c r="T28"/>
    </row>
    <row r="29" spans="1:20" ht="15" customHeight="1" x14ac:dyDescent="0.15">
      <c r="F29" s="198" t="s">
        <v>215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2">
        <v>0</v>
      </c>
      <c r="Q29" s="83">
        <v>0</v>
      </c>
      <c r="R29" s="73">
        <v>1</v>
      </c>
      <c r="S29"/>
      <c r="T29"/>
    </row>
    <row r="30" spans="1:20" ht="15" customHeight="1" x14ac:dyDescent="0.15">
      <c r="F30" s="198" t="s">
        <v>216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2">
        <v>0</v>
      </c>
      <c r="Q30" s="83">
        <v>0</v>
      </c>
      <c r="R30" s="73">
        <v>1</v>
      </c>
      <c r="S30"/>
      <c r="T30"/>
    </row>
    <row r="31" spans="1:20" ht="15" customHeight="1" x14ac:dyDescent="0.15">
      <c r="A31" s="127"/>
      <c r="B31" s="137" t="s">
        <v>17</v>
      </c>
      <c r="C31" s="137" t="s">
        <v>1</v>
      </c>
      <c r="D31" s="137" t="s">
        <v>161</v>
      </c>
      <c r="E31" s="138" t="s">
        <v>163</v>
      </c>
      <c r="F31" s="198" t="s">
        <v>217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2">
        <v>0</v>
      </c>
      <c r="Q31" s="83">
        <v>0</v>
      </c>
      <c r="R31" s="73">
        <v>1</v>
      </c>
      <c r="S31"/>
      <c r="T31"/>
    </row>
    <row r="32" spans="1:20" ht="15" customHeight="1" x14ac:dyDescent="0.15">
      <c r="A32" s="201" t="s">
        <v>218</v>
      </c>
      <c r="B32" s="95">
        <v>33.950607300000001</v>
      </c>
      <c r="C32" s="95">
        <v>60</v>
      </c>
      <c r="D32" s="95">
        <v>2037.0364380000001</v>
      </c>
      <c r="E32" s="128">
        <v>0.95472518534497908</v>
      </c>
      <c r="F32" s="198" t="s">
        <v>218</v>
      </c>
      <c r="G32" s="83">
        <v>0</v>
      </c>
      <c r="H32" s="83">
        <v>0</v>
      </c>
      <c r="I32" s="83">
        <v>0</v>
      </c>
      <c r="J32" s="83">
        <v>0</v>
      </c>
      <c r="K32" s="83">
        <v>0</v>
      </c>
      <c r="L32" s="83">
        <v>0</v>
      </c>
      <c r="M32" s="83">
        <v>1</v>
      </c>
      <c r="N32" s="83">
        <v>0</v>
      </c>
      <c r="O32" s="83">
        <v>0</v>
      </c>
      <c r="P32" s="72">
        <v>0</v>
      </c>
      <c r="Q32" s="83">
        <v>0</v>
      </c>
      <c r="R32" s="73">
        <v>1</v>
      </c>
      <c r="S32"/>
      <c r="T32"/>
    </row>
    <row r="33" spans="1:20" ht="15" customHeight="1" x14ac:dyDescent="0.15">
      <c r="A33" s="201" t="s">
        <v>219</v>
      </c>
      <c r="B33" s="95">
        <v>1.6099999</v>
      </c>
      <c r="C33" s="95">
        <v>60</v>
      </c>
      <c r="D33" s="95">
        <v>96.599994000000009</v>
      </c>
      <c r="E33" s="128">
        <v>4.5274814655020854E-2</v>
      </c>
      <c r="F33" s="198" t="s">
        <v>219</v>
      </c>
      <c r="G33" s="83">
        <v>0</v>
      </c>
      <c r="H33" s="83">
        <v>0</v>
      </c>
      <c r="I33" s="83">
        <v>0</v>
      </c>
      <c r="J33" s="83">
        <v>0</v>
      </c>
      <c r="K33" s="83">
        <v>0</v>
      </c>
      <c r="L33" s="83">
        <v>0</v>
      </c>
      <c r="M33" s="83">
        <v>1</v>
      </c>
      <c r="N33" s="83">
        <v>0</v>
      </c>
      <c r="O33" s="83">
        <v>0</v>
      </c>
      <c r="P33" s="72">
        <v>0</v>
      </c>
      <c r="Q33" s="83">
        <v>0</v>
      </c>
      <c r="R33" s="73">
        <v>1</v>
      </c>
      <c r="S33"/>
      <c r="T33"/>
    </row>
    <row r="34" spans="1:20" ht="15" customHeight="1" x14ac:dyDescent="0.15">
      <c r="A34" s="129"/>
      <c r="B34" s="95"/>
      <c r="C34" s="95"/>
      <c r="D34" s="95"/>
      <c r="E34" s="128"/>
      <c r="F34" s="198" t="s">
        <v>220</v>
      </c>
      <c r="G34" s="83">
        <v>0</v>
      </c>
      <c r="H34" s="83">
        <v>0</v>
      </c>
      <c r="I34" s="83">
        <v>0</v>
      </c>
      <c r="J34" s="83">
        <v>0</v>
      </c>
      <c r="K34" s="83">
        <v>0</v>
      </c>
      <c r="L34" s="83">
        <v>1</v>
      </c>
      <c r="M34" s="83">
        <v>0</v>
      </c>
      <c r="N34" s="83">
        <v>1</v>
      </c>
      <c r="O34" s="83">
        <v>0</v>
      </c>
      <c r="P34" s="72">
        <v>1</v>
      </c>
      <c r="Q34" s="83">
        <v>0</v>
      </c>
      <c r="R34" s="73">
        <v>1</v>
      </c>
      <c r="S34"/>
      <c r="T34"/>
    </row>
    <row r="35" spans="1:20" ht="15" customHeight="1" x14ac:dyDescent="0.15">
      <c r="A35" s="130"/>
      <c r="B35" s="95"/>
      <c r="C35" s="95"/>
      <c r="D35" s="95"/>
      <c r="E35" s="128"/>
      <c r="F35" s="198" t="s">
        <v>221</v>
      </c>
      <c r="G35" s="83">
        <v>0</v>
      </c>
      <c r="H35" s="83">
        <v>0</v>
      </c>
      <c r="I35" s="83">
        <v>0</v>
      </c>
      <c r="J35" s="83">
        <v>0</v>
      </c>
      <c r="K35" s="83">
        <v>0</v>
      </c>
      <c r="L35" s="83">
        <v>1</v>
      </c>
      <c r="M35" s="83">
        <v>0</v>
      </c>
      <c r="N35" s="83">
        <v>1</v>
      </c>
      <c r="O35" s="83">
        <v>0</v>
      </c>
      <c r="P35" s="72">
        <v>1</v>
      </c>
      <c r="Q35" s="83">
        <v>0</v>
      </c>
      <c r="R35" s="73">
        <v>1</v>
      </c>
      <c r="S35"/>
      <c r="T35"/>
    </row>
    <row r="36" spans="1:20" ht="15" customHeight="1" x14ac:dyDescent="0.15">
      <c r="A36" s="131"/>
      <c r="B36" s="95"/>
      <c r="C36" s="95"/>
      <c r="D36" s="95"/>
      <c r="E36" s="128"/>
      <c r="F36" s="198" t="s">
        <v>222</v>
      </c>
      <c r="G36" s="83">
        <v>0</v>
      </c>
      <c r="H36" s="83">
        <v>0</v>
      </c>
      <c r="I36" s="83">
        <v>0</v>
      </c>
      <c r="J36" s="83">
        <v>0</v>
      </c>
      <c r="K36" s="83">
        <v>0</v>
      </c>
      <c r="L36" s="83">
        <v>1</v>
      </c>
      <c r="M36" s="83">
        <v>0</v>
      </c>
      <c r="N36" s="83">
        <v>0</v>
      </c>
      <c r="O36" s="83">
        <v>0</v>
      </c>
      <c r="P36" s="72">
        <v>0</v>
      </c>
      <c r="Q36" s="83">
        <v>0</v>
      </c>
      <c r="R36" s="73">
        <v>1</v>
      </c>
      <c r="S36"/>
      <c r="T36"/>
    </row>
    <row r="37" spans="1:20" ht="15" customHeight="1" x14ac:dyDescent="0.15">
      <c r="A37" s="131"/>
      <c r="B37" s="95"/>
      <c r="C37" s="95"/>
      <c r="D37" s="95"/>
      <c r="E37" s="128"/>
      <c r="F37" s="198" t="s">
        <v>223</v>
      </c>
      <c r="G37" s="83">
        <v>0</v>
      </c>
      <c r="H37" s="83">
        <v>0</v>
      </c>
      <c r="I37" s="83">
        <v>0</v>
      </c>
      <c r="J37" s="83">
        <v>0</v>
      </c>
      <c r="K37" s="83">
        <v>0</v>
      </c>
      <c r="L37" s="83">
        <v>1</v>
      </c>
      <c r="M37" s="83">
        <v>0</v>
      </c>
      <c r="N37" s="83">
        <v>0</v>
      </c>
      <c r="O37" s="83">
        <v>0</v>
      </c>
      <c r="P37" s="72">
        <v>0</v>
      </c>
      <c r="Q37" s="83">
        <v>0</v>
      </c>
      <c r="R37" s="73">
        <v>1</v>
      </c>
      <c r="S37"/>
      <c r="T37"/>
    </row>
    <row r="38" spans="1:20" ht="15" customHeight="1" x14ac:dyDescent="0.15">
      <c r="A38" s="132"/>
      <c r="B38" s="95"/>
      <c r="C38" s="95"/>
      <c r="D38" s="95"/>
      <c r="E38" s="128"/>
      <c r="F38" s="198" t="s">
        <v>224</v>
      </c>
      <c r="G38" s="83">
        <v>0</v>
      </c>
      <c r="H38" s="83">
        <v>0</v>
      </c>
      <c r="I38" s="83">
        <v>0</v>
      </c>
      <c r="J38" s="83">
        <v>0</v>
      </c>
      <c r="K38" s="83">
        <v>0</v>
      </c>
      <c r="L38" s="83">
        <v>1</v>
      </c>
      <c r="M38" s="83">
        <v>0</v>
      </c>
      <c r="N38" s="83">
        <v>0</v>
      </c>
      <c r="O38" s="83">
        <v>0</v>
      </c>
      <c r="P38" s="72">
        <v>0</v>
      </c>
      <c r="Q38" s="83">
        <v>0</v>
      </c>
      <c r="R38" s="73">
        <v>1</v>
      </c>
      <c r="S38"/>
      <c r="T38"/>
    </row>
    <row r="39" spans="1:20" ht="15" customHeight="1" x14ac:dyDescent="0.15">
      <c r="A39" s="132"/>
      <c r="B39" s="95"/>
      <c r="C39" s="95"/>
      <c r="D39" s="95"/>
      <c r="E39" s="12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32"/>
      <c r="B40" s="95"/>
      <c r="C40" s="95"/>
      <c r="D40" s="95"/>
      <c r="E40" s="12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32"/>
      <c r="B41" s="95"/>
      <c r="C41" s="95"/>
      <c r="D41" s="96"/>
      <c r="E41" s="133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2133.6364320000002</v>
      </c>
      <c r="E42" s="136">
        <f>SUM(E32:E41)</f>
        <v>0.99999999999999989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O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2" customWidth="1"/>
    <col min="3" max="5" width="7.83203125" style="112" customWidth="1"/>
    <col min="6" max="8" width="8.83203125" style="6"/>
    <col min="9" max="9" width="7.83203125" style="6" customWidth="1"/>
    <col min="10" max="10" width="7.5" style="6" customWidth="1"/>
    <col min="11" max="11" width="7.33203125" style="6" customWidth="1"/>
    <col min="12" max="12" width="11.5" style="6" customWidth="1"/>
    <col min="13" max="13" width="16.5" style="6" customWidth="1"/>
    <col min="14" max="14" width="11.6640625" style="6" customWidth="1"/>
    <col min="15" max="15" width="16.5" style="6" customWidth="1"/>
    <col min="16" max="16" width="10.5" style="6" customWidth="1"/>
    <col min="17" max="17" width="12" style="6" customWidth="1"/>
    <col min="18" max="18" width="10.1640625" style="6" customWidth="1"/>
    <col min="19" max="19" width="13.33203125" style="6" customWidth="1"/>
    <col min="20" max="20" width="6.5" style="6" customWidth="1"/>
    <col min="21" max="21" width="11" style="6" customWidth="1"/>
    <col min="22" max="22" width="9.83203125" style="6" customWidth="1"/>
    <col min="23" max="23" width="12.5" style="6" customWidth="1"/>
    <col min="24" max="24" width="11.5" style="6" customWidth="1"/>
    <col min="25" max="25" width="11.83203125" style="6" customWidth="1"/>
    <col min="26" max="27" width="7.1640625" style="6" customWidth="1"/>
    <col min="28" max="28" width="11.5" style="6" customWidth="1"/>
    <col min="29" max="29" width="10" style="6" customWidth="1"/>
    <col min="30" max="30" width="11" style="6" customWidth="1"/>
    <col min="31" max="31" width="8.5" style="6" customWidth="1"/>
    <col min="32" max="32" width="9.5" style="6" customWidth="1"/>
    <col min="33" max="33" width="7.1640625" style="6" customWidth="1"/>
    <col min="34" max="34" width="11.33203125" style="6" customWidth="1"/>
    <col min="35" max="35" width="11.5" style="6" customWidth="1"/>
    <col min="36" max="36" width="9.83203125" style="6" customWidth="1"/>
    <col min="37" max="37" width="7.6640625" style="6" customWidth="1"/>
    <col min="38" max="38" width="21.6640625" style="6" customWidth="1"/>
    <col min="39" max="39" width="11.33203125" customWidth="1"/>
    <col min="40" max="40" width="13.83203125" customWidth="1"/>
    <col min="41" max="41" width="8.5" customWidth="1"/>
    <col min="81" max="81" width="22.1640625" bestFit="1" customWidth="1"/>
  </cols>
  <sheetData>
    <row r="1" spans="1:41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3" t="s">
        <v>192</v>
      </c>
      <c r="J1" s="203" t="s">
        <v>193</v>
      </c>
      <c r="K1" s="203" t="s">
        <v>194</v>
      </c>
      <c r="L1" s="203" t="s">
        <v>195</v>
      </c>
      <c r="M1" s="203" t="s">
        <v>196</v>
      </c>
      <c r="N1" s="203" t="s">
        <v>197</v>
      </c>
      <c r="O1" s="203" t="s">
        <v>198</v>
      </c>
      <c r="P1" s="203" t="s">
        <v>199</v>
      </c>
      <c r="Q1" s="203" t="s">
        <v>200</v>
      </c>
      <c r="R1" s="203" t="s">
        <v>201</v>
      </c>
      <c r="S1" s="203" t="s">
        <v>202</v>
      </c>
      <c r="T1" s="203" t="s">
        <v>203</v>
      </c>
      <c r="U1" s="203" t="s">
        <v>204</v>
      </c>
      <c r="V1" s="203" t="s">
        <v>205</v>
      </c>
      <c r="W1" s="203" t="s">
        <v>206</v>
      </c>
      <c r="X1" s="203" t="s">
        <v>207</v>
      </c>
      <c r="Y1" s="203" t="s">
        <v>208</v>
      </c>
      <c r="Z1" s="203" t="s">
        <v>209</v>
      </c>
      <c r="AA1" s="203" t="s">
        <v>210</v>
      </c>
      <c r="AB1" s="203" t="s">
        <v>211</v>
      </c>
      <c r="AC1" s="203" t="s">
        <v>212</v>
      </c>
      <c r="AD1" s="203" t="s">
        <v>213</v>
      </c>
      <c r="AE1" s="203" t="s">
        <v>214</v>
      </c>
      <c r="AF1" s="203" t="s">
        <v>215</v>
      </c>
      <c r="AG1" s="203" t="s">
        <v>216</v>
      </c>
      <c r="AH1" s="203" t="s">
        <v>217</v>
      </c>
      <c r="AI1" s="203" t="s">
        <v>218</v>
      </c>
      <c r="AJ1" s="203" t="s">
        <v>219</v>
      </c>
      <c r="AK1" s="203" t="s">
        <v>220</v>
      </c>
      <c r="AL1" s="203" t="s">
        <v>221</v>
      </c>
      <c r="AM1" s="203" t="s">
        <v>222</v>
      </c>
      <c r="AN1" s="203" t="s">
        <v>223</v>
      </c>
      <c r="AO1" s="203" t="s">
        <v>224</v>
      </c>
    </row>
    <row r="2" spans="1:41" x14ac:dyDescent="0.15">
      <c r="A2" t="s">
        <v>38</v>
      </c>
      <c r="B2" s="11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1" x14ac:dyDescent="0.15">
      <c r="A3" t="s">
        <v>40</v>
      </c>
      <c r="B3" s="11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1" x14ac:dyDescent="0.15">
      <c r="A4" t="s">
        <v>41</v>
      </c>
      <c r="B4" s="11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1" x14ac:dyDescent="0.15">
      <c r="A5" s="202" t="s">
        <v>192</v>
      </c>
      <c r="B5" s="11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1" x14ac:dyDescent="0.15">
      <c r="A6" s="202" t="s">
        <v>193</v>
      </c>
      <c r="B6" s="11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1" x14ac:dyDescent="0.15">
      <c r="A7" s="202" t="s">
        <v>194</v>
      </c>
      <c r="B7" s="11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1" x14ac:dyDescent="0.15">
      <c r="A8" s="202" t="s">
        <v>195</v>
      </c>
      <c r="B8" s="11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1" x14ac:dyDescent="0.15">
      <c r="A9" s="202" t="s">
        <v>196</v>
      </c>
      <c r="B9" s="11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1" x14ac:dyDescent="0.15">
      <c r="A10" s="202" t="s">
        <v>197</v>
      </c>
      <c r="B10" s="11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1" x14ac:dyDescent="0.15">
      <c r="A11" s="202" t="s">
        <v>198</v>
      </c>
      <c r="B11" s="11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1" x14ac:dyDescent="0.15">
      <c r="A12" s="202" t="s">
        <v>199</v>
      </c>
      <c r="B12" s="11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1" x14ac:dyDescent="0.15">
      <c r="A13" s="202" t="s">
        <v>200</v>
      </c>
      <c r="B13" s="11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1" x14ac:dyDescent="0.15">
      <c r="A14" s="202" t="s">
        <v>201</v>
      </c>
      <c r="B14" s="11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1" x14ac:dyDescent="0.15">
      <c r="A15" s="202" t="s">
        <v>202</v>
      </c>
      <c r="B15" s="11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1" x14ac:dyDescent="0.15">
      <c r="A16" s="202" t="s">
        <v>203</v>
      </c>
      <c r="B16" s="11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2" t="s">
        <v>204</v>
      </c>
      <c r="B17" s="11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2" t="s">
        <v>205</v>
      </c>
      <c r="B18" s="11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2" t="s">
        <v>206</v>
      </c>
      <c r="B19" s="11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2" t="s">
        <v>207</v>
      </c>
      <c r="B20" s="11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2" t="s">
        <v>208</v>
      </c>
      <c r="B21" s="11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2" t="s">
        <v>209</v>
      </c>
      <c r="B22" s="11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2" t="s">
        <v>210</v>
      </c>
      <c r="B23" s="11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2" t="s">
        <v>211</v>
      </c>
      <c r="B24" s="11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2" t="s">
        <v>212</v>
      </c>
      <c r="B25" s="11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2" t="s">
        <v>213</v>
      </c>
      <c r="B26" s="11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2" t="s">
        <v>214</v>
      </c>
      <c r="B27" s="11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2" t="s">
        <v>215</v>
      </c>
      <c r="B28" s="11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2" t="s">
        <v>216</v>
      </c>
      <c r="B29" s="11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2" t="s">
        <v>217</v>
      </c>
      <c r="B30" s="11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2" t="s">
        <v>218</v>
      </c>
      <c r="B31" s="11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2" t="s">
        <v>219</v>
      </c>
      <c r="B32" s="11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2" t="s">
        <v>220</v>
      </c>
      <c r="B33" s="11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2" t="s">
        <v>221</v>
      </c>
      <c r="B34" s="11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2" t="s">
        <v>222</v>
      </c>
      <c r="B35" s="11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2" t="s">
        <v>223</v>
      </c>
      <c r="B36" s="112">
        <v>0</v>
      </c>
      <c r="C36"/>
      <c r="D36"/>
    </row>
    <row r="37" spans="1:38" ht="15" customHeight="1" x14ac:dyDescent="0.15">
      <c r="A37" s="202" t="s">
        <v>224</v>
      </c>
      <c r="B37" s="112">
        <v>0</v>
      </c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2022-10-23T22:37:55Z</dcterms:modified>
</cp:coreProperties>
</file>