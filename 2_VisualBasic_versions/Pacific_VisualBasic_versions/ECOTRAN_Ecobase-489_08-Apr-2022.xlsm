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0AD36391-BDBE-3641-ADEA-CDA5FC30BC79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Main!$C$2:$N$24</definedName>
    <definedName name="matDetritus">Detritus!$C$2:$E$24</definedName>
    <definedName name="matDiet">Diets!$B$2:$U$24</definedName>
    <definedName name="matDiscards">Discards!$C$2:$C$23</definedName>
    <definedName name="matFishery">Fishing!$C$2:$C$23</definedName>
    <definedName name="matFishing">Fishing!#REF!</definedName>
    <definedName name="matMort">Mortalities!$A$1:$Z$23</definedName>
    <definedName name="matOut">MainOutputs!$A$2:$I$24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<sst xmlns="http://schemas.openxmlformats.org/spreadsheetml/2006/main" count="767" uniqueCount="220">
  <si>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</si>
  <si>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</si>
  <si>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</si>
  <si>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</si>
  <si>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</si>
  <si>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</si>
  <si>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</si>
  <si>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</si>
  <si>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</si>
  <si>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</si>
  <si>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</si>
  <si>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</si>
  <si>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</si>
  <si>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</si>
  <si>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</si>
  <si>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</si>
  <si>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</si>
  <si>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</si>
  <si>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</si>
  <si>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</si>
  <si>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</si>
  <si>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</si>
  <si>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</si>
  <si>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</si>
  <si>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</si>
  <si>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</si>
  <si>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</si>
  <si>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</si>
  <si>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</si>
  <si>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</si>
  <si>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</si>
  <si>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</si>
  <si>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</si>
  <si>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</si>
  <si>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</si>
  <si>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</si>
  <si>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</si>
  <si>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</si>
  <si>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</si>
  <si>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</si>
  <si>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</si>
  <si>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</si>
  <si>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</si>
  <si>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</si>
  <si>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</si>
  <si>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</si>
  <si>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</si>
  <si>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</si>
  <si>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</si>
  <si>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</si>
  <si>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</si>
  <si>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</si>
  <si>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</si>
  <si>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</si>
  <si>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</si>
  <si>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</si>
  <si>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</si>
  <si>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</si>
  <si>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</si>
  <si>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</si>
  <si>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</si>
  <si>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</si>
  <si>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</si>
  <si>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</si>
  <si>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</si>
  <si>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</si>
  <si>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</si>
  <si>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</si>
  <si>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</si>
  <si>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</si>
  <si>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</si>
  <si>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</si>
  <si>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</si>
  <si>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</si>
  <si>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</si>
  <si>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</si>
  <si>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</si>
  <si>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</si>
  <si>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</si>
  <si>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</si>
  <si>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</si>
  <si>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</si>
  <si>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</si>
  <si>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</si>
  <si>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</si>
  <si>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</si>
  <si>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</si>
  <si>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</si>
  <si>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</si>
  <si>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</si>
  <si>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</si>
  <si>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</si>
  <si>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</si>
  <si>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</si>
  <si>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</si>
  <si>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</si>
  <si>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</si>
  <si>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</si>
  <si>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</si>
  <si>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</si>
  <si>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</si>
  <si>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</si>
  <si>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</si>
  <si>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</si>
  <si>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</si>
  <si>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</si>
  <si>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</si>
  <si>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</si>
  <si>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</si>
  <si>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</si>
  <si>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</si>
  <si>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</si>
  <si>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</si>
  <si>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</si>
  <si>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</si>
  <si>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</si>
  <si>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</si>
  <si>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</si>
  <si>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</si>
  <si>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</si>
  <si>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</si>
  <si>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</si>
  <si>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</si>
  <si>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</si>
  <si>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</si>
  <si>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</si>
  <si>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</si>
  <si>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</si>
  <si>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</si>
  <si>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</si>
  <si>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</si>
  <si>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</si>
  <si>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</si>
  <si>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</si>
  <si>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</si>
  <si>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</si>
  <si>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</si>
  <si>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</si>
  <si>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</si>
  <si>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</si>
  <si>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</si>
  <si>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</si>
  <si>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</si>
  <si>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</si>
  <si>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</si>
  <si>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</si>
  <si>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</si>
  <si>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</si>
  <si>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</si>
  <si>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</si>
  <si>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</si>
  <si>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</si>
  <si>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</si>
  <si>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</si>
  <si>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</si>
  <si>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</si>
  <si>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</si>
  <si>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</si>
  <si>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</si>
  <si>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</si>
  <si>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</si>
  <si>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</si>
  <si>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</si>
  <si>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</si>
  <si>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</si>
  <si>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</si>
  <si>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cephalopods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</si>
  <si>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</si>
  <si>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</si>
  <si>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</si>
  <si>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</si>
  <si>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</si>
  <si>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</si>
  <si>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</si>
  <si>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</si>
  <si>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</si>
  <si>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</si>
  <si>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</si>
  <si>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</si>
  <si>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</si>
  <si>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</si>
  <si>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</si>
  <si>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</si>
  <si>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</si>
  <si>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</si>
  <si>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</si>
  <si>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Sechura Bay</t>
  </si>
  <si>
    <t>Peru</t>
  </si>
  <si>
    <t>BOX(-81.074668614433 -5.87793463502198,-80.8589030902542 -5.51341151342793)</t>
  </si>
  <si>
    <t>bay/fjord</t>
  </si>
  <si>
    <t>WetWeight</t>
  </si>
  <si>
    <t>No description</t>
  </si>
  <si>
    <t>Taylor M.H.,Wolff M.,Vadas F.,Yamashiro C.(2008). Trophic and environmental drivers of the Sechura Bay Ecosystem (Peru) over an ENSO cycle Helgoland Marine Research. pp 15-32</t>
  </si>
  <si>
    <t>Phytoplankton</t>
  </si>
  <si>
    <t>Macroalgae</t>
  </si>
  <si>
    <t>Zooplankton</t>
  </si>
  <si>
    <t>Polychates</t>
  </si>
  <si>
    <t>Scallops</t>
  </si>
  <si>
    <t>Sea urchins</t>
  </si>
  <si>
    <t>Herbivorous gastropods</t>
  </si>
  <si>
    <t>Benthic detrivores</t>
  </si>
  <si>
    <t>Misc. filter feeders</t>
  </si>
  <si>
    <t>Pedratory gastropods</t>
  </si>
  <si>
    <t>Small carnivores</t>
  </si>
  <si>
    <t>Predatory crabs</t>
  </si>
  <si>
    <t>sea stars</t>
  </si>
  <si>
    <t>octopus</t>
  </si>
  <si>
    <t>littoral fish</t>
  </si>
  <si>
    <t>small pelagic fish</t>
  </si>
  <si>
    <t>pelagic predatory fish</t>
  </si>
  <si>
    <t>marine mammals</t>
  </si>
  <si>
    <t xml:space="preserve">sea birds 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</si>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</sst>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8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FFF400"/>
        <bgColor indexed="64"/>
      </patternFill>
    </fill>
    <fill>
      <patternFill patternType="solid">
        <fgColor rgb="FFFFA3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FF9D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EA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0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8" borderId="2" xfId="0" applyFont="1" applyFill="1" applyBorder="1" applyAlignment="1">
      <alignment horizontal="center"/>
    </xf>
    <xf numFmtId="0" fontId="1" fillId="18" borderId="4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8" borderId="5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8" borderId="8" xfId="0" applyFill="1" applyBorder="1"/>
    <xf numFmtId="0" fontId="0" fillId="18" borderId="9" xfId="0" applyFill="1" applyBorder="1"/>
    <xf numFmtId="0" fontId="0" fillId="18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4" borderId="0" xfId="0" applyFill="1"/>
    <xf numFmtId="0" fontId="0" fillId="25" borderId="0" xfId="0" applyFill="1"/>
    <xf numFmtId="0" fontId="1" fillId="0" borderId="0" xfId="0" applyFont="1" applyAlignment="1">
      <alignment horizontal="center"/>
    </xf>
    <xf numFmtId="0" fontId="0" fillId="2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28" borderId="0" xfId="0" applyFill="1"/>
    <xf numFmtId="0" fontId="0" fillId="2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7" borderId="3" xfId="0" applyNumberFormat="1" applyFont="1" applyFill="1" applyBorder="1"/>
    <xf numFmtId="0" fontId="0" fillId="27" borderId="2" xfId="0" applyFont="1" applyFill="1" applyBorder="1"/>
    <xf numFmtId="0" fontId="0" fillId="27" borderId="3" xfId="0" applyFont="1" applyFill="1" applyBorder="1"/>
    <xf numFmtId="0" fontId="0" fillId="2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0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8" borderId="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8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1" borderId="0" xfId="0" applyFill="1"/>
    <xf numFmtId="0" fontId="0" fillId="32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52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5" t="s">
        <v>164</v>
      </c>
    </row>
    <row r="6" spans="2:4" ht="14" thickBot="1" x14ac:dyDescent="0.2">
      <c r="B6" s="39" t="s">
        <v>141</v>
      </c>
    </row>
    <row r="7" spans="2:4" x14ac:dyDescent="0.15">
      <c r="B7" s="55" t="s">
        <v>143</v>
      </c>
    </row>
    <row r="8" spans="2:4" x14ac:dyDescent="0.15">
      <c r="B8" s="55" t="s">
        <v>142</v>
      </c>
    </row>
    <row r="9" spans="2:4" x14ac:dyDescent="0.15">
      <c r="B9" s="55" t="s">
        <v>144</v>
      </c>
    </row>
    <row r="10" spans="2:4" x14ac:dyDescent="0.15">
      <c r="B10" s="55" t="s">
        <v>147</v>
      </c>
    </row>
    <row r="11" spans="2:4" x14ac:dyDescent="0.15">
      <c r="B11" s="55" t="s">
        <v>151</v>
      </c>
    </row>
    <row r="12" spans="2:4" x14ac:dyDescent="0.15">
      <c r="B12" s="55" t="s">
        <v>153</v>
      </c>
    </row>
    <row r="13" spans="2:4" x14ac:dyDescent="0.15">
      <c r="B13" s="55" t="s">
        <v>165</v>
      </c>
    </row>
    <row r="15" spans="2:4" ht="14" thickBot="1" x14ac:dyDescent="0.2"/>
    <row r="16" spans="2:4" ht="14" thickBot="1" x14ac:dyDescent="0.2">
      <c r="B16" s="40" t="s">
        <v>137</v>
      </c>
      <c r="C16" s="41"/>
      <c r="D16" s="23">
        <v>41373</v>
      </c>
    </row>
    <row r="17" spans="2:4" x14ac:dyDescent="0.15">
      <c r="B17" s="42" t="s">
        <v>58</v>
      </c>
      <c r="C17" s="26">
        <v>0</v>
      </c>
    </row>
    <row r="18" spans="2:4" x14ac:dyDescent="0.15">
      <c r="B18" s="42" t="s">
        <v>59</v>
      </c>
      <c r="C18" s="26">
        <v>1</v>
      </c>
    </row>
    <row r="19" spans="2:4" x14ac:dyDescent="0.15">
      <c r="B19" s="42" t="s">
        <v>60</v>
      </c>
      <c r="C19" s="26">
        <v>2</v>
      </c>
    </row>
    <row r="20" spans="2:4" ht="14" thickBot="1" x14ac:dyDescent="0.2">
      <c r="B20" s="43" t="s">
        <v>44</v>
      </c>
      <c r="C20" s="27">
        <v>3</v>
      </c>
    </row>
    <row r="21" spans="2:4" x14ac:dyDescent="0.15">
      <c r="B21" s="44" t="s">
        <v>140</v>
      </c>
    </row>
    <row r="22" spans="2:4" ht="14" thickBot="1" x14ac:dyDescent="0.2"/>
    <row r="23" spans="2:4" ht="14" thickBot="1" x14ac:dyDescent="0.2">
      <c r="B23" s="40" t="s">
        <v>65</v>
      </c>
      <c r="C23" s="41"/>
      <c r="D23" s="23" t="s">
        <v>148</v>
      </c>
    </row>
    <row r="24" spans="2:4" x14ac:dyDescent="0.15">
      <c r="B24" s="46" t="s">
        <v>38</v>
      </c>
      <c r="C24" s="24">
        <v>1</v>
      </c>
    </row>
    <row r="25" spans="2:4" x14ac:dyDescent="0.15">
      <c r="B25" s="42" t="s">
        <v>40</v>
      </c>
      <c r="C25" s="26">
        <v>1.1000000000000001</v>
      </c>
    </row>
    <row r="26" spans="2:4" x14ac:dyDescent="0.15">
      <c r="B26" s="42" t="s">
        <v>41</v>
      </c>
      <c r="C26" s="26">
        <v>1.2</v>
      </c>
    </row>
    <row r="27" spans="2:4" x14ac:dyDescent="0.15">
      <c r="B27" s="42"/>
      <c r="C27" s="26"/>
    </row>
    <row r="28" spans="2:4" x14ac:dyDescent="0.15">
      <c r="B28" s="42" t="s">
        <v>42</v>
      </c>
      <c r="C28" s="26">
        <v>2.1</v>
      </c>
    </row>
    <row r="29" spans="2:4" x14ac:dyDescent="0.15">
      <c r="B29" s="42" t="s">
        <v>43</v>
      </c>
      <c r="C29" s="26">
        <v>2.2000000000000002</v>
      </c>
    </row>
    <row r="30" spans="2:4" x14ac:dyDescent="0.15">
      <c r="B30" s="42" t="s">
        <v>67</v>
      </c>
      <c r="C30" s="26">
        <v>2.2999999999999998</v>
      </c>
    </row>
    <row r="31" spans="2:4" x14ac:dyDescent="0.15">
      <c r="B31" s="42"/>
      <c r="C31" s="26"/>
    </row>
    <row r="32" spans="2:4" x14ac:dyDescent="0.15">
      <c r="B32" s="42" t="s">
        <v>62</v>
      </c>
      <c r="C32" s="26">
        <v>3.11</v>
      </c>
    </row>
    <row r="33" spans="2:3" x14ac:dyDescent="0.15">
      <c r="B33" s="42" t="s">
        <v>61</v>
      </c>
      <c r="C33" s="26">
        <v>3.12</v>
      </c>
    </row>
    <row r="34" spans="2:3" x14ac:dyDescent="0.15">
      <c r="B34" s="42" t="s">
        <v>68</v>
      </c>
      <c r="C34" s="26">
        <v>3.13</v>
      </c>
    </row>
    <row r="35" spans="2:3" x14ac:dyDescent="0.15">
      <c r="B35" s="42"/>
      <c r="C35" s="26"/>
    </row>
    <row r="36" spans="2:3" x14ac:dyDescent="0.15">
      <c r="B36" s="42" t="s">
        <v>66</v>
      </c>
      <c r="C36" s="26">
        <v>3.21</v>
      </c>
    </row>
    <row r="37" spans="2:3" x14ac:dyDescent="0.15">
      <c r="B37" s="42" t="s">
        <v>63</v>
      </c>
      <c r="C37" s="26">
        <v>3.22</v>
      </c>
    </row>
    <row r="38" spans="2:3" x14ac:dyDescent="0.15">
      <c r="B38" s="42" t="s">
        <v>69</v>
      </c>
      <c r="C38" s="26">
        <v>3.23</v>
      </c>
    </row>
    <row r="39" spans="2:3" x14ac:dyDescent="0.15">
      <c r="B39" s="42"/>
      <c r="C39" s="26"/>
    </row>
    <row r="40" spans="2:3" x14ac:dyDescent="0.15">
      <c r="B40" s="42" t="s">
        <v>64</v>
      </c>
      <c r="C40" s="26">
        <v>8</v>
      </c>
    </row>
    <row r="41" spans="2:3" x14ac:dyDescent="0.15">
      <c r="B41" s="42"/>
      <c r="C41" s="26"/>
    </row>
    <row r="42" spans="2:3" x14ac:dyDescent="0.15">
      <c r="B42" s="42" t="s">
        <v>71</v>
      </c>
      <c r="C42" s="26">
        <v>4.0999999999999996</v>
      </c>
    </row>
    <row r="43" spans="2:3" x14ac:dyDescent="0.15">
      <c r="B43" s="42" t="s">
        <v>70</v>
      </c>
      <c r="C43" s="26">
        <v>4.2</v>
      </c>
    </row>
    <row r="44" spans="2:3" x14ac:dyDescent="0.15">
      <c r="B44" s="42" t="s">
        <v>72</v>
      </c>
      <c r="C44" s="26">
        <v>4.3</v>
      </c>
    </row>
    <row r="45" spans="2:3" x14ac:dyDescent="0.15">
      <c r="B45" s="25"/>
      <c r="C45" s="26"/>
    </row>
    <row r="46" spans="2:3" x14ac:dyDescent="0.15">
      <c r="B46" s="42" t="s">
        <v>138</v>
      </c>
      <c r="C46" s="26">
        <v>6.1</v>
      </c>
    </row>
    <row r="47" spans="2:3" x14ac:dyDescent="0.15">
      <c r="B47" s="42" t="s">
        <v>45</v>
      </c>
      <c r="C47" s="26">
        <v>6.2</v>
      </c>
    </row>
    <row r="48" spans="2:3" x14ac:dyDescent="0.15">
      <c r="B48" s="42"/>
      <c r="C48" s="26"/>
    </row>
    <row r="49" spans="2:4" x14ac:dyDescent="0.15">
      <c r="B49" s="42" t="s">
        <v>44</v>
      </c>
      <c r="C49" s="26">
        <v>5</v>
      </c>
    </row>
    <row r="50" spans="2:4" x14ac:dyDescent="0.15">
      <c r="B50" s="42"/>
      <c r="C50" s="26"/>
    </row>
    <row r="51" spans="2:4" ht="14" thickBot="1" x14ac:dyDescent="0.2">
      <c r="B51" s="43" t="s">
        <v>73</v>
      </c>
      <c r="C51" s="27">
        <v>7</v>
      </c>
    </row>
    <row r="53" spans="2:4" x14ac:dyDescent="0.15">
      <c r="B53" s="151" t="s">
        <v>172</v>
      </c>
      <c r="C53" s="95">
        <v>489</v>
      </c>
      <c r="D53" s="95"/>
    </row>
    <row r="54" spans="2:4" x14ac:dyDescent="0.15">
      <c r="B54" s="151" t="s">
        <v>173</v>
      </c>
      <c r="C54" s="151" t="s">
        <v>186</v>
      </c>
      <c r="D54" s="95"/>
    </row>
    <row r="55" spans="2:4" x14ac:dyDescent="0.15">
      <c r="B55" s="151" t="s">
        <v>174</v>
      </c>
      <c r="C55" s="151" t="s">
        <v>187</v>
      </c>
      <c r="D55" s="95"/>
    </row>
    <row r="56" spans="2:4" x14ac:dyDescent="0.15">
      <c r="B56" s="151" t="s">
        <v>175</v>
      </c>
      <c r="C56" s="95">
        <v>400</v>
      </c>
      <c r="D56" s="95"/>
    </row>
    <row r="57" spans="2:4" x14ac:dyDescent="0.15">
      <c r="B57" s="151" t="s">
        <v>176</v>
      </c>
      <c r="C57" s="151" t="s">
        <v>188</v>
      </c>
      <c r="D57" s="95"/>
    </row>
    <row r="58" spans="2:4" x14ac:dyDescent="0.15">
      <c r="B58" s="151" t="s">
        <v>177</v>
      </c>
      <c r="C58" s="151" t="s">
        <v>189</v>
      </c>
      <c r="D58" s="95"/>
    </row>
    <row r="59" spans="2:4" x14ac:dyDescent="0.15">
      <c r="B59" s="151" t="s">
        <v>178</v>
      </c>
      <c r="C59" s="151" t="s">
        <v>190</v>
      </c>
      <c r="D59" s="95"/>
    </row>
    <row r="60" spans="2:4" x14ac:dyDescent="0.15">
      <c r="B60" s="151" t="s">
        <v>179</v>
      </c>
      <c r="C60" s="151" t="s">
        <v>191</v>
      </c>
      <c r="D60" s="95"/>
    </row>
    <row r="61" spans="2:4" x14ac:dyDescent="0.15">
      <c r="B61" s="151" t="s">
        <v>180</v>
      </c>
      <c r="C61" s="95">
        <v>21</v>
      </c>
      <c r="D61" s="95"/>
    </row>
    <row r="62" spans="2:4" x14ac:dyDescent="0.15">
      <c r="B62" s="151" t="s">
        <v>181</v>
      </c>
      <c r="C62" s="95">
        <v>1</v>
      </c>
      <c r="D62" s="95"/>
    </row>
    <row r="63" spans="2:4" x14ac:dyDescent="0.15">
      <c r="B63" s="151" t="s">
        <v>182</v>
      </c>
      <c r="C63" s="95">
        <v>1996</v>
      </c>
      <c r="D63" s="95"/>
    </row>
    <row r="64" spans="2:4" x14ac:dyDescent="0.15">
      <c r="B64" s="151" t="s">
        <v>183</v>
      </c>
      <c r="C64" s="95">
        <v>1</v>
      </c>
      <c r="D64" s="95"/>
    </row>
    <row r="65" spans="2:4" x14ac:dyDescent="0.15">
      <c r="B65" s="151" t="s">
        <v>184</v>
      </c>
      <c r="C65" s="151" t="s">
        <v>192</v>
      </c>
      <c r="D65" s="95"/>
    </row>
    <row r="66" spans="2:4" x14ac:dyDescent="0.15">
      <c r="B66" s="151" t="s">
        <v>185</v>
      </c>
      <c r="D66" s="95"/>
    </row>
    <row r="67" spans="2:4" x14ac:dyDescent="0.15">
      <c r="B67" s="95"/>
      <c r="C67" s="95"/>
      <c r="D67" s="95"/>
    </row>
    <row r="68" spans="2:4" x14ac:dyDescent="0.15">
      <c r="B68" s="95"/>
      <c r="C68" s="95"/>
      <c r="D68" s="95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70" customWidth="1"/>
    <col min="2" max="3" width="3.33203125" style="70" customWidth="1"/>
    <col min="4" max="4" width="14.33203125" style="70" customWidth="1"/>
    <col min="5" max="5" width="21.6640625" style="70" bestFit="1" customWidth="1"/>
    <col min="6" max="6" width="2.33203125" style="70" bestFit="1" customWidth="1"/>
    <col min="7" max="7" width="7.83203125" style="70" bestFit="1" customWidth="1"/>
    <col min="8" max="9" width="7.83203125" style="70" customWidth="1"/>
    <col min="10" max="10" width="11.83203125" style="70" customWidth="1"/>
    <col min="11" max="11" width="12.83203125" style="70" customWidth="1"/>
    <col min="12" max="12" width="2.33203125" style="70" customWidth="1"/>
    <col min="13" max="13" width="3.83203125" style="70" customWidth="1"/>
    <col min="14" max="14" width="2.33203125" style="70" customWidth="1"/>
    <col min="16" max="25" width="8.83203125" style="7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0"/>
  </cols>
  <sheetData>
    <row r="1" spans="1:46" s="87" customFormat="1" ht="15" customHeight="1" x14ac:dyDescent="0.15">
      <c r="A1" s="66" t="s">
        <v>18</v>
      </c>
      <c r="C1" s="67" t="s">
        <v>8</v>
      </c>
      <c r="D1" s="66" t="s">
        <v>23</v>
      </c>
      <c r="E1" s="66" t="s">
        <v>0</v>
      </c>
      <c r="F1" s="66" t="s">
        <v>7</v>
      </c>
      <c r="G1" s="68" t="s">
        <v>13</v>
      </c>
      <c r="H1" s="66" t="s">
        <v>1</v>
      </c>
      <c r="I1" s="66" t="s">
        <v>2</v>
      </c>
      <c r="J1" s="66" t="s">
        <v>14</v>
      </c>
      <c r="K1" s="66" t="s">
        <v>3</v>
      </c>
      <c r="L1" s="66" t="s">
        <v>4</v>
      </c>
      <c r="M1" s="66" t="s">
        <v>5</v>
      </c>
      <c r="N1" s="6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7">
        <v>1</v>
      </c>
      <c r="D2"/>
      <c r="E2" s="152" t="s">
        <v>193</v>
      </c>
      <c r="F2" s="70">
        <v>1</v>
      </c>
      <c r="G2" s="70">
        <v>21.335000000000001</v>
      </c>
      <c r="H2" s="70">
        <v>343.88600000000002</v>
      </c>
      <c r="I2" s="6">
        <v>0</v>
      </c>
      <c r="J2" s="6">
        <v>0.69360120000000003</v>
      </c>
      <c r="K2" s="6">
        <v>0</v>
      </c>
      <c r="L2" s="6">
        <v>0</v>
      </c>
      <c r="M2" s="70">
        <v>0</v>
      </c>
      <c r="N2" s="70">
        <v>0</v>
      </c>
    </row>
    <row r="3" spans="1:46" ht="15" customHeight="1" x14ac:dyDescent="0.15">
      <c r="A3" s="1" t="s">
        <v>9</v>
      </c>
      <c r="B3" s="4">
        <v>20</v>
      </c>
      <c r="C3" s="70">
        <v>2</v>
      </c>
      <c r="D3"/>
      <c r="E3" s="152" t="s">
        <v>194</v>
      </c>
      <c r="F3" s="70">
        <v>1</v>
      </c>
      <c r="G3" s="70">
        <v>284.60700000000003</v>
      </c>
      <c r="H3" s="70">
        <v>16.091999999999999</v>
      </c>
      <c r="I3" s="70">
        <v>0</v>
      </c>
      <c r="J3" s="70">
        <v>4.2386689999999998E-2</v>
      </c>
      <c r="K3" s="70">
        <v>0</v>
      </c>
      <c r="L3" s="70">
        <v>0</v>
      </c>
      <c r="M3" s="70">
        <v>0</v>
      </c>
      <c r="N3" s="70">
        <v>0</v>
      </c>
    </row>
    <row r="4" spans="1:46" ht="15" customHeight="1" x14ac:dyDescent="0.15">
      <c r="A4" s="1" t="s">
        <v>10</v>
      </c>
      <c r="B4" s="4">
        <v>2</v>
      </c>
      <c r="C4" s="70">
        <v>3</v>
      </c>
      <c r="D4"/>
      <c r="E4" s="152" t="s">
        <v>195</v>
      </c>
      <c r="F4" s="70">
        <v>0</v>
      </c>
      <c r="G4" s="70">
        <v>27.873999999999999</v>
      </c>
      <c r="H4" s="70">
        <v>40.058999999999997</v>
      </c>
      <c r="I4" s="70">
        <v>157.88300000000001</v>
      </c>
      <c r="J4" s="70">
        <v>0.77467209999999997</v>
      </c>
      <c r="K4" s="70">
        <v>0.253725857</v>
      </c>
      <c r="L4" s="70">
        <v>0</v>
      </c>
      <c r="M4" s="70">
        <v>0.2</v>
      </c>
      <c r="N4" s="7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0">
        <v>4</v>
      </c>
      <c r="D5"/>
      <c r="E5" s="152" t="s">
        <v>196</v>
      </c>
      <c r="F5" s="70">
        <v>0</v>
      </c>
      <c r="G5" s="70">
        <v>45.896999999999998</v>
      </c>
      <c r="H5" s="70">
        <v>1.091</v>
      </c>
      <c r="I5" s="70">
        <v>4.4740000000000002</v>
      </c>
      <c r="J5" s="70">
        <v>0.81267800000000001</v>
      </c>
      <c r="K5" s="70">
        <v>0.24385335999999999</v>
      </c>
      <c r="L5" s="70">
        <v>0</v>
      </c>
      <c r="M5" s="70">
        <v>0.2</v>
      </c>
      <c r="N5" s="70">
        <v>0</v>
      </c>
      <c r="P5" s="61"/>
      <c r="Q5" s="61"/>
      <c r="R5" s="61"/>
    </row>
    <row r="6" spans="1:46" ht="15" customHeight="1" thickBot="1" x14ac:dyDescent="0.2">
      <c r="B6" s="1"/>
      <c r="C6" s="70">
        <v>5</v>
      </c>
      <c r="D6"/>
      <c r="E6" s="152" t="s">
        <v>197</v>
      </c>
      <c r="F6" s="70">
        <v>0</v>
      </c>
      <c r="G6" s="70">
        <v>23.689</v>
      </c>
      <c r="H6" s="70">
        <v>1.3640000000000001</v>
      </c>
      <c r="I6" s="70">
        <v>10.555999999999999</v>
      </c>
      <c r="J6" s="70">
        <v>0.82065299999999997</v>
      </c>
      <c r="K6" s="70">
        <v>0.12921561300000001</v>
      </c>
      <c r="L6" s="70">
        <v>0</v>
      </c>
      <c r="M6" s="70">
        <v>0.2</v>
      </c>
      <c r="N6" s="70">
        <v>0</v>
      </c>
      <c r="P6" s="61"/>
      <c r="Q6" s="61"/>
      <c r="R6" s="61"/>
      <c r="W6" s="29" t="s">
        <v>31</v>
      </c>
      <c r="X6" s="45">
        <f>MAX(MainOutputs!G:G)</f>
        <v>0.90405726432800293</v>
      </c>
    </row>
    <row r="7" spans="1:46" ht="15" customHeight="1" x14ac:dyDescent="0.15">
      <c r="A7" s="2" t="s">
        <v>27</v>
      </c>
      <c r="B7" s="70">
        <f ca="1">COUNTIF(OFFSET(cornerDiets,1,1,NumLiving+NumDead+1,NumLiving+NumDead),"&gt;0")+NumLiving+NumDead+1</f>
        <v>104</v>
      </c>
      <c r="C7" s="70">
        <v>6</v>
      </c>
      <c r="D7"/>
      <c r="E7" s="152" t="s">
        <v>198</v>
      </c>
      <c r="F7" s="70">
        <v>0</v>
      </c>
      <c r="G7" s="70">
        <v>22.797999999999998</v>
      </c>
      <c r="H7" s="70">
        <v>0.59699999999999998</v>
      </c>
      <c r="I7" s="70">
        <v>2.786</v>
      </c>
      <c r="J7" s="70">
        <v>0.64263859999999995</v>
      </c>
      <c r="K7" s="70">
        <v>0.21428571599999999</v>
      </c>
      <c r="L7" s="70">
        <v>0</v>
      </c>
      <c r="M7" s="70">
        <v>0.2</v>
      </c>
      <c r="N7" s="70">
        <v>0</v>
      </c>
      <c r="P7" s="61"/>
      <c r="Q7" s="61"/>
      <c r="R7" s="61"/>
    </row>
    <row r="8" spans="1:46" ht="15" customHeight="1" x14ac:dyDescent="0.15">
      <c r="A8" s="2" t="s">
        <v>28</v>
      </c>
      <c r="B8" s="70">
        <f ca="1">COUNTIF(OFFSET(cornerFishing,1,2,NumLiving+NumDead,NumGears),"&gt;0")+NumDead*COUNTIF(OFFSET(cornerDiscards,1,2,NumLiving+NumDead,NumGears),"&gt;0")+NumLiving+NumDead+1</f>
        <v>33</v>
      </c>
      <c r="C8" s="70">
        <v>7</v>
      </c>
      <c r="D8"/>
      <c r="E8" s="152" t="s">
        <v>199</v>
      </c>
      <c r="F8" s="70">
        <v>0</v>
      </c>
      <c r="G8" s="70">
        <v>25.257999999999999</v>
      </c>
      <c r="H8" s="70">
        <v>1.2350000000000001</v>
      </c>
      <c r="I8" s="70">
        <v>4.1159999999999997</v>
      </c>
      <c r="J8" s="70">
        <v>0.65082943400000004</v>
      </c>
      <c r="K8" s="70">
        <v>0.3000486</v>
      </c>
      <c r="L8" s="70">
        <v>0</v>
      </c>
      <c r="M8" s="70">
        <v>0.2</v>
      </c>
      <c r="N8" s="70">
        <v>0</v>
      </c>
      <c r="P8" s="61"/>
      <c r="Q8" s="61"/>
      <c r="R8" s="61"/>
    </row>
    <row r="9" spans="1:46" ht="15" customHeight="1" x14ac:dyDescent="0.15">
      <c r="B9" s="1"/>
      <c r="C9" s="70">
        <v>8</v>
      </c>
      <c r="D9"/>
      <c r="E9" s="152" t="s">
        <v>200</v>
      </c>
      <c r="F9" s="70">
        <v>0</v>
      </c>
      <c r="G9" s="70">
        <v>36.795000000000002</v>
      </c>
      <c r="H9" s="70">
        <v>1.302</v>
      </c>
      <c r="I9" s="70">
        <v>6.806</v>
      </c>
      <c r="J9" s="70">
        <v>0.89234570000000002</v>
      </c>
      <c r="K9" s="70">
        <v>0.19130179999999999</v>
      </c>
      <c r="L9" s="70">
        <v>0</v>
      </c>
      <c r="M9" s="70">
        <v>0.2</v>
      </c>
      <c r="N9" s="70">
        <v>0</v>
      </c>
      <c r="P9" s="61"/>
      <c r="Q9" s="61"/>
      <c r="R9" s="61"/>
    </row>
    <row r="10" spans="1:46" ht="15" customHeight="1" x14ac:dyDescent="0.15">
      <c r="B10" s="1"/>
      <c r="C10" s="70">
        <v>9</v>
      </c>
      <c r="D10"/>
      <c r="E10" s="152" t="s">
        <v>201</v>
      </c>
      <c r="F10" s="70">
        <v>0</v>
      </c>
      <c r="G10" s="70">
        <v>22.064</v>
      </c>
      <c r="H10" s="70">
        <v>1.0940000000000001</v>
      </c>
      <c r="I10" s="70">
        <v>5.0439999999999996</v>
      </c>
      <c r="J10" s="70">
        <v>0.73128439999999995</v>
      </c>
      <c r="K10" s="70">
        <v>0.21689134800000001</v>
      </c>
      <c r="L10" s="70">
        <v>0</v>
      </c>
      <c r="M10" s="70">
        <v>0.2</v>
      </c>
      <c r="N10" s="70">
        <v>0</v>
      </c>
    </row>
    <row r="11" spans="1:46" ht="15" customHeight="1" x14ac:dyDescent="0.15">
      <c r="C11" s="70">
        <v>10</v>
      </c>
      <c r="D11"/>
      <c r="E11" s="152" t="s">
        <v>202</v>
      </c>
      <c r="F11" s="70">
        <v>0</v>
      </c>
      <c r="G11" s="70">
        <v>37.296999999999997</v>
      </c>
      <c r="H11" s="70">
        <v>1.5109999999999999</v>
      </c>
      <c r="I11" s="70">
        <v>3.8809999999999998</v>
      </c>
      <c r="J11" s="70">
        <v>0.78080260000000001</v>
      </c>
      <c r="K11" s="70">
        <v>0.389332652</v>
      </c>
      <c r="L11" s="70">
        <v>0</v>
      </c>
      <c r="M11" s="70">
        <v>0.2</v>
      </c>
      <c r="N11" s="70">
        <v>0</v>
      </c>
    </row>
    <row r="12" spans="1:46" ht="15" customHeight="1" x14ac:dyDescent="0.15">
      <c r="C12" s="70">
        <v>11</v>
      </c>
      <c r="D12"/>
      <c r="E12" s="152" t="s">
        <v>203</v>
      </c>
      <c r="F12" s="70">
        <v>0</v>
      </c>
      <c r="G12" s="70">
        <v>14.669</v>
      </c>
      <c r="H12" s="70">
        <v>0.53700000000000003</v>
      </c>
      <c r="I12" s="70">
        <v>2.677</v>
      </c>
      <c r="J12" s="70">
        <v>0.65825134500000004</v>
      </c>
      <c r="K12" s="70">
        <v>0.200597674</v>
      </c>
      <c r="L12" s="70">
        <v>0</v>
      </c>
      <c r="M12" s="70">
        <v>0.2</v>
      </c>
      <c r="N12" s="70">
        <v>0</v>
      </c>
    </row>
    <row r="13" spans="1:46" ht="15" customHeight="1" x14ac:dyDescent="0.15">
      <c r="C13" s="70">
        <v>12</v>
      </c>
      <c r="D13"/>
      <c r="E13" s="152" t="s">
        <v>204</v>
      </c>
      <c r="F13" s="70">
        <v>0</v>
      </c>
      <c r="G13" s="70">
        <v>7.3789999999999996</v>
      </c>
      <c r="H13" s="70">
        <v>2.0019999999999998</v>
      </c>
      <c r="I13" s="70">
        <v>8.7029999999999994</v>
      </c>
      <c r="J13" s="70">
        <v>0.69601389999999996</v>
      </c>
      <c r="K13" s="70">
        <v>0.23003563299999999</v>
      </c>
      <c r="L13" s="70">
        <v>0</v>
      </c>
      <c r="M13" s="70">
        <v>0.2</v>
      </c>
      <c r="N13" s="70">
        <v>0</v>
      </c>
    </row>
    <row r="14" spans="1:46" ht="15" customHeight="1" x14ac:dyDescent="0.15">
      <c r="C14" s="70">
        <v>13</v>
      </c>
      <c r="D14"/>
      <c r="E14" s="152" t="s">
        <v>205</v>
      </c>
      <c r="F14" s="70">
        <v>0</v>
      </c>
      <c r="G14" s="70">
        <v>1.0329999999999999</v>
      </c>
      <c r="H14" s="70">
        <v>0.73099999999999998</v>
      </c>
      <c r="I14" s="70">
        <v>3.67</v>
      </c>
      <c r="J14" s="70">
        <v>0.68036010000000002</v>
      </c>
      <c r="K14" s="70">
        <v>0.19918255500000001</v>
      </c>
      <c r="L14" s="70">
        <v>0</v>
      </c>
      <c r="M14" s="70">
        <v>0.2</v>
      </c>
      <c r="N14" s="70">
        <v>0</v>
      </c>
    </row>
    <row r="15" spans="1:46" ht="15" customHeight="1" x14ac:dyDescent="0.15">
      <c r="C15" s="70">
        <v>14</v>
      </c>
      <c r="D15"/>
      <c r="E15" s="152" t="s">
        <v>206</v>
      </c>
      <c r="F15" s="70">
        <v>0</v>
      </c>
      <c r="G15" s="70">
        <v>1.4999999999999999E-2</v>
      </c>
      <c r="H15" s="70">
        <v>4.9109999999999996</v>
      </c>
      <c r="I15" s="70">
        <v>12.798999999999999</v>
      </c>
      <c r="J15" s="70">
        <v>0.90405726399999997</v>
      </c>
      <c r="K15" s="70">
        <v>0.38370183099999999</v>
      </c>
      <c r="L15" s="70">
        <v>0</v>
      </c>
      <c r="M15" s="70">
        <v>0.2</v>
      </c>
      <c r="N15" s="70">
        <v>0</v>
      </c>
    </row>
    <row r="16" spans="1:46" ht="15" customHeight="1" x14ac:dyDescent="0.15">
      <c r="C16" s="70">
        <v>15</v>
      </c>
      <c r="D16"/>
      <c r="E16" s="152" t="s">
        <v>207</v>
      </c>
      <c r="F16" s="70">
        <v>0</v>
      </c>
      <c r="G16" s="70">
        <v>2.613</v>
      </c>
      <c r="H16" s="70">
        <v>1.1950000000000001</v>
      </c>
      <c r="I16" s="70">
        <v>14.3</v>
      </c>
      <c r="J16" s="70">
        <v>0.69813436299999998</v>
      </c>
      <c r="K16" s="70">
        <v>8.3566434699999997E-2</v>
      </c>
      <c r="L16" s="70">
        <v>0</v>
      </c>
      <c r="M16" s="70">
        <v>0.2</v>
      </c>
      <c r="N16" s="70">
        <v>0</v>
      </c>
    </row>
    <row r="17" spans="1:22" ht="15" customHeight="1" x14ac:dyDescent="0.15">
      <c r="C17" s="70">
        <v>16</v>
      </c>
      <c r="D17"/>
      <c r="E17" s="152" t="s">
        <v>208</v>
      </c>
      <c r="F17" s="70">
        <v>0</v>
      </c>
      <c r="G17" s="70">
        <v>82.134</v>
      </c>
      <c r="H17" s="70">
        <v>1.7270000000000001</v>
      </c>
      <c r="I17" s="70">
        <v>18.706</v>
      </c>
      <c r="J17" s="70">
        <v>0.64085173600000001</v>
      </c>
      <c r="K17" s="70">
        <v>9.232332E-2</v>
      </c>
      <c r="L17" s="70">
        <v>0</v>
      </c>
      <c r="M17" s="70">
        <v>0.2</v>
      </c>
      <c r="N17" s="70">
        <v>0</v>
      </c>
      <c r="V17" s="1" t="s">
        <v>30</v>
      </c>
    </row>
    <row r="18" spans="1:22" ht="15" customHeight="1" x14ac:dyDescent="0.15">
      <c r="C18" s="70">
        <v>17</v>
      </c>
      <c r="D18"/>
      <c r="E18" s="152" t="s">
        <v>209</v>
      </c>
      <c r="F18" s="70">
        <v>0</v>
      </c>
      <c r="G18" s="70">
        <v>1.161</v>
      </c>
      <c r="H18" s="70">
        <v>0.86899999999999999</v>
      </c>
      <c r="I18" s="70">
        <v>8.1229999999999993</v>
      </c>
      <c r="J18" s="70">
        <v>0.46303224599999998</v>
      </c>
      <c r="K18" s="70">
        <v>0.10698018199999999</v>
      </c>
      <c r="L18" s="70">
        <v>0</v>
      </c>
      <c r="M18" s="70">
        <v>0.2</v>
      </c>
      <c r="N18" s="70">
        <v>0</v>
      </c>
      <c r="V18" s="1"/>
    </row>
    <row r="19" spans="1:22" ht="15" customHeight="1" x14ac:dyDescent="0.15">
      <c r="C19" s="70">
        <v>18</v>
      </c>
      <c r="D19"/>
      <c r="E19" s="152" t="s">
        <v>210</v>
      </c>
      <c r="F19" s="70">
        <v>0</v>
      </c>
      <c r="G19" s="70">
        <v>1.9E-2</v>
      </c>
      <c r="H19" s="70">
        <v>0.10299999999999999</v>
      </c>
      <c r="I19" s="70">
        <v>46.179000000000002</v>
      </c>
      <c r="J19" s="70">
        <v>0</v>
      </c>
      <c r="K19" s="70">
        <v>2.230451E-3</v>
      </c>
      <c r="L19" s="70">
        <v>0</v>
      </c>
      <c r="M19" s="70">
        <v>0.2</v>
      </c>
      <c r="N19" s="70">
        <v>0</v>
      </c>
    </row>
    <row r="20" spans="1:22" ht="15" customHeight="1" thickBot="1" x14ac:dyDescent="0.2">
      <c r="C20" s="70">
        <v>19</v>
      </c>
      <c r="D20"/>
      <c r="E20" s="152" t="s">
        <v>211</v>
      </c>
      <c r="F20" s="70">
        <v>0</v>
      </c>
      <c r="G20" s="70">
        <v>0.02</v>
      </c>
      <c r="H20" s="70">
        <v>3.6999999999999998E-2</v>
      </c>
      <c r="I20" s="70">
        <v>60.155999999999999</v>
      </c>
      <c r="J20" s="70">
        <v>0</v>
      </c>
      <c r="K20" s="70">
        <v>6.1506750000000002E-4</v>
      </c>
      <c r="L20" s="70">
        <v>0</v>
      </c>
      <c r="M20" s="70">
        <v>0.2</v>
      </c>
      <c r="N20" s="70">
        <v>0</v>
      </c>
    </row>
    <row r="21" spans="1:22" ht="15" customHeight="1" thickBot="1" x14ac:dyDescent="0.2">
      <c r="A21" s="40" t="s">
        <v>137</v>
      </c>
      <c r="B21" s="88"/>
      <c r="C21" s="70">
        <v>20</v>
      </c>
      <c r="D21"/>
      <c r="E21" s="152" t="s">
        <v>166</v>
      </c>
      <c r="F21" s="70">
        <v>0</v>
      </c>
      <c r="G21" s="70">
        <v>0.371</v>
      </c>
      <c r="H21" s="70">
        <v>4.2489999999999997</v>
      </c>
      <c r="I21" s="70">
        <v>11.125</v>
      </c>
      <c r="J21" s="70">
        <v>0.52144820000000003</v>
      </c>
      <c r="K21" s="70">
        <v>0.38193260000000001</v>
      </c>
      <c r="L21" s="70">
        <v>0</v>
      </c>
      <c r="M21" s="70">
        <v>0.2</v>
      </c>
      <c r="N21" s="70">
        <v>0</v>
      </c>
    </row>
    <row r="22" spans="1:22" ht="15" customHeight="1" x14ac:dyDescent="0.15">
      <c r="A22" s="89" t="s">
        <v>58</v>
      </c>
      <c r="B22" s="90">
        <v>0</v>
      </c>
      <c r="C22" s="70">
        <v>21</v>
      </c>
      <c r="D22"/>
      <c r="E22" s="152" t="s">
        <v>212</v>
      </c>
      <c r="F22" s="70">
        <v>2</v>
      </c>
      <c r="G22" s="70">
        <v>1</v>
      </c>
      <c r="H22" s="70">
        <v>0</v>
      </c>
      <c r="I22" s="70">
        <v>0</v>
      </c>
      <c r="J22" s="70">
        <v>0</v>
      </c>
      <c r="K22" s="70">
        <v>0</v>
      </c>
      <c r="L22" s="70">
        <v>0</v>
      </c>
      <c r="M22" s="70">
        <v>0</v>
      </c>
      <c r="N22" s="70">
        <v>0</v>
      </c>
    </row>
    <row r="23" spans="1:22" ht="15" customHeight="1" x14ac:dyDescent="0.15">
      <c r="A23" s="89" t="s">
        <v>59</v>
      </c>
      <c r="B23" s="90">
        <v>1</v>
      </c>
      <c r="C23" s="70">
        <v>22</v>
      </c>
      <c r="D23"/>
      <c r="E23" s="152" t="s">
        <v>213</v>
      </c>
      <c r="F23" s="70">
        <v>2</v>
      </c>
      <c r="G23" s="70">
        <v>5</v>
      </c>
      <c r="H23" s="70">
        <v>0</v>
      </c>
      <c r="I23" s="70">
        <v>0</v>
      </c>
      <c r="J23" s="70">
        <v>0</v>
      </c>
      <c r="K23" s="70">
        <v>0</v>
      </c>
      <c r="L23" s="70">
        <v>0</v>
      </c>
      <c r="M23" s="70">
        <v>0</v>
      </c>
      <c r="N23" s="70">
        <v>0</v>
      </c>
    </row>
    <row r="24" spans="1:22" ht="15" customHeight="1" x14ac:dyDescent="0.15">
      <c r="A24" s="89" t="s">
        <v>60</v>
      </c>
      <c r="B24" s="90">
        <v>2</v>
      </c>
      <c r="C24" s="70">
        <v>23</v>
      </c>
      <c r="D24"/>
      <c r="E24" s="152" t="s">
        <v>214</v>
      </c>
      <c r="F24" s="70">
        <v>3</v>
      </c>
      <c r="G24" s="70">
        <v>0</v>
      </c>
      <c r="H24" s="70">
        <v>0</v>
      </c>
      <c r="I24" s="70">
        <v>0</v>
      </c>
      <c r="J24" s="70">
        <v>0</v>
      </c>
      <c r="K24" s="70">
        <v>0</v>
      </c>
      <c r="L24" s="70">
        <v>0</v>
      </c>
      <c r="M24" s="70">
        <v>0</v>
      </c>
      <c r="N24" s="70">
        <v>0</v>
      </c>
    </row>
    <row r="25" spans="1:22" ht="15" customHeight="1" thickBot="1" x14ac:dyDescent="0.2">
      <c r="A25" s="91" t="s">
        <v>44</v>
      </c>
      <c r="B25" s="92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3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27" bestFit="1" customWidth="1"/>
    <col min="2" max="3" width="2.33203125" style="127" bestFit="1" customWidth="1"/>
    <col min="4" max="6" width="5.83203125" style="127" bestFit="1" customWidth="1"/>
    <col min="7" max="7" width="9.83203125" style="127" bestFit="1" customWidth="1"/>
    <col min="8" max="9" width="5.83203125" style="127" bestFit="1" customWidth="1"/>
    <col min="10" max="10" width="12.83203125" style="127" bestFit="1" customWidth="1"/>
    <col min="11" max="11" width="13.83203125" style="127" bestFit="1" customWidth="1"/>
    <col min="12" max="13" width="5.83203125" style="127" bestFit="1" customWidth="1"/>
    <col min="14" max="14" width="13.83203125" style="127" bestFit="1" customWidth="1"/>
    <col min="15" max="15" width="5.83203125" style="127" bestFit="1" customWidth="1"/>
    <col min="16" max="16" width="15.83203125" style="127" bestFit="1" customWidth="1"/>
    <col min="17" max="18" width="5.83203125" style="127" bestFit="1" customWidth="1"/>
    <col min="19" max="19" width="13.83203125" style="127" bestFit="1" customWidth="1"/>
    <col min="20" max="20" width="5.83203125" style="127" bestFit="1" customWidth="1"/>
    <col min="21" max="21" width="3.83203125" style="127" bestFit="1" customWidth="1"/>
    <col min="22" max="23" width="2.33203125" style="127" bestFit="1" customWidth="1"/>
    <col min="24" max="29" width="9" style="127" bestFit="1" customWidth="1"/>
    <col min="30" max="16384" width="8.83203125" style="127"/>
  </cols>
  <sheetData>
    <row r="1" spans="1:34" x14ac:dyDescent="0.15">
      <c r="A1" s="126" t="s">
        <v>19</v>
      </c>
      <c r="B1" s="154" t="s">
        <v>193</v>
      </c>
      <c r="C1" s="154" t="s">
        <v>194</v>
      </c>
      <c r="D1" s="154" t="s">
        <v>195</v>
      </c>
      <c r="E1" s="154" t="s">
        <v>196</v>
      </c>
      <c r="F1" s="154" t="s">
        <v>197</v>
      </c>
      <c r="G1" s="154" t="s">
        <v>198</v>
      </c>
      <c r="H1" s="154" t="s">
        <v>199</v>
      </c>
      <c r="I1" s="154" t="s">
        <v>200</v>
      </c>
      <c r="J1" s="154" t="s">
        <v>201</v>
      </c>
      <c r="K1" s="154" t="s">
        <v>202</v>
      </c>
      <c r="L1" s="154" t="s">
        <v>203</v>
      </c>
      <c r="M1" s="154" t="s">
        <v>204</v>
      </c>
      <c r="N1" s="154" t="s">
        <v>205</v>
      </c>
      <c r="O1" s="154" t="s">
        <v>206</v>
      </c>
      <c r="P1" s="154" t="s">
        <v>207</v>
      </c>
      <c r="Q1" s="154" t="s">
        <v>208</v>
      </c>
      <c r="R1" s="154" t="s">
        <v>209</v>
      </c>
      <c r="S1" s="154" t="s">
        <v>210</v>
      </c>
      <c r="T1" s="154" t="s">
        <v>211</v>
      </c>
      <c r="U1" s="154" t="s">
        <v>166</v>
      </c>
      <c r="V1" s="154" t="s">
        <v>212</v>
      </c>
      <c r="W1" s="154" t="s">
        <v>213</v>
      </c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3" t="s">
        <v>193</v>
      </c>
      <c r="B2" s="127">
        <v>0</v>
      </c>
      <c r="C2" s="127">
        <v>0</v>
      </c>
      <c r="D2" s="127">
        <v>0.76400000000000001</v>
      </c>
      <c r="E2" s="127">
        <v>0.32700000000000001</v>
      </c>
      <c r="F2" s="127">
        <v>0.78800000000000003</v>
      </c>
      <c r="G2" s="127">
        <v>0</v>
      </c>
      <c r="H2" s="127">
        <v>0</v>
      </c>
      <c r="I2" s="127">
        <v>0</v>
      </c>
      <c r="J2" s="127">
        <v>0.70170169438638641</v>
      </c>
      <c r="K2" s="127">
        <v>0</v>
      </c>
      <c r="L2" s="127">
        <v>0</v>
      </c>
      <c r="M2" s="127">
        <v>0</v>
      </c>
      <c r="N2" s="127">
        <v>0</v>
      </c>
      <c r="O2" s="127">
        <v>0</v>
      </c>
      <c r="P2" s="127">
        <v>0</v>
      </c>
      <c r="Q2" s="127">
        <v>0.90100000000000002</v>
      </c>
      <c r="R2" s="127">
        <v>0</v>
      </c>
      <c r="S2" s="127">
        <v>0</v>
      </c>
      <c r="T2" s="127">
        <v>0</v>
      </c>
      <c r="U2" s="127">
        <v>0</v>
      </c>
      <c r="V2" s="127">
        <v>0</v>
      </c>
      <c r="W2" s="127">
        <v>0</v>
      </c>
    </row>
    <row r="3" spans="1:34" customFormat="1" x14ac:dyDescent="0.15">
      <c r="A3" s="153" t="s">
        <v>194</v>
      </c>
      <c r="B3" s="127">
        <v>0</v>
      </c>
      <c r="C3" s="127">
        <v>0</v>
      </c>
      <c r="D3" s="127">
        <v>0</v>
      </c>
      <c r="E3" s="127">
        <v>0</v>
      </c>
      <c r="F3" s="127">
        <v>0</v>
      </c>
      <c r="G3" s="127">
        <v>0.80080079999999998</v>
      </c>
      <c r="H3" s="127">
        <v>0.80800000000000005</v>
      </c>
      <c r="I3" s="127">
        <v>0.19800000000000001</v>
      </c>
      <c r="J3" s="127">
        <v>0</v>
      </c>
      <c r="K3" s="127">
        <v>0</v>
      </c>
      <c r="L3" s="127">
        <v>0</v>
      </c>
      <c r="M3" s="127">
        <v>0</v>
      </c>
      <c r="N3" s="127">
        <v>0</v>
      </c>
      <c r="O3" s="127">
        <v>0</v>
      </c>
      <c r="P3" s="127">
        <v>0.2590009563421376</v>
      </c>
      <c r="Q3" s="127">
        <v>0</v>
      </c>
      <c r="R3" s="127">
        <v>0</v>
      </c>
      <c r="S3" s="127">
        <v>0</v>
      </c>
      <c r="T3" s="127">
        <v>0</v>
      </c>
      <c r="U3" s="127">
        <v>0</v>
      </c>
      <c r="V3" s="127">
        <v>0</v>
      </c>
      <c r="W3" s="127">
        <v>0</v>
      </c>
    </row>
    <row r="4" spans="1:34" customFormat="1" x14ac:dyDescent="0.15">
      <c r="A4" s="153" t="s">
        <v>195</v>
      </c>
      <c r="B4" s="127">
        <v>0</v>
      </c>
      <c r="C4" s="127">
        <v>0</v>
      </c>
      <c r="D4" s="127">
        <v>0.14899999999999999</v>
      </c>
      <c r="E4" s="127">
        <v>5.1999999999999998E-2</v>
      </c>
      <c r="F4" s="127">
        <v>0</v>
      </c>
      <c r="G4" s="127">
        <v>0</v>
      </c>
      <c r="H4" s="127">
        <v>0</v>
      </c>
      <c r="I4" s="127">
        <v>0</v>
      </c>
      <c r="J4" s="127">
        <v>0.19719719842242239</v>
      </c>
      <c r="K4" s="127">
        <v>0</v>
      </c>
      <c r="L4" s="127">
        <v>0</v>
      </c>
      <c r="M4" s="127">
        <v>0</v>
      </c>
      <c r="N4" s="127">
        <v>0</v>
      </c>
      <c r="O4" s="127">
        <v>0</v>
      </c>
      <c r="P4" s="127">
        <v>0.50200193972491514</v>
      </c>
      <c r="Q4" s="127">
        <v>9.9000000000000005E-2</v>
      </c>
      <c r="R4" s="127">
        <v>0.48299999999999998</v>
      </c>
      <c r="S4" s="127">
        <v>0</v>
      </c>
      <c r="T4" s="127">
        <v>0</v>
      </c>
      <c r="U4" s="127">
        <v>0.3</v>
      </c>
      <c r="V4" s="127">
        <v>0</v>
      </c>
      <c r="W4" s="127">
        <v>0</v>
      </c>
    </row>
    <row r="5" spans="1:34" customFormat="1" x14ac:dyDescent="0.15">
      <c r="A5" s="153" t="s">
        <v>196</v>
      </c>
      <c r="B5" s="127">
        <v>0</v>
      </c>
      <c r="C5" s="127">
        <v>0</v>
      </c>
      <c r="D5" s="127">
        <v>0</v>
      </c>
      <c r="E5" s="127">
        <v>0</v>
      </c>
      <c r="F5" s="127">
        <v>0</v>
      </c>
      <c r="G5" s="127">
        <v>0.1021021</v>
      </c>
      <c r="H5" s="127">
        <v>0</v>
      </c>
      <c r="I5" s="127">
        <v>0</v>
      </c>
      <c r="J5" s="127">
        <v>0</v>
      </c>
      <c r="K5" s="127">
        <v>0.10789211013686312</v>
      </c>
      <c r="L5" s="127">
        <v>0.12500000000000003</v>
      </c>
      <c r="M5" s="127">
        <v>9.7000000000000003E-2</v>
      </c>
      <c r="N5" s="127">
        <v>0.10320641022595192</v>
      </c>
      <c r="O5" s="127">
        <v>0</v>
      </c>
      <c r="P5" s="127">
        <v>0.18900071051993822</v>
      </c>
      <c r="Q5" s="127">
        <v>0</v>
      </c>
      <c r="R5" s="127">
        <v>0</v>
      </c>
      <c r="S5" s="127">
        <v>0</v>
      </c>
      <c r="T5" s="127">
        <v>0</v>
      </c>
      <c r="U5" s="127">
        <v>0</v>
      </c>
      <c r="V5" s="127">
        <v>0</v>
      </c>
      <c r="W5" s="127">
        <v>0</v>
      </c>
    </row>
    <row r="6" spans="1:34" customFormat="1" x14ac:dyDescent="0.15">
      <c r="A6" s="153" t="s">
        <v>197</v>
      </c>
      <c r="B6" s="127">
        <v>0</v>
      </c>
      <c r="C6" s="127">
        <v>0</v>
      </c>
      <c r="D6" s="127">
        <v>0</v>
      </c>
      <c r="E6" s="127">
        <v>0</v>
      </c>
      <c r="F6" s="127">
        <v>0</v>
      </c>
      <c r="G6" s="127">
        <v>0</v>
      </c>
      <c r="H6" s="127">
        <v>0</v>
      </c>
      <c r="I6" s="127">
        <v>0</v>
      </c>
      <c r="J6" s="127">
        <v>0</v>
      </c>
      <c r="K6" s="127">
        <v>9.7902099216783209E-2</v>
      </c>
      <c r="L6" s="127">
        <v>0.10500000000000002</v>
      </c>
      <c r="M6" s="127">
        <v>8.5000000000000006E-2</v>
      </c>
      <c r="N6" s="127">
        <v>0.10621242120340685</v>
      </c>
      <c r="O6" s="127">
        <v>0.109</v>
      </c>
      <c r="P6" s="127">
        <v>0</v>
      </c>
      <c r="Q6" s="127">
        <v>0</v>
      </c>
      <c r="R6" s="127">
        <v>0</v>
      </c>
      <c r="S6" s="127">
        <v>0</v>
      </c>
      <c r="T6" s="127">
        <v>0</v>
      </c>
      <c r="U6" s="127">
        <v>0</v>
      </c>
      <c r="V6" s="127">
        <v>0</v>
      </c>
      <c r="W6" s="127">
        <v>0</v>
      </c>
    </row>
    <row r="7" spans="1:34" customFormat="1" x14ac:dyDescent="0.15">
      <c r="A7" s="153" t="s">
        <v>198</v>
      </c>
      <c r="B7" s="127">
        <v>0</v>
      </c>
      <c r="C7" s="127">
        <v>0</v>
      </c>
      <c r="D7" s="127">
        <v>0</v>
      </c>
      <c r="E7" s="127">
        <v>0</v>
      </c>
      <c r="F7" s="127">
        <v>0</v>
      </c>
      <c r="G7" s="127">
        <v>0</v>
      </c>
      <c r="H7" s="127">
        <v>0</v>
      </c>
      <c r="I7" s="127">
        <v>0</v>
      </c>
      <c r="J7" s="127">
        <v>0</v>
      </c>
      <c r="K7" s="127">
        <v>0</v>
      </c>
      <c r="L7" s="127">
        <v>0.20600000000000004</v>
      </c>
      <c r="M7" s="127">
        <v>0</v>
      </c>
      <c r="N7" s="127">
        <v>0.17334668169989989</v>
      </c>
      <c r="O7" s="127">
        <v>0</v>
      </c>
      <c r="P7" s="127">
        <v>0</v>
      </c>
      <c r="Q7" s="127">
        <v>0</v>
      </c>
      <c r="R7" s="127">
        <v>0</v>
      </c>
      <c r="S7" s="127">
        <v>0</v>
      </c>
      <c r="T7" s="127">
        <v>0</v>
      </c>
      <c r="U7" s="127">
        <v>0</v>
      </c>
      <c r="V7" s="127">
        <v>0</v>
      </c>
      <c r="W7" s="127">
        <v>0</v>
      </c>
    </row>
    <row r="8" spans="1:34" customFormat="1" x14ac:dyDescent="0.15">
      <c r="A8" s="153" t="s">
        <v>199</v>
      </c>
      <c r="B8" s="127">
        <v>0</v>
      </c>
      <c r="C8" s="127">
        <v>0</v>
      </c>
      <c r="D8" s="127">
        <v>0</v>
      </c>
      <c r="E8" s="127">
        <v>0</v>
      </c>
      <c r="F8" s="127">
        <v>0</v>
      </c>
      <c r="G8" s="127">
        <v>0</v>
      </c>
      <c r="H8" s="127">
        <v>0</v>
      </c>
      <c r="I8" s="127">
        <v>0</v>
      </c>
      <c r="J8" s="127">
        <v>0</v>
      </c>
      <c r="K8" s="127">
        <v>8.2917079336663368E-2</v>
      </c>
      <c r="L8" s="127">
        <v>7.3000000000000009E-2</v>
      </c>
      <c r="M8" s="127">
        <v>7.9000000000000001E-2</v>
      </c>
      <c r="N8" s="127">
        <v>9.018036932364723E-2</v>
      </c>
      <c r="O8" s="127">
        <v>9.1999999999999998E-2</v>
      </c>
      <c r="P8" s="127">
        <v>0</v>
      </c>
      <c r="Q8" s="127">
        <v>0</v>
      </c>
      <c r="R8" s="127">
        <v>0</v>
      </c>
      <c r="S8" s="127">
        <v>0</v>
      </c>
      <c r="T8" s="127">
        <v>0</v>
      </c>
      <c r="U8" s="127">
        <v>0</v>
      </c>
      <c r="V8" s="127">
        <v>0</v>
      </c>
      <c r="W8" s="127">
        <v>0</v>
      </c>
    </row>
    <row r="9" spans="1:34" customFormat="1" x14ac:dyDescent="0.15">
      <c r="A9" s="153" t="s">
        <v>200</v>
      </c>
      <c r="B9" s="127">
        <v>0</v>
      </c>
      <c r="C9" s="127">
        <v>0</v>
      </c>
      <c r="D9" s="127">
        <v>0</v>
      </c>
      <c r="E9" s="127">
        <v>0</v>
      </c>
      <c r="F9" s="127">
        <v>0</v>
      </c>
      <c r="G9" s="127">
        <v>0</v>
      </c>
      <c r="H9" s="127">
        <v>0</v>
      </c>
      <c r="I9" s="127">
        <v>0</v>
      </c>
      <c r="J9" s="127">
        <v>0</v>
      </c>
      <c r="K9" s="127">
        <v>0.17082917563336658</v>
      </c>
      <c r="L9" s="127">
        <v>0.17800000000000002</v>
      </c>
      <c r="M9" s="127">
        <v>0.157</v>
      </c>
      <c r="N9" s="127">
        <v>0.17434869869238476</v>
      </c>
      <c r="O9" s="127">
        <v>0.17100000000000001</v>
      </c>
      <c r="P9" s="127">
        <v>3.0000111923799721E-3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</row>
    <row r="10" spans="1:34" customFormat="1" x14ac:dyDescent="0.15">
      <c r="A10" s="153" t="s">
        <v>201</v>
      </c>
      <c r="B10" s="127">
        <v>0</v>
      </c>
      <c r="C10" s="127">
        <v>0</v>
      </c>
      <c r="D10" s="127">
        <v>0</v>
      </c>
      <c r="E10" s="127">
        <v>0</v>
      </c>
      <c r="F10" s="127">
        <v>0</v>
      </c>
      <c r="G10" s="127">
        <v>0</v>
      </c>
      <c r="H10" s="127">
        <v>0</v>
      </c>
      <c r="I10" s="127">
        <v>0</v>
      </c>
      <c r="J10" s="127">
        <v>0</v>
      </c>
      <c r="K10" s="127">
        <v>6.9930069440559448E-2</v>
      </c>
      <c r="L10" s="127">
        <v>8.4000000000000019E-2</v>
      </c>
      <c r="M10" s="127">
        <v>6.0999999999999999E-2</v>
      </c>
      <c r="N10" s="127">
        <v>7.8156314213827655E-2</v>
      </c>
      <c r="O10" s="127">
        <v>8.4000000000000005E-2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</row>
    <row r="11" spans="1:34" customFormat="1" x14ac:dyDescent="0.15">
      <c r="A11" s="153" t="s">
        <v>202</v>
      </c>
      <c r="B11" s="127">
        <v>0</v>
      </c>
      <c r="C11" s="127">
        <v>0</v>
      </c>
      <c r="D11" s="127">
        <v>0</v>
      </c>
      <c r="E11" s="127">
        <v>0</v>
      </c>
      <c r="F11" s="127">
        <v>0</v>
      </c>
      <c r="G11" s="127">
        <v>0</v>
      </c>
      <c r="H11" s="127">
        <v>0</v>
      </c>
      <c r="I11" s="127">
        <v>0</v>
      </c>
      <c r="J11" s="127">
        <v>0</v>
      </c>
      <c r="K11" s="127">
        <v>0.23476523012187814</v>
      </c>
      <c r="L11" s="127">
        <v>0</v>
      </c>
      <c r="M11" s="127">
        <v>0.14000000000000001</v>
      </c>
      <c r="N11" s="127">
        <v>0.15330661685020039</v>
      </c>
      <c r="O11" s="127">
        <v>0.16800000000000001</v>
      </c>
      <c r="P11" s="127">
        <v>1.0000037674599905E-3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</row>
    <row r="12" spans="1:34" customFormat="1" x14ac:dyDescent="0.15">
      <c r="A12" s="153" t="s">
        <v>203</v>
      </c>
      <c r="B12" s="127">
        <v>0</v>
      </c>
      <c r="C12" s="127">
        <v>0</v>
      </c>
      <c r="D12" s="127">
        <v>0</v>
      </c>
      <c r="E12" s="127">
        <v>0</v>
      </c>
      <c r="F12" s="127">
        <v>0</v>
      </c>
      <c r="G12" s="127">
        <v>0</v>
      </c>
      <c r="H12" s="127">
        <v>0</v>
      </c>
      <c r="I12" s="127">
        <v>0</v>
      </c>
      <c r="J12" s="127">
        <v>0</v>
      </c>
      <c r="K12" s="127">
        <v>2.0979019832167843E-2</v>
      </c>
      <c r="L12" s="127">
        <v>2.3000000000000003E-2</v>
      </c>
      <c r="M12" s="127">
        <v>1.7999999999999999E-2</v>
      </c>
      <c r="N12" s="127">
        <v>2.2044088534669336E-2</v>
      </c>
      <c r="O12" s="127">
        <v>2.5000000000000001E-2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</row>
    <row r="13" spans="1:34" customFormat="1" x14ac:dyDescent="0.15">
      <c r="A13" s="153" t="s">
        <v>204</v>
      </c>
      <c r="B13" s="127">
        <v>0</v>
      </c>
      <c r="C13" s="127">
        <v>0</v>
      </c>
      <c r="D13" s="127">
        <v>0</v>
      </c>
      <c r="E13" s="127">
        <v>0</v>
      </c>
      <c r="F13" s="127">
        <v>0</v>
      </c>
      <c r="G13" s="127">
        <v>0</v>
      </c>
      <c r="H13" s="127">
        <v>0</v>
      </c>
      <c r="I13" s="127">
        <v>0</v>
      </c>
      <c r="J13" s="127">
        <v>0</v>
      </c>
      <c r="K13" s="127">
        <v>0</v>
      </c>
      <c r="L13" s="127">
        <v>0</v>
      </c>
      <c r="M13" s="127">
        <v>0.159</v>
      </c>
      <c r="N13" s="127">
        <v>0</v>
      </c>
      <c r="O13" s="127">
        <v>0.17599999999999999</v>
      </c>
      <c r="P13" s="127">
        <v>1.0000037674599905E-3</v>
      </c>
      <c r="Q13" s="127">
        <v>0</v>
      </c>
      <c r="R13" s="127">
        <v>0</v>
      </c>
      <c r="S13" s="127">
        <v>0</v>
      </c>
      <c r="T13" s="127">
        <v>0</v>
      </c>
      <c r="U13" s="127">
        <v>0</v>
      </c>
      <c r="V13" s="127">
        <v>0</v>
      </c>
      <c r="W13" s="127">
        <v>0</v>
      </c>
    </row>
    <row r="14" spans="1:34" customFormat="1" x14ac:dyDescent="0.15">
      <c r="A14" s="153" t="s">
        <v>205</v>
      </c>
      <c r="B14" s="127">
        <v>0</v>
      </c>
      <c r="C14" s="127">
        <v>0</v>
      </c>
      <c r="D14" s="127">
        <v>0</v>
      </c>
      <c r="E14" s="127">
        <v>0</v>
      </c>
      <c r="F14" s="127">
        <v>0</v>
      </c>
      <c r="G14" s="127">
        <v>0</v>
      </c>
      <c r="H14" s="127">
        <v>0</v>
      </c>
      <c r="I14" s="127">
        <v>0</v>
      </c>
      <c r="J14" s="127">
        <v>0</v>
      </c>
      <c r="K14" s="127">
        <v>0</v>
      </c>
      <c r="L14" s="127">
        <v>0</v>
      </c>
      <c r="M14" s="127">
        <v>8.0000000000000002E-3</v>
      </c>
      <c r="N14" s="127">
        <v>0</v>
      </c>
      <c r="O14" s="127">
        <v>0</v>
      </c>
      <c r="P14" s="127">
        <v>0</v>
      </c>
      <c r="Q14" s="127">
        <v>0</v>
      </c>
      <c r="R14" s="127">
        <v>0</v>
      </c>
      <c r="S14" s="127">
        <v>0</v>
      </c>
      <c r="T14" s="127">
        <v>0</v>
      </c>
      <c r="U14" s="127">
        <v>0</v>
      </c>
      <c r="V14" s="127">
        <v>0</v>
      </c>
      <c r="W14" s="127">
        <v>0</v>
      </c>
    </row>
    <row r="15" spans="1:34" customFormat="1" x14ac:dyDescent="0.15">
      <c r="A15" s="153" t="s">
        <v>206</v>
      </c>
      <c r="B15" s="127">
        <v>0</v>
      </c>
      <c r="C15" s="127">
        <v>0</v>
      </c>
      <c r="D15" s="127">
        <v>0</v>
      </c>
      <c r="E15" s="127">
        <v>0</v>
      </c>
      <c r="F15" s="127">
        <v>0</v>
      </c>
      <c r="G15" s="127">
        <v>0</v>
      </c>
      <c r="H15" s="127">
        <v>0</v>
      </c>
      <c r="I15" s="127">
        <v>0</v>
      </c>
      <c r="J15" s="127">
        <v>0</v>
      </c>
      <c r="K15" s="127">
        <v>0</v>
      </c>
      <c r="L15" s="127">
        <v>0</v>
      </c>
      <c r="M15" s="127">
        <v>0</v>
      </c>
      <c r="N15" s="127">
        <v>0</v>
      </c>
      <c r="O15" s="127">
        <v>0.17499999999999999</v>
      </c>
      <c r="P15" s="127">
        <v>0</v>
      </c>
      <c r="Q15" s="127">
        <v>0</v>
      </c>
      <c r="R15" s="127">
        <v>0</v>
      </c>
      <c r="S15" s="127">
        <v>0</v>
      </c>
      <c r="T15" s="127">
        <v>0</v>
      </c>
      <c r="U15" s="127">
        <v>0</v>
      </c>
      <c r="V15" s="127">
        <v>0</v>
      </c>
      <c r="W15" s="127">
        <v>0</v>
      </c>
    </row>
    <row r="16" spans="1:34" customFormat="1" x14ac:dyDescent="0.15">
      <c r="A16" s="153" t="s">
        <v>207</v>
      </c>
      <c r="B16" s="127">
        <v>0</v>
      </c>
      <c r="C16" s="127">
        <v>0</v>
      </c>
      <c r="D16" s="127">
        <v>0</v>
      </c>
      <c r="E16" s="127">
        <v>0</v>
      </c>
      <c r="F16" s="127">
        <v>0</v>
      </c>
      <c r="G16" s="127">
        <v>0</v>
      </c>
      <c r="H16" s="127">
        <v>0</v>
      </c>
      <c r="I16" s="127">
        <v>0</v>
      </c>
      <c r="J16" s="127">
        <v>0</v>
      </c>
      <c r="K16" s="127">
        <v>0</v>
      </c>
      <c r="L16" s="127">
        <v>0</v>
      </c>
      <c r="M16" s="127">
        <v>0</v>
      </c>
      <c r="N16" s="127">
        <v>0</v>
      </c>
      <c r="O16" s="127">
        <v>0</v>
      </c>
      <c r="P16" s="127">
        <v>9.9810469746481429E-4</v>
      </c>
      <c r="Q16" s="127">
        <v>0</v>
      </c>
      <c r="R16" s="127">
        <v>0</v>
      </c>
      <c r="S16" s="127">
        <v>0.25225225074774771</v>
      </c>
      <c r="T16" s="127">
        <v>0.105</v>
      </c>
      <c r="U16" s="127">
        <v>0</v>
      </c>
      <c r="V16" s="127">
        <v>0</v>
      </c>
      <c r="W16" s="127">
        <v>0</v>
      </c>
    </row>
    <row r="17" spans="1:23" customFormat="1" x14ac:dyDescent="0.15">
      <c r="A17" s="153" t="s">
        <v>208</v>
      </c>
      <c r="B17" s="127">
        <v>0</v>
      </c>
      <c r="C17" s="127">
        <v>0</v>
      </c>
      <c r="D17" s="127">
        <v>0</v>
      </c>
      <c r="E17" s="127">
        <v>0</v>
      </c>
      <c r="F17" s="127">
        <v>0</v>
      </c>
      <c r="G17" s="127">
        <v>0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9.9810469746481429E-4</v>
      </c>
      <c r="Q17" s="127">
        <v>0</v>
      </c>
      <c r="R17" s="127">
        <v>0.51700000000000002</v>
      </c>
      <c r="S17" s="127">
        <v>0.69969969930030029</v>
      </c>
      <c r="T17" s="127">
        <v>0.89500000000000002</v>
      </c>
      <c r="U17" s="127">
        <v>0.7</v>
      </c>
      <c r="V17" s="127">
        <v>0</v>
      </c>
      <c r="W17" s="127">
        <v>0</v>
      </c>
    </row>
    <row r="18" spans="1:23" customFormat="1" x14ac:dyDescent="0.15">
      <c r="A18" s="153" t="s">
        <v>209</v>
      </c>
      <c r="B18" s="127">
        <v>0</v>
      </c>
      <c r="C18" s="127">
        <v>0</v>
      </c>
      <c r="D18" s="127">
        <v>0</v>
      </c>
      <c r="E18" s="127">
        <v>0</v>
      </c>
      <c r="F18" s="127">
        <v>0</v>
      </c>
      <c r="G18" s="127">
        <v>0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4.804804995195195E-2</v>
      </c>
      <c r="T18" s="127">
        <v>0</v>
      </c>
      <c r="U18" s="127">
        <v>0</v>
      </c>
      <c r="V18" s="127">
        <v>0</v>
      </c>
      <c r="W18" s="127">
        <v>0</v>
      </c>
    </row>
    <row r="19" spans="1:23" customFormat="1" x14ac:dyDescent="0.15">
      <c r="A19" s="153" t="s">
        <v>210</v>
      </c>
      <c r="B19" s="127">
        <v>0</v>
      </c>
      <c r="C19" s="127">
        <v>0</v>
      </c>
      <c r="D19" s="127">
        <v>0</v>
      </c>
      <c r="E19" s="127">
        <v>0</v>
      </c>
      <c r="F19" s="127">
        <v>0</v>
      </c>
      <c r="G19" s="127">
        <v>0</v>
      </c>
      <c r="H19" s="127">
        <v>0</v>
      </c>
      <c r="I19" s="127">
        <v>0</v>
      </c>
      <c r="J19" s="127">
        <v>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</row>
    <row r="20" spans="1:23" customFormat="1" x14ac:dyDescent="0.15">
      <c r="A20" s="153" t="s">
        <v>211</v>
      </c>
      <c r="B20" s="127">
        <v>0</v>
      </c>
      <c r="C20" s="127">
        <v>0</v>
      </c>
      <c r="D20" s="127">
        <v>0</v>
      </c>
      <c r="E20" s="127">
        <v>0</v>
      </c>
      <c r="F20" s="127">
        <v>0</v>
      </c>
      <c r="G20" s="127">
        <v>0</v>
      </c>
      <c r="H20" s="127">
        <v>0</v>
      </c>
      <c r="I20" s="127">
        <v>0</v>
      </c>
      <c r="J20" s="127">
        <v>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</row>
    <row r="21" spans="1:23" customFormat="1" x14ac:dyDescent="0.15">
      <c r="A21" s="153" t="s">
        <v>166</v>
      </c>
      <c r="B21" s="127">
        <v>0</v>
      </c>
      <c r="C21" s="127">
        <v>0</v>
      </c>
      <c r="D21" s="127">
        <v>0</v>
      </c>
      <c r="E21" s="127">
        <v>0</v>
      </c>
      <c r="F21" s="127">
        <v>0</v>
      </c>
      <c r="G21" s="127">
        <v>0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</row>
    <row r="22" spans="1:23" customFormat="1" x14ac:dyDescent="0.15">
      <c r="A22" s="153" t="s">
        <v>212</v>
      </c>
      <c r="B22" s="127">
        <v>0</v>
      </c>
      <c r="C22" s="127">
        <v>0</v>
      </c>
      <c r="D22" s="127">
        <v>8.6999999999999994E-2</v>
      </c>
      <c r="E22" s="127">
        <v>0.621</v>
      </c>
      <c r="F22" s="127">
        <v>0.21199999999999999</v>
      </c>
      <c r="G22" s="127">
        <v>9.7097100000000006E-2</v>
      </c>
      <c r="H22" s="127">
        <v>0.192</v>
      </c>
      <c r="I22" s="127">
        <v>0.80200000000000005</v>
      </c>
      <c r="J22" s="127">
        <v>0.10110110719119114</v>
      </c>
      <c r="K22" s="127">
        <v>0.21478521628171826</v>
      </c>
      <c r="L22" s="127">
        <v>0.20600000000000004</v>
      </c>
      <c r="M22" s="127">
        <v>0.19600000000000001</v>
      </c>
      <c r="N22" s="127">
        <v>9.919839925601201E-2</v>
      </c>
      <c r="O22" s="127">
        <v>0</v>
      </c>
      <c r="P22" s="127">
        <v>4.3000165290779588E-2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</row>
    <row r="23" spans="1:23" customFormat="1" x14ac:dyDescent="0.15">
      <c r="A23" s="153" t="s">
        <v>213</v>
      </c>
      <c r="B23" s="127">
        <v>0</v>
      </c>
      <c r="C23" s="127">
        <v>0</v>
      </c>
      <c r="D23" s="127">
        <v>0</v>
      </c>
      <c r="E23" s="127">
        <v>0</v>
      </c>
      <c r="F23" s="127">
        <v>0</v>
      </c>
      <c r="G23" s="127">
        <v>0</v>
      </c>
      <c r="H23" s="127">
        <v>0</v>
      </c>
      <c r="I23" s="127">
        <v>0</v>
      </c>
      <c r="J23" s="127">
        <v>0</v>
      </c>
      <c r="K23" s="127">
        <v>0</v>
      </c>
      <c r="L23" s="127">
        <v>0</v>
      </c>
      <c r="M23" s="127">
        <v>0</v>
      </c>
      <c r="N23" s="127">
        <v>0</v>
      </c>
      <c r="O23" s="127">
        <v>0</v>
      </c>
      <c r="P23" s="127">
        <v>0</v>
      </c>
      <c r="Q23" s="127">
        <v>0</v>
      </c>
      <c r="R23" s="127">
        <v>0</v>
      </c>
      <c r="S23" s="127">
        <v>0</v>
      </c>
      <c r="T23" s="127">
        <v>0</v>
      </c>
      <c r="U23" s="127">
        <v>0</v>
      </c>
      <c r="V23" s="127">
        <v>0</v>
      </c>
      <c r="W23" s="127">
        <v>0</v>
      </c>
    </row>
    <row r="24" spans="1:23" customFormat="1" x14ac:dyDescent="0.15">
      <c r="A24" s="153" t="s">
        <v>215</v>
      </c>
      <c r="B24" s="127">
        <v>0</v>
      </c>
      <c r="C24" s="127">
        <v>0</v>
      </c>
      <c r="D24" s="127">
        <v>0</v>
      </c>
      <c r="E24" s="127">
        <v>0</v>
      </c>
      <c r="F24" s="127">
        <v>0</v>
      </c>
      <c r="G24" s="127">
        <v>0</v>
      </c>
      <c r="H24" s="127">
        <v>0</v>
      </c>
      <c r="I24" s="127">
        <v>0</v>
      </c>
      <c r="J24" s="127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127">
        <v>0</v>
      </c>
      <c r="U24" s="127">
        <v>0</v>
      </c>
      <c r="V24" s="127">
        <v>0</v>
      </c>
      <c r="W24" s="127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  <row r="32" spans="1:23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97" customWidth="1"/>
    <col min="5" max="6" width="2.33203125" style="96" bestFit="1" customWidth="1"/>
    <col min="7" max="8" width="8.83203125" style="97"/>
  </cols>
  <sheetData>
    <row r="1" spans="1:8" ht="70" x14ac:dyDescent="0.15">
      <c r="A1" s="5" t="s">
        <v>20</v>
      </c>
      <c r="B1" s="1" t="s">
        <v>0</v>
      </c>
      <c r="C1" s="156" t="s">
        <v>212</v>
      </c>
      <c r="D1" s="156" t="s">
        <v>213</v>
      </c>
      <c r="E1" s="156" t="s">
        <v>216</v>
      </c>
      <c r="F1" s="156" t="s">
        <v>217</v>
      </c>
      <c r="G1"/>
      <c r="H1"/>
    </row>
    <row r="2" spans="1:8" x14ac:dyDescent="0.15">
      <c r="A2">
        <v>1</v>
      </c>
      <c r="B2" s="155" t="s">
        <v>193</v>
      </c>
      <c r="C2" s="97">
        <v>1</v>
      </c>
      <c r="D2" s="97">
        <v>0</v>
      </c>
      <c r="E2" s="96">
        <v>0</v>
      </c>
      <c r="F2" s="96">
        <v>1</v>
      </c>
      <c r="G2"/>
      <c r="H2"/>
    </row>
    <row r="3" spans="1:8" x14ac:dyDescent="0.15">
      <c r="A3">
        <v>2</v>
      </c>
      <c r="B3" s="155" t="s">
        <v>194</v>
      </c>
      <c r="C3" s="97">
        <v>1</v>
      </c>
      <c r="D3" s="97">
        <v>0</v>
      </c>
      <c r="E3" s="96">
        <v>0</v>
      </c>
      <c r="F3" s="96">
        <v>1</v>
      </c>
      <c r="G3"/>
      <c r="H3"/>
    </row>
    <row r="4" spans="1:8" x14ac:dyDescent="0.15">
      <c r="A4">
        <v>3</v>
      </c>
      <c r="B4" s="155" t="s">
        <v>195</v>
      </c>
      <c r="C4" s="97">
        <v>1</v>
      </c>
      <c r="D4" s="97">
        <v>0</v>
      </c>
      <c r="E4" s="96">
        <v>0</v>
      </c>
      <c r="F4" s="96">
        <v>1</v>
      </c>
      <c r="G4"/>
      <c r="H4"/>
    </row>
    <row r="5" spans="1:8" x14ac:dyDescent="0.15">
      <c r="A5">
        <v>4</v>
      </c>
      <c r="B5" s="155" t="s">
        <v>196</v>
      </c>
      <c r="C5" s="97">
        <v>1</v>
      </c>
      <c r="D5" s="97">
        <v>0</v>
      </c>
      <c r="E5" s="96">
        <v>0</v>
      </c>
      <c r="F5" s="96">
        <v>1</v>
      </c>
      <c r="G5"/>
      <c r="H5"/>
    </row>
    <row r="6" spans="1:8" x14ac:dyDescent="0.15">
      <c r="A6">
        <v>5</v>
      </c>
      <c r="B6" s="155" t="s">
        <v>197</v>
      </c>
      <c r="C6" s="97">
        <v>1</v>
      </c>
      <c r="D6" s="97">
        <v>0</v>
      </c>
      <c r="E6" s="96">
        <v>0</v>
      </c>
      <c r="F6" s="96">
        <v>1</v>
      </c>
      <c r="G6"/>
      <c r="H6"/>
    </row>
    <row r="7" spans="1:8" x14ac:dyDescent="0.15">
      <c r="A7">
        <v>6</v>
      </c>
      <c r="B7" s="155" t="s">
        <v>198</v>
      </c>
      <c r="C7" s="97">
        <v>1</v>
      </c>
      <c r="D7" s="97">
        <v>0</v>
      </c>
      <c r="E7" s="96">
        <v>0</v>
      </c>
      <c r="F7" s="96">
        <v>1</v>
      </c>
      <c r="G7"/>
      <c r="H7"/>
    </row>
    <row r="8" spans="1:8" x14ac:dyDescent="0.15">
      <c r="A8">
        <v>7</v>
      </c>
      <c r="B8" s="155" t="s">
        <v>199</v>
      </c>
      <c r="C8" s="97">
        <v>1</v>
      </c>
      <c r="D8" s="97">
        <v>0</v>
      </c>
      <c r="E8" s="96">
        <v>0</v>
      </c>
      <c r="F8" s="96">
        <v>1</v>
      </c>
      <c r="G8"/>
      <c r="H8"/>
    </row>
    <row r="9" spans="1:8" x14ac:dyDescent="0.15">
      <c r="A9">
        <v>8</v>
      </c>
      <c r="B9" s="155" t="s">
        <v>200</v>
      </c>
      <c r="C9" s="97">
        <v>1</v>
      </c>
      <c r="D9" s="97">
        <v>0</v>
      </c>
      <c r="E9" s="96">
        <v>0</v>
      </c>
      <c r="F9" s="96">
        <v>1</v>
      </c>
      <c r="G9"/>
      <c r="H9"/>
    </row>
    <row r="10" spans="1:8" x14ac:dyDescent="0.15">
      <c r="A10">
        <v>9</v>
      </c>
      <c r="B10" s="155" t="s">
        <v>201</v>
      </c>
      <c r="C10" s="97">
        <v>1</v>
      </c>
      <c r="D10" s="97">
        <v>0</v>
      </c>
      <c r="E10" s="96">
        <v>0</v>
      </c>
      <c r="F10" s="96">
        <v>1</v>
      </c>
      <c r="G10"/>
      <c r="H10"/>
    </row>
    <row r="11" spans="1:8" x14ac:dyDescent="0.15">
      <c r="A11">
        <v>10</v>
      </c>
      <c r="B11" s="155" t="s">
        <v>202</v>
      </c>
      <c r="C11" s="97">
        <v>1</v>
      </c>
      <c r="D11" s="97">
        <v>0</v>
      </c>
      <c r="E11" s="96">
        <v>0</v>
      </c>
      <c r="F11" s="96">
        <v>1</v>
      </c>
      <c r="G11"/>
      <c r="H11"/>
    </row>
    <row r="12" spans="1:8" x14ac:dyDescent="0.15">
      <c r="A12">
        <v>11</v>
      </c>
      <c r="B12" s="155" t="s">
        <v>203</v>
      </c>
      <c r="C12" s="97">
        <v>1</v>
      </c>
      <c r="D12" s="97">
        <v>0</v>
      </c>
      <c r="E12" s="96">
        <v>0</v>
      </c>
      <c r="F12" s="96">
        <v>1</v>
      </c>
      <c r="G12"/>
      <c r="H12"/>
    </row>
    <row r="13" spans="1:8" x14ac:dyDescent="0.15">
      <c r="A13">
        <v>12</v>
      </c>
      <c r="B13" s="155" t="s">
        <v>204</v>
      </c>
      <c r="C13" s="97">
        <v>1</v>
      </c>
      <c r="D13" s="97">
        <v>0</v>
      </c>
      <c r="E13" s="96">
        <v>0</v>
      </c>
      <c r="F13" s="96">
        <v>1</v>
      </c>
      <c r="G13"/>
      <c r="H13"/>
    </row>
    <row r="14" spans="1:8" x14ac:dyDescent="0.15">
      <c r="A14">
        <v>13</v>
      </c>
      <c r="B14" s="155" t="s">
        <v>205</v>
      </c>
      <c r="C14" s="97">
        <v>1</v>
      </c>
      <c r="D14" s="97">
        <v>0</v>
      </c>
      <c r="E14" s="96">
        <v>0</v>
      </c>
      <c r="F14" s="96">
        <v>1</v>
      </c>
      <c r="G14"/>
      <c r="H14"/>
    </row>
    <row r="15" spans="1:8" x14ac:dyDescent="0.15">
      <c r="A15">
        <v>14</v>
      </c>
      <c r="B15" s="155" t="s">
        <v>206</v>
      </c>
      <c r="C15" s="97">
        <v>1</v>
      </c>
      <c r="D15" s="97">
        <v>0</v>
      </c>
      <c r="E15" s="96">
        <v>0</v>
      </c>
      <c r="F15" s="96">
        <v>1</v>
      </c>
      <c r="G15"/>
      <c r="H15"/>
    </row>
    <row r="16" spans="1:8" x14ac:dyDescent="0.15">
      <c r="A16">
        <v>15</v>
      </c>
      <c r="B16" s="155" t="s">
        <v>207</v>
      </c>
      <c r="C16" s="97">
        <v>1</v>
      </c>
      <c r="D16" s="97">
        <v>0</v>
      </c>
      <c r="E16" s="96">
        <v>0</v>
      </c>
      <c r="F16" s="96">
        <v>1</v>
      </c>
      <c r="G16"/>
      <c r="H16"/>
    </row>
    <row r="17" spans="1:8" ht="15" customHeight="1" x14ac:dyDescent="0.15">
      <c r="A17">
        <v>16</v>
      </c>
      <c r="B17" s="155" t="s">
        <v>208</v>
      </c>
      <c r="C17" s="97">
        <v>1</v>
      </c>
      <c r="D17" s="97">
        <v>0</v>
      </c>
      <c r="E17" s="96">
        <v>0</v>
      </c>
      <c r="F17" s="96">
        <v>1</v>
      </c>
      <c r="G17"/>
      <c r="H17"/>
    </row>
    <row r="18" spans="1:8" ht="15" customHeight="1" x14ac:dyDescent="0.15">
      <c r="A18">
        <v>17</v>
      </c>
      <c r="B18" s="155" t="s">
        <v>209</v>
      </c>
      <c r="C18" s="97">
        <v>1</v>
      </c>
      <c r="D18" s="97">
        <v>0</v>
      </c>
      <c r="E18" s="96">
        <v>0</v>
      </c>
      <c r="F18" s="96">
        <v>1</v>
      </c>
      <c r="G18"/>
      <c r="H18"/>
    </row>
    <row r="19" spans="1:8" ht="15" customHeight="1" x14ac:dyDescent="0.15">
      <c r="A19">
        <v>18</v>
      </c>
      <c r="B19" s="155" t="s">
        <v>210</v>
      </c>
      <c r="C19" s="97">
        <v>1</v>
      </c>
      <c r="D19" s="97">
        <v>0</v>
      </c>
      <c r="E19" s="96">
        <v>0</v>
      </c>
      <c r="F19" s="96">
        <v>1</v>
      </c>
      <c r="G19"/>
      <c r="H19"/>
    </row>
    <row r="20" spans="1:8" ht="15" customHeight="1" x14ac:dyDescent="0.15">
      <c r="A20">
        <v>19</v>
      </c>
      <c r="B20" s="155" t="s">
        <v>211</v>
      </c>
      <c r="C20" s="97">
        <v>1</v>
      </c>
      <c r="D20" s="97">
        <v>0</v>
      </c>
      <c r="E20" s="96">
        <v>0</v>
      </c>
      <c r="F20" s="96">
        <v>1</v>
      </c>
      <c r="G20"/>
      <c r="H20"/>
    </row>
    <row r="21" spans="1:8" ht="15" customHeight="1" x14ac:dyDescent="0.15">
      <c r="A21">
        <v>20</v>
      </c>
      <c r="B21" s="155" t="s">
        <v>166</v>
      </c>
      <c r="C21" s="97">
        <v>1</v>
      </c>
      <c r="D21" s="97">
        <v>0</v>
      </c>
      <c r="E21" s="96">
        <v>0</v>
      </c>
      <c r="F21" s="96">
        <v>1</v>
      </c>
      <c r="G21"/>
      <c r="H21"/>
    </row>
    <row r="22" spans="1:8" ht="15" customHeight="1" x14ac:dyDescent="0.15">
      <c r="A22">
        <v>21</v>
      </c>
      <c r="B22" s="155" t="s">
        <v>212</v>
      </c>
      <c r="C22" s="97">
        <v>0</v>
      </c>
      <c r="D22" s="97">
        <v>1</v>
      </c>
      <c r="E22" s="96">
        <v>0</v>
      </c>
      <c r="F22" s="96">
        <v>1</v>
      </c>
      <c r="G22"/>
      <c r="H22"/>
    </row>
    <row r="23" spans="1:8" ht="15" customHeight="1" x14ac:dyDescent="0.15">
      <c r="A23">
        <v>22</v>
      </c>
      <c r="B23" s="155" t="s">
        <v>213</v>
      </c>
      <c r="C23" s="97">
        <v>0</v>
      </c>
      <c r="D23" s="97">
        <v>0</v>
      </c>
      <c r="E23" s="96">
        <v>1</v>
      </c>
      <c r="F23" s="96">
        <v>1</v>
      </c>
      <c r="G23"/>
      <c r="H23"/>
    </row>
    <row r="24" spans="1:8" ht="15" customHeight="1" x14ac:dyDescent="0.15">
      <c r="A24">
        <v>23</v>
      </c>
      <c r="B24" s="155" t="s">
        <v>214</v>
      </c>
      <c r="C24" s="97">
        <v>0</v>
      </c>
      <c r="D24" s="97">
        <v>1</v>
      </c>
      <c r="E24" s="96">
        <v>0</v>
      </c>
      <c r="F24" s="96">
        <v>1</v>
      </c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7"/>
      <c r="F36" s="97"/>
      <c r="G36"/>
      <c r="H36"/>
    </row>
    <row r="37" spans="3:8" ht="15" customHeight="1" x14ac:dyDescent="0.15">
      <c r="C37"/>
      <c r="D37"/>
      <c r="E37" s="97"/>
      <c r="F37" s="97"/>
      <c r="G37"/>
      <c r="H37"/>
    </row>
    <row r="38" spans="3:8" ht="15" customHeight="1" x14ac:dyDescent="0.15">
      <c r="C38"/>
      <c r="D38"/>
      <c r="E38" s="97"/>
      <c r="F38" s="97"/>
      <c r="G38"/>
      <c r="H38"/>
    </row>
    <row r="39" spans="3:8" ht="15" customHeight="1" x14ac:dyDescent="0.15">
      <c r="C39"/>
      <c r="D39"/>
      <c r="E39" s="97"/>
      <c r="F39" s="97"/>
      <c r="G39"/>
      <c r="H39"/>
    </row>
    <row r="40" spans="3:8" ht="15" customHeight="1" x14ac:dyDescent="0.15">
      <c r="C40"/>
      <c r="D40"/>
      <c r="E40" s="97"/>
      <c r="F40" s="97"/>
      <c r="G40"/>
      <c r="H40"/>
    </row>
    <row r="41" spans="3:8" ht="15" customHeight="1" x14ac:dyDescent="0.15">
      <c r="C41"/>
      <c r="D41"/>
      <c r="E41" s="97"/>
      <c r="F41" s="97"/>
      <c r="G41"/>
      <c r="H41"/>
    </row>
    <row r="42" spans="3:8" ht="15" customHeight="1" x14ac:dyDescent="0.15">
      <c r="C42"/>
      <c r="D42"/>
      <c r="E42" s="97"/>
      <c r="F42" s="97"/>
      <c r="G42"/>
      <c r="H42"/>
    </row>
    <row r="43" spans="3:8" ht="15" customHeight="1" x14ac:dyDescent="0.15">
      <c r="C43"/>
      <c r="D43"/>
      <c r="E43" s="97"/>
      <c r="F43" s="97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7"/>
      <c r="F46" s="97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0.5" bestFit="1" customWidth="1"/>
    <col min="3" max="4" width="6.83203125" bestFit="1" customWidth="1"/>
    <col min="5" max="5" width="12.1640625" bestFit="1" customWidth="1"/>
  </cols>
  <sheetData>
    <row r="1" spans="1:5" s="98" customFormat="1" ht="112" x14ac:dyDescent="0.15">
      <c r="A1" s="5" t="s">
        <v>21</v>
      </c>
      <c r="B1" s="3" t="s">
        <v>0</v>
      </c>
      <c r="C1" s="158" t="s">
        <v>214</v>
      </c>
      <c r="D1" s="158" t="s">
        <v>218</v>
      </c>
      <c r="E1"/>
    </row>
    <row r="2" spans="1:5" ht="15" customHeight="1" x14ac:dyDescent="0.15">
      <c r="A2">
        <v>1</v>
      </c>
      <c r="B2" s="157" t="s">
        <v>193</v>
      </c>
      <c r="C2">
        <v>0</v>
      </c>
      <c r="D2">
        <v>0</v>
      </c>
    </row>
    <row r="3" spans="1:5" ht="15" customHeight="1" x14ac:dyDescent="0.15">
      <c r="A3">
        <v>2</v>
      </c>
      <c r="B3" s="157" t="s">
        <v>194</v>
      </c>
      <c r="C3">
        <v>0</v>
      </c>
      <c r="D3">
        <v>0</v>
      </c>
    </row>
    <row r="4" spans="1:5" ht="15" customHeight="1" x14ac:dyDescent="0.15">
      <c r="A4">
        <v>3</v>
      </c>
      <c r="B4" s="157" t="s">
        <v>195</v>
      </c>
      <c r="C4">
        <v>0</v>
      </c>
      <c r="D4">
        <v>0</v>
      </c>
    </row>
    <row r="5" spans="1:5" ht="15" customHeight="1" x14ac:dyDescent="0.15">
      <c r="A5">
        <v>4</v>
      </c>
      <c r="B5" s="157" t="s">
        <v>196</v>
      </c>
      <c r="C5">
        <v>0</v>
      </c>
      <c r="D5">
        <v>0</v>
      </c>
    </row>
    <row r="6" spans="1:5" ht="15" customHeight="1" x14ac:dyDescent="0.15">
      <c r="A6">
        <v>5</v>
      </c>
      <c r="B6" s="157" t="s">
        <v>197</v>
      </c>
      <c r="C6">
        <v>2.34</v>
      </c>
      <c r="D6">
        <v>2.34</v>
      </c>
    </row>
    <row r="7" spans="1:5" ht="15" customHeight="1" x14ac:dyDescent="0.15">
      <c r="A7">
        <v>6</v>
      </c>
      <c r="B7" s="157" t="s">
        <v>198</v>
      </c>
      <c r="C7">
        <v>0</v>
      </c>
      <c r="D7">
        <v>0</v>
      </c>
    </row>
    <row r="8" spans="1:5" ht="15" customHeight="1" x14ac:dyDescent="0.15">
      <c r="A8">
        <v>7</v>
      </c>
      <c r="B8" s="157" t="s">
        <v>199</v>
      </c>
      <c r="C8">
        <v>0</v>
      </c>
      <c r="D8">
        <v>0</v>
      </c>
    </row>
    <row r="9" spans="1:5" ht="15" customHeight="1" x14ac:dyDescent="0.15">
      <c r="A9">
        <v>8</v>
      </c>
      <c r="B9" s="157" t="s">
        <v>200</v>
      </c>
      <c r="C9">
        <v>0.14399999999999999</v>
      </c>
      <c r="D9">
        <v>0.14399999999999999</v>
      </c>
    </row>
    <row r="10" spans="1:5" ht="15" customHeight="1" x14ac:dyDescent="0.15">
      <c r="A10">
        <v>9</v>
      </c>
      <c r="B10" s="157" t="s">
        <v>201</v>
      </c>
      <c r="C10">
        <v>1E-3</v>
      </c>
      <c r="D10">
        <v>1E-3</v>
      </c>
    </row>
    <row r="11" spans="1:5" ht="15" customHeight="1" x14ac:dyDescent="0.15">
      <c r="A11">
        <v>10</v>
      </c>
      <c r="B11" s="157" t="s">
        <v>202</v>
      </c>
      <c r="C11">
        <v>0.379</v>
      </c>
      <c r="D11">
        <v>0.379</v>
      </c>
    </row>
    <row r="12" spans="1:5" ht="15" customHeight="1" x14ac:dyDescent="0.15">
      <c r="A12">
        <v>11</v>
      </c>
      <c r="B12" s="157" t="s">
        <v>203</v>
      </c>
      <c r="C12">
        <v>1E-3</v>
      </c>
      <c r="D12">
        <v>1E-3</v>
      </c>
    </row>
    <row r="13" spans="1:5" ht="15" customHeight="1" x14ac:dyDescent="0.15">
      <c r="A13">
        <v>12</v>
      </c>
      <c r="B13" s="157" t="s">
        <v>204</v>
      </c>
      <c r="C13">
        <v>0</v>
      </c>
      <c r="D13">
        <v>0</v>
      </c>
    </row>
    <row r="14" spans="1:5" ht="15" customHeight="1" x14ac:dyDescent="0.15">
      <c r="A14">
        <v>13</v>
      </c>
      <c r="B14" s="157" t="s">
        <v>205</v>
      </c>
      <c r="C14">
        <v>0</v>
      </c>
      <c r="D14">
        <v>0</v>
      </c>
    </row>
    <row r="15" spans="1:5" ht="15" customHeight="1" x14ac:dyDescent="0.15">
      <c r="A15">
        <v>14</v>
      </c>
      <c r="B15" s="157" t="s">
        <v>206</v>
      </c>
      <c r="C15">
        <v>3.3000000000000002E-2</v>
      </c>
      <c r="D15">
        <v>3.3000000000000002E-2</v>
      </c>
    </row>
    <row r="16" spans="1:5" ht="15" customHeight="1" x14ac:dyDescent="0.15">
      <c r="A16">
        <v>15</v>
      </c>
      <c r="B16" s="157" t="s">
        <v>207</v>
      </c>
      <c r="C16">
        <v>1.7949999999999999</v>
      </c>
      <c r="D16">
        <v>1.7949999999999999</v>
      </c>
    </row>
    <row r="17" spans="1:4" ht="15" customHeight="1" x14ac:dyDescent="0.15">
      <c r="A17">
        <v>16</v>
      </c>
      <c r="B17" s="157" t="s">
        <v>208</v>
      </c>
      <c r="C17">
        <v>81.409000000000006</v>
      </c>
      <c r="D17">
        <v>81.409000000000006</v>
      </c>
    </row>
    <row r="18" spans="1:4" ht="15" customHeight="1" x14ac:dyDescent="0.15">
      <c r="A18">
        <v>17</v>
      </c>
      <c r="B18" s="157" t="s">
        <v>209</v>
      </c>
      <c r="C18">
        <v>0.42499999999999999</v>
      </c>
      <c r="D18">
        <v>0.42499999999999999</v>
      </c>
    </row>
    <row r="19" spans="1:4" ht="15" customHeight="1" x14ac:dyDescent="0.15">
      <c r="A19">
        <v>18</v>
      </c>
      <c r="B19" s="157" t="s">
        <v>210</v>
      </c>
      <c r="C19">
        <v>0</v>
      </c>
      <c r="D19">
        <v>0</v>
      </c>
    </row>
    <row r="20" spans="1:4" ht="15" customHeight="1" x14ac:dyDescent="0.15">
      <c r="A20">
        <v>19</v>
      </c>
      <c r="B20" s="157" t="s">
        <v>211</v>
      </c>
      <c r="C20">
        <v>0</v>
      </c>
      <c r="D20">
        <v>0</v>
      </c>
    </row>
    <row r="21" spans="1:4" ht="15" customHeight="1" x14ac:dyDescent="0.15">
      <c r="A21">
        <v>20</v>
      </c>
      <c r="B21" s="157" t="s">
        <v>166</v>
      </c>
      <c r="C21">
        <v>0.82199999999999995</v>
      </c>
      <c r="D21">
        <v>0.82199999999999995</v>
      </c>
    </row>
    <row r="22" spans="1:4" ht="15" customHeight="1" x14ac:dyDescent="0.15">
      <c r="A22">
        <v>21</v>
      </c>
      <c r="B22" s="157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57" t="s">
        <v>213</v>
      </c>
      <c r="C23">
        <v>0</v>
      </c>
      <c r="D23">
        <v>0</v>
      </c>
    </row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0.5" bestFit="1" customWidth="1"/>
    <col min="3" max="4" width="2.33203125" bestFit="1" customWidth="1"/>
    <col min="5" max="5" width="12.1640625" bestFit="1" customWidth="1"/>
  </cols>
  <sheetData>
    <row r="1" spans="1:4" s="98" customFormat="1" ht="112" x14ac:dyDescent="0.15">
      <c r="A1" s="5" t="s">
        <v>22</v>
      </c>
      <c r="B1" s="3" t="s">
        <v>0</v>
      </c>
      <c r="C1" s="160" t="s">
        <v>214</v>
      </c>
      <c r="D1" s="160" t="s">
        <v>218</v>
      </c>
    </row>
    <row r="2" spans="1:4" x14ac:dyDescent="0.15">
      <c r="A2">
        <v>1</v>
      </c>
      <c r="B2" s="159" t="s">
        <v>193</v>
      </c>
      <c r="C2">
        <v>0</v>
      </c>
      <c r="D2">
        <v>0</v>
      </c>
    </row>
    <row r="3" spans="1:4" x14ac:dyDescent="0.15">
      <c r="A3">
        <v>2</v>
      </c>
      <c r="B3" s="159" t="s">
        <v>194</v>
      </c>
      <c r="C3">
        <v>0</v>
      </c>
      <c r="D3">
        <v>0</v>
      </c>
    </row>
    <row r="4" spans="1:4" x14ac:dyDescent="0.15">
      <c r="A4">
        <v>3</v>
      </c>
      <c r="B4" s="159" t="s">
        <v>195</v>
      </c>
      <c r="C4">
        <v>0</v>
      </c>
      <c r="D4">
        <v>0</v>
      </c>
    </row>
    <row r="5" spans="1:4" x14ac:dyDescent="0.15">
      <c r="A5">
        <v>4</v>
      </c>
      <c r="B5" s="159" t="s">
        <v>196</v>
      </c>
      <c r="C5">
        <v>0</v>
      </c>
      <c r="D5">
        <v>0</v>
      </c>
    </row>
    <row r="6" spans="1:4" x14ac:dyDescent="0.15">
      <c r="A6">
        <v>5</v>
      </c>
      <c r="B6" s="159" t="s">
        <v>197</v>
      </c>
      <c r="C6">
        <v>0</v>
      </c>
      <c r="D6">
        <v>0</v>
      </c>
    </row>
    <row r="7" spans="1:4" x14ac:dyDescent="0.15">
      <c r="A7">
        <v>6</v>
      </c>
      <c r="B7" s="159" t="s">
        <v>198</v>
      </c>
      <c r="C7">
        <v>0</v>
      </c>
      <c r="D7">
        <v>0</v>
      </c>
    </row>
    <row r="8" spans="1:4" x14ac:dyDescent="0.15">
      <c r="A8">
        <v>7</v>
      </c>
      <c r="B8" s="159" t="s">
        <v>199</v>
      </c>
      <c r="C8">
        <v>0</v>
      </c>
      <c r="D8">
        <v>0</v>
      </c>
    </row>
    <row r="9" spans="1:4" x14ac:dyDescent="0.15">
      <c r="A9">
        <v>8</v>
      </c>
      <c r="B9" s="159" t="s">
        <v>200</v>
      </c>
      <c r="C9">
        <v>0</v>
      </c>
      <c r="D9">
        <v>0</v>
      </c>
    </row>
    <row r="10" spans="1:4" x14ac:dyDescent="0.15">
      <c r="A10">
        <v>9</v>
      </c>
      <c r="B10" s="159" t="s">
        <v>201</v>
      </c>
      <c r="C10">
        <v>0</v>
      </c>
      <c r="D10">
        <v>0</v>
      </c>
    </row>
    <row r="11" spans="1:4" x14ac:dyDescent="0.15">
      <c r="A11">
        <v>10</v>
      </c>
      <c r="B11" s="159" t="s">
        <v>202</v>
      </c>
      <c r="C11">
        <v>0</v>
      </c>
      <c r="D11">
        <v>0</v>
      </c>
    </row>
    <row r="12" spans="1:4" x14ac:dyDescent="0.15">
      <c r="A12">
        <v>11</v>
      </c>
      <c r="B12" s="159" t="s">
        <v>203</v>
      </c>
      <c r="C12">
        <v>0</v>
      </c>
      <c r="D12">
        <v>0</v>
      </c>
    </row>
    <row r="13" spans="1:4" x14ac:dyDescent="0.15">
      <c r="A13">
        <v>12</v>
      </c>
      <c r="B13" s="159" t="s">
        <v>204</v>
      </c>
      <c r="C13">
        <v>0</v>
      </c>
      <c r="D13">
        <v>0</v>
      </c>
    </row>
    <row r="14" spans="1:4" x14ac:dyDescent="0.15">
      <c r="A14">
        <v>13</v>
      </c>
      <c r="B14" s="159" t="s">
        <v>205</v>
      </c>
      <c r="C14">
        <v>0</v>
      </c>
      <c r="D14">
        <v>0</v>
      </c>
    </row>
    <row r="15" spans="1:4" x14ac:dyDescent="0.15">
      <c r="A15">
        <v>14</v>
      </c>
      <c r="B15" s="159" t="s">
        <v>206</v>
      </c>
      <c r="C15">
        <v>0</v>
      </c>
      <c r="D15">
        <v>0</v>
      </c>
    </row>
    <row r="16" spans="1:4" x14ac:dyDescent="0.15">
      <c r="A16">
        <v>15</v>
      </c>
      <c r="B16" s="159" t="s">
        <v>207</v>
      </c>
      <c r="C16">
        <v>0</v>
      </c>
      <c r="D16">
        <v>0</v>
      </c>
    </row>
    <row r="17" spans="1:4" x14ac:dyDescent="0.15">
      <c r="A17">
        <v>16</v>
      </c>
      <c r="B17" s="159" t="s">
        <v>208</v>
      </c>
      <c r="C17">
        <v>0</v>
      </c>
      <c r="D17">
        <v>0</v>
      </c>
    </row>
    <row r="18" spans="1:4" x14ac:dyDescent="0.15">
      <c r="A18">
        <v>17</v>
      </c>
      <c r="B18" s="159" t="s">
        <v>209</v>
      </c>
      <c r="C18">
        <v>0</v>
      </c>
      <c r="D18">
        <v>0</v>
      </c>
    </row>
    <row r="19" spans="1:4" x14ac:dyDescent="0.15">
      <c r="A19">
        <v>18</v>
      </c>
      <c r="B19" s="159" t="s">
        <v>210</v>
      </c>
      <c r="C19">
        <v>0</v>
      </c>
      <c r="D19">
        <v>0</v>
      </c>
    </row>
    <row r="20" spans="1:4" x14ac:dyDescent="0.15">
      <c r="A20">
        <v>19</v>
      </c>
      <c r="B20" s="159" t="s">
        <v>211</v>
      </c>
      <c r="C20">
        <v>0</v>
      </c>
      <c r="D20">
        <v>0</v>
      </c>
    </row>
    <row r="21" spans="1:4" x14ac:dyDescent="0.15">
      <c r="A21">
        <v>20</v>
      </c>
      <c r="B21" s="159" t="s">
        <v>166</v>
      </c>
      <c r="C21">
        <v>0</v>
      </c>
      <c r="D21">
        <v>0</v>
      </c>
    </row>
    <row r="22" spans="1:4" x14ac:dyDescent="0.15">
      <c r="A22">
        <v>21</v>
      </c>
      <c r="B22" s="159" t="s">
        <v>212</v>
      </c>
      <c r="C22">
        <v>0</v>
      </c>
      <c r="D22">
        <v>0</v>
      </c>
    </row>
    <row r="23" spans="1:4" x14ac:dyDescent="0.15">
      <c r="A23">
        <v>22</v>
      </c>
      <c r="B23" s="159" t="s">
        <v>213</v>
      </c>
      <c r="C23">
        <v>0</v>
      </c>
      <c r="D2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0.5" bestFit="1" customWidth="1"/>
    <col min="6" max="6" width="4.83203125" bestFit="1" customWidth="1"/>
    <col min="7" max="9" width="3.83203125" bestFit="1" customWidth="1"/>
    <col min="10" max="11" width="4.83203125" style="97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9" customFormat="1" ht="14" thickBot="1" x14ac:dyDescent="0.2">
      <c r="D1" s="100" t="s">
        <v>8</v>
      </c>
      <c r="E1" s="100" t="s">
        <v>0</v>
      </c>
      <c r="F1" s="101" t="s">
        <v>99</v>
      </c>
      <c r="G1" s="102" t="s">
        <v>84</v>
      </c>
      <c r="H1" s="102" t="s">
        <v>85</v>
      </c>
      <c r="I1" s="102" t="s">
        <v>86</v>
      </c>
      <c r="J1" s="102" t="s">
        <v>87</v>
      </c>
      <c r="K1" s="102" t="s">
        <v>88</v>
      </c>
      <c r="L1" s="103" t="s">
        <v>89</v>
      </c>
      <c r="M1" s="103" t="s">
        <v>93</v>
      </c>
      <c r="N1" s="103" t="s">
        <v>92</v>
      </c>
      <c r="O1" s="103" t="s">
        <v>90</v>
      </c>
      <c r="P1" s="103" t="s">
        <v>91</v>
      </c>
      <c r="Q1" s="104" t="s">
        <v>94</v>
      </c>
      <c r="R1" s="104" t="s">
        <v>95</v>
      </c>
      <c r="S1" s="104" t="s">
        <v>96</v>
      </c>
      <c r="T1" s="104" t="s">
        <v>97</v>
      </c>
      <c r="U1" s="104" t="s">
        <v>98</v>
      </c>
      <c r="V1" s="102" t="s">
        <v>100</v>
      </c>
      <c r="W1" s="102" t="s">
        <v>101</v>
      </c>
      <c r="X1" s="102" t="s">
        <v>102</v>
      </c>
      <c r="Y1" s="102" t="s">
        <v>134</v>
      </c>
      <c r="Z1" s="103" t="s">
        <v>103</v>
      </c>
      <c r="AA1" s="103" t="s">
        <v>104</v>
      </c>
      <c r="AB1" s="103" t="s">
        <v>105</v>
      </c>
      <c r="AC1" s="105" t="s">
        <v>135</v>
      </c>
      <c r="AD1" s="104" t="s">
        <v>106</v>
      </c>
      <c r="AE1" s="104" t="s">
        <v>107</v>
      </c>
      <c r="AF1" s="104" t="s">
        <v>108</v>
      </c>
      <c r="AG1" s="104" t="s">
        <v>136</v>
      </c>
      <c r="AH1" s="102" t="s">
        <v>109</v>
      </c>
      <c r="AI1" s="102" t="s">
        <v>111</v>
      </c>
      <c r="AJ1" s="102" t="s">
        <v>110</v>
      </c>
      <c r="AK1" s="103" t="s">
        <v>115</v>
      </c>
      <c r="AL1" s="103" t="s">
        <v>116</v>
      </c>
      <c r="AM1" s="103" t="s">
        <v>117</v>
      </c>
      <c r="AN1" s="104" t="s">
        <v>112</v>
      </c>
      <c r="AO1" s="104" t="s">
        <v>113</v>
      </c>
      <c r="AP1" s="104" t="s">
        <v>114</v>
      </c>
    </row>
    <row r="2" spans="1:42" x14ac:dyDescent="0.15">
      <c r="A2" s="106" t="s">
        <v>74</v>
      </c>
      <c r="B2" s="107">
        <v>1</v>
      </c>
      <c r="D2">
        <v>1</v>
      </c>
      <c r="E2" s="161" t="s">
        <v>193</v>
      </c>
      <c r="F2">
        <v>0.98</v>
      </c>
      <c r="G2">
        <v>0.8</v>
      </c>
      <c r="H2">
        <v>0.8</v>
      </c>
      <c r="I2">
        <v>0</v>
      </c>
      <c r="J2" s="97">
        <v>0</v>
      </c>
      <c r="K2" s="97">
        <v>0</v>
      </c>
    </row>
    <row r="3" spans="1:42" x14ac:dyDescent="0.15">
      <c r="A3" s="106" t="s">
        <v>75</v>
      </c>
      <c r="B3" s="108">
        <v>1</v>
      </c>
      <c r="D3">
        <v>2</v>
      </c>
      <c r="E3" s="161" t="s">
        <v>194</v>
      </c>
      <c r="F3">
        <v>0.98</v>
      </c>
      <c r="G3">
        <v>0.8</v>
      </c>
      <c r="H3">
        <v>0.8</v>
      </c>
      <c r="I3">
        <v>0</v>
      </c>
      <c r="J3" s="97">
        <v>0</v>
      </c>
      <c r="K3" s="97">
        <v>0</v>
      </c>
    </row>
    <row r="4" spans="1:42" x14ac:dyDescent="0.15">
      <c r="A4" s="106" t="s">
        <v>76</v>
      </c>
      <c r="B4" s="108">
        <v>1</v>
      </c>
      <c r="D4">
        <v>3</v>
      </c>
      <c r="E4" s="161" t="s">
        <v>195</v>
      </c>
      <c r="F4">
        <v>0.98</v>
      </c>
      <c r="G4">
        <v>0.8</v>
      </c>
      <c r="H4">
        <v>0.8</v>
      </c>
      <c r="I4">
        <v>0.8</v>
      </c>
      <c r="J4" s="97">
        <v>0.25</v>
      </c>
      <c r="K4" s="97">
        <v>0.05</v>
      </c>
    </row>
    <row r="5" spans="1:42" x14ac:dyDescent="0.15">
      <c r="A5" s="106" t="s">
        <v>77</v>
      </c>
      <c r="B5" s="108">
        <v>1</v>
      </c>
      <c r="D5">
        <v>4</v>
      </c>
      <c r="E5" s="161" t="s">
        <v>196</v>
      </c>
      <c r="F5">
        <v>0.98</v>
      </c>
      <c r="G5">
        <v>0.8</v>
      </c>
      <c r="H5">
        <v>0.8</v>
      </c>
      <c r="I5">
        <v>0.8</v>
      </c>
      <c r="J5" s="97">
        <v>0.25</v>
      </c>
      <c r="K5" s="97">
        <v>0.05</v>
      </c>
    </row>
    <row r="6" spans="1:42" x14ac:dyDescent="0.15">
      <c r="A6" s="106" t="s">
        <v>78</v>
      </c>
      <c r="B6" s="108">
        <v>1</v>
      </c>
      <c r="D6">
        <v>5</v>
      </c>
      <c r="E6" s="161" t="s">
        <v>197</v>
      </c>
      <c r="F6">
        <v>0.98</v>
      </c>
      <c r="G6">
        <v>0.8</v>
      </c>
      <c r="H6">
        <v>0.8</v>
      </c>
      <c r="I6">
        <v>0.8</v>
      </c>
      <c r="J6" s="97">
        <v>0.25</v>
      </c>
      <c r="K6" s="97">
        <v>0.05</v>
      </c>
    </row>
    <row r="7" spans="1:42" x14ac:dyDescent="0.15">
      <c r="A7" s="106" t="s">
        <v>79</v>
      </c>
      <c r="B7" s="108">
        <v>1</v>
      </c>
      <c r="D7">
        <v>6</v>
      </c>
      <c r="E7" s="161" t="s">
        <v>198</v>
      </c>
      <c r="F7">
        <v>0.98</v>
      </c>
      <c r="G7">
        <v>0.8</v>
      </c>
      <c r="H7">
        <v>0.8</v>
      </c>
      <c r="I7">
        <v>0.8</v>
      </c>
      <c r="J7" s="97">
        <v>0.25</v>
      </c>
      <c r="K7" s="97">
        <v>0.05</v>
      </c>
    </row>
    <row r="8" spans="1:42" x14ac:dyDescent="0.15">
      <c r="A8" s="106" t="s">
        <v>80</v>
      </c>
      <c r="B8" s="108">
        <v>1</v>
      </c>
      <c r="D8">
        <v>7</v>
      </c>
      <c r="E8" s="161" t="s">
        <v>199</v>
      </c>
      <c r="F8">
        <v>0.98</v>
      </c>
      <c r="G8">
        <v>0.8</v>
      </c>
      <c r="H8">
        <v>0.8</v>
      </c>
      <c r="I8">
        <v>0.8</v>
      </c>
      <c r="J8" s="97">
        <v>0.25</v>
      </c>
      <c r="K8" s="97">
        <v>0.05</v>
      </c>
    </row>
    <row r="9" spans="1:42" x14ac:dyDescent="0.15">
      <c r="A9" s="106" t="s">
        <v>81</v>
      </c>
      <c r="B9" s="108">
        <v>0.1</v>
      </c>
      <c r="C9" s="54" t="s">
        <v>150</v>
      </c>
      <c r="D9">
        <v>8</v>
      </c>
      <c r="E9" s="161" t="s">
        <v>200</v>
      </c>
      <c r="F9">
        <v>0.98</v>
      </c>
      <c r="G9">
        <v>0.8</v>
      </c>
      <c r="H9">
        <v>0.8</v>
      </c>
      <c r="I9">
        <v>0.8</v>
      </c>
      <c r="J9" s="97">
        <v>0.25</v>
      </c>
      <c r="K9" s="97">
        <v>0.05</v>
      </c>
    </row>
    <row r="10" spans="1:42" ht="14" thickBot="1" x14ac:dyDescent="0.2">
      <c r="A10" s="106" t="s">
        <v>149</v>
      </c>
      <c r="B10" s="109">
        <f>1/3</f>
        <v>0.33333333333333331</v>
      </c>
      <c r="C10" s="54" t="s">
        <v>150</v>
      </c>
      <c r="D10">
        <v>9</v>
      </c>
      <c r="E10" s="161" t="s">
        <v>201</v>
      </c>
      <c r="F10">
        <v>0.98</v>
      </c>
      <c r="G10">
        <v>0.8</v>
      </c>
      <c r="H10">
        <v>0.8</v>
      </c>
      <c r="I10">
        <v>0.8</v>
      </c>
      <c r="J10" s="97">
        <v>0.25</v>
      </c>
      <c r="K10" s="97">
        <v>0.05</v>
      </c>
    </row>
    <row r="11" spans="1:42" x14ac:dyDescent="0.15">
      <c r="D11">
        <v>10</v>
      </c>
      <c r="E11" s="161" t="s">
        <v>202</v>
      </c>
      <c r="F11">
        <v>0.98</v>
      </c>
      <c r="G11">
        <v>0.8</v>
      </c>
      <c r="H11">
        <v>0.8</v>
      </c>
      <c r="I11">
        <v>0.8</v>
      </c>
      <c r="J11" s="97">
        <v>0.25</v>
      </c>
      <c r="K11" s="97">
        <v>0.05</v>
      </c>
    </row>
    <row r="12" spans="1:42" x14ac:dyDescent="0.15">
      <c r="D12">
        <v>11</v>
      </c>
      <c r="E12" s="161" t="s">
        <v>203</v>
      </c>
      <c r="F12">
        <v>0.98</v>
      </c>
      <c r="G12">
        <v>0.8</v>
      </c>
      <c r="H12">
        <v>0.8</v>
      </c>
      <c r="I12">
        <v>0.8</v>
      </c>
      <c r="J12" s="97">
        <v>0.25</v>
      </c>
      <c r="K12" s="97">
        <v>0.05</v>
      </c>
    </row>
    <row r="13" spans="1:42" x14ac:dyDescent="0.15">
      <c r="D13">
        <v>12</v>
      </c>
      <c r="E13" s="161" t="s">
        <v>204</v>
      </c>
      <c r="F13">
        <v>0.98</v>
      </c>
      <c r="G13">
        <v>0.8</v>
      </c>
      <c r="H13">
        <v>0.8</v>
      </c>
      <c r="I13">
        <v>0.8</v>
      </c>
      <c r="J13" s="97">
        <v>0.25</v>
      </c>
      <c r="K13" s="97">
        <v>0.05</v>
      </c>
    </row>
    <row r="14" spans="1:42" x14ac:dyDescent="0.15">
      <c r="D14">
        <v>13</v>
      </c>
      <c r="E14" s="161" t="s">
        <v>205</v>
      </c>
      <c r="F14">
        <v>0.98</v>
      </c>
      <c r="G14">
        <v>0.8</v>
      </c>
      <c r="H14">
        <v>0.8</v>
      </c>
      <c r="I14">
        <v>0.8</v>
      </c>
      <c r="J14" s="97">
        <v>0.25</v>
      </c>
      <c r="K14" s="97">
        <v>0.05</v>
      </c>
    </row>
    <row r="15" spans="1:42" x14ac:dyDescent="0.15">
      <c r="D15">
        <v>14</v>
      </c>
      <c r="E15" s="161" t="s">
        <v>206</v>
      </c>
      <c r="F15">
        <v>0.98</v>
      </c>
      <c r="G15">
        <v>0.8</v>
      </c>
      <c r="H15">
        <v>0.8</v>
      </c>
      <c r="I15">
        <v>0.8</v>
      </c>
      <c r="J15" s="97">
        <v>0.25</v>
      </c>
      <c r="K15" s="97">
        <v>0.05</v>
      </c>
    </row>
    <row r="16" spans="1:42" x14ac:dyDescent="0.15">
      <c r="D16">
        <v>15</v>
      </c>
      <c r="E16" s="161" t="s">
        <v>207</v>
      </c>
      <c r="F16">
        <v>0.98</v>
      </c>
      <c r="G16">
        <v>0.8</v>
      </c>
      <c r="H16">
        <v>0.8</v>
      </c>
      <c r="I16">
        <v>0.8</v>
      </c>
      <c r="J16" s="97">
        <v>0.25</v>
      </c>
      <c r="K16" s="97">
        <v>0.05</v>
      </c>
    </row>
    <row r="17" spans="4:33" ht="15" customHeight="1" x14ac:dyDescent="0.15">
      <c r="D17">
        <v>16</v>
      </c>
      <c r="E17" s="161" t="s">
        <v>208</v>
      </c>
      <c r="F17">
        <v>0.98</v>
      </c>
      <c r="G17">
        <v>0.8</v>
      </c>
      <c r="H17">
        <v>0.8</v>
      </c>
      <c r="I17">
        <v>0.8</v>
      </c>
      <c r="J17" s="97">
        <v>0.25</v>
      </c>
      <c r="K17" s="97">
        <v>0.05</v>
      </c>
    </row>
    <row r="18" spans="4:33" ht="15" customHeight="1" x14ac:dyDescent="0.15">
      <c r="D18">
        <v>17</v>
      </c>
      <c r="E18" s="161" t="s">
        <v>209</v>
      </c>
      <c r="F18">
        <v>0.98</v>
      </c>
      <c r="G18">
        <v>0.8</v>
      </c>
      <c r="H18">
        <v>0.8</v>
      </c>
      <c r="I18">
        <v>0.8</v>
      </c>
      <c r="J18" s="97">
        <v>0.25</v>
      </c>
      <c r="K18" s="97">
        <v>0.05</v>
      </c>
    </row>
    <row r="19" spans="4:33" ht="15" customHeight="1" x14ac:dyDescent="0.15">
      <c r="D19">
        <v>18</v>
      </c>
      <c r="E19" s="161" t="s">
        <v>210</v>
      </c>
      <c r="F19">
        <v>0.98</v>
      </c>
      <c r="G19">
        <v>0.8</v>
      </c>
      <c r="H19">
        <v>0.8</v>
      </c>
      <c r="I19">
        <v>0.8</v>
      </c>
      <c r="J19" s="97">
        <v>0.25</v>
      </c>
      <c r="K19" s="97">
        <v>0.05</v>
      </c>
    </row>
    <row r="20" spans="4:33" ht="15" customHeight="1" x14ac:dyDescent="0.15">
      <c r="D20">
        <v>19</v>
      </c>
      <c r="E20" s="161" t="s">
        <v>211</v>
      </c>
      <c r="F20">
        <v>0.98</v>
      </c>
      <c r="G20">
        <v>0.8</v>
      </c>
      <c r="H20">
        <v>0.8</v>
      </c>
      <c r="I20">
        <v>0.8</v>
      </c>
      <c r="J20" s="97">
        <v>0.25</v>
      </c>
      <c r="K20" s="97">
        <v>0.05</v>
      </c>
    </row>
    <row r="21" spans="4:33" ht="15" customHeight="1" x14ac:dyDescent="0.15">
      <c r="D21">
        <v>20</v>
      </c>
      <c r="E21" s="161" t="s">
        <v>166</v>
      </c>
      <c r="F21">
        <v>0.98</v>
      </c>
      <c r="G21">
        <v>0.8</v>
      </c>
      <c r="H21">
        <v>0.8</v>
      </c>
      <c r="I21">
        <v>0.8</v>
      </c>
      <c r="J21" s="97">
        <v>0.25</v>
      </c>
      <c r="K21" s="97">
        <v>0.05</v>
      </c>
    </row>
    <row r="22" spans="4:33" ht="15" customHeight="1" x14ac:dyDescent="0.15">
      <c r="D22">
        <v>21</v>
      </c>
      <c r="E22" s="161" t="s">
        <v>212</v>
      </c>
      <c r="F22">
        <v>0.98</v>
      </c>
      <c r="G22">
        <v>0.8</v>
      </c>
      <c r="H22">
        <v>0</v>
      </c>
      <c r="I22">
        <v>0</v>
      </c>
      <c r="J22" s="97">
        <v>0</v>
      </c>
      <c r="K22" s="97">
        <v>0</v>
      </c>
    </row>
    <row r="23" spans="4:33" ht="15" customHeight="1" x14ac:dyDescent="0.15">
      <c r="D23">
        <v>22</v>
      </c>
      <c r="E23" s="161" t="s">
        <v>213</v>
      </c>
      <c r="F23">
        <v>0.98</v>
      </c>
      <c r="G23">
        <v>0.8</v>
      </c>
      <c r="H23">
        <v>0</v>
      </c>
      <c r="I23">
        <v>0</v>
      </c>
      <c r="J23" s="97">
        <v>0</v>
      </c>
      <c r="K23" s="97">
        <v>0</v>
      </c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5" bestFit="1" customWidth="1"/>
    <col min="2" max="3" width="2.33203125" style="95" customWidth="1"/>
    <col min="4" max="21" width="3.83203125" style="95" customWidth="1"/>
    <col min="22" max="23" width="2.33203125" style="95" customWidth="1"/>
    <col min="24" max="16384" width="10.83203125" style="95"/>
  </cols>
  <sheetData>
    <row r="1" spans="1:30" x14ac:dyDescent="0.15">
      <c r="A1" s="56" t="s">
        <v>118</v>
      </c>
      <c r="B1" s="163" t="s">
        <v>193</v>
      </c>
      <c r="C1" s="163" t="s">
        <v>194</v>
      </c>
      <c r="D1" s="163" t="s">
        <v>195</v>
      </c>
      <c r="E1" s="163" t="s">
        <v>196</v>
      </c>
      <c r="F1" s="163" t="s">
        <v>197</v>
      </c>
      <c r="G1" s="163" t="s">
        <v>198</v>
      </c>
      <c r="H1" s="163" t="s">
        <v>199</v>
      </c>
      <c r="I1" s="163" t="s">
        <v>200</v>
      </c>
      <c r="J1" s="163" t="s">
        <v>201</v>
      </c>
      <c r="K1" s="163" t="s">
        <v>202</v>
      </c>
      <c r="L1" s="163" t="s">
        <v>203</v>
      </c>
      <c r="M1" s="163" t="s">
        <v>204</v>
      </c>
      <c r="N1" s="163" t="s">
        <v>205</v>
      </c>
      <c r="O1" s="163" t="s">
        <v>206</v>
      </c>
      <c r="P1" s="163" t="s">
        <v>207</v>
      </c>
      <c r="Q1" s="163" t="s">
        <v>208</v>
      </c>
      <c r="R1" s="163" t="s">
        <v>209</v>
      </c>
      <c r="S1" s="163" t="s">
        <v>210</v>
      </c>
      <c r="T1" s="163" t="s">
        <v>211</v>
      </c>
      <c r="U1" s="163" t="s">
        <v>166</v>
      </c>
      <c r="V1" s="163" t="s">
        <v>212</v>
      </c>
      <c r="W1" s="163" t="s">
        <v>213</v>
      </c>
      <c r="X1"/>
      <c r="Y1"/>
      <c r="Z1"/>
      <c r="AA1"/>
      <c r="AB1"/>
      <c r="AC1"/>
      <c r="AD1"/>
    </row>
    <row r="2" spans="1:30" customFormat="1" x14ac:dyDescent="0.15">
      <c r="A2" s="162" t="s">
        <v>193</v>
      </c>
      <c r="B2" s="95">
        <v>0</v>
      </c>
      <c r="C2" s="95">
        <v>0</v>
      </c>
      <c r="D2" s="95">
        <v>0.8</v>
      </c>
      <c r="E2" s="95">
        <v>0.8</v>
      </c>
      <c r="F2" s="95">
        <v>0.8</v>
      </c>
      <c r="G2" s="95">
        <v>0</v>
      </c>
      <c r="H2" s="95">
        <v>0</v>
      </c>
      <c r="I2" s="95">
        <v>0</v>
      </c>
      <c r="J2" s="95">
        <v>0.8</v>
      </c>
      <c r="K2" s="95">
        <v>0</v>
      </c>
      <c r="L2" s="95">
        <v>0</v>
      </c>
      <c r="M2" s="95">
        <v>0</v>
      </c>
      <c r="N2" s="95">
        <v>0</v>
      </c>
      <c r="O2" s="95">
        <v>0</v>
      </c>
      <c r="P2" s="95">
        <v>0</v>
      </c>
      <c r="Q2" s="95">
        <v>0.8</v>
      </c>
      <c r="R2" s="95">
        <v>0</v>
      </c>
      <c r="S2" s="95">
        <v>0</v>
      </c>
      <c r="T2" s="95">
        <v>0</v>
      </c>
      <c r="U2" s="95">
        <v>0</v>
      </c>
      <c r="V2" s="95">
        <v>0</v>
      </c>
      <c r="W2" s="95">
        <v>0</v>
      </c>
    </row>
    <row r="3" spans="1:30" customFormat="1" x14ac:dyDescent="0.15">
      <c r="A3" s="162" t="s">
        <v>194</v>
      </c>
      <c r="B3" s="95">
        <v>0</v>
      </c>
      <c r="C3" s="95">
        <v>0</v>
      </c>
      <c r="D3" s="95">
        <v>0</v>
      </c>
      <c r="E3" s="95">
        <v>0</v>
      </c>
      <c r="F3" s="95">
        <v>0</v>
      </c>
      <c r="G3" s="95">
        <v>0.8</v>
      </c>
      <c r="H3" s="95">
        <v>0.8</v>
      </c>
      <c r="I3" s="95">
        <v>0.8</v>
      </c>
      <c r="J3" s="95">
        <v>0</v>
      </c>
      <c r="K3" s="95">
        <v>0</v>
      </c>
      <c r="L3" s="95">
        <v>0</v>
      </c>
      <c r="M3" s="95">
        <v>0</v>
      </c>
      <c r="N3" s="95">
        <v>0</v>
      </c>
      <c r="O3" s="95">
        <v>0</v>
      </c>
      <c r="P3" s="95">
        <v>0.8</v>
      </c>
      <c r="Q3" s="95">
        <v>0</v>
      </c>
      <c r="R3" s="95">
        <v>0</v>
      </c>
      <c r="S3" s="95">
        <v>0</v>
      </c>
      <c r="T3" s="95">
        <v>0</v>
      </c>
      <c r="U3" s="95">
        <v>0</v>
      </c>
      <c r="V3" s="95">
        <v>0</v>
      </c>
      <c r="W3" s="95">
        <v>0</v>
      </c>
    </row>
    <row r="4" spans="1:30" customFormat="1" x14ac:dyDescent="0.15">
      <c r="A4" s="162" t="s">
        <v>195</v>
      </c>
      <c r="B4" s="95">
        <v>0</v>
      </c>
      <c r="C4" s="95">
        <v>0</v>
      </c>
      <c r="D4" s="95">
        <v>0.8</v>
      </c>
      <c r="E4" s="95">
        <v>0.8</v>
      </c>
      <c r="F4" s="95">
        <v>0</v>
      </c>
      <c r="G4" s="95">
        <v>0</v>
      </c>
      <c r="H4" s="95">
        <v>0</v>
      </c>
      <c r="I4" s="95">
        <v>0</v>
      </c>
      <c r="J4" s="95">
        <v>0.8</v>
      </c>
      <c r="K4" s="95">
        <v>0</v>
      </c>
      <c r="L4" s="95">
        <v>0</v>
      </c>
      <c r="M4" s="95">
        <v>0</v>
      </c>
      <c r="N4" s="95">
        <v>0</v>
      </c>
      <c r="O4" s="95">
        <v>0</v>
      </c>
      <c r="P4" s="95">
        <v>0.8</v>
      </c>
      <c r="Q4" s="95">
        <v>0.8</v>
      </c>
      <c r="R4" s="95">
        <v>0.8</v>
      </c>
      <c r="S4" s="95">
        <v>0</v>
      </c>
      <c r="T4" s="95">
        <v>0</v>
      </c>
      <c r="U4" s="95">
        <v>0.8</v>
      </c>
      <c r="V4" s="95">
        <v>0</v>
      </c>
      <c r="W4" s="95">
        <v>0</v>
      </c>
    </row>
    <row r="5" spans="1:30" customFormat="1" x14ac:dyDescent="0.15">
      <c r="A5" s="162" t="s">
        <v>196</v>
      </c>
      <c r="B5" s="95">
        <v>0</v>
      </c>
      <c r="C5" s="95">
        <v>0</v>
      </c>
      <c r="D5" s="95">
        <v>0</v>
      </c>
      <c r="E5" s="95">
        <v>0</v>
      </c>
      <c r="F5" s="95">
        <v>0</v>
      </c>
      <c r="G5" s="95">
        <v>0.8</v>
      </c>
      <c r="H5" s="95">
        <v>0</v>
      </c>
      <c r="I5" s="95">
        <v>0</v>
      </c>
      <c r="J5" s="95">
        <v>0</v>
      </c>
      <c r="K5" s="95">
        <v>0.8</v>
      </c>
      <c r="L5" s="95">
        <v>0.8</v>
      </c>
      <c r="M5" s="95">
        <v>0.8</v>
      </c>
      <c r="N5" s="95">
        <v>0.8</v>
      </c>
      <c r="O5" s="95">
        <v>0</v>
      </c>
      <c r="P5" s="95">
        <v>0.8</v>
      </c>
      <c r="Q5" s="95">
        <v>0</v>
      </c>
      <c r="R5" s="95">
        <v>0</v>
      </c>
      <c r="S5" s="95">
        <v>0</v>
      </c>
      <c r="T5" s="95">
        <v>0</v>
      </c>
      <c r="U5" s="95">
        <v>0</v>
      </c>
      <c r="V5" s="95">
        <v>0</v>
      </c>
      <c r="W5" s="95">
        <v>0</v>
      </c>
    </row>
    <row r="6" spans="1:30" customFormat="1" x14ac:dyDescent="0.15">
      <c r="A6" s="162" t="s">
        <v>197</v>
      </c>
      <c r="B6" s="95">
        <v>0</v>
      </c>
      <c r="C6" s="95">
        <v>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0.8</v>
      </c>
      <c r="L6" s="95">
        <v>0.8</v>
      </c>
      <c r="M6" s="95">
        <v>0.8</v>
      </c>
      <c r="N6" s="95">
        <v>0.8</v>
      </c>
      <c r="O6" s="95">
        <v>0.8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</row>
    <row r="7" spans="1:30" customFormat="1" x14ac:dyDescent="0.15">
      <c r="A7" s="162" t="s">
        <v>198</v>
      </c>
      <c r="B7" s="95">
        <v>0</v>
      </c>
      <c r="C7" s="95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0.8</v>
      </c>
      <c r="M7" s="95">
        <v>0</v>
      </c>
      <c r="N7" s="95">
        <v>0.8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</row>
    <row r="8" spans="1:30" customFormat="1" x14ac:dyDescent="0.15">
      <c r="A8" s="162" t="s">
        <v>199</v>
      </c>
      <c r="B8" s="95">
        <v>0</v>
      </c>
      <c r="C8" s="95">
        <v>0</v>
      </c>
      <c r="D8" s="95">
        <v>0</v>
      </c>
      <c r="E8" s="95">
        <v>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0.8</v>
      </c>
      <c r="L8" s="95">
        <v>0.8</v>
      </c>
      <c r="M8" s="95">
        <v>0.8</v>
      </c>
      <c r="N8" s="95">
        <v>0.8</v>
      </c>
      <c r="O8" s="95">
        <v>0.8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</row>
    <row r="9" spans="1:30" customFormat="1" x14ac:dyDescent="0.15">
      <c r="A9" s="162" t="s">
        <v>200</v>
      </c>
      <c r="B9" s="95">
        <v>0</v>
      </c>
      <c r="C9" s="95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5">
        <v>0.8</v>
      </c>
      <c r="L9" s="95">
        <v>0.8</v>
      </c>
      <c r="M9" s="95">
        <v>0.8</v>
      </c>
      <c r="N9" s="95">
        <v>0.8</v>
      </c>
      <c r="O9" s="95">
        <v>0.8</v>
      </c>
      <c r="P9" s="95">
        <v>0.8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</row>
    <row r="10" spans="1:30" customFormat="1" x14ac:dyDescent="0.15">
      <c r="A10" s="162" t="s">
        <v>201</v>
      </c>
      <c r="B10" s="95">
        <v>0</v>
      </c>
      <c r="C10" s="95">
        <v>0</v>
      </c>
      <c r="D10" s="95">
        <v>0</v>
      </c>
      <c r="E10" s="95">
        <v>0</v>
      </c>
      <c r="F10" s="95">
        <v>0</v>
      </c>
      <c r="G10" s="95">
        <v>0</v>
      </c>
      <c r="H10" s="95">
        <v>0</v>
      </c>
      <c r="I10" s="95">
        <v>0</v>
      </c>
      <c r="J10" s="95">
        <v>0</v>
      </c>
      <c r="K10" s="95">
        <v>0.8</v>
      </c>
      <c r="L10" s="95">
        <v>0.8</v>
      </c>
      <c r="M10" s="95">
        <v>0.8</v>
      </c>
      <c r="N10" s="95">
        <v>0.8</v>
      </c>
      <c r="O10" s="95">
        <v>0.8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</row>
    <row r="11" spans="1:30" customFormat="1" x14ac:dyDescent="0.15">
      <c r="A11" s="162" t="s">
        <v>202</v>
      </c>
      <c r="B11" s="95">
        <v>0</v>
      </c>
      <c r="C11" s="95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5">
        <v>0.8</v>
      </c>
      <c r="L11" s="95">
        <v>0</v>
      </c>
      <c r="M11" s="95">
        <v>0.8</v>
      </c>
      <c r="N11" s="95">
        <v>0.8</v>
      </c>
      <c r="O11" s="95">
        <v>0.8</v>
      </c>
      <c r="P11" s="95">
        <v>0.8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</row>
    <row r="12" spans="1:30" customFormat="1" x14ac:dyDescent="0.15">
      <c r="A12" s="162" t="s">
        <v>203</v>
      </c>
      <c r="B12" s="95">
        <v>0</v>
      </c>
      <c r="C12" s="95">
        <v>0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5">
        <v>0</v>
      </c>
      <c r="K12" s="95">
        <v>0.8</v>
      </c>
      <c r="L12" s="95">
        <v>0.8</v>
      </c>
      <c r="M12" s="95">
        <v>0.8</v>
      </c>
      <c r="N12" s="95">
        <v>0.8</v>
      </c>
      <c r="O12" s="95">
        <v>0.8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</row>
    <row r="13" spans="1:30" customFormat="1" x14ac:dyDescent="0.15">
      <c r="A13" s="162" t="s">
        <v>204</v>
      </c>
      <c r="B13" s="95">
        <v>0</v>
      </c>
      <c r="C13" s="95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5">
        <v>0</v>
      </c>
      <c r="L13" s="95">
        <v>0</v>
      </c>
      <c r="M13" s="95">
        <v>0.8</v>
      </c>
      <c r="N13" s="95">
        <v>0</v>
      </c>
      <c r="O13" s="95">
        <v>0.8</v>
      </c>
      <c r="P13" s="95">
        <v>0.8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</row>
    <row r="14" spans="1:30" customFormat="1" x14ac:dyDescent="0.15">
      <c r="A14" s="162" t="s">
        <v>205</v>
      </c>
      <c r="B14" s="95">
        <v>0</v>
      </c>
      <c r="C14" s="95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5">
        <v>0</v>
      </c>
      <c r="K14" s="95">
        <v>0</v>
      </c>
      <c r="L14" s="95">
        <v>0</v>
      </c>
      <c r="M14" s="95">
        <v>0.8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</row>
    <row r="15" spans="1:30" customFormat="1" x14ac:dyDescent="0.15">
      <c r="A15" s="162" t="s">
        <v>206</v>
      </c>
      <c r="B15" s="95">
        <v>0</v>
      </c>
      <c r="C15" s="95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5">
        <v>0</v>
      </c>
      <c r="L15" s="95">
        <v>0</v>
      </c>
      <c r="M15" s="95">
        <v>0</v>
      </c>
      <c r="N15" s="95">
        <v>0</v>
      </c>
      <c r="O15" s="95">
        <v>0.8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  <c r="W15" s="95">
        <v>0</v>
      </c>
    </row>
    <row r="16" spans="1:30" customFormat="1" x14ac:dyDescent="0.15">
      <c r="A16" s="162" t="s">
        <v>207</v>
      </c>
      <c r="B16" s="95">
        <v>0</v>
      </c>
      <c r="C16" s="95">
        <v>0</v>
      </c>
      <c r="D16" s="95">
        <v>0</v>
      </c>
      <c r="E16" s="95">
        <v>0</v>
      </c>
      <c r="F16" s="95">
        <v>0</v>
      </c>
      <c r="G16" s="95">
        <v>0</v>
      </c>
      <c r="H16" s="95">
        <v>0</v>
      </c>
      <c r="I16" s="95">
        <v>0</v>
      </c>
      <c r="J16" s="95">
        <v>0</v>
      </c>
      <c r="K16" s="95">
        <v>0</v>
      </c>
      <c r="L16" s="95">
        <v>0</v>
      </c>
      <c r="M16" s="95">
        <v>0</v>
      </c>
      <c r="N16" s="95">
        <v>0</v>
      </c>
      <c r="O16" s="95">
        <v>0</v>
      </c>
      <c r="P16" s="95">
        <v>0.8</v>
      </c>
      <c r="Q16" s="95">
        <v>0</v>
      </c>
      <c r="R16" s="95">
        <v>0</v>
      </c>
      <c r="S16" s="95">
        <v>0.8</v>
      </c>
      <c r="T16" s="95">
        <v>0.8</v>
      </c>
      <c r="U16" s="95">
        <v>0</v>
      </c>
      <c r="V16" s="95">
        <v>0</v>
      </c>
      <c r="W16" s="95">
        <v>0</v>
      </c>
    </row>
    <row r="17" spans="1:23" customFormat="1" x14ac:dyDescent="0.15">
      <c r="A17" s="162" t="s">
        <v>208</v>
      </c>
      <c r="B17" s="95">
        <v>0</v>
      </c>
      <c r="C17" s="95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5">
        <v>0</v>
      </c>
      <c r="L17" s="95">
        <v>0</v>
      </c>
      <c r="M17" s="95">
        <v>0</v>
      </c>
      <c r="N17" s="95">
        <v>0</v>
      </c>
      <c r="O17" s="95">
        <v>0</v>
      </c>
      <c r="P17" s="95">
        <v>0.8</v>
      </c>
      <c r="Q17" s="95">
        <v>0</v>
      </c>
      <c r="R17" s="95">
        <v>0.8</v>
      </c>
      <c r="S17" s="95">
        <v>0.8</v>
      </c>
      <c r="T17" s="95">
        <v>0.8</v>
      </c>
      <c r="U17" s="95">
        <v>0.8</v>
      </c>
      <c r="V17" s="95">
        <v>0</v>
      </c>
      <c r="W17" s="95">
        <v>0</v>
      </c>
    </row>
    <row r="18" spans="1:23" customFormat="1" x14ac:dyDescent="0.15">
      <c r="A18" s="162" t="s">
        <v>209</v>
      </c>
      <c r="B18" s="95">
        <v>0</v>
      </c>
      <c r="C18" s="95">
        <v>0</v>
      </c>
      <c r="D18" s="95">
        <v>0</v>
      </c>
      <c r="E18" s="95">
        <v>0</v>
      </c>
      <c r="F18" s="95">
        <v>0</v>
      </c>
      <c r="G18" s="95">
        <v>0</v>
      </c>
      <c r="H18" s="95">
        <v>0</v>
      </c>
      <c r="I18" s="95">
        <v>0</v>
      </c>
      <c r="J18" s="95">
        <v>0</v>
      </c>
      <c r="K18" s="95">
        <v>0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0.8</v>
      </c>
      <c r="T18" s="95">
        <v>0</v>
      </c>
      <c r="U18" s="95">
        <v>0</v>
      </c>
      <c r="V18" s="95">
        <v>0</v>
      </c>
      <c r="W18" s="95">
        <v>0</v>
      </c>
    </row>
    <row r="19" spans="1:23" customFormat="1" x14ac:dyDescent="0.15">
      <c r="A19" s="162" t="s">
        <v>210</v>
      </c>
      <c r="B19" s="95">
        <v>0</v>
      </c>
      <c r="C19" s="95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5">
        <v>0</v>
      </c>
      <c r="L19" s="95">
        <v>0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0</v>
      </c>
      <c r="U19" s="95">
        <v>0</v>
      </c>
      <c r="V19" s="95">
        <v>0</v>
      </c>
      <c r="W19" s="95">
        <v>0</v>
      </c>
    </row>
    <row r="20" spans="1:23" customFormat="1" x14ac:dyDescent="0.15">
      <c r="A20" s="162" t="s">
        <v>211</v>
      </c>
      <c r="B20" s="95">
        <v>0</v>
      </c>
      <c r="C20" s="95">
        <v>0</v>
      </c>
      <c r="D20" s="95">
        <v>0</v>
      </c>
      <c r="E20" s="95">
        <v>0</v>
      </c>
      <c r="F20" s="95">
        <v>0</v>
      </c>
      <c r="G20" s="95">
        <v>0</v>
      </c>
      <c r="H20" s="95">
        <v>0</v>
      </c>
      <c r="I20" s="95">
        <v>0</v>
      </c>
      <c r="J20" s="95">
        <v>0</v>
      </c>
      <c r="K20" s="95">
        <v>0</v>
      </c>
      <c r="L20" s="95">
        <v>0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</row>
    <row r="21" spans="1:23" customFormat="1" x14ac:dyDescent="0.15">
      <c r="A21" s="162" t="s">
        <v>166</v>
      </c>
      <c r="B21" s="95">
        <v>0</v>
      </c>
      <c r="C21" s="95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5">
        <v>0</v>
      </c>
      <c r="L21" s="95">
        <v>0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0</v>
      </c>
      <c r="T21" s="95">
        <v>0</v>
      </c>
      <c r="U21" s="95">
        <v>0</v>
      </c>
      <c r="V21" s="95">
        <v>0</v>
      </c>
      <c r="W21" s="95">
        <v>0</v>
      </c>
    </row>
    <row r="22" spans="1:23" customFormat="1" x14ac:dyDescent="0.15">
      <c r="A22" s="162" t="s">
        <v>212</v>
      </c>
      <c r="B22" s="95">
        <v>0</v>
      </c>
      <c r="C22" s="95">
        <v>0</v>
      </c>
      <c r="D22" s="95">
        <v>0.8</v>
      </c>
      <c r="E22" s="95">
        <v>0.8</v>
      </c>
      <c r="F22" s="95">
        <v>0.8</v>
      </c>
      <c r="G22" s="95">
        <v>0.8</v>
      </c>
      <c r="H22" s="95">
        <v>0.8</v>
      </c>
      <c r="I22" s="95">
        <v>0.8</v>
      </c>
      <c r="J22" s="95">
        <v>0.8</v>
      </c>
      <c r="K22" s="95">
        <v>0.8</v>
      </c>
      <c r="L22" s="95">
        <v>0.8</v>
      </c>
      <c r="M22" s="95">
        <v>0.8</v>
      </c>
      <c r="N22" s="95">
        <v>0.8</v>
      </c>
      <c r="O22" s="95">
        <v>0</v>
      </c>
      <c r="P22" s="95">
        <v>0.8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  <c r="W22" s="95">
        <v>0</v>
      </c>
    </row>
    <row r="23" spans="1:23" customFormat="1" x14ac:dyDescent="0.15">
      <c r="A23" s="162" t="s">
        <v>213</v>
      </c>
      <c r="B23" s="95">
        <v>0</v>
      </c>
      <c r="C23" s="95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5">
        <v>0</v>
      </c>
      <c r="L23" s="95">
        <v>0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  <c r="W23" s="95">
        <v>0</v>
      </c>
    </row>
    <row r="24" spans="1:23" customFormat="1" x14ac:dyDescent="0.15">
      <c r="A24" s="162" t="s">
        <v>215</v>
      </c>
      <c r="B24" s="95">
        <v>0</v>
      </c>
      <c r="C24" s="95">
        <v>0</v>
      </c>
      <c r="D24" s="95">
        <v>0</v>
      </c>
      <c r="E24" s="95">
        <v>0</v>
      </c>
      <c r="F24" s="95">
        <v>0</v>
      </c>
      <c r="G24" s="95">
        <v>0</v>
      </c>
      <c r="H24" s="95">
        <v>0</v>
      </c>
      <c r="I24" s="95">
        <v>0</v>
      </c>
      <c r="J24" s="95">
        <v>0</v>
      </c>
      <c r="K24" s="95">
        <v>0</v>
      </c>
      <c r="L24" s="95">
        <v>0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0</v>
      </c>
      <c r="U24" s="95">
        <v>0</v>
      </c>
      <c r="V24" s="95">
        <v>0</v>
      </c>
      <c r="W24" s="95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  <row r="32" spans="1:23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5" bestFit="1" customWidth="1"/>
    <col min="2" max="23" width="2.33203125" style="95" customWidth="1"/>
    <col min="24" max="16384" width="10.83203125" style="95"/>
  </cols>
  <sheetData>
    <row r="1" spans="1:31" x14ac:dyDescent="0.15">
      <c r="A1" s="56" t="s">
        <v>139</v>
      </c>
      <c r="B1" s="165" t="s">
        <v>193</v>
      </c>
      <c r="C1" s="165" t="s">
        <v>194</v>
      </c>
      <c r="D1" s="165" t="s">
        <v>195</v>
      </c>
      <c r="E1" s="165" t="s">
        <v>196</v>
      </c>
      <c r="F1" s="165" t="s">
        <v>197</v>
      </c>
      <c r="G1" s="165" t="s">
        <v>198</v>
      </c>
      <c r="H1" s="165" t="s">
        <v>199</v>
      </c>
      <c r="I1" s="165" t="s">
        <v>200</v>
      </c>
      <c r="J1" s="165" t="s">
        <v>201</v>
      </c>
      <c r="K1" s="165" t="s">
        <v>202</v>
      </c>
      <c r="L1" s="165" t="s">
        <v>203</v>
      </c>
      <c r="M1" s="165" t="s">
        <v>204</v>
      </c>
      <c r="N1" s="165" t="s">
        <v>205</v>
      </c>
      <c r="O1" s="165" t="s">
        <v>206</v>
      </c>
      <c r="P1" s="165" t="s">
        <v>207</v>
      </c>
      <c r="Q1" s="165" t="s">
        <v>208</v>
      </c>
      <c r="R1" s="165" t="s">
        <v>209</v>
      </c>
      <c r="S1" s="165" t="s">
        <v>210</v>
      </c>
      <c r="T1" s="165" t="s">
        <v>211</v>
      </c>
      <c r="U1" s="165" t="s">
        <v>166</v>
      </c>
      <c r="V1" s="165" t="s">
        <v>212</v>
      </c>
      <c r="W1" s="165" t="s">
        <v>213</v>
      </c>
      <c r="X1"/>
      <c r="Y1"/>
      <c r="Z1"/>
      <c r="AA1"/>
      <c r="AB1"/>
      <c r="AC1"/>
      <c r="AD1"/>
      <c r="AE1"/>
    </row>
    <row r="2" spans="1:31" customFormat="1" x14ac:dyDescent="0.15">
      <c r="A2" s="164" t="s">
        <v>193</v>
      </c>
      <c r="B2" s="95">
        <v>0</v>
      </c>
      <c r="C2" s="95">
        <v>0</v>
      </c>
      <c r="D2" s="95">
        <v>1</v>
      </c>
      <c r="E2" s="95">
        <v>1</v>
      </c>
      <c r="F2" s="95">
        <v>1</v>
      </c>
      <c r="G2" s="95">
        <v>0</v>
      </c>
      <c r="H2" s="95">
        <v>0</v>
      </c>
      <c r="I2" s="95">
        <v>0</v>
      </c>
      <c r="J2" s="95">
        <v>1</v>
      </c>
      <c r="K2" s="95">
        <v>0</v>
      </c>
      <c r="L2" s="95">
        <v>0</v>
      </c>
      <c r="M2" s="95">
        <v>0</v>
      </c>
      <c r="N2" s="95">
        <v>0</v>
      </c>
      <c r="O2" s="95">
        <v>0</v>
      </c>
      <c r="P2" s="95">
        <v>0</v>
      </c>
      <c r="Q2" s="95">
        <v>1</v>
      </c>
      <c r="R2" s="95">
        <v>0</v>
      </c>
      <c r="S2" s="95">
        <v>0</v>
      </c>
      <c r="T2" s="95">
        <v>0</v>
      </c>
      <c r="U2" s="95">
        <v>0</v>
      </c>
      <c r="V2" s="95">
        <v>0</v>
      </c>
      <c r="W2" s="95">
        <v>0</v>
      </c>
    </row>
    <row r="3" spans="1:31" customFormat="1" x14ac:dyDescent="0.15">
      <c r="A3" s="164" t="s">
        <v>194</v>
      </c>
      <c r="B3" s="95">
        <v>0</v>
      </c>
      <c r="C3" s="95">
        <v>0</v>
      </c>
      <c r="D3" s="95">
        <v>0</v>
      </c>
      <c r="E3" s="95">
        <v>0</v>
      </c>
      <c r="F3" s="95">
        <v>0</v>
      </c>
      <c r="G3" s="95">
        <v>1</v>
      </c>
      <c r="H3" s="95">
        <v>1</v>
      </c>
      <c r="I3" s="95">
        <v>1</v>
      </c>
      <c r="J3" s="95">
        <v>0</v>
      </c>
      <c r="K3" s="95">
        <v>0</v>
      </c>
      <c r="L3" s="95">
        <v>0</v>
      </c>
      <c r="M3" s="95">
        <v>0</v>
      </c>
      <c r="N3" s="95">
        <v>0</v>
      </c>
      <c r="O3" s="95">
        <v>0</v>
      </c>
      <c r="P3" s="95">
        <v>1</v>
      </c>
      <c r="Q3" s="95">
        <v>0</v>
      </c>
      <c r="R3" s="95">
        <v>0</v>
      </c>
      <c r="S3" s="95">
        <v>0</v>
      </c>
      <c r="T3" s="95">
        <v>0</v>
      </c>
      <c r="U3" s="95">
        <v>0</v>
      </c>
      <c r="V3" s="95">
        <v>0</v>
      </c>
      <c r="W3" s="95">
        <v>0</v>
      </c>
    </row>
    <row r="4" spans="1:31" customFormat="1" x14ac:dyDescent="0.15">
      <c r="A4" s="164" t="s">
        <v>195</v>
      </c>
      <c r="B4" s="95">
        <v>0</v>
      </c>
      <c r="C4" s="95">
        <v>0</v>
      </c>
      <c r="D4" s="95">
        <v>1</v>
      </c>
      <c r="E4" s="95">
        <v>1</v>
      </c>
      <c r="F4" s="95">
        <v>0</v>
      </c>
      <c r="G4" s="95">
        <v>0</v>
      </c>
      <c r="H4" s="95">
        <v>0</v>
      </c>
      <c r="I4" s="95">
        <v>0</v>
      </c>
      <c r="J4" s="95">
        <v>1</v>
      </c>
      <c r="K4" s="95">
        <v>0</v>
      </c>
      <c r="L4" s="95">
        <v>0</v>
      </c>
      <c r="M4" s="95">
        <v>0</v>
      </c>
      <c r="N4" s="95">
        <v>0</v>
      </c>
      <c r="O4" s="95">
        <v>0</v>
      </c>
      <c r="P4" s="95">
        <v>1</v>
      </c>
      <c r="Q4" s="95">
        <v>1</v>
      </c>
      <c r="R4" s="95">
        <v>1</v>
      </c>
      <c r="S4" s="95">
        <v>0</v>
      </c>
      <c r="T4" s="95">
        <v>0</v>
      </c>
      <c r="U4" s="95">
        <v>1</v>
      </c>
      <c r="V4" s="95">
        <v>0</v>
      </c>
      <c r="W4" s="95">
        <v>0</v>
      </c>
    </row>
    <row r="5" spans="1:31" customFormat="1" x14ac:dyDescent="0.15">
      <c r="A5" s="164" t="s">
        <v>196</v>
      </c>
      <c r="B5" s="95">
        <v>0</v>
      </c>
      <c r="C5" s="95">
        <v>0</v>
      </c>
      <c r="D5" s="95">
        <v>0</v>
      </c>
      <c r="E5" s="95">
        <v>0</v>
      </c>
      <c r="F5" s="95">
        <v>0</v>
      </c>
      <c r="G5" s="95">
        <v>1</v>
      </c>
      <c r="H5" s="95">
        <v>0</v>
      </c>
      <c r="I5" s="95">
        <v>0</v>
      </c>
      <c r="J5" s="95">
        <v>0</v>
      </c>
      <c r="K5" s="95">
        <v>1</v>
      </c>
      <c r="L5" s="95">
        <v>1</v>
      </c>
      <c r="M5" s="95">
        <v>1</v>
      </c>
      <c r="N5" s="95">
        <v>1</v>
      </c>
      <c r="O5" s="95">
        <v>0</v>
      </c>
      <c r="P5" s="95">
        <v>1</v>
      </c>
      <c r="Q5" s="95">
        <v>0</v>
      </c>
      <c r="R5" s="95">
        <v>0</v>
      </c>
      <c r="S5" s="95">
        <v>0</v>
      </c>
      <c r="T5" s="95">
        <v>0</v>
      </c>
      <c r="U5" s="95">
        <v>0</v>
      </c>
      <c r="V5" s="95">
        <v>0</v>
      </c>
      <c r="W5" s="95">
        <v>0</v>
      </c>
    </row>
    <row r="6" spans="1:31" customFormat="1" x14ac:dyDescent="0.15">
      <c r="A6" s="164" t="s">
        <v>197</v>
      </c>
      <c r="B6" s="95">
        <v>0</v>
      </c>
      <c r="C6" s="95">
        <v>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1</v>
      </c>
      <c r="L6" s="95">
        <v>1</v>
      </c>
      <c r="M6" s="95">
        <v>1</v>
      </c>
      <c r="N6" s="95">
        <v>1</v>
      </c>
      <c r="O6" s="95">
        <v>1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</row>
    <row r="7" spans="1:31" customFormat="1" x14ac:dyDescent="0.15">
      <c r="A7" s="164" t="s">
        <v>198</v>
      </c>
      <c r="B7" s="95">
        <v>0</v>
      </c>
      <c r="C7" s="95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1</v>
      </c>
      <c r="M7" s="95">
        <v>0</v>
      </c>
      <c r="N7" s="95">
        <v>1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</row>
    <row r="8" spans="1:31" customFormat="1" x14ac:dyDescent="0.15">
      <c r="A8" s="164" t="s">
        <v>199</v>
      </c>
      <c r="B8" s="95">
        <v>0</v>
      </c>
      <c r="C8" s="95">
        <v>0</v>
      </c>
      <c r="D8" s="95">
        <v>0</v>
      </c>
      <c r="E8" s="95">
        <v>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1</v>
      </c>
      <c r="L8" s="95">
        <v>1</v>
      </c>
      <c r="M8" s="95">
        <v>1</v>
      </c>
      <c r="N8" s="95">
        <v>1</v>
      </c>
      <c r="O8" s="95">
        <v>1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</row>
    <row r="9" spans="1:31" customFormat="1" x14ac:dyDescent="0.15">
      <c r="A9" s="164" t="s">
        <v>200</v>
      </c>
      <c r="B9" s="95">
        <v>0</v>
      </c>
      <c r="C9" s="95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5">
        <v>1</v>
      </c>
      <c r="L9" s="95">
        <v>1</v>
      </c>
      <c r="M9" s="95">
        <v>1</v>
      </c>
      <c r="N9" s="95">
        <v>1</v>
      </c>
      <c r="O9" s="95">
        <v>1</v>
      </c>
      <c r="P9" s="95">
        <v>1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</row>
    <row r="10" spans="1:31" customFormat="1" x14ac:dyDescent="0.15">
      <c r="A10" s="164" t="s">
        <v>201</v>
      </c>
      <c r="B10" s="95">
        <v>0</v>
      </c>
      <c r="C10" s="95">
        <v>0</v>
      </c>
      <c r="D10" s="95">
        <v>0</v>
      </c>
      <c r="E10" s="95">
        <v>0</v>
      </c>
      <c r="F10" s="95">
        <v>0</v>
      </c>
      <c r="G10" s="95">
        <v>0</v>
      </c>
      <c r="H10" s="95">
        <v>0</v>
      </c>
      <c r="I10" s="95">
        <v>0</v>
      </c>
      <c r="J10" s="95">
        <v>0</v>
      </c>
      <c r="K10" s="95">
        <v>1</v>
      </c>
      <c r="L10" s="95">
        <v>1</v>
      </c>
      <c r="M10" s="95">
        <v>1</v>
      </c>
      <c r="N10" s="95">
        <v>1</v>
      </c>
      <c r="O10" s="95">
        <v>1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</row>
    <row r="11" spans="1:31" customFormat="1" x14ac:dyDescent="0.15">
      <c r="A11" s="164" t="s">
        <v>202</v>
      </c>
      <c r="B11" s="95">
        <v>0</v>
      </c>
      <c r="C11" s="95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5">
        <v>1</v>
      </c>
      <c r="L11" s="95">
        <v>0</v>
      </c>
      <c r="M11" s="95">
        <v>1</v>
      </c>
      <c r="N11" s="95">
        <v>1</v>
      </c>
      <c r="O11" s="95">
        <v>1</v>
      </c>
      <c r="P11" s="95">
        <v>1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</row>
    <row r="12" spans="1:31" customFormat="1" x14ac:dyDescent="0.15">
      <c r="A12" s="164" t="s">
        <v>203</v>
      </c>
      <c r="B12" s="95">
        <v>0</v>
      </c>
      <c r="C12" s="95">
        <v>0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5">
        <v>0</v>
      </c>
      <c r="K12" s="95">
        <v>1</v>
      </c>
      <c r="L12" s="95">
        <v>1</v>
      </c>
      <c r="M12" s="95">
        <v>1</v>
      </c>
      <c r="N12" s="95">
        <v>1</v>
      </c>
      <c r="O12" s="95">
        <v>1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</row>
    <row r="13" spans="1:31" customFormat="1" x14ac:dyDescent="0.15">
      <c r="A13" s="164" t="s">
        <v>204</v>
      </c>
      <c r="B13" s="95">
        <v>0</v>
      </c>
      <c r="C13" s="95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5">
        <v>0</v>
      </c>
      <c r="L13" s="95">
        <v>0</v>
      </c>
      <c r="M13" s="95">
        <v>1</v>
      </c>
      <c r="N13" s="95">
        <v>0</v>
      </c>
      <c r="O13" s="95">
        <v>1</v>
      </c>
      <c r="P13" s="95">
        <v>1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</row>
    <row r="14" spans="1:31" customFormat="1" x14ac:dyDescent="0.15">
      <c r="A14" s="164" t="s">
        <v>205</v>
      </c>
      <c r="B14" s="95">
        <v>0</v>
      </c>
      <c r="C14" s="95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5">
        <v>0</v>
      </c>
      <c r="K14" s="95">
        <v>0</v>
      </c>
      <c r="L14" s="95">
        <v>0</v>
      </c>
      <c r="M14" s="95">
        <v>1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</row>
    <row r="15" spans="1:31" customFormat="1" x14ac:dyDescent="0.15">
      <c r="A15" s="164" t="s">
        <v>206</v>
      </c>
      <c r="B15" s="95">
        <v>0</v>
      </c>
      <c r="C15" s="95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5">
        <v>0</v>
      </c>
      <c r="L15" s="95">
        <v>0</v>
      </c>
      <c r="M15" s="95">
        <v>0</v>
      </c>
      <c r="N15" s="95">
        <v>0</v>
      </c>
      <c r="O15" s="95">
        <v>1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  <c r="W15" s="95">
        <v>0</v>
      </c>
    </row>
    <row r="16" spans="1:31" customFormat="1" x14ac:dyDescent="0.15">
      <c r="A16" s="164" t="s">
        <v>207</v>
      </c>
      <c r="B16" s="95">
        <v>0</v>
      </c>
      <c r="C16" s="95">
        <v>0</v>
      </c>
      <c r="D16" s="95">
        <v>0</v>
      </c>
      <c r="E16" s="95">
        <v>0</v>
      </c>
      <c r="F16" s="95">
        <v>0</v>
      </c>
      <c r="G16" s="95">
        <v>0</v>
      </c>
      <c r="H16" s="95">
        <v>0</v>
      </c>
      <c r="I16" s="95">
        <v>0</v>
      </c>
      <c r="J16" s="95">
        <v>0</v>
      </c>
      <c r="K16" s="95">
        <v>0</v>
      </c>
      <c r="L16" s="95">
        <v>0</v>
      </c>
      <c r="M16" s="95">
        <v>0</v>
      </c>
      <c r="N16" s="95">
        <v>0</v>
      </c>
      <c r="O16" s="95">
        <v>0</v>
      </c>
      <c r="P16" s="95">
        <v>1</v>
      </c>
      <c r="Q16" s="95">
        <v>0</v>
      </c>
      <c r="R16" s="95">
        <v>0</v>
      </c>
      <c r="S16" s="95">
        <v>1</v>
      </c>
      <c r="T16" s="95">
        <v>1</v>
      </c>
      <c r="U16" s="95">
        <v>0</v>
      </c>
      <c r="V16" s="95">
        <v>0</v>
      </c>
      <c r="W16" s="95">
        <v>0</v>
      </c>
    </row>
    <row r="17" spans="1:23" customFormat="1" x14ac:dyDescent="0.15">
      <c r="A17" s="164" t="s">
        <v>208</v>
      </c>
      <c r="B17" s="95">
        <v>0</v>
      </c>
      <c r="C17" s="95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5">
        <v>0</v>
      </c>
      <c r="L17" s="95">
        <v>0</v>
      </c>
      <c r="M17" s="95">
        <v>0</v>
      </c>
      <c r="N17" s="95">
        <v>0</v>
      </c>
      <c r="O17" s="95">
        <v>0</v>
      </c>
      <c r="P17" s="95">
        <v>1</v>
      </c>
      <c r="Q17" s="95">
        <v>0</v>
      </c>
      <c r="R17" s="95">
        <v>1</v>
      </c>
      <c r="S17" s="95">
        <v>1</v>
      </c>
      <c r="T17" s="95">
        <v>1</v>
      </c>
      <c r="U17" s="95">
        <v>1</v>
      </c>
      <c r="V17" s="95">
        <v>0</v>
      </c>
      <c r="W17" s="95">
        <v>0</v>
      </c>
    </row>
    <row r="18" spans="1:23" customFormat="1" x14ac:dyDescent="0.15">
      <c r="A18" s="164" t="s">
        <v>209</v>
      </c>
      <c r="B18" s="95">
        <v>0</v>
      </c>
      <c r="C18" s="95">
        <v>0</v>
      </c>
      <c r="D18" s="95">
        <v>0</v>
      </c>
      <c r="E18" s="95">
        <v>0</v>
      </c>
      <c r="F18" s="95">
        <v>0</v>
      </c>
      <c r="G18" s="95">
        <v>0</v>
      </c>
      <c r="H18" s="95">
        <v>0</v>
      </c>
      <c r="I18" s="95">
        <v>0</v>
      </c>
      <c r="J18" s="95">
        <v>0</v>
      </c>
      <c r="K18" s="95">
        <v>0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1</v>
      </c>
      <c r="T18" s="95">
        <v>0</v>
      </c>
      <c r="U18" s="95">
        <v>0</v>
      </c>
      <c r="V18" s="95">
        <v>0</v>
      </c>
      <c r="W18" s="95">
        <v>0</v>
      </c>
    </row>
    <row r="19" spans="1:23" customFormat="1" x14ac:dyDescent="0.15">
      <c r="A19" s="164" t="s">
        <v>210</v>
      </c>
      <c r="B19" s="95">
        <v>0</v>
      </c>
      <c r="C19" s="95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5">
        <v>0</v>
      </c>
      <c r="L19" s="95">
        <v>0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0</v>
      </c>
      <c r="U19" s="95">
        <v>0</v>
      </c>
      <c r="V19" s="95">
        <v>0</v>
      </c>
      <c r="W19" s="95">
        <v>0</v>
      </c>
    </row>
    <row r="20" spans="1:23" customFormat="1" x14ac:dyDescent="0.15">
      <c r="A20" s="164" t="s">
        <v>211</v>
      </c>
      <c r="B20" s="95">
        <v>0</v>
      </c>
      <c r="C20" s="95">
        <v>0</v>
      </c>
      <c r="D20" s="95">
        <v>0</v>
      </c>
      <c r="E20" s="95">
        <v>0</v>
      </c>
      <c r="F20" s="95">
        <v>0</v>
      </c>
      <c r="G20" s="95">
        <v>0</v>
      </c>
      <c r="H20" s="95">
        <v>0</v>
      </c>
      <c r="I20" s="95">
        <v>0</v>
      </c>
      <c r="J20" s="95">
        <v>0</v>
      </c>
      <c r="K20" s="95">
        <v>0</v>
      </c>
      <c r="L20" s="95">
        <v>0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</row>
    <row r="21" spans="1:23" customFormat="1" x14ac:dyDescent="0.15">
      <c r="A21" s="164" t="s">
        <v>166</v>
      </c>
      <c r="B21" s="95">
        <v>0</v>
      </c>
      <c r="C21" s="95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5">
        <v>0</v>
      </c>
      <c r="L21" s="95">
        <v>0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0</v>
      </c>
      <c r="T21" s="95">
        <v>0</v>
      </c>
      <c r="U21" s="95">
        <v>0</v>
      </c>
      <c r="V21" s="95">
        <v>0</v>
      </c>
      <c r="W21" s="95">
        <v>0</v>
      </c>
    </row>
    <row r="22" spans="1:23" customFormat="1" x14ac:dyDescent="0.15">
      <c r="A22" s="164" t="s">
        <v>212</v>
      </c>
      <c r="B22" s="95">
        <v>0</v>
      </c>
      <c r="C22" s="95">
        <v>0</v>
      </c>
      <c r="D22" s="95">
        <v>1</v>
      </c>
      <c r="E22" s="95">
        <v>1</v>
      </c>
      <c r="F22" s="95">
        <v>1</v>
      </c>
      <c r="G22" s="95">
        <v>1</v>
      </c>
      <c r="H22" s="95">
        <v>1</v>
      </c>
      <c r="I22" s="95">
        <v>1</v>
      </c>
      <c r="J22" s="95">
        <v>1</v>
      </c>
      <c r="K22" s="95">
        <v>1</v>
      </c>
      <c r="L22" s="95">
        <v>1</v>
      </c>
      <c r="M22" s="95">
        <v>1</v>
      </c>
      <c r="N22" s="95">
        <v>1</v>
      </c>
      <c r="O22" s="95">
        <v>0</v>
      </c>
      <c r="P22" s="95">
        <v>1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  <c r="W22" s="95">
        <v>0</v>
      </c>
    </row>
    <row r="23" spans="1:23" customFormat="1" x14ac:dyDescent="0.15">
      <c r="A23" s="164" t="s">
        <v>213</v>
      </c>
      <c r="B23" s="95">
        <v>0</v>
      </c>
      <c r="C23" s="95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5">
        <v>0</v>
      </c>
      <c r="L23" s="95">
        <v>0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  <c r="W23" s="95">
        <v>0</v>
      </c>
    </row>
    <row r="24" spans="1:23" customFormat="1" x14ac:dyDescent="0.15">
      <c r="A24" s="164" t="s">
        <v>215</v>
      </c>
      <c r="B24" s="95">
        <v>0</v>
      </c>
      <c r="C24" s="95">
        <v>0</v>
      </c>
      <c r="D24" s="95">
        <v>0</v>
      </c>
      <c r="E24" s="95">
        <v>0</v>
      </c>
      <c r="F24" s="95">
        <v>0</v>
      </c>
      <c r="G24" s="95">
        <v>0</v>
      </c>
      <c r="H24" s="95">
        <v>0</v>
      </c>
      <c r="I24" s="95">
        <v>0</v>
      </c>
      <c r="J24" s="95">
        <v>0</v>
      </c>
      <c r="K24" s="95">
        <v>0</v>
      </c>
      <c r="L24" s="95">
        <v>0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0</v>
      </c>
      <c r="U24" s="95">
        <v>0</v>
      </c>
      <c r="V24" s="95">
        <v>0</v>
      </c>
      <c r="W24" s="95">
        <v>0</v>
      </c>
    </row>
    <row r="25" spans="1:23" customFormat="1" x14ac:dyDescent="0.15"/>
    <row r="26" spans="1:23" customFormat="1" x14ac:dyDescent="0.15"/>
    <row r="27" spans="1:23" customFormat="1" x14ac:dyDescent="0.15"/>
    <row r="28" spans="1:23" customFormat="1" x14ac:dyDescent="0.15"/>
    <row r="29" spans="1:23" customFormat="1" x14ac:dyDescent="0.15"/>
    <row r="30" spans="1:23" customFormat="1" x14ac:dyDescent="0.15"/>
    <row r="31" spans="1:23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0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67" t="s">
        <v>214</v>
      </c>
    </row>
    <row r="2" spans="1:3" x14ac:dyDescent="0.15">
      <c r="A2">
        <v>1</v>
      </c>
      <c r="B2" s="166" t="s">
        <v>193</v>
      </c>
      <c r="C2">
        <v>0</v>
      </c>
    </row>
    <row r="3" spans="1:3" x14ac:dyDescent="0.15">
      <c r="A3">
        <v>2</v>
      </c>
      <c r="B3" s="166" t="s">
        <v>194</v>
      </c>
      <c r="C3">
        <v>0</v>
      </c>
    </row>
    <row r="4" spans="1:3" x14ac:dyDescent="0.15">
      <c r="A4">
        <v>3</v>
      </c>
      <c r="B4" s="166" t="s">
        <v>195</v>
      </c>
      <c r="C4">
        <v>0</v>
      </c>
    </row>
    <row r="5" spans="1:3" x14ac:dyDescent="0.15">
      <c r="A5">
        <v>4</v>
      </c>
      <c r="B5" s="166" t="s">
        <v>196</v>
      </c>
      <c r="C5">
        <v>0</v>
      </c>
    </row>
    <row r="6" spans="1:3" x14ac:dyDescent="0.15">
      <c r="A6">
        <v>5</v>
      </c>
      <c r="B6" s="166" t="s">
        <v>197</v>
      </c>
      <c r="C6">
        <v>0.8</v>
      </c>
    </row>
    <row r="7" spans="1:3" x14ac:dyDescent="0.15">
      <c r="A7">
        <v>6</v>
      </c>
      <c r="B7" s="166" t="s">
        <v>198</v>
      </c>
      <c r="C7">
        <v>0</v>
      </c>
    </row>
    <row r="8" spans="1:3" x14ac:dyDescent="0.15">
      <c r="A8">
        <v>7</v>
      </c>
      <c r="B8" s="166" t="s">
        <v>199</v>
      </c>
      <c r="C8">
        <v>0</v>
      </c>
    </row>
    <row r="9" spans="1:3" x14ac:dyDescent="0.15">
      <c r="A9">
        <v>8</v>
      </c>
      <c r="B9" s="166" t="s">
        <v>200</v>
      </c>
      <c r="C9">
        <v>0.8</v>
      </c>
    </row>
    <row r="10" spans="1:3" x14ac:dyDescent="0.15">
      <c r="A10">
        <v>9</v>
      </c>
      <c r="B10" s="166" t="s">
        <v>201</v>
      </c>
      <c r="C10">
        <v>0.8</v>
      </c>
    </row>
    <row r="11" spans="1:3" x14ac:dyDescent="0.15">
      <c r="A11">
        <v>10</v>
      </c>
      <c r="B11" s="166" t="s">
        <v>202</v>
      </c>
      <c r="C11">
        <v>0.8</v>
      </c>
    </row>
    <row r="12" spans="1:3" x14ac:dyDescent="0.15">
      <c r="A12">
        <v>11</v>
      </c>
      <c r="B12" s="166" t="s">
        <v>203</v>
      </c>
      <c r="C12">
        <v>0.8</v>
      </c>
    </row>
    <row r="13" spans="1:3" x14ac:dyDescent="0.15">
      <c r="A13">
        <v>12</v>
      </c>
      <c r="B13" s="166" t="s">
        <v>204</v>
      </c>
      <c r="C13">
        <v>0</v>
      </c>
    </row>
    <row r="14" spans="1:3" x14ac:dyDescent="0.15">
      <c r="A14">
        <v>13</v>
      </c>
      <c r="B14" s="166" t="s">
        <v>205</v>
      </c>
      <c r="C14">
        <v>0</v>
      </c>
    </row>
    <row r="15" spans="1:3" x14ac:dyDescent="0.15">
      <c r="A15">
        <v>14</v>
      </c>
      <c r="B15" s="166" t="s">
        <v>206</v>
      </c>
      <c r="C15">
        <v>0.8</v>
      </c>
    </row>
    <row r="16" spans="1:3" x14ac:dyDescent="0.15">
      <c r="A16">
        <v>15</v>
      </c>
      <c r="B16" s="166" t="s">
        <v>207</v>
      </c>
      <c r="C16">
        <v>0.8</v>
      </c>
    </row>
    <row r="17" spans="1:3" x14ac:dyDescent="0.15">
      <c r="A17">
        <v>16</v>
      </c>
      <c r="B17" s="166" t="s">
        <v>208</v>
      </c>
      <c r="C17">
        <v>0.8</v>
      </c>
    </row>
    <row r="18" spans="1:3" x14ac:dyDescent="0.15">
      <c r="A18">
        <v>17</v>
      </c>
      <c r="B18" s="166" t="s">
        <v>209</v>
      </c>
      <c r="C18">
        <v>0.8</v>
      </c>
    </row>
    <row r="19" spans="1:3" x14ac:dyDescent="0.15">
      <c r="A19">
        <v>18</v>
      </c>
      <c r="B19" s="166" t="s">
        <v>210</v>
      </c>
      <c r="C19">
        <v>0</v>
      </c>
    </row>
    <row r="20" spans="1:3" x14ac:dyDescent="0.15">
      <c r="A20">
        <v>19</v>
      </c>
      <c r="B20" s="166" t="s">
        <v>211</v>
      </c>
      <c r="C20">
        <v>0</v>
      </c>
    </row>
    <row r="21" spans="1:3" x14ac:dyDescent="0.15">
      <c r="A21">
        <v>20</v>
      </c>
      <c r="B21" s="166" t="s">
        <v>166</v>
      </c>
      <c r="C21">
        <v>0.8</v>
      </c>
    </row>
    <row r="22" spans="1:3" x14ac:dyDescent="0.15">
      <c r="A22">
        <v>21</v>
      </c>
      <c r="B22" s="166" t="s">
        <v>212</v>
      </c>
      <c r="C22">
        <v>0</v>
      </c>
    </row>
    <row r="23" spans="1:3" x14ac:dyDescent="0.15">
      <c r="A23">
        <v>22</v>
      </c>
      <c r="B23" s="166" t="s">
        <v>213</v>
      </c>
      <c r="C2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0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69" t="s">
        <v>214</v>
      </c>
    </row>
    <row r="2" spans="1:3" x14ac:dyDescent="0.15">
      <c r="A2">
        <v>1</v>
      </c>
      <c r="B2" s="168" t="s">
        <v>193</v>
      </c>
      <c r="C2">
        <v>0</v>
      </c>
    </row>
    <row r="3" spans="1:3" x14ac:dyDescent="0.15">
      <c r="A3">
        <v>2</v>
      </c>
      <c r="B3" s="168" t="s">
        <v>194</v>
      </c>
      <c r="C3">
        <v>0</v>
      </c>
    </row>
    <row r="4" spans="1:3" x14ac:dyDescent="0.15">
      <c r="A4">
        <v>3</v>
      </c>
      <c r="B4" s="168" t="s">
        <v>195</v>
      </c>
      <c r="C4">
        <v>0</v>
      </c>
    </row>
    <row r="5" spans="1:3" x14ac:dyDescent="0.15">
      <c r="A5">
        <v>4</v>
      </c>
      <c r="B5" s="168" t="s">
        <v>196</v>
      </c>
      <c r="C5">
        <v>0</v>
      </c>
    </row>
    <row r="6" spans="1:3" x14ac:dyDescent="0.15">
      <c r="A6">
        <v>5</v>
      </c>
      <c r="B6" s="168" t="s">
        <v>197</v>
      </c>
      <c r="C6">
        <v>0.8</v>
      </c>
    </row>
    <row r="7" spans="1:3" x14ac:dyDescent="0.15">
      <c r="A7">
        <v>6</v>
      </c>
      <c r="B7" s="168" t="s">
        <v>198</v>
      </c>
      <c r="C7">
        <v>0</v>
      </c>
    </row>
    <row r="8" spans="1:3" x14ac:dyDescent="0.15">
      <c r="A8">
        <v>7</v>
      </c>
      <c r="B8" s="168" t="s">
        <v>199</v>
      </c>
      <c r="C8">
        <v>0</v>
      </c>
    </row>
    <row r="9" spans="1:3" x14ac:dyDescent="0.15">
      <c r="A9">
        <v>8</v>
      </c>
      <c r="B9" s="168" t="s">
        <v>200</v>
      </c>
      <c r="C9">
        <v>0.8</v>
      </c>
    </row>
    <row r="10" spans="1:3" x14ac:dyDescent="0.15">
      <c r="A10">
        <v>9</v>
      </c>
      <c r="B10" s="168" t="s">
        <v>201</v>
      </c>
      <c r="C10">
        <v>0.8</v>
      </c>
    </row>
    <row r="11" spans="1:3" x14ac:dyDescent="0.15">
      <c r="A11">
        <v>10</v>
      </c>
      <c r="B11" s="168" t="s">
        <v>202</v>
      </c>
      <c r="C11">
        <v>0.8</v>
      </c>
    </row>
    <row r="12" spans="1:3" x14ac:dyDescent="0.15">
      <c r="A12">
        <v>11</v>
      </c>
      <c r="B12" s="168" t="s">
        <v>203</v>
      </c>
      <c r="C12">
        <v>0.8</v>
      </c>
    </row>
    <row r="13" spans="1:3" x14ac:dyDescent="0.15">
      <c r="A13">
        <v>12</v>
      </c>
      <c r="B13" s="168" t="s">
        <v>204</v>
      </c>
      <c r="C13">
        <v>0</v>
      </c>
    </row>
    <row r="14" spans="1:3" x14ac:dyDescent="0.15">
      <c r="A14">
        <v>13</v>
      </c>
      <c r="B14" s="168" t="s">
        <v>205</v>
      </c>
      <c r="C14">
        <v>0</v>
      </c>
    </row>
    <row r="15" spans="1:3" x14ac:dyDescent="0.15">
      <c r="A15">
        <v>14</v>
      </c>
      <c r="B15" s="168" t="s">
        <v>206</v>
      </c>
      <c r="C15">
        <v>0.8</v>
      </c>
    </row>
    <row r="16" spans="1:3" x14ac:dyDescent="0.15">
      <c r="A16">
        <v>15</v>
      </c>
      <c r="B16" s="168" t="s">
        <v>207</v>
      </c>
      <c r="C16">
        <v>0.8</v>
      </c>
    </row>
    <row r="17" spans="1:3" x14ac:dyDescent="0.15">
      <c r="A17">
        <v>16</v>
      </c>
      <c r="B17" s="168" t="s">
        <v>208</v>
      </c>
      <c r="C17">
        <v>0.8</v>
      </c>
    </row>
    <row r="18" spans="1:3" x14ac:dyDescent="0.15">
      <c r="A18">
        <v>17</v>
      </c>
      <c r="B18" s="168" t="s">
        <v>209</v>
      </c>
      <c r="C18">
        <v>0.8</v>
      </c>
    </row>
    <row r="19" spans="1:3" x14ac:dyDescent="0.15">
      <c r="A19">
        <v>18</v>
      </c>
      <c r="B19" s="168" t="s">
        <v>210</v>
      </c>
      <c r="C19">
        <v>0</v>
      </c>
    </row>
    <row r="20" spans="1:3" x14ac:dyDescent="0.15">
      <c r="A20">
        <v>19</v>
      </c>
      <c r="B20" s="168" t="s">
        <v>211</v>
      </c>
      <c r="C20">
        <v>0</v>
      </c>
    </row>
    <row r="21" spans="1:3" x14ac:dyDescent="0.15">
      <c r="A21">
        <v>20</v>
      </c>
      <c r="B21" s="168" t="s">
        <v>166</v>
      </c>
      <c r="C21">
        <v>0.8</v>
      </c>
    </row>
    <row r="22" spans="1:3" x14ac:dyDescent="0.15">
      <c r="A22">
        <v>21</v>
      </c>
      <c r="B22" s="168" t="s">
        <v>212</v>
      </c>
      <c r="C22">
        <v>0</v>
      </c>
    </row>
    <row r="23" spans="1:3" x14ac:dyDescent="0.15">
      <c r="A23">
        <v>22</v>
      </c>
      <c r="B23" s="168" t="s">
        <v>213</v>
      </c>
      <c r="C2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6" sqref="L6"/>
    </sheetView>
  </sheetViews>
  <sheetFormatPr baseColWidth="10" defaultColWidth="8.83203125" defaultRowHeight="15" customHeight="1" x14ac:dyDescent="0.15"/>
  <cols>
    <col min="1" max="1" width="8.83203125" style="70"/>
    <col min="2" max="2" width="41.83203125" style="70" bestFit="1" customWidth="1"/>
    <col min="3" max="3" width="9.33203125" style="70" bestFit="1" customWidth="1"/>
    <col min="4" max="4" width="13" style="70" bestFit="1" customWidth="1"/>
    <col min="5" max="6" width="9.33203125" style="70" bestFit="1" customWidth="1"/>
    <col min="7" max="7" width="9.33203125" style="86" bestFit="1" customWidth="1"/>
    <col min="8" max="8" width="9.33203125" style="70" bestFit="1" customWidth="1"/>
    <col min="9" max="9" width="11" style="70" customWidth="1"/>
    <col min="10" max="10" width="8.83203125" style="70"/>
    <col min="15" max="16384" width="8.83203125" style="7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8" t="s">
        <v>14</v>
      </c>
      <c r="H1" s="1" t="s">
        <v>26</v>
      </c>
      <c r="I1" s="1" t="s">
        <v>24</v>
      </c>
    </row>
    <row r="2" spans="1:10" ht="15" customHeight="1" x14ac:dyDescent="0.15">
      <c r="A2" s="128">
        <v>1</v>
      </c>
      <c r="B2" s="128" t="s">
        <v>193</v>
      </c>
      <c r="C2" s="8">
        <v>1</v>
      </c>
      <c r="D2" s="9">
        <v>21.334999084472656</v>
      </c>
      <c r="E2" s="9">
        <v>343.885986328125</v>
      </c>
      <c r="F2" s="10"/>
      <c r="G2" s="9">
        <v>0.69360119104385376</v>
      </c>
      <c r="H2" s="10"/>
      <c r="I2">
        <v>0</v>
      </c>
      <c r="J2"/>
    </row>
    <row r="3" spans="1:10" ht="15" customHeight="1" x14ac:dyDescent="0.15">
      <c r="A3" s="129">
        <v>2</v>
      </c>
      <c r="B3" s="129" t="s">
        <v>194</v>
      </c>
      <c r="C3" s="8">
        <v>1</v>
      </c>
      <c r="D3" s="9">
        <v>284.60699462890625</v>
      </c>
      <c r="E3" s="9">
        <v>16.091999053955078</v>
      </c>
      <c r="F3" s="10"/>
      <c r="G3" s="9">
        <v>4.238668829202652E-2</v>
      </c>
      <c r="H3" s="10"/>
      <c r="I3">
        <v>0</v>
      </c>
      <c r="J3"/>
    </row>
    <row r="4" spans="1:10" ht="15" customHeight="1" x14ac:dyDescent="0.15">
      <c r="A4" s="130">
        <v>3</v>
      </c>
      <c r="B4" s="130" t="s">
        <v>195</v>
      </c>
      <c r="C4" s="8">
        <v>2.1750879287719727</v>
      </c>
      <c r="D4" s="9">
        <v>27.874000549316406</v>
      </c>
      <c r="E4" s="9">
        <v>40.058998107910156</v>
      </c>
      <c r="F4" s="9">
        <v>157.88299560546875</v>
      </c>
      <c r="G4" s="9">
        <v>0.77467209100723267</v>
      </c>
      <c r="H4" s="9">
        <v>0.25372585654258728</v>
      </c>
      <c r="I4">
        <v>0</v>
      </c>
      <c r="J4"/>
    </row>
    <row r="5" spans="1:10" ht="15" customHeight="1" x14ac:dyDescent="0.15">
      <c r="A5" s="131">
        <v>4</v>
      </c>
      <c r="B5" s="131" t="s">
        <v>196</v>
      </c>
      <c r="C5" s="8">
        <v>2.0611045360565186</v>
      </c>
      <c r="D5" s="9">
        <v>45.896999359130859</v>
      </c>
      <c r="E5" s="9">
        <v>1.090999960899353</v>
      </c>
      <c r="F5" s="9">
        <v>4.4739999771118164</v>
      </c>
      <c r="G5" s="9">
        <v>0.81267791986465454</v>
      </c>
      <c r="H5" s="9">
        <v>0.243853360414505</v>
      </c>
      <c r="I5">
        <v>0</v>
      </c>
      <c r="J5"/>
    </row>
    <row r="6" spans="1:10" ht="15" customHeight="1" x14ac:dyDescent="0.15">
      <c r="A6" s="132">
        <v>5</v>
      </c>
      <c r="B6" s="132" t="s">
        <v>197</v>
      </c>
      <c r="C6" s="8">
        <v>2</v>
      </c>
      <c r="D6" s="9">
        <v>23.688999176025391</v>
      </c>
      <c r="E6" s="9">
        <v>1.3639999628067017</v>
      </c>
      <c r="F6" s="9">
        <v>10.555999755859375</v>
      </c>
      <c r="G6" s="9">
        <v>0.82065302133560181</v>
      </c>
      <c r="H6" s="9">
        <v>0.12921561300754547</v>
      </c>
      <c r="I6">
        <v>2.3399999141693115</v>
      </c>
      <c r="J6"/>
    </row>
    <row r="7" spans="1:10" ht="15" customHeight="1" x14ac:dyDescent="0.15">
      <c r="A7" s="133">
        <v>6</v>
      </c>
      <c r="B7" s="133" t="s">
        <v>198</v>
      </c>
      <c r="C7" s="8">
        <v>2.1083409786224365</v>
      </c>
      <c r="D7" s="9">
        <v>22.798000335693359</v>
      </c>
      <c r="E7" s="9">
        <v>0.59700000286102295</v>
      </c>
      <c r="F7" s="9">
        <v>2.7860000133514404</v>
      </c>
      <c r="G7" s="9">
        <v>0.64263862371444702</v>
      </c>
      <c r="H7" s="9">
        <v>0.2142857164144516</v>
      </c>
      <c r="I7">
        <v>0</v>
      </c>
      <c r="J7"/>
    </row>
    <row r="8" spans="1:10" ht="15" customHeight="1" x14ac:dyDescent="0.15">
      <c r="A8" s="134">
        <v>7</v>
      </c>
      <c r="B8" s="134" t="s">
        <v>199</v>
      </c>
      <c r="C8" s="8">
        <v>2</v>
      </c>
      <c r="D8" s="9">
        <v>25.257999420166016</v>
      </c>
      <c r="E8" s="9">
        <v>1.2350000143051147</v>
      </c>
      <c r="F8" s="9">
        <v>4.1160001754760742</v>
      </c>
      <c r="G8" s="9">
        <v>0.65082943439483643</v>
      </c>
      <c r="H8" s="9">
        <v>0.3000485897064209</v>
      </c>
      <c r="I8">
        <v>0</v>
      </c>
      <c r="J8"/>
    </row>
    <row r="9" spans="1:10" ht="15" customHeight="1" x14ac:dyDescent="0.15">
      <c r="A9" s="135">
        <v>8</v>
      </c>
      <c r="B9" s="135" t="s">
        <v>200</v>
      </c>
      <c r="C9" s="8">
        <v>2</v>
      </c>
      <c r="D9" s="9">
        <v>36.794998168945312</v>
      </c>
      <c r="E9" s="9">
        <v>1.3020000457763672</v>
      </c>
      <c r="F9" s="9">
        <v>6.8060002326965332</v>
      </c>
      <c r="G9" s="9">
        <v>0.89234572649002075</v>
      </c>
      <c r="H9" s="9">
        <v>0.19130179286003113</v>
      </c>
      <c r="I9">
        <v>0.14399999380111694</v>
      </c>
      <c r="J9"/>
    </row>
    <row r="10" spans="1:10" ht="15" customHeight="1" x14ac:dyDescent="0.15">
      <c r="A10" s="136">
        <v>9</v>
      </c>
      <c r="B10" s="136" t="s">
        <v>201</v>
      </c>
      <c r="C10" s="8">
        <v>2.2317240238189697</v>
      </c>
      <c r="D10" s="9">
        <v>22.063999176025391</v>
      </c>
      <c r="E10" s="9">
        <v>1.093999981880188</v>
      </c>
      <c r="F10" s="9">
        <v>5.0440001487731934</v>
      </c>
      <c r="G10" s="9">
        <v>0.73128437995910645</v>
      </c>
      <c r="H10" s="9">
        <v>0.21689134836196899</v>
      </c>
      <c r="I10">
        <v>1.0000000474974513E-3</v>
      </c>
      <c r="J10"/>
    </row>
    <row r="11" spans="1:10" ht="15" customHeight="1" x14ac:dyDescent="0.15">
      <c r="A11" s="137">
        <v>10</v>
      </c>
      <c r="B11" s="137" t="s">
        <v>202</v>
      </c>
      <c r="C11" s="8">
        <v>3.0795679092407227</v>
      </c>
      <c r="D11" s="9">
        <v>37.297000885009766</v>
      </c>
      <c r="E11" s="9">
        <v>1.5110000371932983</v>
      </c>
      <c r="F11" s="9">
        <v>3.8810000419616699</v>
      </c>
      <c r="G11" s="9">
        <v>0.78080260753631592</v>
      </c>
      <c r="H11" s="9">
        <v>0.38933265209197998</v>
      </c>
      <c r="I11">
        <v>0.37900000810623169</v>
      </c>
      <c r="J11"/>
    </row>
    <row r="12" spans="1:10" ht="15" customHeight="1" x14ac:dyDescent="0.15">
      <c r="A12" s="138">
        <v>11</v>
      </c>
      <c r="B12" s="138" t="s">
        <v>203</v>
      </c>
      <c r="C12" s="8">
        <v>2.863276481628418</v>
      </c>
      <c r="D12" s="9">
        <v>14.668999671936035</v>
      </c>
      <c r="E12" s="9">
        <v>0.53700000047683716</v>
      </c>
      <c r="F12" s="9">
        <v>2.6770000457763672</v>
      </c>
      <c r="G12" s="9">
        <v>0.65825134515762329</v>
      </c>
      <c r="H12" s="9">
        <v>0.20059767365455627</v>
      </c>
      <c r="I12">
        <v>1.0000000474974513E-3</v>
      </c>
      <c r="J12"/>
    </row>
    <row r="13" spans="1:10" ht="15" customHeight="1" x14ac:dyDescent="0.15">
      <c r="A13" s="139">
        <v>12</v>
      </c>
      <c r="B13" s="139" t="s">
        <v>204</v>
      </c>
      <c r="C13" s="8">
        <v>3.1887857913970947</v>
      </c>
      <c r="D13" s="9">
        <v>7.379000186920166</v>
      </c>
      <c r="E13" s="9">
        <v>2.002000093460083</v>
      </c>
      <c r="F13" s="9">
        <v>8.7030000686645508</v>
      </c>
      <c r="G13" s="9">
        <v>0.6960139274597168</v>
      </c>
      <c r="H13" s="9">
        <v>0.23003563284873962</v>
      </c>
      <c r="I13">
        <v>0</v>
      </c>
      <c r="J13"/>
    </row>
    <row r="14" spans="1:10" ht="15" customHeight="1" x14ac:dyDescent="0.15">
      <c r="A14" s="140">
        <v>13</v>
      </c>
      <c r="B14" s="140" t="s">
        <v>205</v>
      </c>
      <c r="C14" s="8">
        <v>3.1285345554351807</v>
      </c>
      <c r="D14" s="9">
        <v>1.0329999923706055</v>
      </c>
      <c r="E14" s="9">
        <v>0.73100000619888306</v>
      </c>
      <c r="F14" s="9">
        <v>3.6700000762939453</v>
      </c>
      <c r="G14" s="9">
        <v>0.68036007881164551</v>
      </c>
      <c r="H14" s="9">
        <v>0.19918255507946014</v>
      </c>
      <c r="I14">
        <v>0</v>
      </c>
      <c r="J14"/>
    </row>
    <row r="15" spans="1:10" ht="15" customHeight="1" x14ac:dyDescent="0.15">
      <c r="A15" s="141">
        <v>14</v>
      </c>
      <c r="B15" s="141" t="s">
        <v>206</v>
      </c>
      <c r="C15" s="8">
        <v>3.7353215217590332</v>
      </c>
      <c r="D15" s="9">
        <v>1.4999999664723873E-2</v>
      </c>
      <c r="E15" s="9">
        <v>4.9109997749328613</v>
      </c>
      <c r="F15" s="9">
        <v>12.798999786376953</v>
      </c>
      <c r="G15" s="9">
        <v>0.90405726432800293</v>
      </c>
      <c r="H15" s="9">
        <v>0.38370183110237122</v>
      </c>
      <c r="I15">
        <v>3.2999999821186066E-2</v>
      </c>
      <c r="J15"/>
    </row>
    <row r="16" spans="1:10" ht="15" customHeight="1" x14ac:dyDescent="0.15">
      <c r="A16" s="142">
        <v>15</v>
      </c>
      <c r="B16" s="142" t="s">
        <v>207</v>
      </c>
      <c r="C16" s="8">
        <v>2.8006260395050049</v>
      </c>
      <c r="D16" s="9">
        <v>2.6129999160766602</v>
      </c>
      <c r="E16" s="9">
        <v>1.1950000524520874</v>
      </c>
      <c r="F16" s="9">
        <v>14.300000190734863</v>
      </c>
      <c r="G16" s="9">
        <v>0.69813436269760132</v>
      </c>
      <c r="H16" s="9">
        <v>8.3566434681415558E-2</v>
      </c>
      <c r="I16">
        <v>1.7949999570846558</v>
      </c>
      <c r="J16"/>
    </row>
    <row r="17" spans="1:10" ht="15" customHeight="1" x14ac:dyDescent="0.15">
      <c r="A17" s="143">
        <v>16</v>
      </c>
      <c r="B17" s="143" t="s">
        <v>208</v>
      </c>
      <c r="C17" s="8">
        <v>2.1163337230682373</v>
      </c>
      <c r="D17" s="9">
        <v>82.134002685546875</v>
      </c>
      <c r="E17" s="9">
        <v>1.7269999980926514</v>
      </c>
      <c r="F17" s="9">
        <v>18.705999374389648</v>
      </c>
      <c r="G17" s="9">
        <v>0.64085173606872559</v>
      </c>
      <c r="H17" s="9">
        <v>9.2323318123817444E-2</v>
      </c>
      <c r="I17">
        <v>81.40899658203125</v>
      </c>
      <c r="J17"/>
    </row>
    <row r="18" spans="1:10" ht="15" customHeight="1" x14ac:dyDescent="0.15">
      <c r="A18" s="144">
        <v>17</v>
      </c>
      <c r="B18" s="144" t="s">
        <v>209</v>
      </c>
      <c r="C18" s="8">
        <v>3.1447122097015381</v>
      </c>
      <c r="D18" s="9">
        <v>1.1610000133514404</v>
      </c>
      <c r="E18" s="9">
        <v>0.86900001764297485</v>
      </c>
      <c r="F18" s="9">
        <v>8.1230001449584961</v>
      </c>
      <c r="G18" s="9">
        <v>0.46303224563598633</v>
      </c>
      <c r="H18" s="9">
        <v>0.10698018223047256</v>
      </c>
      <c r="I18">
        <v>0.42500001192092896</v>
      </c>
      <c r="J18"/>
    </row>
    <row r="19" spans="1:10" ht="15" customHeight="1" x14ac:dyDescent="0.15">
      <c r="A19" s="145">
        <v>18</v>
      </c>
      <c r="B19" s="145" t="s">
        <v>210</v>
      </c>
      <c r="C19" s="8">
        <v>3.3383595943450928</v>
      </c>
      <c r="D19" s="9">
        <v>1.8999999389052391E-2</v>
      </c>
      <c r="E19" s="9">
        <v>0.10300000011920929</v>
      </c>
      <c r="F19" s="9">
        <v>46.179000854492188</v>
      </c>
      <c r="G19" s="7">
        <v>0</v>
      </c>
      <c r="H19" s="9">
        <v>2.230450976639986E-3</v>
      </c>
      <c r="I19">
        <v>0</v>
      </c>
      <c r="J19"/>
    </row>
    <row r="20" spans="1:10" ht="15" customHeight="1" x14ac:dyDescent="0.15">
      <c r="A20" s="146">
        <v>19</v>
      </c>
      <c r="B20" s="146" t="s">
        <v>211</v>
      </c>
      <c r="C20" s="8">
        <v>3.1881844997406006</v>
      </c>
      <c r="D20" s="9">
        <v>1.9999999552965164E-2</v>
      </c>
      <c r="E20" s="9">
        <v>3.7000000476837158E-2</v>
      </c>
      <c r="F20" s="9">
        <v>60.155998229980469</v>
      </c>
      <c r="G20" s="7">
        <v>0</v>
      </c>
      <c r="H20" s="9">
        <v>6.1506748897954822E-4</v>
      </c>
      <c r="I20">
        <v>0</v>
      </c>
      <c r="J20"/>
    </row>
    <row r="21" spans="1:10" ht="15" customHeight="1" x14ac:dyDescent="0.15">
      <c r="A21" s="147">
        <v>20</v>
      </c>
      <c r="B21" s="147" t="s">
        <v>166</v>
      </c>
      <c r="C21" s="8">
        <v>3.1339600086212158</v>
      </c>
      <c r="D21" s="9">
        <v>0.37099999189376831</v>
      </c>
      <c r="E21" s="9">
        <v>4.249000072479248</v>
      </c>
      <c r="F21" s="9">
        <v>11.125</v>
      </c>
      <c r="G21" s="9">
        <v>0.52144819498062134</v>
      </c>
      <c r="H21" s="9">
        <v>0.3819325864315033</v>
      </c>
      <c r="I21">
        <v>0.82200002670288086</v>
      </c>
      <c r="J21"/>
    </row>
    <row r="22" spans="1:10" ht="15" customHeight="1" x14ac:dyDescent="0.15">
      <c r="A22" s="148">
        <v>21</v>
      </c>
      <c r="B22" s="148" t="s">
        <v>212</v>
      </c>
      <c r="C22" s="8">
        <v>1</v>
      </c>
      <c r="D22" s="9">
        <v>1</v>
      </c>
      <c r="E22" s="10"/>
      <c r="F22" s="10"/>
      <c r="G22" s="7">
        <v>0.10127191990613937</v>
      </c>
      <c r="H22" s="10"/>
      <c r="I22">
        <v>0</v>
      </c>
      <c r="J22"/>
    </row>
    <row r="23" spans="1:10" ht="15" customHeight="1" x14ac:dyDescent="0.15">
      <c r="A23" s="149">
        <v>22</v>
      </c>
      <c r="B23" s="149" t="s">
        <v>213</v>
      </c>
      <c r="C23" s="8">
        <v>1</v>
      </c>
      <c r="D23" s="9">
        <v>5</v>
      </c>
      <c r="E23" s="10"/>
      <c r="F23" s="10"/>
      <c r="G23" s="7">
        <v>0</v>
      </c>
      <c r="H23" s="10"/>
      <c r="I23">
        <v>0</v>
      </c>
      <c r="J23"/>
    </row>
    <row r="24" spans="1:10" ht="15" customHeight="1" x14ac:dyDescent="0.15">
      <c r="A24" s="150">
        <v>23</v>
      </c>
      <c r="B24" s="150" t="s">
        <v>214</v>
      </c>
      <c r="C24" s="8">
        <v>3.1464681625366211</v>
      </c>
      <c r="D24" s="10"/>
      <c r="E24" s="10"/>
      <c r="F24" s="10"/>
      <c r="G24" s="10"/>
      <c r="H24" s="10"/>
      <c r="I24">
        <v>87.3489990234375</v>
      </c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0" bestFit="1" customWidth="1"/>
    <col min="2" max="4" width="9.5" style="70" bestFit="1" customWidth="1"/>
    <col min="5" max="7" width="9" style="70" bestFit="1" customWidth="1"/>
    <col min="8" max="16" width="12.6640625" style="70" bestFit="1" customWidth="1"/>
    <col min="17" max="17" width="12.33203125" style="70" bestFit="1" customWidth="1"/>
    <col min="18" max="18" width="8.83203125" style="70"/>
    <col min="19" max="21" width="9.33203125" style="70" bestFit="1" customWidth="1"/>
    <col min="22" max="23" width="8.83203125" style="70"/>
    <col min="24" max="24" width="9.33203125" style="70" bestFit="1" customWidth="1"/>
    <col min="25" max="27" width="8.83203125" style="70"/>
    <col min="28" max="58" width="9" style="70" bestFit="1" customWidth="1"/>
    <col min="59" max="59" width="12.33203125" style="70" bestFit="1" customWidth="1"/>
    <col min="60" max="60" width="9" style="70" bestFit="1" customWidth="1"/>
    <col min="61" max="61" width="11.33203125" style="70" bestFit="1" customWidth="1"/>
    <col min="62" max="77" width="9" style="70" bestFit="1" customWidth="1"/>
    <col min="78" max="78" width="12.33203125" style="70" bestFit="1" customWidth="1"/>
    <col min="79" max="79" width="9" style="70" bestFit="1" customWidth="1"/>
    <col min="80" max="80" width="12.33203125" style="70" bestFit="1" customWidth="1"/>
    <col min="81" max="107" width="9" style="70" bestFit="1" customWidth="1"/>
    <col min="108" max="108" width="11.33203125" style="70" bestFit="1" customWidth="1"/>
    <col min="109" max="124" width="9" style="70" bestFit="1" customWidth="1"/>
    <col min="125" max="125" width="10.33203125" style="70" bestFit="1" customWidth="1"/>
    <col min="126" max="129" width="9.33203125" style="70" bestFit="1" customWidth="1"/>
    <col min="130" max="130" width="9" style="70" bestFit="1" customWidth="1"/>
    <col min="131" max="134" width="9.33203125" style="70" bestFit="1" customWidth="1"/>
    <col min="135" max="165" width="9" style="70" bestFit="1" customWidth="1"/>
    <col min="166" max="166" width="12.33203125" style="70" bestFit="1" customWidth="1"/>
    <col min="167" max="170" width="9" style="70" bestFit="1" customWidth="1"/>
    <col min="171" max="176" width="8.83203125" style="70"/>
    <col min="177" max="177" width="13.83203125" style="70" bestFit="1" customWidth="1"/>
    <col min="178" max="16384" width="8.83203125" style="7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219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  <c r="R1" t="s">
        <v>206</v>
      </c>
      <c r="S1" t="s">
        <v>207</v>
      </c>
      <c r="T1" t="s">
        <v>208</v>
      </c>
      <c r="U1" t="s">
        <v>209</v>
      </c>
      <c r="V1" t="s">
        <v>210</v>
      </c>
      <c r="W1" t="s">
        <v>211</v>
      </c>
      <c r="X1" t="s">
        <v>166</v>
      </c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343.885986328125</v>
      </c>
      <c r="C2">
        <v>105.36625671386719</v>
      </c>
      <c r="D2"/>
      <c r="E2"/>
      <c r="F2"/>
      <c r="G2" s="206">
        <v>157.59243774414062</v>
      </c>
      <c r="H2" s="14">
        <v>3.1472799777984619</v>
      </c>
      <c r="I2" s="21">
        <v>9.2359094619750977</v>
      </c>
      <c r="J2"/>
      <c r="K2"/>
      <c r="L2"/>
      <c r="M2" s="14">
        <v>3.6603214740753174</v>
      </c>
      <c r="N2"/>
      <c r="O2"/>
      <c r="P2"/>
      <c r="Q2"/>
      <c r="R2"/>
      <c r="S2"/>
      <c r="T2" s="205">
        <v>64.883766174316406</v>
      </c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16.091999053955078</v>
      </c>
      <c r="C3">
        <v>15.409912109375</v>
      </c>
      <c r="D3"/>
      <c r="E3"/>
      <c r="F3"/>
      <c r="G3"/>
      <c r="H3"/>
      <c r="I3"/>
      <c r="J3" s="16">
        <v>0.17871326208114624</v>
      </c>
      <c r="K3" s="17">
        <v>0.29514819383621216</v>
      </c>
      <c r="L3" s="16">
        <v>0.17422094941139221</v>
      </c>
      <c r="M3"/>
      <c r="N3"/>
      <c r="O3"/>
      <c r="P3"/>
      <c r="Q3"/>
      <c r="R3"/>
      <c r="S3" s="13">
        <v>3.4004095941781998E-2</v>
      </c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40.058998107910156</v>
      </c>
      <c r="C4">
        <v>9.0264101028442383</v>
      </c>
      <c r="D4"/>
      <c r="E4"/>
      <c r="F4"/>
      <c r="G4" s="204">
        <v>23.524568557739258</v>
      </c>
      <c r="H4" s="14">
        <v>0.38307544589042664</v>
      </c>
      <c r="I4"/>
      <c r="J4"/>
      <c r="K4"/>
      <c r="L4"/>
      <c r="M4" s="18">
        <v>0.78733718395233154</v>
      </c>
      <c r="N4"/>
      <c r="O4"/>
      <c r="P4"/>
      <c r="Q4"/>
      <c r="R4"/>
      <c r="S4" s="17">
        <v>0.67294800281524658</v>
      </c>
      <c r="T4" s="203">
        <v>5.4568219184875488</v>
      </c>
      <c r="U4" s="12">
        <v>0.16341672837734222</v>
      </c>
      <c r="V4"/>
      <c r="W4"/>
      <c r="X4" s="13">
        <v>4.4421769678592682E-2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1.090999960899353</v>
      </c>
      <c r="C5">
        <v>0.20436838269233704</v>
      </c>
      <c r="D5"/>
      <c r="E5"/>
      <c r="F5"/>
      <c r="G5"/>
      <c r="H5"/>
      <c r="I5"/>
      <c r="J5" s="124">
        <v>0.14129547774791718</v>
      </c>
      <c r="K5"/>
      <c r="L5"/>
      <c r="M5"/>
      <c r="N5" s="200">
        <v>0.34026944637298584</v>
      </c>
      <c r="O5" s="191">
        <v>0.10694848001003265</v>
      </c>
      <c r="P5" s="94">
        <v>0.13572315871715546</v>
      </c>
      <c r="Q5" s="19">
        <v>8.5248891264200211E-3</v>
      </c>
      <c r="R5"/>
      <c r="S5" s="64">
        <v>0.15387021005153656</v>
      </c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1.3639999628067017</v>
      </c>
      <c r="C6">
        <v>0.24462927877902985</v>
      </c>
      <c r="D6" s="178">
        <v>9.8780021071434021E-2</v>
      </c>
      <c r="E6"/>
      <c r="F6"/>
      <c r="G6"/>
      <c r="H6"/>
      <c r="I6"/>
      <c r="J6"/>
      <c r="K6"/>
      <c r="L6"/>
      <c r="M6"/>
      <c r="N6" s="199">
        <v>0.59822261333465576</v>
      </c>
      <c r="O6" s="190">
        <v>0.17405697703361511</v>
      </c>
      <c r="P6" s="65">
        <v>0.23042984306812286</v>
      </c>
      <c r="Q6" s="16">
        <v>1.6997888684272766E-2</v>
      </c>
      <c r="R6" s="11">
        <v>8.8337896158918738E-4</v>
      </c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0.59700000286102295</v>
      </c>
      <c r="C7">
        <v>0.21334473788738251</v>
      </c>
      <c r="D7"/>
      <c r="E7"/>
      <c r="F7"/>
      <c r="G7"/>
      <c r="H7"/>
      <c r="I7"/>
      <c r="J7"/>
      <c r="K7"/>
      <c r="L7"/>
      <c r="M7"/>
      <c r="N7"/>
      <c r="O7" s="193">
        <v>0.35482922196388245</v>
      </c>
      <c r="P7"/>
      <c r="Q7" s="184">
        <v>2.8826054185628891E-2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1.2350000143051147</v>
      </c>
      <c r="C8">
        <v>0.43122565746307373</v>
      </c>
      <c r="D8"/>
      <c r="E8"/>
      <c r="F8"/>
      <c r="G8"/>
      <c r="H8"/>
      <c r="I8"/>
      <c r="J8"/>
      <c r="K8"/>
      <c r="L8"/>
      <c r="M8"/>
      <c r="N8" s="198">
        <v>0.4751848578453064</v>
      </c>
      <c r="O8" s="58">
        <v>0.11349396407604218</v>
      </c>
      <c r="P8" s="189">
        <v>0.20086057484149933</v>
      </c>
      <c r="Q8" s="16">
        <v>1.353565976023674E-2</v>
      </c>
      <c r="R8" s="11">
        <v>6.9928815355524421E-4</v>
      </c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1.3020000457763672</v>
      </c>
      <c r="C9">
        <v>0.14016586542129517</v>
      </c>
      <c r="D9" s="12">
        <v>3.913575317710638E-3</v>
      </c>
      <c r="E9"/>
      <c r="F9"/>
      <c r="G9"/>
      <c r="H9"/>
      <c r="I9"/>
      <c r="J9"/>
      <c r="K9"/>
      <c r="L9"/>
      <c r="M9"/>
      <c r="N9" s="201">
        <v>0.67203330993652344</v>
      </c>
      <c r="O9" s="192">
        <v>0.18996785581111908</v>
      </c>
      <c r="P9" s="195">
        <v>0.27401691675186157</v>
      </c>
      <c r="Q9" s="15">
        <v>1.7963722348213196E-2</v>
      </c>
      <c r="R9" s="11">
        <v>8.9222542010247707E-4</v>
      </c>
      <c r="S9" s="13">
        <v>3.0465582385659218E-3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1.093999981880188</v>
      </c>
      <c r="C10">
        <v>0.29397487640380859</v>
      </c>
      <c r="D10" s="11">
        <v>4.5322700316319242E-5</v>
      </c>
      <c r="E10"/>
      <c r="F10"/>
      <c r="G10"/>
      <c r="H10"/>
      <c r="I10"/>
      <c r="J10"/>
      <c r="K10"/>
      <c r="L10"/>
      <c r="M10"/>
      <c r="N10" s="196">
        <v>0.45877239108085632</v>
      </c>
      <c r="O10" s="188">
        <v>0.14950093626976013</v>
      </c>
      <c r="P10" s="189">
        <v>0.17754650115966797</v>
      </c>
      <c r="Q10" s="16">
        <v>1.3429079204797745E-2</v>
      </c>
      <c r="R10" s="11">
        <v>7.3090731166303158E-4</v>
      </c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1.5110000371932983</v>
      </c>
      <c r="C11">
        <v>0.331207275390625</v>
      </c>
      <c r="D11" s="20">
        <v>1.016167551279068E-2</v>
      </c>
      <c r="E11"/>
      <c r="F11"/>
      <c r="G11"/>
      <c r="H11"/>
      <c r="I11"/>
      <c r="J11"/>
      <c r="K11"/>
      <c r="L11"/>
      <c r="M11"/>
      <c r="N11" s="202">
        <v>0.91112393140792847</v>
      </c>
      <c r="O11"/>
      <c r="P11" s="194">
        <v>0.24105750024318695</v>
      </c>
      <c r="Q11" s="14">
        <v>1.5583083033561707E-2</v>
      </c>
      <c r="R11" s="11">
        <v>8.647740469314158E-4</v>
      </c>
      <c r="S11" s="11">
        <v>1.0018510511144996E-3</v>
      </c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0.53700000047683716</v>
      </c>
      <c r="C12">
        <v>0.18351902067661285</v>
      </c>
      <c r="D12" s="11">
        <v>6.8170978920534253E-5</v>
      </c>
      <c r="E12"/>
      <c r="F12"/>
      <c r="G12"/>
      <c r="H12"/>
      <c r="I12"/>
      <c r="J12"/>
      <c r="K12"/>
      <c r="L12"/>
      <c r="M12"/>
      <c r="N12" s="187">
        <v>0.20701521635055542</v>
      </c>
      <c r="O12" s="185">
        <v>6.1571002006530762E-2</v>
      </c>
      <c r="P12" s="186">
        <v>7.8802227973937988E-2</v>
      </c>
      <c r="Q12" s="14">
        <v>5.6971553713083267E-3</v>
      </c>
      <c r="R12" s="11">
        <v>3.2719509908929467E-4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2.002000093460083</v>
      </c>
      <c r="C13">
        <v>0.60858017206192017</v>
      </c>
      <c r="D13"/>
      <c r="E13"/>
      <c r="F13"/>
      <c r="G13"/>
      <c r="H13"/>
      <c r="I13"/>
      <c r="J13"/>
      <c r="K13"/>
      <c r="L13"/>
      <c r="M13"/>
      <c r="N13"/>
      <c r="O13"/>
      <c r="P13" s="197">
        <v>1.3837770223617554</v>
      </c>
      <c r="Q13"/>
      <c r="R13" s="13">
        <v>4.5791245065629482E-3</v>
      </c>
      <c r="S13" s="13">
        <v>5.0638350658118725E-3</v>
      </c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0.73100000619888306</v>
      </c>
      <c r="C14">
        <v>0.23365677893161774</v>
      </c>
      <c r="D14"/>
      <c r="E14"/>
      <c r="F14"/>
      <c r="G14"/>
      <c r="H14"/>
      <c r="I14"/>
      <c r="J14"/>
      <c r="K14"/>
      <c r="L14"/>
      <c r="M14"/>
      <c r="N14"/>
      <c r="O14"/>
      <c r="P14" s="183">
        <v>0.49734324216842651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4.9109997749328613</v>
      </c>
      <c r="C15">
        <v>0.47117474675178528</v>
      </c>
      <c r="D15" s="179">
        <v>2.2000000476837158</v>
      </c>
      <c r="E15"/>
      <c r="F15"/>
      <c r="G15"/>
      <c r="H15"/>
      <c r="I15"/>
      <c r="J15"/>
      <c r="K15"/>
      <c r="L15"/>
      <c r="M15"/>
      <c r="N15"/>
      <c r="O15"/>
      <c r="P15"/>
      <c r="Q15"/>
      <c r="R15" s="125">
        <v>2.2398247718811035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1.1950000524520874</v>
      </c>
      <c r="C16">
        <v>0.36072945594787598</v>
      </c>
      <c r="D16" s="180">
        <v>0.68694984912872314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 s="16">
        <v>1.4272897504270077E-2</v>
      </c>
      <c r="T16"/>
      <c r="U16"/>
      <c r="V16" s="60">
        <v>8.47020223736763E-2</v>
      </c>
      <c r="W16" s="57">
        <v>4.8345807939767838E-2</v>
      </c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1.7269999980926514</v>
      </c>
      <c r="C17">
        <v>0.62024903297424316</v>
      </c>
      <c r="D17" s="180">
        <v>0.9911729097366333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 s="11">
        <v>4.5407601282931864E-4</v>
      </c>
      <c r="T17"/>
      <c r="U17" s="22">
        <v>5.9363055974245071E-2</v>
      </c>
      <c r="V17" s="12">
        <v>7.474580779671669E-3</v>
      </c>
      <c r="W17" s="19">
        <v>1.3110189698636532E-2</v>
      </c>
      <c r="X17" s="18">
        <v>3.5176202654838562E-2</v>
      </c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0.86900001764297485</v>
      </c>
      <c r="C18">
        <v>0.46662497520446777</v>
      </c>
      <c r="D18" s="181">
        <v>0.36606374382972717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 s="57">
        <v>3.6311287432909012E-2</v>
      </c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0.10300000011920929</v>
      </c>
      <c r="C19">
        <v>0.10300000011920929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3.7000000476837158E-2</v>
      </c>
      <c r="C20">
        <v>3.7000000476837158E-2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166</v>
      </c>
      <c r="B21">
        <v>4.249000072479248</v>
      </c>
      <c r="C21">
        <v>2.0333666801452637</v>
      </c>
      <c r="D21" s="182">
        <v>2.2156336307525635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/>
      <c r="C22">
        <v>0.10127191990613937</v>
      </c>
      <c r="D22"/>
      <c r="E22"/>
      <c r="F22"/>
      <c r="G22" s="9">
        <v>382.87225341796875</v>
      </c>
      <c r="H22" s="9">
        <v>127.51811218261719</v>
      </c>
      <c r="I22" s="9">
        <v>53.012947082519531</v>
      </c>
      <c r="J22" s="9">
        <v>6.1671442985534668</v>
      </c>
      <c r="K22" s="9">
        <v>19.960691452026367</v>
      </c>
      <c r="L22" s="9">
        <v>200.84226989746094</v>
      </c>
      <c r="M22" s="9">
        <v>11.251625061035156</v>
      </c>
      <c r="N22" s="9">
        <v>31.090087890625</v>
      </c>
      <c r="O22" s="9">
        <v>8.0893964767456055</v>
      </c>
      <c r="P22" s="9">
        <v>12.587009429931641</v>
      </c>
      <c r="Q22" s="9">
        <v>0.37607201933860779</v>
      </c>
      <c r="R22"/>
      <c r="S22" s="9">
        <v>1.60673987865448</v>
      </c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/>
      <c r="C23">
        <v>0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7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5" t="s">
        <v>167</v>
      </c>
    </row>
    <row r="2" spans="1:12" x14ac:dyDescent="0.15">
      <c r="A2" s="1" t="s">
        <v>37</v>
      </c>
      <c r="B2" s="32">
        <v>3</v>
      </c>
      <c r="C2" s="30"/>
      <c r="D2" t="s">
        <v>38</v>
      </c>
      <c r="E2">
        <v>1</v>
      </c>
      <c r="F2">
        <v>1</v>
      </c>
      <c r="G2">
        <v>1</v>
      </c>
      <c r="H2" t="s">
        <v>38</v>
      </c>
      <c r="J2" s="48"/>
      <c r="K2" s="49"/>
      <c r="L2" s="55" t="s">
        <v>168</v>
      </c>
    </row>
    <row r="3" spans="1:12" ht="14" thickBot="1" x14ac:dyDescent="0.2">
      <c r="A3" s="1" t="s">
        <v>39</v>
      </c>
      <c r="B3" s="33">
        <v>0</v>
      </c>
      <c r="C3" s="30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0"/>
      <c r="K3" s="51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0"/>
      <c r="K4" s="51"/>
    </row>
    <row r="5" spans="1:12" x14ac:dyDescent="0.15">
      <c r="D5" s="170" t="s">
        <v>193</v>
      </c>
      <c r="E5">
        <v>4</v>
      </c>
      <c r="F5">
        <v>2</v>
      </c>
      <c r="G5">
        <v>4</v>
      </c>
      <c r="H5" s="171" t="s">
        <v>193</v>
      </c>
      <c r="J5" s="50"/>
      <c r="K5" s="51"/>
    </row>
    <row r="6" spans="1:12" ht="14" thickBot="1" x14ac:dyDescent="0.2">
      <c r="A6" s="34" t="s">
        <v>121</v>
      </c>
      <c r="D6" s="170" t="s">
        <v>194</v>
      </c>
      <c r="E6">
        <v>5</v>
      </c>
      <c r="F6">
        <v>2.2999999999999998</v>
      </c>
      <c r="G6">
        <v>5</v>
      </c>
      <c r="H6" s="171" t="s">
        <v>194</v>
      </c>
      <c r="J6" s="50"/>
      <c r="K6" s="51"/>
    </row>
    <row r="7" spans="1:12" x14ac:dyDescent="0.15">
      <c r="A7" s="29" t="s">
        <v>126</v>
      </c>
      <c r="B7" s="36">
        <v>1</v>
      </c>
      <c r="C7" s="31"/>
      <c r="D7" s="170" t="s">
        <v>195</v>
      </c>
      <c r="E7">
        <v>6</v>
      </c>
      <c r="F7">
        <v>3.11</v>
      </c>
      <c r="G7">
        <v>6</v>
      </c>
      <c r="H7" s="171" t="s">
        <v>195</v>
      </c>
      <c r="J7" s="50"/>
      <c r="K7" s="51"/>
    </row>
    <row r="8" spans="1:12" x14ac:dyDescent="0.15">
      <c r="A8" s="29" t="s">
        <v>38</v>
      </c>
      <c r="B8" s="37">
        <v>1</v>
      </c>
      <c r="C8" s="31"/>
      <c r="D8" s="170" t="s">
        <v>196</v>
      </c>
      <c r="E8">
        <v>7</v>
      </c>
      <c r="F8">
        <v>3.21</v>
      </c>
      <c r="G8">
        <v>7</v>
      </c>
      <c r="H8" s="171" t="s">
        <v>196</v>
      </c>
      <c r="J8" s="50"/>
      <c r="K8" s="51"/>
    </row>
    <row r="9" spans="1:12" x14ac:dyDescent="0.15">
      <c r="A9" s="29" t="s">
        <v>40</v>
      </c>
      <c r="B9" s="37">
        <v>1.1000000000000001</v>
      </c>
      <c r="C9" s="31"/>
      <c r="D9" s="170" t="s">
        <v>197</v>
      </c>
      <c r="E9">
        <v>8</v>
      </c>
      <c r="F9">
        <v>3.21</v>
      </c>
      <c r="G9">
        <v>8</v>
      </c>
      <c r="H9" s="171" t="s">
        <v>197</v>
      </c>
      <c r="J9" s="50"/>
      <c r="K9" s="51"/>
    </row>
    <row r="10" spans="1:12" x14ac:dyDescent="0.15">
      <c r="A10" s="29" t="s">
        <v>41</v>
      </c>
      <c r="B10" s="37">
        <v>1.2</v>
      </c>
      <c r="C10" s="31"/>
      <c r="D10" s="170" t="s">
        <v>198</v>
      </c>
      <c r="E10">
        <v>9</v>
      </c>
      <c r="F10">
        <v>3.21</v>
      </c>
      <c r="G10">
        <v>9</v>
      </c>
      <c r="H10" s="171" t="s">
        <v>198</v>
      </c>
      <c r="J10" s="50"/>
      <c r="K10" s="51"/>
    </row>
    <row r="11" spans="1:12" ht="12" customHeight="1" x14ac:dyDescent="0.15">
      <c r="A11" s="35" t="s">
        <v>127</v>
      </c>
      <c r="B11" s="37">
        <v>2</v>
      </c>
      <c r="C11" s="31"/>
      <c r="D11" s="170" t="s">
        <v>199</v>
      </c>
      <c r="E11">
        <v>10</v>
      </c>
      <c r="F11">
        <v>3.21</v>
      </c>
      <c r="G11">
        <v>10</v>
      </c>
      <c r="H11" s="171" t="s">
        <v>199</v>
      </c>
      <c r="J11" s="50"/>
      <c r="K11" s="51"/>
    </row>
    <row r="12" spans="1:12" x14ac:dyDescent="0.15">
      <c r="A12" s="29" t="s">
        <v>42</v>
      </c>
      <c r="B12" s="37">
        <v>2.1</v>
      </c>
      <c r="C12" s="31"/>
      <c r="D12" s="170" t="s">
        <v>200</v>
      </c>
      <c r="E12">
        <v>11</v>
      </c>
      <c r="F12">
        <v>3.2</v>
      </c>
      <c r="G12">
        <v>11</v>
      </c>
      <c r="H12" s="171" t="s">
        <v>200</v>
      </c>
      <c r="J12" s="50"/>
      <c r="K12" s="51"/>
    </row>
    <row r="13" spans="1:12" x14ac:dyDescent="0.15">
      <c r="A13" s="29" t="s">
        <v>43</v>
      </c>
      <c r="B13" s="37">
        <v>2.2000000000000002</v>
      </c>
      <c r="C13" s="31"/>
      <c r="D13" s="170" t="s">
        <v>201</v>
      </c>
      <c r="E13">
        <v>12</v>
      </c>
      <c r="F13">
        <v>3.21</v>
      </c>
      <c r="G13">
        <v>12</v>
      </c>
      <c r="H13" s="171" t="s">
        <v>201</v>
      </c>
      <c r="J13" s="50"/>
      <c r="K13" s="51"/>
    </row>
    <row r="14" spans="1:12" x14ac:dyDescent="0.15">
      <c r="A14" s="29" t="s">
        <v>67</v>
      </c>
      <c r="B14" s="37">
        <v>2.2999999999999998</v>
      </c>
      <c r="C14" s="31"/>
      <c r="D14" s="170" t="s">
        <v>202</v>
      </c>
      <c r="E14">
        <v>13</v>
      </c>
      <c r="F14">
        <v>3.21</v>
      </c>
      <c r="G14">
        <v>13</v>
      </c>
      <c r="H14" s="171" t="s">
        <v>202</v>
      </c>
      <c r="J14" s="50"/>
      <c r="K14" s="51"/>
    </row>
    <row r="15" spans="1:12" x14ac:dyDescent="0.15">
      <c r="A15" s="35" t="s">
        <v>128</v>
      </c>
      <c r="B15" s="37">
        <v>3</v>
      </c>
      <c r="C15" s="31"/>
      <c r="D15" s="170" t="s">
        <v>203</v>
      </c>
      <c r="E15">
        <v>14</v>
      </c>
      <c r="F15">
        <v>3.2</v>
      </c>
      <c r="G15">
        <v>14</v>
      </c>
      <c r="H15" s="171" t="s">
        <v>203</v>
      </c>
      <c r="J15" s="50"/>
      <c r="K15" s="51"/>
    </row>
    <row r="16" spans="1:12" x14ac:dyDescent="0.15">
      <c r="A16" s="29" t="s">
        <v>62</v>
      </c>
      <c r="B16" s="37">
        <v>3.11</v>
      </c>
      <c r="C16" s="31"/>
      <c r="D16" s="170" t="s">
        <v>204</v>
      </c>
      <c r="E16">
        <v>15</v>
      </c>
      <c r="F16">
        <v>3.21</v>
      </c>
      <c r="G16">
        <v>15</v>
      </c>
      <c r="H16" s="171" t="s">
        <v>204</v>
      </c>
      <c r="J16" s="50"/>
      <c r="K16" s="51"/>
    </row>
    <row r="17" spans="1:12" x14ac:dyDescent="0.15">
      <c r="A17" s="29" t="s">
        <v>61</v>
      </c>
      <c r="B17" s="37">
        <v>3.12</v>
      </c>
      <c r="C17" s="31"/>
      <c r="D17" s="170" t="s">
        <v>205</v>
      </c>
      <c r="E17">
        <v>16</v>
      </c>
      <c r="F17">
        <v>3.21</v>
      </c>
      <c r="G17">
        <v>16</v>
      </c>
      <c r="H17" s="171" t="s">
        <v>205</v>
      </c>
      <c r="J17" s="50"/>
      <c r="K17" s="51"/>
    </row>
    <row r="18" spans="1:12" x14ac:dyDescent="0.15">
      <c r="A18" s="29" t="s">
        <v>68</v>
      </c>
      <c r="B18" s="37">
        <v>3.13</v>
      </c>
      <c r="C18" s="31"/>
      <c r="D18" s="170" t="s">
        <v>206</v>
      </c>
      <c r="E18">
        <v>17</v>
      </c>
      <c r="F18">
        <v>3.21</v>
      </c>
      <c r="G18">
        <v>17</v>
      </c>
      <c r="H18" s="171" t="s">
        <v>206</v>
      </c>
      <c r="J18" s="50"/>
      <c r="K18" s="51"/>
    </row>
    <row r="19" spans="1:12" x14ac:dyDescent="0.15">
      <c r="A19" s="29" t="s">
        <v>66</v>
      </c>
      <c r="B19" s="37">
        <v>3.21</v>
      </c>
      <c r="C19" s="31"/>
      <c r="D19" s="170" t="s">
        <v>207</v>
      </c>
      <c r="E19">
        <v>18</v>
      </c>
      <c r="F19">
        <v>3</v>
      </c>
      <c r="G19">
        <v>18</v>
      </c>
      <c r="H19" s="171" t="s">
        <v>207</v>
      </c>
      <c r="J19" s="50"/>
      <c r="K19" s="51"/>
    </row>
    <row r="20" spans="1:12" x14ac:dyDescent="0.15">
      <c r="A20" s="29" t="s">
        <v>63</v>
      </c>
      <c r="B20" s="37">
        <v>3.22</v>
      </c>
      <c r="C20" s="31"/>
      <c r="D20" s="170" t="s">
        <v>208</v>
      </c>
      <c r="E20">
        <v>19</v>
      </c>
      <c r="F20">
        <v>3.12</v>
      </c>
      <c r="G20">
        <v>19</v>
      </c>
      <c r="H20" s="171" t="s">
        <v>208</v>
      </c>
      <c r="J20" s="50"/>
      <c r="K20" s="51"/>
    </row>
    <row r="21" spans="1:12" ht="14" thickBot="1" x14ac:dyDescent="0.2">
      <c r="A21" s="29" t="s">
        <v>69</v>
      </c>
      <c r="B21" s="37">
        <v>3.23</v>
      </c>
      <c r="C21" s="31"/>
      <c r="D21" s="170" t="s">
        <v>209</v>
      </c>
      <c r="E21">
        <v>20</v>
      </c>
      <c r="F21">
        <v>3.12</v>
      </c>
      <c r="G21">
        <v>20</v>
      </c>
      <c r="H21" s="171" t="s">
        <v>209</v>
      </c>
      <c r="J21" s="52"/>
      <c r="K21" s="53"/>
      <c r="L21" s="55" t="s">
        <v>152</v>
      </c>
    </row>
    <row r="22" spans="1:12" x14ac:dyDescent="0.15">
      <c r="A22" s="29" t="s">
        <v>64</v>
      </c>
      <c r="B22" s="37">
        <v>8</v>
      </c>
      <c r="C22" s="31"/>
      <c r="D22" s="170" t="s">
        <v>210</v>
      </c>
      <c r="E22">
        <v>21</v>
      </c>
      <c r="F22">
        <v>3.13</v>
      </c>
      <c r="G22">
        <v>21</v>
      </c>
      <c r="H22" s="171" t="s">
        <v>210</v>
      </c>
    </row>
    <row r="23" spans="1:12" x14ac:dyDescent="0.15">
      <c r="A23" s="29" t="s">
        <v>129</v>
      </c>
      <c r="B23" s="37">
        <v>4</v>
      </c>
      <c r="C23" s="31"/>
      <c r="D23" s="170" t="s">
        <v>211</v>
      </c>
      <c r="E23">
        <v>22</v>
      </c>
      <c r="F23">
        <v>3.13</v>
      </c>
      <c r="G23">
        <v>22</v>
      </c>
      <c r="H23" s="171" t="s">
        <v>211</v>
      </c>
    </row>
    <row r="24" spans="1:12" x14ac:dyDescent="0.15">
      <c r="A24" s="29" t="s">
        <v>122</v>
      </c>
      <c r="B24" s="37">
        <v>4.0999999999999996</v>
      </c>
      <c r="C24" s="31"/>
      <c r="D24" s="170" t="s">
        <v>166</v>
      </c>
      <c r="E24">
        <v>23</v>
      </c>
      <c r="F24">
        <v>3.12</v>
      </c>
      <c r="G24">
        <v>23</v>
      </c>
      <c r="H24" s="171" t="s">
        <v>166</v>
      </c>
    </row>
    <row r="25" spans="1:12" x14ac:dyDescent="0.15">
      <c r="A25" s="29" t="s">
        <v>70</v>
      </c>
      <c r="B25" s="37">
        <v>4.2</v>
      </c>
      <c r="C25" s="31"/>
      <c r="D25" s="170" t="s">
        <v>212</v>
      </c>
      <c r="E25">
        <v>24</v>
      </c>
      <c r="F25">
        <v>4.0999999999999996</v>
      </c>
      <c r="G25">
        <v>24</v>
      </c>
      <c r="H25" s="171" t="s">
        <v>212</v>
      </c>
    </row>
    <row r="26" spans="1:12" x14ac:dyDescent="0.15">
      <c r="A26" s="29" t="s">
        <v>123</v>
      </c>
      <c r="B26" s="37">
        <v>4.3</v>
      </c>
      <c r="C26" s="31"/>
      <c r="D26" s="170" t="s">
        <v>213</v>
      </c>
      <c r="E26">
        <v>25</v>
      </c>
      <c r="F26">
        <v>4.3</v>
      </c>
      <c r="G26">
        <v>25</v>
      </c>
      <c r="H26" s="171" t="s">
        <v>213</v>
      </c>
    </row>
    <row r="27" spans="1:12" x14ac:dyDescent="0.15">
      <c r="A27" s="29" t="s">
        <v>125</v>
      </c>
      <c r="B27" s="37">
        <v>6.1</v>
      </c>
      <c r="D27" s="170" t="s">
        <v>214</v>
      </c>
      <c r="E27">
        <v>26</v>
      </c>
      <c r="F27">
        <v>5</v>
      </c>
      <c r="G27">
        <v>26</v>
      </c>
      <c r="H27" s="171" t="s">
        <v>214</v>
      </c>
    </row>
    <row r="28" spans="1:12" x14ac:dyDescent="0.15">
      <c r="A28" s="29" t="s">
        <v>124</v>
      </c>
      <c r="B28" s="37">
        <v>6.2</v>
      </c>
      <c r="D28" s="170" t="s">
        <v>138</v>
      </c>
      <c r="E28">
        <v>27</v>
      </c>
      <c r="F28">
        <v>6.1</v>
      </c>
      <c r="G28">
        <v>27</v>
      </c>
      <c r="H28" s="171" t="s">
        <v>138</v>
      </c>
    </row>
    <row r="29" spans="1:12" x14ac:dyDescent="0.15">
      <c r="A29" s="29" t="s">
        <v>44</v>
      </c>
      <c r="B29" s="37">
        <v>5</v>
      </c>
      <c r="D29" s="170" t="s">
        <v>45</v>
      </c>
      <c r="E29">
        <v>28</v>
      </c>
      <c r="F29">
        <v>6.2</v>
      </c>
      <c r="G29">
        <v>28</v>
      </c>
      <c r="H29" s="171" t="s">
        <v>45</v>
      </c>
    </row>
    <row r="30" spans="1:12" x14ac:dyDescent="0.15">
      <c r="A30" s="29" t="s">
        <v>73</v>
      </c>
      <c r="B30" s="37">
        <v>7</v>
      </c>
    </row>
    <row r="31" spans="1:12" x14ac:dyDescent="0.15">
      <c r="A31" s="29" t="s">
        <v>170</v>
      </c>
      <c r="B31" s="37">
        <v>3.14</v>
      </c>
    </row>
    <row r="32" spans="1:12" ht="12" customHeight="1" thickBot="1" x14ac:dyDescent="0.2">
      <c r="A32" s="35" t="s">
        <v>171</v>
      </c>
      <c r="B32" s="38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71" bestFit="1" customWidth="1"/>
    <col min="2" max="2" width="12.83203125" style="70" customWidth="1"/>
    <col min="3" max="3" width="13.1640625" style="70" customWidth="1"/>
    <col min="4" max="4" width="10.83203125" style="70" customWidth="1"/>
    <col min="5" max="5" width="12.83203125" style="70" customWidth="1"/>
    <col min="6" max="6" width="21.6640625" style="70" bestFit="1" customWidth="1"/>
    <col min="7" max="9" width="2.33203125" style="70" customWidth="1"/>
    <col min="10" max="10" width="2.33203125" style="70" bestFit="1" customWidth="1"/>
    <col min="11" max="15" width="2.33203125" style="70" customWidth="1"/>
    <col min="16" max="16" width="2.33203125" style="61" customWidth="1"/>
    <col min="17" max="17" width="2.33203125" style="70" customWidth="1"/>
    <col min="18" max="18" width="2.33203125" style="62" customWidth="1"/>
    <col min="19" max="16384" width="11.5" style="70"/>
  </cols>
  <sheetData>
    <row r="1" spans="1:23" ht="15" customHeight="1" thickBot="1" x14ac:dyDescent="0.2">
      <c r="F1" s="1"/>
      <c r="G1" s="59" t="s">
        <v>46</v>
      </c>
      <c r="H1" s="59" t="s">
        <v>47</v>
      </c>
      <c r="I1" s="59" t="s">
        <v>120</v>
      </c>
      <c r="J1" s="59" t="s">
        <v>132</v>
      </c>
      <c r="K1" s="72" t="s">
        <v>48</v>
      </c>
      <c r="L1" s="62"/>
      <c r="M1" s="72" t="s">
        <v>119</v>
      </c>
      <c r="N1" s="62"/>
      <c r="O1" s="72" t="s">
        <v>49</v>
      </c>
      <c r="P1" s="63"/>
      <c r="Q1" s="72" t="s">
        <v>50</v>
      </c>
      <c r="R1" s="59" t="s">
        <v>154</v>
      </c>
    </row>
    <row r="2" spans="1:23" ht="15" customHeight="1" x14ac:dyDescent="0.15">
      <c r="A2" s="72" t="s">
        <v>51</v>
      </c>
      <c r="B2" s="73">
        <v>0.5</v>
      </c>
      <c r="C2" s="71" t="s">
        <v>52</v>
      </c>
      <c r="D2" s="74"/>
      <c r="F2" s="1"/>
      <c r="G2" s="75"/>
      <c r="H2" s="75"/>
      <c r="I2" s="75" t="s">
        <v>133</v>
      </c>
      <c r="J2" s="75" t="s">
        <v>133</v>
      </c>
      <c r="K2" s="75" t="s">
        <v>52</v>
      </c>
      <c r="L2" s="75" t="s">
        <v>53</v>
      </c>
      <c r="M2" s="75" t="s">
        <v>52</v>
      </c>
      <c r="N2" s="75" t="s">
        <v>53</v>
      </c>
      <c r="O2" s="75" t="s">
        <v>52</v>
      </c>
      <c r="P2" s="76" t="s">
        <v>53</v>
      </c>
      <c r="Q2" s="75"/>
      <c r="R2" s="77" t="s">
        <v>155</v>
      </c>
    </row>
    <row r="3" spans="1:23" ht="15" customHeight="1" thickBot="1" x14ac:dyDescent="0.2">
      <c r="A3" s="72" t="s">
        <v>54</v>
      </c>
      <c r="B3" s="78">
        <v>0.5</v>
      </c>
      <c r="C3" s="71" t="s">
        <v>53</v>
      </c>
      <c r="D3" s="7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3">
        <v>0</v>
      </c>
      <c r="R3" s="31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3">
        <v>0</v>
      </c>
      <c r="R4" s="96">
        <v>0</v>
      </c>
    </row>
    <row r="5" spans="1:23" ht="15" customHeight="1" x14ac:dyDescent="0.15">
      <c r="A5" s="72" t="s">
        <v>55</v>
      </c>
      <c r="B5" s="79">
        <v>0.5</v>
      </c>
      <c r="C5" s="71" t="s">
        <v>52</v>
      </c>
      <c r="D5" s="7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3">
        <v>0</v>
      </c>
      <c r="R5" s="96">
        <v>0</v>
      </c>
    </row>
    <row r="6" spans="1:23" ht="15" customHeight="1" thickBot="1" x14ac:dyDescent="0.2">
      <c r="A6" s="72"/>
      <c r="B6" s="80">
        <v>0.5</v>
      </c>
      <c r="C6" s="71" t="s">
        <v>53</v>
      </c>
      <c r="D6" s="74"/>
      <c r="F6" s="172" t="s">
        <v>193</v>
      </c>
      <c r="G6" s="70">
        <v>0</v>
      </c>
      <c r="H6" s="70">
        <v>0</v>
      </c>
      <c r="I6" s="70">
        <v>0</v>
      </c>
      <c r="J6" s="70">
        <v>0</v>
      </c>
      <c r="K6" s="70">
        <v>0</v>
      </c>
      <c r="L6" s="70">
        <v>0</v>
      </c>
      <c r="M6" s="70">
        <v>1</v>
      </c>
      <c r="N6" s="70">
        <v>0</v>
      </c>
      <c r="O6" s="70">
        <v>0</v>
      </c>
      <c r="P6" s="61">
        <v>0</v>
      </c>
      <c r="Q6" s="70">
        <v>0</v>
      </c>
      <c r="R6" s="62">
        <v>1</v>
      </c>
      <c r="S6"/>
      <c r="T6"/>
    </row>
    <row r="7" spans="1:23" ht="15" customHeight="1" thickBot="1" x14ac:dyDescent="0.2">
      <c r="F7" s="172" t="s">
        <v>194</v>
      </c>
      <c r="G7" s="70">
        <v>0</v>
      </c>
      <c r="H7" s="70">
        <v>0</v>
      </c>
      <c r="I7" s="70">
        <v>0</v>
      </c>
      <c r="J7" s="70">
        <v>0</v>
      </c>
      <c r="K7" s="70">
        <v>0</v>
      </c>
      <c r="L7" s="70">
        <v>0</v>
      </c>
      <c r="M7" s="70">
        <v>1</v>
      </c>
      <c r="N7" s="70">
        <v>0</v>
      </c>
      <c r="O7" s="70">
        <v>0</v>
      </c>
      <c r="P7" s="61">
        <v>0</v>
      </c>
      <c r="Q7" s="70">
        <v>0</v>
      </c>
      <c r="R7" s="62">
        <v>1</v>
      </c>
      <c r="S7"/>
      <c r="T7"/>
    </row>
    <row r="8" spans="1:23" ht="15" customHeight="1" x14ac:dyDescent="0.15">
      <c r="A8" s="72" t="s">
        <v>56</v>
      </c>
      <c r="B8" s="79">
        <v>0.61567426891053911</v>
      </c>
      <c r="C8" s="173" t="s">
        <v>193</v>
      </c>
      <c r="D8" s="74" t="s">
        <v>160</v>
      </c>
      <c r="F8" s="172" t="s">
        <v>195</v>
      </c>
      <c r="G8" s="70">
        <v>0</v>
      </c>
      <c r="H8" s="70">
        <v>0</v>
      </c>
      <c r="I8" s="70">
        <v>0</v>
      </c>
      <c r="J8" s="70">
        <v>0</v>
      </c>
      <c r="K8" s="70">
        <v>1</v>
      </c>
      <c r="L8" s="70">
        <v>0</v>
      </c>
      <c r="M8" s="70">
        <v>1</v>
      </c>
      <c r="N8" s="70">
        <v>0</v>
      </c>
      <c r="O8" s="70">
        <v>1</v>
      </c>
      <c r="P8" s="61">
        <v>0</v>
      </c>
      <c r="Q8" s="70">
        <v>0</v>
      </c>
      <c r="R8" s="62">
        <v>1</v>
      </c>
      <c r="S8"/>
      <c r="T8"/>
      <c r="W8"/>
    </row>
    <row r="9" spans="1:23" ht="15" customHeight="1" x14ac:dyDescent="0.15">
      <c r="A9" s="110" t="s">
        <v>169</v>
      </c>
      <c r="B9" s="81">
        <v>0.38432573108946083</v>
      </c>
      <c r="C9" s="173" t="s">
        <v>194</v>
      </c>
      <c r="D9" s="74" t="s">
        <v>160</v>
      </c>
      <c r="F9" s="172" t="s">
        <v>196</v>
      </c>
      <c r="G9" s="70">
        <v>0</v>
      </c>
      <c r="H9" s="70">
        <v>0</v>
      </c>
      <c r="I9" s="70">
        <v>0</v>
      </c>
      <c r="J9" s="70">
        <v>0</v>
      </c>
      <c r="K9" s="70">
        <v>1</v>
      </c>
      <c r="L9" s="70">
        <v>0</v>
      </c>
      <c r="M9" s="70">
        <v>1</v>
      </c>
      <c r="N9" s="70">
        <v>0</v>
      </c>
      <c r="O9" s="70">
        <v>1</v>
      </c>
      <c r="P9" s="61">
        <v>0</v>
      </c>
      <c r="Q9" s="70">
        <v>0</v>
      </c>
      <c r="R9" s="62">
        <v>1</v>
      </c>
      <c r="S9"/>
      <c r="T9"/>
      <c r="W9"/>
    </row>
    <row r="10" spans="1:23" ht="15" customHeight="1" x14ac:dyDescent="0.15">
      <c r="B10" s="81"/>
      <c r="C10" s="69"/>
      <c r="D10" s="74" t="s">
        <v>160</v>
      </c>
      <c r="F10" s="172" t="s">
        <v>197</v>
      </c>
      <c r="G10" s="70">
        <v>0</v>
      </c>
      <c r="H10" s="70">
        <v>0</v>
      </c>
      <c r="I10" s="70">
        <v>0</v>
      </c>
      <c r="J10" s="70">
        <v>0</v>
      </c>
      <c r="K10" s="70">
        <v>1</v>
      </c>
      <c r="L10" s="70">
        <v>0</v>
      </c>
      <c r="M10" s="70">
        <v>1</v>
      </c>
      <c r="N10" s="70">
        <v>0</v>
      </c>
      <c r="O10" s="70">
        <v>1</v>
      </c>
      <c r="P10" s="61">
        <v>0</v>
      </c>
      <c r="Q10" s="70">
        <v>0</v>
      </c>
      <c r="R10" s="62">
        <v>1</v>
      </c>
      <c r="S10"/>
      <c r="T10"/>
      <c r="W10"/>
    </row>
    <row r="11" spans="1:23" ht="15" customHeight="1" x14ac:dyDescent="0.15">
      <c r="A11" s="72"/>
      <c r="B11" s="81"/>
      <c r="C11" s="84"/>
      <c r="D11" s="74" t="s">
        <v>160</v>
      </c>
      <c r="F11" s="172" t="s">
        <v>198</v>
      </c>
      <c r="G11" s="70">
        <v>0</v>
      </c>
      <c r="H11" s="70">
        <v>0</v>
      </c>
      <c r="I11" s="70">
        <v>0</v>
      </c>
      <c r="J11" s="70">
        <v>0</v>
      </c>
      <c r="K11" s="70">
        <v>1</v>
      </c>
      <c r="L11" s="70">
        <v>0</v>
      </c>
      <c r="M11" s="70">
        <v>1</v>
      </c>
      <c r="N11" s="70">
        <v>0</v>
      </c>
      <c r="O11" s="70">
        <v>1</v>
      </c>
      <c r="P11" s="61">
        <v>0</v>
      </c>
      <c r="Q11" s="70">
        <v>0</v>
      </c>
      <c r="R11" s="62">
        <v>1</v>
      </c>
      <c r="S11"/>
      <c r="T11"/>
      <c r="W11"/>
    </row>
    <row r="12" spans="1:23" ht="15" customHeight="1" x14ac:dyDescent="0.15">
      <c r="B12" s="81"/>
      <c r="C12" s="85"/>
      <c r="D12" s="74" t="s">
        <v>160</v>
      </c>
      <c r="F12" s="172" t="s">
        <v>199</v>
      </c>
      <c r="G12" s="70">
        <v>0</v>
      </c>
      <c r="H12" s="70">
        <v>0</v>
      </c>
      <c r="I12" s="70">
        <v>0</v>
      </c>
      <c r="J12" s="70">
        <v>0</v>
      </c>
      <c r="K12" s="70">
        <v>1</v>
      </c>
      <c r="L12" s="70">
        <v>0</v>
      </c>
      <c r="M12" s="70">
        <v>1</v>
      </c>
      <c r="N12" s="70">
        <v>0</v>
      </c>
      <c r="O12" s="70">
        <v>1</v>
      </c>
      <c r="P12" s="61">
        <v>0</v>
      </c>
      <c r="Q12" s="70">
        <v>0</v>
      </c>
      <c r="R12" s="62">
        <v>1</v>
      </c>
      <c r="S12"/>
      <c r="T12"/>
      <c r="W12"/>
    </row>
    <row r="13" spans="1:23" ht="15" customHeight="1" x14ac:dyDescent="0.15">
      <c r="B13" s="81"/>
      <c r="C13" s="85"/>
      <c r="D13" s="74" t="s">
        <v>160</v>
      </c>
      <c r="F13" s="172" t="s">
        <v>200</v>
      </c>
      <c r="G13" s="70">
        <v>0</v>
      </c>
      <c r="H13" s="70">
        <v>0</v>
      </c>
      <c r="I13" s="70">
        <v>0</v>
      </c>
      <c r="J13" s="70">
        <v>0</v>
      </c>
      <c r="K13" s="70">
        <v>1</v>
      </c>
      <c r="L13" s="70">
        <v>0</v>
      </c>
      <c r="M13" s="70">
        <v>1</v>
      </c>
      <c r="N13" s="70">
        <v>0</v>
      </c>
      <c r="O13" s="70">
        <v>1</v>
      </c>
      <c r="P13" s="61">
        <v>0</v>
      </c>
      <c r="Q13" s="70">
        <v>0</v>
      </c>
      <c r="R13" s="62">
        <v>1</v>
      </c>
      <c r="S13"/>
      <c r="T13"/>
      <c r="W13"/>
    </row>
    <row r="14" spans="1:23" ht="15" customHeight="1" x14ac:dyDescent="0.15">
      <c r="B14" s="81"/>
      <c r="C14" s="69"/>
      <c r="D14" s="74" t="s">
        <v>160</v>
      </c>
      <c r="F14" s="172" t="s">
        <v>201</v>
      </c>
      <c r="G14" s="70">
        <v>0</v>
      </c>
      <c r="H14" s="70">
        <v>0</v>
      </c>
      <c r="I14" s="70">
        <v>0</v>
      </c>
      <c r="J14" s="70">
        <v>0</v>
      </c>
      <c r="K14" s="70">
        <v>1</v>
      </c>
      <c r="L14" s="70">
        <v>0</v>
      </c>
      <c r="M14" s="70">
        <v>1</v>
      </c>
      <c r="N14" s="70">
        <v>0</v>
      </c>
      <c r="O14" s="70">
        <v>1</v>
      </c>
      <c r="P14" s="61">
        <v>0</v>
      </c>
      <c r="Q14" s="70">
        <v>0</v>
      </c>
      <c r="R14" s="62">
        <v>1</v>
      </c>
      <c r="S14"/>
      <c r="T14"/>
      <c r="W14"/>
    </row>
    <row r="15" spans="1:23" ht="15" customHeight="1" x14ac:dyDescent="0.15">
      <c r="B15" s="81"/>
      <c r="C15" s="69"/>
      <c r="D15" s="74" t="s">
        <v>160</v>
      </c>
      <c r="F15" s="172" t="s">
        <v>202</v>
      </c>
      <c r="G15" s="70">
        <v>0</v>
      </c>
      <c r="H15" s="70">
        <v>0</v>
      </c>
      <c r="I15" s="70">
        <v>0</v>
      </c>
      <c r="J15" s="70">
        <v>0</v>
      </c>
      <c r="K15" s="70">
        <v>1</v>
      </c>
      <c r="L15" s="70">
        <v>0</v>
      </c>
      <c r="M15" s="70">
        <v>1</v>
      </c>
      <c r="N15" s="70">
        <v>0</v>
      </c>
      <c r="O15" s="70">
        <v>1</v>
      </c>
      <c r="P15" s="61">
        <v>0</v>
      </c>
      <c r="Q15" s="70">
        <v>0</v>
      </c>
      <c r="R15" s="62">
        <v>1</v>
      </c>
      <c r="S15"/>
      <c r="T15"/>
      <c r="W15"/>
    </row>
    <row r="16" spans="1:23" ht="15" customHeight="1" x14ac:dyDescent="0.15">
      <c r="B16" s="81"/>
      <c r="C16" s="69"/>
      <c r="D16" s="74" t="s">
        <v>160</v>
      </c>
      <c r="F16" s="172" t="s">
        <v>203</v>
      </c>
      <c r="G16" s="70">
        <v>0</v>
      </c>
      <c r="H16" s="70">
        <v>0</v>
      </c>
      <c r="I16" s="70">
        <v>0</v>
      </c>
      <c r="J16" s="70">
        <v>0</v>
      </c>
      <c r="K16" s="70">
        <v>1</v>
      </c>
      <c r="L16" s="70">
        <v>0</v>
      </c>
      <c r="M16" s="70">
        <v>1</v>
      </c>
      <c r="N16" s="70">
        <v>0</v>
      </c>
      <c r="O16" s="70">
        <v>1</v>
      </c>
      <c r="P16" s="61">
        <v>0</v>
      </c>
      <c r="Q16" s="70">
        <v>0</v>
      </c>
      <c r="R16" s="62">
        <v>1</v>
      </c>
      <c r="S16"/>
      <c r="T16"/>
    </row>
    <row r="17" spans="1:20" ht="15" customHeight="1" thickBot="1" x14ac:dyDescent="0.2">
      <c r="B17" s="80"/>
      <c r="C17" s="69"/>
      <c r="D17" s="74" t="s">
        <v>160</v>
      </c>
      <c r="F17" s="172" t="s">
        <v>204</v>
      </c>
      <c r="G17" s="70">
        <v>0</v>
      </c>
      <c r="H17" s="70">
        <v>0</v>
      </c>
      <c r="I17" s="70">
        <v>0</v>
      </c>
      <c r="J17" s="70">
        <v>0</v>
      </c>
      <c r="K17" s="70">
        <v>1</v>
      </c>
      <c r="L17" s="70">
        <v>0</v>
      </c>
      <c r="M17" s="70">
        <v>1</v>
      </c>
      <c r="N17" s="70">
        <v>0</v>
      </c>
      <c r="O17" s="70">
        <v>1</v>
      </c>
      <c r="P17" s="61">
        <v>0</v>
      </c>
      <c r="Q17" s="70">
        <v>0</v>
      </c>
      <c r="R17" s="62">
        <v>1</v>
      </c>
      <c r="S17"/>
      <c r="T17"/>
    </row>
    <row r="18" spans="1:20" ht="15" customHeight="1" thickBot="1" x14ac:dyDescent="0.2">
      <c r="B18" s="82"/>
      <c r="F18" s="172" t="s">
        <v>205</v>
      </c>
      <c r="G18" s="70">
        <v>0</v>
      </c>
      <c r="H18" s="70">
        <v>0</v>
      </c>
      <c r="I18" s="70">
        <v>0</v>
      </c>
      <c r="J18" s="70">
        <v>0</v>
      </c>
      <c r="K18" s="70">
        <v>1</v>
      </c>
      <c r="L18" s="70">
        <v>0</v>
      </c>
      <c r="M18" s="70">
        <v>1</v>
      </c>
      <c r="N18" s="70">
        <v>0</v>
      </c>
      <c r="O18" s="70">
        <v>1</v>
      </c>
      <c r="P18" s="61">
        <v>0</v>
      </c>
      <c r="Q18" s="70">
        <v>0</v>
      </c>
      <c r="R18" s="62">
        <v>1</v>
      </c>
      <c r="S18"/>
      <c r="T18"/>
    </row>
    <row r="19" spans="1:20" ht="15" customHeight="1" x14ac:dyDescent="0.15">
      <c r="A19" s="72" t="s">
        <v>57</v>
      </c>
      <c r="B19" s="79">
        <v>0.61567426891053911</v>
      </c>
      <c r="C19" s="174" t="s">
        <v>193</v>
      </c>
      <c r="D19" s="74" t="s">
        <v>160</v>
      </c>
      <c r="F19" s="172" t="s">
        <v>206</v>
      </c>
      <c r="G19" s="70">
        <v>0</v>
      </c>
      <c r="H19" s="70">
        <v>0</v>
      </c>
      <c r="I19" s="70">
        <v>0</v>
      </c>
      <c r="J19" s="70">
        <v>0</v>
      </c>
      <c r="K19" s="70">
        <v>1</v>
      </c>
      <c r="L19" s="70">
        <v>0</v>
      </c>
      <c r="M19" s="70">
        <v>1</v>
      </c>
      <c r="N19" s="70">
        <v>0</v>
      </c>
      <c r="O19" s="70">
        <v>1</v>
      </c>
      <c r="P19" s="61">
        <v>0</v>
      </c>
      <c r="Q19" s="70">
        <v>0</v>
      </c>
      <c r="R19" s="62">
        <v>1</v>
      </c>
      <c r="S19"/>
      <c r="T19"/>
    </row>
    <row r="20" spans="1:20" ht="15" customHeight="1" x14ac:dyDescent="0.15">
      <c r="A20" s="110" t="s">
        <v>169</v>
      </c>
      <c r="B20" s="81">
        <v>0.38432573108946083</v>
      </c>
      <c r="C20" s="174" t="s">
        <v>194</v>
      </c>
      <c r="D20" s="74" t="s">
        <v>160</v>
      </c>
      <c r="F20" s="172" t="s">
        <v>207</v>
      </c>
      <c r="G20" s="70">
        <v>0</v>
      </c>
      <c r="H20" s="70">
        <v>0</v>
      </c>
      <c r="I20" s="70">
        <v>0</v>
      </c>
      <c r="J20" s="70">
        <v>0</v>
      </c>
      <c r="K20" s="70">
        <v>1</v>
      </c>
      <c r="L20" s="70">
        <v>0</v>
      </c>
      <c r="M20" s="70">
        <v>1</v>
      </c>
      <c r="N20" s="70">
        <v>0</v>
      </c>
      <c r="O20" s="70">
        <v>1</v>
      </c>
      <c r="P20" s="61">
        <v>0</v>
      </c>
      <c r="Q20" s="70">
        <v>0</v>
      </c>
      <c r="R20" s="62">
        <v>1</v>
      </c>
      <c r="S20"/>
      <c r="T20"/>
    </row>
    <row r="21" spans="1:20" ht="15" customHeight="1" x14ac:dyDescent="0.15">
      <c r="B21" s="81"/>
      <c r="C21" s="69"/>
      <c r="D21" s="74" t="s">
        <v>160</v>
      </c>
      <c r="F21" s="172" t="s">
        <v>208</v>
      </c>
      <c r="G21" s="70">
        <v>0</v>
      </c>
      <c r="H21" s="70">
        <v>0</v>
      </c>
      <c r="I21" s="70">
        <v>0</v>
      </c>
      <c r="J21" s="70">
        <v>0</v>
      </c>
      <c r="K21" s="70">
        <v>1</v>
      </c>
      <c r="L21" s="70">
        <v>0</v>
      </c>
      <c r="M21" s="70">
        <v>1</v>
      </c>
      <c r="N21" s="70">
        <v>0</v>
      </c>
      <c r="O21" s="70">
        <v>1</v>
      </c>
      <c r="P21" s="61">
        <v>0</v>
      </c>
      <c r="Q21" s="70">
        <v>0</v>
      </c>
      <c r="R21" s="62">
        <v>1</v>
      </c>
      <c r="S21"/>
      <c r="T21"/>
    </row>
    <row r="22" spans="1:20" ht="15" customHeight="1" x14ac:dyDescent="0.15">
      <c r="A22" s="70"/>
      <c r="B22" s="81"/>
      <c r="C22" s="84"/>
      <c r="D22" s="74" t="s">
        <v>160</v>
      </c>
      <c r="F22" s="172" t="s">
        <v>209</v>
      </c>
      <c r="G22" s="70">
        <v>0</v>
      </c>
      <c r="H22" s="70">
        <v>0</v>
      </c>
      <c r="I22" s="70">
        <v>0</v>
      </c>
      <c r="J22" s="70">
        <v>0</v>
      </c>
      <c r="K22" s="70">
        <v>1</v>
      </c>
      <c r="L22" s="70">
        <v>0</v>
      </c>
      <c r="M22" s="70">
        <v>1</v>
      </c>
      <c r="N22" s="70">
        <v>0</v>
      </c>
      <c r="O22" s="70">
        <v>1</v>
      </c>
      <c r="P22" s="61">
        <v>0</v>
      </c>
      <c r="Q22" s="70">
        <v>0</v>
      </c>
      <c r="R22" s="62">
        <v>1</v>
      </c>
      <c r="S22"/>
      <c r="T22"/>
    </row>
    <row r="23" spans="1:20" ht="15" customHeight="1" x14ac:dyDescent="0.15">
      <c r="A23" s="70"/>
      <c r="B23" s="81"/>
      <c r="C23" s="85"/>
      <c r="D23" s="74" t="s">
        <v>160</v>
      </c>
      <c r="F23" s="172" t="s">
        <v>210</v>
      </c>
      <c r="G23" s="70">
        <v>0</v>
      </c>
      <c r="H23" s="70">
        <v>0</v>
      </c>
      <c r="I23" s="70">
        <v>0</v>
      </c>
      <c r="J23" s="70">
        <v>0</v>
      </c>
      <c r="K23" s="70">
        <v>1</v>
      </c>
      <c r="L23" s="70">
        <v>0</v>
      </c>
      <c r="M23" s="70">
        <v>1</v>
      </c>
      <c r="N23" s="70">
        <v>0</v>
      </c>
      <c r="O23" s="70">
        <v>1</v>
      </c>
      <c r="P23" s="61">
        <v>0</v>
      </c>
      <c r="Q23" s="70">
        <v>0</v>
      </c>
      <c r="R23" s="62">
        <v>1</v>
      </c>
      <c r="S23"/>
      <c r="T23"/>
    </row>
    <row r="24" spans="1:20" ht="15" customHeight="1" x14ac:dyDescent="0.15">
      <c r="A24" s="70"/>
      <c r="B24" s="81"/>
      <c r="C24" s="85"/>
      <c r="D24" s="74" t="s">
        <v>160</v>
      </c>
      <c r="F24" s="172" t="s">
        <v>211</v>
      </c>
      <c r="G24" s="70">
        <v>0</v>
      </c>
      <c r="H24" s="70">
        <v>0</v>
      </c>
      <c r="I24" s="70">
        <v>0</v>
      </c>
      <c r="J24" s="70">
        <v>0</v>
      </c>
      <c r="K24" s="70">
        <v>1</v>
      </c>
      <c r="L24" s="70">
        <v>0</v>
      </c>
      <c r="M24" s="70">
        <v>1</v>
      </c>
      <c r="N24" s="70">
        <v>0</v>
      </c>
      <c r="O24" s="70">
        <v>1</v>
      </c>
      <c r="P24" s="61">
        <v>0</v>
      </c>
      <c r="Q24" s="70">
        <v>0</v>
      </c>
      <c r="R24" s="62">
        <v>1</v>
      </c>
      <c r="S24"/>
      <c r="T24"/>
    </row>
    <row r="25" spans="1:20" ht="15" customHeight="1" x14ac:dyDescent="0.15">
      <c r="A25" s="70"/>
      <c r="B25" s="81"/>
      <c r="C25" s="69"/>
      <c r="D25" s="74" t="s">
        <v>160</v>
      </c>
      <c r="F25" s="172" t="s">
        <v>166</v>
      </c>
      <c r="G25" s="70">
        <v>0</v>
      </c>
      <c r="H25" s="70">
        <v>0</v>
      </c>
      <c r="I25" s="70">
        <v>0</v>
      </c>
      <c r="J25" s="70">
        <v>0</v>
      </c>
      <c r="K25" s="70">
        <v>1</v>
      </c>
      <c r="L25" s="70">
        <v>0</v>
      </c>
      <c r="M25" s="70">
        <v>1</v>
      </c>
      <c r="N25" s="70">
        <v>0</v>
      </c>
      <c r="O25" s="70">
        <v>1</v>
      </c>
      <c r="P25" s="61">
        <v>0</v>
      </c>
      <c r="Q25" s="70">
        <v>0</v>
      </c>
      <c r="R25" s="62">
        <v>1</v>
      </c>
      <c r="S25"/>
      <c r="T25"/>
    </row>
    <row r="26" spans="1:20" ht="15" customHeight="1" x14ac:dyDescent="0.15">
      <c r="B26" s="81"/>
      <c r="C26" s="69"/>
      <c r="D26" s="74" t="s">
        <v>160</v>
      </c>
      <c r="F26" s="172" t="s">
        <v>212</v>
      </c>
      <c r="G26" s="70">
        <v>0</v>
      </c>
      <c r="H26" s="70">
        <v>0</v>
      </c>
      <c r="I26" s="70">
        <v>0</v>
      </c>
      <c r="J26" s="70">
        <v>0</v>
      </c>
      <c r="K26" s="70">
        <v>0</v>
      </c>
      <c r="L26" s="70">
        <v>1</v>
      </c>
      <c r="M26" s="70">
        <v>0</v>
      </c>
      <c r="N26" s="70">
        <v>1</v>
      </c>
      <c r="O26" s="70">
        <v>0</v>
      </c>
      <c r="P26" s="61">
        <v>1</v>
      </c>
      <c r="Q26" s="70">
        <v>0</v>
      </c>
      <c r="R26" s="62">
        <v>1</v>
      </c>
      <c r="S26"/>
      <c r="T26"/>
    </row>
    <row r="27" spans="1:20" ht="15" customHeight="1" x14ac:dyDescent="0.15">
      <c r="B27" s="81"/>
      <c r="C27" s="69"/>
      <c r="D27" s="74" t="s">
        <v>160</v>
      </c>
      <c r="F27" s="172" t="s">
        <v>213</v>
      </c>
      <c r="G27" s="70">
        <v>0</v>
      </c>
      <c r="H27" s="70">
        <v>0</v>
      </c>
      <c r="I27" s="70">
        <v>0</v>
      </c>
      <c r="J27" s="70">
        <v>0</v>
      </c>
      <c r="K27" s="70">
        <v>0</v>
      </c>
      <c r="L27" s="70">
        <v>1</v>
      </c>
      <c r="M27" s="70">
        <v>0</v>
      </c>
      <c r="N27" s="70">
        <v>1</v>
      </c>
      <c r="O27" s="70">
        <v>0</v>
      </c>
      <c r="P27" s="61">
        <v>1</v>
      </c>
      <c r="Q27" s="70">
        <v>0</v>
      </c>
      <c r="R27" s="62">
        <v>1</v>
      </c>
      <c r="S27"/>
      <c r="T27"/>
    </row>
    <row r="28" spans="1:20" ht="15" customHeight="1" thickBot="1" x14ac:dyDescent="0.2">
      <c r="B28" s="80"/>
      <c r="C28" s="69"/>
      <c r="D28" s="74" t="s">
        <v>160</v>
      </c>
      <c r="F28" s="172" t="s">
        <v>214</v>
      </c>
      <c r="G28" s="70">
        <v>0</v>
      </c>
      <c r="H28" s="70">
        <v>0</v>
      </c>
      <c r="I28" s="70">
        <v>0</v>
      </c>
      <c r="J28" s="70">
        <v>0</v>
      </c>
      <c r="K28" s="70">
        <v>0</v>
      </c>
      <c r="L28" s="70">
        <v>1</v>
      </c>
      <c r="M28" s="70">
        <v>0</v>
      </c>
      <c r="N28" s="70">
        <v>0</v>
      </c>
      <c r="O28" s="70">
        <v>0</v>
      </c>
      <c r="P28" s="61">
        <v>0</v>
      </c>
      <c r="Q28" s="70">
        <v>0</v>
      </c>
      <c r="R28" s="62">
        <v>1</v>
      </c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1"/>
      <c r="B31" s="121" t="s">
        <v>17</v>
      </c>
      <c r="C31" s="121" t="s">
        <v>1</v>
      </c>
      <c r="D31" s="121" t="s">
        <v>161</v>
      </c>
      <c r="E31" s="122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75" t="s">
        <v>193</v>
      </c>
      <c r="B32" s="82">
        <v>21.335000000000001</v>
      </c>
      <c r="C32" s="82">
        <v>343.88600000000002</v>
      </c>
      <c r="D32" s="82">
        <v>7336.8078100000012</v>
      </c>
      <c r="E32" s="112">
        <v>0.61567426891053911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75" t="s">
        <v>194</v>
      </c>
      <c r="B33" s="82">
        <v>284.60700000000003</v>
      </c>
      <c r="C33" s="82">
        <v>16.091999999999999</v>
      </c>
      <c r="D33" s="82">
        <v>4579.8958439999997</v>
      </c>
      <c r="E33" s="112">
        <v>0.38432573108946083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3"/>
      <c r="B34" s="82"/>
      <c r="C34" s="82"/>
      <c r="D34" s="82"/>
      <c r="E34" s="112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4"/>
      <c r="B35" s="82"/>
      <c r="C35" s="82"/>
      <c r="D35" s="82"/>
      <c r="E35" s="112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5"/>
      <c r="B36" s="82"/>
      <c r="C36" s="82"/>
      <c r="D36" s="82"/>
      <c r="E36" s="112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5"/>
      <c r="B37" s="82"/>
      <c r="C37" s="82"/>
      <c r="D37" s="82"/>
      <c r="E37" s="112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6"/>
      <c r="B38" s="82"/>
      <c r="C38" s="82"/>
      <c r="D38" s="82"/>
      <c r="E38" s="112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6"/>
      <c r="B39" s="82"/>
      <c r="C39" s="82"/>
      <c r="D39" s="82"/>
      <c r="E39" s="112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6"/>
      <c r="B40" s="82"/>
      <c r="C40" s="82"/>
      <c r="D40" s="82"/>
      <c r="E40" s="112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6"/>
      <c r="B41" s="82"/>
      <c r="C41" s="82"/>
      <c r="D41" s="83"/>
      <c r="E41" s="117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8"/>
      <c r="B42" s="119"/>
      <c r="C42" s="119" t="s">
        <v>162</v>
      </c>
      <c r="D42" s="119">
        <f>SUM(D32:D41)</f>
        <v>11916.703654000001</v>
      </c>
      <c r="E42" s="120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0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0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0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0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0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0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0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0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0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0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0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0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0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0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0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0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0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6" customWidth="1"/>
    <col min="3" max="5" width="7.83203125" style="96" customWidth="1"/>
    <col min="6" max="8" width="8.83203125" style="6"/>
    <col min="9" max="9" width="13.1640625" style="6" customWidth="1"/>
    <col min="10" max="10" width="10.83203125" style="6" customWidth="1"/>
    <col min="11" max="11" width="11.33203125" style="6" customWidth="1"/>
    <col min="12" max="12" width="10.5" style="6" customWidth="1"/>
    <col min="13" max="13" width="8.5" style="6" customWidth="1"/>
    <col min="14" max="14" width="11.1640625" style="6" customWidth="1"/>
    <col min="15" max="15" width="20.5" style="6" customWidth="1"/>
    <col min="16" max="16" width="16" style="6" customWidth="1"/>
    <col min="17" max="17" width="16.5" style="6" customWidth="1"/>
    <col min="18" max="18" width="19" style="6" customWidth="1"/>
    <col min="19" max="19" width="14.83203125" style="6" customWidth="1"/>
    <col min="20" max="20" width="14.5" style="6" customWidth="1"/>
    <col min="21" max="21" width="9" style="6" customWidth="1"/>
    <col min="22" max="22" width="7.83203125" style="6" customWidth="1"/>
    <col min="23" max="23" width="9.6640625" style="6" customWidth="1"/>
    <col min="24" max="24" width="15.5" style="6" customWidth="1"/>
    <col min="25" max="25" width="18.83203125" style="6" customWidth="1"/>
    <col min="26" max="26" width="15.5" style="6" customWidth="1"/>
    <col min="27" max="27" width="9.5" style="6" customWidth="1"/>
    <col min="28" max="28" width="11.6640625" style="6" customWidth="1"/>
    <col min="29" max="29" width="7.6640625" style="6" customWidth="1"/>
    <col min="30" max="30" width="21.6640625" style="6" customWidth="1"/>
    <col min="31" max="31" width="6.5" style="6" customWidth="1"/>
    <col min="32" max="38" width="8.83203125" style="6"/>
    <col min="81" max="81" width="22.1640625" bestFit="1" customWidth="1"/>
  </cols>
  <sheetData>
    <row r="1" spans="1:38" x14ac:dyDescent="0.15">
      <c r="A1" s="4" t="s">
        <v>156</v>
      </c>
      <c r="B1" s="30" t="s">
        <v>157</v>
      </c>
      <c r="C1" s="30" t="s">
        <v>17</v>
      </c>
      <c r="D1" s="30" t="s">
        <v>158</v>
      </c>
      <c r="E1" s="30" t="s">
        <v>159</v>
      </c>
      <c r="F1" t="s">
        <v>38</v>
      </c>
      <c r="G1" t="s">
        <v>40</v>
      </c>
      <c r="H1" t="s">
        <v>41</v>
      </c>
      <c r="I1" s="177" t="s">
        <v>193</v>
      </c>
      <c r="J1" s="177" t="s">
        <v>194</v>
      </c>
      <c r="K1" s="177" t="s">
        <v>195</v>
      </c>
      <c r="L1" s="177" t="s">
        <v>196</v>
      </c>
      <c r="M1" s="177" t="s">
        <v>197</v>
      </c>
      <c r="N1" s="177" t="s">
        <v>198</v>
      </c>
      <c r="O1" s="177" t="s">
        <v>199</v>
      </c>
      <c r="P1" s="177" t="s">
        <v>200</v>
      </c>
      <c r="Q1" s="177" t="s">
        <v>201</v>
      </c>
      <c r="R1" s="177" t="s">
        <v>202</v>
      </c>
      <c r="S1" s="177" t="s">
        <v>203</v>
      </c>
      <c r="T1" s="177" t="s">
        <v>204</v>
      </c>
      <c r="U1" s="177" t="s">
        <v>205</v>
      </c>
      <c r="V1" s="177" t="s">
        <v>206</v>
      </c>
      <c r="W1" s="177" t="s">
        <v>207</v>
      </c>
      <c r="X1" s="177" t="s">
        <v>208</v>
      </c>
      <c r="Y1" s="177" t="s">
        <v>209</v>
      </c>
      <c r="Z1" s="177" t="s">
        <v>210</v>
      </c>
      <c r="AA1" s="177" t="s">
        <v>211</v>
      </c>
      <c r="AB1" s="177" t="s">
        <v>166</v>
      </c>
      <c r="AC1" s="177" t="s">
        <v>212</v>
      </c>
      <c r="AD1" s="177" t="s">
        <v>213</v>
      </c>
      <c r="AE1" s="177" t="s">
        <v>214</v>
      </c>
      <c r="AF1"/>
      <c r="AG1"/>
      <c r="AH1"/>
      <c r="AI1"/>
      <c r="AJ1"/>
      <c r="AK1"/>
      <c r="AL1"/>
    </row>
    <row r="2" spans="1:38" x14ac:dyDescent="0.15">
      <c r="A2" t="s">
        <v>38</v>
      </c>
      <c r="B2" s="96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6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6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76" t="s">
        <v>193</v>
      </c>
      <c r="B5" s="96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76" t="s">
        <v>194</v>
      </c>
      <c r="B6" s="96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76" t="s">
        <v>195</v>
      </c>
      <c r="B7" s="96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76" t="s">
        <v>196</v>
      </c>
      <c r="B8" s="96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76" t="s">
        <v>197</v>
      </c>
      <c r="B9" s="96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76" t="s">
        <v>198</v>
      </c>
      <c r="B10" s="96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76" t="s">
        <v>199</v>
      </c>
      <c r="B11" s="96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76" t="s">
        <v>200</v>
      </c>
      <c r="B12" s="96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76" t="s">
        <v>201</v>
      </c>
      <c r="B13" s="96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76" t="s">
        <v>202</v>
      </c>
      <c r="B14" s="96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76" t="s">
        <v>203</v>
      </c>
      <c r="B15" s="96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76" t="s">
        <v>204</v>
      </c>
      <c r="B16" s="96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6" t="s">
        <v>205</v>
      </c>
      <c r="B17" s="96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6" t="s">
        <v>206</v>
      </c>
      <c r="B18" s="96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6" t="s">
        <v>207</v>
      </c>
      <c r="B19" s="96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6" t="s">
        <v>208</v>
      </c>
      <c r="B20" s="96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6" t="s">
        <v>209</v>
      </c>
      <c r="B21" s="96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6" t="s">
        <v>210</v>
      </c>
      <c r="B22" s="96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6" t="s">
        <v>211</v>
      </c>
      <c r="B23" s="96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6" t="s">
        <v>166</v>
      </c>
      <c r="B24" s="96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6" t="s">
        <v>212</v>
      </c>
      <c r="B25" s="96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6" t="s">
        <v>213</v>
      </c>
      <c r="B26" s="96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76" t="s">
        <v>214</v>
      </c>
      <c r="B27" s="96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2022-10-23T22:48:38Z</dcterms:modified>
</cp:coreProperties>
</file>