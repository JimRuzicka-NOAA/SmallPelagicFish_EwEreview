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F5B13241-30CB-9B4E-8A26-537FC7901D0A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Main!$C$2:$N$45</definedName>
    <definedName name="matDetritus">Detritus!$C$2:$E$45</definedName>
    <definedName name="matDiet">Diets!$B$2:$AH$37</definedName>
    <definedName name="matDiscards">Discards!$C$2:$K$36</definedName>
    <definedName name="matFishery">Fishing!$C$2:$K$36</definedName>
    <definedName name="matFishing">Fishing!#REF!</definedName>
    <definedName name="matMort">Mortalities!$A$1:$AU$36</definedName>
    <definedName name="matOut">MainOutputs!$A$2:$I$45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<sst xmlns="http://schemas.openxmlformats.org/spreadsheetml/2006/main" count="1144" uniqueCount="249">
  <si>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</si>
  <si>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</si>
  <si>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</si>
  <si>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</si>
  <si>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</si>
  <si>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</si>
  <si>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</si>
  <si>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</si>
  <si>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</si>
  <si>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</si>
  <si>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</si>
  <si>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</si>
  <si>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</si>
  <si>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</si>
  <si>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</si>
  <si>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</si>
  <si>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</si>
  <si>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</si>
  <si>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</si>
  <si>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</si>
  <si>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</si>
  <si>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</si>
  <si>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</si>
  <si>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</si>
  <si>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</si>
  <si>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</si>
  <si>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</si>
  <si>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</si>
  <si>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</si>
  <si>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</si>
  <si>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</si>
  <si>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</si>
  <si>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</si>
  <si>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</si>
  <si>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</si>
  <si>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</si>
  <si>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</si>
  <si>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</si>
  <si>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</si>
  <si>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</si>
  <si>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</si>
  <si>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</si>
  <si>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</si>
  <si>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</si>
  <si>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</si>
  <si>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</si>
  <si>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</si>
  <si>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</si>
  <si>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</si>
  <si>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</si>
  <si>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</si>
  <si>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</si>
  <si>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</si>
  <si>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</si>
  <si>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</si>
  <si>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</si>
  <si>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</si>
  <si>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</si>
  <si>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</si>
  <si>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</si>
  <si>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</si>
  <si>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</si>
  <si>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</si>
  <si>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</si>
  <si>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</si>
  <si>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</si>
  <si>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</si>
  <si>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</si>
  <si>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</si>
  <si>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</si>
  <si>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</si>
  <si>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</si>
  <si>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</si>
  <si>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</si>
  <si>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</si>
  <si>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</si>
  <si>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</si>
  <si>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</si>
  <si>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</si>
  <si>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</si>
  <si>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</si>
  <si>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</si>
  <si>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</si>
  <si>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</si>
  <si>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</si>
  <si>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</si>
  <si>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</si>
  <si>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</si>
  <si>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</si>
  <si>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</si>
  <si>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</si>
  <si>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</si>
  <si>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</si>
  <si>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</si>
  <si>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</si>
  <si>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</si>
  <si>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</si>
  <si>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</si>
  <si>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</si>
  <si>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</si>
  <si>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</si>
  <si>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</si>
  <si>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</si>
  <si>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</si>
  <si>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</si>
  <si>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</si>
  <si>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</si>
  <si>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</si>
  <si>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</si>
  <si>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</si>
  <si>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</si>
  <si>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</si>
  <si>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</si>
  <si>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</si>
  <si>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</si>
  <si>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</si>
  <si>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</si>
  <si>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</si>
  <si>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</si>
  <si>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</si>
  <si>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</si>
  <si>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</si>
  <si>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</si>
  <si>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</si>
  <si>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</si>
  <si>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</si>
  <si>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</si>
  <si>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</si>
  <si>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</si>
  <si>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</si>
  <si>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</si>
  <si>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</si>
  <si>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</si>
  <si>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</si>
  <si>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</si>
  <si>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</si>
  <si>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</si>
  <si>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</si>
  <si>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</si>
  <si>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</si>
  <si>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</si>
  <si>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</si>
  <si>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</si>
  <si>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</si>
  <si>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</si>
  <si>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</si>
  <si>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</si>
  <si>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</si>
  <si>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</si>
  <si>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</si>
  <si>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</si>
  <si>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</si>
  <si>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</si>
  <si>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</si>
  <si>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</si>
  <si>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</si>
  <si>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</si>
  <si>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</si>
  <si>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</si>
  <si>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</si>
  <si>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</si>
  <si>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</si>
  <si>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</si>
  <si>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</si>
  <si>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</si>
  <si>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</si>
  <si>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</si>
  <si>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</si>
  <si>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</si>
  <si>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</si>
  <si>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</si>
  <si>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</si>
  <si>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</si>
  <si>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</si>
  <si>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</si>
  <si>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</si>
  <si>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</si>
  <si>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</si>
  <si>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</si>
  <si>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</si>
  <si>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</si>
  <si>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</si>
  <si>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</si>
  <si>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</si>
  <si>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</si>
  <si>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Gulf of California</t>
  </si>
  <si>
    <t>Mexico</t>
  </si>
  <si>
    <t>BOX(-116 29,-111 32.5)</t>
  </si>
  <si>
    <t>continental shelf</t>
  </si>
  <si>
    <t>WetWeight</t>
  </si>
  <si>
    <t>; 24/06/2015 11:51:01; 24/06/2015 11:52:11; 24/06/2015 11:55:00; 25/06/2015 14:18:22</t>
  </si>
  <si>
    <t>Lercari D.,Arreguín-Sánchez F.(2009). An ecosystem modelling approach to deriving viable harvest strategies for multispecies management of the Northern Gulf of California Aquatic Conservation: Marine and Freshwater Ecosystems. pp 384-397</t>
  </si>
  <si>
    <t>Elasmobranchi (SHARKS)</t>
  </si>
  <si>
    <t>Zalophus californianus</t>
  </si>
  <si>
    <t>Totoaba macdonaldi (ADULTS)</t>
  </si>
  <si>
    <t>Marine birds</t>
  </si>
  <si>
    <t>Odontoceti</t>
  </si>
  <si>
    <t>Phocoena sinus</t>
  </si>
  <si>
    <t>Totoaba macdonaldi (JUVENILES)</t>
  </si>
  <si>
    <t>Merluccidae</t>
  </si>
  <si>
    <t>Mysticeti</t>
  </si>
  <si>
    <t>Coastal birds</t>
  </si>
  <si>
    <t>Sciaenidae</t>
  </si>
  <si>
    <t>Rhinobatidae</t>
  </si>
  <si>
    <t>Serranidae</t>
  </si>
  <si>
    <t>Elasmobranchi (RAYS)</t>
  </si>
  <si>
    <t>Other fishes</t>
  </si>
  <si>
    <t>Haemulidae</t>
  </si>
  <si>
    <t>Sicyonia penicillata</t>
  </si>
  <si>
    <t>Small pelagics</t>
  </si>
  <si>
    <t>Farfantepenaeus californiensis (JUVENILES)</t>
  </si>
  <si>
    <t>Litopenaeus stylirostris (JUVENILES)</t>
  </si>
  <si>
    <t>Cephalopoda</t>
  </si>
  <si>
    <t>Flat fishes</t>
  </si>
  <si>
    <t>Myctophidos</t>
  </si>
  <si>
    <t>Mojarras</t>
  </si>
  <si>
    <t>Callinectes sp.</t>
  </si>
  <si>
    <t>Polychaeta</t>
  </si>
  <si>
    <t>Stomatopoda</t>
  </si>
  <si>
    <t>Litopenaeus stylirostris (ADULTS)</t>
  </si>
  <si>
    <t>Benthic inv.</t>
  </si>
  <si>
    <t>Farfantepenaeus californiensis (ADULTS)</t>
  </si>
  <si>
    <t>Zooplankton</t>
  </si>
  <si>
    <t>Phytoplankton</t>
  </si>
  <si>
    <t>Macrophytes</t>
  </si>
  <si>
    <t>Detritus</t>
  </si>
  <si>
    <t>detritus_TerminalBenthic</t>
  </si>
  <si>
    <t>Cam IndPP</t>
  </si>
  <si>
    <t>Cam ArtPP</t>
  </si>
  <si>
    <t>RibereñaPP</t>
  </si>
  <si>
    <t>CamIndSF</t>
  </si>
  <si>
    <t>CamArtSF</t>
  </si>
  <si>
    <t>RibereñaSF</t>
  </si>
  <si>
    <t>CamInsSC</t>
  </si>
  <si>
    <t>CamArtSC</t>
  </si>
  <si>
    <t>RibereñaSC</t>
  </si>
  <si>
    <t>Import</t>
  </si>
  <si>
    <t>export</t>
  </si>
  <si>
    <t>sum</t>
  </si>
  <si>
    <t>TOTAL</t>
  </si>
  <si>
    <t>F Cam IndPP</t>
  </si>
  <si>
    <t>F Cam ArtPP</t>
  </si>
  <si>
    <t>F RibereñaPP</t>
  </si>
  <si>
    <t>F CamIndSF</t>
  </si>
  <si>
    <t>F CamArtSF</t>
  </si>
  <si>
    <t>F RibereñaSF</t>
  </si>
  <si>
    <t>F CamInsSC</t>
  </si>
  <si>
    <t>F CamArtSC</t>
  </si>
  <si>
    <t>F RibereñaSC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</si>
</sst>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68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40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01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2" t="s">
        <v>171</v>
      </c>
      <c r="C53" s="112">
        <v>450</v>
      </c>
      <c r="D53" s="112"/>
    </row>
    <row r="54" spans="2:4" x14ac:dyDescent="0.15">
      <c r="B54" s="182" t="s">
        <v>172</v>
      </c>
      <c r="C54" s="182" t="s">
        <v>185</v>
      </c>
      <c r="D54" s="112"/>
    </row>
    <row r="55" spans="2:4" x14ac:dyDescent="0.15">
      <c r="B55" s="182" t="s">
        <v>173</v>
      </c>
      <c r="C55" s="182" t="s">
        <v>186</v>
      </c>
      <c r="D55" s="112"/>
    </row>
    <row r="56" spans="2:4" x14ac:dyDescent="0.15">
      <c r="B56" s="182" t="s">
        <v>174</v>
      </c>
      <c r="C56" s="112">
        <v>36000</v>
      </c>
      <c r="D56" s="112"/>
    </row>
    <row r="57" spans="2:4" x14ac:dyDescent="0.15">
      <c r="B57" s="182" t="s">
        <v>175</v>
      </c>
      <c r="C57" s="182" t="s">
        <v>187</v>
      </c>
      <c r="D57" s="112"/>
    </row>
    <row r="58" spans="2:4" x14ac:dyDescent="0.15">
      <c r="B58" s="182" t="s">
        <v>176</v>
      </c>
      <c r="C58" s="182" t="s">
        <v>188</v>
      </c>
      <c r="D58" s="112"/>
    </row>
    <row r="59" spans="2:4" x14ac:dyDescent="0.15">
      <c r="B59" s="182" t="s">
        <v>177</v>
      </c>
      <c r="C59" s="182" t="s">
        <v>189</v>
      </c>
      <c r="D59" s="112"/>
    </row>
    <row r="60" spans="2:4" x14ac:dyDescent="0.15">
      <c r="B60" s="182" t="s">
        <v>178</v>
      </c>
      <c r="C60" s="182" t="s">
        <v>190</v>
      </c>
      <c r="D60" s="112"/>
    </row>
    <row r="61" spans="2:4" x14ac:dyDescent="0.15">
      <c r="B61" s="182" t="s">
        <v>179</v>
      </c>
      <c r="C61" s="112">
        <v>34</v>
      </c>
      <c r="D61" s="112"/>
    </row>
    <row r="62" spans="2:4" x14ac:dyDescent="0.15">
      <c r="B62" s="182" t="s">
        <v>180</v>
      </c>
      <c r="C62" s="112">
        <v>9</v>
      </c>
      <c r="D62" s="112"/>
    </row>
    <row r="63" spans="2:4" x14ac:dyDescent="0.15">
      <c r="B63" s="182" t="s">
        <v>181</v>
      </c>
      <c r="C63" s="112">
        <v>1990</v>
      </c>
      <c r="D63" s="112"/>
    </row>
    <row r="64" spans="2:4" x14ac:dyDescent="0.15">
      <c r="B64" s="182" t="s">
        <v>182</v>
      </c>
      <c r="C64" s="112">
        <v>10</v>
      </c>
      <c r="D64" s="112"/>
    </row>
    <row r="65" spans="2:4" x14ac:dyDescent="0.15">
      <c r="B65" s="182" t="s">
        <v>183</v>
      </c>
      <c r="C65" s="182" t="s">
        <v>191</v>
      </c>
      <c r="D65" s="112"/>
    </row>
    <row r="66" spans="2:4" x14ac:dyDescent="0.15">
      <c r="B66" s="182" t="s">
        <v>184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38" style="81" bestFit="1" customWidth="1"/>
    <col min="6" max="6" width="2.33203125" style="81" bestFit="1" customWidth="1"/>
    <col min="7" max="7" width="14.83203125" style="81" bestFit="1" customWidth="1"/>
    <col min="8" max="8" width="5.83203125" style="81" customWidth="1"/>
    <col min="9" max="9" width="10.83203125" style="81" customWidth="1"/>
    <col min="10" max="10" width="11.83203125" style="81" customWidth="1"/>
    <col min="11" max="11" width="13.83203125" style="81" customWidth="1"/>
    <col min="12" max="12" width="10.83203125" style="81" customWidth="1"/>
    <col min="13" max="13" width="3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83" t="s">
        <v>192</v>
      </c>
      <c r="F2" s="81">
        <v>0</v>
      </c>
      <c r="G2" s="81">
        <v>0.71880999999999995</v>
      </c>
      <c r="H2" s="81">
        <v>0.28000000000000003</v>
      </c>
      <c r="I2" s="6">
        <v>3</v>
      </c>
      <c r="J2" s="6">
        <v>0.75</v>
      </c>
      <c r="K2" s="6">
        <v>9.3333333700000007E-2</v>
      </c>
      <c r="L2" s="6">
        <v>0</v>
      </c>
      <c r="M2" s="81">
        <v>0.2</v>
      </c>
      <c r="N2" s="81">
        <v>0</v>
      </c>
    </row>
    <row r="3" spans="1:46" ht="15" customHeight="1" x14ac:dyDescent="0.15">
      <c r="A3" s="1" t="s">
        <v>9</v>
      </c>
      <c r="B3" s="4">
        <v>33</v>
      </c>
      <c r="C3" s="81">
        <v>2</v>
      </c>
      <c r="D3"/>
      <c r="E3" s="183" t="s">
        <v>193</v>
      </c>
      <c r="F3" s="81">
        <v>0</v>
      </c>
      <c r="G3" s="81">
        <v>1.4173480699999999E-2</v>
      </c>
      <c r="H3" s="81">
        <v>0.54400000000000004</v>
      </c>
      <c r="I3" s="81">
        <v>35.47</v>
      </c>
      <c r="J3" s="81">
        <v>6.185964E-2</v>
      </c>
      <c r="K3" s="81">
        <v>1.5336904700000001E-2</v>
      </c>
      <c r="L3" s="81">
        <v>0</v>
      </c>
      <c r="M3" s="81">
        <v>0.2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83" t="s">
        <v>194</v>
      </c>
      <c r="F4" s="81">
        <v>0</v>
      </c>
      <c r="G4" s="81">
        <v>8.0000000000000002E-3</v>
      </c>
      <c r="H4" s="81">
        <v>0.41399999999999998</v>
      </c>
      <c r="I4" s="81">
        <v>5</v>
      </c>
      <c r="J4" s="81">
        <v>0.7926512</v>
      </c>
      <c r="K4" s="81">
        <v>8.2799999999999999E-2</v>
      </c>
      <c r="L4" s="81">
        <v>0</v>
      </c>
      <c r="M4" s="81">
        <v>0.2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9</v>
      </c>
      <c r="C5" s="81">
        <v>4</v>
      </c>
      <c r="D5"/>
      <c r="E5" s="183" t="s">
        <v>195</v>
      </c>
      <c r="F5" s="81">
        <v>0</v>
      </c>
      <c r="G5" s="81">
        <v>4.00000019E-4</v>
      </c>
      <c r="H5" s="81">
        <v>0.5</v>
      </c>
      <c r="I5" s="81">
        <v>45</v>
      </c>
      <c r="J5" s="81">
        <v>9.9362930000000006E-3</v>
      </c>
      <c r="K5" s="81">
        <v>1.11111114E-2</v>
      </c>
      <c r="L5" s="81">
        <v>0</v>
      </c>
      <c r="M5" s="81">
        <v>0.2</v>
      </c>
      <c r="N5" s="81">
        <v>0</v>
      </c>
      <c r="P5" s="72"/>
      <c r="Q5" s="72"/>
      <c r="R5" s="72"/>
    </row>
    <row r="6" spans="1:46" ht="15" customHeight="1" thickBot="1" x14ac:dyDescent="0.2">
      <c r="B6" s="1"/>
      <c r="C6" s="81">
        <v>5</v>
      </c>
      <c r="D6"/>
      <c r="E6" s="183" t="s">
        <v>196</v>
      </c>
      <c r="F6" s="81">
        <v>0</v>
      </c>
      <c r="G6" s="81">
        <v>0.17399999999999999</v>
      </c>
      <c r="H6" s="81">
        <v>0.23599999999999999</v>
      </c>
      <c r="I6" s="81">
        <v>26.449000000000002</v>
      </c>
      <c r="J6" s="81">
        <v>0.10619653</v>
      </c>
      <c r="K6" s="81">
        <v>8.9228329999999998E-3</v>
      </c>
      <c r="L6" s="81">
        <v>0</v>
      </c>
      <c r="M6" s="81">
        <v>0.2</v>
      </c>
      <c r="N6" s="81">
        <v>0</v>
      </c>
      <c r="P6" s="72"/>
      <c r="Q6" s="72"/>
      <c r="R6" s="72"/>
      <c r="W6" s="36" t="s">
        <v>31</v>
      </c>
      <c r="X6" s="52">
        <f>MAX(MainOutputs!G:G)</f>
        <v>0.95000153779983521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377</v>
      </c>
      <c r="C7" s="81">
        <v>6</v>
      </c>
      <c r="D7"/>
      <c r="E7" s="183" t="s">
        <v>197</v>
      </c>
      <c r="F7" s="81">
        <v>0</v>
      </c>
      <c r="G7" s="81">
        <v>1.5E-3</v>
      </c>
      <c r="H7" s="81">
        <v>0.6</v>
      </c>
      <c r="I7" s="81">
        <v>30</v>
      </c>
      <c r="J7" s="81">
        <v>0.30109122399999999</v>
      </c>
      <c r="K7" s="81">
        <v>2.0000001399999998E-2</v>
      </c>
      <c r="L7" s="81">
        <v>0</v>
      </c>
      <c r="M7" s="81">
        <v>0.2</v>
      </c>
      <c r="N7" s="81">
        <v>0</v>
      </c>
      <c r="P7" s="72"/>
      <c r="Q7" s="72"/>
      <c r="R7" s="72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197</v>
      </c>
      <c r="C8" s="81">
        <v>7</v>
      </c>
      <c r="D8"/>
      <c r="E8" s="183" t="s">
        <v>198</v>
      </c>
      <c r="F8" s="81">
        <v>0</v>
      </c>
      <c r="G8" s="81">
        <v>1.9609706500000001E-2</v>
      </c>
      <c r="H8" s="81">
        <v>0.7</v>
      </c>
      <c r="I8" s="81">
        <v>10.2719345</v>
      </c>
      <c r="J8" s="81">
        <v>0.59391593899999995</v>
      </c>
      <c r="K8" s="81">
        <v>6.8146849999999995E-2</v>
      </c>
      <c r="L8" s="81">
        <v>0</v>
      </c>
      <c r="M8" s="81">
        <v>0.2</v>
      </c>
      <c r="N8" s="81">
        <v>0</v>
      </c>
      <c r="P8" s="72"/>
      <c r="Q8" s="72"/>
      <c r="R8" s="72"/>
    </row>
    <row r="9" spans="1:46" ht="15" customHeight="1" x14ac:dyDescent="0.15">
      <c r="B9" s="1"/>
      <c r="C9" s="81">
        <v>8</v>
      </c>
      <c r="D9"/>
      <c r="E9" s="183" t="s">
        <v>199</v>
      </c>
      <c r="F9" s="81">
        <v>0</v>
      </c>
      <c r="G9" s="81">
        <v>0.14700001500000001</v>
      </c>
      <c r="H9" s="81">
        <v>0.45</v>
      </c>
      <c r="I9" s="81">
        <v>1.85</v>
      </c>
      <c r="J9" s="81">
        <v>0.58622133700000001</v>
      </c>
      <c r="K9" s="81">
        <v>0.243243232</v>
      </c>
      <c r="L9" s="81">
        <v>0</v>
      </c>
      <c r="M9" s="81">
        <v>0.2</v>
      </c>
      <c r="N9" s="81">
        <v>0</v>
      </c>
      <c r="P9" s="72"/>
      <c r="Q9" s="72"/>
      <c r="R9" s="72"/>
    </row>
    <row r="10" spans="1:46" ht="15" customHeight="1" x14ac:dyDescent="0.15">
      <c r="B10" s="1"/>
      <c r="C10" s="81">
        <v>9</v>
      </c>
      <c r="D10"/>
      <c r="E10" s="183" t="s">
        <v>200</v>
      </c>
      <c r="F10" s="81">
        <v>0</v>
      </c>
      <c r="G10" s="81">
        <v>0.09</v>
      </c>
      <c r="H10" s="81">
        <v>0.2</v>
      </c>
      <c r="I10" s="81">
        <v>2.92</v>
      </c>
      <c r="J10" s="81">
        <v>3.7219136999999999E-2</v>
      </c>
      <c r="K10" s="81">
        <v>6.8493150000000003E-2</v>
      </c>
      <c r="L10" s="81">
        <v>0</v>
      </c>
      <c r="M10" s="81">
        <v>0.2</v>
      </c>
      <c r="N10" s="81">
        <v>0</v>
      </c>
    </row>
    <row r="11" spans="1:46" ht="15" customHeight="1" x14ac:dyDescent="0.15">
      <c r="C11" s="81">
        <v>10</v>
      </c>
      <c r="D11"/>
      <c r="E11" s="183" t="s">
        <v>201</v>
      </c>
      <c r="F11" s="81">
        <v>0</v>
      </c>
      <c r="G11" s="81">
        <v>1.33999987E-4</v>
      </c>
      <c r="H11" s="81">
        <v>0.25</v>
      </c>
      <c r="I11" s="81">
        <v>45</v>
      </c>
      <c r="J11" s="81">
        <v>5.9321159999999998E-2</v>
      </c>
      <c r="K11" s="81">
        <v>5.5555556900000001E-3</v>
      </c>
      <c r="L11" s="81">
        <v>0</v>
      </c>
      <c r="M11" s="81">
        <v>0.2</v>
      </c>
      <c r="N11" s="81">
        <v>0</v>
      </c>
    </row>
    <row r="12" spans="1:46" ht="15" customHeight="1" x14ac:dyDescent="0.15">
      <c r="C12" s="81">
        <v>11</v>
      </c>
      <c r="D12"/>
      <c r="E12" s="183" t="s">
        <v>202</v>
      </c>
      <c r="F12" s="81">
        <v>0</v>
      </c>
      <c r="G12" s="81">
        <v>0.2521041</v>
      </c>
      <c r="H12" s="81">
        <v>2.95</v>
      </c>
      <c r="I12" s="81">
        <v>12.1</v>
      </c>
      <c r="J12" s="81">
        <v>0.687477648</v>
      </c>
      <c r="K12" s="81">
        <v>0.24380165300000001</v>
      </c>
      <c r="L12" s="81">
        <v>0</v>
      </c>
      <c r="M12" s="81">
        <v>0.2</v>
      </c>
      <c r="N12" s="81">
        <v>0</v>
      </c>
    </row>
    <row r="13" spans="1:46" ht="15" customHeight="1" x14ac:dyDescent="0.15">
      <c r="C13" s="81">
        <v>12</v>
      </c>
      <c r="D13"/>
      <c r="E13" s="183" t="s">
        <v>203</v>
      </c>
      <c r="F13" s="81">
        <v>0</v>
      </c>
      <c r="G13" s="81">
        <v>0.14964450900000001</v>
      </c>
      <c r="H13" s="81">
        <v>0.68</v>
      </c>
      <c r="I13" s="81">
        <v>2.6</v>
      </c>
      <c r="J13" s="81">
        <v>0.63903075499999995</v>
      </c>
      <c r="K13" s="81">
        <v>0.26153847600000002</v>
      </c>
      <c r="L13" s="81">
        <v>0</v>
      </c>
      <c r="M13" s="81">
        <v>0.2</v>
      </c>
      <c r="N13" s="81">
        <v>0</v>
      </c>
    </row>
    <row r="14" spans="1:46" ht="15" customHeight="1" x14ac:dyDescent="0.15">
      <c r="C14" s="81">
        <v>13</v>
      </c>
      <c r="D14"/>
      <c r="E14" s="183" t="s">
        <v>204</v>
      </c>
      <c r="F14" s="81">
        <v>0</v>
      </c>
      <c r="G14" s="81">
        <v>1.98435E-2</v>
      </c>
      <c r="H14" s="81">
        <v>0.79</v>
      </c>
      <c r="I14" s="81">
        <v>3.6</v>
      </c>
      <c r="J14" s="81">
        <v>0.86597323400000004</v>
      </c>
      <c r="K14" s="81">
        <v>0.21944445400000001</v>
      </c>
      <c r="L14" s="81">
        <v>0</v>
      </c>
      <c r="M14" s="81">
        <v>0.2</v>
      </c>
      <c r="N14" s="81">
        <v>0</v>
      </c>
    </row>
    <row r="15" spans="1:46" ht="15" customHeight="1" x14ac:dyDescent="0.15">
      <c r="C15" s="81">
        <v>14</v>
      </c>
      <c r="D15"/>
      <c r="E15" s="183" t="s">
        <v>205</v>
      </c>
      <c r="F15" s="81">
        <v>0</v>
      </c>
      <c r="G15" s="81">
        <v>0.41394779999999998</v>
      </c>
      <c r="H15" s="81">
        <v>0.93</v>
      </c>
      <c r="I15" s="81">
        <v>5.0999999999999996</v>
      </c>
      <c r="J15" s="81">
        <v>0.78982943299999997</v>
      </c>
      <c r="K15" s="81">
        <v>0.18235294499999999</v>
      </c>
      <c r="L15" s="81">
        <v>0</v>
      </c>
      <c r="M15" s="81">
        <v>0.2</v>
      </c>
      <c r="N15" s="81">
        <v>0</v>
      </c>
    </row>
    <row r="16" spans="1:46" ht="15" customHeight="1" x14ac:dyDescent="0.15">
      <c r="C16" s="81">
        <v>15</v>
      </c>
      <c r="D16"/>
      <c r="E16" s="183" t="s">
        <v>206</v>
      </c>
      <c r="F16" s="81">
        <v>0</v>
      </c>
      <c r="G16" s="81">
        <v>2.1038475000000001</v>
      </c>
      <c r="H16" s="81">
        <v>1.95</v>
      </c>
      <c r="I16" s="81">
        <v>7.9539999999999997</v>
      </c>
      <c r="J16" s="81">
        <v>0.95</v>
      </c>
      <c r="K16" s="81">
        <v>0.245159671</v>
      </c>
      <c r="L16" s="81">
        <v>0</v>
      </c>
      <c r="M16" s="81">
        <v>0.2</v>
      </c>
      <c r="N16" s="81">
        <v>0</v>
      </c>
    </row>
    <row r="17" spans="1:22" ht="15" customHeight="1" x14ac:dyDescent="0.15">
      <c r="C17" s="81">
        <v>16</v>
      </c>
      <c r="D17"/>
      <c r="E17" s="183" t="s">
        <v>207</v>
      </c>
      <c r="F17" s="81">
        <v>0</v>
      </c>
      <c r="G17" s="81">
        <v>6.92136E-2</v>
      </c>
      <c r="H17" s="81">
        <v>2.85</v>
      </c>
      <c r="I17" s="81">
        <v>14.4</v>
      </c>
      <c r="J17" s="81">
        <v>0.82795566300000001</v>
      </c>
      <c r="K17" s="81">
        <v>0.19791667199999999</v>
      </c>
      <c r="L17" s="81">
        <v>0</v>
      </c>
      <c r="M17" s="81">
        <v>0.2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83" t="s">
        <v>208</v>
      </c>
      <c r="F18" s="81">
        <v>0</v>
      </c>
      <c r="G18" s="81">
        <v>2.1514153099999999E-2</v>
      </c>
      <c r="H18" s="81">
        <v>3</v>
      </c>
      <c r="I18" s="81">
        <v>8.5</v>
      </c>
      <c r="J18" s="81">
        <v>0.75067323399999997</v>
      </c>
      <c r="K18" s="81">
        <v>0.35294120000000001</v>
      </c>
      <c r="L18" s="81">
        <v>0</v>
      </c>
      <c r="M18" s="81">
        <v>0.2</v>
      </c>
      <c r="N18" s="81">
        <v>0</v>
      </c>
      <c r="V18" s="1"/>
    </row>
    <row r="19" spans="1:22" ht="15" customHeight="1" x14ac:dyDescent="0.15">
      <c r="C19" s="81">
        <v>18</v>
      </c>
      <c r="D19"/>
      <c r="E19" s="183" t="s">
        <v>209</v>
      </c>
      <c r="F19" s="81">
        <v>0</v>
      </c>
      <c r="G19" s="81">
        <v>1.55478966</v>
      </c>
      <c r="H19" s="81">
        <v>3.3</v>
      </c>
      <c r="I19" s="81">
        <v>10.555999999999999</v>
      </c>
      <c r="J19" s="81">
        <v>0.95</v>
      </c>
      <c r="K19" s="81">
        <v>0.31261840000000002</v>
      </c>
      <c r="L19" s="81">
        <v>0</v>
      </c>
      <c r="M19" s="81">
        <v>0.2</v>
      </c>
      <c r="N19" s="81">
        <v>0</v>
      </c>
    </row>
    <row r="20" spans="1:22" ht="15" customHeight="1" thickBot="1" x14ac:dyDescent="0.2">
      <c r="C20" s="81">
        <v>19</v>
      </c>
      <c r="D20"/>
      <c r="E20" s="183" t="s">
        <v>210</v>
      </c>
      <c r="F20" s="81">
        <v>0</v>
      </c>
      <c r="G20" s="81">
        <v>3.8013819999999997E-2</v>
      </c>
      <c r="H20" s="81">
        <v>8.5</v>
      </c>
      <c r="I20" s="81">
        <v>40.189414999999997</v>
      </c>
      <c r="J20" s="81">
        <v>0.48702323400000003</v>
      </c>
      <c r="K20" s="81">
        <v>0.21149846899999999</v>
      </c>
      <c r="L20" s="81">
        <v>0</v>
      </c>
      <c r="M20" s="81">
        <v>0.2</v>
      </c>
      <c r="N20" s="81">
        <v>0</v>
      </c>
    </row>
    <row r="21" spans="1:22" ht="15" customHeight="1" thickBot="1" x14ac:dyDescent="0.2">
      <c r="A21" s="47" t="s">
        <v>137</v>
      </c>
      <c r="B21" s="99"/>
      <c r="C21" s="81">
        <v>20</v>
      </c>
      <c r="D21"/>
      <c r="E21" s="183" t="s">
        <v>211</v>
      </c>
      <c r="F21" s="81">
        <v>0</v>
      </c>
      <c r="G21" s="81">
        <v>0.118585117</v>
      </c>
      <c r="H21" s="81">
        <v>9</v>
      </c>
      <c r="I21" s="81">
        <v>37.106426200000001</v>
      </c>
      <c r="J21" s="81">
        <v>0.215282485</v>
      </c>
      <c r="K21" s="81">
        <v>0.24254559000000001</v>
      </c>
      <c r="L21" s="81">
        <v>0</v>
      </c>
      <c r="M21" s="81">
        <v>0.2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83" t="s">
        <v>212</v>
      </c>
      <c r="F22" s="81">
        <v>0</v>
      </c>
      <c r="G22" s="81">
        <v>2.32415986</v>
      </c>
      <c r="H22" s="81">
        <v>3.45</v>
      </c>
      <c r="I22" s="81">
        <v>11.68</v>
      </c>
      <c r="J22" s="81">
        <v>0.75</v>
      </c>
      <c r="K22" s="81">
        <v>0.29537671799999998</v>
      </c>
      <c r="L22" s="81">
        <v>0</v>
      </c>
      <c r="M22" s="81">
        <v>0.2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83" t="s">
        <v>213</v>
      </c>
      <c r="F23" s="81">
        <v>0</v>
      </c>
      <c r="G23" s="81">
        <v>0.228311345</v>
      </c>
      <c r="H23" s="81">
        <v>0.65</v>
      </c>
      <c r="I23" s="81">
        <v>10.7</v>
      </c>
      <c r="J23" s="81">
        <v>0.75</v>
      </c>
      <c r="K23" s="81">
        <v>6.0747660000000002E-2</v>
      </c>
      <c r="L23" s="81">
        <v>0</v>
      </c>
      <c r="M23" s="81">
        <v>0.2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83" t="s">
        <v>214</v>
      </c>
      <c r="F24" s="81">
        <v>0</v>
      </c>
      <c r="G24" s="81">
        <v>1.1685681299999999</v>
      </c>
      <c r="H24" s="81">
        <v>1.456</v>
      </c>
      <c r="I24" s="81">
        <v>7.9370000000000003</v>
      </c>
      <c r="J24" s="81">
        <v>0.95</v>
      </c>
      <c r="K24" s="81">
        <v>0.183444634</v>
      </c>
      <c r="L24" s="81">
        <v>0</v>
      </c>
      <c r="M24" s="81">
        <v>0.2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83" t="s">
        <v>215</v>
      </c>
      <c r="F25" s="81">
        <v>0</v>
      </c>
      <c r="G25" s="81">
        <v>0.31704399999999999</v>
      </c>
      <c r="H25" s="81">
        <v>1.65</v>
      </c>
      <c r="I25" s="81">
        <v>6.2</v>
      </c>
      <c r="J25" s="81">
        <v>0.6490051</v>
      </c>
      <c r="K25" s="81">
        <v>0.26612904700000001</v>
      </c>
      <c r="L25" s="81">
        <v>0</v>
      </c>
      <c r="M25" s="81">
        <v>0.2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83" t="s">
        <v>216</v>
      </c>
      <c r="F26" s="81">
        <v>0</v>
      </c>
      <c r="G26" s="81">
        <v>0.61929780000000001</v>
      </c>
      <c r="H26" s="81">
        <v>2.65</v>
      </c>
      <c r="I26" s="81">
        <v>9.0719999999999992</v>
      </c>
      <c r="J26" s="81">
        <v>7.1085490000000001E-2</v>
      </c>
      <c r="K26" s="81">
        <v>0.29210760000000002</v>
      </c>
      <c r="L26" s="81">
        <v>0</v>
      </c>
      <c r="M26" s="81">
        <v>0.2</v>
      </c>
      <c r="N26" s="81">
        <v>0</v>
      </c>
    </row>
    <row r="27" spans="1:22" ht="15" customHeight="1" x14ac:dyDescent="0.15">
      <c r="C27" s="81">
        <v>26</v>
      </c>
      <c r="D27"/>
      <c r="E27" s="183" t="s">
        <v>217</v>
      </c>
      <c r="F27" s="81">
        <v>0</v>
      </c>
      <c r="G27" s="81">
        <v>5.0700010000000004</v>
      </c>
      <c r="H27" s="81">
        <v>8</v>
      </c>
      <c r="I27" s="81">
        <v>27</v>
      </c>
      <c r="J27" s="81">
        <v>0.95</v>
      </c>
      <c r="K27" s="81">
        <v>0.29629630000000001</v>
      </c>
      <c r="L27" s="81">
        <v>0</v>
      </c>
      <c r="M27" s="81">
        <v>0.2</v>
      </c>
      <c r="N27" s="81">
        <v>0</v>
      </c>
    </row>
    <row r="28" spans="1:22" ht="15" customHeight="1" x14ac:dyDescent="0.15">
      <c r="C28" s="81">
        <v>27</v>
      </c>
      <c r="D28"/>
      <c r="E28" s="183" t="s">
        <v>218</v>
      </c>
      <c r="F28" s="81">
        <v>0</v>
      </c>
      <c r="G28" s="81">
        <v>6.5850950000000005E-2</v>
      </c>
      <c r="H28" s="81">
        <v>2.5</v>
      </c>
      <c r="I28" s="81">
        <v>8.6999999999999993</v>
      </c>
      <c r="J28" s="81">
        <v>0.76641446400000002</v>
      </c>
      <c r="K28" s="81">
        <v>0.28735631700000003</v>
      </c>
      <c r="L28" s="81">
        <v>0</v>
      </c>
      <c r="M28" s="81">
        <v>0.2</v>
      </c>
      <c r="N28" s="81">
        <v>0</v>
      </c>
    </row>
    <row r="29" spans="1:22" customFormat="1" ht="15" customHeight="1" x14ac:dyDescent="0.15">
      <c r="C29" s="81">
        <v>28</v>
      </c>
      <c r="E29" s="183" t="s">
        <v>219</v>
      </c>
      <c r="F29" s="81">
        <v>0</v>
      </c>
      <c r="G29" s="81">
        <v>0.2</v>
      </c>
      <c r="H29" s="81">
        <v>5.4</v>
      </c>
      <c r="I29" s="81">
        <v>19.120999999999999</v>
      </c>
      <c r="J29" s="81">
        <v>0.88535030000000003</v>
      </c>
      <c r="K29" s="81">
        <v>0.28241202199999998</v>
      </c>
      <c r="L29" s="81">
        <v>0</v>
      </c>
      <c r="M29" s="81">
        <v>0.2</v>
      </c>
      <c r="N29" s="81">
        <v>0</v>
      </c>
    </row>
    <row r="30" spans="1:22" customFormat="1" ht="15" customHeight="1" x14ac:dyDescent="0.15">
      <c r="C30" s="81">
        <v>29</v>
      </c>
      <c r="E30" s="183" t="s">
        <v>220</v>
      </c>
      <c r="F30" s="81">
        <v>0</v>
      </c>
      <c r="G30" s="81">
        <v>2.8860000000000001</v>
      </c>
      <c r="H30" s="81">
        <v>30</v>
      </c>
      <c r="I30" s="81">
        <v>84</v>
      </c>
      <c r="J30" s="81">
        <v>0.52256274199999997</v>
      </c>
      <c r="K30" s="81">
        <v>0.357142866</v>
      </c>
      <c r="L30" s="81">
        <v>0</v>
      </c>
      <c r="M30" s="81">
        <v>0.2</v>
      </c>
      <c r="N30" s="81">
        <v>0</v>
      </c>
    </row>
    <row r="31" spans="1:22" customFormat="1" ht="15" customHeight="1" x14ac:dyDescent="0.15">
      <c r="C31" s="81">
        <v>30</v>
      </c>
      <c r="E31" s="183" t="s">
        <v>221</v>
      </c>
      <c r="F31" s="81">
        <v>0</v>
      </c>
      <c r="G31" s="81">
        <v>8.0000005700000001E-2</v>
      </c>
      <c r="H31" s="81">
        <v>5.4</v>
      </c>
      <c r="I31" s="81">
        <v>19.899999999999999</v>
      </c>
      <c r="J31" s="81">
        <v>0.73973393399999998</v>
      </c>
      <c r="K31" s="81">
        <v>0.27135680000000001</v>
      </c>
      <c r="L31" s="81">
        <v>0</v>
      </c>
      <c r="M31" s="81">
        <v>0.2</v>
      </c>
      <c r="N31" s="81">
        <v>0</v>
      </c>
    </row>
    <row r="32" spans="1:22" customFormat="1" ht="15" customHeight="1" x14ac:dyDescent="0.15">
      <c r="C32" s="81">
        <v>31</v>
      </c>
      <c r="E32" s="183" t="s">
        <v>222</v>
      </c>
      <c r="F32" s="81">
        <v>0</v>
      </c>
      <c r="G32" s="81">
        <v>28</v>
      </c>
      <c r="H32" s="81">
        <v>25</v>
      </c>
      <c r="I32" s="81">
        <v>70</v>
      </c>
      <c r="J32" s="81">
        <v>0.68731629999999999</v>
      </c>
      <c r="K32" s="81">
        <v>0.357142866</v>
      </c>
      <c r="L32" s="81">
        <v>0</v>
      </c>
      <c r="M32" s="81">
        <v>0.2</v>
      </c>
      <c r="N32" s="81">
        <v>0</v>
      </c>
    </row>
    <row r="33" spans="3:14" customFormat="1" ht="15" customHeight="1" x14ac:dyDescent="0.15">
      <c r="C33" s="81">
        <v>32</v>
      </c>
      <c r="E33" s="183" t="s">
        <v>223</v>
      </c>
      <c r="F33" s="81">
        <v>1</v>
      </c>
      <c r="G33" s="81">
        <v>116</v>
      </c>
      <c r="H33" s="81">
        <v>57.85</v>
      </c>
      <c r="I33" s="81">
        <v>0</v>
      </c>
      <c r="J33" s="81">
        <v>0.21716991099999999</v>
      </c>
      <c r="K33" s="81">
        <v>0</v>
      </c>
      <c r="L33" s="81">
        <v>0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83" t="s">
        <v>224</v>
      </c>
      <c r="F34" s="81">
        <v>1</v>
      </c>
      <c r="G34" s="81">
        <v>1.6099999</v>
      </c>
      <c r="H34" s="81">
        <v>58.2</v>
      </c>
      <c r="I34" s="81">
        <v>0</v>
      </c>
      <c r="J34" s="81">
        <v>0.43687727999999998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>
      <c r="C35" s="81">
        <v>34</v>
      </c>
      <c r="E35" s="183" t="s">
        <v>225</v>
      </c>
      <c r="F35" s="81">
        <v>2</v>
      </c>
      <c r="G35" s="81">
        <v>88.52</v>
      </c>
      <c r="H35" s="81">
        <v>0</v>
      </c>
      <c r="I35" s="81">
        <v>0</v>
      </c>
      <c r="J35" s="81">
        <v>6.5167290000000003E-2</v>
      </c>
      <c r="K35" s="81">
        <v>0</v>
      </c>
      <c r="L35" s="81">
        <v>128.71751399999999</v>
      </c>
      <c r="M35" s="81">
        <v>0.2</v>
      </c>
      <c r="N35" s="81">
        <v>0</v>
      </c>
    </row>
    <row r="36" spans="3:14" customFormat="1" ht="15" customHeight="1" x14ac:dyDescent="0.15">
      <c r="C36" s="81">
        <v>35</v>
      </c>
      <c r="E36" s="183" t="s">
        <v>226</v>
      </c>
      <c r="F36" s="81">
        <v>2</v>
      </c>
      <c r="G36" s="81">
        <v>5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0</v>
      </c>
      <c r="N36" s="81">
        <v>0</v>
      </c>
    </row>
    <row r="37" spans="3:14" customFormat="1" ht="15" customHeight="1" x14ac:dyDescent="0.15">
      <c r="C37" s="81">
        <v>36</v>
      </c>
      <c r="E37" s="183" t="s">
        <v>227</v>
      </c>
      <c r="F37" s="81">
        <v>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0</v>
      </c>
      <c r="N37" s="81">
        <v>0</v>
      </c>
    </row>
    <row r="38" spans="3:14" customFormat="1" ht="15" customHeight="1" x14ac:dyDescent="0.15">
      <c r="C38" s="81">
        <v>37</v>
      </c>
      <c r="E38" s="183" t="s">
        <v>228</v>
      </c>
      <c r="F38" s="81">
        <v>3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0</v>
      </c>
      <c r="M38" s="81">
        <v>0</v>
      </c>
      <c r="N38" s="81">
        <v>0</v>
      </c>
    </row>
    <row r="39" spans="3:14" customFormat="1" ht="15" customHeight="1" x14ac:dyDescent="0.15">
      <c r="C39" s="81">
        <v>38</v>
      </c>
      <c r="E39" s="183" t="s">
        <v>229</v>
      </c>
      <c r="F39" s="81">
        <v>3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0</v>
      </c>
      <c r="M39" s="81">
        <v>0</v>
      </c>
      <c r="N39" s="81">
        <v>0</v>
      </c>
    </row>
    <row r="40" spans="3:14" customFormat="1" ht="15" customHeight="1" x14ac:dyDescent="0.15">
      <c r="C40" s="81">
        <v>39</v>
      </c>
      <c r="E40" s="183" t="s">
        <v>230</v>
      </c>
      <c r="F40" s="81">
        <v>3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0</v>
      </c>
      <c r="M40" s="81">
        <v>0</v>
      </c>
      <c r="N40" s="81">
        <v>0</v>
      </c>
    </row>
    <row r="41" spans="3:14" customFormat="1" ht="15" customHeight="1" x14ac:dyDescent="0.15">
      <c r="C41" s="81">
        <v>40</v>
      </c>
      <c r="E41" s="183" t="s">
        <v>231</v>
      </c>
      <c r="F41" s="81">
        <v>3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0</v>
      </c>
      <c r="M41" s="81">
        <v>0</v>
      </c>
      <c r="N41" s="81">
        <v>0</v>
      </c>
    </row>
    <row r="42" spans="3:14" customFormat="1" ht="15" customHeight="1" x14ac:dyDescent="0.15">
      <c r="C42" s="81">
        <v>41</v>
      </c>
      <c r="E42" s="183" t="s">
        <v>232</v>
      </c>
      <c r="F42" s="81">
        <v>3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0</v>
      </c>
      <c r="M42" s="81">
        <v>0</v>
      </c>
      <c r="N42" s="81">
        <v>0</v>
      </c>
    </row>
    <row r="43" spans="3:14" customFormat="1" ht="15" customHeight="1" x14ac:dyDescent="0.15">
      <c r="C43" s="81">
        <v>42</v>
      </c>
      <c r="E43" s="183" t="s">
        <v>233</v>
      </c>
      <c r="F43" s="81">
        <v>3</v>
      </c>
      <c r="G43" s="81">
        <v>0</v>
      </c>
      <c r="H43" s="81">
        <v>0</v>
      </c>
      <c r="I43" s="81">
        <v>0</v>
      </c>
      <c r="J43" s="81">
        <v>0</v>
      </c>
      <c r="K43" s="81">
        <v>0</v>
      </c>
      <c r="L43" s="81">
        <v>0</v>
      </c>
      <c r="M43" s="81">
        <v>0</v>
      </c>
      <c r="N43" s="81">
        <v>0</v>
      </c>
    </row>
    <row r="44" spans="3:14" customFormat="1" ht="15" customHeight="1" x14ac:dyDescent="0.15">
      <c r="C44" s="81">
        <v>43</v>
      </c>
      <c r="E44" s="183" t="s">
        <v>234</v>
      </c>
      <c r="F44" s="81">
        <v>3</v>
      </c>
      <c r="G44" s="81">
        <v>0</v>
      </c>
      <c r="H44" s="81">
        <v>0</v>
      </c>
      <c r="I44" s="81">
        <v>0</v>
      </c>
      <c r="J44" s="81">
        <v>0</v>
      </c>
      <c r="K44" s="81">
        <v>0</v>
      </c>
      <c r="L44" s="81">
        <v>0</v>
      </c>
      <c r="M44" s="81">
        <v>0</v>
      </c>
      <c r="N44" s="81">
        <v>0</v>
      </c>
    </row>
    <row r="45" spans="3:14" customFormat="1" ht="15" customHeight="1" x14ac:dyDescent="0.15">
      <c r="C45" s="81">
        <v>44</v>
      </c>
      <c r="E45" s="183" t="s">
        <v>235</v>
      </c>
      <c r="F45" s="81">
        <v>3</v>
      </c>
      <c r="G45" s="81">
        <v>0</v>
      </c>
      <c r="H45" s="81">
        <v>0</v>
      </c>
      <c r="I45" s="81">
        <v>0</v>
      </c>
      <c r="J45" s="81">
        <v>0</v>
      </c>
      <c r="K45" s="81">
        <v>0</v>
      </c>
      <c r="L45" s="81">
        <v>0</v>
      </c>
      <c r="M45" s="81">
        <v>0</v>
      </c>
      <c r="N45" s="81">
        <v>0</v>
      </c>
    </row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J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8" style="147" bestFit="1" customWidth="1"/>
    <col min="2" max="2" width="15.83203125" style="147" bestFit="1" customWidth="1"/>
    <col min="3" max="3" width="15.5" style="147" bestFit="1" customWidth="1"/>
    <col min="4" max="9" width="15.83203125" style="147" bestFit="1" customWidth="1"/>
    <col min="10" max="10" width="14.83203125" style="147" bestFit="1" customWidth="1"/>
    <col min="11" max="11" width="13.83203125" style="147" bestFit="1" customWidth="1"/>
    <col min="12" max="14" width="15.83203125" style="147" bestFit="1" customWidth="1"/>
    <col min="15" max="15" width="14.83203125" style="147" bestFit="1" customWidth="1"/>
    <col min="16" max="17" width="15.83203125" style="147" bestFit="1" customWidth="1"/>
    <col min="18" max="18" width="13.83203125" style="147" bestFit="1" customWidth="1"/>
    <col min="19" max="19" width="14.83203125" style="147" bestFit="1" customWidth="1"/>
    <col min="20" max="21" width="4.83203125" style="147" bestFit="1" customWidth="1"/>
    <col min="22" max="26" width="15.83203125" style="147" bestFit="1" customWidth="1"/>
    <col min="27" max="27" width="13.83203125" style="147" bestFit="1" customWidth="1"/>
    <col min="28" max="28" width="15.83203125" style="147" bestFit="1" customWidth="1"/>
    <col min="29" max="29" width="13.83203125" style="147" bestFit="1" customWidth="1"/>
    <col min="30" max="31" width="13.83203125" style="147" customWidth="1"/>
    <col min="32" max="32" width="3.83203125" style="147" customWidth="1"/>
    <col min="33" max="36" width="2.33203125" style="147" customWidth="1"/>
    <col min="37" max="16384" width="8.83203125" style="147"/>
  </cols>
  <sheetData>
    <row r="1" spans="1:36" x14ac:dyDescent="0.15">
      <c r="A1" s="146" t="s">
        <v>19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 s="185" t="s">
        <v>213</v>
      </c>
      <c r="X1" s="185" t="s">
        <v>214</v>
      </c>
      <c r="Y1" s="185" t="s">
        <v>215</v>
      </c>
      <c r="Z1" s="185" t="s">
        <v>216</v>
      </c>
      <c r="AA1" s="185" t="s">
        <v>217</v>
      </c>
      <c r="AB1" s="185" t="s">
        <v>218</v>
      </c>
      <c r="AC1" s="185" t="s">
        <v>219</v>
      </c>
      <c r="AD1" s="185" t="s">
        <v>220</v>
      </c>
      <c r="AE1" s="185" t="s">
        <v>221</v>
      </c>
      <c r="AF1" s="185" t="s">
        <v>222</v>
      </c>
      <c r="AG1" s="185" t="s">
        <v>223</v>
      </c>
      <c r="AH1" s="185" t="s">
        <v>224</v>
      </c>
      <c r="AI1" s="185" t="s">
        <v>225</v>
      </c>
      <c r="AJ1" s="185" t="s">
        <v>226</v>
      </c>
    </row>
    <row r="2" spans="1:36" customFormat="1" x14ac:dyDescent="0.15">
      <c r="A2" s="184" t="s">
        <v>192</v>
      </c>
      <c r="B2" s="147">
        <v>1.0005974116950467E-2</v>
      </c>
      <c r="C2" s="147">
        <v>1.9904270007075502E-2</v>
      </c>
      <c r="D2" s="147">
        <v>0</v>
      </c>
      <c r="E2" s="147">
        <v>4.6033557287502302E-2</v>
      </c>
      <c r="F2" s="147">
        <v>1.9977240512187168E-2</v>
      </c>
      <c r="G2" s="147">
        <v>0</v>
      </c>
      <c r="H2" s="147">
        <v>0</v>
      </c>
      <c r="I2" s="147">
        <v>0</v>
      </c>
      <c r="J2" s="147">
        <v>0</v>
      </c>
      <c r="K2" s="147">
        <v>0</v>
      </c>
      <c r="L2" s="147">
        <v>0</v>
      </c>
      <c r="M2" s="147">
        <v>0</v>
      </c>
      <c r="N2" s="147">
        <v>0</v>
      </c>
      <c r="O2" s="147">
        <v>0</v>
      </c>
      <c r="P2" s="147">
        <v>0</v>
      </c>
      <c r="Q2" s="147">
        <v>0</v>
      </c>
      <c r="R2" s="147">
        <v>0</v>
      </c>
      <c r="S2" s="147">
        <v>0</v>
      </c>
      <c r="T2" s="147">
        <v>0</v>
      </c>
      <c r="U2" s="147">
        <v>0</v>
      </c>
      <c r="V2" s="147">
        <v>0</v>
      </c>
      <c r="W2" s="147">
        <v>0</v>
      </c>
      <c r="X2" s="147">
        <v>0</v>
      </c>
      <c r="Y2" s="147">
        <v>0</v>
      </c>
      <c r="Z2" s="147">
        <v>0</v>
      </c>
      <c r="AA2" s="147">
        <v>0</v>
      </c>
      <c r="AB2" s="147">
        <v>0</v>
      </c>
      <c r="AC2" s="147">
        <v>0</v>
      </c>
      <c r="AD2" s="147">
        <v>0</v>
      </c>
      <c r="AE2" s="147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</row>
    <row r="3" spans="1:36" customFormat="1" x14ac:dyDescent="0.15">
      <c r="A3" s="184" t="s">
        <v>193</v>
      </c>
      <c r="B3" s="147">
        <v>2.0011949833900923E-4</v>
      </c>
      <c r="C3" s="147">
        <v>0</v>
      </c>
      <c r="D3" s="147">
        <v>0</v>
      </c>
      <c r="E3" s="147">
        <v>0</v>
      </c>
      <c r="F3" s="147">
        <v>9.8687573638204258E-6</v>
      </c>
      <c r="G3" s="147">
        <v>0</v>
      </c>
      <c r="H3" s="147">
        <v>0</v>
      </c>
      <c r="I3" s="147">
        <v>0</v>
      </c>
      <c r="J3" s="147">
        <v>0</v>
      </c>
      <c r="K3" s="147">
        <v>0</v>
      </c>
      <c r="L3" s="147">
        <v>0</v>
      </c>
      <c r="M3" s="147">
        <v>0</v>
      </c>
      <c r="N3" s="147">
        <v>0</v>
      </c>
      <c r="O3" s="147">
        <v>0</v>
      </c>
      <c r="P3" s="147">
        <v>0</v>
      </c>
      <c r="Q3" s="147">
        <v>0</v>
      </c>
      <c r="R3" s="147">
        <v>0</v>
      </c>
      <c r="S3" s="147">
        <v>0</v>
      </c>
      <c r="T3" s="147">
        <v>0</v>
      </c>
      <c r="U3" s="147">
        <v>0</v>
      </c>
      <c r="V3" s="147">
        <v>0</v>
      </c>
      <c r="W3" s="147">
        <v>0</v>
      </c>
      <c r="X3" s="147">
        <v>0</v>
      </c>
      <c r="Y3" s="147">
        <v>0</v>
      </c>
      <c r="Z3" s="147">
        <v>0</v>
      </c>
      <c r="AA3" s="147">
        <v>0</v>
      </c>
      <c r="AB3" s="147">
        <v>0</v>
      </c>
      <c r="AC3" s="147">
        <v>0</v>
      </c>
      <c r="AD3" s="147">
        <v>0</v>
      </c>
      <c r="AE3" s="147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</row>
    <row r="4" spans="1:36" customFormat="1" x14ac:dyDescent="0.15">
      <c r="A4" s="184" t="s">
        <v>194</v>
      </c>
      <c r="B4" s="147">
        <v>1.0005974616950465E-8</v>
      </c>
      <c r="C4" s="147">
        <v>9.5520485312849404E-5</v>
      </c>
      <c r="D4" s="147">
        <v>0</v>
      </c>
      <c r="E4" s="147">
        <v>0</v>
      </c>
      <c r="F4" s="147">
        <v>9.8687573638204258E-6</v>
      </c>
      <c r="G4" s="147">
        <v>0</v>
      </c>
      <c r="H4" s="147">
        <v>0</v>
      </c>
      <c r="I4" s="147">
        <v>0</v>
      </c>
      <c r="J4" s="147">
        <v>0</v>
      </c>
      <c r="K4" s="147">
        <v>0</v>
      </c>
      <c r="L4" s="147">
        <v>0</v>
      </c>
      <c r="M4" s="147">
        <v>0</v>
      </c>
      <c r="N4" s="147">
        <v>0</v>
      </c>
      <c r="O4" s="147">
        <v>0</v>
      </c>
      <c r="P4" s="147">
        <v>1.9004266857789166E-6</v>
      </c>
      <c r="Q4" s="147">
        <v>0</v>
      </c>
      <c r="R4" s="147">
        <v>0</v>
      </c>
      <c r="S4" s="147">
        <v>0</v>
      </c>
      <c r="T4" s="147">
        <v>0</v>
      </c>
      <c r="U4" s="147">
        <v>0</v>
      </c>
      <c r="V4" s="147">
        <v>0</v>
      </c>
      <c r="W4" s="147">
        <v>0</v>
      </c>
      <c r="X4" s="147">
        <v>0</v>
      </c>
      <c r="Y4" s="147">
        <v>0</v>
      </c>
      <c r="Z4" s="147">
        <v>0</v>
      </c>
      <c r="AA4" s="147">
        <v>0</v>
      </c>
      <c r="AB4" s="147">
        <v>0</v>
      </c>
      <c r="AC4" s="147">
        <v>0</v>
      </c>
      <c r="AD4" s="147">
        <v>0</v>
      </c>
      <c r="AE4" s="147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</row>
    <row r="5" spans="1:36" customFormat="1" x14ac:dyDescent="0.15">
      <c r="A5" s="184" t="s">
        <v>195</v>
      </c>
      <c r="B5" s="147">
        <v>9.215502923511375E-7</v>
      </c>
      <c r="C5" s="147">
        <v>0</v>
      </c>
      <c r="D5" s="147">
        <v>0</v>
      </c>
      <c r="E5" s="147">
        <v>0</v>
      </c>
      <c r="F5" s="147">
        <v>0</v>
      </c>
      <c r="G5" s="147">
        <v>0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0</v>
      </c>
      <c r="Q5" s="147">
        <v>0</v>
      </c>
      <c r="R5" s="147">
        <v>0</v>
      </c>
      <c r="S5" s="147">
        <v>0</v>
      </c>
      <c r="T5" s="147">
        <v>0</v>
      </c>
      <c r="U5" s="147">
        <v>0</v>
      </c>
      <c r="V5" s="147">
        <v>0</v>
      </c>
      <c r="W5" s="147">
        <v>0</v>
      </c>
      <c r="X5" s="147">
        <v>0</v>
      </c>
      <c r="Y5" s="147">
        <v>0</v>
      </c>
      <c r="Z5" s="147">
        <v>0</v>
      </c>
      <c r="AA5" s="147">
        <v>0</v>
      </c>
      <c r="AB5" s="147">
        <v>0</v>
      </c>
      <c r="AC5" s="147">
        <v>0</v>
      </c>
      <c r="AD5" s="147">
        <v>0</v>
      </c>
      <c r="AE5" s="147">
        <v>0</v>
      </c>
      <c r="AF5" s="147">
        <v>0</v>
      </c>
      <c r="AG5" s="147">
        <v>0</v>
      </c>
      <c r="AH5" s="147">
        <v>0</v>
      </c>
      <c r="AI5" s="147">
        <v>0</v>
      </c>
      <c r="AJ5" s="147">
        <v>0</v>
      </c>
    </row>
    <row r="6" spans="1:36" customFormat="1" x14ac:dyDescent="0.15">
      <c r="A6" s="184" t="s">
        <v>196</v>
      </c>
      <c r="B6" s="147">
        <v>2.001194983390092E-3</v>
      </c>
      <c r="C6" s="147">
        <v>0</v>
      </c>
      <c r="D6" s="147">
        <v>0</v>
      </c>
      <c r="E6" s="147">
        <v>0</v>
      </c>
      <c r="F6" s="147">
        <v>9.8687573638204258E-6</v>
      </c>
      <c r="G6" s="147">
        <v>0</v>
      </c>
      <c r="H6" s="147">
        <v>0</v>
      </c>
      <c r="I6" s="147">
        <v>0</v>
      </c>
      <c r="J6" s="147">
        <v>0</v>
      </c>
      <c r="K6" s="147">
        <v>0</v>
      </c>
      <c r="L6" s="147">
        <v>0</v>
      </c>
      <c r="M6" s="147">
        <v>0</v>
      </c>
      <c r="N6" s="147">
        <v>0</v>
      </c>
      <c r="O6" s="147">
        <v>0</v>
      </c>
      <c r="P6" s="147">
        <v>0</v>
      </c>
      <c r="Q6" s="147">
        <v>0</v>
      </c>
      <c r="R6" s="147">
        <v>0</v>
      </c>
      <c r="S6" s="147">
        <v>0</v>
      </c>
      <c r="T6" s="147">
        <v>0</v>
      </c>
      <c r="U6" s="147">
        <v>0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7">
        <v>0</v>
      </c>
      <c r="AB6" s="147">
        <v>0</v>
      </c>
      <c r="AC6" s="147">
        <v>0</v>
      </c>
      <c r="AD6" s="147">
        <v>0</v>
      </c>
      <c r="AE6" s="147">
        <v>0</v>
      </c>
      <c r="AF6" s="147">
        <v>0</v>
      </c>
      <c r="AG6" s="147">
        <v>0</v>
      </c>
      <c r="AH6" s="147">
        <v>0</v>
      </c>
      <c r="AI6" s="147">
        <v>0</v>
      </c>
      <c r="AJ6" s="147">
        <v>0</v>
      </c>
    </row>
    <row r="7" spans="1:36" customFormat="1" x14ac:dyDescent="0.15">
      <c r="A7" s="184" t="s">
        <v>197</v>
      </c>
      <c r="B7" s="147">
        <v>1.0005974116950467E-6</v>
      </c>
      <c r="C7" s="147">
        <v>0</v>
      </c>
      <c r="D7" s="147">
        <v>0</v>
      </c>
      <c r="E7" s="147">
        <v>0</v>
      </c>
      <c r="F7" s="147">
        <v>0</v>
      </c>
      <c r="G7" s="147">
        <v>0</v>
      </c>
      <c r="H7" s="147">
        <v>0</v>
      </c>
      <c r="I7" s="147">
        <v>0</v>
      </c>
      <c r="J7" s="147">
        <v>0</v>
      </c>
      <c r="K7" s="147">
        <v>0</v>
      </c>
      <c r="L7" s="147">
        <v>0</v>
      </c>
      <c r="M7" s="147">
        <v>0</v>
      </c>
      <c r="N7" s="147">
        <v>0</v>
      </c>
      <c r="O7" s="147">
        <v>0</v>
      </c>
      <c r="P7" s="147">
        <v>0</v>
      </c>
      <c r="Q7" s="147">
        <v>0</v>
      </c>
      <c r="R7" s="147">
        <v>0</v>
      </c>
      <c r="S7" s="147">
        <v>0</v>
      </c>
      <c r="T7" s="147">
        <v>0</v>
      </c>
      <c r="U7" s="147">
        <v>0</v>
      </c>
      <c r="V7" s="147">
        <v>0</v>
      </c>
      <c r="W7" s="147">
        <v>0</v>
      </c>
      <c r="X7" s="147">
        <v>0</v>
      </c>
      <c r="Y7" s="147">
        <v>0</v>
      </c>
      <c r="Z7" s="147">
        <v>0</v>
      </c>
      <c r="AA7" s="147">
        <v>0</v>
      </c>
      <c r="AB7" s="147">
        <v>0</v>
      </c>
      <c r="AC7" s="147">
        <v>0</v>
      </c>
      <c r="AD7" s="147">
        <v>0</v>
      </c>
      <c r="AE7" s="147">
        <v>0</v>
      </c>
      <c r="AF7" s="147">
        <v>0</v>
      </c>
      <c r="AG7" s="147">
        <v>0</v>
      </c>
      <c r="AH7" s="147">
        <v>0</v>
      </c>
      <c r="AI7" s="147">
        <v>0</v>
      </c>
      <c r="AJ7" s="147">
        <v>0</v>
      </c>
    </row>
    <row r="8" spans="1:36" customFormat="1" x14ac:dyDescent="0.15">
      <c r="A8" s="184" t="s">
        <v>198</v>
      </c>
      <c r="B8" s="147">
        <v>1.0005974716950464E-4</v>
      </c>
      <c r="C8" s="147">
        <v>4.9710662764907067E-3</v>
      </c>
      <c r="D8" s="147">
        <v>5.0142974885015415E-4</v>
      </c>
      <c r="E8" s="147">
        <v>0</v>
      </c>
      <c r="F8" s="147">
        <v>9.9686433573813746E-4</v>
      </c>
      <c r="G8" s="147">
        <v>9.201472097535604E-4</v>
      </c>
      <c r="H8" s="147">
        <v>0</v>
      </c>
      <c r="I8" s="147">
        <v>0</v>
      </c>
      <c r="J8" s="147">
        <v>0</v>
      </c>
      <c r="K8" s="147">
        <v>0</v>
      </c>
      <c r="L8" s="147">
        <v>8.2163817655701968E-6</v>
      </c>
      <c r="M8" s="147">
        <v>0</v>
      </c>
      <c r="N8" s="147">
        <v>4.9975011755622211E-4</v>
      </c>
      <c r="O8" s="147">
        <v>0</v>
      </c>
      <c r="P8" s="147">
        <v>0</v>
      </c>
      <c r="Q8" s="147">
        <v>0</v>
      </c>
      <c r="R8" s="147">
        <v>0</v>
      </c>
      <c r="S8" s="147">
        <v>0</v>
      </c>
      <c r="T8" s="147">
        <v>0</v>
      </c>
      <c r="U8" s="147">
        <v>0</v>
      </c>
      <c r="V8" s="147">
        <v>0</v>
      </c>
      <c r="W8" s="147">
        <v>0</v>
      </c>
      <c r="X8" s="147">
        <v>0</v>
      </c>
      <c r="Y8" s="147">
        <v>0</v>
      </c>
      <c r="Z8" s="147">
        <v>0</v>
      </c>
      <c r="AA8" s="147">
        <v>0</v>
      </c>
      <c r="AB8" s="147">
        <v>0</v>
      </c>
      <c r="AC8" s="147">
        <v>0</v>
      </c>
      <c r="AD8" s="147">
        <v>0</v>
      </c>
      <c r="AE8" s="147">
        <v>0</v>
      </c>
      <c r="AF8" s="147">
        <v>0</v>
      </c>
      <c r="AG8" s="147">
        <v>0</v>
      </c>
      <c r="AH8" s="147">
        <v>0</v>
      </c>
      <c r="AI8" s="147">
        <v>0</v>
      </c>
      <c r="AJ8" s="147">
        <v>0</v>
      </c>
    </row>
    <row r="9" spans="1:36" customFormat="1" x14ac:dyDescent="0.15">
      <c r="A9" s="184" t="s">
        <v>199</v>
      </c>
      <c r="B9" s="147">
        <v>5.002986958475235E-3</v>
      </c>
      <c r="C9" s="147">
        <v>0</v>
      </c>
      <c r="D9" s="147">
        <v>3.0125818826925469E-3</v>
      </c>
      <c r="E9" s="147">
        <v>9.3167917058401396E-4</v>
      </c>
      <c r="F9" s="147">
        <v>2.9865976374719699E-3</v>
      </c>
      <c r="G9" s="147">
        <v>9.201472097535604E-4</v>
      </c>
      <c r="H9" s="147">
        <v>0</v>
      </c>
      <c r="I9" s="147">
        <v>0</v>
      </c>
      <c r="J9" s="147">
        <v>0</v>
      </c>
      <c r="K9" s="147">
        <v>0</v>
      </c>
      <c r="L9" s="147">
        <v>0</v>
      </c>
      <c r="M9" s="147">
        <v>0</v>
      </c>
      <c r="N9" s="147">
        <v>0</v>
      </c>
      <c r="O9" s="147">
        <v>0</v>
      </c>
      <c r="P9" s="147">
        <v>9.2020659311400193E-6</v>
      </c>
      <c r="Q9" s="147">
        <v>0</v>
      </c>
      <c r="R9" s="147">
        <v>0</v>
      </c>
      <c r="S9" s="147">
        <v>0</v>
      </c>
      <c r="T9" s="147">
        <v>0</v>
      </c>
      <c r="U9" s="147">
        <v>0</v>
      </c>
      <c r="V9" s="147">
        <v>0</v>
      </c>
      <c r="W9" s="147">
        <v>0</v>
      </c>
      <c r="X9" s="147">
        <v>1.1995681601023633E-4</v>
      </c>
      <c r="Y9" s="147">
        <v>0</v>
      </c>
      <c r="Z9" s="147">
        <v>0</v>
      </c>
      <c r="AA9" s="147">
        <v>0</v>
      </c>
      <c r="AB9" s="147">
        <v>0</v>
      </c>
      <c r="AC9" s="147">
        <v>0</v>
      </c>
      <c r="AD9" s="147">
        <v>0</v>
      </c>
      <c r="AE9" s="147">
        <v>0</v>
      </c>
      <c r="AF9" s="147">
        <v>0</v>
      </c>
      <c r="AG9" s="147">
        <v>0</v>
      </c>
      <c r="AH9" s="147">
        <v>0</v>
      </c>
      <c r="AI9" s="147">
        <v>0</v>
      </c>
      <c r="AJ9" s="147">
        <v>0</v>
      </c>
    </row>
    <row r="10" spans="1:36" customFormat="1" x14ac:dyDescent="0.15">
      <c r="A10" s="184" t="s">
        <v>200</v>
      </c>
      <c r="B10" s="147">
        <v>1.0005974716950464E-4</v>
      </c>
      <c r="C10" s="147">
        <v>0</v>
      </c>
      <c r="D10" s="147">
        <v>0</v>
      </c>
      <c r="E10" s="147">
        <v>0</v>
      </c>
      <c r="F10" s="147">
        <v>9.8687573638204265E-5</v>
      </c>
      <c r="G10" s="147">
        <v>0</v>
      </c>
      <c r="H10" s="147">
        <v>0</v>
      </c>
      <c r="I10" s="147">
        <v>0</v>
      </c>
      <c r="J10" s="147">
        <v>0</v>
      </c>
      <c r="K10" s="147">
        <v>0</v>
      </c>
      <c r="L10" s="147">
        <v>0</v>
      </c>
      <c r="M10" s="147">
        <v>0</v>
      </c>
      <c r="N10" s="147">
        <v>0</v>
      </c>
      <c r="O10" s="147">
        <v>0</v>
      </c>
      <c r="P10" s="147">
        <v>0</v>
      </c>
      <c r="Q10" s="147">
        <v>0</v>
      </c>
      <c r="R10" s="147">
        <v>0</v>
      </c>
      <c r="S10" s="147">
        <v>0</v>
      </c>
      <c r="T10" s="147">
        <v>0</v>
      </c>
      <c r="U10" s="147">
        <v>0</v>
      </c>
      <c r="V10" s="147">
        <v>0</v>
      </c>
      <c r="W10" s="147">
        <v>0</v>
      </c>
      <c r="X10" s="147">
        <v>0</v>
      </c>
      <c r="Y10" s="147">
        <v>0</v>
      </c>
      <c r="Z10" s="147">
        <v>0</v>
      </c>
      <c r="AA10" s="147">
        <v>0</v>
      </c>
      <c r="AB10" s="147">
        <v>0</v>
      </c>
      <c r="AC10" s="147">
        <v>0</v>
      </c>
      <c r="AD10" s="147">
        <v>0</v>
      </c>
      <c r="AE10" s="147">
        <v>0</v>
      </c>
      <c r="AF10" s="147">
        <v>0</v>
      </c>
      <c r="AG10" s="147">
        <v>0</v>
      </c>
      <c r="AH10" s="147">
        <v>0</v>
      </c>
      <c r="AI10" s="147">
        <v>0</v>
      </c>
      <c r="AJ10" s="147">
        <v>0</v>
      </c>
    </row>
    <row r="11" spans="1:36" customFormat="1" x14ac:dyDescent="0.15">
      <c r="A11" s="184" t="s">
        <v>201</v>
      </c>
      <c r="B11" s="147">
        <v>9.215502923511375E-7</v>
      </c>
      <c r="C11" s="147">
        <v>0</v>
      </c>
      <c r="D11" s="147">
        <v>0</v>
      </c>
      <c r="E11" s="147">
        <v>0</v>
      </c>
      <c r="F11" s="147">
        <v>0</v>
      </c>
      <c r="G11" s="147">
        <v>0</v>
      </c>
      <c r="H11" s="147">
        <v>0</v>
      </c>
      <c r="I11" s="147">
        <v>0</v>
      </c>
      <c r="J11" s="147">
        <v>0</v>
      </c>
      <c r="K11" s="147">
        <v>0</v>
      </c>
      <c r="L11" s="147">
        <v>0</v>
      </c>
      <c r="M11" s="147">
        <v>0</v>
      </c>
      <c r="N11" s="147">
        <v>0</v>
      </c>
      <c r="O11" s="147">
        <v>0</v>
      </c>
      <c r="P11" s="147">
        <v>0</v>
      </c>
      <c r="Q11" s="147">
        <v>0</v>
      </c>
      <c r="R11" s="147">
        <v>0</v>
      </c>
      <c r="S11" s="147">
        <v>0</v>
      </c>
      <c r="T11" s="147">
        <v>0</v>
      </c>
      <c r="U11" s="147">
        <v>0</v>
      </c>
      <c r="V11" s="147">
        <v>0</v>
      </c>
      <c r="W11" s="147">
        <v>0</v>
      </c>
      <c r="X11" s="147">
        <v>0</v>
      </c>
      <c r="Y11" s="147">
        <v>0</v>
      </c>
      <c r="Z11" s="147">
        <v>0</v>
      </c>
      <c r="AA11" s="147">
        <v>0</v>
      </c>
      <c r="AB11" s="147">
        <v>0</v>
      </c>
      <c r="AC11" s="147">
        <v>0</v>
      </c>
      <c r="AD11" s="147">
        <v>0</v>
      </c>
      <c r="AE11" s="147">
        <v>0</v>
      </c>
      <c r="AF11" s="147">
        <v>0</v>
      </c>
      <c r="AG11" s="147">
        <v>0</v>
      </c>
      <c r="AH11" s="147">
        <v>0</v>
      </c>
      <c r="AI11" s="147">
        <v>0</v>
      </c>
      <c r="AJ11" s="147">
        <v>0</v>
      </c>
    </row>
    <row r="12" spans="1:36" customFormat="1" x14ac:dyDescent="0.15">
      <c r="A12" s="184" t="s">
        <v>202</v>
      </c>
      <c r="B12" s="147">
        <v>0.12307349497849066</v>
      </c>
      <c r="C12" s="147">
        <v>4.5809826547942557E-2</v>
      </c>
      <c r="D12" s="147">
        <v>0.14012008570663029</v>
      </c>
      <c r="E12" s="147">
        <v>4.6033557287502302E-2</v>
      </c>
      <c r="F12" s="147">
        <v>2.1974964483405891E-2</v>
      </c>
      <c r="G12" s="147">
        <v>0.10201631608137295</v>
      </c>
      <c r="H12" s="147">
        <v>0.18514607836103489</v>
      </c>
      <c r="I12" s="147">
        <v>0</v>
      </c>
      <c r="J12" s="147">
        <v>0</v>
      </c>
      <c r="K12" s="147">
        <v>0</v>
      </c>
      <c r="L12" s="147">
        <v>1.1008550985904026E-2</v>
      </c>
      <c r="M12" s="147">
        <v>0</v>
      </c>
      <c r="N12" s="147">
        <v>5.9970014146746653E-3</v>
      </c>
      <c r="O12" s="147">
        <v>0</v>
      </c>
      <c r="P12" s="147">
        <v>9.2020665111400149E-5</v>
      </c>
      <c r="Q12" s="147">
        <v>0</v>
      </c>
      <c r="R12" s="147">
        <v>0</v>
      </c>
      <c r="S12" s="147">
        <v>0</v>
      </c>
      <c r="T12" s="147">
        <v>0</v>
      </c>
      <c r="U12" s="147">
        <v>0</v>
      </c>
      <c r="V12" s="147">
        <v>0</v>
      </c>
      <c r="W12" s="147">
        <v>0</v>
      </c>
      <c r="X12" s="147">
        <v>0</v>
      </c>
      <c r="Y12" s="147">
        <v>0</v>
      </c>
      <c r="Z12" s="147">
        <v>0</v>
      </c>
      <c r="AA12" s="147">
        <v>0</v>
      </c>
      <c r="AB12" s="147">
        <v>0</v>
      </c>
      <c r="AC12" s="147">
        <v>0</v>
      </c>
      <c r="AD12" s="147">
        <v>0</v>
      </c>
      <c r="AE12" s="147">
        <v>0</v>
      </c>
      <c r="AF12" s="147">
        <v>0</v>
      </c>
      <c r="AG12" s="147">
        <v>0</v>
      </c>
      <c r="AH12" s="147">
        <v>0</v>
      </c>
      <c r="AI12" s="147">
        <v>0</v>
      </c>
      <c r="AJ12" s="147">
        <v>0</v>
      </c>
    </row>
    <row r="13" spans="1:36" customFormat="1" x14ac:dyDescent="0.15">
      <c r="A13" s="184" t="s">
        <v>203</v>
      </c>
      <c r="B13" s="147">
        <v>5.002986958475235E-3</v>
      </c>
      <c r="C13" s="147">
        <v>0</v>
      </c>
      <c r="D13" s="147">
        <v>3.0125818826925469E-3</v>
      </c>
      <c r="E13" s="147">
        <v>0</v>
      </c>
      <c r="F13" s="147">
        <v>4.9843216786906877E-3</v>
      </c>
      <c r="G13" s="147">
        <v>0</v>
      </c>
      <c r="H13" s="147">
        <v>0</v>
      </c>
      <c r="I13" s="147">
        <v>0</v>
      </c>
      <c r="J13" s="147">
        <v>0</v>
      </c>
      <c r="K13" s="147">
        <v>0</v>
      </c>
      <c r="L13" s="147">
        <v>8.2163824655701761E-4</v>
      </c>
      <c r="M13" s="147">
        <v>0</v>
      </c>
      <c r="N13" s="147">
        <v>3.3983008609823083E-2</v>
      </c>
      <c r="O13" s="147">
        <v>0</v>
      </c>
      <c r="P13" s="147">
        <v>9.2020665111400149E-5</v>
      </c>
      <c r="Q13" s="147">
        <v>9.9001978724854518E-4</v>
      </c>
      <c r="R13" s="147">
        <v>0</v>
      </c>
      <c r="S13" s="147">
        <v>0</v>
      </c>
      <c r="T13" s="147">
        <v>0</v>
      </c>
      <c r="U13" s="147">
        <v>0</v>
      </c>
      <c r="V13" s="147">
        <v>0</v>
      </c>
      <c r="W13" s="147">
        <v>0</v>
      </c>
      <c r="X13" s="147">
        <v>0</v>
      </c>
      <c r="Y13" s="147">
        <v>0</v>
      </c>
      <c r="Z13" s="147">
        <v>0</v>
      </c>
      <c r="AA13" s="147">
        <v>0</v>
      </c>
      <c r="AB13" s="147">
        <v>1.3001559804066495E-2</v>
      </c>
      <c r="AC13" s="147">
        <v>0</v>
      </c>
      <c r="AD13" s="147">
        <v>0</v>
      </c>
      <c r="AE13" s="147">
        <v>0</v>
      </c>
      <c r="AF13" s="147">
        <v>0</v>
      </c>
      <c r="AG13" s="147">
        <v>0</v>
      </c>
      <c r="AH13" s="147">
        <v>0</v>
      </c>
      <c r="AI13" s="147">
        <v>0</v>
      </c>
      <c r="AJ13" s="147">
        <v>0</v>
      </c>
    </row>
    <row r="14" spans="1:36" customFormat="1" x14ac:dyDescent="0.15">
      <c r="A14" s="184" t="s">
        <v>204</v>
      </c>
      <c r="B14" s="147">
        <v>2.001194983390092E-3</v>
      </c>
      <c r="C14" s="147">
        <v>0</v>
      </c>
      <c r="D14" s="147">
        <v>1.0008578079044967E-3</v>
      </c>
      <c r="E14" s="147">
        <v>0</v>
      </c>
      <c r="F14" s="147">
        <v>9.8687573638204265E-5</v>
      </c>
      <c r="G14" s="147">
        <v>9.3014880985957726E-2</v>
      </c>
      <c r="H14" s="147">
        <v>0</v>
      </c>
      <c r="I14" s="147">
        <v>0</v>
      </c>
      <c r="J14" s="147">
        <v>0</v>
      </c>
      <c r="K14" s="147">
        <v>0</v>
      </c>
      <c r="L14" s="147">
        <v>0</v>
      </c>
      <c r="M14" s="147">
        <v>0</v>
      </c>
      <c r="N14" s="147">
        <v>0</v>
      </c>
      <c r="O14" s="147">
        <v>0</v>
      </c>
      <c r="P14" s="147">
        <v>0</v>
      </c>
      <c r="Q14" s="147">
        <v>0</v>
      </c>
      <c r="R14" s="147">
        <v>0</v>
      </c>
      <c r="S14" s="147">
        <v>0</v>
      </c>
      <c r="T14" s="147">
        <v>0</v>
      </c>
      <c r="U14" s="147">
        <v>0</v>
      </c>
      <c r="V14" s="147">
        <v>0</v>
      </c>
      <c r="W14" s="147">
        <v>0</v>
      </c>
      <c r="X14" s="147">
        <v>0</v>
      </c>
      <c r="Y14" s="147">
        <v>0</v>
      </c>
      <c r="Z14" s="147">
        <v>0</v>
      </c>
      <c r="AA14" s="147">
        <v>0</v>
      </c>
      <c r="AB14" s="147">
        <v>0</v>
      </c>
      <c r="AC14" s="147">
        <v>0</v>
      </c>
      <c r="AD14" s="147">
        <v>0</v>
      </c>
      <c r="AE14" s="147">
        <v>0</v>
      </c>
      <c r="AF14" s="147">
        <v>0</v>
      </c>
      <c r="AG14" s="147">
        <v>0</v>
      </c>
      <c r="AH14" s="147">
        <v>0</v>
      </c>
      <c r="AI14" s="147">
        <v>0</v>
      </c>
      <c r="AJ14" s="147">
        <v>0</v>
      </c>
    </row>
    <row r="15" spans="1:36" customFormat="1" x14ac:dyDescent="0.15">
      <c r="A15" s="184" t="s">
        <v>205</v>
      </c>
      <c r="B15" s="147">
        <v>5.002986958475235E-3</v>
      </c>
      <c r="C15" s="147">
        <v>0</v>
      </c>
      <c r="D15" s="147">
        <v>0</v>
      </c>
      <c r="E15" s="147">
        <v>0</v>
      </c>
      <c r="F15" s="147">
        <v>4.9843216786906877E-3</v>
      </c>
      <c r="G15" s="147">
        <v>1.800287909083052E-2</v>
      </c>
      <c r="H15" s="147">
        <v>0</v>
      </c>
      <c r="I15" s="147">
        <v>0</v>
      </c>
      <c r="J15" s="147">
        <v>0</v>
      </c>
      <c r="K15" s="147">
        <v>0</v>
      </c>
      <c r="L15" s="147">
        <v>3.3025654957712015E-2</v>
      </c>
      <c r="M15" s="147">
        <v>0.10501150949853437</v>
      </c>
      <c r="N15" s="147">
        <v>5.7971013228521787E-2</v>
      </c>
      <c r="O15" s="147">
        <v>3.0125492777661376E-3</v>
      </c>
      <c r="P15" s="147">
        <v>0</v>
      </c>
      <c r="Q15" s="147">
        <v>5.0000999355987131E-3</v>
      </c>
      <c r="R15" s="147">
        <v>0</v>
      </c>
      <c r="S15" s="147">
        <v>0</v>
      </c>
      <c r="T15" s="147">
        <v>0</v>
      </c>
      <c r="U15" s="147">
        <v>0</v>
      </c>
      <c r="V15" s="147">
        <v>0</v>
      </c>
      <c r="W15" s="147">
        <v>1.1999556552689141E-2</v>
      </c>
      <c r="X15" s="147">
        <v>0</v>
      </c>
      <c r="Y15" s="147">
        <v>0</v>
      </c>
      <c r="Z15" s="147">
        <v>0</v>
      </c>
      <c r="AA15" s="147">
        <v>0</v>
      </c>
      <c r="AB15" s="147">
        <v>0</v>
      </c>
      <c r="AC15" s="147">
        <v>0</v>
      </c>
      <c r="AD15" s="147">
        <v>0</v>
      </c>
      <c r="AE15" s="147">
        <v>0</v>
      </c>
      <c r="AF15" s="147">
        <v>0</v>
      </c>
      <c r="AG15" s="147">
        <v>0</v>
      </c>
      <c r="AH15" s="147">
        <v>0</v>
      </c>
      <c r="AI15" s="147">
        <v>0</v>
      </c>
      <c r="AJ15" s="147">
        <v>0</v>
      </c>
    </row>
    <row r="16" spans="1:36" customFormat="1" x14ac:dyDescent="0.15">
      <c r="A16" s="184" t="s">
        <v>206</v>
      </c>
      <c r="B16" s="147">
        <v>0.40924439660327366</v>
      </c>
      <c r="C16" s="147">
        <v>0.39908560319714131</v>
      </c>
      <c r="D16" s="147">
        <v>8.5273081301463508E-2</v>
      </c>
      <c r="E16" s="147">
        <v>0.1861356931016401</v>
      </c>
      <c r="F16" s="147">
        <v>0.20776331560674563</v>
      </c>
      <c r="G16" s="147">
        <v>0.15002401359025455</v>
      </c>
      <c r="H16" s="147">
        <v>6.815377013289986E-2</v>
      </c>
      <c r="I16" s="147">
        <v>0.28300566043370867</v>
      </c>
      <c r="J16" s="147">
        <v>0</v>
      </c>
      <c r="K16" s="147">
        <v>0</v>
      </c>
      <c r="L16" s="147">
        <v>0.20315780620350149</v>
      </c>
      <c r="M16" s="147">
        <v>0.15894269230154906</v>
      </c>
      <c r="N16" s="147">
        <v>0.17191404896734008</v>
      </c>
      <c r="O16" s="147">
        <v>7.0192392792648078E-2</v>
      </c>
      <c r="P16" s="147">
        <v>1.9004266557789171E-2</v>
      </c>
      <c r="Q16" s="147">
        <v>0.198003960449709</v>
      </c>
      <c r="R16" s="147">
        <v>0</v>
      </c>
      <c r="S16" s="147">
        <v>0</v>
      </c>
      <c r="T16" s="147">
        <v>0</v>
      </c>
      <c r="U16" s="147">
        <v>0</v>
      </c>
      <c r="V16" s="147">
        <v>0</v>
      </c>
      <c r="W16" s="147">
        <v>5.899781878405496E-2</v>
      </c>
      <c r="X16" s="147">
        <v>0</v>
      </c>
      <c r="Y16" s="147">
        <v>0</v>
      </c>
      <c r="Z16" s="147">
        <v>0</v>
      </c>
      <c r="AA16" s="147">
        <v>0</v>
      </c>
      <c r="AB16" s="147">
        <v>0</v>
      </c>
      <c r="AC16" s="147">
        <v>0</v>
      </c>
      <c r="AD16" s="147">
        <v>0</v>
      </c>
      <c r="AE16" s="147">
        <v>0</v>
      </c>
      <c r="AF16" s="147">
        <v>0</v>
      </c>
      <c r="AG16" s="147">
        <v>0</v>
      </c>
      <c r="AH16" s="147">
        <v>0</v>
      </c>
      <c r="AI16" s="147">
        <v>0</v>
      </c>
      <c r="AJ16" s="147">
        <v>0</v>
      </c>
    </row>
    <row r="17" spans="1:36" customFormat="1" x14ac:dyDescent="0.15">
      <c r="A17" s="184" t="s">
        <v>207</v>
      </c>
      <c r="B17" s="147">
        <v>5.002986958475235E-3</v>
      </c>
      <c r="C17" s="147">
        <v>9.9521345535377257E-3</v>
      </c>
      <c r="D17" s="147">
        <v>3.0125818826925469E-3</v>
      </c>
      <c r="E17" s="147">
        <v>9.3167917058401412E-2</v>
      </c>
      <c r="F17" s="147">
        <v>9.8687563638204896E-4</v>
      </c>
      <c r="G17" s="147">
        <v>1.6002560169627138E-2</v>
      </c>
      <c r="H17" s="147">
        <v>0</v>
      </c>
      <c r="I17" s="147">
        <v>0</v>
      </c>
      <c r="J17" s="147">
        <v>0</v>
      </c>
      <c r="K17" s="147">
        <v>0</v>
      </c>
      <c r="L17" s="147">
        <v>4.0031098857832691E-3</v>
      </c>
      <c r="M17" s="147">
        <v>0</v>
      </c>
      <c r="N17" s="147">
        <v>5.9970014146746653E-3</v>
      </c>
      <c r="O17" s="147">
        <v>0</v>
      </c>
      <c r="P17" s="147">
        <v>9.2020665111400149E-4</v>
      </c>
      <c r="Q17" s="147">
        <v>0</v>
      </c>
      <c r="R17" s="147">
        <v>0</v>
      </c>
      <c r="S17" s="147">
        <v>0</v>
      </c>
      <c r="T17" s="147">
        <v>0</v>
      </c>
      <c r="U17" s="147">
        <v>0</v>
      </c>
      <c r="V17" s="147">
        <v>0</v>
      </c>
      <c r="W17" s="147">
        <v>0</v>
      </c>
      <c r="X17" s="147">
        <v>0</v>
      </c>
      <c r="Y17" s="147">
        <v>0</v>
      </c>
      <c r="Z17" s="147">
        <v>0</v>
      </c>
      <c r="AA17" s="147">
        <v>0</v>
      </c>
      <c r="AB17" s="147">
        <v>0</v>
      </c>
      <c r="AC17" s="147">
        <v>0</v>
      </c>
      <c r="AD17" s="147">
        <v>0</v>
      </c>
      <c r="AE17" s="147">
        <v>0</v>
      </c>
      <c r="AF17" s="147">
        <v>0</v>
      </c>
      <c r="AG17" s="147">
        <v>0</v>
      </c>
      <c r="AH17" s="147">
        <v>0</v>
      </c>
      <c r="AI17" s="147">
        <v>0</v>
      </c>
      <c r="AJ17" s="147">
        <v>0</v>
      </c>
    </row>
    <row r="18" spans="1:36" customFormat="1" x14ac:dyDescent="0.15">
      <c r="A18" s="184" t="s">
        <v>208</v>
      </c>
      <c r="B18" s="147">
        <v>0</v>
      </c>
      <c r="C18" s="147">
        <v>0</v>
      </c>
      <c r="D18" s="147">
        <v>5.2144684680825004E-2</v>
      </c>
      <c r="E18" s="147">
        <v>0</v>
      </c>
      <c r="F18" s="147">
        <v>0</v>
      </c>
      <c r="G18" s="147">
        <v>0</v>
      </c>
      <c r="H18" s="147">
        <v>5.0139557697772147E-3</v>
      </c>
      <c r="I18" s="147">
        <v>1.3000260249604996E-2</v>
      </c>
      <c r="J18" s="147">
        <v>0</v>
      </c>
      <c r="K18" s="147">
        <v>0</v>
      </c>
      <c r="L18" s="147">
        <v>8.2163824655701761E-4</v>
      </c>
      <c r="M18" s="147">
        <v>0</v>
      </c>
      <c r="N18" s="147">
        <v>3.0984506632485798E-2</v>
      </c>
      <c r="O18" s="147">
        <v>1.0031789127063046E-3</v>
      </c>
      <c r="P18" s="147">
        <v>9.2020665111400149E-5</v>
      </c>
      <c r="Q18" s="147">
        <v>9.9001978724854518E-4</v>
      </c>
      <c r="R18" s="147">
        <v>0</v>
      </c>
      <c r="S18" s="147">
        <v>0</v>
      </c>
      <c r="T18" s="147">
        <v>0</v>
      </c>
      <c r="U18" s="147">
        <v>0</v>
      </c>
      <c r="V18" s="147">
        <v>0</v>
      </c>
      <c r="W18" s="147">
        <v>9.7996377980294654E-4</v>
      </c>
      <c r="X18" s="147">
        <v>0</v>
      </c>
      <c r="Y18" s="147">
        <v>9.9999738361668776E-4</v>
      </c>
      <c r="Z18" s="147">
        <v>5.0007499971595638E-3</v>
      </c>
      <c r="AA18" s="147">
        <v>0</v>
      </c>
      <c r="AB18" s="147">
        <v>0</v>
      </c>
      <c r="AC18" s="147">
        <v>0</v>
      </c>
      <c r="AD18" s="147">
        <v>0</v>
      </c>
      <c r="AE18" s="147">
        <v>0</v>
      </c>
      <c r="AF18" s="147">
        <v>0</v>
      </c>
      <c r="AG18" s="147">
        <v>0</v>
      </c>
      <c r="AH18" s="147">
        <v>0</v>
      </c>
      <c r="AI18" s="147">
        <v>0</v>
      </c>
      <c r="AJ18" s="147">
        <v>0</v>
      </c>
    </row>
    <row r="19" spans="1:36" customFormat="1" x14ac:dyDescent="0.15">
      <c r="A19" s="184" t="s">
        <v>209</v>
      </c>
      <c r="B19" s="147">
        <v>0.22413383213969038</v>
      </c>
      <c r="C19" s="147">
        <v>0.22904912873971259</v>
      </c>
      <c r="D19" s="147">
        <v>0.48741770827949438</v>
      </c>
      <c r="E19" s="147">
        <v>0.32123419133670239</v>
      </c>
      <c r="F19" s="147">
        <v>0.20576558673552722</v>
      </c>
      <c r="G19" s="147">
        <v>0.17102736381289005</v>
      </c>
      <c r="H19" s="147">
        <v>0.27421635453472193</v>
      </c>
      <c r="I19" s="147">
        <v>0.15400307195685897</v>
      </c>
      <c r="J19" s="147">
        <v>0.2489999955451003</v>
      </c>
      <c r="K19" s="147">
        <v>0</v>
      </c>
      <c r="L19" s="147">
        <v>8.0162267712810195E-3</v>
      </c>
      <c r="M19" s="147">
        <v>0</v>
      </c>
      <c r="N19" s="147">
        <v>0</v>
      </c>
      <c r="O19" s="147">
        <v>0</v>
      </c>
      <c r="P19" s="147">
        <v>0.18504154561531558</v>
      </c>
      <c r="Q19" s="147">
        <v>0</v>
      </c>
      <c r="R19" s="147">
        <v>0</v>
      </c>
      <c r="S19" s="147">
        <v>0</v>
      </c>
      <c r="T19" s="147">
        <v>0</v>
      </c>
      <c r="U19" s="147">
        <v>0</v>
      </c>
      <c r="V19" s="147">
        <v>0</v>
      </c>
      <c r="W19" s="147">
        <v>0</v>
      </c>
      <c r="X19" s="147">
        <v>0</v>
      </c>
      <c r="Y19" s="147">
        <v>0</v>
      </c>
      <c r="Z19" s="147">
        <v>0</v>
      </c>
      <c r="AA19" s="147">
        <v>0</v>
      </c>
      <c r="AB19" s="147">
        <v>0</v>
      </c>
      <c r="AC19" s="147">
        <v>0</v>
      </c>
      <c r="AD19" s="147">
        <v>0</v>
      </c>
      <c r="AE19" s="147">
        <v>0</v>
      </c>
      <c r="AF19" s="147">
        <v>0</v>
      </c>
      <c r="AG19" s="147">
        <v>0</v>
      </c>
      <c r="AH19" s="147">
        <v>0</v>
      </c>
      <c r="AI19" s="147">
        <v>0</v>
      </c>
      <c r="AJ19" s="147">
        <v>0</v>
      </c>
    </row>
    <row r="20" spans="1:36" customFormat="1" x14ac:dyDescent="0.15">
      <c r="A20" s="184" t="s">
        <v>210</v>
      </c>
      <c r="B20" s="147">
        <v>0</v>
      </c>
      <c r="C20" s="147">
        <v>0</v>
      </c>
      <c r="D20" s="147">
        <v>0</v>
      </c>
      <c r="E20" s="147">
        <v>0</v>
      </c>
      <c r="F20" s="147">
        <v>0</v>
      </c>
      <c r="G20" s="147">
        <v>0</v>
      </c>
      <c r="H20" s="147">
        <v>0</v>
      </c>
      <c r="I20" s="147">
        <v>2.1000419203208047E-2</v>
      </c>
      <c r="J20" s="147">
        <v>4.9999999994999999E-3</v>
      </c>
      <c r="K20" s="147">
        <v>1.0000000040999995E-2</v>
      </c>
      <c r="L20" s="147">
        <v>8.2163824655701761E-4</v>
      </c>
      <c r="M20" s="147">
        <v>0</v>
      </c>
      <c r="N20" s="147">
        <v>0</v>
      </c>
      <c r="O20" s="147">
        <v>0</v>
      </c>
      <c r="P20" s="147">
        <v>9.2020665111400149E-4</v>
      </c>
      <c r="Q20" s="147">
        <v>6.0001199227184563E-3</v>
      </c>
      <c r="R20" s="147">
        <v>0</v>
      </c>
      <c r="S20" s="147">
        <v>1.058317291959683E-3</v>
      </c>
      <c r="T20" s="147">
        <v>0</v>
      </c>
      <c r="U20" s="147">
        <v>0</v>
      </c>
      <c r="V20" s="147">
        <v>5.2996823609083689E-4</v>
      </c>
      <c r="W20" s="147">
        <v>9.9996297939076318E-3</v>
      </c>
      <c r="X20" s="147">
        <v>9.9964021675197075E-4</v>
      </c>
      <c r="Y20" s="147">
        <v>5.0005414781333643E-3</v>
      </c>
      <c r="Z20" s="147">
        <v>9.0013497148871933E-3</v>
      </c>
      <c r="AA20" s="147">
        <v>0</v>
      </c>
      <c r="AB20" s="147">
        <v>9.4011278583250031E-4</v>
      </c>
      <c r="AC20" s="147">
        <v>0</v>
      </c>
      <c r="AD20" s="147">
        <v>0</v>
      </c>
      <c r="AE20" s="147">
        <v>0</v>
      </c>
      <c r="AF20" s="147">
        <v>0</v>
      </c>
      <c r="AG20" s="147">
        <v>0</v>
      </c>
      <c r="AH20" s="147">
        <v>0</v>
      </c>
      <c r="AI20" s="147">
        <v>0</v>
      </c>
      <c r="AJ20" s="147">
        <v>0</v>
      </c>
    </row>
    <row r="21" spans="1:36" customFormat="1" x14ac:dyDescent="0.15">
      <c r="A21" s="184" t="s">
        <v>211</v>
      </c>
      <c r="B21" s="147">
        <v>0</v>
      </c>
      <c r="C21" s="147">
        <v>0</v>
      </c>
      <c r="D21" s="147">
        <v>0</v>
      </c>
      <c r="E21" s="147">
        <v>0</v>
      </c>
      <c r="F21" s="147">
        <v>0</v>
      </c>
      <c r="G21" s="147">
        <v>0</v>
      </c>
      <c r="H21" s="147">
        <v>0</v>
      </c>
      <c r="I21" s="147">
        <v>0</v>
      </c>
      <c r="J21" s="147">
        <v>4.9999999994999999E-3</v>
      </c>
      <c r="K21" s="147">
        <v>1.0000000040999995E-2</v>
      </c>
      <c r="L21" s="147">
        <v>8.2163824655701761E-4</v>
      </c>
      <c r="M21" s="147">
        <v>0</v>
      </c>
      <c r="N21" s="147">
        <v>0</v>
      </c>
      <c r="O21" s="147">
        <v>0</v>
      </c>
      <c r="P21" s="147">
        <v>9.2020665111400149E-4</v>
      </c>
      <c r="Q21" s="147">
        <v>6.0001199227184563E-3</v>
      </c>
      <c r="R21" s="147">
        <v>0</v>
      </c>
      <c r="S21" s="147">
        <v>1.058317291959683E-3</v>
      </c>
      <c r="T21" s="147">
        <v>0</v>
      </c>
      <c r="U21" s="147">
        <v>0</v>
      </c>
      <c r="V21" s="147">
        <v>5.2996823609083689E-4</v>
      </c>
      <c r="W21" s="147">
        <v>9.9996297939076318E-3</v>
      </c>
      <c r="X21" s="147">
        <v>9.9964021675197075E-4</v>
      </c>
      <c r="Y21" s="147">
        <v>5.0005414781333643E-3</v>
      </c>
      <c r="Z21" s="147">
        <v>1.8002699629774403E-2</v>
      </c>
      <c r="AA21" s="147">
        <v>0</v>
      </c>
      <c r="AB21" s="147">
        <v>4.9005876461481447E-2</v>
      </c>
      <c r="AC21" s="147">
        <v>0</v>
      </c>
      <c r="AD21" s="147">
        <v>0</v>
      </c>
      <c r="AE21" s="147">
        <v>0</v>
      </c>
      <c r="AF21" s="147">
        <v>0</v>
      </c>
      <c r="AG21" s="147">
        <v>0</v>
      </c>
      <c r="AH21" s="147">
        <v>0</v>
      </c>
      <c r="AI21" s="147">
        <v>0</v>
      </c>
      <c r="AJ21" s="147">
        <v>0</v>
      </c>
    </row>
    <row r="22" spans="1:36" customFormat="1" x14ac:dyDescent="0.15">
      <c r="A22" s="184" t="s">
        <v>212</v>
      </c>
      <c r="B22" s="147">
        <v>2.0011948233900935E-2</v>
      </c>
      <c r="C22" s="147">
        <v>6.9614933871982643E-2</v>
      </c>
      <c r="D22" s="147">
        <v>6.5255923343373767E-2</v>
      </c>
      <c r="E22" s="147">
        <v>9.3167917058401412E-2</v>
      </c>
      <c r="F22" s="147">
        <v>0.321633579266213</v>
      </c>
      <c r="G22" s="147">
        <v>9.3014880985957726E-2</v>
      </c>
      <c r="H22" s="147">
        <v>8.9170353173882201E-4</v>
      </c>
      <c r="I22" s="147">
        <v>0</v>
      </c>
      <c r="J22" s="147">
        <v>9.9999999989999998E-3</v>
      </c>
      <c r="K22" s="147">
        <v>0</v>
      </c>
      <c r="L22" s="147">
        <v>3.8029538914941201E-2</v>
      </c>
      <c r="M22" s="147">
        <v>0</v>
      </c>
      <c r="N22" s="147">
        <v>0</v>
      </c>
      <c r="O22" s="147">
        <v>0</v>
      </c>
      <c r="P22" s="147">
        <v>4.4009882670669638E-2</v>
      </c>
      <c r="Q22" s="147">
        <v>2.0000401142394836E-3</v>
      </c>
      <c r="R22" s="147">
        <v>0</v>
      </c>
      <c r="S22" s="147">
        <v>0</v>
      </c>
      <c r="T22" s="147">
        <v>0</v>
      </c>
      <c r="U22" s="147">
        <v>0</v>
      </c>
      <c r="V22" s="147">
        <v>0.11199328362674262</v>
      </c>
      <c r="W22" s="147">
        <v>9.8996337959685499E-4</v>
      </c>
      <c r="X22" s="147">
        <v>5.8978767188366178E-2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</row>
    <row r="23" spans="1:36" customFormat="1" x14ac:dyDescent="0.15">
      <c r="A23" s="184" t="s">
        <v>213</v>
      </c>
      <c r="B23" s="147">
        <v>5.002986958475235E-3</v>
      </c>
      <c r="C23" s="147">
        <v>4.9710662764907067E-3</v>
      </c>
      <c r="D23" s="147">
        <v>3.0125818826925469E-3</v>
      </c>
      <c r="E23" s="147">
        <v>5.013654849834492E-3</v>
      </c>
      <c r="F23" s="147">
        <v>0</v>
      </c>
      <c r="G23" s="147">
        <v>0</v>
      </c>
      <c r="H23" s="147">
        <v>0</v>
      </c>
      <c r="I23" s="147">
        <v>0</v>
      </c>
      <c r="J23" s="147">
        <v>0</v>
      </c>
      <c r="K23" s="147">
        <v>0</v>
      </c>
      <c r="L23" s="147">
        <v>8.2163824655701761E-4</v>
      </c>
      <c r="M23" s="147">
        <v>9.9963957422357893E-4</v>
      </c>
      <c r="N23" s="147">
        <v>1.9990004682248885E-3</v>
      </c>
      <c r="O23" s="147">
        <v>1.0031789127063046E-3</v>
      </c>
      <c r="P23" s="147">
        <v>0</v>
      </c>
      <c r="Q23" s="147">
        <v>2.0000401142394836E-3</v>
      </c>
      <c r="R23" s="147">
        <v>0</v>
      </c>
      <c r="S23" s="147">
        <v>0</v>
      </c>
      <c r="T23" s="147">
        <v>0</v>
      </c>
      <c r="U23" s="147">
        <v>0</v>
      </c>
      <c r="V23" s="147">
        <v>0</v>
      </c>
      <c r="W23" s="147">
        <v>9.8996337959685499E-4</v>
      </c>
      <c r="X23" s="147">
        <v>0</v>
      </c>
      <c r="Y23" s="147">
        <v>0</v>
      </c>
      <c r="Z23" s="147">
        <v>0</v>
      </c>
      <c r="AA23" s="147">
        <v>0</v>
      </c>
      <c r="AB23" s="147">
        <v>0</v>
      </c>
      <c r="AC23" s="147">
        <v>0</v>
      </c>
      <c r="AD23" s="147">
        <v>0</v>
      </c>
      <c r="AE23" s="147">
        <v>0</v>
      </c>
      <c r="AF23" s="147">
        <v>0</v>
      </c>
      <c r="AG23" s="147">
        <v>0</v>
      </c>
      <c r="AH23" s="147">
        <v>0</v>
      </c>
      <c r="AI23" s="147">
        <v>0</v>
      </c>
      <c r="AJ23" s="147">
        <v>0</v>
      </c>
    </row>
    <row r="24" spans="1:36" customFormat="1" x14ac:dyDescent="0.15">
      <c r="A24" s="184" t="s">
        <v>214</v>
      </c>
      <c r="B24" s="147">
        <v>0.17910694951341324</v>
      </c>
      <c r="C24" s="147">
        <v>0.11902553462020025</v>
      </c>
      <c r="D24" s="147">
        <v>6.8258498837087047E-4</v>
      </c>
      <c r="E24" s="147">
        <v>0</v>
      </c>
      <c r="F24" s="147">
        <v>0.19577695637943429</v>
      </c>
      <c r="G24" s="147">
        <v>0.13102096438882221</v>
      </c>
      <c r="H24" s="147">
        <v>0</v>
      </c>
      <c r="I24" s="147">
        <v>0.32100642316332328</v>
      </c>
      <c r="J24" s="147">
        <v>0.10300000077969995</v>
      </c>
      <c r="K24" s="147">
        <v>0</v>
      </c>
      <c r="L24" s="147">
        <v>3.3025654957712015E-2</v>
      </c>
      <c r="M24" s="147">
        <v>0</v>
      </c>
      <c r="N24" s="147">
        <v>0</v>
      </c>
      <c r="O24" s="147">
        <v>0</v>
      </c>
      <c r="P24" s="147">
        <v>8.6019309356308901E-4</v>
      </c>
      <c r="Q24" s="147">
        <v>0</v>
      </c>
      <c r="R24" s="147">
        <v>0</v>
      </c>
      <c r="S24" s="147">
        <v>0</v>
      </c>
      <c r="T24" s="147">
        <v>0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</row>
    <row r="25" spans="1:36" customFormat="1" x14ac:dyDescent="0.15">
      <c r="A25" s="184" t="s">
        <v>215</v>
      </c>
      <c r="B25" s="147">
        <v>5.002986958475235E-3</v>
      </c>
      <c r="C25" s="147">
        <v>9.7520915424113327E-2</v>
      </c>
      <c r="D25" s="147">
        <v>3.0125818826925469E-3</v>
      </c>
      <c r="E25" s="147">
        <v>9.3167917058401412E-2</v>
      </c>
      <c r="F25" s="147">
        <v>9.9686433573813755E-3</v>
      </c>
      <c r="G25" s="147">
        <v>8.6013765011745916E-2</v>
      </c>
      <c r="H25" s="147">
        <v>0</v>
      </c>
      <c r="I25" s="147">
        <v>0</v>
      </c>
      <c r="J25" s="147">
        <v>0</v>
      </c>
      <c r="K25" s="147">
        <v>0</v>
      </c>
      <c r="L25" s="147">
        <v>4.0031098857832691E-3</v>
      </c>
      <c r="M25" s="147">
        <v>4.0304415312114915E-3</v>
      </c>
      <c r="N25" s="147">
        <v>8.9955016320120186E-3</v>
      </c>
      <c r="O25" s="147">
        <v>0</v>
      </c>
      <c r="P25" s="147">
        <v>5.0011225625760996E-3</v>
      </c>
      <c r="Q25" s="147">
        <v>0</v>
      </c>
      <c r="R25" s="147">
        <v>0</v>
      </c>
      <c r="S25" s="147">
        <v>0</v>
      </c>
      <c r="T25" s="147">
        <v>0</v>
      </c>
      <c r="U25" s="147">
        <v>0</v>
      </c>
      <c r="V25" s="147">
        <v>0</v>
      </c>
      <c r="W25" s="147">
        <v>9.8996337959685499E-4</v>
      </c>
      <c r="X25" s="147">
        <v>0</v>
      </c>
      <c r="Y25" s="147">
        <v>0</v>
      </c>
      <c r="Z25" s="147">
        <v>0</v>
      </c>
      <c r="AA25" s="147">
        <v>0</v>
      </c>
      <c r="AB25" s="147">
        <v>0</v>
      </c>
      <c r="AC25" s="147">
        <v>0</v>
      </c>
      <c r="AD25" s="147">
        <v>0</v>
      </c>
      <c r="AE25" s="147">
        <v>0</v>
      </c>
      <c r="AF25" s="147">
        <v>0</v>
      </c>
      <c r="AG25" s="147">
        <v>0</v>
      </c>
      <c r="AH25" s="147">
        <v>0</v>
      </c>
      <c r="AI25" s="147">
        <v>0</v>
      </c>
      <c r="AJ25" s="147">
        <v>0</v>
      </c>
    </row>
    <row r="26" spans="1:36" customFormat="1" x14ac:dyDescent="0.15">
      <c r="A26" s="184" t="s">
        <v>216</v>
      </c>
      <c r="B26" s="147">
        <v>0</v>
      </c>
      <c r="C26" s="147">
        <v>0</v>
      </c>
      <c r="D26" s="147">
        <v>5.6248208362232759E-2</v>
      </c>
      <c r="E26" s="147">
        <v>4.6033557287502302E-2</v>
      </c>
      <c r="F26" s="147">
        <v>0</v>
      </c>
      <c r="G26" s="147">
        <v>0</v>
      </c>
      <c r="H26" s="147">
        <v>9.317351018168836E-2</v>
      </c>
      <c r="I26" s="147">
        <v>0</v>
      </c>
      <c r="J26" s="147">
        <v>0</v>
      </c>
      <c r="K26" s="147">
        <v>9.7999998441800101E-2</v>
      </c>
      <c r="L26" s="147">
        <v>4.0031098857832691E-3</v>
      </c>
      <c r="M26" s="147">
        <v>9.9963957422357905E-2</v>
      </c>
      <c r="N26" s="147">
        <v>2.0989504741361336E-2</v>
      </c>
      <c r="O26" s="147">
        <v>1.0031789127063046E-3</v>
      </c>
      <c r="P26" s="147">
        <v>9.2020659311400193E-6</v>
      </c>
      <c r="Q26" s="147">
        <v>0</v>
      </c>
      <c r="R26" s="147">
        <v>0</v>
      </c>
      <c r="S26" s="147">
        <v>0</v>
      </c>
      <c r="T26" s="147">
        <v>0</v>
      </c>
      <c r="U26" s="147">
        <v>0</v>
      </c>
      <c r="V26" s="147">
        <v>0</v>
      </c>
      <c r="W26" s="147">
        <v>0</v>
      </c>
      <c r="X26" s="147">
        <v>0</v>
      </c>
      <c r="Y26" s="147">
        <v>0</v>
      </c>
      <c r="Z26" s="147">
        <v>7.0010508360234562E-3</v>
      </c>
      <c r="AA26" s="147">
        <v>0</v>
      </c>
      <c r="AB26" s="147">
        <v>0</v>
      </c>
      <c r="AC26" s="147">
        <v>0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</row>
    <row r="27" spans="1:36" customFormat="1" x14ac:dyDescent="0.15">
      <c r="A27" s="184" t="s">
        <v>217</v>
      </c>
      <c r="B27" s="147">
        <v>0</v>
      </c>
      <c r="C27" s="147">
        <v>0</v>
      </c>
      <c r="D27" s="147">
        <v>0</v>
      </c>
      <c r="E27" s="147">
        <v>4.6033557287502302E-2</v>
      </c>
      <c r="F27" s="147">
        <v>0</v>
      </c>
      <c r="G27" s="147">
        <v>0</v>
      </c>
      <c r="H27" s="147">
        <v>9.317351018168836E-2</v>
      </c>
      <c r="I27" s="147">
        <v>6.8001361305626132E-2</v>
      </c>
      <c r="J27" s="147">
        <v>6.30000055836996E-2</v>
      </c>
      <c r="K27" s="147">
        <v>0.29400001062539927</v>
      </c>
      <c r="L27" s="147">
        <v>6.5150608141122848E-2</v>
      </c>
      <c r="M27" s="147">
        <v>0.174019073425947</v>
      </c>
      <c r="N27" s="147">
        <v>5.7971013228521787E-2</v>
      </c>
      <c r="O27" s="147">
        <v>0.21991609228664702</v>
      </c>
      <c r="P27" s="147">
        <v>8.9019989333854493E-2</v>
      </c>
      <c r="Q27" s="147">
        <v>0</v>
      </c>
      <c r="R27" s="147">
        <v>0.24121709822340115</v>
      </c>
      <c r="S27" s="147">
        <v>0</v>
      </c>
      <c r="T27" s="147">
        <v>0</v>
      </c>
      <c r="U27" s="147">
        <v>0</v>
      </c>
      <c r="V27" s="147">
        <v>0</v>
      </c>
      <c r="W27" s="147">
        <v>0.29598905989966551</v>
      </c>
      <c r="X27" s="147">
        <v>0</v>
      </c>
      <c r="Y27" s="147">
        <v>0.27499927799431839</v>
      </c>
      <c r="Z27" s="147">
        <v>8.5012756751713131E-2</v>
      </c>
      <c r="AA27" s="147">
        <v>9.5909591927782784E-2</v>
      </c>
      <c r="AB27" s="147">
        <v>0.11701403423659852</v>
      </c>
      <c r="AC27" s="147">
        <v>5.6917073295498548E-2</v>
      </c>
      <c r="AD27" s="147">
        <v>8.6156917667965682E-2</v>
      </c>
      <c r="AE27" s="147">
        <v>0.10394802777351313</v>
      </c>
      <c r="AF27" s="147">
        <v>0</v>
      </c>
      <c r="AG27" s="147">
        <v>0</v>
      </c>
      <c r="AH27" s="147">
        <v>0</v>
      </c>
      <c r="AI27" s="147">
        <v>0</v>
      </c>
      <c r="AJ27" s="147">
        <v>0</v>
      </c>
    </row>
    <row r="28" spans="1:36" customFormat="1" x14ac:dyDescent="0.15">
      <c r="A28" s="184" t="s">
        <v>218</v>
      </c>
      <c r="B28" s="147">
        <v>0</v>
      </c>
      <c r="C28" s="147">
        <v>0</v>
      </c>
      <c r="D28" s="147">
        <v>0</v>
      </c>
      <c r="E28" s="147">
        <v>5.013654849834492E-3</v>
      </c>
      <c r="F28" s="147">
        <v>0</v>
      </c>
      <c r="G28" s="147">
        <v>0</v>
      </c>
      <c r="H28" s="147">
        <v>5.0139557697772147E-3</v>
      </c>
      <c r="I28" s="147">
        <v>0</v>
      </c>
      <c r="J28" s="147">
        <v>0</v>
      </c>
      <c r="K28" s="147">
        <v>9.7999998441800101E-2</v>
      </c>
      <c r="L28" s="147">
        <v>2.0015549428916346E-3</v>
      </c>
      <c r="M28" s="147">
        <v>2.4990989355589476E-2</v>
      </c>
      <c r="N28" s="147">
        <v>4.7976011337397324E-2</v>
      </c>
      <c r="O28" s="147">
        <v>1.0031789127063046E-3</v>
      </c>
      <c r="P28" s="147">
        <v>9.2020665111400149E-4</v>
      </c>
      <c r="Q28" s="147">
        <v>0</v>
      </c>
      <c r="R28" s="147">
        <v>0</v>
      </c>
      <c r="S28" s="147">
        <v>0</v>
      </c>
      <c r="T28" s="147">
        <v>0</v>
      </c>
      <c r="U28" s="147">
        <v>0</v>
      </c>
      <c r="V28" s="147">
        <v>0</v>
      </c>
      <c r="W28" s="147">
        <v>0</v>
      </c>
      <c r="X28" s="147">
        <v>0</v>
      </c>
      <c r="Y28" s="147">
        <v>1.0001082956266729E-2</v>
      </c>
      <c r="Z28" s="147">
        <v>9.0013497148871933E-3</v>
      </c>
      <c r="AA28" s="147">
        <v>0</v>
      </c>
      <c r="AB28" s="147">
        <v>9.4011278583250031E-4</v>
      </c>
      <c r="AC28" s="147">
        <v>0</v>
      </c>
      <c r="AD28" s="147">
        <v>0</v>
      </c>
      <c r="AE28" s="147">
        <v>0</v>
      </c>
      <c r="AF28" s="147">
        <v>0</v>
      </c>
      <c r="AG28" s="147">
        <v>0</v>
      </c>
      <c r="AH28" s="147">
        <v>0</v>
      </c>
      <c r="AI28" s="147">
        <v>0</v>
      </c>
      <c r="AJ28" s="147">
        <v>0</v>
      </c>
    </row>
    <row r="29" spans="1:36" customFormat="1" x14ac:dyDescent="0.15">
      <c r="A29" s="184" t="s">
        <v>219</v>
      </c>
      <c r="B29" s="147">
        <v>0</v>
      </c>
      <c r="C29" s="147">
        <v>0</v>
      </c>
      <c r="D29" s="147">
        <v>8.1269651709845361E-2</v>
      </c>
      <c r="E29" s="147">
        <v>9.0165731830955855E-3</v>
      </c>
      <c r="F29" s="147">
        <v>9.8687563638204896E-4</v>
      </c>
      <c r="G29" s="147">
        <v>9.201472097535604E-2</v>
      </c>
      <c r="H29" s="147">
        <v>0.13610740026540943</v>
      </c>
      <c r="I29" s="147">
        <v>1.0000199292003825E-2</v>
      </c>
      <c r="J29" s="147">
        <v>4.9999999994999999E-3</v>
      </c>
      <c r="K29" s="147">
        <v>9.7999998441800101E-2</v>
      </c>
      <c r="L29" s="147">
        <v>0.16312671734566853</v>
      </c>
      <c r="M29" s="147">
        <v>1.1995674890682949E-2</v>
      </c>
      <c r="N29" s="147">
        <v>2.498750657781108E-2</v>
      </c>
      <c r="O29" s="147">
        <v>1.0000563168614102E-2</v>
      </c>
      <c r="P29" s="147">
        <v>9.3020882203915427E-4</v>
      </c>
      <c r="Q29" s="147">
        <v>2.0000399742394852E-2</v>
      </c>
      <c r="R29" s="147">
        <v>0</v>
      </c>
      <c r="S29" s="147">
        <v>0</v>
      </c>
      <c r="T29" s="147">
        <v>0</v>
      </c>
      <c r="U29" s="147">
        <v>0</v>
      </c>
      <c r="V29" s="147">
        <v>0</v>
      </c>
      <c r="W29" s="147">
        <v>4.9998148969538159E-3</v>
      </c>
      <c r="X29" s="147">
        <v>1.1995681601023633E-4</v>
      </c>
      <c r="Y29" s="147">
        <v>2.0002165912533457E-3</v>
      </c>
      <c r="Z29" s="147">
        <v>9.0013497148871933E-3</v>
      </c>
      <c r="AA29" s="147">
        <v>0</v>
      </c>
      <c r="AB29" s="147">
        <v>6.0007199095691516E-3</v>
      </c>
      <c r="AC29" s="147">
        <v>0</v>
      </c>
      <c r="AD29" s="147">
        <v>0</v>
      </c>
      <c r="AE29" s="147">
        <v>0</v>
      </c>
      <c r="AF29" s="147">
        <v>0</v>
      </c>
      <c r="AG29" s="147">
        <v>0</v>
      </c>
      <c r="AH29" s="147">
        <v>0</v>
      </c>
      <c r="AI29" s="147">
        <v>0</v>
      </c>
      <c r="AJ29" s="147">
        <v>0</v>
      </c>
    </row>
    <row r="30" spans="1:36" customFormat="1" x14ac:dyDescent="0.15">
      <c r="A30" s="184" t="s">
        <v>220</v>
      </c>
      <c r="B30" s="147">
        <v>0</v>
      </c>
      <c r="C30" s="147">
        <v>0</v>
      </c>
      <c r="D30" s="147">
        <v>3.0125818826925469E-3</v>
      </c>
      <c r="E30" s="147">
        <v>0</v>
      </c>
      <c r="F30" s="147">
        <v>0</v>
      </c>
      <c r="G30" s="147">
        <v>0</v>
      </c>
      <c r="H30" s="147">
        <v>0.13910976127126407</v>
      </c>
      <c r="I30" s="147">
        <v>3.200064291441234E-2</v>
      </c>
      <c r="J30" s="147">
        <v>0.20700000248929984</v>
      </c>
      <c r="K30" s="147">
        <v>0.19599999708360016</v>
      </c>
      <c r="L30" s="147">
        <v>0.25519823271868408</v>
      </c>
      <c r="M30" s="147">
        <v>0.21702377183551852</v>
      </c>
      <c r="N30" s="147">
        <v>0.25687157049189779</v>
      </c>
      <c r="O30" s="147">
        <v>0.42276107823630388</v>
      </c>
      <c r="P30" s="147">
        <v>8.7019529348824148E-2</v>
      </c>
      <c r="Q30" s="147">
        <v>0.18300366164291285</v>
      </c>
      <c r="R30" s="147">
        <v>0.34731257896066459</v>
      </c>
      <c r="S30" s="147">
        <v>0</v>
      </c>
      <c r="T30" s="147">
        <v>0</v>
      </c>
      <c r="U30" s="147">
        <v>0</v>
      </c>
      <c r="V30" s="147">
        <v>0</v>
      </c>
      <c r="W30" s="147">
        <v>9.8996337959685488E-2</v>
      </c>
      <c r="X30" s="147">
        <v>0</v>
      </c>
      <c r="Y30" s="147">
        <v>0.13799962113717526</v>
      </c>
      <c r="Z30" s="147">
        <v>0.18002702229774609</v>
      </c>
      <c r="AA30" s="147">
        <v>0.19101909183948373</v>
      </c>
      <c r="AB30" s="147">
        <v>9.4011278583250049E-2</v>
      </c>
      <c r="AC30" s="147">
        <v>0.1810543194830451</v>
      </c>
      <c r="AD30" s="147">
        <v>5.327336474132946E-2</v>
      </c>
      <c r="AE30" s="147">
        <v>0.10294852583338329</v>
      </c>
      <c r="AF30" s="147">
        <v>0</v>
      </c>
      <c r="AG30" s="147">
        <v>0</v>
      </c>
      <c r="AH30" s="147">
        <v>0</v>
      </c>
      <c r="AI30" s="147">
        <v>0</v>
      </c>
      <c r="AJ30" s="147">
        <v>0</v>
      </c>
    </row>
    <row r="31" spans="1:36" customFormat="1" x14ac:dyDescent="0.15">
      <c r="A31" s="184" t="s">
        <v>221</v>
      </c>
      <c r="B31" s="147">
        <v>0</v>
      </c>
      <c r="C31" s="147">
        <v>0</v>
      </c>
      <c r="D31" s="147">
        <v>1.2010292774854053E-2</v>
      </c>
      <c r="E31" s="147">
        <v>9.0165731830955855E-3</v>
      </c>
      <c r="F31" s="147">
        <v>9.8687563638204896E-4</v>
      </c>
      <c r="G31" s="147">
        <v>4.600736048767802E-2</v>
      </c>
      <c r="H31" s="147">
        <v>0</v>
      </c>
      <c r="I31" s="147">
        <v>9.8001961881637656E-4</v>
      </c>
      <c r="J31" s="147">
        <v>4.9999999994999999E-3</v>
      </c>
      <c r="K31" s="147">
        <v>9.7999998441800101E-2</v>
      </c>
      <c r="L31" s="147">
        <v>4.103187352927859E-2</v>
      </c>
      <c r="M31" s="147">
        <v>0</v>
      </c>
      <c r="N31" s="147">
        <v>1.0994502850236875E-2</v>
      </c>
      <c r="O31" s="147">
        <v>5.0002815843070512E-3</v>
      </c>
      <c r="P31" s="147">
        <v>9.2020659311400193E-6</v>
      </c>
      <c r="Q31" s="147">
        <v>2.0000399742394852E-2</v>
      </c>
      <c r="R31" s="147">
        <v>0</v>
      </c>
      <c r="S31" s="147">
        <v>0</v>
      </c>
      <c r="T31" s="147">
        <v>0</v>
      </c>
      <c r="U31" s="147">
        <v>0</v>
      </c>
      <c r="V31" s="147">
        <v>0</v>
      </c>
      <c r="W31" s="147">
        <v>9.6996408000904049E-5</v>
      </c>
      <c r="X31" s="147">
        <v>1.1995681601023633E-4</v>
      </c>
      <c r="Y31" s="147">
        <v>2.0002165912533457E-3</v>
      </c>
      <c r="Z31" s="147">
        <v>8.5012756751713127E-4</v>
      </c>
      <c r="AA31" s="147">
        <v>0</v>
      </c>
      <c r="AB31" s="147">
        <v>6.0007199095691516E-3</v>
      </c>
      <c r="AC31" s="147">
        <v>0</v>
      </c>
      <c r="AD31" s="147">
        <v>0</v>
      </c>
      <c r="AE31" s="147">
        <v>0</v>
      </c>
      <c r="AF31" s="147">
        <v>0</v>
      </c>
      <c r="AG31" s="147">
        <v>0</v>
      </c>
      <c r="AH31" s="147">
        <v>0</v>
      </c>
      <c r="AI31" s="147">
        <v>0</v>
      </c>
      <c r="AJ31" s="147">
        <v>0</v>
      </c>
    </row>
    <row r="32" spans="1:36" customFormat="1" x14ac:dyDescent="0.15">
      <c r="A32" s="184" t="s">
        <v>222</v>
      </c>
      <c r="B32" s="147">
        <v>0</v>
      </c>
      <c r="C32" s="147">
        <v>0</v>
      </c>
      <c r="D32" s="147">
        <v>0</v>
      </c>
      <c r="E32" s="147">
        <v>0</v>
      </c>
      <c r="F32" s="147">
        <v>0</v>
      </c>
      <c r="G32" s="147">
        <v>0</v>
      </c>
      <c r="H32" s="147">
        <v>0</v>
      </c>
      <c r="I32" s="147">
        <v>9.7001941862437269E-2</v>
      </c>
      <c r="J32" s="147">
        <v>0.34799999560520034</v>
      </c>
      <c r="K32" s="147">
        <v>9.7999998441800101E-2</v>
      </c>
      <c r="L32" s="147">
        <v>0</v>
      </c>
      <c r="M32" s="147">
        <v>0</v>
      </c>
      <c r="N32" s="147">
        <v>0</v>
      </c>
      <c r="O32" s="147">
        <v>0</v>
      </c>
      <c r="P32" s="147">
        <v>0.21004715442819613</v>
      </c>
      <c r="Q32" s="147">
        <v>0.198003960449709</v>
      </c>
      <c r="R32" s="147">
        <v>0.12110899712461214</v>
      </c>
      <c r="S32" s="147">
        <v>0.77671939372471199</v>
      </c>
      <c r="T32" s="147">
        <v>0.7</v>
      </c>
      <c r="U32" s="147">
        <v>0.7</v>
      </c>
      <c r="V32" s="147">
        <v>0.48997059836699774</v>
      </c>
      <c r="W32" s="147">
        <v>9.8996337959685499E-4</v>
      </c>
      <c r="X32" s="147">
        <v>0.52781000884504015</v>
      </c>
      <c r="Y32" s="147">
        <v>0</v>
      </c>
      <c r="Z32" s="147">
        <v>4.3006453415572528E-2</v>
      </c>
      <c r="AA32" s="147">
        <v>4.8004800964896496E-2</v>
      </c>
      <c r="AB32" s="147">
        <v>1.1001319834210111E-2</v>
      </c>
      <c r="AC32" s="147">
        <v>8.5925784975102948E-2</v>
      </c>
      <c r="AD32" s="147">
        <v>0.17691154874512785</v>
      </c>
      <c r="AE32" s="147">
        <v>8.6056964845187794E-2</v>
      </c>
      <c r="AF32" s="147">
        <v>0.20000000000000004</v>
      </c>
      <c r="AG32" s="147">
        <v>0</v>
      </c>
      <c r="AH32" s="147">
        <v>0</v>
      </c>
      <c r="AI32" s="147">
        <v>0</v>
      </c>
      <c r="AJ32" s="147">
        <v>0</v>
      </c>
    </row>
    <row r="33" spans="1:36" customFormat="1" x14ac:dyDescent="0.15">
      <c r="A33" s="184" t="s">
        <v>223</v>
      </c>
      <c r="B33" s="147">
        <v>0</v>
      </c>
      <c r="C33" s="147">
        <v>0</v>
      </c>
      <c r="D33" s="147">
        <v>0</v>
      </c>
      <c r="E33" s="147">
        <v>0</v>
      </c>
      <c r="F33" s="147">
        <v>0</v>
      </c>
      <c r="G33" s="147">
        <v>0</v>
      </c>
      <c r="H33" s="147">
        <v>0</v>
      </c>
      <c r="I33" s="147">
        <v>0</v>
      </c>
      <c r="J33" s="147">
        <v>0</v>
      </c>
      <c r="K33" s="147">
        <v>0</v>
      </c>
      <c r="L33" s="147">
        <v>0</v>
      </c>
      <c r="M33" s="147">
        <v>0</v>
      </c>
      <c r="N33" s="147">
        <v>0</v>
      </c>
      <c r="O33" s="147">
        <v>0</v>
      </c>
      <c r="P33" s="147">
        <v>0.1130253741542198</v>
      </c>
      <c r="Q33" s="147">
        <v>0.16100321492627861</v>
      </c>
      <c r="R33" s="147">
        <v>5.1146031319567617E-2</v>
      </c>
      <c r="S33" s="147">
        <v>0.22116397169136875</v>
      </c>
      <c r="T33" s="147">
        <v>0.2</v>
      </c>
      <c r="U33" s="147">
        <v>0.2</v>
      </c>
      <c r="V33" s="147">
        <v>0.35997840251452917</v>
      </c>
      <c r="W33" s="147">
        <v>0</v>
      </c>
      <c r="X33" s="147">
        <v>0.35187330589669286</v>
      </c>
      <c r="Y33" s="147">
        <v>0</v>
      </c>
      <c r="Z33" s="147">
        <v>4.3006453415572528E-2</v>
      </c>
      <c r="AA33" s="147">
        <v>4.8004800964896496E-2</v>
      </c>
      <c r="AB33" s="147">
        <v>3.9004679412199483E-2</v>
      </c>
      <c r="AC33" s="147">
        <v>8.5925784975102948E-2</v>
      </c>
      <c r="AD33" s="147">
        <v>0.23988006134932546</v>
      </c>
      <c r="AE33" s="147">
        <v>7.0064965803108545E-2</v>
      </c>
      <c r="AF33" s="147">
        <v>0.70000000000000007</v>
      </c>
      <c r="AG33" s="147">
        <v>0</v>
      </c>
      <c r="AH33" s="147">
        <v>0</v>
      </c>
      <c r="AI33" s="147">
        <v>0</v>
      </c>
      <c r="AJ33" s="147">
        <v>0</v>
      </c>
    </row>
    <row r="34" spans="1:36" customFormat="1" x14ac:dyDescent="0.15">
      <c r="A34" s="184" t="s">
        <v>224</v>
      </c>
      <c r="B34" s="147">
        <v>0</v>
      </c>
      <c r="C34" s="147">
        <v>0</v>
      </c>
      <c r="D34" s="147">
        <v>0</v>
      </c>
      <c r="E34" s="147">
        <v>0</v>
      </c>
      <c r="F34" s="147">
        <v>0</v>
      </c>
      <c r="G34" s="147">
        <v>0</v>
      </c>
      <c r="H34" s="147">
        <v>0</v>
      </c>
      <c r="I34" s="147">
        <v>0</v>
      </c>
      <c r="J34" s="147">
        <v>0</v>
      </c>
      <c r="K34" s="147">
        <v>0</v>
      </c>
      <c r="L34" s="147">
        <v>0</v>
      </c>
      <c r="M34" s="147">
        <v>0</v>
      </c>
      <c r="N34" s="147">
        <v>9.4952516115682464E-2</v>
      </c>
      <c r="O34" s="147">
        <v>3.213385957620668E-2</v>
      </c>
      <c r="P34" s="147">
        <v>0.15903569880991994</v>
      </c>
      <c r="Q34" s="147">
        <v>0</v>
      </c>
      <c r="R34" s="147">
        <v>2.3020718793934549E-2</v>
      </c>
      <c r="S34" s="147">
        <v>0</v>
      </c>
      <c r="T34" s="147">
        <v>0.05</v>
      </c>
      <c r="U34" s="147">
        <v>0.05</v>
      </c>
      <c r="V34" s="147">
        <v>0</v>
      </c>
      <c r="W34" s="147">
        <v>9.9996297939076318E-3</v>
      </c>
      <c r="X34" s="147">
        <v>0</v>
      </c>
      <c r="Y34" s="147">
        <v>0.18699949803494526</v>
      </c>
      <c r="Z34" s="147">
        <v>8.001199635455275E-2</v>
      </c>
      <c r="AA34" s="147">
        <v>4.50045028045905E-2</v>
      </c>
      <c r="AB34" s="147">
        <v>7.0008401644973397E-3</v>
      </c>
      <c r="AC34" s="147">
        <v>2.5007504547934517E-2</v>
      </c>
      <c r="AD34" s="147">
        <v>0.12693653629735174</v>
      </c>
      <c r="AE34" s="147">
        <v>1.4292853043858101E-2</v>
      </c>
      <c r="AF34" s="147">
        <v>0</v>
      </c>
      <c r="AG34" s="147">
        <v>0</v>
      </c>
      <c r="AH34" s="147">
        <v>0</v>
      </c>
      <c r="AI34" s="147">
        <v>0</v>
      </c>
      <c r="AJ34" s="147">
        <v>0</v>
      </c>
    </row>
    <row r="35" spans="1:36" customFormat="1" x14ac:dyDescent="0.15">
      <c r="A35" s="184" t="s">
        <v>225</v>
      </c>
      <c r="B35" s="147">
        <v>0</v>
      </c>
      <c r="C35" s="147">
        <v>0</v>
      </c>
      <c r="D35" s="147">
        <v>0</v>
      </c>
      <c r="E35" s="147">
        <v>0</v>
      </c>
      <c r="F35" s="147">
        <v>0</v>
      </c>
      <c r="G35" s="147">
        <v>0</v>
      </c>
      <c r="H35" s="147">
        <v>0</v>
      </c>
      <c r="I35" s="147">
        <v>0</v>
      </c>
      <c r="J35" s="147">
        <v>0</v>
      </c>
      <c r="K35" s="147">
        <v>0</v>
      </c>
      <c r="L35" s="147">
        <v>0.13110184325940222</v>
      </c>
      <c r="M35" s="147">
        <v>0.20302225016438577</v>
      </c>
      <c r="N35" s="147">
        <v>0.16691654217177807</v>
      </c>
      <c r="O35" s="147">
        <v>0.23297046742668182</v>
      </c>
      <c r="P35" s="147">
        <v>8.3018639378763207E-2</v>
      </c>
      <c r="Q35" s="147">
        <v>0.19700394346258923</v>
      </c>
      <c r="R35" s="147">
        <v>0.21619457557782007</v>
      </c>
      <c r="S35" s="147">
        <v>0</v>
      </c>
      <c r="T35" s="147">
        <v>0.05</v>
      </c>
      <c r="U35" s="147">
        <v>0.05</v>
      </c>
      <c r="V35" s="147">
        <v>3.6997779019548753E-2</v>
      </c>
      <c r="W35" s="147">
        <v>0.49398170881903702</v>
      </c>
      <c r="X35" s="147">
        <v>5.8978767188366178E-2</v>
      </c>
      <c r="Y35" s="147">
        <v>0.3749990063549043</v>
      </c>
      <c r="Z35" s="147">
        <v>0.5110766405897067</v>
      </c>
      <c r="AA35" s="147">
        <v>0.57205721149834998</v>
      </c>
      <c r="AB35" s="147">
        <v>0.6560787461128933</v>
      </c>
      <c r="AC35" s="147">
        <v>0.56516953272331594</v>
      </c>
      <c r="AD35" s="147">
        <v>0.31684157119889983</v>
      </c>
      <c r="AE35" s="147">
        <v>0.62268866270094902</v>
      </c>
      <c r="AF35" s="147">
        <v>0.10000000000000002</v>
      </c>
      <c r="AG35" s="147">
        <v>0</v>
      </c>
      <c r="AH35" s="147">
        <v>0</v>
      </c>
      <c r="AI35" s="147">
        <v>0</v>
      </c>
      <c r="AJ35" s="147">
        <v>0</v>
      </c>
    </row>
    <row r="36" spans="1:36" customFormat="1" x14ac:dyDescent="0.15">
      <c r="A36" s="184" t="s">
        <v>226</v>
      </c>
      <c r="B36" s="147">
        <v>0</v>
      </c>
      <c r="C36" s="147">
        <v>0</v>
      </c>
      <c r="D36" s="147">
        <v>0</v>
      </c>
      <c r="E36" s="147">
        <v>0</v>
      </c>
      <c r="F36" s="147">
        <v>0</v>
      </c>
      <c r="G36" s="147">
        <v>0</v>
      </c>
      <c r="H36" s="147">
        <v>0</v>
      </c>
      <c r="I36" s="147">
        <v>0</v>
      </c>
      <c r="J36" s="147">
        <v>0</v>
      </c>
      <c r="K36" s="147">
        <v>0</v>
      </c>
      <c r="L36" s="147">
        <v>0</v>
      </c>
      <c r="M36" s="147">
        <v>0</v>
      </c>
      <c r="N36" s="147">
        <v>0</v>
      </c>
      <c r="O36" s="147">
        <v>0</v>
      </c>
      <c r="P36" s="147">
        <v>0</v>
      </c>
      <c r="Q36" s="147">
        <v>0</v>
      </c>
      <c r="R36" s="147">
        <v>0</v>
      </c>
      <c r="S36" s="147">
        <v>0</v>
      </c>
      <c r="T36" s="147">
        <v>0</v>
      </c>
      <c r="U36" s="147">
        <v>0</v>
      </c>
      <c r="V36" s="147">
        <v>0</v>
      </c>
      <c r="W36" s="147">
        <v>0</v>
      </c>
      <c r="X36" s="147">
        <v>0</v>
      </c>
      <c r="Y36" s="147">
        <v>0</v>
      </c>
      <c r="Z36" s="147">
        <v>0</v>
      </c>
      <c r="AA36" s="147">
        <v>0</v>
      </c>
      <c r="AB36" s="147">
        <v>0</v>
      </c>
      <c r="AC36" s="147">
        <v>0</v>
      </c>
      <c r="AD36" s="147">
        <v>0</v>
      </c>
      <c r="AE36" s="147">
        <v>0</v>
      </c>
      <c r="AF36" s="147">
        <v>0</v>
      </c>
      <c r="AG36" s="147">
        <v>0</v>
      </c>
      <c r="AH36" s="147">
        <v>0</v>
      </c>
      <c r="AI36" s="147">
        <v>0</v>
      </c>
      <c r="AJ36" s="147">
        <v>0</v>
      </c>
    </row>
    <row r="37" spans="1:36" customFormat="1" x14ac:dyDescent="0.15">
      <c r="A37" s="184" t="s">
        <v>236</v>
      </c>
      <c r="B37" s="147">
        <v>0</v>
      </c>
      <c r="C37" s="147">
        <v>0</v>
      </c>
      <c r="D37" s="147">
        <v>0</v>
      </c>
      <c r="E37" s="147">
        <v>0</v>
      </c>
      <c r="F37" s="147">
        <v>0</v>
      </c>
      <c r="G37" s="147">
        <v>0</v>
      </c>
      <c r="H37" s="147">
        <v>0</v>
      </c>
      <c r="I37" s="147">
        <v>0</v>
      </c>
      <c r="J37" s="147">
        <v>0</v>
      </c>
      <c r="K37" s="147">
        <v>0</v>
      </c>
      <c r="L37" s="147">
        <v>0</v>
      </c>
      <c r="M37" s="147">
        <v>0</v>
      </c>
      <c r="N37" s="147">
        <v>0</v>
      </c>
      <c r="O37" s="147">
        <v>0</v>
      </c>
      <c r="P37" s="147">
        <v>0</v>
      </c>
      <c r="Q37" s="147">
        <v>0</v>
      </c>
      <c r="R37" s="147">
        <v>0</v>
      </c>
      <c r="S37" s="147">
        <v>0</v>
      </c>
      <c r="T37" s="147">
        <v>0</v>
      </c>
      <c r="U37" s="147">
        <v>0</v>
      </c>
      <c r="V37" s="147">
        <v>0</v>
      </c>
      <c r="W37" s="147">
        <v>0</v>
      </c>
      <c r="X37" s="147">
        <v>0</v>
      </c>
      <c r="Y37" s="147">
        <v>0</v>
      </c>
      <c r="Z37" s="147">
        <v>0</v>
      </c>
      <c r="AA37" s="147">
        <v>0</v>
      </c>
      <c r="AB37" s="147">
        <v>0</v>
      </c>
      <c r="AC37" s="147">
        <v>0</v>
      </c>
      <c r="AD37" s="147">
        <v>0</v>
      </c>
      <c r="AE37" s="147">
        <v>0</v>
      </c>
      <c r="AF37" s="147">
        <v>0</v>
      </c>
      <c r="AG37" s="147">
        <v>0</v>
      </c>
      <c r="AH37" s="147">
        <v>0</v>
      </c>
      <c r="AI37" s="147">
        <v>0</v>
      </c>
      <c r="AJ37" s="147">
        <v>0</v>
      </c>
    </row>
    <row r="38" spans="1:36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8" customWidth="1"/>
    <col min="3" max="4" width="2.33203125" style="114" customWidth="1"/>
    <col min="5" max="6" width="2.33203125" style="113" bestFit="1" customWidth="1"/>
    <col min="7" max="8" width="8.83203125" style="114"/>
  </cols>
  <sheetData>
    <row r="1" spans="1:8" ht="70" x14ac:dyDescent="0.15">
      <c r="A1" s="5" t="s">
        <v>20</v>
      </c>
      <c r="B1" s="1" t="s">
        <v>0</v>
      </c>
      <c r="C1" s="187" t="s">
        <v>225</v>
      </c>
      <c r="D1" s="187" t="s">
        <v>226</v>
      </c>
      <c r="E1" s="187" t="s">
        <v>237</v>
      </c>
      <c r="F1" s="187" t="s">
        <v>238</v>
      </c>
      <c r="G1"/>
      <c r="H1"/>
    </row>
    <row r="2" spans="1:8" x14ac:dyDescent="0.15">
      <c r="A2">
        <v>1</v>
      </c>
      <c r="B2" s="186" t="s">
        <v>192</v>
      </c>
      <c r="C2" s="114">
        <v>1</v>
      </c>
      <c r="D2" s="114">
        <v>0</v>
      </c>
      <c r="E2" s="113">
        <v>0</v>
      </c>
      <c r="F2" s="113">
        <v>1</v>
      </c>
      <c r="G2"/>
      <c r="H2"/>
    </row>
    <row r="3" spans="1:8" x14ac:dyDescent="0.15">
      <c r="A3">
        <v>2</v>
      </c>
      <c r="B3" s="186" t="s">
        <v>193</v>
      </c>
      <c r="C3" s="114">
        <v>1</v>
      </c>
      <c r="D3" s="114">
        <v>0</v>
      </c>
      <c r="E3" s="113">
        <v>0</v>
      </c>
      <c r="F3" s="113">
        <v>1</v>
      </c>
      <c r="G3"/>
      <c r="H3"/>
    </row>
    <row r="4" spans="1:8" x14ac:dyDescent="0.15">
      <c r="A4">
        <v>3</v>
      </c>
      <c r="B4" s="186" t="s">
        <v>194</v>
      </c>
      <c r="C4" s="114">
        <v>1</v>
      </c>
      <c r="D4" s="114">
        <v>0</v>
      </c>
      <c r="E4" s="113">
        <v>0</v>
      </c>
      <c r="F4" s="113">
        <v>1</v>
      </c>
      <c r="G4"/>
      <c r="H4"/>
    </row>
    <row r="5" spans="1:8" x14ac:dyDescent="0.15">
      <c r="A5">
        <v>4</v>
      </c>
      <c r="B5" s="186" t="s">
        <v>195</v>
      </c>
      <c r="C5" s="114">
        <v>1</v>
      </c>
      <c r="D5" s="114">
        <v>0</v>
      </c>
      <c r="E5" s="113">
        <v>0</v>
      </c>
      <c r="F5" s="113">
        <v>1</v>
      </c>
      <c r="G5"/>
      <c r="H5"/>
    </row>
    <row r="6" spans="1:8" x14ac:dyDescent="0.15">
      <c r="A6">
        <v>5</v>
      </c>
      <c r="B6" s="186" t="s">
        <v>196</v>
      </c>
      <c r="C6" s="114">
        <v>1</v>
      </c>
      <c r="D6" s="114">
        <v>0</v>
      </c>
      <c r="E6" s="113">
        <v>0</v>
      </c>
      <c r="F6" s="113">
        <v>1</v>
      </c>
      <c r="G6"/>
      <c r="H6"/>
    </row>
    <row r="7" spans="1:8" x14ac:dyDescent="0.15">
      <c r="A7">
        <v>6</v>
      </c>
      <c r="B7" s="186" t="s">
        <v>197</v>
      </c>
      <c r="C7" s="114">
        <v>1</v>
      </c>
      <c r="D7" s="114">
        <v>0</v>
      </c>
      <c r="E7" s="113">
        <v>0</v>
      </c>
      <c r="F7" s="113">
        <v>1</v>
      </c>
      <c r="G7"/>
      <c r="H7"/>
    </row>
    <row r="8" spans="1:8" x14ac:dyDescent="0.15">
      <c r="A8">
        <v>7</v>
      </c>
      <c r="B8" s="186" t="s">
        <v>198</v>
      </c>
      <c r="C8" s="114">
        <v>1</v>
      </c>
      <c r="D8" s="114">
        <v>0</v>
      </c>
      <c r="E8" s="113">
        <v>0</v>
      </c>
      <c r="F8" s="113">
        <v>1</v>
      </c>
      <c r="G8"/>
      <c r="H8"/>
    </row>
    <row r="9" spans="1:8" x14ac:dyDescent="0.15">
      <c r="A9">
        <v>8</v>
      </c>
      <c r="B9" s="186" t="s">
        <v>199</v>
      </c>
      <c r="C9" s="114">
        <v>1</v>
      </c>
      <c r="D9" s="114">
        <v>0</v>
      </c>
      <c r="E9" s="113">
        <v>0</v>
      </c>
      <c r="F9" s="113">
        <v>1</v>
      </c>
      <c r="G9"/>
      <c r="H9"/>
    </row>
    <row r="10" spans="1:8" x14ac:dyDescent="0.15">
      <c r="A10">
        <v>9</v>
      </c>
      <c r="B10" s="186" t="s">
        <v>200</v>
      </c>
      <c r="C10" s="114">
        <v>1</v>
      </c>
      <c r="D10" s="114">
        <v>0</v>
      </c>
      <c r="E10" s="113">
        <v>0</v>
      </c>
      <c r="F10" s="113">
        <v>1</v>
      </c>
      <c r="G10"/>
      <c r="H10"/>
    </row>
    <row r="11" spans="1:8" x14ac:dyDescent="0.15">
      <c r="A11">
        <v>10</v>
      </c>
      <c r="B11" s="186" t="s">
        <v>201</v>
      </c>
      <c r="C11" s="114">
        <v>1</v>
      </c>
      <c r="D11" s="114">
        <v>0</v>
      </c>
      <c r="E11" s="113">
        <v>0</v>
      </c>
      <c r="F11" s="113">
        <v>1</v>
      </c>
      <c r="G11"/>
      <c r="H11"/>
    </row>
    <row r="12" spans="1:8" x14ac:dyDescent="0.15">
      <c r="A12">
        <v>11</v>
      </c>
      <c r="B12" s="186" t="s">
        <v>202</v>
      </c>
      <c r="C12" s="114">
        <v>1</v>
      </c>
      <c r="D12" s="114">
        <v>0</v>
      </c>
      <c r="E12" s="113">
        <v>0</v>
      </c>
      <c r="F12" s="113">
        <v>1</v>
      </c>
      <c r="G12"/>
      <c r="H12"/>
    </row>
    <row r="13" spans="1:8" x14ac:dyDescent="0.15">
      <c r="A13">
        <v>12</v>
      </c>
      <c r="B13" s="186" t="s">
        <v>203</v>
      </c>
      <c r="C13" s="114">
        <v>1</v>
      </c>
      <c r="D13" s="114">
        <v>0</v>
      </c>
      <c r="E13" s="113">
        <v>0</v>
      </c>
      <c r="F13" s="113">
        <v>1</v>
      </c>
      <c r="G13"/>
      <c r="H13"/>
    </row>
    <row r="14" spans="1:8" x14ac:dyDescent="0.15">
      <c r="A14">
        <v>13</v>
      </c>
      <c r="B14" s="186" t="s">
        <v>204</v>
      </c>
      <c r="C14" s="114">
        <v>1</v>
      </c>
      <c r="D14" s="114">
        <v>0</v>
      </c>
      <c r="E14" s="113">
        <v>0</v>
      </c>
      <c r="F14" s="113">
        <v>1</v>
      </c>
      <c r="G14"/>
      <c r="H14"/>
    </row>
    <row r="15" spans="1:8" x14ac:dyDescent="0.15">
      <c r="A15">
        <v>14</v>
      </c>
      <c r="B15" s="186" t="s">
        <v>205</v>
      </c>
      <c r="C15" s="114">
        <v>1</v>
      </c>
      <c r="D15" s="114">
        <v>0</v>
      </c>
      <c r="E15" s="113">
        <v>0</v>
      </c>
      <c r="F15" s="113">
        <v>1</v>
      </c>
      <c r="G15"/>
      <c r="H15"/>
    </row>
    <row r="16" spans="1:8" x14ac:dyDescent="0.15">
      <c r="A16">
        <v>15</v>
      </c>
      <c r="B16" s="186" t="s">
        <v>206</v>
      </c>
      <c r="C16" s="114">
        <v>1</v>
      </c>
      <c r="D16" s="114">
        <v>0</v>
      </c>
      <c r="E16" s="113">
        <v>0</v>
      </c>
      <c r="F16" s="113">
        <v>1</v>
      </c>
      <c r="G16"/>
      <c r="H16"/>
    </row>
    <row r="17" spans="1:8" ht="15" customHeight="1" x14ac:dyDescent="0.15">
      <c r="A17">
        <v>16</v>
      </c>
      <c r="B17" s="186" t="s">
        <v>207</v>
      </c>
      <c r="C17" s="114">
        <v>1</v>
      </c>
      <c r="D17" s="114">
        <v>0</v>
      </c>
      <c r="E17" s="113">
        <v>0</v>
      </c>
      <c r="F17" s="113">
        <v>1</v>
      </c>
      <c r="G17"/>
      <c r="H17"/>
    </row>
    <row r="18" spans="1:8" ht="15" customHeight="1" x14ac:dyDescent="0.15">
      <c r="A18">
        <v>17</v>
      </c>
      <c r="B18" s="186" t="s">
        <v>208</v>
      </c>
      <c r="C18" s="114">
        <v>1</v>
      </c>
      <c r="D18" s="114">
        <v>0</v>
      </c>
      <c r="E18" s="113">
        <v>0</v>
      </c>
      <c r="F18" s="113">
        <v>1</v>
      </c>
      <c r="G18"/>
      <c r="H18"/>
    </row>
    <row r="19" spans="1:8" ht="15" customHeight="1" x14ac:dyDescent="0.15">
      <c r="A19">
        <v>18</v>
      </c>
      <c r="B19" s="186" t="s">
        <v>209</v>
      </c>
      <c r="C19" s="114">
        <v>1</v>
      </c>
      <c r="D19" s="114">
        <v>0</v>
      </c>
      <c r="E19" s="113">
        <v>0</v>
      </c>
      <c r="F19" s="113">
        <v>1</v>
      </c>
      <c r="G19"/>
      <c r="H19"/>
    </row>
    <row r="20" spans="1:8" ht="15" customHeight="1" x14ac:dyDescent="0.15">
      <c r="A20">
        <v>19</v>
      </c>
      <c r="B20" s="186" t="s">
        <v>210</v>
      </c>
      <c r="C20" s="114">
        <v>0</v>
      </c>
      <c r="D20" s="114">
        <v>0</v>
      </c>
      <c r="E20" s="113">
        <v>1</v>
      </c>
      <c r="F20" s="113">
        <v>1</v>
      </c>
      <c r="G20"/>
      <c r="H20"/>
    </row>
    <row r="21" spans="1:8" ht="15" customHeight="1" x14ac:dyDescent="0.15">
      <c r="A21">
        <v>20</v>
      </c>
      <c r="B21" s="186" t="s">
        <v>211</v>
      </c>
      <c r="C21" s="114">
        <v>0</v>
      </c>
      <c r="D21" s="114">
        <v>0</v>
      </c>
      <c r="E21" s="113">
        <v>1</v>
      </c>
      <c r="F21" s="113">
        <v>1</v>
      </c>
      <c r="G21"/>
      <c r="H21"/>
    </row>
    <row r="22" spans="1:8" ht="15" customHeight="1" x14ac:dyDescent="0.15">
      <c r="A22">
        <v>21</v>
      </c>
      <c r="B22" s="186" t="s">
        <v>212</v>
      </c>
      <c r="C22" s="114">
        <v>1</v>
      </c>
      <c r="D22" s="114">
        <v>0</v>
      </c>
      <c r="E22" s="113">
        <v>0</v>
      </c>
      <c r="F22" s="113">
        <v>1</v>
      </c>
      <c r="G22"/>
      <c r="H22"/>
    </row>
    <row r="23" spans="1:8" ht="15" customHeight="1" x14ac:dyDescent="0.15">
      <c r="A23">
        <v>22</v>
      </c>
      <c r="B23" s="186" t="s">
        <v>213</v>
      </c>
      <c r="C23" s="114">
        <v>1</v>
      </c>
      <c r="D23" s="114">
        <v>0</v>
      </c>
      <c r="E23" s="113">
        <v>0</v>
      </c>
      <c r="F23" s="113">
        <v>1</v>
      </c>
      <c r="G23"/>
      <c r="H23"/>
    </row>
    <row r="24" spans="1:8" ht="15" customHeight="1" x14ac:dyDescent="0.15">
      <c r="A24">
        <v>23</v>
      </c>
      <c r="B24" s="186" t="s">
        <v>214</v>
      </c>
      <c r="C24" s="114">
        <v>1</v>
      </c>
      <c r="D24" s="114">
        <v>0</v>
      </c>
      <c r="E24" s="113">
        <v>0</v>
      </c>
      <c r="F24" s="113">
        <v>1</v>
      </c>
      <c r="G24"/>
      <c r="H24"/>
    </row>
    <row r="25" spans="1:8" ht="15" customHeight="1" x14ac:dyDescent="0.15">
      <c r="A25">
        <v>24</v>
      </c>
      <c r="B25" s="186" t="s">
        <v>215</v>
      </c>
      <c r="C25" s="114">
        <v>1</v>
      </c>
      <c r="D25" s="114">
        <v>0</v>
      </c>
      <c r="E25" s="113">
        <v>0</v>
      </c>
      <c r="F25" s="113">
        <v>1</v>
      </c>
      <c r="G25"/>
      <c r="H25"/>
    </row>
    <row r="26" spans="1:8" ht="15" customHeight="1" x14ac:dyDescent="0.15">
      <c r="A26">
        <v>25</v>
      </c>
      <c r="B26" s="186" t="s">
        <v>216</v>
      </c>
      <c r="C26" s="114">
        <v>1</v>
      </c>
      <c r="D26" s="114">
        <v>0</v>
      </c>
      <c r="E26" s="113">
        <v>0</v>
      </c>
      <c r="F26" s="113">
        <v>1</v>
      </c>
      <c r="G26"/>
      <c r="H26"/>
    </row>
    <row r="27" spans="1:8" ht="15" customHeight="1" x14ac:dyDescent="0.15">
      <c r="A27">
        <v>26</v>
      </c>
      <c r="B27" s="186" t="s">
        <v>217</v>
      </c>
      <c r="C27" s="114">
        <v>1</v>
      </c>
      <c r="D27" s="114">
        <v>0</v>
      </c>
      <c r="E27" s="113">
        <v>0</v>
      </c>
      <c r="F27" s="113">
        <v>1</v>
      </c>
      <c r="G27"/>
      <c r="H27"/>
    </row>
    <row r="28" spans="1:8" ht="15" customHeight="1" x14ac:dyDescent="0.15">
      <c r="A28">
        <v>27</v>
      </c>
      <c r="B28" s="186" t="s">
        <v>218</v>
      </c>
      <c r="C28" s="114">
        <v>1</v>
      </c>
      <c r="D28" s="114">
        <v>0</v>
      </c>
      <c r="E28" s="113">
        <v>0</v>
      </c>
      <c r="F28" s="113">
        <v>1</v>
      </c>
      <c r="G28"/>
      <c r="H28"/>
    </row>
    <row r="29" spans="1:8" ht="15" customHeight="1" x14ac:dyDescent="0.15">
      <c r="A29">
        <v>28</v>
      </c>
      <c r="B29" s="186" t="s">
        <v>219</v>
      </c>
      <c r="C29" s="114">
        <v>0</v>
      </c>
      <c r="D29" s="114">
        <v>0</v>
      </c>
      <c r="E29" s="113">
        <v>1</v>
      </c>
      <c r="F29" s="113">
        <v>1</v>
      </c>
      <c r="G29"/>
      <c r="H29"/>
    </row>
    <row r="30" spans="1:8" ht="15" customHeight="1" x14ac:dyDescent="0.15">
      <c r="A30">
        <v>29</v>
      </c>
      <c r="B30" s="186" t="s">
        <v>220</v>
      </c>
      <c r="C30" s="114">
        <v>1</v>
      </c>
      <c r="D30" s="114">
        <v>0</v>
      </c>
      <c r="E30" s="113">
        <v>0</v>
      </c>
      <c r="F30" s="113">
        <v>1</v>
      </c>
      <c r="G30"/>
      <c r="H30"/>
    </row>
    <row r="31" spans="1:8" ht="15" customHeight="1" x14ac:dyDescent="0.15">
      <c r="A31">
        <v>30</v>
      </c>
      <c r="B31" s="186" t="s">
        <v>221</v>
      </c>
      <c r="C31" s="114">
        <v>0</v>
      </c>
      <c r="D31" s="114">
        <v>0</v>
      </c>
      <c r="E31" s="113">
        <v>1</v>
      </c>
      <c r="F31" s="113">
        <v>1</v>
      </c>
      <c r="G31"/>
      <c r="H31"/>
    </row>
    <row r="32" spans="1:8" ht="15" customHeight="1" x14ac:dyDescent="0.15">
      <c r="A32">
        <v>31</v>
      </c>
      <c r="B32" s="186" t="s">
        <v>222</v>
      </c>
      <c r="C32" s="114">
        <v>1</v>
      </c>
      <c r="D32" s="114">
        <v>0</v>
      </c>
      <c r="E32" s="113">
        <v>0</v>
      </c>
      <c r="F32" s="113">
        <v>1</v>
      </c>
    </row>
    <row r="33" spans="1:8" ht="15" customHeight="1" x14ac:dyDescent="0.15">
      <c r="A33">
        <v>32</v>
      </c>
      <c r="B33" s="186" t="s">
        <v>223</v>
      </c>
      <c r="C33" s="114">
        <v>1</v>
      </c>
      <c r="D33" s="114">
        <v>0</v>
      </c>
      <c r="E33" s="113">
        <v>0</v>
      </c>
      <c r="F33" s="113">
        <v>1</v>
      </c>
    </row>
    <row r="34" spans="1:8" ht="15" customHeight="1" x14ac:dyDescent="0.15">
      <c r="A34">
        <v>33</v>
      </c>
      <c r="B34" s="186" t="s">
        <v>224</v>
      </c>
      <c r="C34" s="114">
        <v>1</v>
      </c>
      <c r="D34" s="114">
        <v>0</v>
      </c>
      <c r="E34" s="113">
        <v>0</v>
      </c>
      <c r="F34" s="113">
        <v>1</v>
      </c>
    </row>
    <row r="35" spans="1:8" ht="15" customHeight="1" x14ac:dyDescent="0.15">
      <c r="A35">
        <v>34</v>
      </c>
      <c r="B35" s="186" t="s">
        <v>225</v>
      </c>
      <c r="C35" s="114">
        <v>0</v>
      </c>
      <c r="D35" s="114">
        <v>1</v>
      </c>
      <c r="E35" s="113">
        <v>0</v>
      </c>
      <c r="F35" s="113">
        <v>1</v>
      </c>
    </row>
    <row r="36" spans="1:8" ht="15" customHeight="1" x14ac:dyDescent="0.15">
      <c r="A36">
        <v>35</v>
      </c>
      <c r="B36" s="186" t="s">
        <v>226</v>
      </c>
      <c r="C36" s="114">
        <v>0</v>
      </c>
      <c r="D36" s="114">
        <v>0</v>
      </c>
      <c r="E36" s="114">
        <v>1</v>
      </c>
      <c r="F36" s="114">
        <v>1</v>
      </c>
      <c r="G36"/>
      <c r="H36"/>
    </row>
    <row r="37" spans="1:8" ht="15" customHeight="1" x14ac:dyDescent="0.15">
      <c r="A37">
        <v>36</v>
      </c>
      <c r="B37" s="186" t="s">
        <v>227</v>
      </c>
      <c r="C37" s="114">
        <v>0</v>
      </c>
      <c r="D37" s="114">
        <v>1</v>
      </c>
      <c r="E37" s="114">
        <v>0</v>
      </c>
      <c r="F37" s="114">
        <v>1</v>
      </c>
      <c r="G37"/>
      <c r="H37"/>
    </row>
    <row r="38" spans="1:8" ht="15" customHeight="1" x14ac:dyDescent="0.15">
      <c r="A38">
        <v>37</v>
      </c>
      <c r="B38" s="186" t="s">
        <v>228</v>
      </c>
      <c r="C38" s="114">
        <v>0</v>
      </c>
      <c r="D38" s="114">
        <v>1</v>
      </c>
      <c r="E38" s="114">
        <v>0</v>
      </c>
      <c r="F38" s="114">
        <v>1</v>
      </c>
      <c r="G38"/>
      <c r="H38"/>
    </row>
    <row r="39" spans="1:8" ht="15" customHeight="1" x14ac:dyDescent="0.15">
      <c r="A39">
        <v>38</v>
      </c>
      <c r="B39" s="186" t="s">
        <v>229</v>
      </c>
      <c r="C39" s="114">
        <v>0</v>
      </c>
      <c r="D39" s="114">
        <v>1</v>
      </c>
      <c r="E39" s="114">
        <v>0</v>
      </c>
      <c r="F39" s="114">
        <v>1</v>
      </c>
      <c r="G39"/>
      <c r="H39"/>
    </row>
    <row r="40" spans="1:8" ht="15" customHeight="1" x14ac:dyDescent="0.15">
      <c r="A40">
        <v>39</v>
      </c>
      <c r="B40" s="186" t="s">
        <v>230</v>
      </c>
      <c r="C40" s="114">
        <v>0</v>
      </c>
      <c r="D40" s="114">
        <v>1</v>
      </c>
      <c r="E40" s="114">
        <v>0</v>
      </c>
      <c r="F40" s="114">
        <v>1</v>
      </c>
      <c r="G40"/>
      <c r="H40"/>
    </row>
    <row r="41" spans="1:8" ht="15" customHeight="1" x14ac:dyDescent="0.15">
      <c r="A41">
        <v>40</v>
      </c>
      <c r="B41" s="186" t="s">
        <v>231</v>
      </c>
      <c r="C41" s="114">
        <v>0</v>
      </c>
      <c r="D41" s="114">
        <v>1</v>
      </c>
      <c r="E41" s="114">
        <v>0</v>
      </c>
      <c r="F41" s="114">
        <v>1</v>
      </c>
      <c r="G41"/>
      <c r="H41"/>
    </row>
    <row r="42" spans="1:8" ht="15" customHeight="1" x14ac:dyDescent="0.15">
      <c r="A42">
        <v>41</v>
      </c>
      <c r="B42" s="186" t="s">
        <v>232</v>
      </c>
      <c r="C42" s="114">
        <v>0</v>
      </c>
      <c r="D42" s="114">
        <v>1</v>
      </c>
      <c r="E42" s="114">
        <v>0</v>
      </c>
      <c r="F42" s="114">
        <v>1</v>
      </c>
      <c r="G42"/>
      <c r="H42"/>
    </row>
    <row r="43" spans="1:8" ht="15" customHeight="1" x14ac:dyDescent="0.15">
      <c r="A43">
        <v>42</v>
      </c>
      <c r="B43" s="186" t="s">
        <v>233</v>
      </c>
      <c r="C43" s="114">
        <v>0</v>
      </c>
      <c r="D43" s="114">
        <v>1</v>
      </c>
      <c r="E43" s="114">
        <v>0</v>
      </c>
      <c r="F43" s="114">
        <v>1</v>
      </c>
      <c r="G43"/>
      <c r="H43"/>
    </row>
    <row r="44" spans="1:8" ht="15" customHeight="1" x14ac:dyDescent="0.15">
      <c r="A44">
        <v>43</v>
      </c>
      <c r="B44" s="186" t="s">
        <v>234</v>
      </c>
      <c r="C44" s="114">
        <v>0</v>
      </c>
      <c r="D44" s="114">
        <v>1</v>
      </c>
      <c r="E44" s="113">
        <v>0</v>
      </c>
      <c r="F44" s="113">
        <v>1</v>
      </c>
      <c r="G44"/>
      <c r="H44"/>
    </row>
    <row r="45" spans="1:8" ht="15" customHeight="1" x14ac:dyDescent="0.15">
      <c r="A45">
        <v>44</v>
      </c>
      <c r="B45" s="186" t="s">
        <v>235</v>
      </c>
      <c r="C45" s="114">
        <v>0</v>
      </c>
      <c r="D45" s="114">
        <v>1</v>
      </c>
      <c r="E45" s="113">
        <v>0</v>
      </c>
      <c r="F45" s="113">
        <v>1</v>
      </c>
      <c r="G45"/>
      <c r="H45"/>
    </row>
    <row r="46" spans="1:8" ht="15" customHeight="1" x14ac:dyDescent="0.15">
      <c r="C46"/>
      <c r="D46"/>
      <c r="E46" s="114"/>
      <c r="F46" s="114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L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8" bestFit="1" customWidth="1"/>
    <col min="3" max="3" width="10.83203125" bestFit="1" customWidth="1"/>
    <col min="4" max="4" width="7.83203125" bestFit="1" customWidth="1"/>
    <col min="5" max="5" width="12.83203125" bestFit="1" customWidth="1"/>
    <col min="6" max="6" width="10.83203125" customWidth="1"/>
    <col min="7" max="8" width="12.83203125" customWidth="1"/>
    <col min="9" max="9" width="10.5" customWidth="1"/>
    <col min="10" max="11" width="11.83203125" customWidth="1"/>
    <col min="12" max="12" width="12.83203125" customWidth="1"/>
  </cols>
  <sheetData>
    <row r="1" spans="1:12" s="115" customFormat="1" ht="112" x14ac:dyDescent="0.15">
      <c r="A1" s="5" t="s">
        <v>21</v>
      </c>
      <c r="B1" s="3" t="s">
        <v>0</v>
      </c>
      <c r="C1" s="189" t="s">
        <v>227</v>
      </c>
      <c r="D1" s="189" t="s">
        <v>228</v>
      </c>
      <c r="E1" s="189" t="s">
        <v>229</v>
      </c>
      <c r="F1" s="189" t="s">
        <v>230</v>
      </c>
      <c r="G1" s="189" t="s">
        <v>231</v>
      </c>
      <c r="H1" s="189" t="s">
        <v>232</v>
      </c>
      <c r="I1" s="189" t="s">
        <v>233</v>
      </c>
      <c r="J1" s="189" t="s">
        <v>234</v>
      </c>
      <c r="K1" s="189" t="s">
        <v>235</v>
      </c>
      <c r="L1" s="189" t="s">
        <v>239</v>
      </c>
    </row>
    <row r="2" spans="1:12" ht="15" customHeight="1" x14ac:dyDescent="0.15">
      <c r="A2">
        <v>1</v>
      </c>
      <c r="B2" s="188" t="s">
        <v>192</v>
      </c>
      <c r="C2">
        <v>0</v>
      </c>
      <c r="D2">
        <v>0</v>
      </c>
      <c r="E2">
        <v>1.2484888499999999E-2</v>
      </c>
      <c r="F2">
        <v>0</v>
      </c>
      <c r="G2">
        <v>0</v>
      </c>
      <c r="H2">
        <v>1.2795740700000001E-2</v>
      </c>
      <c r="I2">
        <v>0</v>
      </c>
      <c r="J2">
        <v>0</v>
      </c>
      <c r="K2">
        <v>1.31937E-3</v>
      </c>
      <c r="L2">
        <v>2.6599999200000002E-2</v>
      </c>
    </row>
    <row r="3" spans="1:12" ht="15" customHeight="1" x14ac:dyDescent="0.15">
      <c r="A3">
        <v>2</v>
      </c>
      <c r="B3" s="18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ht="15" customHeight="1" x14ac:dyDescent="0.15">
      <c r="A4">
        <v>3</v>
      </c>
      <c r="B4" s="188" t="s">
        <v>194</v>
      </c>
      <c r="C4">
        <v>0</v>
      </c>
      <c r="D4">
        <v>0</v>
      </c>
      <c r="E4">
        <v>8.3333300000000001E-4</v>
      </c>
      <c r="F4">
        <v>0</v>
      </c>
      <c r="G4">
        <v>0</v>
      </c>
      <c r="H4">
        <v>8.3333300000000001E-4</v>
      </c>
      <c r="I4">
        <v>0</v>
      </c>
      <c r="J4">
        <v>0</v>
      </c>
      <c r="K4">
        <v>8.3333300000000001E-4</v>
      </c>
      <c r="L4">
        <v>2.4999990000000001E-3</v>
      </c>
    </row>
    <row r="5" spans="1:12" ht="15" customHeight="1" x14ac:dyDescent="0.15">
      <c r="A5">
        <v>4</v>
      </c>
      <c r="B5" s="188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ht="15" customHeight="1" x14ac:dyDescent="0.15">
      <c r="A6">
        <v>5</v>
      </c>
      <c r="B6" s="188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ht="15" customHeight="1" x14ac:dyDescent="0.15">
      <c r="A7">
        <v>6</v>
      </c>
      <c r="B7" s="188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ht="15" customHeight="1" x14ac:dyDescent="0.15">
      <c r="A8">
        <v>7</v>
      </c>
      <c r="B8" s="188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 ht="15" customHeight="1" x14ac:dyDescent="0.15">
      <c r="A9">
        <v>8</v>
      </c>
      <c r="B9" s="18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1.2800000000000001E-2</v>
      </c>
      <c r="I9">
        <v>0</v>
      </c>
      <c r="J9">
        <v>0</v>
      </c>
      <c r="K9">
        <v>0</v>
      </c>
      <c r="L9">
        <v>1.2800000000000001E-2</v>
      </c>
    </row>
    <row r="10" spans="1:12" ht="15" customHeight="1" x14ac:dyDescent="0.15">
      <c r="A10">
        <v>9</v>
      </c>
      <c r="B10" s="188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ht="15" customHeight="1" x14ac:dyDescent="0.15">
      <c r="A11">
        <v>10</v>
      </c>
      <c r="B11" s="188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ht="15" customHeight="1" x14ac:dyDescent="0.15">
      <c r="A12">
        <v>11</v>
      </c>
      <c r="B12" s="188" t="s">
        <v>202</v>
      </c>
      <c r="C12">
        <v>0</v>
      </c>
      <c r="D12">
        <v>0</v>
      </c>
      <c r="E12">
        <v>5.3640809999999997E-3</v>
      </c>
      <c r="F12">
        <v>9.4506E-3</v>
      </c>
      <c r="G12">
        <v>0</v>
      </c>
      <c r="H12">
        <v>3.293729E-3</v>
      </c>
      <c r="I12">
        <v>3.4817999999999998E-5</v>
      </c>
      <c r="J12">
        <v>0</v>
      </c>
      <c r="K12">
        <v>1.21901E-5</v>
      </c>
      <c r="L12">
        <v>1.8155418099999997E-2</v>
      </c>
    </row>
    <row r="13" spans="1:12" ht="15" customHeight="1" x14ac:dyDescent="0.15">
      <c r="A13">
        <v>12</v>
      </c>
      <c r="B13" s="188" t="s">
        <v>203</v>
      </c>
      <c r="C13">
        <v>0</v>
      </c>
      <c r="D13">
        <v>0</v>
      </c>
      <c r="E13">
        <v>8.1631300000000004E-4</v>
      </c>
      <c r="F13">
        <v>0</v>
      </c>
      <c r="G13">
        <v>0</v>
      </c>
      <c r="H13">
        <v>1.8636869999999999E-3</v>
      </c>
      <c r="I13">
        <v>0</v>
      </c>
      <c r="J13">
        <v>0</v>
      </c>
      <c r="K13">
        <v>0</v>
      </c>
      <c r="L13">
        <v>2.6800000000000001E-3</v>
      </c>
    </row>
    <row r="14" spans="1:12" ht="15" customHeight="1" x14ac:dyDescent="0.15">
      <c r="A14">
        <v>13</v>
      </c>
      <c r="B14" s="188" t="s">
        <v>204</v>
      </c>
      <c r="C14">
        <v>1.75526E-3</v>
      </c>
      <c r="D14">
        <v>0</v>
      </c>
      <c r="E14">
        <v>8.0510100000000002E-4</v>
      </c>
      <c r="F14">
        <v>1.38474E-3</v>
      </c>
      <c r="G14">
        <v>0</v>
      </c>
      <c r="H14">
        <v>6.3489899999999997E-4</v>
      </c>
      <c r="I14">
        <v>0</v>
      </c>
      <c r="J14">
        <v>0</v>
      </c>
      <c r="K14">
        <v>0</v>
      </c>
      <c r="L14">
        <v>4.5800000000000007E-3</v>
      </c>
    </row>
    <row r="15" spans="1:12" ht="15" customHeight="1" x14ac:dyDescent="0.15">
      <c r="A15">
        <v>14</v>
      </c>
      <c r="B15" s="188" t="s">
        <v>205</v>
      </c>
      <c r="C15">
        <v>0</v>
      </c>
      <c r="D15">
        <v>0</v>
      </c>
      <c r="E15">
        <v>1.2109880000000001E-3</v>
      </c>
      <c r="F15">
        <v>0</v>
      </c>
      <c r="G15">
        <v>0</v>
      </c>
      <c r="H15">
        <v>4.2873299999999999E-4</v>
      </c>
      <c r="I15">
        <v>0</v>
      </c>
      <c r="J15">
        <v>0</v>
      </c>
      <c r="K15">
        <v>3.0278999999999999E-5</v>
      </c>
      <c r="L15">
        <v>1.67E-3</v>
      </c>
    </row>
    <row r="16" spans="1:12" ht="15" customHeight="1" x14ac:dyDescent="0.15">
      <c r="A16">
        <v>15</v>
      </c>
      <c r="B16" s="188" t="s">
        <v>206</v>
      </c>
      <c r="C16">
        <v>0</v>
      </c>
      <c r="D16">
        <v>0</v>
      </c>
      <c r="E16">
        <v>9.1033100000000001E-5</v>
      </c>
      <c r="F16">
        <v>0</v>
      </c>
      <c r="G16">
        <v>0</v>
      </c>
      <c r="H16">
        <v>6.8698999999999995E-4</v>
      </c>
      <c r="I16">
        <v>0</v>
      </c>
      <c r="J16">
        <v>0</v>
      </c>
      <c r="K16">
        <v>4.51977E-4</v>
      </c>
      <c r="L16">
        <v>1.2300000999999998E-3</v>
      </c>
    </row>
    <row r="17" spans="1:12" ht="15" customHeight="1" x14ac:dyDescent="0.15">
      <c r="A17">
        <v>16</v>
      </c>
      <c r="B17" s="188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3.2099999999999998E-7</v>
      </c>
      <c r="I17">
        <v>0</v>
      </c>
      <c r="J17">
        <v>0</v>
      </c>
      <c r="K17">
        <v>0</v>
      </c>
      <c r="L17">
        <v>3.2099999999999998E-7</v>
      </c>
    </row>
    <row r="18" spans="1:12" ht="15" customHeight="1" x14ac:dyDescent="0.15">
      <c r="A18">
        <v>17</v>
      </c>
      <c r="B18" s="188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 ht="15" customHeight="1" x14ac:dyDescent="0.15">
      <c r="A19">
        <v>18</v>
      </c>
      <c r="B19" s="188" t="s">
        <v>209</v>
      </c>
      <c r="C19">
        <v>0</v>
      </c>
      <c r="D19">
        <v>0</v>
      </c>
      <c r="E19">
        <v>3.6666670000000002E-3</v>
      </c>
      <c r="F19">
        <v>0</v>
      </c>
      <c r="G19">
        <v>0</v>
      </c>
      <c r="H19">
        <v>3.6666670000000002E-3</v>
      </c>
      <c r="I19">
        <v>0</v>
      </c>
      <c r="J19">
        <v>0</v>
      </c>
      <c r="K19">
        <v>3.6666670000000002E-3</v>
      </c>
      <c r="L19">
        <v>1.1000001000000001E-2</v>
      </c>
    </row>
    <row r="20" spans="1:12" ht="15" customHeight="1" x14ac:dyDescent="0.15">
      <c r="A20">
        <v>19</v>
      </c>
      <c r="B20" s="188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ht="15" customHeight="1" x14ac:dyDescent="0.15">
      <c r="A21">
        <v>20</v>
      </c>
      <c r="B21" s="188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ht="15" customHeight="1" x14ac:dyDescent="0.15">
      <c r="A22">
        <v>21</v>
      </c>
      <c r="B22" s="188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2.70157E-5</v>
      </c>
      <c r="I22">
        <v>0</v>
      </c>
      <c r="J22">
        <v>0</v>
      </c>
      <c r="K22">
        <v>1.05843E-5</v>
      </c>
      <c r="L22">
        <v>3.7599999999999999E-5</v>
      </c>
    </row>
    <row r="23" spans="1:12" ht="15" customHeight="1" x14ac:dyDescent="0.15">
      <c r="A23">
        <v>22</v>
      </c>
      <c r="B23" s="188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ht="15" customHeight="1" x14ac:dyDescent="0.15">
      <c r="A24">
        <v>23</v>
      </c>
      <c r="B24" s="188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ht="15" customHeight="1" x14ac:dyDescent="0.15">
      <c r="A25">
        <v>24</v>
      </c>
      <c r="B25" s="188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3.84E-7</v>
      </c>
      <c r="I25">
        <v>0</v>
      </c>
      <c r="J25">
        <v>0</v>
      </c>
      <c r="K25">
        <v>0</v>
      </c>
      <c r="L25">
        <v>3.84E-7</v>
      </c>
    </row>
    <row r="26" spans="1:12" ht="15" customHeight="1" x14ac:dyDescent="0.15">
      <c r="A26">
        <v>25</v>
      </c>
      <c r="B26" s="188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ht="15" customHeight="1" x14ac:dyDescent="0.15">
      <c r="A27">
        <v>26</v>
      </c>
      <c r="B27" s="18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ht="15" customHeight="1" x14ac:dyDescent="0.15">
      <c r="A28">
        <v>27</v>
      </c>
      <c r="B28" s="188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ht="15" customHeight="1" x14ac:dyDescent="0.15">
      <c r="A29">
        <v>28</v>
      </c>
      <c r="B29" s="188" t="s">
        <v>219</v>
      </c>
      <c r="C29">
        <v>0.11858</v>
      </c>
      <c r="D29">
        <v>0.11858</v>
      </c>
      <c r="E29">
        <v>0</v>
      </c>
      <c r="F29">
        <v>1.8648000000000001E-2</v>
      </c>
      <c r="G29">
        <v>1.8656065699999998E-2</v>
      </c>
      <c r="H29">
        <v>0</v>
      </c>
      <c r="I29">
        <v>2.8140000000000001E-3</v>
      </c>
      <c r="J29">
        <v>2.819593E-3</v>
      </c>
      <c r="K29">
        <v>0</v>
      </c>
      <c r="L29">
        <v>0.28009765870000003</v>
      </c>
    </row>
    <row r="30" spans="1:12" ht="15" customHeight="1" x14ac:dyDescent="0.15">
      <c r="A30">
        <v>29</v>
      </c>
      <c r="B30" s="188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6.6964399999999995E-4</v>
      </c>
      <c r="I30">
        <v>0</v>
      </c>
      <c r="J30">
        <v>0</v>
      </c>
      <c r="K30">
        <v>2.6235599999999999E-4</v>
      </c>
      <c r="L30">
        <v>9.3199999999999989E-4</v>
      </c>
    </row>
    <row r="31" spans="1:12" ht="15" customHeight="1" x14ac:dyDescent="0.15">
      <c r="A31">
        <v>30</v>
      </c>
      <c r="B31" s="188" t="s">
        <v>221</v>
      </c>
      <c r="C31">
        <v>5.9290000000000002E-2</v>
      </c>
      <c r="D31">
        <v>5.9290000000000002E-2</v>
      </c>
      <c r="E31">
        <v>0</v>
      </c>
      <c r="F31">
        <v>9.3240000000000007E-3</v>
      </c>
      <c r="G31">
        <v>9.3280329999999995E-3</v>
      </c>
      <c r="H31">
        <v>0</v>
      </c>
      <c r="I31">
        <v>1.407E-3</v>
      </c>
      <c r="J31">
        <v>1.409797E-3</v>
      </c>
      <c r="K31">
        <v>0</v>
      </c>
      <c r="L31">
        <v>0.14004883000000001</v>
      </c>
    </row>
    <row r="32" spans="1:12" ht="15" customHeight="1" x14ac:dyDescent="0.15">
      <c r="A32">
        <v>31</v>
      </c>
      <c r="B32" s="188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ht="15" customHeight="1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ht="15" customHeight="1" x14ac:dyDescent="0.15">
      <c r="A34">
        <v>33</v>
      </c>
      <c r="B34" s="188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ht="15" customHeight="1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ht="15" customHeight="1" x14ac:dyDescent="0.15">
      <c r="A36">
        <v>35</v>
      </c>
      <c r="B36" s="188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 ht="15" customHeight="1" x14ac:dyDescent="0.15"/>
    <row r="38" spans="1:12" ht="15" customHeight="1" x14ac:dyDescent="0.15"/>
    <row r="39" spans="1:12" ht="15" customHeight="1" x14ac:dyDescent="0.15"/>
    <row r="40" spans="1:12" ht="15" customHeight="1" x14ac:dyDescent="0.15"/>
    <row r="41" spans="1:12" ht="15" customHeight="1" x14ac:dyDescent="0.15"/>
    <row r="42" spans="1:12" ht="15" customHeight="1" x14ac:dyDescent="0.15"/>
    <row r="43" spans="1:12" ht="15" customHeight="1" x14ac:dyDescent="0.15"/>
    <row r="44" spans="1:12" ht="15" customHeight="1" x14ac:dyDescent="0.15"/>
    <row r="45" spans="1:12" ht="15" customHeight="1" x14ac:dyDescent="0.15"/>
    <row r="46" spans="1:12" ht="15" customHeight="1" x14ac:dyDescent="0.15"/>
    <row r="47" spans="1:12" ht="15" customHeight="1" x14ac:dyDescent="0.15"/>
    <row r="48" spans="1:12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L3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8" bestFit="1" customWidth="1"/>
    <col min="3" max="3" width="12.83203125" bestFit="1" customWidth="1"/>
    <col min="4" max="4" width="11.83203125" bestFit="1" customWidth="1"/>
    <col min="5" max="5" width="11.5" bestFit="1" customWidth="1"/>
    <col min="6" max="6" width="12.83203125" customWidth="1"/>
    <col min="7" max="7" width="11.83203125" customWidth="1"/>
    <col min="8" max="8" width="11.5" customWidth="1"/>
    <col min="9" max="9" width="12.83203125" customWidth="1"/>
    <col min="10" max="10" width="11.83203125" customWidth="1"/>
    <col min="11" max="11" width="11.5" customWidth="1"/>
    <col min="12" max="12" width="12.83203125" customWidth="1"/>
  </cols>
  <sheetData>
    <row r="1" spans="1:12" s="115" customFormat="1" ht="112" x14ac:dyDescent="0.15">
      <c r="A1" s="5" t="s">
        <v>22</v>
      </c>
      <c r="B1" s="3" t="s">
        <v>0</v>
      </c>
      <c r="C1" s="191" t="s">
        <v>227</v>
      </c>
      <c r="D1" s="191" t="s">
        <v>228</v>
      </c>
      <c r="E1" s="191" t="s">
        <v>229</v>
      </c>
      <c r="F1" s="191" t="s">
        <v>230</v>
      </c>
      <c r="G1" s="191" t="s">
        <v>231</v>
      </c>
      <c r="H1" s="191" t="s">
        <v>232</v>
      </c>
      <c r="I1" s="191" t="s">
        <v>233</v>
      </c>
      <c r="J1" s="191" t="s">
        <v>234</v>
      </c>
      <c r="K1" s="191" t="s">
        <v>235</v>
      </c>
      <c r="L1" s="191" t="s">
        <v>239</v>
      </c>
    </row>
    <row r="2" spans="1:12" x14ac:dyDescent="0.15">
      <c r="A2">
        <v>1</v>
      </c>
      <c r="B2" s="190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15">
      <c r="A3">
        <v>2</v>
      </c>
      <c r="B3" s="190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15">
      <c r="A4">
        <v>3</v>
      </c>
      <c r="B4" s="190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90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15">
      <c r="A6">
        <v>5</v>
      </c>
      <c r="B6" s="190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x14ac:dyDescent="0.15">
      <c r="A7">
        <v>6</v>
      </c>
      <c r="B7" s="190" t="s">
        <v>197</v>
      </c>
      <c r="C7">
        <v>0</v>
      </c>
      <c r="D7">
        <v>3.9309800000000001E-5</v>
      </c>
      <c r="E7">
        <v>3.9309800000000001E-5</v>
      </c>
      <c r="F7">
        <v>3.2965600000000002E-5</v>
      </c>
      <c r="G7">
        <v>3.9309800000000001E-5</v>
      </c>
      <c r="H7">
        <v>3.9309800000000001E-5</v>
      </c>
      <c r="I7">
        <v>0</v>
      </c>
      <c r="J7">
        <v>3.9309800000000001E-5</v>
      </c>
      <c r="K7">
        <v>3.9309800000000001E-5</v>
      </c>
      <c r="L7">
        <v>2.6882440000000005E-4</v>
      </c>
    </row>
    <row r="8" spans="1:12" x14ac:dyDescent="0.15">
      <c r="A8">
        <v>7</v>
      </c>
      <c r="B8" s="190" t="s">
        <v>198</v>
      </c>
      <c r="C8">
        <v>5.4768500000000001E-4</v>
      </c>
      <c r="D8">
        <v>0</v>
      </c>
      <c r="E8">
        <v>0</v>
      </c>
      <c r="F8">
        <v>1.50051E-4</v>
      </c>
      <c r="G8">
        <v>0</v>
      </c>
      <c r="H8">
        <v>0</v>
      </c>
      <c r="I8">
        <v>3.0010199999999999E-5</v>
      </c>
      <c r="J8">
        <v>0</v>
      </c>
      <c r="K8">
        <v>0</v>
      </c>
      <c r="L8">
        <v>7.2774619999999999E-4</v>
      </c>
    </row>
    <row r="9" spans="1:12" x14ac:dyDescent="0.15">
      <c r="A9">
        <v>8</v>
      </c>
      <c r="B9" s="190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 x14ac:dyDescent="0.15">
      <c r="A10">
        <v>9</v>
      </c>
      <c r="B10" s="190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15">
      <c r="A11">
        <v>10</v>
      </c>
      <c r="B11" s="190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15">
      <c r="A12">
        <v>11</v>
      </c>
      <c r="B12" s="190" t="s">
        <v>202</v>
      </c>
      <c r="C12">
        <v>1.2747207700000001E-2</v>
      </c>
      <c r="D12">
        <v>9.4875000000000005E-4</v>
      </c>
      <c r="E12">
        <v>0</v>
      </c>
      <c r="F12">
        <v>3.4923860000000001E-3</v>
      </c>
      <c r="G12">
        <v>9.4875000000000005E-4</v>
      </c>
      <c r="H12">
        <v>0</v>
      </c>
      <c r="I12">
        <v>6.9847699999999997E-4</v>
      </c>
      <c r="J12">
        <v>8.6249999999999999E-4</v>
      </c>
      <c r="K12">
        <v>0</v>
      </c>
      <c r="L12">
        <v>1.96980707E-2</v>
      </c>
    </row>
    <row r="13" spans="1:12" x14ac:dyDescent="0.15">
      <c r="A13">
        <v>12</v>
      </c>
      <c r="B13" s="190" t="s">
        <v>203</v>
      </c>
      <c r="C13">
        <v>1.02274111E-2</v>
      </c>
      <c r="D13">
        <v>0</v>
      </c>
      <c r="E13">
        <v>0</v>
      </c>
      <c r="F13">
        <v>2.8020300000000001E-3</v>
      </c>
      <c r="G13">
        <v>0</v>
      </c>
      <c r="H13">
        <v>0</v>
      </c>
      <c r="I13">
        <v>5.6040599999999995E-4</v>
      </c>
      <c r="J13">
        <v>0</v>
      </c>
      <c r="K13">
        <v>0</v>
      </c>
      <c r="L13">
        <v>1.35898471E-2</v>
      </c>
    </row>
    <row r="14" spans="1:12" x14ac:dyDescent="0.15">
      <c r="A14">
        <v>13</v>
      </c>
      <c r="B14" s="190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 x14ac:dyDescent="0.15">
      <c r="A15">
        <v>14</v>
      </c>
      <c r="B15" s="190" t="s">
        <v>205</v>
      </c>
      <c r="C15">
        <v>6.1290353499999999E-2</v>
      </c>
      <c r="D15">
        <v>0</v>
      </c>
      <c r="E15">
        <v>0</v>
      </c>
      <c r="F15">
        <v>1.67918783E-2</v>
      </c>
      <c r="G15">
        <v>0</v>
      </c>
      <c r="H15">
        <v>0</v>
      </c>
      <c r="I15">
        <v>3.3583760000000002E-3</v>
      </c>
      <c r="J15">
        <v>0</v>
      </c>
      <c r="K15">
        <v>0</v>
      </c>
      <c r="L15">
        <v>8.1440607799999995E-2</v>
      </c>
    </row>
    <row r="16" spans="1:12" x14ac:dyDescent="0.15">
      <c r="A16">
        <v>15</v>
      </c>
      <c r="B16" s="190" t="s">
        <v>206</v>
      </c>
      <c r="C16">
        <v>0.18379695700000001</v>
      </c>
      <c r="D16">
        <v>2.3684380000000001E-3</v>
      </c>
      <c r="E16">
        <v>0</v>
      </c>
      <c r="F16">
        <v>5.0355329999999997E-2</v>
      </c>
      <c r="G16">
        <v>2.3684380000000001E-3</v>
      </c>
      <c r="H16">
        <v>0</v>
      </c>
      <c r="I16">
        <v>1.0071066199999999E-2</v>
      </c>
      <c r="J16">
        <v>2.1531250000000001E-3</v>
      </c>
      <c r="K16">
        <v>0</v>
      </c>
      <c r="L16">
        <v>0.25111335420000003</v>
      </c>
    </row>
    <row r="17" spans="1:12" x14ac:dyDescent="0.15">
      <c r="A17">
        <v>16</v>
      </c>
      <c r="B17" s="190" t="s">
        <v>207</v>
      </c>
      <c r="C17">
        <v>7.6335029999999998E-2</v>
      </c>
      <c r="D17">
        <v>3.7812499999999999E-3</v>
      </c>
      <c r="E17">
        <v>0</v>
      </c>
      <c r="F17">
        <v>2.09137052E-2</v>
      </c>
      <c r="G17">
        <v>3.7812499999999999E-3</v>
      </c>
      <c r="H17">
        <v>0</v>
      </c>
      <c r="I17">
        <v>4.1827410000000002E-3</v>
      </c>
      <c r="J17">
        <v>3.4375E-3</v>
      </c>
      <c r="K17">
        <v>0</v>
      </c>
      <c r="L17">
        <v>0.11243147620000001</v>
      </c>
    </row>
    <row r="18" spans="1:12" x14ac:dyDescent="0.15">
      <c r="A18">
        <v>17</v>
      </c>
      <c r="B18" s="190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 x14ac:dyDescent="0.15">
      <c r="A19">
        <v>18</v>
      </c>
      <c r="B19" s="190" t="s">
        <v>209</v>
      </c>
      <c r="C19">
        <v>1.022741E-3</v>
      </c>
      <c r="D19">
        <v>0</v>
      </c>
      <c r="E19">
        <v>0</v>
      </c>
      <c r="F19">
        <v>2.8020299999999997E-4</v>
      </c>
      <c r="G19">
        <v>0</v>
      </c>
      <c r="H19">
        <v>0</v>
      </c>
      <c r="I19">
        <v>5.60406E-5</v>
      </c>
      <c r="J19">
        <v>0</v>
      </c>
      <c r="K19">
        <v>0</v>
      </c>
      <c r="L19">
        <v>1.3589845999999999E-3</v>
      </c>
    </row>
    <row r="20" spans="1:12" x14ac:dyDescent="0.15">
      <c r="A20">
        <v>19</v>
      </c>
      <c r="B20" s="190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15">
      <c r="A21">
        <v>20</v>
      </c>
      <c r="B21" s="190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15">
      <c r="A22">
        <v>21</v>
      </c>
      <c r="B22" s="190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15">
      <c r="A23">
        <v>22</v>
      </c>
      <c r="B23" s="190" t="s">
        <v>213</v>
      </c>
      <c r="C23">
        <v>6.6404060000000001E-2</v>
      </c>
      <c r="D23">
        <v>0</v>
      </c>
      <c r="E23">
        <v>0</v>
      </c>
      <c r="F23">
        <v>1.81928929E-2</v>
      </c>
      <c r="G23">
        <v>0</v>
      </c>
      <c r="H23">
        <v>0</v>
      </c>
      <c r="I23">
        <v>3.6385789999999999E-3</v>
      </c>
      <c r="J23">
        <v>0</v>
      </c>
      <c r="K23">
        <v>0</v>
      </c>
      <c r="L23">
        <v>8.8235531899999997E-2</v>
      </c>
    </row>
    <row r="24" spans="1:12" x14ac:dyDescent="0.15">
      <c r="A24">
        <v>23</v>
      </c>
      <c r="B24" s="190" t="s">
        <v>214</v>
      </c>
      <c r="C24">
        <v>2.54944153E-2</v>
      </c>
      <c r="D24">
        <v>0</v>
      </c>
      <c r="E24">
        <v>0</v>
      </c>
      <c r="F24">
        <v>6.9847720000000002E-3</v>
      </c>
      <c r="G24">
        <v>0</v>
      </c>
      <c r="H24">
        <v>0</v>
      </c>
      <c r="I24">
        <v>1.3969539999999999E-3</v>
      </c>
      <c r="J24">
        <v>0</v>
      </c>
      <c r="K24">
        <v>0</v>
      </c>
      <c r="L24">
        <v>3.3876141300000003E-2</v>
      </c>
    </row>
    <row r="25" spans="1:12" x14ac:dyDescent="0.15">
      <c r="A25">
        <v>24</v>
      </c>
      <c r="B25" s="190" t="s">
        <v>215</v>
      </c>
      <c r="C25">
        <v>8.6710659999999995E-2</v>
      </c>
      <c r="D25">
        <v>4.2624999999999998E-3</v>
      </c>
      <c r="E25">
        <v>0</v>
      </c>
      <c r="F25">
        <v>2.3756345700000001E-2</v>
      </c>
      <c r="G25">
        <v>4.2624999999999998E-3</v>
      </c>
      <c r="H25">
        <v>0</v>
      </c>
      <c r="I25">
        <v>4.7512689999999998E-3</v>
      </c>
      <c r="J25">
        <v>3.875E-3</v>
      </c>
      <c r="K25">
        <v>0</v>
      </c>
      <c r="L25">
        <v>0.12761827470000001</v>
      </c>
    </row>
    <row r="26" spans="1:12" x14ac:dyDescent="0.15">
      <c r="A26">
        <v>25</v>
      </c>
      <c r="B26" s="19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x14ac:dyDescent="0.15">
      <c r="A27">
        <v>26</v>
      </c>
      <c r="B27" s="190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x14ac:dyDescent="0.15">
      <c r="A28">
        <v>27</v>
      </c>
      <c r="B28" s="190" t="s">
        <v>218</v>
      </c>
      <c r="C28">
        <v>1.2747207700000001E-2</v>
      </c>
      <c r="D28">
        <v>0</v>
      </c>
      <c r="E28">
        <v>0</v>
      </c>
      <c r="F28">
        <v>3.4923860000000001E-3</v>
      </c>
      <c r="G28">
        <v>0</v>
      </c>
      <c r="H28">
        <v>0</v>
      </c>
      <c r="I28">
        <v>6.9847699999999997E-4</v>
      </c>
      <c r="J28">
        <v>0</v>
      </c>
      <c r="K28">
        <v>0</v>
      </c>
      <c r="L28">
        <v>1.6938070699999998E-2</v>
      </c>
    </row>
    <row r="29" spans="1:12" x14ac:dyDescent="0.15">
      <c r="A29">
        <v>28</v>
      </c>
      <c r="B29" s="19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1:12" x14ac:dyDescent="0.15">
      <c r="A30">
        <v>29</v>
      </c>
      <c r="B30" s="190" t="s">
        <v>220</v>
      </c>
      <c r="C30">
        <v>0.1326599</v>
      </c>
      <c r="D30">
        <v>0</v>
      </c>
      <c r="E30">
        <v>0</v>
      </c>
      <c r="F30">
        <v>3.6345176399999998E-2</v>
      </c>
      <c r="G30">
        <v>0</v>
      </c>
      <c r="H30">
        <v>0</v>
      </c>
      <c r="I30">
        <v>7.2690360000000004E-3</v>
      </c>
      <c r="J30">
        <v>0</v>
      </c>
      <c r="K30">
        <v>0</v>
      </c>
      <c r="L30">
        <v>0.17627411240000002</v>
      </c>
    </row>
    <row r="31" spans="1:12" x14ac:dyDescent="0.15">
      <c r="A31">
        <v>30</v>
      </c>
      <c r="B31" s="190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1:12" x14ac:dyDescent="0.15">
      <c r="A32">
        <v>31</v>
      </c>
      <c r="B32" s="190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15">
      <c r="A33">
        <v>32</v>
      </c>
      <c r="B33" s="190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15">
      <c r="A34">
        <v>33</v>
      </c>
      <c r="B34" s="190" t="s">
        <v>224</v>
      </c>
      <c r="C34">
        <v>2.0454819999999999E-3</v>
      </c>
      <c r="D34">
        <v>0</v>
      </c>
      <c r="E34">
        <v>0</v>
      </c>
      <c r="F34">
        <v>5.6040599999999995E-4</v>
      </c>
      <c r="G34">
        <v>0</v>
      </c>
      <c r="H34">
        <v>0</v>
      </c>
      <c r="I34">
        <v>1.12081E-4</v>
      </c>
      <c r="J34">
        <v>0</v>
      </c>
      <c r="K34">
        <v>0</v>
      </c>
      <c r="L34">
        <v>2.7179689999999998E-3</v>
      </c>
    </row>
    <row r="35" spans="1:12" x14ac:dyDescent="0.15">
      <c r="A35">
        <v>34</v>
      </c>
      <c r="B35" s="19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x14ac:dyDescent="0.15">
      <c r="A36">
        <v>35</v>
      </c>
      <c r="B36" s="190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8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92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92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92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92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92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92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92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92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92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92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92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92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92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92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92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92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92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92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92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92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92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92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92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92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92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92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92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92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92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92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92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92" t="s">
        <v>223</v>
      </c>
      <c r="F33">
        <v>0.98</v>
      </c>
      <c r="G33">
        <v>0.8</v>
      </c>
      <c r="H33">
        <v>0.8</v>
      </c>
      <c r="I33">
        <v>0</v>
      </c>
      <c r="J33" s="114">
        <v>0</v>
      </c>
      <c r="K33" s="114">
        <v>0</v>
      </c>
      <c r="Y33"/>
      <c r="AC33"/>
      <c r="AG33"/>
    </row>
    <row r="34" spans="4:33" ht="15" customHeight="1" x14ac:dyDescent="0.15">
      <c r="D34">
        <v>33</v>
      </c>
      <c r="E34" s="192" t="s">
        <v>224</v>
      </c>
      <c r="F34">
        <v>0.98</v>
      </c>
      <c r="G34">
        <v>0.8</v>
      </c>
      <c r="H34">
        <v>0.8</v>
      </c>
      <c r="I34">
        <v>0</v>
      </c>
      <c r="J34" s="114">
        <v>0</v>
      </c>
      <c r="K34" s="114">
        <v>0</v>
      </c>
      <c r="Y34"/>
      <c r="AC34"/>
      <c r="AG34"/>
    </row>
    <row r="35" spans="4:33" ht="15" customHeight="1" x14ac:dyDescent="0.15">
      <c r="D35">
        <v>34</v>
      </c>
      <c r="E35" s="192" t="s">
        <v>225</v>
      </c>
      <c r="F35">
        <v>0.98</v>
      </c>
      <c r="G35">
        <v>0.8</v>
      </c>
      <c r="H35">
        <v>0</v>
      </c>
      <c r="I35">
        <v>0</v>
      </c>
      <c r="J35" s="114">
        <v>0</v>
      </c>
      <c r="K35" s="114">
        <v>0</v>
      </c>
      <c r="Y35"/>
      <c r="AC35"/>
      <c r="AG35"/>
    </row>
    <row r="36" spans="4:33" ht="15" customHeight="1" x14ac:dyDescent="0.15">
      <c r="D36">
        <v>35</v>
      </c>
      <c r="E36" s="192" t="s">
        <v>226</v>
      </c>
      <c r="F36">
        <v>0.98</v>
      </c>
      <c r="G36">
        <v>0.8</v>
      </c>
      <c r="H36">
        <v>0</v>
      </c>
      <c r="I36">
        <v>0</v>
      </c>
      <c r="J36" s="114">
        <v>0</v>
      </c>
      <c r="K36" s="114">
        <v>0</v>
      </c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J37"/>
  <sheetViews>
    <sheetView workbookViewId="0">
      <selection activeCell="A3" sqref="A3"/>
    </sheetView>
  </sheetViews>
  <sheetFormatPr baseColWidth="10" defaultRowHeight="13" x14ac:dyDescent="0.15"/>
  <cols>
    <col min="1" max="1" width="38" style="112" bestFit="1" customWidth="1"/>
    <col min="2" max="32" width="3.83203125" style="112" customWidth="1"/>
    <col min="33" max="36" width="2.33203125" style="112" customWidth="1"/>
    <col min="37" max="16384" width="10.83203125" style="112"/>
  </cols>
  <sheetData>
    <row r="1" spans="1:36" x14ac:dyDescent="0.15">
      <c r="A1" s="63" t="s">
        <v>118</v>
      </c>
      <c r="B1" s="194" t="s">
        <v>192</v>
      </c>
      <c r="C1" s="194" t="s">
        <v>193</v>
      </c>
      <c r="D1" s="194" t="s">
        <v>194</v>
      </c>
      <c r="E1" s="194" t="s">
        <v>195</v>
      </c>
      <c r="F1" s="194" t="s">
        <v>196</v>
      </c>
      <c r="G1" s="194" t="s">
        <v>197</v>
      </c>
      <c r="H1" s="194" t="s">
        <v>198</v>
      </c>
      <c r="I1" s="194" t="s">
        <v>199</v>
      </c>
      <c r="J1" s="194" t="s">
        <v>200</v>
      </c>
      <c r="K1" s="194" t="s">
        <v>201</v>
      </c>
      <c r="L1" s="194" t="s">
        <v>202</v>
      </c>
      <c r="M1" s="194" t="s">
        <v>203</v>
      </c>
      <c r="N1" s="194" t="s">
        <v>204</v>
      </c>
      <c r="O1" s="194" t="s">
        <v>205</v>
      </c>
      <c r="P1" s="194" t="s">
        <v>206</v>
      </c>
      <c r="Q1" s="194" t="s">
        <v>207</v>
      </c>
      <c r="R1" s="194" t="s">
        <v>208</v>
      </c>
      <c r="S1" s="194" t="s">
        <v>209</v>
      </c>
      <c r="T1" s="194" t="s">
        <v>210</v>
      </c>
      <c r="U1" s="194" t="s">
        <v>211</v>
      </c>
      <c r="V1" s="194" t="s">
        <v>212</v>
      </c>
      <c r="W1" s="194" t="s">
        <v>213</v>
      </c>
      <c r="X1" s="194" t="s">
        <v>214</v>
      </c>
      <c r="Y1" s="194" t="s">
        <v>215</v>
      </c>
      <c r="Z1" s="194" t="s">
        <v>216</v>
      </c>
      <c r="AA1" s="194" t="s">
        <v>217</v>
      </c>
      <c r="AB1" s="194" t="s">
        <v>218</v>
      </c>
      <c r="AC1" s="194" t="s">
        <v>219</v>
      </c>
      <c r="AD1" s="194" t="s">
        <v>220</v>
      </c>
      <c r="AE1" s="194" t="s">
        <v>221</v>
      </c>
      <c r="AF1" s="194" t="s">
        <v>222</v>
      </c>
      <c r="AG1" s="194" t="s">
        <v>223</v>
      </c>
      <c r="AH1" s="194" t="s">
        <v>224</v>
      </c>
      <c r="AI1" s="194" t="s">
        <v>225</v>
      </c>
      <c r="AJ1" s="194" t="s">
        <v>226</v>
      </c>
    </row>
    <row r="2" spans="1:36" customFormat="1" x14ac:dyDescent="0.15">
      <c r="A2" s="193" t="s">
        <v>192</v>
      </c>
      <c r="B2" s="112">
        <v>0.8</v>
      </c>
      <c r="C2" s="112">
        <v>0.8</v>
      </c>
      <c r="D2" s="112">
        <v>0</v>
      </c>
      <c r="E2" s="112">
        <v>0.8</v>
      </c>
      <c r="F2" s="112">
        <v>0.8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</row>
    <row r="3" spans="1:36" customFormat="1" x14ac:dyDescent="0.15">
      <c r="A3" s="193" t="s">
        <v>193</v>
      </c>
      <c r="B3" s="112">
        <v>0.8</v>
      </c>
      <c r="C3" s="112">
        <v>0</v>
      </c>
      <c r="D3" s="112">
        <v>0</v>
      </c>
      <c r="E3" s="112">
        <v>0</v>
      </c>
      <c r="F3" s="112">
        <v>0.8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</row>
    <row r="4" spans="1:36" customFormat="1" x14ac:dyDescent="0.15">
      <c r="A4" s="193" t="s">
        <v>194</v>
      </c>
      <c r="B4" s="112">
        <v>0.8</v>
      </c>
      <c r="C4" s="112">
        <v>0.8</v>
      </c>
      <c r="D4" s="112">
        <v>0</v>
      </c>
      <c r="E4" s="112">
        <v>0</v>
      </c>
      <c r="F4" s="112">
        <v>0.8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0.8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</row>
    <row r="5" spans="1:36" customFormat="1" x14ac:dyDescent="0.15">
      <c r="A5" s="193" t="s">
        <v>195</v>
      </c>
      <c r="B5" s="112">
        <v>0.8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</row>
    <row r="6" spans="1:36" customFormat="1" x14ac:dyDescent="0.15">
      <c r="A6" s="193" t="s">
        <v>196</v>
      </c>
      <c r="B6" s="112">
        <v>0.8</v>
      </c>
      <c r="C6" s="112">
        <v>0</v>
      </c>
      <c r="D6" s="112">
        <v>0</v>
      </c>
      <c r="E6" s="112">
        <v>0</v>
      </c>
      <c r="F6" s="112">
        <v>0.8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</row>
    <row r="7" spans="1:36" customFormat="1" x14ac:dyDescent="0.15">
      <c r="A7" s="193" t="s">
        <v>197</v>
      </c>
      <c r="B7" s="112">
        <v>0.8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</row>
    <row r="8" spans="1:36" customFormat="1" x14ac:dyDescent="0.15">
      <c r="A8" s="193" t="s">
        <v>198</v>
      </c>
      <c r="B8" s="112">
        <v>0.8</v>
      </c>
      <c r="C8" s="112">
        <v>0.8</v>
      </c>
      <c r="D8" s="112">
        <v>0.8</v>
      </c>
      <c r="E8" s="112">
        <v>0</v>
      </c>
      <c r="F8" s="112">
        <v>0.8</v>
      </c>
      <c r="G8" s="112">
        <v>0.8</v>
      </c>
      <c r="H8" s="112">
        <v>0</v>
      </c>
      <c r="I8" s="112">
        <v>0</v>
      </c>
      <c r="J8" s="112">
        <v>0</v>
      </c>
      <c r="K8" s="112">
        <v>0</v>
      </c>
      <c r="L8" s="112">
        <v>0.8</v>
      </c>
      <c r="M8" s="112">
        <v>0</v>
      </c>
      <c r="N8" s="112">
        <v>0.8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</row>
    <row r="9" spans="1:36" customFormat="1" x14ac:dyDescent="0.15">
      <c r="A9" s="193" t="s">
        <v>199</v>
      </c>
      <c r="B9" s="112">
        <v>0.8</v>
      </c>
      <c r="C9" s="112">
        <v>0</v>
      </c>
      <c r="D9" s="112">
        <v>0.8</v>
      </c>
      <c r="E9" s="112">
        <v>0.8</v>
      </c>
      <c r="F9" s="112">
        <v>0.8</v>
      </c>
      <c r="G9" s="112">
        <v>0.8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0.8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0.8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</row>
    <row r="10" spans="1:36" customFormat="1" x14ac:dyDescent="0.15">
      <c r="A10" s="193" t="s">
        <v>200</v>
      </c>
      <c r="B10" s="112">
        <v>0.8</v>
      </c>
      <c r="C10" s="112">
        <v>0</v>
      </c>
      <c r="D10" s="112">
        <v>0</v>
      </c>
      <c r="E10" s="112">
        <v>0</v>
      </c>
      <c r="F10" s="112">
        <v>0.8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</row>
    <row r="11" spans="1:36" customFormat="1" x14ac:dyDescent="0.15">
      <c r="A11" s="193" t="s">
        <v>201</v>
      </c>
      <c r="B11" s="112">
        <v>0.8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</row>
    <row r="12" spans="1:36" customFormat="1" x14ac:dyDescent="0.15">
      <c r="A12" s="193" t="s">
        <v>202</v>
      </c>
      <c r="B12" s="112">
        <v>0.8</v>
      </c>
      <c r="C12" s="112">
        <v>0.8</v>
      </c>
      <c r="D12" s="112">
        <v>0.8</v>
      </c>
      <c r="E12" s="112">
        <v>0.8</v>
      </c>
      <c r="F12" s="112">
        <v>0.8</v>
      </c>
      <c r="G12" s="112">
        <v>0.8</v>
      </c>
      <c r="H12" s="112">
        <v>0.8</v>
      </c>
      <c r="I12" s="112">
        <v>0</v>
      </c>
      <c r="J12" s="112">
        <v>0</v>
      </c>
      <c r="K12" s="112">
        <v>0</v>
      </c>
      <c r="L12" s="112">
        <v>0.8</v>
      </c>
      <c r="M12" s="112">
        <v>0</v>
      </c>
      <c r="N12" s="112">
        <v>0.8</v>
      </c>
      <c r="O12" s="112">
        <v>0</v>
      </c>
      <c r="P12" s="112">
        <v>0.8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</row>
    <row r="13" spans="1:36" customFormat="1" x14ac:dyDescent="0.15">
      <c r="A13" s="193" t="s">
        <v>203</v>
      </c>
      <c r="B13" s="112">
        <v>0.8</v>
      </c>
      <c r="C13" s="112">
        <v>0</v>
      </c>
      <c r="D13" s="112">
        <v>0.8</v>
      </c>
      <c r="E13" s="112">
        <v>0</v>
      </c>
      <c r="F13" s="112">
        <v>0.8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0.8</v>
      </c>
      <c r="M13" s="112">
        <v>0</v>
      </c>
      <c r="N13" s="112">
        <v>0.8</v>
      </c>
      <c r="O13" s="112">
        <v>0</v>
      </c>
      <c r="P13" s="112">
        <v>0.8</v>
      </c>
      <c r="Q13" s="112">
        <v>0.8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0.8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</row>
    <row r="14" spans="1:36" customFormat="1" x14ac:dyDescent="0.15">
      <c r="A14" s="193" t="s">
        <v>204</v>
      </c>
      <c r="B14" s="112">
        <v>0.8</v>
      </c>
      <c r="C14" s="112">
        <v>0</v>
      </c>
      <c r="D14" s="112">
        <v>0.8</v>
      </c>
      <c r="E14" s="112">
        <v>0</v>
      </c>
      <c r="F14" s="112">
        <v>0.8</v>
      </c>
      <c r="G14" s="112">
        <v>0.8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</row>
    <row r="15" spans="1:36" customFormat="1" x14ac:dyDescent="0.15">
      <c r="A15" s="193" t="s">
        <v>205</v>
      </c>
      <c r="B15" s="112">
        <v>0.8</v>
      </c>
      <c r="C15" s="112">
        <v>0</v>
      </c>
      <c r="D15" s="112">
        <v>0</v>
      </c>
      <c r="E15" s="112">
        <v>0</v>
      </c>
      <c r="F15" s="112">
        <v>0.8</v>
      </c>
      <c r="G15" s="112">
        <v>0.8</v>
      </c>
      <c r="H15" s="112">
        <v>0</v>
      </c>
      <c r="I15" s="112">
        <v>0</v>
      </c>
      <c r="J15" s="112">
        <v>0</v>
      </c>
      <c r="K15" s="112">
        <v>0</v>
      </c>
      <c r="L15" s="112">
        <v>0.8</v>
      </c>
      <c r="M15" s="112">
        <v>0.8</v>
      </c>
      <c r="N15" s="112">
        <v>0.8</v>
      </c>
      <c r="O15" s="112">
        <v>0.8</v>
      </c>
      <c r="P15" s="112">
        <v>0</v>
      </c>
      <c r="Q15" s="112">
        <v>0.8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0.8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</row>
    <row r="16" spans="1:36" customFormat="1" x14ac:dyDescent="0.15">
      <c r="A16" s="193" t="s">
        <v>206</v>
      </c>
      <c r="B16" s="112">
        <v>0.8</v>
      </c>
      <c r="C16" s="112">
        <v>0.8</v>
      </c>
      <c r="D16" s="112">
        <v>0.8</v>
      </c>
      <c r="E16" s="112">
        <v>0.8</v>
      </c>
      <c r="F16" s="112">
        <v>0.8</v>
      </c>
      <c r="G16" s="112">
        <v>0.8</v>
      </c>
      <c r="H16" s="112">
        <v>0.8</v>
      </c>
      <c r="I16" s="112">
        <v>0.8</v>
      </c>
      <c r="J16" s="112">
        <v>0</v>
      </c>
      <c r="K16" s="112">
        <v>0</v>
      </c>
      <c r="L16" s="112">
        <v>0.8</v>
      </c>
      <c r="M16" s="112">
        <v>0.8</v>
      </c>
      <c r="N16" s="112">
        <v>0.8</v>
      </c>
      <c r="O16" s="112">
        <v>0.8</v>
      </c>
      <c r="P16" s="112">
        <v>0.8</v>
      </c>
      <c r="Q16" s="112">
        <v>0.8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0.8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</row>
    <row r="17" spans="1:36" customFormat="1" x14ac:dyDescent="0.15">
      <c r="A17" s="193" t="s">
        <v>207</v>
      </c>
      <c r="B17" s="112">
        <v>0.8</v>
      </c>
      <c r="C17" s="112">
        <v>0.8</v>
      </c>
      <c r="D17" s="112">
        <v>0.8</v>
      </c>
      <c r="E17" s="112">
        <v>0.8</v>
      </c>
      <c r="F17" s="112">
        <v>0.8</v>
      </c>
      <c r="G17" s="112">
        <v>0.8</v>
      </c>
      <c r="H17" s="112">
        <v>0</v>
      </c>
      <c r="I17" s="112">
        <v>0</v>
      </c>
      <c r="J17" s="112">
        <v>0</v>
      </c>
      <c r="K17" s="112">
        <v>0</v>
      </c>
      <c r="L17" s="112">
        <v>0.8</v>
      </c>
      <c r="M17" s="112">
        <v>0</v>
      </c>
      <c r="N17" s="112">
        <v>0.8</v>
      </c>
      <c r="O17" s="112">
        <v>0</v>
      </c>
      <c r="P17" s="112">
        <v>0.8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</row>
    <row r="18" spans="1:36" customFormat="1" x14ac:dyDescent="0.15">
      <c r="A18" s="193" t="s">
        <v>208</v>
      </c>
      <c r="B18" s="112">
        <v>0</v>
      </c>
      <c r="C18" s="112">
        <v>0</v>
      </c>
      <c r="D18" s="112">
        <v>0.8</v>
      </c>
      <c r="E18" s="112">
        <v>0</v>
      </c>
      <c r="F18" s="112">
        <v>0</v>
      </c>
      <c r="G18" s="112">
        <v>0</v>
      </c>
      <c r="H18" s="112">
        <v>0.8</v>
      </c>
      <c r="I18" s="112">
        <v>0.8</v>
      </c>
      <c r="J18" s="112">
        <v>0</v>
      </c>
      <c r="K18" s="112">
        <v>0</v>
      </c>
      <c r="L18" s="112">
        <v>0.8</v>
      </c>
      <c r="M18" s="112">
        <v>0</v>
      </c>
      <c r="N18" s="112">
        <v>0.8</v>
      </c>
      <c r="O18" s="112">
        <v>0.8</v>
      </c>
      <c r="P18" s="112">
        <v>0.8</v>
      </c>
      <c r="Q18" s="112">
        <v>0.8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0.8</v>
      </c>
      <c r="X18" s="112">
        <v>0</v>
      </c>
      <c r="Y18" s="112">
        <v>0.8</v>
      </c>
      <c r="Z18" s="112">
        <v>0.8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</row>
    <row r="19" spans="1:36" customFormat="1" x14ac:dyDescent="0.15">
      <c r="A19" s="193" t="s">
        <v>209</v>
      </c>
      <c r="B19" s="112">
        <v>0.8</v>
      </c>
      <c r="C19" s="112">
        <v>0.8</v>
      </c>
      <c r="D19" s="112">
        <v>0.8</v>
      </c>
      <c r="E19" s="112">
        <v>0.8</v>
      </c>
      <c r="F19" s="112">
        <v>0.8</v>
      </c>
      <c r="G19" s="112">
        <v>0.8</v>
      </c>
      <c r="H19" s="112">
        <v>0.8</v>
      </c>
      <c r="I19" s="112">
        <v>0.8</v>
      </c>
      <c r="J19" s="112">
        <v>0.8</v>
      </c>
      <c r="K19" s="112">
        <v>0</v>
      </c>
      <c r="L19" s="112">
        <v>0.8</v>
      </c>
      <c r="M19" s="112">
        <v>0</v>
      </c>
      <c r="N19" s="112">
        <v>0</v>
      </c>
      <c r="O19" s="112">
        <v>0</v>
      </c>
      <c r="P19" s="112">
        <v>0.8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</row>
    <row r="20" spans="1:36" customFormat="1" x14ac:dyDescent="0.15">
      <c r="A20" s="193" t="s">
        <v>210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0.8</v>
      </c>
      <c r="J20" s="112">
        <v>0.8</v>
      </c>
      <c r="K20" s="112">
        <v>0.8</v>
      </c>
      <c r="L20" s="112">
        <v>0.8</v>
      </c>
      <c r="M20" s="112">
        <v>0</v>
      </c>
      <c r="N20" s="112">
        <v>0</v>
      </c>
      <c r="O20" s="112">
        <v>0</v>
      </c>
      <c r="P20" s="112">
        <v>0.8</v>
      </c>
      <c r="Q20" s="112">
        <v>0.8</v>
      </c>
      <c r="R20" s="112">
        <v>0</v>
      </c>
      <c r="S20" s="112">
        <v>0.8</v>
      </c>
      <c r="T20" s="112">
        <v>0</v>
      </c>
      <c r="U20" s="112">
        <v>0</v>
      </c>
      <c r="V20" s="112">
        <v>0.8</v>
      </c>
      <c r="W20" s="112">
        <v>0.8</v>
      </c>
      <c r="X20" s="112">
        <v>0.8</v>
      </c>
      <c r="Y20" s="112">
        <v>0.8</v>
      </c>
      <c r="Z20" s="112">
        <v>0.8</v>
      </c>
      <c r="AA20" s="112">
        <v>0</v>
      </c>
      <c r="AB20" s="112">
        <v>0.8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</row>
    <row r="21" spans="1:36" customFormat="1" x14ac:dyDescent="0.15">
      <c r="A21" s="193" t="s">
        <v>211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0.8</v>
      </c>
      <c r="K21" s="112">
        <v>0.8</v>
      </c>
      <c r="L21" s="112">
        <v>0.8</v>
      </c>
      <c r="M21" s="112">
        <v>0</v>
      </c>
      <c r="N21" s="112">
        <v>0</v>
      </c>
      <c r="O21" s="112">
        <v>0</v>
      </c>
      <c r="P21" s="112">
        <v>0.8</v>
      </c>
      <c r="Q21" s="112">
        <v>0.8</v>
      </c>
      <c r="R21" s="112">
        <v>0</v>
      </c>
      <c r="S21" s="112">
        <v>0.8</v>
      </c>
      <c r="T21" s="112">
        <v>0</v>
      </c>
      <c r="U21" s="112">
        <v>0</v>
      </c>
      <c r="V21" s="112">
        <v>0.8</v>
      </c>
      <c r="W21" s="112">
        <v>0.8</v>
      </c>
      <c r="X21" s="112">
        <v>0.8</v>
      </c>
      <c r="Y21" s="112">
        <v>0.8</v>
      </c>
      <c r="Z21" s="112">
        <v>0.8</v>
      </c>
      <c r="AA21" s="112">
        <v>0</v>
      </c>
      <c r="AB21" s="112">
        <v>0.8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</row>
    <row r="22" spans="1:36" customFormat="1" x14ac:dyDescent="0.15">
      <c r="A22" s="193" t="s">
        <v>212</v>
      </c>
      <c r="B22" s="112">
        <v>0.8</v>
      </c>
      <c r="C22" s="112">
        <v>0.8</v>
      </c>
      <c r="D22" s="112">
        <v>0.8</v>
      </c>
      <c r="E22" s="112">
        <v>0.8</v>
      </c>
      <c r="F22" s="112">
        <v>0.8</v>
      </c>
      <c r="G22" s="112">
        <v>0.8</v>
      </c>
      <c r="H22" s="112">
        <v>0.8</v>
      </c>
      <c r="I22" s="112">
        <v>0</v>
      </c>
      <c r="J22" s="112">
        <v>0.8</v>
      </c>
      <c r="K22" s="112">
        <v>0</v>
      </c>
      <c r="L22" s="112">
        <v>0.8</v>
      </c>
      <c r="M22" s="112">
        <v>0</v>
      </c>
      <c r="N22" s="112">
        <v>0</v>
      </c>
      <c r="O22" s="112">
        <v>0</v>
      </c>
      <c r="P22" s="112">
        <v>0.8</v>
      </c>
      <c r="Q22" s="112">
        <v>0.8</v>
      </c>
      <c r="R22" s="112">
        <v>0</v>
      </c>
      <c r="S22" s="112">
        <v>0</v>
      </c>
      <c r="T22" s="112">
        <v>0</v>
      </c>
      <c r="U22" s="112">
        <v>0</v>
      </c>
      <c r="V22" s="112">
        <v>0.8</v>
      </c>
      <c r="W22" s="112">
        <v>0.8</v>
      </c>
      <c r="X22" s="112">
        <v>0.8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</row>
    <row r="23" spans="1:36" customFormat="1" x14ac:dyDescent="0.15">
      <c r="A23" s="193" t="s">
        <v>213</v>
      </c>
      <c r="B23" s="112">
        <v>0.8</v>
      </c>
      <c r="C23" s="112">
        <v>0.8</v>
      </c>
      <c r="D23" s="112">
        <v>0.8</v>
      </c>
      <c r="E23" s="112">
        <v>0.8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0.8</v>
      </c>
      <c r="M23" s="112">
        <v>0.8</v>
      </c>
      <c r="N23" s="112">
        <v>0.8</v>
      </c>
      <c r="O23" s="112">
        <v>0.8</v>
      </c>
      <c r="P23" s="112">
        <v>0</v>
      </c>
      <c r="Q23" s="112">
        <v>0.8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0.8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</row>
    <row r="24" spans="1:36" customFormat="1" x14ac:dyDescent="0.15">
      <c r="A24" s="193" t="s">
        <v>214</v>
      </c>
      <c r="B24" s="112">
        <v>0.8</v>
      </c>
      <c r="C24" s="112">
        <v>0.8</v>
      </c>
      <c r="D24" s="112">
        <v>0.8</v>
      </c>
      <c r="E24" s="112">
        <v>0</v>
      </c>
      <c r="F24" s="112">
        <v>0.8</v>
      </c>
      <c r="G24" s="112">
        <v>0.8</v>
      </c>
      <c r="H24" s="112">
        <v>0</v>
      </c>
      <c r="I24" s="112">
        <v>0.8</v>
      </c>
      <c r="J24" s="112">
        <v>0.8</v>
      </c>
      <c r="K24" s="112">
        <v>0</v>
      </c>
      <c r="L24" s="112">
        <v>0.8</v>
      </c>
      <c r="M24" s="112">
        <v>0</v>
      </c>
      <c r="N24" s="112">
        <v>0</v>
      </c>
      <c r="O24" s="112">
        <v>0</v>
      </c>
      <c r="P24" s="112">
        <v>0.8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</row>
    <row r="25" spans="1:36" customFormat="1" x14ac:dyDescent="0.15">
      <c r="A25" s="193" t="s">
        <v>215</v>
      </c>
      <c r="B25" s="112">
        <v>0.8</v>
      </c>
      <c r="C25" s="112">
        <v>0.8</v>
      </c>
      <c r="D25" s="112">
        <v>0.8</v>
      </c>
      <c r="E25" s="112">
        <v>0.8</v>
      </c>
      <c r="F25" s="112">
        <v>0.8</v>
      </c>
      <c r="G25" s="112">
        <v>0.8</v>
      </c>
      <c r="H25" s="112">
        <v>0</v>
      </c>
      <c r="I25" s="112">
        <v>0</v>
      </c>
      <c r="J25" s="112">
        <v>0</v>
      </c>
      <c r="K25" s="112">
        <v>0</v>
      </c>
      <c r="L25" s="112">
        <v>0.8</v>
      </c>
      <c r="M25" s="112">
        <v>0.8</v>
      </c>
      <c r="N25" s="112">
        <v>0.8</v>
      </c>
      <c r="O25" s="112">
        <v>0</v>
      </c>
      <c r="P25" s="112">
        <v>0.8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0.8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</row>
    <row r="26" spans="1:36" customFormat="1" x14ac:dyDescent="0.15">
      <c r="A26" s="193" t="s">
        <v>216</v>
      </c>
      <c r="B26" s="112">
        <v>0</v>
      </c>
      <c r="C26" s="112">
        <v>0</v>
      </c>
      <c r="D26" s="112">
        <v>0.8</v>
      </c>
      <c r="E26" s="112">
        <v>0.8</v>
      </c>
      <c r="F26" s="112">
        <v>0</v>
      </c>
      <c r="G26" s="112">
        <v>0</v>
      </c>
      <c r="H26" s="112">
        <v>0.8</v>
      </c>
      <c r="I26" s="112">
        <v>0</v>
      </c>
      <c r="J26" s="112">
        <v>0</v>
      </c>
      <c r="K26" s="112">
        <v>0.8</v>
      </c>
      <c r="L26" s="112">
        <v>0.8</v>
      </c>
      <c r="M26" s="112">
        <v>0.8</v>
      </c>
      <c r="N26" s="112">
        <v>0.8</v>
      </c>
      <c r="O26" s="112">
        <v>0.8</v>
      </c>
      <c r="P26" s="112">
        <v>0.8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0.8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</row>
    <row r="27" spans="1:36" customFormat="1" x14ac:dyDescent="0.15">
      <c r="A27" s="193" t="s">
        <v>217</v>
      </c>
      <c r="B27" s="112">
        <v>0</v>
      </c>
      <c r="C27" s="112">
        <v>0</v>
      </c>
      <c r="D27" s="112">
        <v>0</v>
      </c>
      <c r="E27" s="112">
        <v>0.8</v>
      </c>
      <c r="F27" s="112">
        <v>0</v>
      </c>
      <c r="G27" s="112">
        <v>0</v>
      </c>
      <c r="H27" s="112">
        <v>0.8</v>
      </c>
      <c r="I27" s="112">
        <v>0.8</v>
      </c>
      <c r="J27" s="112">
        <v>0.8</v>
      </c>
      <c r="K27" s="112">
        <v>0.8</v>
      </c>
      <c r="L27" s="112">
        <v>0.8</v>
      </c>
      <c r="M27" s="112">
        <v>0.8</v>
      </c>
      <c r="N27" s="112">
        <v>0.8</v>
      </c>
      <c r="O27" s="112">
        <v>0.8</v>
      </c>
      <c r="P27" s="112">
        <v>0.8</v>
      </c>
      <c r="Q27" s="112">
        <v>0</v>
      </c>
      <c r="R27" s="112">
        <v>0.8</v>
      </c>
      <c r="S27" s="112">
        <v>0</v>
      </c>
      <c r="T27" s="112">
        <v>0</v>
      </c>
      <c r="U27" s="112">
        <v>0</v>
      </c>
      <c r="V27" s="112">
        <v>0</v>
      </c>
      <c r="W27" s="112">
        <v>0.8</v>
      </c>
      <c r="X27" s="112">
        <v>0</v>
      </c>
      <c r="Y27" s="112">
        <v>0.8</v>
      </c>
      <c r="Z27" s="112">
        <v>0.8</v>
      </c>
      <c r="AA27" s="112">
        <v>0.8</v>
      </c>
      <c r="AB27" s="112">
        <v>0.8</v>
      </c>
      <c r="AC27" s="112">
        <v>0.8</v>
      </c>
      <c r="AD27" s="112">
        <v>0.8</v>
      </c>
      <c r="AE27" s="112">
        <v>0.8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</row>
    <row r="28" spans="1:36" customFormat="1" x14ac:dyDescent="0.15">
      <c r="A28" s="193" t="s">
        <v>218</v>
      </c>
      <c r="B28" s="112">
        <v>0</v>
      </c>
      <c r="C28" s="112">
        <v>0</v>
      </c>
      <c r="D28" s="112">
        <v>0</v>
      </c>
      <c r="E28" s="112">
        <v>0.8</v>
      </c>
      <c r="F28" s="112">
        <v>0</v>
      </c>
      <c r="G28" s="112">
        <v>0</v>
      </c>
      <c r="H28" s="112">
        <v>0.8</v>
      </c>
      <c r="I28" s="112">
        <v>0</v>
      </c>
      <c r="J28" s="112">
        <v>0</v>
      </c>
      <c r="K28" s="112">
        <v>0.8</v>
      </c>
      <c r="L28" s="112">
        <v>0.8</v>
      </c>
      <c r="M28" s="112">
        <v>0.8</v>
      </c>
      <c r="N28" s="112">
        <v>0.8</v>
      </c>
      <c r="O28" s="112">
        <v>0.8</v>
      </c>
      <c r="P28" s="112">
        <v>0.8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0.8</v>
      </c>
      <c r="Z28" s="112">
        <v>0.8</v>
      </c>
      <c r="AA28" s="112">
        <v>0</v>
      </c>
      <c r="AB28" s="112">
        <v>0.8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</row>
    <row r="29" spans="1:36" customFormat="1" x14ac:dyDescent="0.15">
      <c r="A29" s="193" t="s">
        <v>219</v>
      </c>
      <c r="B29" s="112">
        <v>0</v>
      </c>
      <c r="C29" s="112">
        <v>0</v>
      </c>
      <c r="D29" s="112">
        <v>0.8</v>
      </c>
      <c r="E29" s="112">
        <v>0.8</v>
      </c>
      <c r="F29" s="112">
        <v>0.8</v>
      </c>
      <c r="G29" s="112">
        <v>0.8</v>
      </c>
      <c r="H29" s="112">
        <v>0.8</v>
      </c>
      <c r="I29" s="112">
        <v>0.8</v>
      </c>
      <c r="J29" s="112">
        <v>0.8</v>
      </c>
      <c r="K29" s="112">
        <v>0.8</v>
      </c>
      <c r="L29" s="112">
        <v>0.8</v>
      </c>
      <c r="M29" s="112">
        <v>0.8</v>
      </c>
      <c r="N29" s="112">
        <v>0.8</v>
      </c>
      <c r="O29" s="112">
        <v>0.8</v>
      </c>
      <c r="P29" s="112">
        <v>0.8</v>
      </c>
      <c r="Q29" s="112">
        <v>0.8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0.8</v>
      </c>
      <c r="X29" s="112">
        <v>0.8</v>
      </c>
      <c r="Y29" s="112">
        <v>0.8</v>
      </c>
      <c r="Z29" s="112">
        <v>0.8</v>
      </c>
      <c r="AA29" s="112">
        <v>0</v>
      </c>
      <c r="AB29" s="112">
        <v>0.8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</row>
    <row r="30" spans="1:36" customFormat="1" x14ac:dyDescent="0.15">
      <c r="A30" s="193" t="s">
        <v>220</v>
      </c>
      <c r="B30" s="112">
        <v>0</v>
      </c>
      <c r="C30" s="112">
        <v>0</v>
      </c>
      <c r="D30" s="112">
        <v>0.8</v>
      </c>
      <c r="E30" s="112">
        <v>0</v>
      </c>
      <c r="F30" s="112">
        <v>0</v>
      </c>
      <c r="G30" s="112">
        <v>0</v>
      </c>
      <c r="H30" s="112">
        <v>0.8</v>
      </c>
      <c r="I30" s="112">
        <v>0.8</v>
      </c>
      <c r="J30" s="112">
        <v>0.8</v>
      </c>
      <c r="K30" s="112">
        <v>0.8</v>
      </c>
      <c r="L30" s="112">
        <v>0.8</v>
      </c>
      <c r="M30" s="112">
        <v>0.8</v>
      </c>
      <c r="N30" s="112">
        <v>0.8</v>
      </c>
      <c r="O30" s="112">
        <v>0.8</v>
      </c>
      <c r="P30" s="112">
        <v>0.8</v>
      </c>
      <c r="Q30" s="112">
        <v>0.8</v>
      </c>
      <c r="R30" s="112">
        <v>0.8</v>
      </c>
      <c r="S30" s="112">
        <v>0</v>
      </c>
      <c r="T30" s="112">
        <v>0</v>
      </c>
      <c r="U30" s="112">
        <v>0</v>
      </c>
      <c r="V30" s="112">
        <v>0</v>
      </c>
      <c r="W30" s="112">
        <v>0.8</v>
      </c>
      <c r="X30" s="112">
        <v>0</v>
      </c>
      <c r="Y30" s="112">
        <v>0.8</v>
      </c>
      <c r="Z30" s="112">
        <v>0.8</v>
      </c>
      <c r="AA30" s="112">
        <v>0.8</v>
      </c>
      <c r="AB30" s="112">
        <v>0.8</v>
      </c>
      <c r="AC30" s="112">
        <v>0.8</v>
      </c>
      <c r="AD30" s="112">
        <v>0.8</v>
      </c>
      <c r="AE30" s="112">
        <v>0.8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</row>
    <row r="31" spans="1:36" customFormat="1" x14ac:dyDescent="0.15">
      <c r="A31" s="193" t="s">
        <v>221</v>
      </c>
      <c r="B31" s="112">
        <v>0</v>
      </c>
      <c r="C31" s="112">
        <v>0</v>
      </c>
      <c r="D31" s="112">
        <v>0.8</v>
      </c>
      <c r="E31" s="112">
        <v>0.8</v>
      </c>
      <c r="F31" s="112">
        <v>0.8</v>
      </c>
      <c r="G31" s="112">
        <v>0.8</v>
      </c>
      <c r="H31" s="112">
        <v>0</v>
      </c>
      <c r="I31" s="112">
        <v>0.8</v>
      </c>
      <c r="J31" s="112">
        <v>0.8</v>
      </c>
      <c r="K31" s="112">
        <v>0.8</v>
      </c>
      <c r="L31" s="112">
        <v>0.8</v>
      </c>
      <c r="M31" s="112">
        <v>0</v>
      </c>
      <c r="N31" s="112">
        <v>0.8</v>
      </c>
      <c r="O31" s="112">
        <v>0.8</v>
      </c>
      <c r="P31" s="112">
        <v>0.8</v>
      </c>
      <c r="Q31" s="112">
        <v>0.8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0.8</v>
      </c>
      <c r="X31" s="112">
        <v>0.8</v>
      </c>
      <c r="Y31" s="112">
        <v>0.8</v>
      </c>
      <c r="Z31" s="112">
        <v>0.8</v>
      </c>
      <c r="AA31" s="112">
        <v>0</v>
      </c>
      <c r="AB31" s="112">
        <v>0.8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</row>
    <row r="32" spans="1:36" customFormat="1" x14ac:dyDescent="0.15">
      <c r="A32" s="193" t="s">
        <v>222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0.8</v>
      </c>
      <c r="J32" s="112">
        <v>0.8</v>
      </c>
      <c r="K32" s="112">
        <v>0.8</v>
      </c>
      <c r="L32" s="112">
        <v>0</v>
      </c>
      <c r="M32" s="112">
        <v>0</v>
      </c>
      <c r="N32" s="112">
        <v>0</v>
      </c>
      <c r="O32" s="112">
        <v>0</v>
      </c>
      <c r="P32" s="112">
        <v>0.8</v>
      </c>
      <c r="Q32" s="112">
        <v>0.8</v>
      </c>
      <c r="R32" s="112">
        <v>0.8</v>
      </c>
      <c r="S32" s="112">
        <v>0.8</v>
      </c>
      <c r="T32" s="112">
        <v>0.8</v>
      </c>
      <c r="U32" s="112">
        <v>0.8</v>
      </c>
      <c r="V32" s="112">
        <v>0.8</v>
      </c>
      <c r="W32" s="112">
        <v>0.8</v>
      </c>
      <c r="X32" s="112">
        <v>0.8</v>
      </c>
      <c r="Y32" s="112">
        <v>0</v>
      </c>
      <c r="Z32" s="112">
        <v>0.8</v>
      </c>
      <c r="AA32" s="112">
        <v>0.8</v>
      </c>
      <c r="AB32" s="112">
        <v>0.8</v>
      </c>
      <c r="AC32" s="112">
        <v>0.8</v>
      </c>
      <c r="AD32" s="112">
        <v>0.8</v>
      </c>
      <c r="AE32" s="112">
        <v>0.8</v>
      </c>
      <c r="AF32" s="112">
        <v>0.8</v>
      </c>
      <c r="AG32" s="112">
        <v>0</v>
      </c>
      <c r="AH32" s="112">
        <v>0</v>
      </c>
      <c r="AI32" s="112">
        <v>0</v>
      </c>
      <c r="AJ32" s="112">
        <v>0</v>
      </c>
    </row>
    <row r="33" spans="1:36" x14ac:dyDescent="0.15">
      <c r="A33" s="193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0.8</v>
      </c>
      <c r="Q33" s="112">
        <v>0.8</v>
      </c>
      <c r="R33" s="112">
        <v>0.8</v>
      </c>
      <c r="S33" s="112">
        <v>0.8</v>
      </c>
      <c r="T33" s="112">
        <v>0.8</v>
      </c>
      <c r="U33" s="112">
        <v>0.8</v>
      </c>
      <c r="V33" s="112">
        <v>0.8</v>
      </c>
      <c r="W33" s="112">
        <v>0</v>
      </c>
      <c r="X33" s="112">
        <v>0.8</v>
      </c>
      <c r="Y33" s="112">
        <v>0</v>
      </c>
      <c r="Z33" s="112">
        <v>0.8</v>
      </c>
      <c r="AA33" s="112">
        <v>0.8</v>
      </c>
      <c r="AB33" s="112">
        <v>0.8</v>
      </c>
      <c r="AC33" s="112">
        <v>0.8</v>
      </c>
      <c r="AD33" s="112">
        <v>0.8</v>
      </c>
      <c r="AE33" s="112">
        <v>0.8</v>
      </c>
      <c r="AF33" s="112">
        <v>0.8</v>
      </c>
      <c r="AG33" s="112">
        <v>0</v>
      </c>
      <c r="AH33" s="112">
        <v>0</v>
      </c>
      <c r="AI33" s="112">
        <v>0</v>
      </c>
      <c r="AJ33" s="112">
        <v>0</v>
      </c>
    </row>
    <row r="34" spans="1:36" x14ac:dyDescent="0.15">
      <c r="A34" s="193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0.8</v>
      </c>
      <c r="O34" s="112">
        <v>0.8</v>
      </c>
      <c r="P34" s="112">
        <v>0.8</v>
      </c>
      <c r="Q34" s="112">
        <v>0</v>
      </c>
      <c r="R34" s="112">
        <v>0.8</v>
      </c>
      <c r="S34" s="112">
        <v>0</v>
      </c>
      <c r="T34" s="112">
        <v>0.8</v>
      </c>
      <c r="U34" s="112">
        <v>0.8</v>
      </c>
      <c r="V34" s="112">
        <v>0</v>
      </c>
      <c r="W34" s="112">
        <v>0.8</v>
      </c>
      <c r="X34" s="112">
        <v>0</v>
      </c>
      <c r="Y34" s="112">
        <v>0.8</v>
      </c>
      <c r="Z34" s="112">
        <v>0.8</v>
      </c>
      <c r="AA34" s="112">
        <v>0.8</v>
      </c>
      <c r="AB34" s="112">
        <v>0.8</v>
      </c>
      <c r="AC34" s="112">
        <v>0.8</v>
      </c>
      <c r="AD34" s="112">
        <v>0.8</v>
      </c>
      <c r="AE34" s="112">
        <v>0.8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</row>
    <row r="35" spans="1:36" x14ac:dyDescent="0.15">
      <c r="A35" s="193" t="s">
        <v>225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0.8</v>
      </c>
      <c r="M35" s="112">
        <v>0.8</v>
      </c>
      <c r="N35" s="112">
        <v>0.8</v>
      </c>
      <c r="O35" s="112">
        <v>0.8</v>
      </c>
      <c r="P35" s="112">
        <v>0.8</v>
      </c>
      <c r="Q35" s="112">
        <v>0.8</v>
      </c>
      <c r="R35" s="112">
        <v>0.8</v>
      </c>
      <c r="S35" s="112">
        <v>0</v>
      </c>
      <c r="T35" s="112">
        <v>0.8</v>
      </c>
      <c r="U35" s="112">
        <v>0.8</v>
      </c>
      <c r="V35" s="112">
        <v>0.8</v>
      </c>
      <c r="W35" s="112">
        <v>0.8</v>
      </c>
      <c r="X35" s="112">
        <v>0.8</v>
      </c>
      <c r="Y35" s="112">
        <v>0.8</v>
      </c>
      <c r="Z35" s="112">
        <v>0.8</v>
      </c>
      <c r="AA35" s="112">
        <v>0.8</v>
      </c>
      <c r="AB35" s="112">
        <v>0.8</v>
      </c>
      <c r="AC35" s="112">
        <v>0.8</v>
      </c>
      <c r="AD35" s="112">
        <v>0.8</v>
      </c>
      <c r="AE35" s="112">
        <v>0.8</v>
      </c>
      <c r="AF35" s="112">
        <v>0.8</v>
      </c>
      <c r="AG35" s="112">
        <v>0</v>
      </c>
      <c r="AH35" s="112">
        <v>0</v>
      </c>
      <c r="AI35" s="112">
        <v>0</v>
      </c>
      <c r="AJ35" s="112">
        <v>0</v>
      </c>
    </row>
    <row r="36" spans="1:36" x14ac:dyDescent="0.15">
      <c r="A36" s="193" t="s">
        <v>226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</row>
    <row r="37" spans="1:36" x14ac:dyDescent="0.15">
      <c r="A37" s="193" t="s">
        <v>236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J37"/>
  <sheetViews>
    <sheetView workbookViewId="0">
      <selection activeCell="A3" sqref="A3"/>
    </sheetView>
  </sheetViews>
  <sheetFormatPr baseColWidth="10" defaultRowHeight="13" x14ac:dyDescent="0.15"/>
  <cols>
    <col min="1" max="1" width="38" style="112" bestFit="1" customWidth="1"/>
    <col min="2" max="36" width="2.33203125" style="112" customWidth="1"/>
    <col min="37" max="16384" width="10.83203125" style="112"/>
  </cols>
  <sheetData>
    <row r="1" spans="1:36" x14ac:dyDescent="0.15">
      <c r="A1" s="63" t="s">
        <v>139</v>
      </c>
      <c r="B1" s="196" t="s">
        <v>192</v>
      </c>
      <c r="C1" s="196" t="s">
        <v>193</v>
      </c>
      <c r="D1" s="196" t="s">
        <v>194</v>
      </c>
      <c r="E1" s="196" t="s">
        <v>195</v>
      </c>
      <c r="F1" s="196" t="s">
        <v>196</v>
      </c>
      <c r="G1" s="196" t="s">
        <v>197</v>
      </c>
      <c r="H1" s="196" t="s">
        <v>198</v>
      </c>
      <c r="I1" s="196" t="s">
        <v>199</v>
      </c>
      <c r="J1" s="196" t="s">
        <v>200</v>
      </c>
      <c r="K1" s="196" t="s">
        <v>201</v>
      </c>
      <c r="L1" s="196" t="s">
        <v>202</v>
      </c>
      <c r="M1" s="196" t="s">
        <v>203</v>
      </c>
      <c r="N1" s="196" t="s">
        <v>204</v>
      </c>
      <c r="O1" s="196" t="s">
        <v>205</v>
      </c>
      <c r="P1" s="196" t="s">
        <v>206</v>
      </c>
      <c r="Q1" s="196" t="s">
        <v>207</v>
      </c>
      <c r="R1" s="196" t="s">
        <v>208</v>
      </c>
      <c r="S1" s="196" t="s">
        <v>209</v>
      </c>
      <c r="T1" s="196" t="s">
        <v>210</v>
      </c>
      <c r="U1" s="196" t="s">
        <v>211</v>
      </c>
      <c r="V1" s="196" t="s">
        <v>212</v>
      </c>
      <c r="W1" s="196" t="s">
        <v>213</v>
      </c>
      <c r="X1" s="196" t="s">
        <v>214</v>
      </c>
      <c r="Y1" s="196" t="s">
        <v>215</v>
      </c>
      <c r="Z1" s="196" t="s">
        <v>216</v>
      </c>
      <c r="AA1" s="196" t="s">
        <v>217</v>
      </c>
      <c r="AB1" s="196" t="s">
        <v>218</v>
      </c>
      <c r="AC1" s="196" t="s">
        <v>219</v>
      </c>
      <c r="AD1" s="196" t="s">
        <v>220</v>
      </c>
      <c r="AE1" s="196" t="s">
        <v>221</v>
      </c>
      <c r="AF1" s="196" t="s">
        <v>222</v>
      </c>
      <c r="AG1" s="196" t="s">
        <v>223</v>
      </c>
      <c r="AH1" s="196" t="s">
        <v>224</v>
      </c>
      <c r="AI1" s="196" t="s">
        <v>225</v>
      </c>
      <c r="AJ1" s="196" t="s">
        <v>226</v>
      </c>
    </row>
    <row r="2" spans="1:36" customFormat="1" x14ac:dyDescent="0.15">
      <c r="A2" s="195" t="s">
        <v>192</v>
      </c>
      <c r="B2" s="112">
        <v>1</v>
      </c>
      <c r="C2" s="112">
        <v>1</v>
      </c>
      <c r="D2" s="112">
        <v>0</v>
      </c>
      <c r="E2" s="112">
        <v>1</v>
      </c>
      <c r="F2" s="112">
        <v>1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</row>
    <row r="3" spans="1:36" customFormat="1" x14ac:dyDescent="0.15">
      <c r="A3" s="195" t="s">
        <v>193</v>
      </c>
      <c r="B3" s="112">
        <v>1</v>
      </c>
      <c r="C3" s="112">
        <v>0</v>
      </c>
      <c r="D3" s="112">
        <v>0</v>
      </c>
      <c r="E3" s="112">
        <v>0</v>
      </c>
      <c r="F3" s="112">
        <v>1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</row>
    <row r="4" spans="1:36" customFormat="1" x14ac:dyDescent="0.15">
      <c r="A4" s="195" t="s">
        <v>194</v>
      </c>
      <c r="B4" s="112">
        <v>1</v>
      </c>
      <c r="C4" s="112">
        <v>1</v>
      </c>
      <c r="D4" s="112">
        <v>0</v>
      </c>
      <c r="E4" s="112">
        <v>0</v>
      </c>
      <c r="F4" s="112">
        <v>1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1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</row>
    <row r="5" spans="1:36" customFormat="1" x14ac:dyDescent="0.15">
      <c r="A5" s="195" t="s">
        <v>195</v>
      </c>
      <c r="B5" s="112">
        <v>1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</row>
    <row r="6" spans="1:36" customFormat="1" x14ac:dyDescent="0.15">
      <c r="A6" s="195" t="s">
        <v>196</v>
      </c>
      <c r="B6" s="112">
        <v>1</v>
      </c>
      <c r="C6" s="112">
        <v>0</v>
      </c>
      <c r="D6" s="112">
        <v>0</v>
      </c>
      <c r="E6" s="112">
        <v>0</v>
      </c>
      <c r="F6" s="112">
        <v>1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</row>
    <row r="7" spans="1:36" customFormat="1" x14ac:dyDescent="0.15">
      <c r="A7" s="195" t="s">
        <v>197</v>
      </c>
      <c r="B7" s="112">
        <v>1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</row>
    <row r="8" spans="1:36" customFormat="1" x14ac:dyDescent="0.15">
      <c r="A8" s="195" t="s">
        <v>198</v>
      </c>
      <c r="B8" s="112">
        <v>1</v>
      </c>
      <c r="C8" s="112">
        <v>1</v>
      </c>
      <c r="D8" s="112">
        <v>1</v>
      </c>
      <c r="E8" s="112">
        <v>0</v>
      </c>
      <c r="F8" s="112">
        <v>1</v>
      </c>
      <c r="G8" s="112">
        <v>1</v>
      </c>
      <c r="H8" s="112">
        <v>0</v>
      </c>
      <c r="I8" s="112">
        <v>0</v>
      </c>
      <c r="J8" s="112">
        <v>0</v>
      </c>
      <c r="K8" s="112">
        <v>0</v>
      </c>
      <c r="L8" s="112">
        <v>1</v>
      </c>
      <c r="M8" s="112">
        <v>0</v>
      </c>
      <c r="N8" s="112">
        <v>1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</row>
    <row r="9" spans="1:36" customFormat="1" x14ac:dyDescent="0.15">
      <c r="A9" s="195" t="s">
        <v>199</v>
      </c>
      <c r="B9" s="112">
        <v>1</v>
      </c>
      <c r="C9" s="112">
        <v>0</v>
      </c>
      <c r="D9" s="112">
        <v>1</v>
      </c>
      <c r="E9" s="112">
        <v>1</v>
      </c>
      <c r="F9" s="112">
        <v>1</v>
      </c>
      <c r="G9" s="112">
        <v>1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1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1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</row>
    <row r="10" spans="1:36" customFormat="1" x14ac:dyDescent="0.15">
      <c r="A10" s="195" t="s">
        <v>200</v>
      </c>
      <c r="B10" s="112">
        <v>1</v>
      </c>
      <c r="C10" s="112">
        <v>0</v>
      </c>
      <c r="D10" s="112">
        <v>0</v>
      </c>
      <c r="E10" s="112">
        <v>0</v>
      </c>
      <c r="F10" s="112">
        <v>1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</row>
    <row r="11" spans="1:36" customFormat="1" x14ac:dyDescent="0.15">
      <c r="A11" s="195" t="s">
        <v>201</v>
      </c>
      <c r="B11" s="112">
        <v>1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</row>
    <row r="12" spans="1:36" customFormat="1" x14ac:dyDescent="0.15">
      <c r="A12" s="195" t="s">
        <v>202</v>
      </c>
      <c r="B12" s="112">
        <v>1</v>
      </c>
      <c r="C12" s="112">
        <v>1</v>
      </c>
      <c r="D12" s="112">
        <v>1</v>
      </c>
      <c r="E12" s="112">
        <v>1</v>
      </c>
      <c r="F12" s="112">
        <v>1</v>
      </c>
      <c r="G12" s="112">
        <v>1</v>
      </c>
      <c r="H12" s="112">
        <v>1</v>
      </c>
      <c r="I12" s="112">
        <v>0</v>
      </c>
      <c r="J12" s="112">
        <v>0</v>
      </c>
      <c r="K12" s="112">
        <v>0</v>
      </c>
      <c r="L12" s="112">
        <v>1</v>
      </c>
      <c r="M12" s="112">
        <v>0</v>
      </c>
      <c r="N12" s="112">
        <v>1</v>
      </c>
      <c r="O12" s="112">
        <v>0</v>
      </c>
      <c r="P12" s="112">
        <v>1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</row>
    <row r="13" spans="1:36" customFormat="1" x14ac:dyDescent="0.15">
      <c r="A13" s="195" t="s">
        <v>203</v>
      </c>
      <c r="B13" s="112">
        <v>1</v>
      </c>
      <c r="C13" s="112">
        <v>0</v>
      </c>
      <c r="D13" s="112">
        <v>1</v>
      </c>
      <c r="E13" s="112">
        <v>0</v>
      </c>
      <c r="F13" s="112">
        <v>1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1</v>
      </c>
      <c r="M13" s="112">
        <v>0</v>
      </c>
      <c r="N13" s="112">
        <v>1</v>
      </c>
      <c r="O13" s="112">
        <v>0</v>
      </c>
      <c r="P13" s="112">
        <v>1</v>
      </c>
      <c r="Q13" s="112">
        <v>1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1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</row>
    <row r="14" spans="1:36" customFormat="1" x14ac:dyDescent="0.15">
      <c r="A14" s="195" t="s">
        <v>204</v>
      </c>
      <c r="B14" s="112">
        <v>1</v>
      </c>
      <c r="C14" s="112">
        <v>0</v>
      </c>
      <c r="D14" s="112">
        <v>1</v>
      </c>
      <c r="E14" s="112">
        <v>0</v>
      </c>
      <c r="F14" s="112">
        <v>1</v>
      </c>
      <c r="G14" s="112">
        <v>1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</row>
    <row r="15" spans="1:36" customFormat="1" x14ac:dyDescent="0.15">
      <c r="A15" s="195" t="s">
        <v>205</v>
      </c>
      <c r="B15" s="112">
        <v>1</v>
      </c>
      <c r="C15" s="112">
        <v>0</v>
      </c>
      <c r="D15" s="112">
        <v>0</v>
      </c>
      <c r="E15" s="112">
        <v>0</v>
      </c>
      <c r="F15" s="112">
        <v>1</v>
      </c>
      <c r="G15" s="112">
        <v>1</v>
      </c>
      <c r="H15" s="112">
        <v>0</v>
      </c>
      <c r="I15" s="112">
        <v>0</v>
      </c>
      <c r="J15" s="112">
        <v>0</v>
      </c>
      <c r="K15" s="112">
        <v>0</v>
      </c>
      <c r="L15" s="112">
        <v>1</v>
      </c>
      <c r="M15" s="112">
        <v>1</v>
      </c>
      <c r="N15" s="112">
        <v>1</v>
      </c>
      <c r="O15" s="112">
        <v>1</v>
      </c>
      <c r="P15" s="112">
        <v>0</v>
      </c>
      <c r="Q15" s="112">
        <v>1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1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</row>
    <row r="16" spans="1:36" customFormat="1" x14ac:dyDescent="0.15">
      <c r="A16" s="195" t="s">
        <v>206</v>
      </c>
      <c r="B16" s="112">
        <v>1</v>
      </c>
      <c r="C16" s="112">
        <v>1</v>
      </c>
      <c r="D16" s="112">
        <v>1</v>
      </c>
      <c r="E16" s="112">
        <v>1</v>
      </c>
      <c r="F16" s="112">
        <v>1</v>
      </c>
      <c r="G16" s="112">
        <v>1</v>
      </c>
      <c r="H16" s="112">
        <v>1</v>
      </c>
      <c r="I16" s="112">
        <v>1</v>
      </c>
      <c r="J16" s="112">
        <v>0</v>
      </c>
      <c r="K16" s="112">
        <v>0</v>
      </c>
      <c r="L16" s="112">
        <v>1</v>
      </c>
      <c r="M16" s="112">
        <v>1</v>
      </c>
      <c r="N16" s="112">
        <v>1</v>
      </c>
      <c r="O16" s="112">
        <v>1</v>
      </c>
      <c r="P16" s="112">
        <v>1</v>
      </c>
      <c r="Q16" s="112">
        <v>1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1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</row>
    <row r="17" spans="1:36" customFormat="1" x14ac:dyDescent="0.15">
      <c r="A17" s="195" t="s">
        <v>207</v>
      </c>
      <c r="B17" s="112">
        <v>1</v>
      </c>
      <c r="C17" s="112">
        <v>1</v>
      </c>
      <c r="D17" s="112">
        <v>1</v>
      </c>
      <c r="E17" s="112">
        <v>1</v>
      </c>
      <c r="F17" s="112">
        <v>1</v>
      </c>
      <c r="G17" s="112">
        <v>1</v>
      </c>
      <c r="H17" s="112">
        <v>0</v>
      </c>
      <c r="I17" s="112">
        <v>0</v>
      </c>
      <c r="J17" s="112">
        <v>0</v>
      </c>
      <c r="K17" s="112">
        <v>0</v>
      </c>
      <c r="L17" s="112">
        <v>1</v>
      </c>
      <c r="M17" s="112">
        <v>0</v>
      </c>
      <c r="N17" s="112">
        <v>1</v>
      </c>
      <c r="O17" s="112">
        <v>0</v>
      </c>
      <c r="P17" s="112">
        <v>1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</row>
    <row r="18" spans="1:36" customFormat="1" x14ac:dyDescent="0.15">
      <c r="A18" s="195" t="s">
        <v>208</v>
      </c>
      <c r="B18" s="112">
        <v>0</v>
      </c>
      <c r="C18" s="112">
        <v>0</v>
      </c>
      <c r="D18" s="112">
        <v>1</v>
      </c>
      <c r="E18" s="112">
        <v>0</v>
      </c>
      <c r="F18" s="112">
        <v>0</v>
      </c>
      <c r="G18" s="112">
        <v>0</v>
      </c>
      <c r="H18" s="112">
        <v>1</v>
      </c>
      <c r="I18" s="112">
        <v>1</v>
      </c>
      <c r="J18" s="112">
        <v>0</v>
      </c>
      <c r="K18" s="112">
        <v>0</v>
      </c>
      <c r="L18" s="112">
        <v>1</v>
      </c>
      <c r="M18" s="112">
        <v>0</v>
      </c>
      <c r="N18" s="112">
        <v>1</v>
      </c>
      <c r="O18" s="112">
        <v>1</v>
      </c>
      <c r="P18" s="112">
        <v>1</v>
      </c>
      <c r="Q18" s="112">
        <v>1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1</v>
      </c>
      <c r="X18" s="112">
        <v>0</v>
      </c>
      <c r="Y18" s="112">
        <v>1</v>
      </c>
      <c r="Z18" s="112">
        <v>1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</row>
    <row r="19" spans="1:36" customFormat="1" x14ac:dyDescent="0.15">
      <c r="A19" s="195" t="s">
        <v>209</v>
      </c>
      <c r="B19" s="112">
        <v>1</v>
      </c>
      <c r="C19" s="112">
        <v>1</v>
      </c>
      <c r="D19" s="112">
        <v>1</v>
      </c>
      <c r="E19" s="112">
        <v>1</v>
      </c>
      <c r="F19" s="112">
        <v>1</v>
      </c>
      <c r="G19" s="112">
        <v>1</v>
      </c>
      <c r="H19" s="112">
        <v>1</v>
      </c>
      <c r="I19" s="112">
        <v>1</v>
      </c>
      <c r="J19" s="112">
        <v>1</v>
      </c>
      <c r="K19" s="112">
        <v>0</v>
      </c>
      <c r="L19" s="112">
        <v>1</v>
      </c>
      <c r="M19" s="112">
        <v>0</v>
      </c>
      <c r="N19" s="112">
        <v>0</v>
      </c>
      <c r="O19" s="112">
        <v>0</v>
      </c>
      <c r="P19" s="112">
        <v>1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</row>
    <row r="20" spans="1:36" customFormat="1" x14ac:dyDescent="0.15">
      <c r="A20" s="195" t="s">
        <v>210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1</v>
      </c>
      <c r="J20" s="112">
        <v>1</v>
      </c>
      <c r="K20" s="112">
        <v>1</v>
      </c>
      <c r="L20" s="112">
        <v>1</v>
      </c>
      <c r="M20" s="112">
        <v>0</v>
      </c>
      <c r="N20" s="112">
        <v>0</v>
      </c>
      <c r="O20" s="112">
        <v>0</v>
      </c>
      <c r="P20" s="112">
        <v>1</v>
      </c>
      <c r="Q20" s="112">
        <v>1</v>
      </c>
      <c r="R20" s="112">
        <v>0</v>
      </c>
      <c r="S20" s="112">
        <v>1</v>
      </c>
      <c r="T20" s="112">
        <v>0</v>
      </c>
      <c r="U20" s="112">
        <v>0</v>
      </c>
      <c r="V20" s="112">
        <v>1</v>
      </c>
      <c r="W20" s="112">
        <v>1</v>
      </c>
      <c r="X20" s="112">
        <v>1</v>
      </c>
      <c r="Y20" s="112">
        <v>1</v>
      </c>
      <c r="Z20" s="112">
        <v>1</v>
      </c>
      <c r="AA20" s="112">
        <v>0</v>
      </c>
      <c r="AB20" s="112">
        <v>1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</row>
    <row r="21" spans="1:36" customFormat="1" x14ac:dyDescent="0.15">
      <c r="A21" s="195" t="s">
        <v>211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1</v>
      </c>
      <c r="K21" s="112">
        <v>1</v>
      </c>
      <c r="L21" s="112">
        <v>1</v>
      </c>
      <c r="M21" s="112">
        <v>0</v>
      </c>
      <c r="N21" s="112">
        <v>0</v>
      </c>
      <c r="O21" s="112">
        <v>0</v>
      </c>
      <c r="P21" s="112">
        <v>1</v>
      </c>
      <c r="Q21" s="112">
        <v>1</v>
      </c>
      <c r="R21" s="112">
        <v>0</v>
      </c>
      <c r="S21" s="112">
        <v>1</v>
      </c>
      <c r="T21" s="112">
        <v>0</v>
      </c>
      <c r="U21" s="112">
        <v>0</v>
      </c>
      <c r="V21" s="112">
        <v>1</v>
      </c>
      <c r="W21" s="112">
        <v>1</v>
      </c>
      <c r="X21" s="112">
        <v>1</v>
      </c>
      <c r="Y21" s="112">
        <v>1</v>
      </c>
      <c r="Z21" s="112">
        <v>1</v>
      </c>
      <c r="AA21" s="112">
        <v>0</v>
      </c>
      <c r="AB21" s="112">
        <v>1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</row>
    <row r="22" spans="1:36" customFormat="1" x14ac:dyDescent="0.15">
      <c r="A22" s="195" t="s">
        <v>212</v>
      </c>
      <c r="B22" s="112">
        <v>1</v>
      </c>
      <c r="C22" s="112">
        <v>1</v>
      </c>
      <c r="D22" s="112">
        <v>1</v>
      </c>
      <c r="E22" s="112">
        <v>1</v>
      </c>
      <c r="F22" s="112">
        <v>1</v>
      </c>
      <c r="G22" s="112">
        <v>1</v>
      </c>
      <c r="H22" s="112">
        <v>1</v>
      </c>
      <c r="I22" s="112">
        <v>0</v>
      </c>
      <c r="J22" s="112">
        <v>1</v>
      </c>
      <c r="K22" s="112">
        <v>0</v>
      </c>
      <c r="L22" s="112">
        <v>1</v>
      </c>
      <c r="M22" s="112">
        <v>0</v>
      </c>
      <c r="N22" s="112">
        <v>0</v>
      </c>
      <c r="O22" s="112">
        <v>0</v>
      </c>
      <c r="P22" s="112">
        <v>1</v>
      </c>
      <c r="Q22" s="112">
        <v>1</v>
      </c>
      <c r="R22" s="112">
        <v>0</v>
      </c>
      <c r="S22" s="112">
        <v>0</v>
      </c>
      <c r="T22" s="112">
        <v>0</v>
      </c>
      <c r="U22" s="112">
        <v>0</v>
      </c>
      <c r="V22" s="112">
        <v>1</v>
      </c>
      <c r="W22" s="112">
        <v>1</v>
      </c>
      <c r="X22" s="112">
        <v>1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</row>
    <row r="23" spans="1:36" customFormat="1" x14ac:dyDescent="0.15">
      <c r="A23" s="195" t="s">
        <v>213</v>
      </c>
      <c r="B23" s="112">
        <v>1</v>
      </c>
      <c r="C23" s="112">
        <v>1</v>
      </c>
      <c r="D23" s="112">
        <v>1</v>
      </c>
      <c r="E23" s="112">
        <v>1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</v>
      </c>
      <c r="L23" s="112">
        <v>1</v>
      </c>
      <c r="M23" s="112">
        <v>1</v>
      </c>
      <c r="N23" s="112">
        <v>1</v>
      </c>
      <c r="O23" s="112">
        <v>1</v>
      </c>
      <c r="P23" s="112">
        <v>0</v>
      </c>
      <c r="Q23" s="112">
        <v>1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1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</row>
    <row r="24" spans="1:36" customFormat="1" x14ac:dyDescent="0.15">
      <c r="A24" s="195" t="s">
        <v>214</v>
      </c>
      <c r="B24" s="112">
        <v>1</v>
      </c>
      <c r="C24" s="112">
        <v>1</v>
      </c>
      <c r="D24" s="112">
        <v>1</v>
      </c>
      <c r="E24" s="112">
        <v>0</v>
      </c>
      <c r="F24" s="112">
        <v>1</v>
      </c>
      <c r="G24" s="112">
        <v>1</v>
      </c>
      <c r="H24" s="112">
        <v>0</v>
      </c>
      <c r="I24" s="112">
        <v>1</v>
      </c>
      <c r="J24" s="112">
        <v>1</v>
      </c>
      <c r="K24" s="112">
        <v>0</v>
      </c>
      <c r="L24" s="112">
        <v>1</v>
      </c>
      <c r="M24" s="112">
        <v>0</v>
      </c>
      <c r="N24" s="112">
        <v>0</v>
      </c>
      <c r="O24" s="112">
        <v>0</v>
      </c>
      <c r="P24" s="112">
        <v>1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</row>
    <row r="25" spans="1:36" customFormat="1" x14ac:dyDescent="0.15">
      <c r="A25" s="195" t="s">
        <v>215</v>
      </c>
      <c r="B25" s="112">
        <v>1</v>
      </c>
      <c r="C25" s="112">
        <v>1</v>
      </c>
      <c r="D25" s="112">
        <v>1</v>
      </c>
      <c r="E25" s="112">
        <v>1</v>
      </c>
      <c r="F25" s="112">
        <v>1</v>
      </c>
      <c r="G25" s="112">
        <v>1</v>
      </c>
      <c r="H25" s="112">
        <v>0</v>
      </c>
      <c r="I25" s="112">
        <v>0</v>
      </c>
      <c r="J25" s="112">
        <v>0</v>
      </c>
      <c r="K25" s="112">
        <v>0</v>
      </c>
      <c r="L25" s="112">
        <v>1</v>
      </c>
      <c r="M25" s="112">
        <v>1</v>
      </c>
      <c r="N25" s="112">
        <v>1</v>
      </c>
      <c r="O25" s="112">
        <v>0</v>
      </c>
      <c r="P25" s="112">
        <v>1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1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</row>
    <row r="26" spans="1:36" customFormat="1" x14ac:dyDescent="0.15">
      <c r="A26" s="195" t="s">
        <v>216</v>
      </c>
      <c r="B26" s="112">
        <v>0</v>
      </c>
      <c r="C26" s="112">
        <v>0</v>
      </c>
      <c r="D26" s="112">
        <v>1</v>
      </c>
      <c r="E26" s="112">
        <v>1</v>
      </c>
      <c r="F26" s="112">
        <v>0</v>
      </c>
      <c r="G26" s="112">
        <v>0</v>
      </c>
      <c r="H26" s="112">
        <v>1</v>
      </c>
      <c r="I26" s="112">
        <v>0</v>
      </c>
      <c r="J26" s="112">
        <v>0</v>
      </c>
      <c r="K26" s="112">
        <v>1</v>
      </c>
      <c r="L26" s="112">
        <v>1</v>
      </c>
      <c r="M26" s="112">
        <v>1</v>
      </c>
      <c r="N26" s="112">
        <v>1</v>
      </c>
      <c r="O26" s="112">
        <v>1</v>
      </c>
      <c r="P26" s="112">
        <v>1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1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</row>
    <row r="27" spans="1:36" customFormat="1" x14ac:dyDescent="0.15">
      <c r="A27" s="195" t="s">
        <v>217</v>
      </c>
      <c r="B27" s="112">
        <v>0</v>
      </c>
      <c r="C27" s="112">
        <v>0</v>
      </c>
      <c r="D27" s="112">
        <v>0</v>
      </c>
      <c r="E27" s="112">
        <v>1</v>
      </c>
      <c r="F27" s="112">
        <v>0</v>
      </c>
      <c r="G27" s="112">
        <v>0</v>
      </c>
      <c r="H27" s="112">
        <v>1</v>
      </c>
      <c r="I27" s="112">
        <v>1</v>
      </c>
      <c r="J27" s="112">
        <v>1</v>
      </c>
      <c r="K27" s="112">
        <v>1</v>
      </c>
      <c r="L27" s="112">
        <v>1</v>
      </c>
      <c r="M27" s="112">
        <v>1</v>
      </c>
      <c r="N27" s="112">
        <v>1</v>
      </c>
      <c r="O27" s="112">
        <v>1</v>
      </c>
      <c r="P27" s="112">
        <v>1</v>
      </c>
      <c r="Q27" s="112">
        <v>0</v>
      </c>
      <c r="R27" s="112">
        <v>1</v>
      </c>
      <c r="S27" s="112">
        <v>0</v>
      </c>
      <c r="T27" s="112">
        <v>0</v>
      </c>
      <c r="U27" s="112">
        <v>0</v>
      </c>
      <c r="V27" s="112">
        <v>0</v>
      </c>
      <c r="W27" s="112">
        <v>1</v>
      </c>
      <c r="X27" s="112">
        <v>0</v>
      </c>
      <c r="Y27" s="112">
        <v>1</v>
      </c>
      <c r="Z27" s="112">
        <v>1</v>
      </c>
      <c r="AA27" s="112">
        <v>1</v>
      </c>
      <c r="AB27" s="112">
        <v>1</v>
      </c>
      <c r="AC27" s="112">
        <v>1</v>
      </c>
      <c r="AD27" s="112">
        <v>1</v>
      </c>
      <c r="AE27" s="112">
        <v>1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</row>
    <row r="28" spans="1:36" customFormat="1" x14ac:dyDescent="0.15">
      <c r="A28" s="195" t="s">
        <v>218</v>
      </c>
      <c r="B28" s="112">
        <v>0</v>
      </c>
      <c r="C28" s="112">
        <v>0</v>
      </c>
      <c r="D28" s="112">
        <v>0</v>
      </c>
      <c r="E28" s="112">
        <v>1</v>
      </c>
      <c r="F28" s="112">
        <v>0</v>
      </c>
      <c r="G28" s="112">
        <v>0</v>
      </c>
      <c r="H28" s="112">
        <v>1</v>
      </c>
      <c r="I28" s="112">
        <v>0</v>
      </c>
      <c r="J28" s="112">
        <v>0</v>
      </c>
      <c r="K28" s="112">
        <v>1</v>
      </c>
      <c r="L28" s="112">
        <v>1</v>
      </c>
      <c r="M28" s="112">
        <v>1</v>
      </c>
      <c r="N28" s="112">
        <v>1</v>
      </c>
      <c r="O28" s="112">
        <v>1</v>
      </c>
      <c r="P28" s="112">
        <v>1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1</v>
      </c>
      <c r="Z28" s="112">
        <v>1</v>
      </c>
      <c r="AA28" s="112">
        <v>0</v>
      </c>
      <c r="AB28" s="112">
        <v>1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  <c r="AH28" s="112">
        <v>0</v>
      </c>
      <c r="AI28" s="112">
        <v>0</v>
      </c>
      <c r="AJ28" s="112">
        <v>0</v>
      </c>
    </row>
    <row r="29" spans="1:36" customFormat="1" x14ac:dyDescent="0.15">
      <c r="A29" s="195" t="s">
        <v>219</v>
      </c>
      <c r="B29" s="112">
        <v>0</v>
      </c>
      <c r="C29" s="112">
        <v>0</v>
      </c>
      <c r="D29" s="112">
        <v>1</v>
      </c>
      <c r="E29" s="112">
        <v>1</v>
      </c>
      <c r="F29" s="112">
        <v>1</v>
      </c>
      <c r="G29" s="112">
        <v>1</v>
      </c>
      <c r="H29" s="112">
        <v>1</v>
      </c>
      <c r="I29" s="112">
        <v>1</v>
      </c>
      <c r="J29" s="112">
        <v>1</v>
      </c>
      <c r="K29" s="112">
        <v>1</v>
      </c>
      <c r="L29" s="112">
        <v>1</v>
      </c>
      <c r="M29" s="112">
        <v>1</v>
      </c>
      <c r="N29" s="112">
        <v>1</v>
      </c>
      <c r="O29" s="112">
        <v>1</v>
      </c>
      <c r="P29" s="112">
        <v>1</v>
      </c>
      <c r="Q29" s="112">
        <v>1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1</v>
      </c>
      <c r="X29" s="112">
        <v>1</v>
      </c>
      <c r="Y29" s="112">
        <v>1</v>
      </c>
      <c r="Z29" s="112">
        <v>1</v>
      </c>
      <c r="AA29" s="112">
        <v>0</v>
      </c>
      <c r="AB29" s="112">
        <v>1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  <c r="AH29" s="112">
        <v>0</v>
      </c>
      <c r="AI29" s="112">
        <v>0</v>
      </c>
      <c r="AJ29" s="112">
        <v>0</v>
      </c>
    </row>
    <row r="30" spans="1:36" customFormat="1" x14ac:dyDescent="0.15">
      <c r="A30" s="195" t="s">
        <v>220</v>
      </c>
      <c r="B30" s="112">
        <v>0</v>
      </c>
      <c r="C30" s="112">
        <v>0</v>
      </c>
      <c r="D30" s="112">
        <v>1</v>
      </c>
      <c r="E30" s="112">
        <v>0</v>
      </c>
      <c r="F30" s="112">
        <v>0</v>
      </c>
      <c r="G30" s="112">
        <v>0</v>
      </c>
      <c r="H30" s="112">
        <v>1</v>
      </c>
      <c r="I30" s="112">
        <v>1</v>
      </c>
      <c r="J30" s="112">
        <v>1</v>
      </c>
      <c r="K30" s="112">
        <v>1</v>
      </c>
      <c r="L30" s="112">
        <v>1</v>
      </c>
      <c r="M30" s="112">
        <v>1</v>
      </c>
      <c r="N30" s="112">
        <v>1</v>
      </c>
      <c r="O30" s="112">
        <v>1</v>
      </c>
      <c r="P30" s="112">
        <v>1</v>
      </c>
      <c r="Q30" s="112">
        <v>1</v>
      </c>
      <c r="R30" s="112">
        <v>1</v>
      </c>
      <c r="S30" s="112">
        <v>0</v>
      </c>
      <c r="T30" s="112">
        <v>0</v>
      </c>
      <c r="U30" s="112">
        <v>0</v>
      </c>
      <c r="V30" s="112">
        <v>0</v>
      </c>
      <c r="W30" s="112">
        <v>1</v>
      </c>
      <c r="X30" s="112">
        <v>0</v>
      </c>
      <c r="Y30" s="112">
        <v>1</v>
      </c>
      <c r="Z30" s="112">
        <v>1</v>
      </c>
      <c r="AA30" s="112">
        <v>1</v>
      </c>
      <c r="AB30" s="112">
        <v>1</v>
      </c>
      <c r="AC30" s="112">
        <v>1</v>
      </c>
      <c r="AD30" s="112">
        <v>1</v>
      </c>
      <c r="AE30" s="112">
        <v>1</v>
      </c>
      <c r="AF30" s="112">
        <v>0</v>
      </c>
      <c r="AG30" s="112">
        <v>0</v>
      </c>
      <c r="AH30" s="112">
        <v>0</v>
      </c>
      <c r="AI30" s="112">
        <v>0</v>
      </c>
      <c r="AJ30" s="112">
        <v>0</v>
      </c>
    </row>
    <row r="31" spans="1:36" customFormat="1" x14ac:dyDescent="0.15">
      <c r="A31" s="195" t="s">
        <v>221</v>
      </c>
      <c r="B31" s="112">
        <v>0</v>
      </c>
      <c r="C31" s="112">
        <v>0</v>
      </c>
      <c r="D31" s="112">
        <v>1</v>
      </c>
      <c r="E31" s="112">
        <v>1</v>
      </c>
      <c r="F31" s="112">
        <v>1</v>
      </c>
      <c r="G31" s="112">
        <v>1</v>
      </c>
      <c r="H31" s="112">
        <v>0</v>
      </c>
      <c r="I31" s="112">
        <v>1</v>
      </c>
      <c r="J31" s="112">
        <v>1</v>
      </c>
      <c r="K31" s="112">
        <v>1</v>
      </c>
      <c r="L31" s="112">
        <v>1</v>
      </c>
      <c r="M31" s="112">
        <v>0</v>
      </c>
      <c r="N31" s="112">
        <v>1</v>
      </c>
      <c r="O31" s="112">
        <v>1</v>
      </c>
      <c r="P31" s="112">
        <v>1</v>
      </c>
      <c r="Q31" s="112">
        <v>1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1</v>
      </c>
      <c r="X31" s="112">
        <v>1</v>
      </c>
      <c r="Y31" s="112">
        <v>1</v>
      </c>
      <c r="Z31" s="112">
        <v>1</v>
      </c>
      <c r="AA31" s="112">
        <v>0</v>
      </c>
      <c r="AB31" s="112">
        <v>1</v>
      </c>
      <c r="AC31" s="112">
        <v>0</v>
      </c>
      <c r="AD31" s="112">
        <v>0</v>
      </c>
      <c r="AE31" s="112">
        <v>0</v>
      </c>
      <c r="AF31" s="112">
        <v>0</v>
      </c>
      <c r="AG31" s="112">
        <v>0</v>
      </c>
      <c r="AH31" s="112">
        <v>0</v>
      </c>
      <c r="AI31" s="112">
        <v>0</v>
      </c>
      <c r="AJ31" s="112">
        <v>0</v>
      </c>
    </row>
    <row r="32" spans="1:36" x14ac:dyDescent="0.15">
      <c r="A32" s="195" t="s">
        <v>222</v>
      </c>
      <c r="B32" s="112">
        <v>0</v>
      </c>
      <c r="C32" s="112">
        <v>0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1</v>
      </c>
      <c r="J32" s="112">
        <v>1</v>
      </c>
      <c r="K32" s="112">
        <v>1</v>
      </c>
      <c r="L32" s="112">
        <v>0</v>
      </c>
      <c r="M32" s="112">
        <v>0</v>
      </c>
      <c r="N32" s="112">
        <v>0</v>
      </c>
      <c r="O32" s="112">
        <v>0</v>
      </c>
      <c r="P32" s="112">
        <v>1</v>
      </c>
      <c r="Q32" s="112">
        <v>1</v>
      </c>
      <c r="R32" s="112">
        <v>1</v>
      </c>
      <c r="S32" s="112">
        <v>1</v>
      </c>
      <c r="T32" s="112">
        <v>1</v>
      </c>
      <c r="U32" s="112">
        <v>1</v>
      </c>
      <c r="V32" s="112">
        <v>1</v>
      </c>
      <c r="W32" s="112">
        <v>1</v>
      </c>
      <c r="X32" s="112">
        <v>1</v>
      </c>
      <c r="Y32" s="112">
        <v>0</v>
      </c>
      <c r="Z32" s="112">
        <v>1</v>
      </c>
      <c r="AA32" s="112">
        <v>1</v>
      </c>
      <c r="AB32" s="112">
        <v>1</v>
      </c>
      <c r="AC32" s="112">
        <v>1</v>
      </c>
      <c r="AD32" s="112">
        <v>1</v>
      </c>
      <c r="AE32" s="112">
        <v>1</v>
      </c>
      <c r="AF32" s="112">
        <v>1</v>
      </c>
      <c r="AG32" s="112">
        <v>0</v>
      </c>
      <c r="AH32" s="112">
        <v>0</v>
      </c>
      <c r="AI32" s="112">
        <v>0</v>
      </c>
      <c r="AJ32" s="112">
        <v>0</v>
      </c>
    </row>
    <row r="33" spans="1:36" x14ac:dyDescent="0.15">
      <c r="A33" s="195" t="s">
        <v>223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1</v>
      </c>
      <c r="Q33" s="112">
        <v>1</v>
      </c>
      <c r="R33" s="112">
        <v>1</v>
      </c>
      <c r="S33" s="112">
        <v>1</v>
      </c>
      <c r="T33" s="112">
        <v>1</v>
      </c>
      <c r="U33" s="112">
        <v>1</v>
      </c>
      <c r="V33" s="112">
        <v>1</v>
      </c>
      <c r="W33" s="112">
        <v>0</v>
      </c>
      <c r="X33" s="112">
        <v>1</v>
      </c>
      <c r="Y33" s="112">
        <v>0</v>
      </c>
      <c r="Z33" s="112">
        <v>1</v>
      </c>
      <c r="AA33" s="112">
        <v>1</v>
      </c>
      <c r="AB33" s="112">
        <v>1</v>
      </c>
      <c r="AC33" s="112">
        <v>1</v>
      </c>
      <c r="AD33" s="112">
        <v>1</v>
      </c>
      <c r="AE33" s="112">
        <v>1</v>
      </c>
      <c r="AF33" s="112">
        <v>1</v>
      </c>
      <c r="AG33" s="112">
        <v>0</v>
      </c>
      <c r="AH33" s="112">
        <v>0</v>
      </c>
      <c r="AI33" s="112">
        <v>0</v>
      </c>
      <c r="AJ33" s="112">
        <v>0</v>
      </c>
    </row>
    <row r="34" spans="1:36" x14ac:dyDescent="0.15">
      <c r="A34" s="195" t="s">
        <v>224</v>
      </c>
      <c r="B34" s="112">
        <v>0</v>
      </c>
      <c r="C34" s="112">
        <v>0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12">
        <v>0</v>
      </c>
      <c r="J34" s="112">
        <v>0</v>
      </c>
      <c r="K34" s="112">
        <v>0</v>
      </c>
      <c r="L34" s="112">
        <v>0</v>
      </c>
      <c r="M34" s="112">
        <v>0</v>
      </c>
      <c r="N34" s="112">
        <v>1</v>
      </c>
      <c r="O34" s="112">
        <v>1</v>
      </c>
      <c r="P34" s="112">
        <v>1</v>
      </c>
      <c r="Q34" s="112">
        <v>0</v>
      </c>
      <c r="R34" s="112">
        <v>1</v>
      </c>
      <c r="S34" s="112">
        <v>0</v>
      </c>
      <c r="T34" s="112">
        <v>1</v>
      </c>
      <c r="U34" s="112">
        <v>1</v>
      </c>
      <c r="V34" s="112">
        <v>0</v>
      </c>
      <c r="W34" s="112">
        <v>1</v>
      </c>
      <c r="X34" s="112">
        <v>0</v>
      </c>
      <c r="Y34" s="112">
        <v>1</v>
      </c>
      <c r="Z34" s="112">
        <v>1</v>
      </c>
      <c r="AA34" s="112">
        <v>1</v>
      </c>
      <c r="AB34" s="112">
        <v>1</v>
      </c>
      <c r="AC34" s="112">
        <v>1</v>
      </c>
      <c r="AD34" s="112">
        <v>1</v>
      </c>
      <c r="AE34" s="112">
        <v>1</v>
      </c>
      <c r="AF34" s="112">
        <v>0</v>
      </c>
      <c r="AG34" s="112">
        <v>0</v>
      </c>
      <c r="AH34" s="112">
        <v>0</v>
      </c>
      <c r="AI34" s="112">
        <v>0</v>
      </c>
      <c r="AJ34" s="112">
        <v>0</v>
      </c>
    </row>
    <row r="35" spans="1:36" x14ac:dyDescent="0.15">
      <c r="A35" s="195" t="s">
        <v>225</v>
      </c>
      <c r="B35" s="112">
        <v>0</v>
      </c>
      <c r="C35" s="112">
        <v>0</v>
      </c>
      <c r="D35" s="112">
        <v>0</v>
      </c>
      <c r="E35" s="112">
        <v>0</v>
      </c>
      <c r="F35" s="112">
        <v>0</v>
      </c>
      <c r="G35" s="112">
        <v>0</v>
      </c>
      <c r="H35" s="112">
        <v>0</v>
      </c>
      <c r="I35" s="112">
        <v>0</v>
      </c>
      <c r="J35" s="112">
        <v>0</v>
      </c>
      <c r="K35" s="112">
        <v>0</v>
      </c>
      <c r="L35" s="112">
        <v>1</v>
      </c>
      <c r="M35" s="112">
        <v>1</v>
      </c>
      <c r="N35" s="112">
        <v>1</v>
      </c>
      <c r="O35" s="112">
        <v>1</v>
      </c>
      <c r="P35" s="112">
        <v>1</v>
      </c>
      <c r="Q35" s="112">
        <v>1</v>
      </c>
      <c r="R35" s="112">
        <v>1</v>
      </c>
      <c r="S35" s="112">
        <v>0</v>
      </c>
      <c r="T35" s="112">
        <v>1</v>
      </c>
      <c r="U35" s="112">
        <v>1</v>
      </c>
      <c r="V35" s="112">
        <v>1</v>
      </c>
      <c r="W35" s="112">
        <v>1</v>
      </c>
      <c r="X35" s="112">
        <v>1</v>
      </c>
      <c r="Y35" s="112">
        <v>1</v>
      </c>
      <c r="Z35" s="112">
        <v>1</v>
      </c>
      <c r="AA35" s="112">
        <v>1</v>
      </c>
      <c r="AB35" s="112">
        <v>1</v>
      </c>
      <c r="AC35" s="112">
        <v>1</v>
      </c>
      <c r="AD35" s="112">
        <v>1</v>
      </c>
      <c r="AE35" s="112">
        <v>1</v>
      </c>
      <c r="AF35" s="112">
        <v>1</v>
      </c>
      <c r="AG35" s="112">
        <v>0</v>
      </c>
      <c r="AH35" s="112">
        <v>0</v>
      </c>
      <c r="AI35" s="112">
        <v>0</v>
      </c>
      <c r="AJ35" s="112">
        <v>0</v>
      </c>
    </row>
    <row r="36" spans="1:36" x14ac:dyDescent="0.15">
      <c r="A36" s="195" t="s">
        <v>226</v>
      </c>
      <c r="B36" s="112">
        <v>0</v>
      </c>
      <c r="C36" s="112">
        <v>0</v>
      </c>
      <c r="D36" s="112">
        <v>0</v>
      </c>
      <c r="E36" s="112">
        <v>0</v>
      </c>
      <c r="F36" s="112">
        <v>0</v>
      </c>
      <c r="G36" s="112">
        <v>0</v>
      </c>
      <c r="H36" s="112">
        <v>0</v>
      </c>
      <c r="I36" s="112">
        <v>0</v>
      </c>
      <c r="J36" s="112">
        <v>0</v>
      </c>
      <c r="K36" s="112">
        <v>0</v>
      </c>
      <c r="L36" s="112">
        <v>0</v>
      </c>
      <c r="M36" s="112">
        <v>0</v>
      </c>
      <c r="N36" s="112">
        <v>0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112">
        <v>0</v>
      </c>
      <c r="W36" s="112">
        <v>0</v>
      </c>
      <c r="X36" s="112">
        <v>0</v>
      </c>
      <c r="Y36" s="112">
        <v>0</v>
      </c>
      <c r="Z36" s="112">
        <v>0</v>
      </c>
      <c r="AA36" s="112">
        <v>0</v>
      </c>
      <c r="AB36" s="112">
        <v>0</v>
      </c>
      <c r="AC36" s="112">
        <v>0</v>
      </c>
      <c r="AD36" s="112">
        <v>0</v>
      </c>
      <c r="AE36" s="112">
        <v>0</v>
      </c>
      <c r="AF36" s="112">
        <v>0</v>
      </c>
      <c r="AG36" s="112">
        <v>0</v>
      </c>
      <c r="AH36" s="112">
        <v>0</v>
      </c>
      <c r="AI36" s="112">
        <v>0</v>
      </c>
      <c r="AJ36" s="112">
        <v>0</v>
      </c>
    </row>
    <row r="37" spans="1:36" x14ac:dyDescent="0.15">
      <c r="A37" s="195" t="s">
        <v>236</v>
      </c>
      <c r="B37" s="112">
        <v>0</v>
      </c>
      <c r="C37" s="112">
        <v>0</v>
      </c>
      <c r="D37" s="112">
        <v>0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</v>
      </c>
      <c r="K37" s="112">
        <v>0</v>
      </c>
      <c r="L37" s="112">
        <v>0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</v>
      </c>
      <c r="AF37" s="112">
        <v>0</v>
      </c>
      <c r="AG37" s="112">
        <v>0</v>
      </c>
      <c r="AH37" s="112">
        <v>0</v>
      </c>
      <c r="AI37" s="112">
        <v>0</v>
      </c>
      <c r="AJ37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K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8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83</v>
      </c>
      <c r="B1" s="3" t="s">
        <v>0</v>
      </c>
      <c r="C1" s="198" t="s">
        <v>227</v>
      </c>
      <c r="D1" s="198" t="s">
        <v>228</v>
      </c>
      <c r="E1" s="198" t="s">
        <v>229</v>
      </c>
      <c r="F1" s="198" t="s">
        <v>230</v>
      </c>
      <c r="G1" s="198" t="s">
        <v>231</v>
      </c>
      <c r="H1" s="198" t="s">
        <v>232</v>
      </c>
      <c r="I1" s="198" t="s">
        <v>233</v>
      </c>
      <c r="J1" s="198" t="s">
        <v>234</v>
      </c>
      <c r="K1" s="198" t="s">
        <v>235</v>
      </c>
    </row>
    <row r="2" spans="1:11" x14ac:dyDescent="0.15">
      <c r="A2">
        <v>1</v>
      </c>
      <c r="B2" s="197" t="s">
        <v>192</v>
      </c>
      <c r="C2">
        <v>0</v>
      </c>
      <c r="D2">
        <v>0</v>
      </c>
      <c r="E2">
        <v>0.8</v>
      </c>
      <c r="F2">
        <v>0</v>
      </c>
      <c r="G2">
        <v>0</v>
      </c>
      <c r="H2">
        <v>0.8</v>
      </c>
      <c r="I2">
        <v>0</v>
      </c>
      <c r="J2">
        <v>0</v>
      </c>
      <c r="K2">
        <v>0.8</v>
      </c>
    </row>
    <row r="3" spans="1:11" x14ac:dyDescent="0.15">
      <c r="A3">
        <v>2</v>
      </c>
      <c r="B3" s="19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97" t="s">
        <v>194</v>
      </c>
      <c r="C4">
        <v>0</v>
      </c>
      <c r="D4">
        <v>0</v>
      </c>
      <c r="E4">
        <v>0.8</v>
      </c>
      <c r="F4">
        <v>0</v>
      </c>
      <c r="G4">
        <v>0</v>
      </c>
      <c r="H4">
        <v>0.8</v>
      </c>
      <c r="I4">
        <v>0</v>
      </c>
      <c r="J4">
        <v>0</v>
      </c>
      <c r="K4">
        <v>0.8</v>
      </c>
    </row>
    <row r="5" spans="1:11" x14ac:dyDescent="0.15">
      <c r="A5">
        <v>4</v>
      </c>
      <c r="B5" s="197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9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97" t="s">
        <v>197</v>
      </c>
      <c r="C7">
        <v>0</v>
      </c>
      <c r="D7">
        <v>0.8</v>
      </c>
      <c r="E7">
        <v>0.8</v>
      </c>
      <c r="F7">
        <v>0.8</v>
      </c>
      <c r="G7">
        <v>0.8</v>
      </c>
      <c r="H7">
        <v>0.8</v>
      </c>
      <c r="I7">
        <v>0</v>
      </c>
      <c r="J7">
        <v>0.8</v>
      </c>
      <c r="K7">
        <v>0.8</v>
      </c>
    </row>
    <row r="8" spans="1:11" x14ac:dyDescent="0.15">
      <c r="A8">
        <v>7</v>
      </c>
      <c r="B8" s="197" t="s">
        <v>198</v>
      </c>
      <c r="C8">
        <v>0.8</v>
      </c>
      <c r="D8">
        <v>0</v>
      </c>
      <c r="E8">
        <v>0</v>
      </c>
      <c r="F8">
        <v>0.8</v>
      </c>
      <c r="G8">
        <v>0</v>
      </c>
      <c r="H8">
        <v>0</v>
      </c>
      <c r="I8">
        <v>0.8</v>
      </c>
      <c r="J8">
        <v>0</v>
      </c>
      <c r="K8">
        <v>0</v>
      </c>
    </row>
    <row r="9" spans="1:11" x14ac:dyDescent="0.15">
      <c r="A9">
        <v>8</v>
      </c>
      <c r="B9" s="197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0.8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97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97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97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0.8</v>
      </c>
      <c r="K12">
        <v>0.8</v>
      </c>
    </row>
    <row r="13" spans="1:11" x14ac:dyDescent="0.15">
      <c r="A13">
        <v>12</v>
      </c>
      <c r="B13" s="197" t="s">
        <v>203</v>
      </c>
      <c r="C13">
        <v>0.8</v>
      </c>
      <c r="D13">
        <v>0</v>
      </c>
      <c r="E13">
        <v>0.8</v>
      </c>
      <c r="F13">
        <v>0.8</v>
      </c>
      <c r="G13">
        <v>0</v>
      </c>
      <c r="H13">
        <v>0.8</v>
      </c>
      <c r="I13">
        <v>0.8</v>
      </c>
      <c r="J13">
        <v>0</v>
      </c>
      <c r="K13">
        <v>0</v>
      </c>
    </row>
    <row r="14" spans="1:11" x14ac:dyDescent="0.15">
      <c r="A14">
        <v>13</v>
      </c>
      <c r="B14" s="197" t="s">
        <v>204</v>
      </c>
      <c r="C14">
        <v>0.8</v>
      </c>
      <c r="D14">
        <v>0</v>
      </c>
      <c r="E14">
        <v>0.8</v>
      </c>
      <c r="F14">
        <v>0.8</v>
      </c>
      <c r="G14">
        <v>0</v>
      </c>
      <c r="H14">
        <v>0.8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97" t="s">
        <v>205</v>
      </c>
      <c r="C15">
        <v>0.8</v>
      </c>
      <c r="D15">
        <v>0</v>
      </c>
      <c r="E15">
        <v>0.8</v>
      </c>
      <c r="F15">
        <v>0.8</v>
      </c>
      <c r="G15">
        <v>0</v>
      </c>
      <c r="H15">
        <v>0.8</v>
      </c>
      <c r="I15">
        <v>0.8</v>
      </c>
      <c r="J15">
        <v>0</v>
      </c>
      <c r="K15">
        <v>0.8</v>
      </c>
    </row>
    <row r="16" spans="1:11" x14ac:dyDescent="0.15">
      <c r="A16">
        <v>15</v>
      </c>
      <c r="B16" s="197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0.8</v>
      </c>
      <c r="K16">
        <v>0.8</v>
      </c>
    </row>
    <row r="17" spans="1:11" x14ac:dyDescent="0.15">
      <c r="A17">
        <v>16</v>
      </c>
      <c r="B17" s="197" t="s">
        <v>207</v>
      </c>
      <c r="C17">
        <v>0.8</v>
      </c>
      <c r="D17">
        <v>0.8</v>
      </c>
      <c r="E17">
        <v>0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</v>
      </c>
    </row>
    <row r="18" spans="1:11" x14ac:dyDescent="0.15">
      <c r="A18">
        <v>17</v>
      </c>
      <c r="B18" s="19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97" t="s">
        <v>209</v>
      </c>
      <c r="C19">
        <v>0.8</v>
      </c>
      <c r="D19">
        <v>0</v>
      </c>
      <c r="E19">
        <v>0.8</v>
      </c>
      <c r="F19">
        <v>0.8</v>
      </c>
      <c r="G19">
        <v>0</v>
      </c>
      <c r="H19">
        <v>0.8</v>
      </c>
      <c r="I19">
        <v>0.8</v>
      </c>
      <c r="J19">
        <v>0</v>
      </c>
      <c r="K19">
        <v>0.8</v>
      </c>
    </row>
    <row r="20" spans="1:11" x14ac:dyDescent="0.15">
      <c r="A20">
        <v>19</v>
      </c>
      <c r="B20" s="19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15">
      <c r="A21">
        <v>20</v>
      </c>
      <c r="B21" s="197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97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0.8</v>
      </c>
      <c r="I22">
        <v>0</v>
      </c>
      <c r="J22">
        <v>0</v>
      </c>
      <c r="K22">
        <v>0.8</v>
      </c>
    </row>
    <row r="23" spans="1:11" x14ac:dyDescent="0.15">
      <c r="A23">
        <v>22</v>
      </c>
      <c r="B23" s="197" t="s">
        <v>213</v>
      </c>
      <c r="C23">
        <v>0.8</v>
      </c>
      <c r="D23">
        <v>0</v>
      </c>
      <c r="E23">
        <v>0</v>
      </c>
      <c r="F23">
        <v>0.8</v>
      </c>
      <c r="G23">
        <v>0</v>
      </c>
      <c r="H23">
        <v>0</v>
      </c>
      <c r="I23">
        <v>0.8</v>
      </c>
      <c r="J23">
        <v>0</v>
      </c>
      <c r="K23">
        <v>0</v>
      </c>
    </row>
    <row r="24" spans="1:11" x14ac:dyDescent="0.15">
      <c r="A24">
        <v>23</v>
      </c>
      <c r="B24" s="197" t="s">
        <v>214</v>
      </c>
      <c r="C24">
        <v>0.8</v>
      </c>
      <c r="D24">
        <v>0</v>
      </c>
      <c r="E24">
        <v>0</v>
      </c>
      <c r="F24">
        <v>0.8</v>
      </c>
      <c r="G24">
        <v>0</v>
      </c>
      <c r="H24">
        <v>0</v>
      </c>
      <c r="I24">
        <v>0.8</v>
      </c>
      <c r="J24">
        <v>0</v>
      </c>
      <c r="K24">
        <v>0</v>
      </c>
    </row>
    <row r="25" spans="1:11" x14ac:dyDescent="0.15">
      <c r="A25">
        <v>24</v>
      </c>
      <c r="B25" s="197" t="s">
        <v>215</v>
      </c>
      <c r="C25">
        <v>0.8</v>
      </c>
      <c r="D25">
        <v>0.8</v>
      </c>
      <c r="E25">
        <v>0</v>
      </c>
      <c r="F25">
        <v>0.8</v>
      </c>
      <c r="G25">
        <v>0.8</v>
      </c>
      <c r="H25">
        <v>0.8</v>
      </c>
      <c r="I25">
        <v>0.8</v>
      </c>
      <c r="J25">
        <v>0.8</v>
      </c>
      <c r="K25">
        <v>0</v>
      </c>
    </row>
    <row r="26" spans="1:11" x14ac:dyDescent="0.15">
      <c r="A26">
        <v>25</v>
      </c>
      <c r="B26" s="19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9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97" t="s">
        <v>218</v>
      </c>
      <c r="C28">
        <v>0.8</v>
      </c>
      <c r="D28">
        <v>0</v>
      </c>
      <c r="E28">
        <v>0</v>
      </c>
      <c r="F28">
        <v>0.8</v>
      </c>
      <c r="G28">
        <v>0</v>
      </c>
      <c r="H28">
        <v>0</v>
      </c>
      <c r="I28">
        <v>0.8</v>
      </c>
      <c r="J28">
        <v>0</v>
      </c>
      <c r="K28">
        <v>0</v>
      </c>
    </row>
    <row r="29" spans="1:11" x14ac:dyDescent="0.15">
      <c r="A29">
        <v>28</v>
      </c>
      <c r="B29" s="197" t="s">
        <v>219</v>
      </c>
      <c r="C29">
        <v>0.8</v>
      </c>
      <c r="D29">
        <v>0.8</v>
      </c>
      <c r="E29">
        <v>0</v>
      </c>
      <c r="F29">
        <v>0.8</v>
      </c>
      <c r="G29">
        <v>0.8</v>
      </c>
      <c r="H29">
        <v>0</v>
      </c>
      <c r="I29">
        <v>0.8</v>
      </c>
      <c r="J29">
        <v>0.8</v>
      </c>
      <c r="K29">
        <v>0</v>
      </c>
    </row>
    <row r="30" spans="1:11" x14ac:dyDescent="0.15">
      <c r="A30">
        <v>29</v>
      </c>
      <c r="B30" s="197" t="s">
        <v>220</v>
      </c>
      <c r="C30">
        <v>0.8</v>
      </c>
      <c r="D30">
        <v>0</v>
      </c>
      <c r="E30">
        <v>0</v>
      </c>
      <c r="F30">
        <v>0.8</v>
      </c>
      <c r="G30">
        <v>0</v>
      </c>
      <c r="H30">
        <v>0.8</v>
      </c>
      <c r="I30">
        <v>0.8</v>
      </c>
      <c r="J30">
        <v>0</v>
      </c>
      <c r="K30">
        <v>0.8</v>
      </c>
    </row>
    <row r="31" spans="1:11" x14ac:dyDescent="0.15">
      <c r="A31">
        <v>30</v>
      </c>
      <c r="B31" s="197" t="s">
        <v>221</v>
      </c>
      <c r="C31">
        <v>0.8</v>
      </c>
      <c r="D31">
        <v>0.8</v>
      </c>
      <c r="E31">
        <v>0</v>
      </c>
      <c r="F31">
        <v>0.8</v>
      </c>
      <c r="G31">
        <v>0.8</v>
      </c>
      <c r="H31">
        <v>0</v>
      </c>
      <c r="I31">
        <v>0.8</v>
      </c>
      <c r="J31">
        <v>0.8</v>
      </c>
      <c r="K31">
        <v>0</v>
      </c>
    </row>
    <row r="32" spans="1:11" x14ac:dyDescent="0.15">
      <c r="A32">
        <v>31</v>
      </c>
      <c r="B32" s="19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9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15">
      <c r="A34">
        <v>33</v>
      </c>
      <c r="B34" s="197" t="s">
        <v>224</v>
      </c>
      <c r="C34">
        <v>0.8</v>
      </c>
      <c r="D34">
        <v>0</v>
      </c>
      <c r="E34">
        <v>0</v>
      </c>
      <c r="F34">
        <v>0.8</v>
      </c>
      <c r="G34">
        <v>0</v>
      </c>
      <c r="H34">
        <v>0</v>
      </c>
      <c r="I34">
        <v>0.8</v>
      </c>
      <c r="J34">
        <v>0</v>
      </c>
      <c r="K34">
        <v>0</v>
      </c>
    </row>
    <row r="35" spans="1:11" x14ac:dyDescent="0.15">
      <c r="A35">
        <v>34</v>
      </c>
      <c r="B35" s="19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19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K3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8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82</v>
      </c>
      <c r="B1" s="3" t="s">
        <v>0</v>
      </c>
      <c r="C1" s="200" t="s">
        <v>227</v>
      </c>
      <c r="D1" s="200" t="s">
        <v>228</v>
      </c>
      <c r="E1" s="200" t="s">
        <v>229</v>
      </c>
      <c r="F1" s="200" t="s">
        <v>230</v>
      </c>
      <c r="G1" s="200" t="s">
        <v>231</v>
      </c>
      <c r="H1" s="200" t="s">
        <v>232</v>
      </c>
      <c r="I1" s="200" t="s">
        <v>233</v>
      </c>
      <c r="J1" s="200" t="s">
        <v>234</v>
      </c>
      <c r="K1" s="200" t="s">
        <v>235</v>
      </c>
    </row>
    <row r="2" spans="1:11" x14ac:dyDescent="0.15">
      <c r="A2">
        <v>1</v>
      </c>
      <c r="B2" s="199" t="s">
        <v>192</v>
      </c>
      <c r="C2">
        <v>0</v>
      </c>
      <c r="D2">
        <v>0</v>
      </c>
      <c r="E2">
        <v>0.8</v>
      </c>
      <c r="F2">
        <v>0</v>
      </c>
      <c r="G2">
        <v>0</v>
      </c>
      <c r="H2">
        <v>0.8</v>
      </c>
      <c r="I2">
        <v>0</v>
      </c>
      <c r="J2">
        <v>0</v>
      </c>
      <c r="K2">
        <v>0.8</v>
      </c>
    </row>
    <row r="3" spans="1:11" x14ac:dyDescent="0.15">
      <c r="A3">
        <v>2</v>
      </c>
      <c r="B3" s="19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99" t="s">
        <v>194</v>
      </c>
      <c r="C4">
        <v>0</v>
      </c>
      <c r="D4">
        <v>0</v>
      </c>
      <c r="E4">
        <v>0.8</v>
      </c>
      <c r="F4">
        <v>0</v>
      </c>
      <c r="G4">
        <v>0</v>
      </c>
      <c r="H4">
        <v>0.8</v>
      </c>
      <c r="I4">
        <v>0</v>
      </c>
      <c r="J4">
        <v>0</v>
      </c>
      <c r="K4">
        <v>0.8</v>
      </c>
    </row>
    <row r="5" spans="1:11" x14ac:dyDescent="0.15">
      <c r="A5">
        <v>4</v>
      </c>
      <c r="B5" s="199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9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99" t="s">
        <v>197</v>
      </c>
      <c r="C7">
        <v>0</v>
      </c>
      <c r="D7">
        <v>0.8</v>
      </c>
      <c r="E7">
        <v>0.8</v>
      </c>
      <c r="F7">
        <v>0.8</v>
      </c>
      <c r="G7">
        <v>0.8</v>
      </c>
      <c r="H7">
        <v>0.8</v>
      </c>
      <c r="I7">
        <v>0</v>
      </c>
      <c r="J7">
        <v>0.8</v>
      </c>
      <c r="K7">
        <v>0.8</v>
      </c>
    </row>
    <row r="8" spans="1:11" x14ac:dyDescent="0.15">
      <c r="A8">
        <v>7</v>
      </c>
      <c r="B8" s="199" t="s">
        <v>198</v>
      </c>
      <c r="C8">
        <v>0.8</v>
      </c>
      <c r="D8">
        <v>0</v>
      </c>
      <c r="E8">
        <v>0</v>
      </c>
      <c r="F8">
        <v>0.8</v>
      </c>
      <c r="G8">
        <v>0</v>
      </c>
      <c r="H8">
        <v>0</v>
      </c>
      <c r="I8">
        <v>0.8</v>
      </c>
      <c r="J8">
        <v>0</v>
      </c>
      <c r="K8">
        <v>0</v>
      </c>
    </row>
    <row r="9" spans="1:11" x14ac:dyDescent="0.15">
      <c r="A9">
        <v>8</v>
      </c>
      <c r="B9" s="19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0.8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99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99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99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0.8</v>
      </c>
      <c r="J12">
        <v>0.8</v>
      </c>
      <c r="K12">
        <v>0.8</v>
      </c>
    </row>
    <row r="13" spans="1:11" x14ac:dyDescent="0.15">
      <c r="A13">
        <v>12</v>
      </c>
      <c r="B13" s="199" t="s">
        <v>203</v>
      </c>
      <c r="C13">
        <v>0.8</v>
      </c>
      <c r="D13">
        <v>0</v>
      </c>
      <c r="E13">
        <v>0.8</v>
      </c>
      <c r="F13">
        <v>0.8</v>
      </c>
      <c r="G13">
        <v>0</v>
      </c>
      <c r="H13">
        <v>0.8</v>
      </c>
      <c r="I13">
        <v>0.8</v>
      </c>
      <c r="J13">
        <v>0</v>
      </c>
      <c r="K13">
        <v>0</v>
      </c>
    </row>
    <row r="14" spans="1:11" x14ac:dyDescent="0.15">
      <c r="A14">
        <v>13</v>
      </c>
      <c r="B14" s="199" t="s">
        <v>204</v>
      </c>
      <c r="C14">
        <v>0.8</v>
      </c>
      <c r="D14">
        <v>0</v>
      </c>
      <c r="E14">
        <v>0.8</v>
      </c>
      <c r="F14">
        <v>0.8</v>
      </c>
      <c r="G14">
        <v>0</v>
      </c>
      <c r="H14">
        <v>0.8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99" t="s">
        <v>205</v>
      </c>
      <c r="C15">
        <v>0.8</v>
      </c>
      <c r="D15">
        <v>0</v>
      </c>
      <c r="E15">
        <v>0.8</v>
      </c>
      <c r="F15">
        <v>0.8</v>
      </c>
      <c r="G15">
        <v>0</v>
      </c>
      <c r="H15">
        <v>0.8</v>
      </c>
      <c r="I15">
        <v>0.8</v>
      </c>
      <c r="J15">
        <v>0</v>
      </c>
      <c r="K15">
        <v>0.8</v>
      </c>
    </row>
    <row r="16" spans="1:11" x14ac:dyDescent="0.15">
      <c r="A16">
        <v>15</v>
      </c>
      <c r="B16" s="199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0.8</v>
      </c>
      <c r="K16">
        <v>0.8</v>
      </c>
    </row>
    <row r="17" spans="1:11" x14ac:dyDescent="0.15">
      <c r="A17">
        <v>16</v>
      </c>
      <c r="B17" s="199" t="s">
        <v>207</v>
      </c>
      <c r="C17">
        <v>0.8</v>
      </c>
      <c r="D17">
        <v>0.8</v>
      </c>
      <c r="E17">
        <v>0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</v>
      </c>
    </row>
    <row r="18" spans="1:11" x14ac:dyDescent="0.15">
      <c r="A18">
        <v>17</v>
      </c>
      <c r="B18" s="199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15">
      <c r="A19">
        <v>18</v>
      </c>
      <c r="B19" s="199" t="s">
        <v>209</v>
      </c>
      <c r="C19">
        <v>0.8</v>
      </c>
      <c r="D19">
        <v>0</v>
      </c>
      <c r="E19">
        <v>0.8</v>
      </c>
      <c r="F19">
        <v>0.8</v>
      </c>
      <c r="G19">
        <v>0</v>
      </c>
      <c r="H19">
        <v>0.8</v>
      </c>
      <c r="I19">
        <v>0.8</v>
      </c>
      <c r="J19">
        <v>0</v>
      </c>
      <c r="K19">
        <v>0.8</v>
      </c>
    </row>
    <row r="20" spans="1:11" x14ac:dyDescent="0.15">
      <c r="A20">
        <v>19</v>
      </c>
      <c r="B20" s="199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15">
      <c r="A21">
        <v>20</v>
      </c>
      <c r="B21" s="199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99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0.8</v>
      </c>
      <c r="I22">
        <v>0</v>
      </c>
      <c r="J22">
        <v>0</v>
      </c>
      <c r="K22">
        <v>0.8</v>
      </c>
    </row>
    <row r="23" spans="1:11" x14ac:dyDescent="0.15">
      <c r="A23">
        <v>22</v>
      </c>
      <c r="B23" s="199" t="s">
        <v>213</v>
      </c>
      <c r="C23">
        <v>0.8</v>
      </c>
      <c r="D23">
        <v>0</v>
      </c>
      <c r="E23">
        <v>0</v>
      </c>
      <c r="F23">
        <v>0.8</v>
      </c>
      <c r="G23">
        <v>0</v>
      </c>
      <c r="H23">
        <v>0</v>
      </c>
      <c r="I23">
        <v>0.8</v>
      </c>
      <c r="J23">
        <v>0</v>
      </c>
      <c r="K23">
        <v>0</v>
      </c>
    </row>
    <row r="24" spans="1:11" x14ac:dyDescent="0.15">
      <c r="A24">
        <v>23</v>
      </c>
      <c r="B24" s="199" t="s">
        <v>214</v>
      </c>
      <c r="C24">
        <v>0.8</v>
      </c>
      <c r="D24">
        <v>0</v>
      </c>
      <c r="E24">
        <v>0</v>
      </c>
      <c r="F24">
        <v>0.8</v>
      </c>
      <c r="G24">
        <v>0</v>
      </c>
      <c r="H24">
        <v>0</v>
      </c>
      <c r="I24">
        <v>0.8</v>
      </c>
      <c r="J24">
        <v>0</v>
      </c>
      <c r="K24">
        <v>0</v>
      </c>
    </row>
    <row r="25" spans="1:11" x14ac:dyDescent="0.15">
      <c r="A25">
        <v>24</v>
      </c>
      <c r="B25" s="199" t="s">
        <v>215</v>
      </c>
      <c r="C25">
        <v>0.8</v>
      </c>
      <c r="D25">
        <v>0.8</v>
      </c>
      <c r="E25">
        <v>0</v>
      </c>
      <c r="F25">
        <v>0.8</v>
      </c>
      <c r="G25">
        <v>0.8</v>
      </c>
      <c r="H25">
        <v>0.8</v>
      </c>
      <c r="I25">
        <v>0.8</v>
      </c>
      <c r="J25">
        <v>0.8</v>
      </c>
      <c r="K25">
        <v>0</v>
      </c>
    </row>
    <row r="26" spans="1:11" x14ac:dyDescent="0.15">
      <c r="A26">
        <v>25</v>
      </c>
      <c r="B26" s="199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9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15">
      <c r="A28">
        <v>27</v>
      </c>
      <c r="B28" s="199" t="s">
        <v>218</v>
      </c>
      <c r="C28">
        <v>0.8</v>
      </c>
      <c r="D28">
        <v>0</v>
      </c>
      <c r="E28">
        <v>0</v>
      </c>
      <c r="F28">
        <v>0.8</v>
      </c>
      <c r="G28">
        <v>0</v>
      </c>
      <c r="H28">
        <v>0</v>
      </c>
      <c r="I28">
        <v>0.8</v>
      </c>
      <c r="J28">
        <v>0</v>
      </c>
      <c r="K28">
        <v>0</v>
      </c>
    </row>
    <row r="29" spans="1:11" x14ac:dyDescent="0.15">
      <c r="A29">
        <v>28</v>
      </c>
      <c r="B29" s="199" t="s">
        <v>219</v>
      </c>
      <c r="C29">
        <v>0.8</v>
      </c>
      <c r="D29">
        <v>0.8</v>
      </c>
      <c r="E29">
        <v>0</v>
      </c>
      <c r="F29">
        <v>0.8</v>
      </c>
      <c r="G29">
        <v>0.8</v>
      </c>
      <c r="H29">
        <v>0</v>
      </c>
      <c r="I29">
        <v>0.8</v>
      </c>
      <c r="J29">
        <v>0.8</v>
      </c>
      <c r="K29">
        <v>0</v>
      </c>
    </row>
    <row r="30" spans="1:11" x14ac:dyDescent="0.15">
      <c r="A30">
        <v>29</v>
      </c>
      <c r="B30" s="199" t="s">
        <v>220</v>
      </c>
      <c r="C30">
        <v>0.8</v>
      </c>
      <c r="D30">
        <v>0</v>
      </c>
      <c r="E30">
        <v>0</v>
      </c>
      <c r="F30">
        <v>0.8</v>
      </c>
      <c r="G30">
        <v>0</v>
      </c>
      <c r="H30">
        <v>0.8</v>
      </c>
      <c r="I30">
        <v>0.8</v>
      </c>
      <c r="J30">
        <v>0</v>
      </c>
      <c r="K30">
        <v>0.8</v>
      </c>
    </row>
    <row r="31" spans="1:11" x14ac:dyDescent="0.15">
      <c r="A31">
        <v>30</v>
      </c>
      <c r="B31" s="199" t="s">
        <v>221</v>
      </c>
      <c r="C31">
        <v>0.8</v>
      </c>
      <c r="D31">
        <v>0.8</v>
      </c>
      <c r="E31">
        <v>0</v>
      </c>
      <c r="F31">
        <v>0.8</v>
      </c>
      <c r="G31">
        <v>0.8</v>
      </c>
      <c r="H31">
        <v>0</v>
      </c>
      <c r="I31">
        <v>0.8</v>
      </c>
      <c r="J31">
        <v>0.8</v>
      </c>
      <c r="K31">
        <v>0</v>
      </c>
    </row>
    <row r="32" spans="1:11" x14ac:dyDescent="0.15">
      <c r="A32">
        <v>31</v>
      </c>
      <c r="B32" s="19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9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15">
      <c r="A34">
        <v>33</v>
      </c>
      <c r="B34" s="199" t="s">
        <v>224</v>
      </c>
      <c r="C34">
        <v>0.8</v>
      </c>
      <c r="D34">
        <v>0</v>
      </c>
      <c r="E34">
        <v>0</v>
      </c>
      <c r="F34">
        <v>0.8</v>
      </c>
      <c r="G34">
        <v>0</v>
      </c>
      <c r="H34">
        <v>0</v>
      </c>
      <c r="I34">
        <v>0.8</v>
      </c>
      <c r="J34">
        <v>0</v>
      </c>
      <c r="K34">
        <v>0</v>
      </c>
    </row>
    <row r="35" spans="1:11" x14ac:dyDescent="0.15">
      <c r="A35">
        <v>34</v>
      </c>
      <c r="B35" s="19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15">
      <c r="A36">
        <v>35</v>
      </c>
      <c r="B36" s="19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8" sqref="K8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2">
        <v>1</v>
      </c>
      <c r="B2" s="152" t="s">
        <v>192</v>
      </c>
      <c r="C2" s="8">
        <v>4.0277214050292969</v>
      </c>
      <c r="D2" s="9">
        <v>0.71881002187728882</v>
      </c>
      <c r="E2" s="9">
        <v>0.2800000011920929</v>
      </c>
      <c r="F2" s="9">
        <v>3</v>
      </c>
      <c r="G2" s="9">
        <v>0.74999994039535522</v>
      </c>
      <c r="H2" s="9">
        <v>9.3333333730697632E-2</v>
      </c>
      <c r="I2">
        <v>2.6599997654557228E-2</v>
      </c>
      <c r="J2"/>
    </row>
    <row r="3" spans="1:10" ht="15" customHeight="1" x14ac:dyDescent="0.15">
      <c r="A3" s="153">
        <v>2</v>
      </c>
      <c r="B3" s="153" t="s">
        <v>193</v>
      </c>
      <c r="C3" s="8">
        <v>3.9710283279418945</v>
      </c>
      <c r="D3" s="9">
        <v>1.4173480682075024E-2</v>
      </c>
      <c r="E3" s="9">
        <v>0.54400002956390381</v>
      </c>
      <c r="F3" s="9">
        <v>35.470001220703125</v>
      </c>
      <c r="G3" s="9">
        <v>6.1859641224145889E-2</v>
      </c>
      <c r="H3" s="9">
        <v>1.5336904674768448E-2</v>
      </c>
      <c r="I3">
        <v>0</v>
      </c>
      <c r="J3"/>
    </row>
    <row r="4" spans="1:10" ht="15" customHeight="1" x14ac:dyDescent="0.15">
      <c r="A4" s="154">
        <v>3</v>
      </c>
      <c r="B4" s="154" t="s">
        <v>194</v>
      </c>
      <c r="C4" s="8">
        <v>3.9609682559967041</v>
      </c>
      <c r="D4" s="9">
        <v>8.0000003799796104E-3</v>
      </c>
      <c r="E4" s="9">
        <v>0.414000004529953</v>
      </c>
      <c r="F4" s="9">
        <v>5</v>
      </c>
      <c r="G4" s="9">
        <v>0.79265117645263672</v>
      </c>
      <c r="H4" s="9">
        <v>8.2800000905990601E-2</v>
      </c>
      <c r="I4">
        <v>2.4999990127980709E-3</v>
      </c>
      <c r="J4"/>
    </row>
    <row r="5" spans="1:10" ht="15" customHeight="1" x14ac:dyDescent="0.15">
      <c r="A5" s="155">
        <v>4</v>
      </c>
      <c r="B5" s="155" t="s">
        <v>195</v>
      </c>
      <c r="C5" s="8">
        <v>3.9545514583587646</v>
      </c>
      <c r="D5" s="9">
        <v>4.0000001899898052E-4</v>
      </c>
      <c r="E5" s="9">
        <v>0.5</v>
      </c>
      <c r="F5" s="9">
        <v>45</v>
      </c>
      <c r="G5" s="9">
        <v>9.9362926557660103E-3</v>
      </c>
      <c r="H5" s="9">
        <v>1.1111111380159855E-2</v>
      </c>
      <c r="I5">
        <v>0</v>
      </c>
      <c r="J5"/>
    </row>
    <row r="6" spans="1:10" ht="15" customHeight="1" x14ac:dyDescent="0.15">
      <c r="A6" s="156">
        <v>5</v>
      </c>
      <c r="B6" s="156" t="s">
        <v>196</v>
      </c>
      <c r="C6" s="8">
        <v>3.9265227317810059</v>
      </c>
      <c r="D6" s="9">
        <v>0.17399999499320984</v>
      </c>
      <c r="E6" s="9">
        <v>0.23600000143051147</v>
      </c>
      <c r="F6" s="9">
        <v>26.448999404907227</v>
      </c>
      <c r="G6" s="9">
        <v>0.10619653016328812</v>
      </c>
      <c r="H6" s="9">
        <v>8.9228330180048943E-3</v>
      </c>
      <c r="I6">
        <v>0</v>
      </c>
      <c r="J6"/>
    </row>
    <row r="7" spans="1:10" ht="15" customHeight="1" x14ac:dyDescent="0.15">
      <c r="A7" s="157">
        <v>6</v>
      </c>
      <c r="B7" s="157" t="s">
        <v>197</v>
      </c>
      <c r="C7" s="8">
        <v>3.9153628349304199</v>
      </c>
      <c r="D7" s="9">
        <v>1.500000013038516E-3</v>
      </c>
      <c r="E7" s="9">
        <v>0.60000002384185791</v>
      </c>
      <c r="F7" s="9">
        <v>30</v>
      </c>
      <c r="G7" s="9">
        <v>0.30109122395515442</v>
      </c>
      <c r="H7" s="9">
        <v>2.0000001415610313E-2</v>
      </c>
      <c r="I7">
        <v>2.6882439851760864E-4</v>
      </c>
      <c r="J7"/>
    </row>
    <row r="8" spans="1:10" ht="15" customHeight="1" x14ac:dyDescent="0.15">
      <c r="A8" s="158">
        <v>7</v>
      </c>
      <c r="B8" s="158" t="s">
        <v>198</v>
      </c>
      <c r="C8" s="8">
        <v>3.824617862701416</v>
      </c>
      <c r="D8" s="9">
        <v>1.9609706476330757E-2</v>
      </c>
      <c r="E8" s="9">
        <v>0.69999998807907104</v>
      </c>
      <c r="F8" s="9">
        <v>10.271934509277344</v>
      </c>
      <c r="G8" s="9">
        <v>0.59391593933105469</v>
      </c>
      <c r="H8" s="9">
        <v>6.8146847188472748E-2</v>
      </c>
      <c r="I8">
        <v>7.277462282218039E-4</v>
      </c>
      <c r="J8"/>
    </row>
    <row r="9" spans="1:10" ht="15" customHeight="1" x14ac:dyDescent="0.15">
      <c r="A9" s="159">
        <v>8</v>
      </c>
      <c r="B9" s="159" t="s">
        <v>199</v>
      </c>
      <c r="C9" s="8">
        <v>3.7926757335662842</v>
      </c>
      <c r="D9" s="9">
        <v>0.1470000147819519</v>
      </c>
      <c r="E9" s="9">
        <v>0.44999998807907104</v>
      </c>
      <c r="F9" s="9">
        <v>1.8500000238418579</v>
      </c>
      <c r="G9" s="9">
        <v>0.58622133731842041</v>
      </c>
      <c r="H9" s="9">
        <v>0.24324323236942291</v>
      </c>
      <c r="I9">
        <v>1.2799999676644802E-2</v>
      </c>
      <c r="J9"/>
    </row>
    <row r="10" spans="1:10" ht="15" customHeight="1" x14ac:dyDescent="0.15">
      <c r="A10" s="160">
        <v>9</v>
      </c>
      <c r="B10" s="160" t="s">
        <v>200</v>
      </c>
      <c r="C10" s="8">
        <v>3.5479831695556641</v>
      </c>
      <c r="D10" s="9">
        <v>9.0000003576278687E-2</v>
      </c>
      <c r="E10" s="9">
        <v>0.20000000298023224</v>
      </c>
      <c r="F10" s="9">
        <v>2.9200000762939453</v>
      </c>
      <c r="G10" s="9">
        <v>3.7219136953353882E-2</v>
      </c>
      <c r="H10" s="9">
        <v>6.8493150174617767E-2</v>
      </c>
      <c r="I10">
        <v>0</v>
      </c>
      <c r="J10"/>
    </row>
    <row r="11" spans="1:10" ht="15" customHeight="1" x14ac:dyDescent="0.15">
      <c r="A11" s="161">
        <v>10</v>
      </c>
      <c r="B11" s="161" t="s">
        <v>201</v>
      </c>
      <c r="C11" s="8">
        <v>3.4458284378051758</v>
      </c>
      <c r="D11" s="9">
        <v>1.3399998715613037E-4</v>
      </c>
      <c r="E11" s="9">
        <v>0.25</v>
      </c>
      <c r="F11" s="9">
        <v>45</v>
      </c>
      <c r="G11" s="9">
        <v>5.9321161359548569E-2</v>
      </c>
      <c r="H11" s="9">
        <v>5.5555556900799274E-3</v>
      </c>
      <c r="I11">
        <v>0</v>
      </c>
      <c r="J11"/>
    </row>
    <row r="12" spans="1:10" ht="15" customHeight="1" x14ac:dyDescent="0.15">
      <c r="A12" s="162">
        <v>11</v>
      </c>
      <c r="B12" s="162" t="s">
        <v>202</v>
      </c>
      <c r="C12" s="8">
        <v>3.4353728294372559</v>
      </c>
      <c r="D12" s="9">
        <v>0.25210410356521606</v>
      </c>
      <c r="E12" s="9">
        <v>2.9500000476837158</v>
      </c>
      <c r="F12" s="9">
        <v>12.100000381469727</v>
      </c>
      <c r="G12" s="9">
        <v>0.68747764825820923</v>
      </c>
      <c r="H12" s="9">
        <v>0.24380165338516235</v>
      </c>
      <c r="I12">
        <v>3.7853486835956573E-2</v>
      </c>
      <c r="J12"/>
    </row>
    <row r="13" spans="1:10" ht="15" customHeight="1" x14ac:dyDescent="0.15">
      <c r="A13" s="163">
        <v>12</v>
      </c>
      <c r="B13" s="163" t="s">
        <v>203</v>
      </c>
      <c r="C13" s="8">
        <v>3.32291579246521</v>
      </c>
      <c r="D13" s="9">
        <v>0.14964450895786285</v>
      </c>
      <c r="E13" s="9">
        <v>0.68000000715255737</v>
      </c>
      <c r="F13" s="9">
        <v>2.5999999046325684</v>
      </c>
      <c r="G13" s="9">
        <v>0.63903075456619263</v>
      </c>
      <c r="H13" s="9">
        <v>0.26153847575187683</v>
      </c>
      <c r="I13">
        <v>1.6269847750663757E-2</v>
      </c>
      <c r="J13"/>
    </row>
    <row r="14" spans="1:10" ht="15" customHeight="1" x14ac:dyDescent="0.15">
      <c r="A14" s="164">
        <v>13</v>
      </c>
      <c r="B14" s="164" t="s">
        <v>204</v>
      </c>
      <c r="C14" s="8">
        <v>3.2616846561431885</v>
      </c>
      <c r="D14" s="9">
        <v>1.9843500107526779E-2</v>
      </c>
      <c r="E14" s="9">
        <v>0.79000002145767212</v>
      </c>
      <c r="F14" s="9">
        <v>3.5999999046325684</v>
      </c>
      <c r="G14" s="9">
        <v>0.86597323417663574</v>
      </c>
      <c r="H14" s="9">
        <v>0.21944445371627808</v>
      </c>
      <c r="I14">
        <v>4.5799999497830868E-3</v>
      </c>
      <c r="J14"/>
    </row>
    <row r="15" spans="1:10" ht="15" customHeight="1" x14ac:dyDescent="0.15">
      <c r="A15" s="165">
        <v>14</v>
      </c>
      <c r="B15" s="165" t="s">
        <v>205</v>
      </c>
      <c r="C15" s="8">
        <v>3.1024234294891357</v>
      </c>
      <c r="D15" s="9">
        <v>0.41394779086112976</v>
      </c>
      <c r="E15" s="9">
        <v>0.93000000715255737</v>
      </c>
      <c r="F15" s="9">
        <v>5.0999999046325684</v>
      </c>
      <c r="G15" s="9">
        <v>0.78979206085205078</v>
      </c>
      <c r="H15" s="9">
        <v>0.1823529452085495</v>
      </c>
      <c r="I15">
        <v>8.3110615611076355E-2</v>
      </c>
      <c r="J15"/>
    </row>
    <row r="16" spans="1:10" ht="15" customHeight="1" x14ac:dyDescent="0.15">
      <c r="A16" s="166">
        <v>15</v>
      </c>
      <c r="B16" s="166" t="s">
        <v>206</v>
      </c>
      <c r="C16" s="8">
        <v>3.0198681354522705</v>
      </c>
      <c r="D16" s="9">
        <v>2.1038475036621094</v>
      </c>
      <c r="E16" s="9">
        <v>1.9500000476837158</v>
      </c>
      <c r="F16" s="9">
        <v>7.9539999961853027</v>
      </c>
      <c r="G16" s="9">
        <v>0.94999659061431885</v>
      </c>
      <c r="H16" s="9">
        <v>0.24515967071056366</v>
      </c>
      <c r="I16">
        <v>0.25234335660934448</v>
      </c>
      <c r="J16"/>
    </row>
    <row r="17" spans="1:10" ht="15" customHeight="1" x14ac:dyDescent="0.15">
      <c r="A17" s="167">
        <v>16</v>
      </c>
      <c r="B17" s="167" t="s">
        <v>207</v>
      </c>
      <c r="C17" s="8">
        <v>3.0096399784088135</v>
      </c>
      <c r="D17" s="9">
        <v>6.9213598966598511E-2</v>
      </c>
      <c r="E17" s="9">
        <v>2.8499999046325684</v>
      </c>
      <c r="F17" s="9">
        <v>14.399999618530273</v>
      </c>
      <c r="G17" s="9">
        <v>0.82795560359954834</v>
      </c>
      <c r="H17" s="9">
        <v>0.1979166716337204</v>
      </c>
      <c r="I17">
        <v>0.11243179440498352</v>
      </c>
      <c r="J17"/>
    </row>
    <row r="18" spans="1:10" ht="15" customHeight="1" x14ac:dyDescent="0.15">
      <c r="A18" s="168">
        <v>17</v>
      </c>
      <c r="B18" s="168" t="s">
        <v>208</v>
      </c>
      <c r="C18" s="8">
        <v>3.0013232231140137</v>
      </c>
      <c r="D18" s="9">
        <v>2.1514153108000755E-2</v>
      </c>
      <c r="E18" s="9">
        <v>3</v>
      </c>
      <c r="F18" s="9">
        <v>8.5</v>
      </c>
      <c r="G18" s="9">
        <v>0.7506784200668335</v>
      </c>
      <c r="H18" s="9">
        <v>0.35294118523597717</v>
      </c>
      <c r="I18">
        <v>0</v>
      </c>
      <c r="J18"/>
    </row>
    <row r="19" spans="1:10" ht="15" customHeight="1" x14ac:dyDescent="0.15">
      <c r="A19" s="169">
        <v>18</v>
      </c>
      <c r="B19" s="169" t="s">
        <v>209</v>
      </c>
      <c r="C19" s="8">
        <v>2.9748680591583252</v>
      </c>
      <c r="D19" s="9">
        <v>1.554789662361145</v>
      </c>
      <c r="E19" s="9">
        <v>3.2999999523162842</v>
      </c>
      <c r="F19" s="9">
        <v>10.555999755859375</v>
      </c>
      <c r="G19" s="9">
        <v>0.94999998807907104</v>
      </c>
      <c r="H19" s="9">
        <v>0.31261840462684631</v>
      </c>
      <c r="I19">
        <v>1.2358985841274261E-2</v>
      </c>
      <c r="J19"/>
    </row>
    <row r="20" spans="1:10" ht="15" customHeight="1" x14ac:dyDescent="0.15">
      <c r="A20" s="170">
        <v>19</v>
      </c>
      <c r="B20" s="170" t="s">
        <v>210</v>
      </c>
      <c r="C20" s="8">
        <v>2.875</v>
      </c>
      <c r="D20" s="9">
        <v>3.8013819605112076E-2</v>
      </c>
      <c r="E20" s="9">
        <v>8.5</v>
      </c>
      <c r="F20" s="9">
        <v>40.189414978027344</v>
      </c>
      <c r="G20" s="9">
        <v>0.48702654242515564</v>
      </c>
      <c r="H20" s="9">
        <v>0.21149846911430359</v>
      </c>
      <c r="I20">
        <v>0</v>
      </c>
      <c r="J20"/>
    </row>
    <row r="21" spans="1:10" ht="15" customHeight="1" x14ac:dyDescent="0.15">
      <c r="A21" s="171">
        <v>20</v>
      </c>
      <c r="B21" s="171" t="s">
        <v>211</v>
      </c>
      <c r="C21" s="8">
        <v>2.875</v>
      </c>
      <c r="D21" s="9">
        <v>0.11858511716127396</v>
      </c>
      <c r="E21" s="9">
        <v>9</v>
      </c>
      <c r="F21" s="9">
        <v>37.106426239013672</v>
      </c>
      <c r="G21" s="9">
        <v>0.21528346836566925</v>
      </c>
      <c r="H21" s="9">
        <v>0.24254558980464935</v>
      </c>
      <c r="I21">
        <v>0</v>
      </c>
      <c r="J21"/>
    </row>
    <row r="22" spans="1:10" ht="15" customHeight="1" x14ac:dyDescent="0.15">
      <c r="A22" s="172">
        <v>21</v>
      </c>
      <c r="B22" s="172" t="s">
        <v>212</v>
      </c>
      <c r="C22" s="8">
        <v>2.818061351776123</v>
      </c>
      <c r="D22" s="9">
        <v>2.3241598606109619</v>
      </c>
      <c r="E22" s="9">
        <v>3.4500000476837158</v>
      </c>
      <c r="F22" s="9">
        <v>11.680000305175781</v>
      </c>
      <c r="G22" s="9">
        <v>0.75</v>
      </c>
      <c r="H22" s="9">
        <v>0.29537671804428101</v>
      </c>
      <c r="I22">
        <v>3.7599998904624954E-5</v>
      </c>
      <c r="J22"/>
    </row>
    <row r="23" spans="1:10" ht="15" customHeight="1" x14ac:dyDescent="0.15">
      <c r="A23" s="173">
        <v>22</v>
      </c>
      <c r="B23" s="173" t="s">
        <v>213</v>
      </c>
      <c r="C23" s="8">
        <v>2.7747054100036621</v>
      </c>
      <c r="D23" s="9">
        <v>0.22831134498119354</v>
      </c>
      <c r="E23" s="9">
        <v>0.64999997615814209</v>
      </c>
      <c r="F23" s="9">
        <v>10.699999809265137</v>
      </c>
      <c r="G23" s="9">
        <v>0.74999988079071045</v>
      </c>
      <c r="H23" s="9">
        <v>6.07476606965065E-2</v>
      </c>
      <c r="I23">
        <v>8.8235534727573395E-2</v>
      </c>
      <c r="J23"/>
    </row>
    <row r="24" spans="1:10" ht="15" customHeight="1" x14ac:dyDescent="0.15">
      <c r="A24" s="174">
        <v>23</v>
      </c>
      <c r="B24" s="174" t="s">
        <v>214</v>
      </c>
      <c r="C24" s="8">
        <v>2.7714159488677979</v>
      </c>
      <c r="D24" s="9">
        <v>1.1685681343078613</v>
      </c>
      <c r="E24" s="9">
        <v>1.4559999704360962</v>
      </c>
      <c r="F24" s="9">
        <v>7.9369997978210449</v>
      </c>
      <c r="G24" s="9">
        <v>0.94999992847442627</v>
      </c>
      <c r="H24" s="9">
        <v>0.18344463407993317</v>
      </c>
      <c r="I24">
        <v>3.3876143395900726E-2</v>
      </c>
      <c r="J24"/>
    </row>
    <row r="25" spans="1:10" ht="15" customHeight="1" x14ac:dyDescent="0.15">
      <c r="A25" s="175">
        <v>24</v>
      </c>
      <c r="B25" s="175" t="s">
        <v>215</v>
      </c>
      <c r="C25" s="8">
        <v>2.6427531242370605</v>
      </c>
      <c r="D25" s="9">
        <v>0.31704398989677429</v>
      </c>
      <c r="E25" s="9">
        <v>1.6499999761581421</v>
      </c>
      <c r="F25" s="9">
        <v>6.1999998092651367</v>
      </c>
      <c r="G25" s="9">
        <v>0.64900404214859009</v>
      </c>
      <c r="H25" s="9">
        <v>0.26612904667854309</v>
      </c>
      <c r="I25">
        <v>0.12761867046356201</v>
      </c>
      <c r="J25"/>
    </row>
    <row r="26" spans="1:10" ht="15" customHeight="1" x14ac:dyDescent="0.15">
      <c r="A26" s="176">
        <v>25</v>
      </c>
      <c r="B26" s="176" t="s">
        <v>216</v>
      </c>
      <c r="C26" s="8">
        <v>2.5341391563415527</v>
      </c>
      <c r="D26" s="9">
        <v>0.61929780244827271</v>
      </c>
      <c r="E26" s="9">
        <v>2.6500000953674316</v>
      </c>
      <c r="F26" s="9">
        <v>9.0719995498657227</v>
      </c>
      <c r="G26" s="9">
        <v>7.1077018976211548E-2</v>
      </c>
      <c r="H26" s="9">
        <v>0.29210761189460754</v>
      </c>
      <c r="I26">
        <v>0</v>
      </c>
      <c r="J26"/>
    </row>
    <row r="27" spans="1:10" ht="15" customHeight="1" x14ac:dyDescent="0.15">
      <c r="A27" s="177">
        <v>26</v>
      </c>
      <c r="B27" s="177" t="s">
        <v>217</v>
      </c>
      <c r="C27" s="8">
        <v>2.473308801651001</v>
      </c>
      <c r="D27" s="9">
        <v>5.0700011253356934</v>
      </c>
      <c r="E27" s="9">
        <v>8</v>
      </c>
      <c r="F27" s="9">
        <v>27</v>
      </c>
      <c r="G27" s="9">
        <v>0.95000153779983521</v>
      </c>
      <c r="H27" s="9">
        <v>0.29629629850387573</v>
      </c>
      <c r="I27">
        <v>0</v>
      </c>
      <c r="J27"/>
    </row>
    <row r="28" spans="1:10" ht="15" customHeight="1" x14ac:dyDescent="0.15">
      <c r="A28" s="178">
        <v>27</v>
      </c>
      <c r="B28" s="178" t="s">
        <v>218</v>
      </c>
      <c r="C28" s="8">
        <v>2.4623806476593018</v>
      </c>
      <c r="D28" s="9">
        <v>6.585095077753067E-2</v>
      </c>
      <c r="E28" s="9">
        <v>2.5</v>
      </c>
      <c r="F28" s="9">
        <v>8.6999998092651367</v>
      </c>
      <c r="G28" s="9">
        <v>0.76640689373016357</v>
      </c>
      <c r="H28" s="9">
        <v>0.28735631704330444</v>
      </c>
      <c r="I28">
        <v>1.6938071697950363E-2</v>
      </c>
      <c r="J28"/>
    </row>
    <row r="29" spans="1:10" ht="15" customHeight="1" x14ac:dyDescent="0.15">
      <c r="A29" s="179">
        <v>28</v>
      </c>
      <c r="B29" s="179" t="s">
        <v>219</v>
      </c>
      <c r="C29" s="8">
        <v>2.4490730762481689</v>
      </c>
      <c r="D29" s="9">
        <v>0.20000000298023224</v>
      </c>
      <c r="E29" s="9">
        <v>5.4000000953674316</v>
      </c>
      <c r="F29" s="9">
        <v>19.121000289916992</v>
      </c>
      <c r="G29" s="9">
        <v>0.88535028696060181</v>
      </c>
      <c r="H29" s="9">
        <v>0.28241202235221863</v>
      </c>
      <c r="I29">
        <v>0.28009766340255737</v>
      </c>
      <c r="J29"/>
    </row>
    <row r="30" spans="1:10" ht="15" customHeight="1" x14ac:dyDescent="0.15">
      <c r="A30" s="180">
        <v>29</v>
      </c>
      <c r="B30" s="180" t="s">
        <v>220</v>
      </c>
      <c r="C30" s="8">
        <v>2.4239330291748047</v>
      </c>
      <c r="D30" s="9">
        <v>2.8859999179840088</v>
      </c>
      <c r="E30" s="9">
        <v>30</v>
      </c>
      <c r="F30" s="9">
        <v>84</v>
      </c>
      <c r="G30" s="9">
        <v>0.52256327867507935</v>
      </c>
      <c r="H30" s="9">
        <v>0.3571428656578064</v>
      </c>
      <c r="I30">
        <v>0.17720609903335571</v>
      </c>
      <c r="J30"/>
    </row>
    <row r="31" spans="1:10" ht="15" customHeight="1" x14ac:dyDescent="0.15">
      <c r="A31" s="181">
        <v>30</v>
      </c>
      <c r="B31" s="181" t="s">
        <v>221</v>
      </c>
      <c r="C31" s="8">
        <v>2.4073104858398438</v>
      </c>
      <c r="D31" s="9">
        <v>8.0000005662441254E-2</v>
      </c>
      <c r="E31" s="9">
        <v>5.4000000953674316</v>
      </c>
      <c r="F31" s="9">
        <v>19.899999618530273</v>
      </c>
      <c r="G31" s="9">
        <v>0.73973625898361206</v>
      </c>
      <c r="H31" s="9">
        <v>0.27135679125785828</v>
      </c>
      <c r="I31">
        <v>0.14004883170127869</v>
      </c>
      <c r="J31"/>
    </row>
    <row r="32" spans="1:10" ht="15" customHeight="1" x14ac:dyDescent="0.15">
      <c r="A32" s="209">
        <v>31</v>
      </c>
      <c r="B32" s="209" t="s">
        <v>222</v>
      </c>
      <c r="C32" s="8">
        <v>2.25</v>
      </c>
      <c r="D32" s="9">
        <v>28</v>
      </c>
      <c r="E32" s="9">
        <v>25</v>
      </c>
      <c r="F32" s="9">
        <v>70</v>
      </c>
      <c r="G32" s="9">
        <v>0.68731629848480225</v>
      </c>
      <c r="H32" s="9">
        <v>0.3571428656578064</v>
      </c>
      <c r="I32">
        <v>0</v>
      </c>
      <c r="J32"/>
    </row>
    <row r="33" spans="1:10" ht="15" customHeight="1" x14ac:dyDescent="0.15">
      <c r="A33" s="210">
        <v>32</v>
      </c>
      <c r="B33" s="210" t="s">
        <v>223</v>
      </c>
      <c r="C33" s="8">
        <v>1</v>
      </c>
      <c r="D33" s="9">
        <v>116</v>
      </c>
      <c r="E33" s="9">
        <v>57.849998474121094</v>
      </c>
      <c r="F33" s="10"/>
      <c r="G33" s="9">
        <v>0.21716992557048798</v>
      </c>
      <c r="H33" s="10"/>
      <c r="I33">
        <v>0</v>
      </c>
      <c r="J33"/>
    </row>
    <row r="34" spans="1:10" ht="15" customHeight="1" x14ac:dyDescent="0.15">
      <c r="A34" s="211">
        <v>33</v>
      </c>
      <c r="B34" s="211" t="s">
        <v>224</v>
      </c>
      <c r="C34" s="8">
        <v>1</v>
      </c>
      <c r="D34" s="9">
        <v>1.6099998950958252</v>
      </c>
      <c r="E34" s="9">
        <v>58.200000762939453</v>
      </c>
      <c r="F34" s="10"/>
      <c r="G34" s="9">
        <v>0.43687781691551208</v>
      </c>
      <c r="H34" s="10"/>
      <c r="I34">
        <v>2.7179690077900887E-3</v>
      </c>
      <c r="J34"/>
    </row>
    <row r="35" spans="1:10" ht="15" customHeight="1" x14ac:dyDescent="0.15">
      <c r="A35" s="212">
        <v>34</v>
      </c>
      <c r="B35" s="212" t="s">
        <v>225</v>
      </c>
      <c r="C35" s="8">
        <v>1</v>
      </c>
      <c r="D35" s="9">
        <v>88.519996643066406</v>
      </c>
      <c r="E35" s="10"/>
      <c r="F35" s="10"/>
      <c r="G35" s="9">
        <v>6.0052230954170227E-2</v>
      </c>
      <c r="H35" s="10"/>
      <c r="I35">
        <v>0</v>
      </c>
      <c r="J35"/>
    </row>
    <row r="36" spans="1:10" ht="15" customHeight="1" x14ac:dyDescent="0.15">
      <c r="A36" s="213">
        <v>35</v>
      </c>
      <c r="B36" s="213" t="s">
        <v>226</v>
      </c>
      <c r="C36" s="8">
        <v>1</v>
      </c>
      <c r="D36" s="9">
        <v>5</v>
      </c>
      <c r="E36" s="10"/>
      <c r="F36" s="10"/>
      <c r="G36" s="7">
        <v>0</v>
      </c>
      <c r="H36" s="10"/>
      <c r="I36">
        <v>0</v>
      </c>
      <c r="J36"/>
    </row>
    <row r="37" spans="1:10" ht="15" customHeight="1" x14ac:dyDescent="0.15">
      <c r="A37" s="214">
        <v>36</v>
      </c>
      <c r="B37" s="214" t="s">
        <v>227</v>
      </c>
      <c r="C37" s="8">
        <v>3.7426221370697021</v>
      </c>
      <c r="D37" s="10"/>
      <c r="E37" s="10"/>
      <c r="F37" s="10"/>
      <c r="G37" s="10"/>
      <c r="H37" s="10"/>
      <c r="I37">
        <v>0.85165435075759888</v>
      </c>
      <c r="J37"/>
    </row>
    <row r="38" spans="1:10" ht="15" customHeight="1" x14ac:dyDescent="0.15">
      <c r="A38" s="215">
        <v>37</v>
      </c>
      <c r="B38" s="215" t="s">
        <v>228</v>
      </c>
      <c r="C38" s="8">
        <v>3.4639425277709961</v>
      </c>
      <c r="D38" s="10"/>
      <c r="E38" s="10"/>
      <c r="F38" s="10"/>
      <c r="G38" s="10"/>
      <c r="H38" s="10"/>
      <c r="I38">
        <v>0.1892702579498291</v>
      </c>
      <c r="J38"/>
    </row>
    <row r="39" spans="1:10" ht="15" customHeight="1" x14ac:dyDescent="0.15">
      <c r="A39" s="216">
        <v>38</v>
      </c>
      <c r="B39" s="216" t="s">
        <v>229</v>
      </c>
      <c r="C39" s="8">
        <v>4.6523113250732422</v>
      </c>
      <c r="D39" s="10"/>
      <c r="E39" s="10"/>
      <c r="F39" s="10"/>
      <c r="G39" s="10"/>
      <c r="H39" s="10"/>
      <c r="I39">
        <v>2.531171590089798E-2</v>
      </c>
      <c r="J39"/>
    </row>
    <row r="40" spans="1:10" ht="15" customHeight="1" x14ac:dyDescent="0.15">
      <c r="A40" s="217">
        <v>39</v>
      </c>
      <c r="B40" s="217" t="s">
        <v>230</v>
      </c>
      <c r="C40" s="8">
        <v>3.8028919696807861</v>
      </c>
      <c r="D40" s="10"/>
      <c r="E40" s="10"/>
      <c r="F40" s="10"/>
      <c r="G40" s="10"/>
      <c r="H40" s="10"/>
      <c r="I40">
        <v>0.22295786440372467</v>
      </c>
      <c r="J40"/>
    </row>
    <row r="41" spans="1:10" ht="15" customHeight="1" x14ac:dyDescent="0.15">
      <c r="A41" s="218">
        <v>40</v>
      </c>
      <c r="B41" s="218" t="s">
        <v>231</v>
      </c>
      <c r="C41" s="8">
        <v>3.5735118389129639</v>
      </c>
      <c r="D41" s="10"/>
      <c r="E41" s="10"/>
      <c r="F41" s="10"/>
      <c r="G41" s="10"/>
      <c r="H41" s="10"/>
      <c r="I41">
        <v>3.9384346455335617E-2</v>
      </c>
      <c r="J41"/>
    </row>
    <row r="42" spans="1:10" ht="15" customHeight="1" x14ac:dyDescent="0.15">
      <c r="A42" s="219">
        <v>41</v>
      </c>
      <c r="B42" s="219" t="s">
        <v>232</v>
      </c>
      <c r="C42" s="8">
        <v>4.6865334510803223</v>
      </c>
      <c r="D42" s="10"/>
      <c r="E42" s="10"/>
      <c r="F42" s="10"/>
      <c r="G42" s="10"/>
      <c r="H42" s="10"/>
      <c r="I42">
        <v>3.7740446627140045E-2</v>
      </c>
      <c r="J42"/>
    </row>
    <row r="43" spans="1:10" ht="15" customHeight="1" x14ac:dyDescent="0.15">
      <c r="A43" s="220">
        <v>42</v>
      </c>
      <c r="B43" s="220" t="s">
        <v>233</v>
      </c>
      <c r="C43" s="8">
        <v>3.7833490371704102</v>
      </c>
      <c r="D43" s="10"/>
      <c r="E43" s="10"/>
      <c r="F43" s="10"/>
      <c r="G43" s="10"/>
      <c r="H43" s="10"/>
      <c r="I43">
        <v>4.1079334914684296E-2</v>
      </c>
      <c r="J43"/>
    </row>
    <row r="44" spans="1:10" ht="15" customHeight="1" x14ac:dyDescent="0.15">
      <c r="A44" s="221">
        <v>43</v>
      </c>
      <c r="B44" s="221" t="s">
        <v>234</v>
      </c>
      <c r="C44" s="8">
        <v>3.7748901844024658</v>
      </c>
      <c r="D44" s="10"/>
      <c r="E44" s="10"/>
      <c r="F44" s="10"/>
      <c r="G44" s="10"/>
      <c r="H44" s="10"/>
      <c r="I44">
        <v>1.4596824534237385E-2</v>
      </c>
      <c r="J44"/>
    </row>
    <row r="45" spans="1:10" ht="15" customHeight="1" x14ac:dyDescent="0.15">
      <c r="A45" s="222">
        <v>44</v>
      </c>
      <c r="B45" s="222" t="s">
        <v>235</v>
      </c>
      <c r="C45" s="8">
        <v>4.2965421676635742</v>
      </c>
      <c r="D45" s="10"/>
      <c r="E45" s="10"/>
      <c r="F45" s="10"/>
      <c r="G45" s="10"/>
      <c r="H45" s="10"/>
      <c r="I45">
        <v>6.6260662861168385E-3</v>
      </c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0.2800000011920929</v>
      </c>
      <c r="C2">
        <v>7.0000015199184418E-2</v>
      </c>
      <c r="D2"/>
      <c r="E2"/>
      <c r="F2" s="68">
        <v>1.7368828877806664E-2</v>
      </c>
      <c r="G2"/>
      <c r="H2"/>
      <c r="I2" s="68">
        <v>1.7801282927393913E-2</v>
      </c>
      <c r="J2"/>
      <c r="K2"/>
      <c r="L2" s="23">
        <v>1.8354919739067554E-3</v>
      </c>
      <c r="M2" s="245">
        <v>3.0017921701073647E-2</v>
      </c>
      <c r="N2" s="241">
        <v>1.3920982368290424E-2</v>
      </c>
      <c r="O2"/>
      <c r="P2" s="12">
        <v>1.1527441674843431E-3</v>
      </c>
      <c r="Q2" s="143">
        <v>0.12790274620056152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0.54400002956390381</v>
      </c>
      <c r="C3">
        <v>0.51034837961196899</v>
      </c>
      <c r="D3"/>
      <c r="E3"/>
      <c r="F3"/>
      <c r="G3"/>
      <c r="H3"/>
      <c r="I3"/>
      <c r="J3"/>
      <c r="K3"/>
      <c r="L3"/>
      <c r="M3" s="234">
        <v>3.0447263270616531E-2</v>
      </c>
      <c r="N3"/>
      <c r="O3"/>
      <c r="P3"/>
      <c r="Q3" s="23">
        <v>3.2043831888586283E-3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0.414000004529953</v>
      </c>
      <c r="C4">
        <v>8.5842415690422058E-2</v>
      </c>
      <c r="D4"/>
      <c r="E4"/>
      <c r="F4" s="150">
        <v>0.10416661947965622</v>
      </c>
      <c r="G4"/>
      <c r="H4"/>
      <c r="I4" s="150">
        <v>0.10416661947965622</v>
      </c>
      <c r="J4"/>
      <c r="K4"/>
      <c r="L4" s="150">
        <v>0.10416661947965622</v>
      </c>
      <c r="M4" s="11">
        <v>2.6971479201165494E-6</v>
      </c>
      <c r="N4" s="17">
        <v>6.0026668943464756E-3</v>
      </c>
      <c r="O4"/>
      <c r="P4"/>
      <c r="Q4" s="17">
        <v>5.6771575473248959E-3</v>
      </c>
      <c r="R4"/>
      <c r="S4"/>
      <c r="T4"/>
      <c r="U4"/>
      <c r="V4"/>
      <c r="W4"/>
      <c r="X4"/>
      <c r="Y4"/>
      <c r="Z4"/>
      <c r="AA4" s="15">
        <v>3.9752176962792873E-3</v>
      </c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</v>
      </c>
      <c r="C5">
        <v>0.49503186345100403</v>
      </c>
      <c r="D5"/>
      <c r="E5"/>
      <c r="F5"/>
      <c r="G5"/>
      <c r="H5"/>
      <c r="I5"/>
      <c r="J5"/>
      <c r="K5"/>
      <c r="L5"/>
      <c r="M5" s="15">
        <v>4.9681463278830051E-3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0.23600000143051147</v>
      </c>
      <c r="C6">
        <v>0.21093761920928955</v>
      </c>
      <c r="D6"/>
      <c r="E6"/>
      <c r="F6"/>
      <c r="G6"/>
      <c r="H6"/>
      <c r="I6"/>
      <c r="J6"/>
      <c r="K6"/>
      <c r="L6"/>
      <c r="M6" s="233">
        <v>2.4801362305879593E-2</v>
      </c>
      <c r="N6"/>
      <c r="O6"/>
      <c r="P6"/>
      <c r="Q6" s="14">
        <v>2.6101875118911266E-4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0.60000002384185791</v>
      </c>
      <c r="C7">
        <v>0.41934528946876526</v>
      </c>
      <c r="D7"/>
      <c r="E7" s="20">
        <v>2.620653435587883E-2</v>
      </c>
      <c r="F7" s="20">
        <v>2.620653435587883E-2</v>
      </c>
      <c r="G7" s="13">
        <v>2.1977066993713379E-2</v>
      </c>
      <c r="H7" s="20">
        <v>2.620653435587883E-2</v>
      </c>
      <c r="I7" s="20">
        <v>2.620653435587883E-2</v>
      </c>
      <c r="J7"/>
      <c r="K7" s="20">
        <v>2.620653435587883E-2</v>
      </c>
      <c r="L7" s="20">
        <v>2.620653435587883E-2</v>
      </c>
      <c r="M7" s="14">
        <v>1.4384789392352104E-3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0.69999998807907104</v>
      </c>
      <c r="C8">
        <v>0.28425884246826172</v>
      </c>
      <c r="D8" s="223">
        <v>2.7929281815886497E-2</v>
      </c>
      <c r="E8"/>
      <c r="F8"/>
      <c r="G8" s="18">
        <v>7.6518738642334938E-3</v>
      </c>
      <c r="H8"/>
      <c r="I8"/>
      <c r="J8" s="14">
        <v>1.5303747495636344E-3</v>
      </c>
      <c r="K8"/>
      <c r="L8"/>
      <c r="M8" s="16">
        <v>1.1003319174051285E-2</v>
      </c>
      <c r="N8" s="109">
        <v>0.12744306027889252</v>
      </c>
      <c r="O8" s="14">
        <v>1.0228195460513234E-3</v>
      </c>
      <c r="P8"/>
      <c r="Q8" s="239">
        <v>0.23395021259784698</v>
      </c>
      <c r="R8" s="12">
        <v>2.1115373820066452E-3</v>
      </c>
      <c r="S8"/>
      <c r="T8"/>
      <c r="U8"/>
      <c r="V8"/>
      <c r="W8" s="14">
        <v>1.2781291734427214E-3</v>
      </c>
      <c r="X8"/>
      <c r="Y8" s="14">
        <v>1.8205499509349465E-3</v>
      </c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0.44999998807907104</v>
      </c>
      <c r="C9">
        <v>0.18620039522647858</v>
      </c>
      <c r="D9"/>
      <c r="E9"/>
      <c r="F9"/>
      <c r="G9"/>
      <c r="H9"/>
      <c r="I9" s="111">
        <v>8.7074816226959229E-2</v>
      </c>
      <c r="J9"/>
      <c r="K9"/>
      <c r="L9"/>
      <c r="M9" s="242">
        <v>7.339177280664444E-2</v>
      </c>
      <c r="N9"/>
      <c r="O9" s="14">
        <v>8.1975013017654419E-4</v>
      </c>
      <c r="P9" s="11">
        <v>1.140831591328606E-4</v>
      </c>
      <c r="Q9" s="243">
        <v>9.3501336872577667E-2</v>
      </c>
      <c r="R9" s="11">
        <v>2.8167769778519869E-4</v>
      </c>
      <c r="S9"/>
      <c r="T9"/>
      <c r="U9"/>
      <c r="V9"/>
      <c r="W9"/>
      <c r="X9"/>
      <c r="Y9"/>
      <c r="Z9"/>
      <c r="AA9" s="14">
        <v>1.0475331218913198E-3</v>
      </c>
      <c r="AB9"/>
      <c r="AC9"/>
      <c r="AD9"/>
      <c r="AE9"/>
      <c r="AF9"/>
      <c r="AG9"/>
      <c r="AH9"/>
      <c r="AI9" s="19">
        <v>7.5686415657401085E-3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0.20000000298023224</v>
      </c>
      <c r="C10">
        <v>0.19255617260932922</v>
      </c>
      <c r="D10"/>
      <c r="E10"/>
      <c r="F10"/>
      <c r="G10"/>
      <c r="H10"/>
      <c r="I10"/>
      <c r="J10"/>
      <c r="K10"/>
      <c r="L10"/>
      <c r="M10" s="18">
        <v>2.3974650539457798E-3</v>
      </c>
      <c r="N10"/>
      <c r="O10"/>
      <c r="P10"/>
      <c r="Q10" s="26">
        <v>5.0463625229895115E-3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0.25</v>
      </c>
      <c r="C11">
        <v>0.23516970872879028</v>
      </c>
      <c r="D11"/>
      <c r="E11"/>
      <c r="F11"/>
      <c r="G11"/>
      <c r="H11"/>
      <c r="I11"/>
      <c r="J11"/>
      <c r="K11"/>
      <c r="L11"/>
      <c r="M11" s="67">
        <v>1.4830290339887142E-2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2.9500000476837158</v>
      </c>
      <c r="C12">
        <v>0.92194098234176636</v>
      </c>
      <c r="D12" s="19">
        <v>5.05632683634758E-2</v>
      </c>
      <c r="E12" s="14">
        <v>3.7633262109011412E-3</v>
      </c>
      <c r="F12" s="22">
        <v>2.1277245134115219E-2</v>
      </c>
      <c r="G12" s="19">
        <v>5.1339846104383469E-2</v>
      </c>
      <c r="H12" s="14">
        <v>3.7633262109011412E-3</v>
      </c>
      <c r="I12" s="12">
        <v>1.3064955361187458E-2</v>
      </c>
      <c r="J12" s="14">
        <v>2.9086989816278219E-3</v>
      </c>
      <c r="K12" s="14">
        <v>3.4212055616080761E-3</v>
      </c>
      <c r="L12" s="11">
        <v>4.8353438614867628E-5</v>
      </c>
      <c r="M12" s="151">
        <v>1.0527373552322388</v>
      </c>
      <c r="N12" s="25">
        <v>9.1351665556430817E-2</v>
      </c>
      <c r="O12" s="22">
        <v>2.2232102230191231E-2</v>
      </c>
      <c r="P12" s="14">
        <v>3.2867537811398506E-3</v>
      </c>
      <c r="Q12" s="251">
        <v>0.40114995837211609</v>
      </c>
      <c r="R12" s="23">
        <v>1.8209677189588547E-2</v>
      </c>
      <c r="S12" s="70">
        <v>0.1479305773973465</v>
      </c>
      <c r="T12"/>
      <c r="U12"/>
      <c r="V12"/>
      <c r="W12" s="226">
        <v>0.13320347666740417</v>
      </c>
      <c r="X12"/>
      <c r="Y12" s="11">
        <v>1.6993192257359624E-3</v>
      </c>
      <c r="Z12"/>
      <c r="AA12" s="14">
        <v>6.108088418841362E-3</v>
      </c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0.68000000715255737</v>
      </c>
      <c r="C13">
        <v>0.24545909464359283</v>
      </c>
      <c r="D13" s="145">
        <v>6.8344712257385254E-2</v>
      </c>
      <c r="E13"/>
      <c r="F13" s="22">
        <v>5.4550147615373135E-3</v>
      </c>
      <c r="G13" s="24">
        <v>1.8724575638771057E-2</v>
      </c>
      <c r="H13"/>
      <c r="I13" s="19">
        <v>1.2454095296561718E-2</v>
      </c>
      <c r="J13" s="23">
        <v>3.7449153605848551E-3</v>
      </c>
      <c r="K13"/>
      <c r="L13"/>
      <c r="M13" s="233">
        <v>7.2094805538654327E-2</v>
      </c>
      <c r="N13"/>
      <c r="O13" s="14">
        <v>8.0526364035904408E-4</v>
      </c>
      <c r="P13"/>
      <c r="Q13" s="246">
        <v>0.15328644216060638</v>
      </c>
      <c r="R13"/>
      <c r="S13"/>
      <c r="T13"/>
      <c r="U13"/>
      <c r="V13"/>
      <c r="W13" s="26">
        <v>1.6748854890465736E-2</v>
      </c>
      <c r="X13"/>
      <c r="Y13" s="235">
        <v>1.6222648322582245E-2</v>
      </c>
      <c r="Z13"/>
      <c r="AA13" s="16">
        <v>1.0290214791893959E-2</v>
      </c>
      <c r="AB13" s="15">
        <v>6.5938183106482029E-3</v>
      </c>
      <c r="AC13"/>
      <c r="AD13"/>
      <c r="AE13"/>
      <c r="AF13"/>
      <c r="AG13"/>
      <c r="AH13"/>
      <c r="AI13"/>
      <c r="AJ13"/>
      <c r="AK13"/>
      <c r="AL13"/>
      <c r="AM13" s="240">
        <v>4.9775540828704834E-2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0.79000002145767212</v>
      </c>
      <c r="C14">
        <v>0.10588114708662033</v>
      </c>
      <c r="D14" s="224">
        <v>8.8455162942409515E-2</v>
      </c>
      <c r="E14"/>
      <c r="F14" s="70">
        <v>4.0572531521320343E-2</v>
      </c>
      <c r="G14" s="232">
        <v>6.9783054292201996E-2</v>
      </c>
      <c r="H14"/>
      <c r="I14" s="66">
        <v>3.1995315104722977E-2</v>
      </c>
      <c r="J14"/>
      <c r="K14"/>
      <c r="L14"/>
      <c r="M14" s="238">
        <v>0.21747356653213501</v>
      </c>
      <c r="N14"/>
      <c r="O14" s="14">
        <v>2.017502672970295E-3</v>
      </c>
      <c r="P14"/>
      <c r="Q14" s="148">
        <v>2.2887729108333588E-2</v>
      </c>
      <c r="R14" s="237">
        <v>0.21093404293060303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0.93000000715255737</v>
      </c>
      <c r="C15">
        <v>0.19549338519573212</v>
      </c>
      <c r="D15" s="225">
        <v>0.14806300401687622</v>
      </c>
      <c r="E15"/>
      <c r="F15" s="12">
        <v>2.9254606924951077E-3</v>
      </c>
      <c r="G15" s="20">
        <v>4.0565207600593567E-2</v>
      </c>
      <c r="H15"/>
      <c r="I15" s="14">
        <v>1.035717548802495E-3</v>
      </c>
      <c r="J15" s="22">
        <v>8.113042451441288E-3</v>
      </c>
      <c r="K15"/>
      <c r="L15" s="11">
        <v>7.31469044694677E-5</v>
      </c>
      <c r="M15" s="24">
        <v>2.6062685996294022E-2</v>
      </c>
      <c r="N15"/>
      <c r="O15"/>
      <c r="P15"/>
      <c r="Q15" s="67">
        <v>5.5413931608200073E-2</v>
      </c>
      <c r="R15" s="14">
        <v>1.9570814911276102E-3</v>
      </c>
      <c r="S15"/>
      <c r="T15"/>
      <c r="U15"/>
      <c r="V15"/>
      <c r="W15" s="250">
        <v>0.24337229132652283</v>
      </c>
      <c r="X15" s="233">
        <v>9.8701886832714081E-2</v>
      </c>
      <c r="Y15" s="15">
        <v>1.0004285722970963E-2</v>
      </c>
      <c r="Z15" s="16">
        <v>1.5364001505076885E-2</v>
      </c>
      <c r="AA15"/>
      <c r="AB15" s="17">
        <v>1.203890610486269E-2</v>
      </c>
      <c r="AC15"/>
      <c r="AD15"/>
      <c r="AE15"/>
      <c r="AF15"/>
      <c r="AG15"/>
      <c r="AH15" s="27">
        <v>7.0815920829772949E-2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1.9500000476837158</v>
      </c>
      <c r="C16">
        <v>9.7506649792194366E-2</v>
      </c>
      <c r="D16" s="226">
        <v>8.7362296879291534E-2</v>
      </c>
      <c r="E16" s="11">
        <v>1.1257650330662727E-3</v>
      </c>
      <c r="F16" s="11">
        <v>4.3269817979307845E-5</v>
      </c>
      <c r="G16" s="18">
        <v>2.3934876546263695E-2</v>
      </c>
      <c r="H16" s="11">
        <v>1.1257650330662727E-3</v>
      </c>
      <c r="I16" s="11">
        <v>3.2653982634656131E-4</v>
      </c>
      <c r="J16" s="14">
        <v>4.7869752161204815E-3</v>
      </c>
      <c r="K16" s="11">
        <v>1.0234224610030651E-3</v>
      </c>
      <c r="L16" s="11">
        <v>2.1483353339135647E-4</v>
      </c>
      <c r="M16" s="142">
        <v>0.41947284340858459</v>
      </c>
      <c r="N16" s="241">
        <v>9.5365114510059357E-2</v>
      </c>
      <c r="O16" s="11">
        <v>1.6212788177654147E-3</v>
      </c>
      <c r="P16" s="11">
        <v>1.5925312181934714E-3</v>
      </c>
      <c r="Q16" s="257">
        <v>0.45447823405265808</v>
      </c>
      <c r="R16" s="14">
        <v>3.2089210581034422E-3</v>
      </c>
      <c r="S16" s="12">
        <v>6.5252776257693768E-3</v>
      </c>
      <c r="T16" s="21">
        <v>3.6582212895154953E-2</v>
      </c>
      <c r="U16"/>
      <c r="V16"/>
      <c r="W16" s="254">
        <v>0.2945672869682312</v>
      </c>
      <c r="X16" s="16">
        <v>2.9394118115305901E-2</v>
      </c>
      <c r="Y16" s="12">
        <v>5.8373790234327316E-3</v>
      </c>
      <c r="Z16" s="28">
        <v>7.0435486733913422E-2</v>
      </c>
      <c r="AA16" s="75">
        <v>0.15115994215011597</v>
      </c>
      <c r="AB16" s="241">
        <v>9.3802310526371002E-2</v>
      </c>
      <c r="AC16"/>
      <c r="AD16"/>
      <c r="AE16"/>
      <c r="AF16"/>
      <c r="AG16"/>
      <c r="AH16" s="28">
        <v>6.8506687879562378E-2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2.8499999046325684</v>
      </c>
      <c r="C17">
        <v>0.49032652378082275</v>
      </c>
      <c r="D17" s="227">
        <v>1.1028906106948853</v>
      </c>
      <c r="E17" s="21">
        <v>5.4631605744361877E-2</v>
      </c>
      <c r="F17"/>
      <c r="G17" s="233">
        <v>0.30216178297996521</v>
      </c>
      <c r="H17" s="21">
        <v>5.4631605744361877E-2</v>
      </c>
      <c r="I17" s="11">
        <v>4.6378168008232024E-6</v>
      </c>
      <c r="J17" s="65">
        <v>6.0432359576225281E-2</v>
      </c>
      <c r="K17" s="19">
        <v>4.9665093421936035E-2</v>
      </c>
      <c r="L17"/>
      <c r="M17" s="64">
        <v>0.1558738648891449</v>
      </c>
      <c r="N17" s="26">
        <v>7.2287388145923615E-2</v>
      </c>
      <c r="O17" s="11">
        <v>1.7410347936674953E-3</v>
      </c>
      <c r="P17" s="22">
        <v>2.4229668080806732E-2</v>
      </c>
      <c r="Q17" s="235">
        <v>6.5618984401226044E-2</v>
      </c>
      <c r="R17" s="12">
        <v>1.0404244065284729E-2</v>
      </c>
      <c r="S17"/>
      <c r="T17"/>
      <c r="U17"/>
      <c r="V17"/>
      <c r="W17" s="68">
        <v>0.17642953991889954</v>
      </c>
      <c r="X17"/>
      <c r="Y17" s="14">
        <v>6.1896126717329025E-3</v>
      </c>
      <c r="Z17"/>
      <c r="AA17" s="75">
        <v>0.22248142957687378</v>
      </c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3</v>
      </c>
      <c r="C18">
        <v>0.74796473979949951</v>
      </c>
      <c r="D18"/>
      <c r="E18"/>
      <c r="F18"/>
      <c r="G18"/>
      <c r="H18"/>
      <c r="I18"/>
      <c r="J18"/>
      <c r="K18"/>
      <c r="L18"/>
      <c r="M18"/>
      <c r="N18"/>
      <c r="O18" s="25">
        <v>9.6949547529220581E-2</v>
      </c>
      <c r="P18"/>
      <c r="Q18"/>
      <c r="R18"/>
      <c r="S18" s="16">
        <v>4.6943947672843933E-2</v>
      </c>
      <c r="T18" s="64">
        <v>0.16433002054691315</v>
      </c>
      <c r="U18"/>
      <c r="V18"/>
      <c r="W18" s="223">
        <v>0.11649885028600693</v>
      </c>
      <c r="X18"/>
      <c r="Y18" s="236">
        <v>0.10288240760564804</v>
      </c>
      <c r="Z18" s="236">
        <v>9.8439604043960571E-2</v>
      </c>
      <c r="AA18" s="235">
        <v>7.157493382692337E-2</v>
      </c>
      <c r="AB18" s="16">
        <v>4.586416482925415E-2</v>
      </c>
      <c r="AC18"/>
      <c r="AD18"/>
      <c r="AE18"/>
      <c r="AF18"/>
      <c r="AG18"/>
      <c r="AH18" s="13">
        <v>0.11127485334873199</v>
      </c>
      <c r="AI18"/>
      <c r="AJ18" s="25">
        <v>9.1366253793239594E-2</v>
      </c>
      <c r="AK18" s="247">
        <v>1.305910587310791</v>
      </c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3.2999999523162842</v>
      </c>
      <c r="C19">
        <v>0.16500003635883331</v>
      </c>
      <c r="D19" s="11">
        <v>6.5780023578554392E-4</v>
      </c>
      <c r="E19"/>
      <c r="F19" s="11">
        <v>2.3583043366670609E-3</v>
      </c>
      <c r="G19" s="11">
        <v>1.8021924188360572E-4</v>
      </c>
      <c r="H19"/>
      <c r="I19" s="11">
        <v>2.3583043366670609E-3</v>
      </c>
      <c r="J19" s="11">
        <v>3.6043846193933859E-5</v>
      </c>
      <c r="K19"/>
      <c r="L19" s="11">
        <v>2.3583043366670609E-3</v>
      </c>
      <c r="M19" s="74">
        <v>0.31086450815200806</v>
      </c>
      <c r="N19" s="65">
        <v>7.4061878025531769E-2</v>
      </c>
      <c r="O19" s="12">
        <v>1.2539773248136044E-2</v>
      </c>
      <c r="P19" s="14">
        <v>3.7189698778092861E-3</v>
      </c>
      <c r="Q19" s="256">
        <v>0.60905933380126953</v>
      </c>
      <c r="R19" s="14">
        <v>4.9500144086778164E-3</v>
      </c>
      <c r="S19" s="15">
        <v>3.552589938044548E-2</v>
      </c>
      <c r="T19" s="22">
        <v>2.6936853304505348E-2</v>
      </c>
      <c r="U19" s="17">
        <v>4.208749532699585E-2</v>
      </c>
      <c r="V19"/>
      <c r="W19" s="12">
        <v>1.5727641060948372E-2</v>
      </c>
      <c r="X19"/>
      <c r="Y19"/>
      <c r="Z19"/>
      <c r="AA19" s="258">
        <v>1.9915785789489746</v>
      </c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8.5</v>
      </c>
      <c r="C20">
        <v>4.3602743148803711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19">
        <v>0.15023653209209442</v>
      </c>
      <c r="U20" s="12">
        <v>3.4566380083560944E-2</v>
      </c>
      <c r="V20" s="11">
        <v>1.5862651634961367E-3</v>
      </c>
      <c r="W20" s="22">
        <v>6.5933234989643097E-2</v>
      </c>
      <c r="X20"/>
      <c r="Y20"/>
      <c r="Z20"/>
      <c r="AA20" s="29">
        <v>0.40508270263671875</v>
      </c>
      <c r="AB20" s="19">
        <v>0.15731579065322876</v>
      </c>
      <c r="AC20"/>
      <c r="AD20" s="244">
        <v>0.45692548155784607</v>
      </c>
      <c r="AE20"/>
      <c r="AF20"/>
      <c r="AG20" s="226">
        <v>0.37845757603645325</v>
      </c>
      <c r="AH20" s="27">
        <v>0.64261919260025024</v>
      </c>
      <c r="AI20" s="148">
        <v>0.24390046298503876</v>
      </c>
      <c r="AJ20" s="25">
        <v>0.25857511162757874</v>
      </c>
      <c r="AK20" s="107">
        <v>1.3303585052490234</v>
      </c>
      <c r="AL20"/>
      <c r="AM20" s="14">
        <v>1.4168364927172661E-2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9</v>
      </c>
      <c r="C21">
        <v>7.0624489784240723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 s="14">
        <v>1.1080649681389332E-2</v>
      </c>
      <c r="V21" s="11">
        <v>5.0849549006670713E-4</v>
      </c>
      <c r="W21" s="14">
        <v>2.1135654300451279E-2</v>
      </c>
      <c r="X21"/>
      <c r="Y21"/>
      <c r="Z21"/>
      <c r="AA21" s="17">
        <v>0.12985390424728394</v>
      </c>
      <c r="AB21" s="23">
        <v>5.0429381430149078E-2</v>
      </c>
      <c r="AC21"/>
      <c r="AD21" s="16">
        <v>0.14647270739078522</v>
      </c>
      <c r="AE21"/>
      <c r="AF21"/>
      <c r="AG21" s="17">
        <v>0.12131891399621964</v>
      </c>
      <c r="AH21" s="235">
        <v>0.20599895715713501</v>
      </c>
      <c r="AI21" s="22">
        <v>7.8185088932514191E-2</v>
      </c>
      <c r="AJ21" s="15">
        <v>8.2889221608638763E-2</v>
      </c>
      <c r="AK21" s="74">
        <v>0.85292333364486694</v>
      </c>
      <c r="AL21"/>
      <c r="AM21" s="26">
        <v>0.23675505816936493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3.4500000476837158</v>
      </c>
      <c r="C22">
        <v>0.86250001192092896</v>
      </c>
      <c r="D22"/>
      <c r="E22"/>
      <c r="F22"/>
      <c r="G22"/>
      <c r="H22"/>
      <c r="I22" s="11">
        <v>1.1623856153164525E-5</v>
      </c>
      <c r="J22"/>
      <c r="K22"/>
      <c r="L22" s="11">
        <v>4.5540327846538275E-6</v>
      </c>
      <c r="M22" s="23">
        <v>1.8567727878689766E-2</v>
      </c>
      <c r="N22" s="12">
        <v>1.5058237127959728E-2</v>
      </c>
      <c r="O22" s="11">
        <v>1.1230884119868279E-3</v>
      </c>
      <c r="P22" s="11">
        <v>7.2156073292717338E-4</v>
      </c>
      <c r="Q22" s="256">
        <v>0.6368744969367981</v>
      </c>
      <c r="R22" s="11">
        <v>1.8009387422353029E-3</v>
      </c>
      <c r="S22" s="11">
        <v>7.7281918493099511E-5</v>
      </c>
      <c r="T22"/>
      <c r="U22" s="11">
        <v>1.1307313106954098E-3</v>
      </c>
      <c r="V22"/>
      <c r="W22" s="17">
        <v>4.9913767725229263E-2</v>
      </c>
      <c r="X22"/>
      <c r="Y22"/>
      <c r="Z22"/>
      <c r="AA22" s="69">
        <v>0.31687214970588684</v>
      </c>
      <c r="AB22" s="11">
        <v>8.5768266580998898E-4</v>
      </c>
      <c r="AC22"/>
      <c r="AD22"/>
      <c r="AE22"/>
      <c r="AF22"/>
      <c r="AG22" s="144">
        <v>1.3080816268920898</v>
      </c>
      <c r="AH22" s="11">
        <v>1.0405534412711859E-3</v>
      </c>
      <c r="AI22" s="253">
        <v>0.23536403477191925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0.64999997615814209</v>
      </c>
      <c r="C23">
        <v>0.16250006854534149</v>
      </c>
      <c r="D23" s="228">
        <v>0.29084870219230652</v>
      </c>
      <c r="E23"/>
      <c r="F23"/>
      <c r="G23" s="105">
        <v>7.9684577882289886E-2</v>
      </c>
      <c r="H23"/>
      <c r="I23"/>
      <c r="J23" s="26">
        <v>1.5936916694045067E-2</v>
      </c>
      <c r="K23"/>
      <c r="L23"/>
      <c r="M23" s="240">
        <v>4.7253858298063278E-2</v>
      </c>
      <c r="N23" s="19">
        <v>1.0946109890937805E-2</v>
      </c>
      <c r="O23" s="11">
        <v>5.2780244732275605E-4</v>
      </c>
      <c r="P23" s="11">
        <v>3.9527509943582118E-4</v>
      </c>
      <c r="Q23"/>
      <c r="R23"/>
      <c r="S23"/>
      <c r="T23"/>
      <c r="U23"/>
      <c r="V23"/>
      <c r="W23" s="19">
        <v>1.0977878235280514E-2</v>
      </c>
      <c r="X23" s="14">
        <v>1.7035312484949827E-3</v>
      </c>
      <c r="Y23" s="11">
        <v>6.2546960543841124E-4</v>
      </c>
      <c r="Z23" s="17">
        <v>9.276125580072403E-3</v>
      </c>
      <c r="AA23"/>
      <c r="AB23" s="17">
        <v>8.731023408472538E-3</v>
      </c>
      <c r="AC23"/>
      <c r="AD23"/>
      <c r="AE23"/>
      <c r="AF23"/>
      <c r="AG23"/>
      <c r="AH23" s="16">
        <v>1.0592607781291008E-2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1.4559999704360962</v>
      </c>
      <c r="C24">
        <v>7.2800099849700928E-2</v>
      </c>
      <c r="D24" s="16">
        <v>2.181679755449295E-2</v>
      </c>
      <c r="E24"/>
      <c r="F24"/>
      <c r="G24" s="12">
        <v>5.9772059321403503E-3</v>
      </c>
      <c r="H24"/>
      <c r="I24"/>
      <c r="J24" s="11">
        <v>1.1954407673329115E-3</v>
      </c>
      <c r="K24"/>
      <c r="L24"/>
      <c r="M24" s="252">
        <v>0.33051696419715881</v>
      </c>
      <c r="N24" s="28">
        <v>5.1206350326538086E-2</v>
      </c>
      <c r="O24" s="11">
        <v>2.3364835215033963E-5</v>
      </c>
      <c r="P24"/>
      <c r="Q24" s="255">
        <v>0.77102065086364746</v>
      </c>
      <c r="R24" s="12">
        <v>5.0454423762857914E-3</v>
      </c>
      <c r="S24"/>
      <c r="T24" s="70">
        <v>7.4704848229885101E-2</v>
      </c>
      <c r="U24" s="16">
        <v>2.3163735866546631E-2</v>
      </c>
      <c r="V24"/>
      <c r="W24" s="67">
        <v>8.621099591255188E-2</v>
      </c>
      <c r="X24"/>
      <c r="Y24"/>
      <c r="Z24"/>
      <c r="AA24" s="22">
        <v>1.2318044900894165E-2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1.6499999761581421</v>
      </c>
      <c r="C25">
        <v>0.57914334535598755</v>
      </c>
      <c r="D25" s="229">
        <v>0.27349725365638733</v>
      </c>
      <c r="E25" s="22">
        <v>1.344450656324625E-2</v>
      </c>
      <c r="F25"/>
      <c r="G25" s="226">
        <v>7.4930757284164429E-2</v>
      </c>
      <c r="H25" s="22">
        <v>1.344450656324625E-2</v>
      </c>
      <c r="I25" s="11">
        <v>1.2111884188925615E-6</v>
      </c>
      <c r="J25" s="15">
        <v>1.4986149966716766E-2</v>
      </c>
      <c r="K25" s="22">
        <v>1.2222278863191605E-2</v>
      </c>
      <c r="L25"/>
      <c r="M25" s="65">
        <v>3.4028690308332443E-2</v>
      </c>
      <c r="N25" s="74">
        <v>0.15463791787624359</v>
      </c>
      <c r="O25" s="11">
        <v>3.8008380215615034E-4</v>
      </c>
      <c r="P25" s="12">
        <v>5.2895578555762768E-3</v>
      </c>
      <c r="Q25" s="232">
        <v>0.14470216631889343</v>
      </c>
      <c r="R25" s="22">
        <v>1.2208461761474609E-2</v>
      </c>
      <c r="S25"/>
      <c r="T25"/>
      <c r="U25"/>
      <c r="V25"/>
      <c r="W25" s="235">
        <v>3.8516182452440262E-2</v>
      </c>
      <c r="X25" s="12">
        <v>4.9461489543318748E-3</v>
      </c>
      <c r="Y25" s="14">
        <v>2.0268734078854322E-3</v>
      </c>
      <c r="Z25"/>
      <c r="AA25" s="249">
        <v>0.263965904712677</v>
      </c>
      <c r="AB25"/>
      <c r="AC25"/>
      <c r="AD25"/>
      <c r="AE25"/>
      <c r="AF25"/>
      <c r="AG25"/>
      <c r="AH25" s="12">
        <v>7.6280031353235245E-3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2.6500000953674316</v>
      </c>
      <c r="C26">
        <v>2.4616460800170898</v>
      </c>
      <c r="D26"/>
      <c r="E26"/>
      <c r="F26"/>
      <c r="G26"/>
      <c r="H26"/>
      <c r="I26"/>
      <c r="J26"/>
      <c r="K26"/>
      <c r="L26"/>
      <c r="M26"/>
      <c r="N26"/>
      <c r="O26" s="14">
        <v>3.6330313887447119E-3</v>
      </c>
      <c r="P26" s="11">
        <v>1.3379736337810755E-3</v>
      </c>
      <c r="Q26"/>
      <c r="R26"/>
      <c r="S26" s="18">
        <v>3.0305139720439911E-2</v>
      </c>
      <c r="T26"/>
      <c r="U26"/>
      <c r="V26" s="11">
        <v>9.5420965226367116E-4</v>
      </c>
      <c r="W26" s="22">
        <v>1.9718015566468239E-2</v>
      </c>
      <c r="X26" s="235">
        <v>6.280265748500824E-2</v>
      </c>
      <c r="Y26" s="11">
        <v>2.4211597628891468E-3</v>
      </c>
      <c r="Z26" s="14">
        <v>3.4197517670691013E-3</v>
      </c>
      <c r="AA26" s="11">
        <v>2.486483717802912E-4</v>
      </c>
      <c r="AB26"/>
      <c r="AC26"/>
      <c r="AD26"/>
      <c r="AE26"/>
      <c r="AF26"/>
      <c r="AG26"/>
      <c r="AH26"/>
      <c r="AI26"/>
      <c r="AJ26"/>
      <c r="AK26" s="235">
        <v>6.3513532280921936E-2</v>
      </c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8</v>
      </c>
      <c r="C27">
        <v>0.39998769760131836</v>
      </c>
      <c r="D27"/>
      <c r="E27"/>
      <c r="F27"/>
      <c r="G27"/>
      <c r="H27"/>
      <c r="I27"/>
      <c r="J27"/>
      <c r="K27"/>
      <c r="L27"/>
      <c r="M27"/>
      <c r="N27"/>
      <c r="O27"/>
      <c r="P27" s="11">
        <v>1.6343272000085562E-4</v>
      </c>
      <c r="Q27"/>
      <c r="R27"/>
      <c r="S27" s="11">
        <v>3.7017557770013809E-3</v>
      </c>
      <c r="T27" s="11">
        <v>3.6475283559411764E-3</v>
      </c>
      <c r="U27" s="11">
        <v>3.2655620016157627E-3</v>
      </c>
      <c r="V27" s="11">
        <v>3.4966855309903622E-4</v>
      </c>
      <c r="W27" s="12">
        <v>3.9199061691761017E-2</v>
      </c>
      <c r="X27" s="14">
        <v>1.3354354538023472E-2</v>
      </c>
      <c r="Y27" s="11">
        <v>8.1681483425199986E-4</v>
      </c>
      <c r="Z27" s="18">
        <v>9.1572418808937073E-2</v>
      </c>
      <c r="AA27" s="13">
        <v>0.29381865262985229</v>
      </c>
      <c r="AB27"/>
      <c r="AC27" s="14">
        <v>8.7004797533154488E-3</v>
      </c>
      <c r="AD27"/>
      <c r="AE27"/>
      <c r="AF27"/>
      <c r="AG27"/>
      <c r="AH27" s="19">
        <v>0.14261949062347412</v>
      </c>
      <c r="AI27"/>
      <c r="AJ27" s="17">
        <v>0.10661902278661728</v>
      </c>
      <c r="AK27" s="18">
        <v>9.4206005334854126E-2</v>
      </c>
      <c r="AL27" s="260">
        <v>2.5895590782165527</v>
      </c>
      <c r="AM27" s="14">
        <v>1.3222428038716316E-2</v>
      </c>
      <c r="AN27" s="23">
        <v>4.2931407690048218E-2</v>
      </c>
      <c r="AO27" s="261">
        <v>4.1196255683898926</v>
      </c>
      <c r="AP27" s="12">
        <v>3.2640084624290466E-2</v>
      </c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2.5</v>
      </c>
      <c r="C28">
        <v>0.58398276567459106</v>
      </c>
      <c r="D28" s="27">
        <v>0.19357666373252869</v>
      </c>
      <c r="E28"/>
      <c r="F28"/>
      <c r="G28" s="65">
        <v>5.3034711629152298E-2</v>
      </c>
      <c r="H28"/>
      <c r="I28"/>
      <c r="J28" s="12">
        <v>1.0606938041746616E-2</v>
      </c>
      <c r="K28"/>
      <c r="L28"/>
      <c r="M28"/>
      <c r="N28"/>
      <c r="O28"/>
      <c r="P28" s="11">
        <v>1.3704553712159395E-3</v>
      </c>
      <c r="Q28"/>
      <c r="R28"/>
      <c r="S28" s="23">
        <v>1.5337049029767513E-2</v>
      </c>
      <c r="T28"/>
      <c r="U28"/>
      <c r="V28" s="12">
        <v>8.9739011600613594E-3</v>
      </c>
      <c r="W28" s="13">
        <v>9.2719420790672302E-2</v>
      </c>
      <c r="X28" s="67">
        <v>0.14765749871730804</v>
      </c>
      <c r="Y28" s="65">
        <v>5.2045457065105438E-2</v>
      </c>
      <c r="Z28" s="17">
        <v>3.2161187380552292E-2</v>
      </c>
      <c r="AA28" s="74">
        <v>0.23384234309196472</v>
      </c>
      <c r="AB28"/>
      <c r="AC28"/>
      <c r="AD28"/>
      <c r="AE28"/>
      <c r="AF28"/>
      <c r="AG28"/>
      <c r="AH28"/>
      <c r="AI28"/>
      <c r="AJ28" s="141">
        <v>0.29853564500808716</v>
      </c>
      <c r="AK28" s="248">
        <v>0.76797688007354736</v>
      </c>
      <c r="AL28"/>
      <c r="AM28" s="12">
        <v>8.1789810210466385E-3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5.4000000953674316</v>
      </c>
      <c r="C29">
        <v>0.61910843849182129</v>
      </c>
      <c r="D29" s="230">
        <v>0.59289997816085815</v>
      </c>
      <c r="E29" s="230">
        <v>0.59289997816085815</v>
      </c>
      <c r="F29"/>
      <c r="G29" s="19">
        <v>9.3240000307559967E-2</v>
      </c>
      <c r="H29" s="19">
        <v>9.3280330300331116E-2</v>
      </c>
      <c r="I29"/>
      <c r="J29" s="14">
        <v>1.4069999568164349E-2</v>
      </c>
      <c r="K29" s="14">
        <v>1.4097965322434902E-2</v>
      </c>
      <c r="L29"/>
      <c r="M29"/>
      <c r="N29"/>
      <c r="O29" s="12">
        <v>1.6253931447863579E-2</v>
      </c>
      <c r="P29" s="11">
        <v>8.1149162724614143E-4</v>
      </c>
      <c r="Q29" s="12">
        <v>2.2708628326654434E-2</v>
      </c>
      <c r="R29" s="12">
        <v>2.0703312009572983E-2</v>
      </c>
      <c r="S29" s="26">
        <v>0.13708032667636871</v>
      </c>
      <c r="T29" s="14">
        <v>1.3597771525382996E-2</v>
      </c>
      <c r="U29" s="14">
        <v>6.5700006671249866E-3</v>
      </c>
      <c r="V29" s="11">
        <v>2.9546997975558043E-3</v>
      </c>
      <c r="W29" s="110">
        <v>2.4880573749542236</v>
      </c>
      <c r="X29" s="12">
        <v>2.3336129263043404E-2</v>
      </c>
      <c r="Y29" s="14">
        <v>8.9251119643449783E-3</v>
      </c>
      <c r="Z29" s="21">
        <v>0.10556262731552124</v>
      </c>
      <c r="AA29" s="17">
        <v>7.7830582857131958E-2</v>
      </c>
      <c r="AB29" s="19">
        <v>9.9669575691223145E-2</v>
      </c>
      <c r="AC29"/>
      <c r="AD29"/>
      <c r="AE29"/>
      <c r="AF29"/>
      <c r="AG29"/>
      <c r="AH29" s="18">
        <v>6.107102707028389E-2</v>
      </c>
      <c r="AI29" s="14">
        <v>5.5629522539675236E-3</v>
      </c>
      <c r="AJ29" s="12">
        <v>1.9658854231238365E-2</v>
      </c>
      <c r="AK29" s="29">
        <v>0.25286003947257996</v>
      </c>
      <c r="AL29"/>
      <c r="AM29" s="12">
        <v>1.7189159989356995E-2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30</v>
      </c>
      <c r="C30">
        <v>14.323101997375488</v>
      </c>
      <c r="D30" s="14">
        <v>4.5966703444719315E-2</v>
      </c>
      <c r="E30"/>
      <c r="F30"/>
      <c r="G30" s="11">
        <v>1.2593616731464863E-2</v>
      </c>
      <c r="H30"/>
      <c r="I30" s="11">
        <v>2.3203187447506934E-4</v>
      </c>
      <c r="J30" s="11">
        <v>2.5187234859913588E-3</v>
      </c>
      <c r="K30"/>
      <c r="L30" s="11">
        <v>9.0906454715877771E-5</v>
      </c>
      <c r="M30"/>
      <c r="N30"/>
      <c r="O30" s="11">
        <v>4.1754428821150213E-5</v>
      </c>
      <c r="P30"/>
      <c r="Q30"/>
      <c r="R30"/>
      <c r="S30" s="11">
        <v>9.7092268988490105E-3</v>
      </c>
      <c r="T30" s="11">
        <v>3.0154453124850988E-3</v>
      </c>
      <c r="U30" s="11">
        <v>1.8849482759833336E-2</v>
      </c>
      <c r="V30" s="11">
        <v>4.0952180279418826E-4</v>
      </c>
      <c r="W30" s="15">
        <v>0.26974079012870789</v>
      </c>
      <c r="X30" s="11">
        <v>2.9258033260703087E-2</v>
      </c>
      <c r="Y30" s="11">
        <v>6.3582924194633961E-3</v>
      </c>
      <c r="Z30" s="15">
        <v>0.30925336480140686</v>
      </c>
      <c r="AA30" s="19">
        <v>0.50456863641738892</v>
      </c>
      <c r="AB30" s="14">
        <v>6.3200041651725769E-2</v>
      </c>
      <c r="AC30" s="11">
        <v>2.2007329389452934E-2</v>
      </c>
      <c r="AD30"/>
      <c r="AE30"/>
      <c r="AF30"/>
      <c r="AG30"/>
      <c r="AH30" s="14">
        <v>8.3798088133335114E-2</v>
      </c>
      <c r="AI30"/>
      <c r="AJ30" s="12">
        <v>9.3992404639720917E-2</v>
      </c>
      <c r="AK30" s="18">
        <v>0.35046440362930298</v>
      </c>
      <c r="AL30" s="262">
        <v>9.0605020523071289</v>
      </c>
      <c r="AM30" s="11">
        <v>1.8662290647625923E-2</v>
      </c>
      <c r="AN30" s="22">
        <v>0.23991267383098602</v>
      </c>
      <c r="AO30" s="259">
        <v>4.4749627113342285</v>
      </c>
      <c r="AP30" s="14">
        <v>5.6789349764585495E-2</v>
      </c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5.4000000953674316</v>
      </c>
      <c r="C31">
        <v>1.4054242372512817</v>
      </c>
      <c r="D31" s="231">
        <v>0.74112492799758911</v>
      </c>
      <c r="E31" s="231">
        <v>0.74112492799758911</v>
      </c>
      <c r="F31"/>
      <c r="G31" s="65">
        <v>0.11654999107122421</v>
      </c>
      <c r="H31" s="65">
        <v>0.116600401699543</v>
      </c>
      <c r="I31"/>
      <c r="J31" s="12">
        <v>1.7587499693036079E-2</v>
      </c>
      <c r="K31" s="12">
        <v>1.7622461542487144E-2</v>
      </c>
      <c r="L31"/>
      <c r="M31"/>
      <c r="N31"/>
      <c r="O31" s="14">
        <v>6.0051465407013893E-3</v>
      </c>
      <c r="P31" s="11">
        <v>2.0287288352847099E-3</v>
      </c>
      <c r="Q31" s="15">
        <v>5.6771568953990936E-2</v>
      </c>
      <c r="R31" s="12">
        <v>2.5879139080643654E-2</v>
      </c>
      <c r="S31"/>
      <c r="T31" s="11">
        <v>3.3314540050923824E-3</v>
      </c>
      <c r="U31" s="12">
        <v>1.6425000503659248E-2</v>
      </c>
      <c r="V31" s="14">
        <v>7.3867486789822578E-3</v>
      </c>
      <c r="W31" s="106">
        <v>1.5645757913589478</v>
      </c>
      <c r="X31"/>
      <c r="Y31" s="14">
        <v>9.817623533308506E-3</v>
      </c>
      <c r="Z31" s="235">
        <v>0.13195328414440155</v>
      </c>
      <c r="AA31" s="11">
        <v>1.9248422468081117E-3</v>
      </c>
      <c r="AB31" s="29">
        <v>0.24917392432689667</v>
      </c>
      <c r="AC31"/>
      <c r="AD31"/>
      <c r="AE31"/>
      <c r="AF31"/>
      <c r="AG31"/>
      <c r="AH31" s="11">
        <v>2.9619445558637381E-3</v>
      </c>
      <c r="AI31" s="14">
        <v>1.3907379470765591E-2</v>
      </c>
      <c r="AJ31" s="15">
        <v>4.9147132784128189E-2</v>
      </c>
      <c r="AK31" s="18">
        <v>5.970306321978569E-2</v>
      </c>
      <c r="AL31"/>
      <c r="AM31" s="22">
        <v>4.2972896248102188E-2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25</v>
      </c>
      <c r="C32">
        <v>7.8170924186706543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 s="11">
        <v>9.4213144620880485E-4</v>
      </c>
      <c r="U32" s="11">
        <v>3.2662285957485437E-3</v>
      </c>
      <c r="V32" s="11">
        <v>2.1104997358634137E-5</v>
      </c>
      <c r="W32"/>
      <c r="X32"/>
      <c r="Y32"/>
      <c r="Z32"/>
      <c r="AA32" s="23">
        <v>0.12553320825099945</v>
      </c>
      <c r="AB32" s="11">
        <v>7.0480629801750183E-3</v>
      </c>
      <c r="AC32" s="11">
        <v>7.9097278648987412E-4</v>
      </c>
      <c r="AD32" s="19">
        <v>0.45527848601341248</v>
      </c>
      <c r="AE32" s="14">
        <v>3.8193829357624054E-2</v>
      </c>
      <c r="AF32" s="12">
        <v>0.11000674962997437</v>
      </c>
      <c r="AG32" s="21">
        <v>0.47502976655960083</v>
      </c>
      <c r="AH32" s="11">
        <v>8.6371881479863077E-5</v>
      </c>
      <c r="AI32" s="22">
        <v>0.17483566701412201</v>
      </c>
      <c r="AJ32"/>
      <c r="AK32" s="11">
        <v>8.6293509230017662E-3</v>
      </c>
      <c r="AL32" s="15">
        <v>0.23469209671020508</v>
      </c>
      <c r="AM32" s="11">
        <v>2.2509614063892514E-4</v>
      </c>
      <c r="AN32" s="11">
        <v>1.1735620908439159E-2</v>
      </c>
      <c r="AO32" s="149">
        <v>1.5317001342773438</v>
      </c>
      <c r="AP32" s="11">
        <v>4.8929532058537006E-3</v>
      </c>
      <c r="AQ32" s="264">
        <v>14</v>
      </c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57.849998474121094</v>
      </c>
      <c r="C33">
        <v>45.286720275878906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 s="11">
        <v>1.630488783121109E-2</v>
      </c>
      <c r="AB33" s="11">
        <v>1.3833448756486177E-3</v>
      </c>
      <c r="AC33" s="11">
        <v>8.0630088632460684E-5</v>
      </c>
      <c r="AD33" s="11">
        <v>3.1291574239730835E-2</v>
      </c>
      <c r="AE33" s="11">
        <v>2.6340573094785213E-3</v>
      </c>
      <c r="AF33" s="11">
        <v>7.5866724364459515E-3</v>
      </c>
      <c r="AG33" s="14">
        <v>8.4241732954978943E-2</v>
      </c>
      <c r="AH33"/>
      <c r="AI33" s="11">
        <v>2.813446894288063E-2</v>
      </c>
      <c r="AJ33"/>
      <c r="AK33" s="11">
        <v>2.0829469431191683E-3</v>
      </c>
      <c r="AL33" s="11">
        <v>5.6649815291166306E-2</v>
      </c>
      <c r="AM33" s="11">
        <v>1.926371332956478E-4</v>
      </c>
      <c r="AN33" s="11">
        <v>2.8327361214905977E-3</v>
      </c>
      <c r="AO33" s="22">
        <v>0.50131618976593018</v>
      </c>
      <c r="AP33" s="11">
        <v>9.6158136148005724E-4</v>
      </c>
      <c r="AQ33" s="265">
        <v>11.82758617401123</v>
      </c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58.200000762939453</v>
      </c>
      <c r="C34">
        <v>32.773712158203125</v>
      </c>
      <c r="D34" s="11">
        <v>1.2704858090728521E-3</v>
      </c>
      <c r="E34"/>
      <c r="F34"/>
      <c r="G34" s="11">
        <v>3.4807829069904983E-4</v>
      </c>
      <c r="H34"/>
      <c r="I34"/>
      <c r="J34" s="11">
        <v>6.9615532993339002E-5</v>
      </c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 s="11">
        <v>4.2130965739488602E-3</v>
      </c>
      <c r="Z34" s="11">
        <v>4.2135946452617645E-2</v>
      </c>
      <c r="AA34" s="24">
        <v>1.6529837846755981</v>
      </c>
      <c r="AB34"/>
      <c r="AC34" s="11">
        <v>2.6147863827645779E-3</v>
      </c>
      <c r="AD34"/>
      <c r="AE34" s="11">
        <v>4.7445755451917648E-2</v>
      </c>
      <c r="AF34" s="14">
        <v>0.13665436208248138</v>
      </c>
      <c r="AG34"/>
      <c r="AH34" s="11">
        <v>1.5172926709055901E-2</v>
      </c>
      <c r="AI34"/>
      <c r="AJ34" s="12">
        <v>0.22831046581268311</v>
      </c>
      <c r="AK34" s="12">
        <v>0.27921053767204285</v>
      </c>
      <c r="AL34" s="108">
        <v>3.8265018463134766</v>
      </c>
      <c r="AM34" s="11">
        <v>2.4911828804761171E-3</v>
      </c>
      <c r="AN34" s="14">
        <v>5.9399817138910294E-2</v>
      </c>
      <c r="AO34" s="263">
        <v>19.113332748413086</v>
      </c>
      <c r="AP34" s="11">
        <v>1.4133058488368988E-2</v>
      </c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/>
      <c r="C35">
        <v>6.0052230954170227E-2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 s="9">
        <v>0.39992085099220276</v>
      </c>
      <c r="X35" s="9">
        <v>7.8991025686264038E-2</v>
      </c>
      <c r="Y35" s="9">
        <v>1.1923950165510178E-2</v>
      </c>
      <c r="Z35" s="9">
        <v>0.49183177947998047</v>
      </c>
      <c r="AA35" s="9">
        <v>1.389234185218811</v>
      </c>
      <c r="AB35" s="9">
        <v>0.19634906947612762</v>
      </c>
      <c r="AC35" s="9">
        <v>3.9535567164421082E-2</v>
      </c>
      <c r="AD35"/>
      <c r="AE35" s="9">
        <v>7.6387658715248108E-2</v>
      </c>
      <c r="AF35" s="9">
        <v>0.22001349925994873</v>
      </c>
      <c r="AG35" s="9">
        <v>1.0043486356735229</v>
      </c>
      <c r="AH35" s="9">
        <v>1.2067633867263794</v>
      </c>
      <c r="AI35" s="9">
        <v>0.54702365398406982</v>
      </c>
      <c r="AJ35" s="9">
        <v>0.73712533712387085</v>
      </c>
      <c r="AK35" s="9">
        <v>2.8713662624359131</v>
      </c>
      <c r="AL35" s="9">
        <v>78.308929443359375</v>
      </c>
      <c r="AM35" s="9">
        <v>0.37586966156959534</v>
      </c>
      <c r="AN35" s="9">
        <v>2.1613214015960693</v>
      </c>
      <c r="AO35" s="9">
        <v>76.80999755859375</v>
      </c>
      <c r="AP35" s="9">
        <v>0.99132037162780762</v>
      </c>
      <c r="AQ35" s="9">
        <v>196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/>
      <c r="C36">
        <v>0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8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8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1" t="s">
        <v>192</v>
      </c>
      <c r="E5">
        <v>4</v>
      </c>
      <c r="F5">
        <v>3.12</v>
      </c>
      <c r="G5">
        <v>4</v>
      </c>
      <c r="H5" s="202" t="s">
        <v>192</v>
      </c>
      <c r="J5" s="57"/>
      <c r="K5" s="58"/>
    </row>
    <row r="6" spans="1:12" ht="14" thickBot="1" x14ac:dyDescent="0.2">
      <c r="A6" s="41" t="s">
        <v>121</v>
      </c>
      <c r="D6" s="201" t="s">
        <v>193</v>
      </c>
      <c r="E6">
        <v>5</v>
      </c>
      <c r="F6">
        <v>3.13</v>
      </c>
      <c r="G6">
        <v>5</v>
      </c>
      <c r="H6" s="202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1" t="s">
        <v>194</v>
      </c>
      <c r="E7">
        <v>6</v>
      </c>
      <c r="F7">
        <v>3.22</v>
      </c>
      <c r="G7">
        <v>6</v>
      </c>
      <c r="H7" s="202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1" t="s">
        <v>195</v>
      </c>
      <c r="E8">
        <v>7</v>
      </c>
      <c r="F8">
        <v>3.13</v>
      </c>
      <c r="G8">
        <v>7</v>
      </c>
      <c r="H8" s="202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1" t="s">
        <v>196</v>
      </c>
      <c r="E9">
        <v>8</v>
      </c>
      <c r="F9">
        <v>3.13</v>
      </c>
      <c r="G9">
        <v>8</v>
      </c>
      <c r="H9" s="202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1" t="s">
        <v>197</v>
      </c>
      <c r="E10">
        <v>9</v>
      </c>
      <c r="F10">
        <v>3.13</v>
      </c>
      <c r="G10">
        <v>9</v>
      </c>
      <c r="H10" s="202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1" t="s">
        <v>198</v>
      </c>
      <c r="E11">
        <v>10</v>
      </c>
      <c r="F11">
        <v>3.22</v>
      </c>
      <c r="G11">
        <v>10</v>
      </c>
      <c r="H11" s="202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1" t="s">
        <v>199</v>
      </c>
      <c r="E12">
        <v>11</v>
      </c>
      <c r="F12">
        <v>3.12</v>
      </c>
      <c r="G12">
        <v>11</v>
      </c>
      <c r="H12" s="202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1" t="s">
        <v>200</v>
      </c>
      <c r="E13">
        <v>12</v>
      </c>
      <c r="F13">
        <v>3.13</v>
      </c>
      <c r="G13">
        <v>12</v>
      </c>
      <c r="H13" s="202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1" t="s">
        <v>201</v>
      </c>
      <c r="E14">
        <v>13</v>
      </c>
      <c r="F14">
        <v>3.13</v>
      </c>
      <c r="G14">
        <v>13</v>
      </c>
      <c r="H14" s="202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1" t="s">
        <v>202</v>
      </c>
      <c r="E15">
        <v>14</v>
      </c>
      <c r="F15">
        <v>3.22</v>
      </c>
      <c r="G15">
        <v>14</v>
      </c>
      <c r="H15" s="202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1" t="s">
        <v>203</v>
      </c>
      <c r="E16">
        <v>15</v>
      </c>
      <c r="F16">
        <v>3.22</v>
      </c>
      <c r="G16">
        <v>15</v>
      </c>
      <c r="H16" s="202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1" t="s">
        <v>204</v>
      </c>
      <c r="E17">
        <v>16</v>
      </c>
      <c r="F17">
        <v>3.22</v>
      </c>
      <c r="G17">
        <v>16</v>
      </c>
      <c r="H17" s="202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1" t="s">
        <v>205</v>
      </c>
      <c r="E18">
        <v>17</v>
      </c>
      <c r="F18">
        <v>3.22</v>
      </c>
      <c r="G18">
        <v>17</v>
      </c>
      <c r="H18" s="202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1" t="s">
        <v>206</v>
      </c>
      <c r="E19">
        <v>18</v>
      </c>
      <c r="F19">
        <v>3</v>
      </c>
      <c r="G19">
        <v>18</v>
      </c>
      <c r="H19" s="202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1" t="s">
        <v>207</v>
      </c>
      <c r="E20">
        <v>19</v>
      </c>
      <c r="F20">
        <v>3.22</v>
      </c>
      <c r="G20">
        <v>19</v>
      </c>
      <c r="H20" s="202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1" t="s">
        <v>208</v>
      </c>
      <c r="E21">
        <v>20</v>
      </c>
      <c r="F21">
        <v>3.21</v>
      </c>
      <c r="G21">
        <v>20</v>
      </c>
      <c r="H21" s="202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1" t="s">
        <v>209</v>
      </c>
      <c r="E22">
        <v>21</v>
      </c>
      <c r="F22">
        <v>3.12</v>
      </c>
      <c r="G22">
        <v>21</v>
      </c>
      <c r="H22" s="202" t="s">
        <v>209</v>
      </c>
    </row>
    <row r="23" spans="1:12" x14ac:dyDescent="0.15">
      <c r="A23" s="36" t="s">
        <v>129</v>
      </c>
      <c r="B23" s="44">
        <v>4</v>
      </c>
      <c r="C23" s="38"/>
      <c r="D23" s="201" t="s">
        <v>210</v>
      </c>
      <c r="E23">
        <v>22</v>
      </c>
      <c r="F23">
        <v>3.21</v>
      </c>
      <c r="G23">
        <v>22</v>
      </c>
      <c r="H23" s="202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1" t="s">
        <v>211</v>
      </c>
      <c r="E24">
        <v>23</v>
      </c>
      <c r="F24">
        <v>3</v>
      </c>
      <c r="G24">
        <v>23</v>
      </c>
      <c r="H24" s="202" t="s">
        <v>211</v>
      </c>
    </row>
    <row r="25" spans="1:12" x14ac:dyDescent="0.15">
      <c r="A25" s="36" t="s">
        <v>70</v>
      </c>
      <c r="B25" s="44">
        <v>4.2</v>
      </c>
      <c r="C25" s="38"/>
      <c r="D25" s="201" t="s">
        <v>212</v>
      </c>
      <c r="E25">
        <v>24</v>
      </c>
      <c r="F25">
        <v>3.12</v>
      </c>
      <c r="G25">
        <v>24</v>
      </c>
      <c r="H25" s="202" t="s">
        <v>212</v>
      </c>
    </row>
    <row r="26" spans="1:12" x14ac:dyDescent="0.15">
      <c r="A26" s="36" t="s">
        <v>123</v>
      </c>
      <c r="B26" s="44">
        <v>4.3</v>
      </c>
      <c r="C26" s="38"/>
      <c r="D26" s="201" t="s">
        <v>213</v>
      </c>
      <c r="E26">
        <v>25</v>
      </c>
      <c r="F26">
        <v>3.22</v>
      </c>
      <c r="G26">
        <v>25</v>
      </c>
      <c r="H26" s="202" t="s">
        <v>213</v>
      </c>
    </row>
    <row r="27" spans="1:12" x14ac:dyDescent="0.15">
      <c r="A27" s="36" t="s">
        <v>125</v>
      </c>
      <c r="B27" s="44">
        <v>6.1</v>
      </c>
      <c r="D27" s="201" t="s">
        <v>214</v>
      </c>
      <c r="E27">
        <v>26</v>
      </c>
      <c r="F27">
        <v>3.12</v>
      </c>
      <c r="G27">
        <v>26</v>
      </c>
      <c r="H27" s="202" t="s">
        <v>214</v>
      </c>
    </row>
    <row r="28" spans="1:12" x14ac:dyDescent="0.15">
      <c r="A28" s="36" t="s">
        <v>124</v>
      </c>
      <c r="B28" s="44">
        <v>6.2</v>
      </c>
      <c r="D28" s="201" t="s">
        <v>215</v>
      </c>
      <c r="E28">
        <v>27</v>
      </c>
      <c r="F28">
        <v>3</v>
      </c>
      <c r="G28">
        <v>27</v>
      </c>
      <c r="H28" s="202" t="s">
        <v>215</v>
      </c>
    </row>
    <row r="29" spans="1:12" x14ac:dyDescent="0.15">
      <c r="A29" s="36" t="s">
        <v>44</v>
      </c>
      <c r="B29" s="44">
        <v>5</v>
      </c>
      <c r="D29" s="201" t="s">
        <v>216</v>
      </c>
      <c r="E29">
        <v>28</v>
      </c>
      <c r="F29">
        <v>3.21</v>
      </c>
      <c r="G29">
        <v>28</v>
      </c>
      <c r="H29" s="202" t="s">
        <v>216</v>
      </c>
    </row>
    <row r="30" spans="1:12" x14ac:dyDescent="0.15">
      <c r="A30" s="36" t="s">
        <v>73</v>
      </c>
      <c r="B30" s="44">
        <v>7</v>
      </c>
      <c r="D30" s="201" t="s">
        <v>217</v>
      </c>
      <c r="E30">
        <v>29</v>
      </c>
      <c r="F30">
        <v>3.21</v>
      </c>
      <c r="G30">
        <v>29</v>
      </c>
      <c r="H30" s="202" t="s">
        <v>217</v>
      </c>
    </row>
    <row r="31" spans="1:12" x14ac:dyDescent="0.15">
      <c r="A31" s="36" t="s">
        <v>169</v>
      </c>
      <c r="B31" s="44">
        <v>3.14</v>
      </c>
      <c r="D31" s="201" t="s">
        <v>218</v>
      </c>
      <c r="E31">
        <v>30</v>
      </c>
      <c r="F31">
        <v>3.21</v>
      </c>
      <c r="G31">
        <v>30</v>
      </c>
      <c r="H31" s="202" t="s">
        <v>218</v>
      </c>
    </row>
    <row r="32" spans="1:12" ht="12" customHeight="1" thickBot="1" x14ac:dyDescent="0.2">
      <c r="A32" s="42" t="s">
        <v>170</v>
      </c>
      <c r="B32" s="45">
        <v>9</v>
      </c>
      <c r="D32" s="201" t="s">
        <v>219</v>
      </c>
      <c r="E32">
        <v>31</v>
      </c>
      <c r="F32">
        <v>3</v>
      </c>
      <c r="G32">
        <v>31</v>
      </c>
      <c r="H32" s="202" t="s">
        <v>219</v>
      </c>
    </row>
    <row r="33" spans="4:8" customFormat="1" ht="12" customHeight="1" x14ac:dyDescent="0.15">
      <c r="D33" s="201" t="s">
        <v>220</v>
      </c>
      <c r="E33">
        <v>32</v>
      </c>
      <c r="F33">
        <v>3.21</v>
      </c>
      <c r="G33">
        <v>32</v>
      </c>
      <c r="H33" s="202" t="s">
        <v>220</v>
      </c>
    </row>
    <row r="34" spans="4:8" customFormat="1" ht="12" customHeight="1" x14ac:dyDescent="0.15">
      <c r="D34" s="201" t="s">
        <v>221</v>
      </c>
      <c r="E34">
        <v>33</v>
      </c>
      <c r="F34">
        <v>3.21</v>
      </c>
      <c r="G34">
        <v>33</v>
      </c>
      <c r="H34" s="202" t="s">
        <v>221</v>
      </c>
    </row>
    <row r="35" spans="4:8" customFormat="1" x14ac:dyDescent="0.15">
      <c r="D35" s="201" t="s">
        <v>222</v>
      </c>
      <c r="E35">
        <v>34</v>
      </c>
      <c r="F35">
        <v>3.11</v>
      </c>
      <c r="G35">
        <v>34</v>
      </c>
      <c r="H35" s="202" t="s">
        <v>222</v>
      </c>
    </row>
    <row r="36" spans="4:8" customFormat="1" x14ac:dyDescent="0.15">
      <c r="D36" s="201" t="s">
        <v>223</v>
      </c>
      <c r="E36">
        <v>35</v>
      </c>
      <c r="F36">
        <v>2</v>
      </c>
      <c r="G36">
        <v>35</v>
      </c>
      <c r="H36" s="202" t="s">
        <v>223</v>
      </c>
    </row>
    <row r="37" spans="4:8" customFormat="1" ht="12" customHeight="1" x14ac:dyDescent="0.15">
      <c r="D37" s="201" t="s">
        <v>224</v>
      </c>
      <c r="E37">
        <v>36</v>
      </c>
      <c r="F37">
        <v>2.2999999999999998</v>
      </c>
      <c r="G37">
        <v>36</v>
      </c>
      <c r="H37" s="202" t="s">
        <v>224</v>
      </c>
    </row>
    <row r="38" spans="4:8" customFormat="1" x14ac:dyDescent="0.15">
      <c r="D38" s="201" t="s">
        <v>225</v>
      </c>
      <c r="E38">
        <v>37</v>
      </c>
      <c r="F38">
        <v>4.0999999999999996</v>
      </c>
      <c r="G38">
        <v>37</v>
      </c>
      <c r="H38" s="202" t="s">
        <v>225</v>
      </c>
    </row>
    <row r="39" spans="4:8" customFormat="1" x14ac:dyDescent="0.15">
      <c r="D39" s="201" t="s">
        <v>226</v>
      </c>
      <c r="E39">
        <v>38</v>
      </c>
      <c r="F39">
        <v>4.3</v>
      </c>
      <c r="G39">
        <v>38</v>
      </c>
      <c r="H39" s="202" t="s">
        <v>226</v>
      </c>
    </row>
    <row r="40" spans="4:8" customFormat="1" x14ac:dyDescent="0.15">
      <c r="D40" s="201" t="s">
        <v>227</v>
      </c>
      <c r="E40">
        <v>39</v>
      </c>
      <c r="F40">
        <v>5</v>
      </c>
      <c r="G40">
        <v>39</v>
      </c>
      <c r="H40" s="202" t="s">
        <v>227</v>
      </c>
    </row>
    <row r="41" spans="4:8" customFormat="1" x14ac:dyDescent="0.15">
      <c r="D41" s="201" t="s">
        <v>228</v>
      </c>
      <c r="E41">
        <v>40</v>
      </c>
      <c r="F41">
        <v>5</v>
      </c>
      <c r="G41">
        <v>40</v>
      </c>
      <c r="H41" s="202" t="s">
        <v>228</v>
      </c>
    </row>
    <row r="42" spans="4:8" customFormat="1" x14ac:dyDescent="0.15">
      <c r="D42" s="201" t="s">
        <v>229</v>
      </c>
      <c r="E42">
        <v>41</v>
      </c>
      <c r="F42">
        <v>5</v>
      </c>
      <c r="G42">
        <v>41</v>
      </c>
      <c r="H42" s="202" t="s">
        <v>229</v>
      </c>
    </row>
    <row r="43" spans="4:8" customFormat="1" x14ac:dyDescent="0.15">
      <c r="D43" s="201" t="s">
        <v>230</v>
      </c>
      <c r="E43">
        <v>42</v>
      </c>
      <c r="F43">
        <v>5</v>
      </c>
      <c r="G43">
        <v>42</v>
      </c>
      <c r="H43" s="202" t="s">
        <v>230</v>
      </c>
    </row>
    <row r="44" spans="4:8" customFormat="1" x14ac:dyDescent="0.15">
      <c r="D44" s="201" t="s">
        <v>231</v>
      </c>
      <c r="E44">
        <v>43</v>
      </c>
      <c r="F44">
        <v>5</v>
      </c>
      <c r="G44">
        <v>43</v>
      </c>
      <c r="H44" s="202" t="s">
        <v>231</v>
      </c>
    </row>
    <row r="45" spans="4:8" customFormat="1" x14ac:dyDescent="0.15">
      <c r="D45" s="201" t="s">
        <v>232</v>
      </c>
      <c r="E45">
        <v>44</v>
      </c>
      <c r="F45">
        <v>5</v>
      </c>
      <c r="G45">
        <v>44</v>
      </c>
      <c r="H45" s="202" t="s">
        <v>232</v>
      </c>
    </row>
    <row r="46" spans="4:8" customFormat="1" x14ac:dyDescent="0.15">
      <c r="D46" s="201" t="s">
        <v>233</v>
      </c>
      <c r="E46">
        <v>45</v>
      </c>
      <c r="F46">
        <v>5</v>
      </c>
      <c r="G46">
        <v>45</v>
      </c>
      <c r="H46" s="202" t="s">
        <v>233</v>
      </c>
    </row>
    <row r="47" spans="4:8" customFormat="1" x14ac:dyDescent="0.15">
      <c r="D47" s="201" t="s">
        <v>234</v>
      </c>
      <c r="E47">
        <v>46</v>
      </c>
      <c r="F47">
        <v>5</v>
      </c>
      <c r="G47">
        <v>46</v>
      </c>
      <c r="H47" s="202" t="s">
        <v>234</v>
      </c>
    </row>
    <row r="48" spans="4:8" customFormat="1" x14ac:dyDescent="0.15">
      <c r="D48" s="201" t="s">
        <v>235</v>
      </c>
      <c r="E48">
        <v>47</v>
      </c>
      <c r="F48">
        <v>5</v>
      </c>
      <c r="G48">
        <v>47</v>
      </c>
      <c r="H48" s="202" t="s">
        <v>235</v>
      </c>
    </row>
    <row r="49" spans="4:8" customFormat="1" x14ac:dyDescent="0.15">
      <c r="D49" s="201" t="s">
        <v>138</v>
      </c>
      <c r="E49">
        <v>48</v>
      </c>
      <c r="F49">
        <v>6.1</v>
      </c>
      <c r="G49">
        <v>48</v>
      </c>
      <c r="H49" s="202" t="s">
        <v>138</v>
      </c>
    </row>
    <row r="50" spans="4:8" customFormat="1" ht="12" customHeight="1" x14ac:dyDescent="0.15">
      <c r="D50" s="201" t="s">
        <v>45</v>
      </c>
      <c r="E50">
        <v>49</v>
      </c>
      <c r="F50">
        <v>6.2</v>
      </c>
      <c r="G50">
        <v>49</v>
      </c>
      <c r="H50" s="202" t="s">
        <v>45</v>
      </c>
    </row>
    <row r="51" spans="4:8" customFormat="1" x14ac:dyDescent="0.15"/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82" bestFit="1" customWidth="1"/>
    <col min="2" max="2" width="12.83203125" style="81" customWidth="1"/>
    <col min="3" max="3" width="13.1640625" style="81" customWidth="1"/>
    <col min="4" max="4" width="6.83203125" style="81" customWidth="1"/>
    <col min="5" max="5" width="12.83203125" style="81" customWidth="1"/>
    <col min="6" max="6" width="38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2" customWidth="1"/>
    <col min="17" max="17" width="2.33203125" style="81" customWidth="1"/>
    <col min="18" max="18" width="2.33203125" style="73" customWidth="1"/>
    <col min="19" max="16384" width="11.5" style="81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3" t="s">
        <v>48</v>
      </c>
      <c r="L1" s="73"/>
      <c r="M1" s="83" t="s">
        <v>119</v>
      </c>
      <c r="N1" s="73"/>
      <c r="O1" s="83" t="s">
        <v>49</v>
      </c>
      <c r="P1" s="76"/>
      <c r="Q1" s="83" t="s">
        <v>50</v>
      </c>
      <c r="R1" s="71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3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3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203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1</v>
      </c>
      <c r="L6" s="81">
        <v>0</v>
      </c>
      <c r="M6" s="81">
        <v>1</v>
      </c>
      <c r="N6" s="81">
        <v>0</v>
      </c>
      <c r="O6" s="81">
        <v>1</v>
      </c>
      <c r="P6" s="72">
        <v>0</v>
      </c>
      <c r="Q6" s="81">
        <v>0</v>
      </c>
      <c r="R6" s="73">
        <v>1</v>
      </c>
      <c r="S6"/>
      <c r="T6"/>
    </row>
    <row r="7" spans="1:23" ht="15" customHeight="1" thickBot="1" x14ac:dyDescent="0.2">
      <c r="F7" s="203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2">
        <v>0</v>
      </c>
      <c r="Q7" s="81">
        <v>0</v>
      </c>
      <c r="R7" s="73">
        <v>1</v>
      </c>
      <c r="S7"/>
      <c r="T7"/>
    </row>
    <row r="8" spans="1:23" ht="15" customHeight="1" x14ac:dyDescent="0.15">
      <c r="A8" s="83" t="s">
        <v>56</v>
      </c>
      <c r="B8" s="90">
        <v>0.98622900713987316</v>
      </c>
      <c r="C8" s="204" t="s">
        <v>223</v>
      </c>
      <c r="D8" s="85" t="s">
        <v>160</v>
      </c>
      <c r="F8" s="203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2">
        <v>0</v>
      </c>
      <c r="Q8" s="81">
        <v>0</v>
      </c>
      <c r="R8" s="73">
        <v>1</v>
      </c>
      <c r="S8"/>
      <c r="T8"/>
      <c r="W8"/>
    </row>
    <row r="9" spans="1:23" ht="15" customHeight="1" x14ac:dyDescent="0.15">
      <c r="A9" s="127" t="s">
        <v>168</v>
      </c>
      <c r="B9" s="92">
        <v>1.3770992860126898E-2</v>
      </c>
      <c r="C9" s="204" t="s">
        <v>224</v>
      </c>
      <c r="D9" s="85" t="s">
        <v>160</v>
      </c>
      <c r="F9" s="203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2">
        <v>0</v>
      </c>
      <c r="Q9" s="81">
        <v>0</v>
      </c>
      <c r="R9" s="73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203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2">
        <v>0</v>
      </c>
      <c r="Q10" s="81">
        <v>0</v>
      </c>
      <c r="R10" s="73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203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2">
        <v>0</v>
      </c>
      <c r="Q11" s="81">
        <v>0</v>
      </c>
      <c r="R11" s="73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203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2">
        <v>0</v>
      </c>
      <c r="Q12" s="81">
        <v>0</v>
      </c>
      <c r="R12" s="73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203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2">
        <v>0</v>
      </c>
      <c r="Q13" s="81">
        <v>0</v>
      </c>
      <c r="R13" s="73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203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2">
        <v>0</v>
      </c>
      <c r="Q14" s="81">
        <v>0</v>
      </c>
      <c r="R14" s="73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203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2">
        <v>0</v>
      </c>
      <c r="Q15" s="81">
        <v>0</v>
      </c>
      <c r="R15" s="73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203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2">
        <v>0</v>
      </c>
      <c r="Q16" s="81">
        <v>0</v>
      </c>
      <c r="R16" s="73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203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2">
        <v>0</v>
      </c>
      <c r="Q17" s="81">
        <v>0</v>
      </c>
      <c r="R17" s="73">
        <v>1</v>
      </c>
      <c r="S17"/>
      <c r="T17"/>
    </row>
    <row r="18" spans="1:20" ht="15" customHeight="1" thickBot="1" x14ac:dyDescent="0.2">
      <c r="B18" s="93"/>
      <c r="F18" s="203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2">
        <v>0</v>
      </c>
      <c r="Q18" s="81">
        <v>0</v>
      </c>
      <c r="R18" s="73">
        <v>1</v>
      </c>
      <c r="S18"/>
      <c r="T18"/>
    </row>
    <row r="19" spans="1:20" ht="15" customHeight="1" x14ac:dyDescent="0.15">
      <c r="A19" s="83" t="s">
        <v>57</v>
      </c>
      <c r="B19" s="90">
        <v>0.98622900713987316</v>
      </c>
      <c r="C19" s="205" t="s">
        <v>223</v>
      </c>
      <c r="D19" s="85" t="s">
        <v>160</v>
      </c>
      <c r="F19" s="203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2">
        <v>0</v>
      </c>
      <c r="Q19" s="81">
        <v>0</v>
      </c>
      <c r="R19" s="73">
        <v>1</v>
      </c>
      <c r="S19"/>
      <c r="T19"/>
    </row>
    <row r="20" spans="1:20" ht="15" customHeight="1" x14ac:dyDescent="0.15">
      <c r="A20" s="127" t="s">
        <v>168</v>
      </c>
      <c r="B20" s="92">
        <v>1.3770992860126898E-2</v>
      </c>
      <c r="C20" s="205" t="s">
        <v>224</v>
      </c>
      <c r="D20" s="85" t="s">
        <v>160</v>
      </c>
      <c r="F20" s="203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2">
        <v>0</v>
      </c>
      <c r="Q20" s="81">
        <v>0</v>
      </c>
      <c r="R20" s="73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203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2">
        <v>0</v>
      </c>
      <c r="Q21" s="81">
        <v>0</v>
      </c>
      <c r="R21" s="73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203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2">
        <v>0</v>
      </c>
      <c r="Q22" s="81">
        <v>0</v>
      </c>
      <c r="R22" s="73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203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2">
        <v>0</v>
      </c>
      <c r="Q23" s="81">
        <v>0</v>
      </c>
      <c r="R23" s="73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203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0</v>
      </c>
      <c r="L24" s="81">
        <v>1</v>
      </c>
      <c r="M24" s="81">
        <v>0</v>
      </c>
      <c r="N24" s="81">
        <v>1</v>
      </c>
      <c r="O24" s="81">
        <v>0</v>
      </c>
      <c r="P24" s="72">
        <v>1</v>
      </c>
      <c r="Q24" s="81">
        <v>0</v>
      </c>
      <c r="R24" s="73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203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0</v>
      </c>
      <c r="L25" s="81">
        <v>1</v>
      </c>
      <c r="M25" s="81">
        <v>0</v>
      </c>
      <c r="N25" s="81">
        <v>1</v>
      </c>
      <c r="O25" s="81">
        <v>0</v>
      </c>
      <c r="P25" s="72">
        <v>1</v>
      </c>
      <c r="Q25" s="81">
        <v>0</v>
      </c>
      <c r="R25" s="73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203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2">
        <v>0</v>
      </c>
      <c r="Q26" s="81">
        <v>0</v>
      </c>
      <c r="R26" s="73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203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2">
        <v>0</v>
      </c>
      <c r="Q27" s="81">
        <v>0</v>
      </c>
      <c r="R27" s="73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203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2">
        <v>0</v>
      </c>
      <c r="Q28" s="81">
        <v>0</v>
      </c>
      <c r="R28" s="73">
        <v>1</v>
      </c>
      <c r="S28"/>
      <c r="T28"/>
    </row>
    <row r="29" spans="1:20" ht="15" customHeight="1" x14ac:dyDescent="0.15">
      <c r="F29" s="203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2">
        <v>0</v>
      </c>
      <c r="Q29" s="81">
        <v>0</v>
      </c>
      <c r="R29" s="73">
        <v>1</v>
      </c>
      <c r="S29"/>
      <c r="T29"/>
    </row>
    <row r="30" spans="1:20" ht="15" customHeight="1" x14ac:dyDescent="0.15">
      <c r="F30" s="203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2">
        <v>0</v>
      </c>
      <c r="Q30" s="81">
        <v>0</v>
      </c>
      <c r="R30" s="73">
        <v>1</v>
      </c>
      <c r="S30"/>
      <c r="T30"/>
    </row>
    <row r="31" spans="1:20" ht="15" customHeight="1" x14ac:dyDescent="0.15">
      <c r="A31" s="128"/>
      <c r="B31" s="138" t="s">
        <v>17</v>
      </c>
      <c r="C31" s="138" t="s">
        <v>1</v>
      </c>
      <c r="D31" s="138" t="s">
        <v>161</v>
      </c>
      <c r="E31" s="139" t="s">
        <v>163</v>
      </c>
      <c r="F31" s="203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2">
        <v>0</v>
      </c>
      <c r="Q31" s="81">
        <v>0</v>
      </c>
      <c r="R31" s="73">
        <v>1</v>
      </c>
      <c r="S31"/>
      <c r="T31"/>
    </row>
    <row r="32" spans="1:20" ht="15" customHeight="1" x14ac:dyDescent="0.15">
      <c r="A32" s="206" t="s">
        <v>223</v>
      </c>
      <c r="B32" s="93">
        <v>116</v>
      </c>
      <c r="C32" s="93">
        <v>57.85</v>
      </c>
      <c r="D32" s="93">
        <v>6710.6</v>
      </c>
      <c r="E32" s="129">
        <v>0.98622900713987316</v>
      </c>
      <c r="F32" s="203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2">
        <v>0</v>
      </c>
      <c r="Q32" s="81">
        <v>0</v>
      </c>
      <c r="R32" s="73">
        <v>1</v>
      </c>
      <c r="S32"/>
      <c r="T32"/>
    </row>
    <row r="33" spans="1:20" ht="15" customHeight="1" x14ac:dyDescent="0.15">
      <c r="A33" s="206" t="s">
        <v>224</v>
      </c>
      <c r="B33" s="93">
        <v>1.6099999</v>
      </c>
      <c r="C33" s="93">
        <v>58.2</v>
      </c>
      <c r="D33" s="93">
        <v>93.70199418</v>
      </c>
      <c r="E33" s="129">
        <v>1.3770992860126898E-2</v>
      </c>
      <c r="F33" s="203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0</v>
      </c>
      <c r="L33" s="81">
        <v>1</v>
      </c>
      <c r="M33" s="81">
        <v>0</v>
      </c>
      <c r="N33" s="81">
        <v>1</v>
      </c>
      <c r="O33" s="81">
        <v>0</v>
      </c>
      <c r="P33" s="72">
        <v>1</v>
      </c>
      <c r="Q33" s="81">
        <v>0</v>
      </c>
      <c r="R33" s="73">
        <v>1</v>
      </c>
      <c r="S33"/>
      <c r="T33"/>
    </row>
    <row r="34" spans="1:20" ht="15" customHeight="1" x14ac:dyDescent="0.15">
      <c r="A34" s="130"/>
      <c r="B34" s="93"/>
      <c r="C34" s="93"/>
      <c r="D34" s="93"/>
      <c r="E34" s="129"/>
      <c r="F34" s="203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2">
        <v>0</v>
      </c>
      <c r="Q34" s="81">
        <v>0</v>
      </c>
      <c r="R34" s="73">
        <v>1</v>
      </c>
      <c r="S34"/>
      <c r="T34"/>
    </row>
    <row r="35" spans="1:20" ht="15" customHeight="1" x14ac:dyDescent="0.15">
      <c r="A35" s="131"/>
      <c r="B35" s="93"/>
      <c r="C35" s="93"/>
      <c r="D35" s="93"/>
      <c r="E35" s="129"/>
      <c r="F35" s="203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1</v>
      </c>
      <c r="M35" s="81">
        <v>0</v>
      </c>
      <c r="N35" s="81">
        <v>1</v>
      </c>
      <c r="O35" s="81">
        <v>0</v>
      </c>
      <c r="P35" s="72">
        <v>1</v>
      </c>
      <c r="Q35" s="81">
        <v>0</v>
      </c>
      <c r="R35" s="73">
        <v>1</v>
      </c>
      <c r="S35"/>
      <c r="T35"/>
    </row>
    <row r="36" spans="1:20" ht="15" customHeight="1" x14ac:dyDescent="0.15">
      <c r="A36" s="132"/>
      <c r="B36" s="93"/>
      <c r="C36" s="93"/>
      <c r="D36" s="93"/>
      <c r="E36" s="129"/>
      <c r="F36" s="203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1</v>
      </c>
      <c r="L36" s="81">
        <v>0</v>
      </c>
      <c r="M36" s="81">
        <v>1</v>
      </c>
      <c r="N36" s="81">
        <v>0</v>
      </c>
      <c r="O36" s="81">
        <v>1</v>
      </c>
      <c r="P36" s="72">
        <v>0</v>
      </c>
      <c r="Q36" s="81">
        <v>0</v>
      </c>
      <c r="R36" s="73">
        <v>1</v>
      </c>
      <c r="S36"/>
      <c r="T36"/>
    </row>
    <row r="37" spans="1:20" ht="15" customHeight="1" x14ac:dyDescent="0.15">
      <c r="A37" s="132"/>
      <c r="B37" s="93"/>
      <c r="C37" s="93"/>
      <c r="D37" s="93"/>
      <c r="E37" s="129"/>
      <c r="F37" s="203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0</v>
      </c>
      <c r="M37" s="81">
        <v>1</v>
      </c>
      <c r="N37" s="81">
        <v>0</v>
      </c>
      <c r="O37" s="81">
        <v>0</v>
      </c>
      <c r="P37" s="72">
        <v>0</v>
      </c>
      <c r="Q37" s="81">
        <v>0</v>
      </c>
      <c r="R37" s="73">
        <v>1</v>
      </c>
      <c r="S37"/>
      <c r="T37"/>
    </row>
    <row r="38" spans="1:20" ht="15" customHeight="1" x14ac:dyDescent="0.15">
      <c r="A38" s="133"/>
      <c r="B38" s="93"/>
      <c r="C38" s="93"/>
      <c r="D38" s="93"/>
      <c r="E38" s="129"/>
      <c r="F38" s="203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0</v>
      </c>
      <c r="M38" s="81">
        <v>1</v>
      </c>
      <c r="N38" s="81">
        <v>0</v>
      </c>
      <c r="O38" s="81">
        <v>0</v>
      </c>
      <c r="P38" s="72">
        <v>0</v>
      </c>
      <c r="Q38" s="81">
        <v>0</v>
      </c>
      <c r="R38" s="73">
        <v>1</v>
      </c>
      <c r="S38"/>
      <c r="T38"/>
    </row>
    <row r="39" spans="1:20" ht="15" customHeight="1" x14ac:dyDescent="0.15">
      <c r="A39" s="133"/>
      <c r="B39" s="93"/>
      <c r="C39" s="93"/>
      <c r="D39" s="93"/>
      <c r="E39" s="129"/>
      <c r="F39" s="203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1</v>
      </c>
      <c r="O39" s="81">
        <v>0</v>
      </c>
      <c r="P39" s="72">
        <v>1</v>
      </c>
      <c r="Q39" s="81">
        <v>0</v>
      </c>
      <c r="R39" s="73">
        <v>1</v>
      </c>
      <c r="S39"/>
      <c r="T39"/>
    </row>
    <row r="40" spans="1:20" ht="15" customHeight="1" x14ac:dyDescent="0.15">
      <c r="A40" s="133"/>
      <c r="B40" s="93"/>
      <c r="C40" s="93"/>
      <c r="D40" s="93"/>
      <c r="E40" s="129"/>
      <c r="F40" s="203" t="s">
        <v>226</v>
      </c>
      <c r="G40" s="81">
        <v>0</v>
      </c>
      <c r="H40" s="81">
        <v>0</v>
      </c>
      <c r="I40" s="81">
        <v>0</v>
      </c>
      <c r="J40" s="81">
        <v>0</v>
      </c>
      <c r="K40" s="81">
        <v>0</v>
      </c>
      <c r="L40" s="81">
        <v>1</v>
      </c>
      <c r="M40" s="81">
        <v>0</v>
      </c>
      <c r="N40" s="81">
        <v>1</v>
      </c>
      <c r="O40" s="81">
        <v>0</v>
      </c>
      <c r="P40" s="72">
        <v>1</v>
      </c>
      <c r="Q40" s="81">
        <v>0</v>
      </c>
      <c r="R40" s="73">
        <v>1</v>
      </c>
      <c r="S40"/>
      <c r="T40"/>
    </row>
    <row r="41" spans="1:20" ht="15" customHeight="1" thickBot="1" x14ac:dyDescent="0.2">
      <c r="A41" s="133"/>
      <c r="B41" s="93"/>
      <c r="C41" s="93"/>
      <c r="D41" s="94"/>
      <c r="E41" s="134"/>
      <c r="F41" s="203" t="s">
        <v>227</v>
      </c>
      <c r="G41" s="81">
        <v>0</v>
      </c>
      <c r="H41" s="81">
        <v>0</v>
      </c>
      <c r="I41" s="81">
        <v>0</v>
      </c>
      <c r="J41" s="81">
        <v>0</v>
      </c>
      <c r="K41" s="81">
        <v>0</v>
      </c>
      <c r="L41" s="81">
        <v>1</v>
      </c>
      <c r="M41" s="81">
        <v>0</v>
      </c>
      <c r="N41" s="81">
        <v>0</v>
      </c>
      <c r="O41" s="81">
        <v>0</v>
      </c>
      <c r="P41" s="72">
        <v>0</v>
      </c>
      <c r="Q41" s="81">
        <v>0</v>
      </c>
      <c r="R41" s="73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6804.3019941800003</v>
      </c>
      <c r="E42" s="137">
        <f>SUM(E32:E41)</f>
        <v>1</v>
      </c>
      <c r="F42" s="203" t="s">
        <v>228</v>
      </c>
      <c r="G42" s="81">
        <v>0</v>
      </c>
      <c r="H42" s="81">
        <v>0</v>
      </c>
      <c r="I42" s="81">
        <v>0</v>
      </c>
      <c r="J42" s="81">
        <v>0</v>
      </c>
      <c r="K42" s="81">
        <v>0</v>
      </c>
      <c r="L42" s="81">
        <v>1</v>
      </c>
      <c r="M42" s="81">
        <v>0</v>
      </c>
      <c r="N42" s="81">
        <v>0</v>
      </c>
      <c r="O42" s="81">
        <v>0</v>
      </c>
      <c r="P42" s="72">
        <v>0</v>
      </c>
      <c r="Q42" s="81">
        <v>0</v>
      </c>
      <c r="R42" s="73">
        <v>1</v>
      </c>
      <c r="S42"/>
      <c r="T42"/>
    </row>
    <row r="43" spans="1:20" ht="15" customHeight="1" x14ac:dyDescent="0.15">
      <c r="A43" s="81"/>
      <c r="F43" s="203" t="s">
        <v>229</v>
      </c>
      <c r="G43" s="81">
        <v>0</v>
      </c>
      <c r="H43" s="81">
        <v>0</v>
      </c>
      <c r="I43" s="81">
        <v>0</v>
      </c>
      <c r="J43" s="81">
        <v>0</v>
      </c>
      <c r="K43" s="81">
        <v>0</v>
      </c>
      <c r="L43" s="81">
        <v>1</v>
      </c>
      <c r="M43" s="81">
        <v>0</v>
      </c>
      <c r="N43" s="81">
        <v>0</v>
      </c>
      <c r="O43" s="81">
        <v>0</v>
      </c>
      <c r="P43" s="72">
        <v>0</v>
      </c>
      <c r="Q43" s="81">
        <v>0</v>
      </c>
      <c r="R43" s="73">
        <v>1</v>
      </c>
      <c r="S43"/>
      <c r="T43"/>
    </row>
    <row r="44" spans="1:20" ht="15" customHeight="1" x14ac:dyDescent="0.15">
      <c r="A44" s="81"/>
      <c r="F44" s="203" t="s">
        <v>230</v>
      </c>
      <c r="G44" s="81">
        <v>0</v>
      </c>
      <c r="H44" s="81">
        <v>0</v>
      </c>
      <c r="I44" s="81">
        <v>0</v>
      </c>
      <c r="J44" s="81">
        <v>0</v>
      </c>
      <c r="K44" s="81">
        <v>0</v>
      </c>
      <c r="L44" s="81">
        <v>1</v>
      </c>
      <c r="M44" s="81">
        <v>0</v>
      </c>
      <c r="N44" s="81">
        <v>0</v>
      </c>
      <c r="O44" s="81">
        <v>0</v>
      </c>
      <c r="P44" s="72">
        <v>0</v>
      </c>
      <c r="Q44" s="81">
        <v>0</v>
      </c>
      <c r="R44" s="73">
        <v>1</v>
      </c>
    </row>
    <row r="45" spans="1:20" ht="15" customHeight="1" x14ac:dyDescent="0.15">
      <c r="A45" s="81"/>
      <c r="F45" s="203" t="s">
        <v>231</v>
      </c>
      <c r="G45" s="81">
        <v>0</v>
      </c>
      <c r="H45" s="81">
        <v>0</v>
      </c>
      <c r="I45" s="81">
        <v>0</v>
      </c>
      <c r="J45" s="81">
        <v>0</v>
      </c>
      <c r="K45" s="81">
        <v>0</v>
      </c>
      <c r="L45" s="81">
        <v>1</v>
      </c>
      <c r="M45" s="81">
        <v>0</v>
      </c>
      <c r="N45" s="81">
        <v>0</v>
      </c>
      <c r="O45" s="81">
        <v>0</v>
      </c>
      <c r="P45" s="72">
        <v>0</v>
      </c>
      <c r="Q45" s="81">
        <v>0</v>
      </c>
      <c r="R45" s="73">
        <v>1</v>
      </c>
    </row>
    <row r="46" spans="1:20" ht="15" customHeight="1" x14ac:dyDescent="0.15">
      <c r="A46" s="81"/>
      <c r="F46" s="203" t="s">
        <v>232</v>
      </c>
      <c r="G46" s="81">
        <v>0</v>
      </c>
      <c r="H46" s="81">
        <v>0</v>
      </c>
      <c r="I46" s="81">
        <v>0</v>
      </c>
      <c r="J46" s="81">
        <v>0</v>
      </c>
      <c r="K46" s="81">
        <v>0</v>
      </c>
      <c r="L46" s="81">
        <v>1</v>
      </c>
      <c r="M46" s="81">
        <v>0</v>
      </c>
      <c r="N46" s="81">
        <v>0</v>
      </c>
      <c r="O46" s="81">
        <v>0</v>
      </c>
      <c r="P46" s="72">
        <v>0</v>
      </c>
      <c r="Q46" s="81">
        <v>0</v>
      </c>
      <c r="R46" s="73">
        <v>1</v>
      </c>
    </row>
    <row r="47" spans="1:20" ht="15" customHeight="1" x14ac:dyDescent="0.15">
      <c r="A47" s="81"/>
      <c r="F47" s="203" t="s">
        <v>233</v>
      </c>
      <c r="G47" s="81">
        <v>0</v>
      </c>
      <c r="H47" s="81">
        <v>0</v>
      </c>
      <c r="I47" s="81">
        <v>0</v>
      </c>
      <c r="J47" s="81">
        <v>0</v>
      </c>
      <c r="K47" s="81">
        <v>0</v>
      </c>
      <c r="L47" s="81">
        <v>1</v>
      </c>
      <c r="M47" s="81">
        <v>0</v>
      </c>
      <c r="N47" s="81">
        <v>0</v>
      </c>
      <c r="O47" s="81">
        <v>0</v>
      </c>
      <c r="P47" s="72">
        <v>0</v>
      </c>
      <c r="Q47" s="81">
        <v>0</v>
      </c>
      <c r="R47" s="73">
        <v>1</v>
      </c>
    </row>
    <row r="48" spans="1:20" ht="15" customHeight="1" x14ac:dyDescent="0.15">
      <c r="A48" s="81"/>
      <c r="F48" s="203" t="s">
        <v>234</v>
      </c>
      <c r="G48" s="81">
        <v>0</v>
      </c>
      <c r="H48" s="81">
        <v>0</v>
      </c>
      <c r="I48" s="81">
        <v>0</v>
      </c>
      <c r="J48" s="81">
        <v>0</v>
      </c>
      <c r="K48" s="81">
        <v>0</v>
      </c>
      <c r="L48" s="81">
        <v>1</v>
      </c>
      <c r="M48" s="81">
        <v>0</v>
      </c>
      <c r="N48" s="81">
        <v>0</v>
      </c>
      <c r="O48" s="81">
        <v>0</v>
      </c>
      <c r="P48" s="72">
        <v>0</v>
      </c>
      <c r="Q48" s="81">
        <v>0</v>
      </c>
      <c r="R48" s="73">
        <v>1</v>
      </c>
    </row>
    <row r="49" spans="6:18" s="81" customFormat="1" ht="15" customHeight="1" x14ac:dyDescent="0.15">
      <c r="F49" s="203" t="s">
        <v>235</v>
      </c>
      <c r="G49" s="81">
        <v>0</v>
      </c>
      <c r="H49" s="81">
        <v>0</v>
      </c>
      <c r="I49" s="81">
        <v>0</v>
      </c>
      <c r="J49" s="81">
        <v>0</v>
      </c>
      <c r="K49" s="81">
        <v>0</v>
      </c>
      <c r="L49" s="81">
        <v>1</v>
      </c>
      <c r="M49" s="81">
        <v>0</v>
      </c>
      <c r="N49" s="81">
        <v>0</v>
      </c>
      <c r="O49" s="81">
        <v>0</v>
      </c>
      <c r="P49" s="72">
        <v>0</v>
      </c>
      <c r="Q49" s="81">
        <v>0</v>
      </c>
      <c r="R49" s="73">
        <v>1</v>
      </c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Z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8" bestFit="1" customWidth="1"/>
    <col min="2" max="2" width="2.33203125" style="113" customWidth="1"/>
    <col min="3" max="5" width="7.83203125" style="113" customWidth="1"/>
    <col min="6" max="8" width="8.83203125" style="6"/>
    <col min="9" max="9" width="23" style="6" customWidth="1"/>
    <col min="10" max="10" width="19.5" style="6" customWidth="1"/>
    <col min="11" max="11" width="26.6640625" style="6" customWidth="1"/>
    <col min="12" max="12" width="11.5" style="6" customWidth="1"/>
    <col min="13" max="13" width="10.33203125" style="6" customWidth="1"/>
    <col min="14" max="14" width="14.5" style="6" customWidth="1"/>
    <col min="15" max="15" width="29.5" style="6" customWidth="1"/>
    <col min="16" max="16" width="11.33203125" style="6" customWidth="1"/>
    <col min="17" max="17" width="8.83203125" style="6" customWidth="1"/>
    <col min="18" max="18" width="12.1640625" style="6" customWidth="1"/>
    <col min="19" max="19" width="10.5" style="6" customWidth="1"/>
    <col min="20" max="20" width="12" style="6" customWidth="1"/>
    <col min="21" max="21" width="10.1640625" style="6" customWidth="1"/>
    <col min="22" max="22" width="20.5" style="6" customWidth="1"/>
    <col min="23" max="23" width="11.33203125" style="6" customWidth="1"/>
    <col min="24" max="24" width="11" style="6" customWidth="1"/>
    <col min="25" max="25" width="17.33203125" style="6" customWidth="1"/>
    <col min="26" max="26" width="13.5" style="6" customWidth="1"/>
    <col min="27" max="27" width="38" style="6" customWidth="1"/>
    <col min="28" max="28" width="32.1640625" style="6" customWidth="1"/>
    <col min="29" max="29" width="12" style="6" customWidth="1"/>
    <col min="30" max="30" width="9.83203125" style="6" customWidth="1"/>
    <col min="31" max="31" width="11.83203125" style="6" customWidth="1"/>
    <col min="32" max="32" width="8.5" style="6" customWidth="1"/>
    <col min="33" max="33" width="13.5" style="6" customWidth="1"/>
    <col min="34" max="34" width="10.5" style="6" customWidth="1"/>
    <col min="35" max="35" width="12.33203125" style="6" customWidth="1"/>
    <col min="36" max="36" width="29.33203125" style="6" customWidth="1"/>
    <col min="37" max="37" width="10.83203125" style="6" customWidth="1"/>
    <col min="38" max="38" width="35.1640625" style="6" customWidth="1"/>
    <col min="39" max="39" width="11.33203125" customWidth="1"/>
    <col min="40" max="40" width="13.1640625" customWidth="1"/>
    <col min="41" max="41" width="12" customWidth="1"/>
    <col min="42" max="42" width="7.6640625" customWidth="1"/>
    <col min="43" max="43" width="21.6640625" customWidth="1"/>
    <col min="44" max="45" width="10.6640625" customWidth="1"/>
    <col min="46" max="46" width="11.1640625" customWidth="1"/>
    <col min="47" max="48" width="10" customWidth="1"/>
    <col min="49" max="49" width="11" customWidth="1"/>
    <col min="50" max="51" width="10.1640625" customWidth="1"/>
    <col min="52" max="52" width="11.1640625" customWidth="1"/>
    <col min="81" max="81" width="22.1640625" bestFit="1" customWidth="1"/>
  </cols>
  <sheetData>
    <row r="1" spans="1:52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8" t="s">
        <v>192</v>
      </c>
      <c r="J1" s="208" t="s">
        <v>193</v>
      </c>
      <c r="K1" s="208" t="s">
        <v>194</v>
      </c>
      <c r="L1" s="208" t="s">
        <v>195</v>
      </c>
      <c r="M1" s="208" t="s">
        <v>196</v>
      </c>
      <c r="N1" s="208" t="s">
        <v>197</v>
      </c>
      <c r="O1" s="208" t="s">
        <v>198</v>
      </c>
      <c r="P1" s="208" t="s">
        <v>199</v>
      </c>
      <c r="Q1" s="208" t="s">
        <v>200</v>
      </c>
      <c r="R1" s="208" t="s">
        <v>201</v>
      </c>
      <c r="S1" s="208" t="s">
        <v>202</v>
      </c>
      <c r="T1" s="208" t="s">
        <v>203</v>
      </c>
      <c r="U1" s="208" t="s">
        <v>204</v>
      </c>
      <c r="V1" s="208" t="s">
        <v>205</v>
      </c>
      <c r="W1" s="208" t="s">
        <v>206</v>
      </c>
      <c r="X1" s="208" t="s">
        <v>207</v>
      </c>
      <c r="Y1" s="208" t="s">
        <v>208</v>
      </c>
      <c r="Z1" s="208" t="s">
        <v>209</v>
      </c>
      <c r="AA1" s="208" t="s">
        <v>210</v>
      </c>
      <c r="AB1" s="208" t="s">
        <v>211</v>
      </c>
      <c r="AC1" s="208" t="s">
        <v>212</v>
      </c>
      <c r="AD1" s="208" t="s">
        <v>213</v>
      </c>
      <c r="AE1" s="208" t="s">
        <v>214</v>
      </c>
      <c r="AF1" s="208" t="s">
        <v>215</v>
      </c>
      <c r="AG1" s="208" t="s">
        <v>216</v>
      </c>
      <c r="AH1" s="208" t="s">
        <v>217</v>
      </c>
      <c r="AI1" s="208" t="s">
        <v>218</v>
      </c>
      <c r="AJ1" s="208" t="s">
        <v>219</v>
      </c>
      <c r="AK1" s="208" t="s">
        <v>220</v>
      </c>
      <c r="AL1" s="208" t="s">
        <v>221</v>
      </c>
      <c r="AM1" s="208" t="s">
        <v>222</v>
      </c>
      <c r="AN1" s="208" t="s">
        <v>223</v>
      </c>
      <c r="AO1" s="208" t="s">
        <v>224</v>
      </c>
      <c r="AP1" s="208" t="s">
        <v>225</v>
      </c>
      <c r="AQ1" s="208" t="s">
        <v>226</v>
      </c>
      <c r="AR1" s="208" t="s">
        <v>227</v>
      </c>
      <c r="AS1" s="208" t="s">
        <v>228</v>
      </c>
      <c r="AT1" s="208" t="s">
        <v>229</v>
      </c>
      <c r="AU1" s="208" t="s">
        <v>230</v>
      </c>
      <c r="AV1" s="208" t="s">
        <v>231</v>
      </c>
      <c r="AW1" s="208" t="s">
        <v>232</v>
      </c>
      <c r="AX1" s="208" t="s">
        <v>233</v>
      </c>
      <c r="AY1" s="208" t="s">
        <v>234</v>
      </c>
      <c r="AZ1" s="208" t="s">
        <v>235</v>
      </c>
    </row>
    <row r="2" spans="1:52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2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2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2" x14ac:dyDescent="0.15">
      <c r="A5" s="207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2" x14ac:dyDescent="0.15">
      <c r="A6" s="207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2" x14ac:dyDescent="0.15">
      <c r="A7" s="207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2" x14ac:dyDescent="0.15">
      <c r="A8" s="207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2" x14ac:dyDescent="0.15">
      <c r="A9" s="207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2" x14ac:dyDescent="0.15">
      <c r="A10" s="207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2" x14ac:dyDescent="0.15">
      <c r="A11" s="207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2" x14ac:dyDescent="0.15">
      <c r="A12" s="207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2" x14ac:dyDescent="0.15">
      <c r="A13" s="207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2" x14ac:dyDescent="0.15">
      <c r="A14" s="207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2" x14ac:dyDescent="0.15">
      <c r="A15" s="207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2" x14ac:dyDescent="0.15">
      <c r="A16" s="207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7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7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7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7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7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7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7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7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7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7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7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7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7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7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7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7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7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7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7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7" t="s">
        <v>223</v>
      </c>
      <c r="B36" s="113">
        <v>0</v>
      </c>
      <c r="C36"/>
      <c r="D36"/>
    </row>
    <row r="37" spans="1:38" ht="15" customHeight="1" x14ac:dyDescent="0.15">
      <c r="A37" s="207" t="s">
        <v>224</v>
      </c>
      <c r="B37" s="113">
        <v>0</v>
      </c>
      <c r="C37"/>
      <c r="D37"/>
    </row>
    <row r="38" spans="1:38" ht="15" customHeight="1" x14ac:dyDescent="0.15">
      <c r="A38" s="207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7" t="s">
        <v>226</v>
      </c>
      <c r="B39" s="113">
        <v>0</v>
      </c>
      <c r="C39"/>
      <c r="D39"/>
    </row>
    <row r="40" spans="1:38" ht="15" customHeight="1" x14ac:dyDescent="0.15">
      <c r="A40" s="207" t="s">
        <v>227</v>
      </c>
      <c r="B40" s="113">
        <v>0</v>
      </c>
      <c r="C40"/>
      <c r="D40"/>
    </row>
    <row r="41" spans="1:38" ht="15" customHeight="1" x14ac:dyDescent="0.15">
      <c r="A41" s="207" t="s">
        <v>228</v>
      </c>
      <c r="B41" s="113">
        <v>0</v>
      </c>
      <c r="C41"/>
      <c r="D41"/>
    </row>
    <row r="42" spans="1:38" ht="15" customHeight="1" x14ac:dyDescent="0.15">
      <c r="A42" s="207" t="s">
        <v>229</v>
      </c>
      <c r="B42" s="113">
        <v>0</v>
      </c>
    </row>
    <row r="43" spans="1:38" ht="15" customHeight="1" x14ac:dyDescent="0.15">
      <c r="A43" s="207" t="s">
        <v>230</v>
      </c>
      <c r="B43" s="113">
        <v>0</v>
      </c>
    </row>
    <row r="44" spans="1:38" ht="15" customHeight="1" x14ac:dyDescent="0.15">
      <c r="A44" s="207" t="s">
        <v>231</v>
      </c>
      <c r="B44" s="113">
        <v>0</v>
      </c>
    </row>
    <row r="45" spans="1:38" ht="15" customHeight="1" x14ac:dyDescent="0.15">
      <c r="A45" s="207" t="s">
        <v>232</v>
      </c>
      <c r="B45" s="113">
        <v>0</v>
      </c>
    </row>
    <row r="46" spans="1:38" ht="15" customHeight="1" x14ac:dyDescent="0.15">
      <c r="A46" s="207" t="s">
        <v>233</v>
      </c>
      <c r="B46" s="113">
        <v>0</v>
      </c>
    </row>
    <row r="47" spans="1:38" ht="15" customHeight="1" x14ac:dyDescent="0.15">
      <c r="A47" s="207" t="s">
        <v>234</v>
      </c>
      <c r="B47" s="113">
        <v>0</v>
      </c>
    </row>
    <row r="48" spans="1:38" ht="15" customHeight="1" x14ac:dyDescent="0.15">
      <c r="A48" s="207" t="s">
        <v>235</v>
      </c>
      <c r="B48" s="113">
        <v>0</v>
      </c>
    </row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2022-10-23T22:46:11Z</dcterms:modified>
</cp:coreProperties>
</file>